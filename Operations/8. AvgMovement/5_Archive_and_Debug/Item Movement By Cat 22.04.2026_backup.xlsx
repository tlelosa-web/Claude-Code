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Summary" sheetId="1" state="visible" r:id="rId1"/>
    <sheet name="Accessories" sheetId="2" state="visible" r:id="rId2"/>
    <sheet name="BENDINGCUTTING" sheetId="3" state="visible" r:id="rId3"/>
    <sheet name="CFLANGE" sheetId="4" state="visible" r:id="rId4"/>
    <sheet name="CASING" sheetId="5" state="visible" r:id="rId5"/>
    <sheet name="CONSUMABLES" sheetId="6" state="visible" r:id="rId6"/>
    <sheet name="CRATING" sheetId="7" state="visible" r:id="rId7"/>
    <sheet name="Car accessories" sheetId="8" state="visible" r:id="rId8"/>
    <sheet name="DUCT" sheetId="9" state="visible" r:id="rId9"/>
    <sheet name="FABRICATION" sheetId="10" state="visible" r:id="rId10"/>
    <sheet name="FASTENERS" sheetId="11" state="visible" r:id="rId11"/>
    <sheet name="FM - BLOWER" sheetId="12" state="visible" r:id="rId12"/>
    <sheet name="FM - CFLANGE" sheetId="13" state="visible" r:id="rId13"/>
    <sheet name="FM - CASING" sheetId="14" state="visible" r:id="rId14"/>
    <sheet name="FM - CFW FANS" sheetId="15" state="visible" r:id="rId15"/>
    <sheet name="FM - DONKIN" sheetId="16" state="visible" r:id="rId16"/>
    <sheet name="FM - ELECTRICAL WIRING" sheetId="17" state="visible" r:id="rId17"/>
    <sheet name="FM - FABRICATION" sheetId="18" state="visible" r:id="rId18"/>
    <sheet name="FM - FAN BLADE MODELLING" sheetId="19" state="visible" r:id="rId19"/>
    <sheet name="FM - FPZ" sheetId="20" state="visible" r:id="rId20"/>
    <sheet name="FM - IMPELLER" sheetId="21" state="visible" r:id="rId21"/>
    <sheet name="FM - KAYITES" sheetId="22" state="visible" r:id="rId22"/>
    <sheet name="FM - LUCK &amp; KING" sheetId="23" state="visible" r:id="rId23"/>
    <sheet name="FM - MFEET" sheetId="24" state="visible" r:id="rId24"/>
    <sheet name="FM - MACHINERY" sheetId="25" state="visible" r:id="rId25"/>
    <sheet name="FM - MOTOR" sheetId="26" state="visible" r:id="rId26"/>
    <sheet name="FM - NICOTRA" sheetId="27" state="visible" r:id="rId27"/>
    <sheet name="FM - OSTBERG" sheetId="28" state="visible" r:id="rId28"/>
    <sheet name="FM - PAINTING" sheetId="29" state="visible" r:id="rId29"/>
    <sheet name="FM - SHEET" sheetId="30" state="visible" r:id="rId30"/>
    <sheet name="FM - SODECA" sheetId="31" state="visible" r:id="rId31"/>
    <sheet name="FM - UNIFORM" sheetId="32" state="visible" r:id="rId32"/>
    <sheet name="FM - VORTICE" sheetId="33" state="visible" r:id="rId33"/>
    <sheet name="FREIGHT" sheetId="34" state="visible" r:id="rId34"/>
    <sheet name="IMPELLER" sheetId="35" state="visible" r:id="rId35"/>
    <sheet name="MFEET" sheetId="36" state="visible" r:id="rId36"/>
    <sheet name="MOTOR FLANGE" sheetId="37" state="visible" r:id="rId37"/>
    <sheet name="MOTORS" sheetId="38" state="visible" r:id="rId38"/>
    <sheet name="PACKAGING" sheetId="39" state="visible" r:id="rId39"/>
    <sheet name="PLATE" sheetId="40" state="visible" r:id="rId40"/>
    <sheet name="Roof Fans" sheetId="41" state="visible" r:id="rId41"/>
    <sheet name="Sodeca" sheetId="42" state="visible" r:id="rId42"/>
    <sheet name="Uncategorized" sheetId="43" state="visible" r:id="rId43"/>
    <sheet name="VSD" sheetId="44" state="visible" r:id="rId44"/>
    <sheet name="Vents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ables/table1.xml><?xml version="1.0" encoding="utf-8"?>
<table xmlns="http://schemas.openxmlformats.org/spreadsheetml/2006/main" id="1" name="CategorySummary" displayName="CategorySummary" ref="A1:D46" headerRowCount="1" totalsRowCount="1">
  <autoFilter ref="A1:D46"/>
  <tableColumns count="4">
    <tableColumn id="1" name="Category"/>
    <tableColumn id="2" name="Total Items" totalsRowFunction="sum"/>
    <tableColumn id="3" name="Total QTY Purchased" totalsRowFunction="sum"/>
    <tableColumn id="4" name="Total QTY Sold" totalsRowFunction="sum"/>
  </tableColumns>
  <tableStyleInfo name="TableStyleLight9" showRowStripes="1"/>
</table>
</file>

<file path=xl/tables/table2.xml><?xml version="1.0" encoding="utf-8"?>
<table xmlns="http://schemas.openxmlformats.org/spreadsheetml/2006/main" id="2" name="cat_Accessories" displayName="cat_Accessories" ref="A1:M8" headerRowCount="1" totalsRowCount="1">
  <autoFilter ref="A1:M8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3.xml><?xml version="1.0" encoding="utf-8"?>
<table xmlns="http://schemas.openxmlformats.org/spreadsheetml/2006/main" id="3" name="cat_BENDINGCUTTING" displayName="cat_BENDINGCUTTING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4.xml><?xml version="1.0" encoding="utf-8"?>
<table xmlns="http://schemas.openxmlformats.org/spreadsheetml/2006/main" id="4" name="cat_CFLANGE" displayName="cat_CFLANGE" ref="A1:M6" headerRowCount="1" totalsRowCount="1">
  <autoFilter ref="A1:M6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5.xml><?xml version="1.0" encoding="utf-8"?>
<table xmlns="http://schemas.openxmlformats.org/spreadsheetml/2006/main" id="5" name="cat_CASING" displayName="cat_CASING" ref="A1:M14" headerRowCount="1" totalsRowCount="1">
  <autoFilter ref="A1:M14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6.xml><?xml version="1.0" encoding="utf-8"?>
<table xmlns="http://schemas.openxmlformats.org/spreadsheetml/2006/main" id="6" name="cat_CONSUMABLES" displayName="cat_CONSUMABLES" ref="A1:M25" headerRowCount="1" totalsRowCount="1">
  <autoFilter ref="A1:M25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7.xml><?xml version="1.0" encoding="utf-8"?>
<table xmlns="http://schemas.openxmlformats.org/spreadsheetml/2006/main" id="7" name="cat_CRATING" displayName="cat_CRATING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8.xml><?xml version="1.0" encoding="utf-8"?>
<table xmlns="http://schemas.openxmlformats.org/spreadsheetml/2006/main" id="8" name="cat_Caraccessories" displayName="cat_Caraccessories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9.xml><?xml version="1.0" encoding="utf-8"?>
<table xmlns="http://schemas.openxmlformats.org/spreadsheetml/2006/main" id="9" name="cat_DUCT" displayName="cat_DUCT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10.xml><?xml version="1.0" encoding="utf-8"?>
<table xmlns="http://schemas.openxmlformats.org/spreadsheetml/2006/main" id="10" name="cat_FABRICATION" displayName="cat_FABRICATION" ref="A1:M6" headerRowCount="1" totalsRowCount="1">
  <autoFilter ref="A1:M6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11.xml><?xml version="1.0" encoding="utf-8"?>
<table xmlns="http://schemas.openxmlformats.org/spreadsheetml/2006/main" id="11" name="cat_FASTENERS" displayName="cat_FASTENERS" ref="A1:M27" headerRowCount="1" totalsRowCount="1">
  <autoFilter ref="A1:M27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12.xml><?xml version="1.0" encoding="utf-8"?>
<table xmlns="http://schemas.openxmlformats.org/spreadsheetml/2006/main" id="12" name="cat_FMBLOWER" displayName="cat_FMBLOWER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13.xml><?xml version="1.0" encoding="utf-8"?>
<table xmlns="http://schemas.openxmlformats.org/spreadsheetml/2006/main" id="13" name="cat_FMCFLANGE" displayName="cat_FMCFLANGE" ref="A1:M18" headerRowCount="1" totalsRowCount="1">
  <autoFilter ref="A1:M18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14.xml><?xml version="1.0" encoding="utf-8"?>
<table xmlns="http://schemas.openxmlformats.org/spreadsheetml/2006/main" id="14" name="cat_FMCASING" displayName="cat_FMCASING" ref="A1:M12" headerRowCount="1" totalsRowCount="1">
  <autoFilter ref="A1:M12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15.xml><?xml version="1.0" encoding="utf-8"?>
<table xmlns="http://schemas.openxmlformats.org/spreadsheetml/2006/main" id="15" name="cat_FMCFWFANS" displayName="cat_FMCFWFANS" ref="A1:M6" headerRowCount="1" totalsRowCount="1">
  <autoFilter ref="A1:M6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16.xml><?xml version="1.0" encoding="utf-8"?>
<table xmlns="http://schemas.openxmlformats.org/spreadsheetml/2006/main" id="16" name="cat_FMDONKIN" displayName="cat_FMDONKIN" ref="A1:M319" headerRowCount="1" totalsRowCount="1">
  <autoFilter ref="A1:M319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17.xml><?xml version="1.0" encoding="utf-8"?>
<table xmlns="http://schemas.openxmlformats.org/spreadsheetml/2006/main" id="17" name="cat_FMELECTRICALWIRING" displayName="cat_FMELECTRICALWIRING" ref="A1:M4" headerRowCount="1" totalsRowCount="1">
  <autoFilter ref="A1:M4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18.xml><?xml version="1.0" encoding="utf-8"?>
<table xmlns="http://schemas.openxmlformats.org/spreadsheetml/2006/main" id="18" name="cat_FMFABRICATION" displayName="cat_FMFABRICATION" ref="A1:M27" headerRowCount="1" totalsRowCount="1">
  <autoFilter ref="A1:M27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19.xml><?xml version="1.0" encoding="utf-8"?>
<table xmlns="http://schemas.openxmlformats.org/spreadsheetml/2006/main" id="19" name="cat_FMFANBLADEMODELLING" displayName="cat_FMFANBLADEMODELLING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20.xml><?xml version="1.0" encoding="utf-8"?>
<table xmlns="http://schemas.openxmlformats.org/spreadsheetml/2006/main" id="20" name="cat_FMFPZ" displayName="cat_FMFPZ" ref="A1:M42" headerRowCount="1" totalsRowCount="1">
  <autoFilter ref="A1:M42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21.xml><?xml version="1.0" encoding="utf-8"?>
<table xmlns="http://schemas.openxmlformats.org/spreadsheetml/2006/main" id="21" name="cat_FMIMPELLER" displayName="cat_FMIMPELLER" ref="A1:M17" headerRowCount="1" totalsRowCount="1">
  <autoFilter ref="A1:M17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22.xml><?xml version="1.0" encoding="utf-8"?>
<table xmlns="http://schemas.openxmlformats.org/spreadsheetml/2006/main" id="22" name="cat_FMKAYITES" displayName="cat_FMKAYITES" ref="A1:M47" headerRowCount="1" totalsRowCount="1">
  <autoFilter ref="A1:M47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23.xml><?xml version="1.0" encoding="utf-8"?>
<table xmlns="http://schemas.openxmlformats.org/spreadsheetml/2006/main" id="23" name="cat_FMLUCKKING" displayName="cat_FMLUCKKING" ref="A1:M4" headerRowCount="1" totalsRowCount="1">
  <autoFilter ref="A1:M4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24.xml><?xml version="1.0" encoding="utf-8"?>
<table xmlns="http://schemas.openxmlformats.org/spreadsheetml/2006/main" id="24" name="cat_FMMFEET" displayName="cat_FMMFEET" ref="A1:M17" headerRowCount="1" totalsRowCount="1">
  <autoFilter ref="A1:M17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25.xml><?xml version="1.0" encoding="utf-8"?>
<table xmlns="http://schemas.openxmlformats.org/spreadsheetml/2006/main" id="25" name="cat_FMMACHINERY" displayName="cat_FMMACHINERY" ref="A1:M5" headerRowCount="1" totalsRowCount="1">
  <autoFilter ref="A1:M5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26.xml><?xml version="1.0" encoding="utf-8"?>
<table xmlns="http://schemas.openxmlformats.org/spreadsheetml/2006/main" id="26" name="cat_FMMOTOR" displayName="cat_FMMOTOR" ref="A1:M23" headerRowCount="1" totalsRowCount="1">
  <autoFilter ref="A1:M2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27.xml><?xml version="1.0" encoding="utf-8"?>
<table xmlns="http://schemas.openxmlformats.org/spreadsheetml/2006/main" id="27" name="cat_FMNICOTRA" displayName="cat_FMNICOTRA" ref="A1:M34" headerRowCount="1" totalsRowCount="1">
  <autoFilter ref="A1:M34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28.xml><?xml version="1.0" encoding="utf-8"?>
<table xmlns="http://schemas.openxmlformats.org/spreadsheetml/2006/main" id="28" name="cat_FMOSTBERG" displayName="cat_FMOSTBERG" ref="A1:M12" headerRowCount="1" totalsRowCount="1">
  <autoFilter ref="A1:M12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29.xml><?xml version="1.0" encoding="utf-8"?>
<table xmlns="http://schemas.openxmlformats.org/spreadsheetml/2006/main" id="29" name="cat_FMPAINTING" displayName="cat_FMPAINTING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30.xml><?xml version="1.0" encoding="utf-8"?>
<table xmlns="http://schemas.openxmlformats.org/spreadsheetml/2006/main" id="30" name="cat_FMSHEET" displayName="cat_FMSHEET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31.xml><?xml version="1.0" encoding="utf-8"?>
<table xmlns="http://schemas.openxmlformats.org/spreadsheetml/2006/main" id="31" name="cat_FMSODECA" displayName="cat_FMSODECA" ref="A1:M95" headerRowCount="1" totalsRowCount="1">
  <autoFilter ref="A1:M95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32.xml><?xml version="1.0" encoding="utf-8"?>
<table xmlns="http://schemas.openxmlformats.org/spreadsheetml/2006/main" id="32" name="cat_FMUNIFORM" displayName="cat_FMUNIFORM" ref="A1:M7" headerRowCount="1" totalsRowCount="1">
  <autoFilter ref="A1:M7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33.xml><?xml version="1.0" encoding="utf-8"?>
<table xmlns="http://schemas.openxmlformats.org/spreadsheetml/2006/main" id="33" name="cat_FMVORTICE" displayName="cat_FMVORTICE" ref="A1:M88" headerRowCount="1" totalsRowCount="1">
  <autoFilter ref="A1:M88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34.xml><?xml version="1.0" encoding="utf-8"?>
<table xmlns="http://schemas.openxmlformats.org/spreadsheetml/2006/main" id="34" name="cat_FREIGHT" displayName="cat_FREIGHT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35.xml><?xml version="1.0" encoding="utf-8"?>
<table xmlns="http://schemas.openxmlformats.org/spreadsheetml/2006/main" id="35" name="cat_IMPELLER" displayName="cat_IMPELLER" ref="A1:M8" headerRowCount="1" totalsRowCount="1">
  <autoFilter ref="A1:M8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36.xml><?xml version="1.0" encoding="utf-8"?>
<table xmlns="http://schemas.openxmlformats.org/spreadsheetml/2006/main" id="36" name="cat_MFEET" displayName="cat_MFEET" ref="A1:M7" headerRowCount="1" totalsRowCount="1">
  <autoFilter ref="A1:M7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37.xml><?xml version="1.0" encoding="utf-8"?>
<table xmlns="http://schemas.openxmlformats.org/spreadsheetml/2006/main" id="37" name="cat_MOTORFLANGE" displayName="cat_MOTORFLANGE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38.xml><?xml version="1.0" encoding="utf-8"?>
<table xmlns="http://schemas.openxmlformats.org/spreadsheetml/2006/main" id="38" name="cat_MOTORS" displayName="cat_MOTORS" ref="A1:M6" headerRowCount="1" totalsRowCount="1">
  <autoFilter ref="A1:M6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39.xml><?xml version="1.0" encoding="utf-8"?>
<table xmlns="http://schemas.openxmlformats.org/spreadsheetml/2006/main" id="39" name="cat_PACKAGING" displayName="cat_PACKAGING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40.xml><?xml version="1.0" encoding="utf-8"?>
<table xmlns="http://schemas.openxmlformats.org/spreadsheetml/2006/main" id="40" name="cat_PLATE" displayName="cat_PLATE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41.xml><?xml version="1.0" encoding="utf-8"?>
<table xmlns="http://schemas.openxmlformats.org/spreadsheetml/2006/main" id="41" name="cat_RoofFans" displayName="cat_RoofFans" ref="A1:M3" headerRowCount="1" totalsRowCount="1">
  <autoFilter ref="A1:M3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42.xml><?xml version="1.0" encoding="utf-8"?>
<table xmlns="http://schemas.openxmlformats.org/spreadsheetml/2006/main" id="42" name="cat_Sodeca" displayName="cat_Sodeca" ref="A1:M4" headerRowCount="1" totalsRowCount="1">
  <autoFilter ref="A1:M4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43.xml><?xml version="1.0" encoding="utf-8"?>
<table xmlns="http://schemas.openxmlformats.org/spreadsheetml/2006/main" id="43" name="cat_Uncategorized" displayName="cat_Uncategorized" ref="A1:M707" headerRowCount="1" totalsRowCount="1">
  <autoFilter ref="A1:M707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44.xml><?xml version="1.0" encoding="utf-8"?>
<table xmlns="http://schemas.openxmlformats.org/spreadsheetml/2006/main" id="44" name="cat_VSD" displayName="cat_VSD" ref="A1:M6" headerRowCount="1" totalsRowCount="1">
  <autoFilter ref="A1:M6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ables/table45.xml><?xml version="1.0" encoding="utf-8"?>
<table xmlns="http://schemas.openxmlformats.org/spreadsheetml/2006/main" id="45" name="cat_Vents" displayName="cat_Vents" ref="A1:M7" headerRowCount="1" totalsRowCount="1">
  <autoFilter ref="A1:M7"/>
  <tableColumns count="13">
    <tableColumn id="1" name="Item"/>
    <tableColumn id="2" name="Description"/>
    <tableColumn id="3" name="Supplier"/>
    <tableColumn id="4" name="Category"/>
    <tableColumn id="5" name="Cost Price"/>
    <tableColumn id="6" name="Safety Stock" totalsRowFunction="sum"/>
    <tableColumn id="7" name="Reorder Point (ROP)"/>
    <tableColumn id="8" name="Maximum Stock (MAX)" totalsRowFunction="sum"/>
    <tableColumn id="9" name="Current Stock"/>
    <tableColumn id="10" name="On Order"/>
    <tableColumn id="11" name="Order Quantity" totalsRowFunction="sum"/>
    <tableColumn id="12" name="Stock Value" totalsRowFunction="sum"/>
    <tableColumn id="13" name="Order Value" totalsRowFunction="sum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Total QTY Purchased</t>
        </is>
      </c>
      <c r="D1" t="inlineStr">
        <is>
          <t>Total QTY Sold</t>
        </is>
      </c>
    </row>
    <row r="2">
      <c r="A2" t="inlineStr">
        <is>
          <t>Accessories</t>
        </is>
      </c>
      <c r="B2" t="n">
        <v>6</v>
      </c>
      <c r="C2" t="n">
        <v>1611</v>
      </c>
      <c r="D2" t="n">
        <v>20</v>
      </c>
    </row>
    <row r="3">
      <c r="A3" t="inlineStr">
        <is>
          <t>BENDING/CUTTING</t>
        </is>
      </c>
      <c r="B3" t="n">
        <v>1</v>
      </c>
      <c r="C3" t="n">
        <v>6</v>
      </c>
      <c r="D3" t="n">
        <v>0</v>
      </c>
    </row>
    <row r="4">
      <c r="A4" t="inlineStr">
        <is>
          <t>C/FLANGE</t>
        </is>
      </c>
      <c r="B4" t="n">
        <v>4</v>
      </c>
      <c r="C4" t="n">
        <v>6</v>
      </c>
      <c r="D4" t="n">
        <v>14</v>
      </c>
    </row>
    <row r="5">
      <c r="A5" t="inlineStr">
        <is>
          <t>CASING</t>
        </is>
      </c>
      <c r="B5" t="n">
        <v>12</v>
      </c>
      <c r="C5" t="n">
        <v>64</v>
      </c>
      <c r="D5" t="n">
        <v>0</v>
      </c>
    </row>
    <row r="6">
      <c r="A6" t="inlineStr">
        <is>
          <t>CONSUMABLES</t>
        </is>
      </c>
      <c r="B6" t="n">
        <v>23</v>
      </c>
      <c r="C6" t="n">
        <v>799</v>
      </c>
      <c r="D6" t="n">
        <v>1</v>
      </c>
    </row>
    <row r="7">
      <c r="A7" t="inlineStr">
        <is>
          <t>CRATING</t>
        </is>
      </c>
      <c r="B7" t="n">
        <v>1</v>
      </c>
      <c r="C7" t="n">
        <v>10</v>
      </c>
      <c r="D7" t="n">
        <v>0</v>
      </c>
    </row>
    <row r="8">
      <c r="A8" t="inlineStr">
        <is>
          <t>Car accessories</t>
        </is>
      </c>
      <c r="B8" t="n">
        <v>1</v>
      </c>
      <c r="C8" t="n">
        <v>1</v>
      </c>
      <c r="D8" t="n">
        <v>0</v>
      </c>
    </row>
    <row r="9">
      <c r="A9" t="inlineStr">
        <is>
          <t>DUCT</t>
        </is>
      </c>
      <c r="B9" t="n">
        <v>1</v>
      </c>
      <c r="C9" t="n">
        <v>5</v>
      </c>
      <c r="D9" t="n">
        <v>5</v>
      </c>
    </row>
    <row r="10">
      <c r="A10" t="inlineStr">
        <is>
          <t>FABRICATION</t>
        </is>
      </c>
      <c r="B10" t="n">
        <v>4</v>
      </c>
      <c r="C10" t="n">
        <v>17</v>
      </c>
      <c r="D10" t="n">
        <v>0</v>
      </c>
    </row>
    <row r="11">
      <c r="A11" t="inlineStr">
        <is>
          <t>FASTENERS</t>
        </is>
      </c>
      <c r="B11" t="n">
        <v>25</v>
      </c>
      <c r="C11" t="n">
        <v>15738</v>
      </c>
      <c r="D11" t="n">
        <v>0</v>
      </c>
    </row>
    <row r="12">
      <c r="A12" t="inlineStr">
        <is>
          <t>FM - BLOWER</t>
        </is>
      </c>
      <c r="B12" t="n">
        <v>1</v>
      </c>
      <c r="C12" t="n">
        <v>0</v>
      </c>
      <c r="D12" t="n">
        <v>1</v>
      </c>
    </row>
    <row r="13">
      <c r="A13" t="inlineStr">
        <is>
          <t>FM - C/FLANGE</t>
        </is>
      </c>
      <c r="B13" t="n">
        <v>16</v>
      </c>
      <c r="C13" t="n">
        <v>1933</v>
      </c>
      <c r="D13" t="n">
        <v>1634</v>
      </c>
    </row>
    <row r="14">
      <c r="A14" t="inlineStr">
        <is>
          <t>FM - CASING</t>
        </is>
      </c>
      <c r="B14" t="n">
        <v>10</v>
      </c>
      <c r="C14" t="n">
        <v>79</v>
      </c>
      <c r="D14" t="n">
        <v>0</v>
      </c>
    </row>
    <row r="15">
      <c r="A15" t="inlineStr">
        <is>
          <t>FM - CFW FANS</t>
        </is>
      </c>
      <c r="B15" t="n">
        <v>4</v>
      </c>
      <c r="C15" t="n">
        <v>17</v>
      </c>
      <c r="D15" t="n">
        <v>3</v>
      </c>
    </row>
    <row r="16">
      <c r="A16" t="inlineStr">
        <is>
          <t>FM - DONKIN</t>
        </is>
      </c>
      <c r="B16" t="n">
        <v>317</v>
      </c>
      <c r="C16" t="n">
        <v>5674</v>
      </c>
      <c r="D16" t="n">
        <v>5367</v>
      </c>
    </row>
    <row r="17">
      <c r="A17" t="inlineStr">
        <is>
          <t>FM - ELECTRICAL WIRING</t>
        </is>
      </c>
      <c r="B17" t="n">
        <v>2</v>
      </c>
      <c r="C17" t="n">
        <v>3</v>
      </c>
      <c r="D17" t="n">
        <v>0</v>
      </c>
    </row>
    <row r="18">
      <c r="A18" t="inlineStr">
        <is>
          <t>FM - FABRICATION</t>
        </is>
      </c>
      <c r="B18" t="n">
        <v>25</v>
      </c>
      <c r="C18" t="n">
        <v>562</v>
      </c>
      <c r="D18" t="n">
        <v>0</v>
      </c>
    </row>
    <row r="19">
      <c r="A19" t="inlineStr">
        <is>
          <t>FM - FAN BLADE MODELLING</t>
        </is>
      </c>
      <c r="B19" t="n">
        <v>1</v>
      </c>
      <c r="C19" t="n">
        <v>0.5</v>
      </c>
      <c r="D19" t="n">
        <v>0</v>
      </c>
    </row>
    <row r="20">
      <c r="A20" t="inlineStr">
        <is>
          <t>FM - FPZ</t>
        </is>
      </c>
      <c r="B20" t="n">
        <v>40</v>
      </c>
      <c r="C20" t="n">
        <v>737.9</v>
      </c>
      <c r="D20" t="n">
        <v>592</v>
      </c>
    </row>
    <row r="21">
      <c r="A21" t="inlineStr">
        <is>
          <t>FM - IMPELLER</t>
        </is>
      </c>
      <c r="B21" t="n">
        <v>15</v>
      </c>
      <c r="C21" t="n">
        <v>4463</v>
      </c>
      <c r="D21" t="n">
        <v>0</v>
      </c>
    </row>
    <row r="22">
      <c r="A22" t="inlineStr">
        <is>
          <t>FM - KAYITES</t>
        </is>
      </c>
      <c r="B22" t="n">
        <v>45</v>
      </c>
      <c r="C22" t="n">
        <v>1363</v>
      </c>
      <c r="D22" t="n">
        <v>1188</v>
      </c>
    </row>
    <row r="23">
      <c r="A23" t="inlineStr">
        <is>
          <t>FM - LUCK &amp; KING</t>
        </is>
      </c>
      <c r="B23" t="n">
        <v>2</v>
      </c>
      <c r="C23" t="n">
        <v>2</v>
      </c>
      <c r="D23" t="n">
        <v>0</v>
      </c>
    </row>
    <row r="24">
      <c r="A24" t="inlineStr">
        <is>
          <t>FM - M/FEET</t>
        </is>
      </c>
      <c r="B24" t="n">
        <v>15</v>
      </c>
      <c r="C24" t="n">
        <v>1982</v>
      </c>
      <c r="D24" t="n">
        <v>2633</v>
      </c>
    </row>
    <row r="25">
      <c r="A25" t="inlineStr">
        <is>
          <t>FM - MACHINERY</t>
        </is>
      </c>
      <c r="B25" t="n">
        <v>3</v>
      </c>
      <c r="C25" t="n">
        <v>204</v>
      </c>
      <c r="D25" t="n">
        <v>0</v>
      </c>
    </row>
    <row r="26">
      <c r="A26" t="inlineStr">
        <is>
          <t>FM - MOTOR</t>
        </is>
      </c>
      <c r="B26" t="n">
        <v>21</v>
      </c>
      <c r="C26" t="n">
        <v>760</v>
      </c>
      <c r="D26" t="n">
        <v>25</v>
      </c>
    </row>
    <row r="27">
      <c r="A27" t="inlineStr">
        <is>
          <t>FM - NICOTRA</t>
        </is>
      </c>
      <c r="B27" t="n">
        <v>32</v>
      </c>
      <c r="C27" t="n">
        <v>51</v>
      </c>
      <c r="D27" t="n">
        <v>180</v>
      </c>
    </row>
    <row r="28">
      <c r="A28" t="inlineStr">
        <is>
          <t>FM - OSTBERG</t>
        </is>
      </c>
      <c r="B28" t="n">
        <v>10</v>
      </c>
      <c r="C28" t="n">
        <v>3</v>
      </c>
      <c r="D28" t="n">
        <v>118</v>
      </c>
    </row>
    <row r="29">
      <c r="A29" t="inlineStr">
        <is>
          <t>FM - PAINTING</t>
        </is>
      </c>
      <c r="B29" t="n">
        <v>1</v>
      </c>
      <c r="C29" t="n">
        <v>0</v>
      </c>
      <c r="D29" t="n">
        <v>2</v>
      </c>
    </row>
    <row r="30">
      <c r="A30" t="inlineStr">
        <is>
          <t>FM - SHEET</t>
        </is>
      </c>
      <c r="B30" t="n">
        <v>1</v>
      </c>
      <c r="C30" t="n">
        <v>1</v>
      </c>
      <c r="D30" t="n">
        <v>0</v>
      </c>
    </row>
    <row r="31">
      <c r="A31" t="inlineStr">
        <is>
          <t>FM - SODECA</t>
        </is>
      </c>
      <c r="B31" t="n">
        <v>93</v>
      </c>
      <c r="C31" t="n">
        <v>794</v>
      </c>
      <c r="D31" t="n">
        <v>1298</v>
      </c>
    </row>
    <row r="32">
      <c r="A32" t="inlineStr">
        <is>
          <t>FM - UNIFORM</t>
        </is>
      </c>
      <c r="B32" t="n">
        <v>5</v>
      </c>
      <c r="C32" t="n">
        <v>15</v>
      </c>
      <c r="D32" t="n">
        <v>0</v>
      </c>
    </row>
    <row r="33">
      <c r="A33" t="inlineStr">
        <is>
          <t>FM - VORTICE</t>
        </is>
      </c>
      <c r="B33" t="n">
        <v>86</v>
      </c>
      <c r="C33" t="n">
        <v>1471</v>
      </c>
      <c r="D33" t="n">
        <v>1903</v>
      </c>
    </row>
    <row r="34">
      <c r="A34" t="inlineStr">
        <is>
          <t>FREIGHT</t>
        </is>
      </c>
      <c r="B34" t="n">
        <v>1</v>
      </c>
      <c r="C34" t="n">
        <v>1</v>
      </c>
      <c r="D34" t="n">
        <v>0</v>
      </c>
    </row>
    <row r="35">
      <c r="A35" t="inlineStr">
        <is>
          <t>IMPELLER</t>
        </is>
      </c>
      <c r="B35" t="n">
        <v>6</v>
      </c>
      <c r="C35" t="n">
        <v>8</v>
      </c>
      <c r="D35" t="n">
        <v>0</v>
      </c>
    </row>
    <row r="36">
      <c r="A36" t="inlineStr">
        <is>
          <t>M/FEET</t>
        </is>
      </c>
      <c r="B36" t="n">
        <v>5</v>
      </c>
      <c r="C36" t="n">
        <v>11</v>
      </c>
      <c r="D36" t="n">
        <v>34</v>
      </c>
    </row>
    <row r="37">
      <c r="A37" t="inlineStr">
        <is>
          <t>MOTOR FLANGE</t>
        </is>
      </c>
      <c r="B37" t="n">
        <v>1</v>
      </c>
      <c r="C37" t="n">
        <v>1</v>
      </c>
      <c r="D37" t="n">
        <v>0</v>
      </c>
    </row>
    <row r="38">
      <c r="A38" t="inlineStr">
        <is>
          <t>MOTORS</t>
        </is>
      </c>
      <c r="B38" t="n">
        <v>4</v>
      </c>
      <c r="C38" t="n">
        <v>6</v>
      </c>
      <c r="D38" t="n">
        <v>2</v>
      </c>
    </row>
    <row r="39">
      <c r="A39" t="inlineStr">
        <is>
          <t>PACKAGING</t>
        </is>
      </c>
      <c r="B39" t="n">
        <v>1</v>
      </c>
      <c r="C39" t="n">
        <v>1</v>
      </c>
      <c r="D39" t="n">
        <v>0</v>
      </c>
    </row>
    <row r="40">
      <c r="A40" t="inlineStr">
        <is>
          <t>PLATE</t>
        </is>
      </c>
      <c r="B40" t="n">
        <v>1</v>
      </c>
      <c r="C40" t="n">
        <v>5</v>
      </c>
      <c r="D40" t="n">
        <v>0</v>
      </c>
    </row>
    <row r="41">
      <c r="A41" t="inlineStr">
        <is>
          <t>Roof Fans</t>
        </is>
      </c>
      <c r="B41" t="n">
        <v>1</v>
      </c>
      <c r="C41" t="n">
        <v>4</v>
      </c>
      <c r="D41" t="n">
        <v>4</v>
      </c>
    </row>
    <row r="42">
      <c r="A42" t="inlineStr">
        <is>
          <t>Sodeca</t>
        </is>
      </c>
      <c r="B42" t="n">
        <v>2</v>
      </c>
      <c r="C42" t="n">
        <v>6</v>
      </c>
      <c r="D42" t="n">
        <v>7</v>
      </c>
    </row>
    <row r="43">
      <c r="A43" t="inlineStr">
        <is>
          <t>Uncategorized</t>
        </is>
      </c>
      <c r="B43" t="n">
        <v>705</v>
      </c>
      <c r="C43" t="n">
        <v>102462.46</v>
      </c>
      <c r="D43" t="n">
        <v>2391</v>
      </c>
    </row>
    <row r="44">
      <c r="A44" t="inlineStr">
        <is>
          <t>VSD</t>
        </is>
      </c>
      <c r="B44" t="n">
        <v>4</v>
      </c>
      <c r="C44" t="n">
        <v>0</v>
      </c>
      <c r="D44" t="n">
        <v>9</v>
      </c>
    </row>
    <row r="45">
      <c r="A45" t="inlineStr">
        <is>
          <t>Vents</t>
        </is>
      </c>
      <c r="B45" t="n">
        <v>5</v>
      </c>
      <c r="C45" t="n">
        <v>0</v>
      </c>
      <c r="D45" t="n">
        <v>128</v>
      </c>
    </row>
    <row r="46">
      <c r="A46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1600IC</t>
        </is>
      </c>
      <c r="B2" t="inlineStr">
        <is>
          <t>1600 Dia Inlet Cone</t>
        </is>
      </c>
      <c r="C2" t="inlineStr"/>
      <c r="D2" t="inlineStr">
        <is>
          <t>Accessories</t>
        </is>
      </c>
      <c r="E2" s="1" t="n">
        <v>0</v>
      </c>
      <c r="F2" t="n">
        <v>1</v>
      </c>
      <c r="G2" t="n">
        <v>0</v>
      </c>
      <c r="H2" t="n">
        <v>5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AWSL/1/1000X500/OP/0/P1/</t>
        </is>
      </c>
      <c r="B3" t="inlineStr">
        <is>
          <t>1000 X 500</t>
        </is>
      </c>
      <c r="C3" t="inlineStr">
        <is>
          <t>TROX South Africa (Pty) Ltd</t>
        </is>
      </c>
      <c r="D3" t="inlineStr">
        <is>
          <t>Accessories</t>
        </is>
      </c>
      <c r="E3" s="1" t="n">
        <v>3264</v>
      </c>
      <c r="F3" t="n">
        <v>2</v>
      </c>
      <c r="G3" t="n">
        <v>0</v>
      </c>
      <c r="H3" t="n">
        <v>6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Disc Valve</t>
        </is>
      </c>
      <c r="B4" t="inlineStr">
        <is>
          <t>100 Diam</t>
        </is>
      </c>
      <c r="C4" t="inlineStr"/>
      <c r="D4" t="inlineStr">
        <is>
          <t>Accessories</t>
        </is>
      </c>
      <c r="E4" s="1" t="n">
        <v>0</v>
      </c>
      <c r="F4" t="n">
        <v>9</v>
      </c>
      <c r="G4" t="n">
        <v>0</v>
      </c>
      <c r="H4" t="n">
        <v>45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GRM350</t>
        </is>
      </c>
      <c r="B5" t="inlineStr">
        <is>
          <t>Shutter PVC Gravity for 250mmFan S/Frame</t>
        </is>
      </c>
      <c r="C5" t="inlineStr">
        <is>
          <t>Luft Industries Natal (Pty) Ltd</t>
        </is>
      </c>
      <c r="D5" t="inlineStr">
        <is>
          <t>Accessories</t>
        </is>
      </c>
      <c r="E5" s="1" t="n">
        <v>503.25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M6X20X2</t>
        </is>
      </c>
      <c r="B6" t="inlineStr">
        <is>
          <t>M6x20x2 - Flat Washer Zinc Blue</t>
        </is>
      </c>
      <c r="C6" t="inlineStr">
        <is>
          <t>M&amp;D SPECIALISED FASTENERS (PTY) LTD</t>
        </is>
      </c>
      <c r="D6" t="inlineStr">
        <is>
          <t>Accessories</t>
        </is>
      </c>
      <c r="E6" s="1" t="n">
        <v>0.3</v>
      </c>
      <c r="F6" t="n">
        <v>114</v>
      </c>
      <c r="G6" t="n">
        <v>0</v>
      </c>
      <c r="H6" t="n">
        <v>572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Non-Taxable Extra's</t>
        </is>
      </c>
      <c r="B7" t="inlineStr">
        <is>
          <t>Non-Taxable Extra's</t>
        </is>
      </c>
      <c r="C7" t="inlineStr">
        <is>
          <t>Egoli Auto (Pty) Ltd t/a Mahindra JHB South</t>
        </is>
      </c>
      <c r="D7" t="inlineStr">
        <is>
          <t>Accessories</t>
        </is>
      </c>
      <c r="E7" s="1" t="n">
        <v>1950</v>
      </c>
      <c r="F7" t="n">
        <v>1</v>
      </c>
      <c r="G7" t="n">
        <v>0</v>
      </c>
      <c r="H7" t="n">
        <v>5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Copper Cut</t>
        </is>
      </c>
      <c r="B2" t="inlineStr">
        <is>
          <t>Copper Sheet (2000 x 1000 x 1.5mm) cut strips of 120mm across 2m length</t>
        </is>
      </c>
      <c r="C2" t="inlineStr">
        <is>
          <t>Airtec Fans &amp; Engineering</t>
        </is>
      </c>
      <c r="D2" t="inlineStr">
        <is>
          <t>BENDING/CUTTING</t>
        </is>
      </c>
      <c r="E2" s="1" t="n">
        <v>62.5</v>
      </c>
      <c r="F2" t="n">
        <v>4</v>
      </c>
      <c r="G2" t="n">
        <v>0</v>
      </c>
      <c r="H2" t="n">
        <v>16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1250CF</t>
        </is>
      </c>
      <c r="B2" t="inlineStr">
        <is>
          <t>1250 Diam Counter Flange</t>
        </is>
      </c>
      <c r="C2" t="inlineStr">
        <is>
          <t>Air Speration</t>
        </is>
      </c>
      <c r="D2" t="inlineStr">
        <is>
          <t>C/FLANGE</t>
        </is>
      </c>
      <c r="E2" s="1" t="n">
        <v>534.83</v>
      </c>
      <c r="F2" t="n">
        <v>1</v>
      </c>
      <c r="G2" t="n">
        <v>0</v>
      </c>
      <c r="H2" t="n">
        <v>3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1600CF</t>
        </is>
      </c>
      <c r="B3" t="inlineStr">
        <is>
          <t>1600 Diam Counter Flange</t>
        </is>
      </c>
      <c r="C3" t="inlineStr">
        <is>
          <t>Air Speration</t>
        </is>
      </c>
      <c r="D3" t="inlineStr">
        <is>
          <t>C/FLANGE</t>
        </is>
      </c>
      <c r="E3" s="1" t="n">
        <v>1358.93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450CF</t>
        </is>
      </c>
      <c r="B4" t="inlineStr">
        <is>
          <t>450 Diam Counter Flange</t>
        </is>
      </c>
      <c r="C4" t="inlineStr"/>
      <c r="D4" t="inlineStr">
        <is>
          <t>C/FLANGE</t>
        </is>
      </c>
      <c r="E4" s="1" t="n">
        <v>0</v>
      </c>
      <c r="F4" t="n">
        <v>1</v>
      </c>
      <c r="G4" t="n">
        <v>0</v>
      </c>
      <c r="H4" t="n">
        <v>5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460CF</t>
        </is>
      </c>
      <c r="B5" t="inlineStr">
        <is>
          <t>460 Diam Counter Flanges</t>
        </is>
      </c>
      <c r="C5" t="inlineStr">
        <is>
          <t>GALVAGLOW (PTY) LTD</t>
        </is>
      </c>
      <c r="D5" t="inlineStr">
        <is>
          <t>C/FLANGE</t>
        </is>
      </c>
      <c r="E5" s="1" t="n">
        <v>0</v>
      </c>
      <c r="F5" t="n">
        <v>1</v>
      </c>
      <c r="G5" t="n">
        <v>0</v>
      </c>
      <c r="H5" t="n">
        <v>5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2450x1225x3mm</t>
        </is>
      </c>
      <c r="B2" t="inlineStr">
        <is>
          <t>HR Sheet SAE1008 2450x1225x3</t>
        </is>
      </c>
      <c r="C2" t="inlineStr">
        <is>
          <t>NJR STEEL - ALRODE (PTY) LTD</t>
        </is>
      </c>
      <c r="D2" t="inlineStr">
        <is>
          <t>CASING</t>
        </is>
      </c>
      <c r="E2" s="1" t="n">
        <v>1067.28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C315x315UG</t>
        </is>
      </c>
      <c r="B3" t="inlineStr">
        <is>
          <t>Casing size 315diamx315-Ungalvanised</t>
        </is>
      </c>
      <c r="C3" t="inlineStr">
        <is>
          <t>TS TELEKI T/A VENT SYSTEM AND PROJECTS</t>
        </is>
      </c>
      <c r="D3" t="inlineStr">
        <is>
          <t>CASING</t>
        </is>
      </c>
      <c r="E3" s="1" t="n">
        <v>594.72</v>
      </c>
      <c r="F3" t="n">
        <v>3</v>
      </c>
      <c r="G3" t="n">
        <v>0</v>
      </c>
      <c r="H3" t="n">
        <v>15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C400x400UG</t>
        </is>
      </c>
      <c r="B4" t="inlineStr">
        <is>
          <t>Casing Size 400diamx400-Ungalvanised</t>
        </is>
      </c>
      <c r="C4" t="inlineStr">
        <is>
          <t>TS TELEKI T/A VENT SYSTEM AND PROJECTS</t>
        </is>
      </c>
      <c r="D4" t="inlineStr">
        <is>
          <t>CASING</t>
        </is>
      </c>
      <c r="E4" s="1" t="n">
        <v>849.6</v>
      </c>
      <c r="F4" t="n">
        <v>2</v>
      </c>
      <c r="G4" t="n">
        <v>0</v>
      </c>
      <c r="H4" t="n">
        <v>10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C500x400UG</t>
        </is>
      </c>
      <c r="B5" t="inlineStr">
        <is>
          <t>Casing Size 500diamx400-Ungalvanised</t>
        </is>
      </c>
      <c r="C5" t="inlineStr">
        <is>
          <t>TS TELEKI T/A VENT SYSTEM AND PROJECTS</t>
        </is>
      </c>
      <c r="D5" t="inlineStr">
        <is>
          <t>CASING</t>
        </is>
      </c>
      <c r="E5" s="1" t="n">
        <v>1019.75</v>
      </c>
      <c r="F5" t="n">
        <v>3</v>
      </c>
      <c r="G5" t="n">
        <v>0</v>
      </c>
      <c r="H5" t="n">
        <v>15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C560x400UG</t>
        </is>
      </c>
      <c r="B6" t="inlineStr">
        <is>
          <t>Casing size 560diamx400-Ungalvanised</t>
        </is>
      </c>
      <c r="C6" t="inlineStr">
        <is>
          <t>TS TELEKI T/A VENT SYSTEM AND PROJECTS</t>
        </is>
      </c>
      <c r="D6" t="inlineStr">
        <is>
          <t>CASING</t>
        </is>
      </c>
      <c r="E6" s="1" t="n">
        <v>1180.84</v>
      </c>
      <c r="F6" t="n">
        <v>1</v>
      </c>
      <c r="G6" t="n">
        <v>0</v>
      </c>
      <c r="H6" t="n">
        <v>5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C630x400UG</t>
        </is>
      </c>
      <c r="B7" t="inlineStr">
        <is>
          <t>Casing Size 630diamx400-Ungalvanised</t>
        </is>
      </c>
      <c r="C7" t="inlineStr">
        <is>
          <t>TS TELEKI T/A VENT SYSTEM AND PROJECTS</t>
        </is>
      </c>
      <c r="D7" t="inlineStr">
        <is>
          <t>CASING</t>
        </is>
      </c>
      <c r="E7" s="1" t="n">
        <v>1402.45</v>
      </c>
      <c r="F7" t="n">
        <v>2</v>
      </c>
      <c r="G7" t="n">
        <v>0</v>
      </c>
      <c r="H7" t="n">
        <v>10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C710x400UG</t>
        </is>
      </c>
      <c r="B8" t="inlineStr">
        <is>
          <t>Casing Size 710diamx400-Ungalvanised</t>
        </is>
      </c>
      <c r="C8" t="inlineStr">
        <is>
          <t>TS TELEKI T/A VENT SYSTEM AND PROJECTS</t>
        </is>
      </c>
      <c r="D8" t="inlineStr">
        <is>
          <t>CASING</t>
        </is>
      </c>
      <c r="E8" s="1" t="n">
        <v>1505.57</v>
      </c>
      <c r="F8" t="n">
        <v>2</v>
      </c>
      <c r="G8" t="n">
        <v>0</v>
      </c>
      <c r="H8" t="n">
        <v>10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C800x400UG</t>
        </is>
      </c>
      <c r="B9" t="inlineStr">
        <is>
          <t>Casing Size 800diamx400-Ungalvanised</t>
        </is>
      </c>
      <c r="C9" t="inlineStr">
        <is>
          <t>TS TELEKI T/A VENT SYSTEM AND PROJECTS</t>
        </is>
      </c>
      <c r="D9" t="inlineStr">
        <is>
          <t>CASING</t>
        </is>
      </c>
      <c r="E9" s="1" t="n">
        <v>2044.2</v>
      </c>
      <c r="F9" t="n">
        <v>2</v>
      </c>
      <c r="G9" t="n">
        <v>0</v>
      </c>
      <c r="H9" t="n">
        <v>10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C800x500FM</t>
        </is>
      </c>
      <c r="B10" t="inlineStr">
        <is>
          <t>Casing Size 800diamx500 Foot Mount</t>
        </is>
      </c>
      <c r="C10" t="inlineStr">
        <is>
          <t>GALVAGLOW (PTY) LTD</t>
        </is>
      </c>
      <c r="D10" t="inlineStr">
        <is>
          <t>CASING</t>
        </is>
      </c>
      <c r="E10" s="1" t="n">
        <v>0</v>
      </c>
      <c r="F10" t="n">
        <v>1</v>
      </c>
      <c r="G10" t="n">
        <v>0</v>
      </c>
      <c r="H10" t="n">
        <v>5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C965x740</t>
        </is>
      </c>
      <c r="B11" t="inlineStr">
        <is>
          <t>Casing Size 965diam x 740Long</t>
        </is>
      </c>
      <c r="C11" t="inlineStr">
        <is>
          <t>GALVAGLOW (PTY) LTD</t>
        </is>
      </c>
      <c r="D11" t="inlineStr">
        <is>
          <t>CASING</t>
        </is>
      </c>
      <c r="E11" s="1" t="n">
        <v>0</v>
      </c>
      <c r="F11" t="n">
        <v>1</v>
      </c>
      <c r="G11" t="n">
        <v>0</v>
      </c>
      <c r="H11" t="n">
        <v>5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Laser Cutting</t>
        </is>
      </c>
      <c r="B12" t="inlineStr">
        <is>
          <t>Fans Casing</t>
        </is>
      </c>
      <c r="C12" t="inlineStr">
        <is>
          <t>ULTIMATENG (PTY) LTD</t>
        </is>
      </c>
      <c r="D12" t="inlineStr">
        <is>
          <t>CASING</t>
        </is>
      </c>
      <c r="E12" s="1" t="n">
        <v>1904.5</v>
      </c>
      <c r="F12" t="n">
        <v>3</v>
      </c>
      <c r="G12" t="n">
        <v>0</v>
      </c>
      <c r="H12" t="n">
        <v>14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Laser Cutting-S</t>
        </is>
      </c>
      <c r="B13" t="inlineStr">
        <is>
          <t>Strips</t>
        </is>
      </c>
      <c r="C13" t="inlineStr">
        <is>
          <t>ULTIMATENG (PTY) LTD</t>
        </is>
      </c>
      <c r="D13" t="inlineStr">
        <is>
          <t>CASING</t>
        </is>
      </c>
      <c r="E13" s="1" t="n">
        <v>0</v>
      </c>
      <c r="F13" t="n">
        <v>1</v>
      </c>
      <c r="G13" t="n">
        <v>0</v>
      </c>
      <c r="H13" t="n">
        <v>5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101430</t>
        </is>
      </c>
      <c r="B2" t="inlineStr">
        <is>
          <t>SOAP STONE (1 Box = 144 or ea)</t>
        </is>
      </c>
      <c r="C2" t="inlineStr">
        <is>
          <t>INTROWELD CC</t>
        </is>
      </c>
      <c r="D2" t="inlineStr">
        <is>
          <t>CONSUMABLES</t>
        </is>
      </c>
      <c r="E2" s="1" t="n">
        <v>2.85</v>
      </c>
      <c r="F2" t="n">
        <v>86</v>
      </c>
      <c r="G2" t="n">
        <v>0</v>
      </c>
      <c r="H2" t="n">
        <v>374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AIR HOSE 1M</t>
        </is>
      </c>
      <c r="B3" t="inlineStr">
        <is>
          <t>AIR HOSE 8MM</t>
        </is>
      </c>
      <c r="C3" t="inlineStr">
        <is>
          <t>MG AUTO PAINT (PTY) LTD</t>
        </is>
      </c>
      <c r="D3" t="inlineStr">
        <is>
          <t>CONSUMABLES</t>
        </is>
      </c>
      <c r="E3" s="1" t="n">
        <v>30.43</v>
      </c>
      <c r="F3" t="n">
        <v>5</v>
      </c>
      <c r="G3" t="n">
        <v>0</v>
      </c>
      <c r="H3" t="n">
        <v>25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CLAMP</t>
        </is>
      </c>
      <c r="B4" t="inlineStr">
        <is>
          <t>CLAMP</t>
        </is>
      </c>
      <c r="C4" t="inlineStr">
        <is>
          <t>MG AUTO PAINT (PTY) LTD</t>
        </is>
      </c>
      <c r="D4" t="inlineStr">
        <is>
          <t>CONSUMABLES</t>
        </is>
      </c>
      <c r="E4" s="1" t="n">
        <v>4.35</v>
      </c>
      <c r="F4" t="n">
        <v>2</v>
      </c>
      <c r="G4" t="n">
        <v>0</v>
      </c>
      <c r="H4" t="n">
        <v>10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COUP SET</t>
        </is>
      </c>
      <c r="B5" t="inlineStr">
        <is>
          <t>COUPLER SET CARLA</t>
        </is>
      </c>
      <c r="C5" t="inlineStr">
        <is>
          <t>MG AUTO PAINT (PTY) LTD</t>
        </is>
      </c>
      <c r="D5" t="inlineStr">
        <is>
          <t>CONSUMABLES</t>
        </is>
      </c>
      <c r="E5" s="1" t="n">
        <v>86.95999999999999</v>
      </c>
      <c r="F5" t="n">
        <v>1</v>
      </c>
      <c r="G5" t="n">
        <v>0</v>
      </c>
      <c r="H5" t="n">
        <v>5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G028</t>
        </is>
      </c>
      <c r="B6" t="inlineStr">
        <is>
          <t>8 RED HEAT RESISTANT GLOVES</t>
        </is>
      </c>
      <c r="C6" t="inlineStr">
        <is>
          <t>INTROWELD CC</t>
        </is>
      </c>
      <c r="D6" t="inlineStr">
        <is>
          <t>CONSUMABLES</t>
        </is>
      </c>
      <c r="E6" s="1" t="n">
        <v>69</v>
      </c>
      <c r="F6" t="n">
        <v>1</v>
      </c>
      <c r="G6" t="n">
        <v>0</v>
      </c>
      <c r="H6" t="n">
        <v>5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GUN H827P</t>
        </is>
      </c>
      <c r="B7" t="inlineStr">
        <is>
          <t>SPRAY GUN H827P BULLDOG</t>
        </is>
      </c>
      <c r="C7" t="inlineStr">
        <is>
          <t>MG AUTO PAINT (PTY) LTD</t>
        </is>
      </c>
      <c r="D7" t="inlineStr">
        <is>
          <t>CONSUMABLES</t>
        </is>
      </c>
      <c r="E7" s="1" t="n">
        <v>521.74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Laser Cutting-P5</t>
        </is>
      </c>
      <c r="B8" t="inlineStr">
        <is>
          <t>Program 5</t>
        </is>
      </c>
      <c r="C8" t="inlineStr">
        <is>
          <t>ULTIMATENG (PTY) LTD</t>
        </is>
      </c>
      <c r="D8" t="inlineStr">
        <is>
          <t>CONSUMABLES</t>
        </is>
      </c>
      <c r="E8" s="1" t="n">
        <v>3100</v>
      </c>
      <c r="F8" t="n">
        <v>1</v>
      </c>
      <c r="G8" t="n">
        <v>0</v>
      </c>
      <c r="H8" t="n">
        <v>3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Laser Cutting-P6</t>
        </is>
      </c>
      <c r="B9" t="inlineStr">
        <is>
          <t>Program 6</t>
        </is>
      </c>
      <c r="C9" t="inlineStr">
        <is>
          <t>ULTIMATENG (PTY) LTD</t>
        </is>
      </c>
      <c r="D9" t="inlineStr">
        <is>
          <t>CONSUMABLES</t>
        </is>
      </c>
      <c r="E9" s="1" t="n">
        <v>4545</v>
      </c>
      <c r="F9" t="n">
        <v>1</v>
      </c>
      <c r="G9" t="n">
        <v>0</v>
      </c>
      <c r="H9" t="n">
        <v>5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M12*20(S/S)</t>
        </is>
      </c>
      <c r="B10" t="inlineStr">
        <is>
          <t>M12*20 HEX SET SCREWS S/S 304 A2</t>
        </is>
      </c>
      <c r="C10" t="inlineStr"/>
      <c r="D10" t="inlineStr">
        <is>
          <t>CONSUMABLES</t>
        </is>
      </c>
      <c r="E10" s="1" t="n">
        <v>6</v>
      </c>
      <c r="F10" t="n">
        <v>75</v>
      </c>
      <c r="G10" t="n">
        <v>0</v>
      </c>
      <c r="H10" t="n">
        <v>375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M13X40X3</t>
        </is>
      </c>
      <c r="B11" t="inlineStr">
        <is>
          <t>M13X40X3</t>
        </is>
      </c>
      <c r="C11" t="inlineStr"/>
      <c r="D11" t="inlineStr">
        <is>
          <t>CONSUMABLES</t>
        </is>
      </c>
      <c r="E11" s="1" t="n">
        <v>1.15</v>
      </c>
      <c r="F11" t="n">
        <v>100</v>
      </c>
      <c r="G11" t="n">
        <v>0</v>
      </c>
      <c r="H11" t="n">
        <v>500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M16*20(S/S)</t>
        </is>
      </c>
      <c r="B12" t="inlineStr">
        <is>
          <t>M16*20 Hex Set Screws A2</t>
        </is>
      </c>
      <c r="C12" t="inlineStr"/>
      <c r="D12" t="inlineStr">
        <is>
          <t>CONSUMABLES</t>
        </is>
      </c>
      <c r="E12" s="1" t="n">
        <v>11</v>
      </c>
      <c r="F12" t="n">
        <v>42</v>
      </c>
      <c r="G12" t="n">
        <v>0</v>
      </c>
      <c r="H12" t="n">
        <v>212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M16*25(S/S)</t>
        </is>
      </c>
      <c r="B13" t="inlineStr">
        <is>
          <t>M16*25 A2 HEX SET SCREW 933 A2</t>
        </is>
      </c>
      <c r="C13" t="inlineStr"/>
      <c r="D13" t="inlineStr">
        <is>
          <t>CONSUMABLES</t>
        </is>
      </c>
      <c r="E13" s="1" t="n">
        <v>11</v>
      </c>
      <c r="F13" t="n">
        <v>32</v>
      </c>
      <c r="G13" t="n">
        <v>0</v>
      </c>
      <c r="H13" t="n">
        <v>162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M5-ROD</t>
        </is>
      </c>
      <c r="B14" t="inlineStr">
        <is>
          <t>M5 Threaded Rod</t>
        </is>
      </c>
      <c r="C14" t="inlineStr">
        <is>
          <t>M&amp;D SPECIALISED FASTENERS (PTY) LTD</t>
        </is>
      </c>
      <c r="D14" t="inlineStr">
        <is>
          <t>CONSUMABLES</t>
        </is>
      </c>
      <c r="E14" s="1" t="n">
        <v>15</v>
      </c>
      <c r="F14" t="n">
        <v>1</v>
      </c>
      <c r="G14" t="n">
        <v>0</v>
      </c>
      <c r="H14" t="n">
        <v>2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M6X1</t>
        </is>
      </c>
      <c r="B15" t="inlineStr">
        <is>
          <t>M6*1 M/S THREADED ROD Z/BLUE - 6*1 975 ZB</t>
        </is>
      </c>
      <c r="C15" t="inlineStr">
        <is>
          <t>M&amp;D SPECIALISED FASTENERS (PTY) LTD</t>
        </is>
      </c>
      <c r="D15" t="inlineStr">
        <is>
          <t>CONSUMABLES</t>
        </is>
      </c>
      <c r="E15" s="1" t="n">
        <v>16</v>
      </c>
      <c r="F15" t="n">
        <v>1</v>
      </c>
      <c r="G15" t="n">
        <v>0</v>
      </c>
      <c r="H15" t="n">
        <v>2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M6X16</t>
        </is>
      </c>
      <c r="B16" t="inlineStr">
        <is>
          <t>GRUB SCREW</t>
        </is>
      </c>
      <c r="C16" t="inlineStr">
        <is>
          <t>M&amp;D SPECIALISED FASTENERS (PTY) LTD</t>
        </is>
      </c>
      <c r="D16" t="inlineStr">
        <is>
          <t>CONSUMABLES</t>
        </is>
      </c>
      <c r="E16" s="1" t="n">
        <v>0.65</v>
      </c>
      <c r="F16" t="n">
        <v>17</v>
      </c>
      <c r="G16" t="n">
        <v>0</v>
      </c>
      <c r="H16" t="n">
        <v>85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M6X16 COUNTER SUNK</t>
        </is>
      </c>
      <c r="B17" t="inlineStr">
        <is>
          <t>M6X16 COUNTER SUNK BOLTS - Allen key screw in - Zinc blue</t>
        </is>
      </c>
      <c r="C17" t="inlineStr">
        <is>
          <t>M&amp;D SPECIALISED FASTENERS (PTY) LTD</t>
        </is>
      </c>
      <c r="D17" t="inlineStr">
        <is>
          <t>CONSUMABLES</t>
        </is>
      </c>
      <c r="E17" s="1" t="n">
        <v>1.2</v>
      </c>
      <c r="F17" t="n">
        <v>20</v>
      </c>
      <c r="G17" t="n">
        <v>0</v>
      </c>
      <c r="H17" t="n">
        <v>100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M6X16 COUNTER SUNK-MACH</t>
        </is>
      </c>
      <c r="B18" t="inlineStr">
        <is>
          <t>M6X16 COUNTER SUNK BOLTS - Machine screw in - zinc blue</t>
        </is>
      </c>
      <c r="C18" t="inlineStr">
        <is>
          <t>M&amp;D SPECIALISED FASTENERS (PTY) LTD</t>
        </is>
      </c>
      <c r="D18" t="inlineStr">
        <is>
          <t>CONSUMABLES</t>
        </is>
      </c>
      <c r="E18" s="1" t="n">
        <v>0.15</v>
      </c>
      <c r="F18" t="n">
        <v>20</v>
      </c>
      <c r="G18" t="n">
        <v>0</v>
      </c>
      <c r="H18" t="n">
        <v>100</v>
      </c>
      <c r="I18" t="n">
        <v>0</v>
      </c>
      <c r="J18" t="n">
        <v>0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QD GP 25LT</t>
        </is>
      </c>
      <c r="B19" t="inlineStr">
        <is>
          <t>QD GREY PRIMER 25LT</t>
        </is>
      </c>
      <c r="C19" t="inlineStr">
        <is>
          <t>MG AUTO PAINT (PTY) LTD</t>
        </is>
      </c>
      <c r="D19" t="inlineStr">
        <is>
          <t>CONSUMABLES</t>
        </is>
      </c>
      <c r="E19" s="1" t="n">
        <v>1173.91</v>
      </c>
      <c r="F19" t="n">
        <v>1</v>
      </c>
      <c r="G19" t="n">
        <v>0</v>
      </c>
      <c r="H19" t="n">
        <v>2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QD MIX 25LT</t>
        </is>
      </c>
      <c r="B20" t="inlineStr">
        <is>
          <t>QD MIX 25LT MINES GREY</t>
        </is>
      </c>
      <c r="C20" t="inlineStr">
        <is>
          <t>MG AUTO PAINT (PTY) LTD</t>
        </is>
      </c>
      <c r="D20" t="inlineStr">
        <is>
          <t>CONSUMABLES</t>
        </is>
      </c>
      <c r="E20" s="1" t="n">
        <v>1691.3</v>
      </c>
      <c r="F20" t="n">
        <v>1</v>
      </c>
      <c r="G20" t="n">
        <v>0</v>
      </c>
      <c r="H20" t="n">
        <v>2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REPAIR-BLADE</t>
        </is>
      </c>
      <c r="B21" t="inlineStr">
        <is>
          <t>315 X 70 Wide Radical Bladed Fan - Existing Inlet ring removed - New one Manufactured &amp; re-assembled</t>
        </is>
      </c>
      <c r="C21" t="inlineStr">
        <is>
          <t>Airtec Fans &amp; Engineering</t>
        </is>
      </c>
      <c r="D21" t="inlineStr">
        <is>
          <t>CONSUMABLES</t>
        </is>
      </c>
      <c r="E21" s="1" t="n">
        <v>1625</v>
      </c>
      <c r="F21" t="n">
        <v>1</v>
      </c>
      <c r="G21" t="n">
        <v>0</v>
      </c>
      <c r="H21" t="n">
        <v>2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SCOTCH BRI G</t>
        </is>
      </c>
      <c r="B22" t="inlineStr">
        <is>
          <t>SCOTCH BRITE GREY BULLDOG</t>
        </is>
      </c>
      <c r="C22" t="inlineStr">
        <is>
          <t>MG AUTO PAINT (PTY) LTD</t>
        </is>
      </c>
      <c r="D22" t="inlineStr">
        <is>
          <t>CONSUMABLES</t>
        </is>
      </c>
      <c r="E22" s="1" t="n">
        <v>26.09</v>
      </c>
      <c r="F22" t="n">
        <v>5</v>
      </c>
      <c r="G22" t="n">
        <v>0</v>
      </c>
      <c r="H22" t="n">
        <v>25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TF5PUR/C</t>
        </is>
      </c>
      <c r="B23" t="inlineStr">
        <is>
          <t>TF5PUR/C - Fixed Castor 125mm</t>
        </is>
      </c>
      <c r="C23" t="inlineStr">
        <is>
          <t>Caslad Agencies CC</t>
        </is>
      </c>
      <c r="D23" t="inlineStr">
        <is>
          <t>CONSUMABLES</t>
        </is>
      </c>
      <c r="E23" s="1" t="n">
        <v>253</v>
      </c>
      <c r="F23" t="n">
        <v>1</v>
      </c>
      <c r="G23" t="n">
        <v>0</v>
      </c>
      <c r="H23" t="n">
        <v>5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TS5PUR/BK</t>
        </is>
      </c>
      <c r="B24" t="inlineStr">
        <is>
          <t>TS5PUR/BK - 125mm Brake Castor</t>
        </is>
      </c>
      <c r="C24" t="inlineStr">
        <is>
          <t>Caslad Agencies CC</t>
        </is>
      </c>
      <c r="D24" t="inlineStr">
        <is>
          <t>CONSUMABLES</t>
        </is>
      </c>
      <c r="E24" s="1" t="n">
        <v>350</v>
      </c>
      <c r="F24" t="n">
        <v>1</v>
      </c>
      <c r="G24" t="n">
        <v>0</v>
      </c>
      <c r="H24" t="n">
        <v>5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PINE-S5</t>
        </is>
      </c>
      <c r="B2" t="inlineStr">
        <is>
          <t>PINE - S5 38X114X6.0M</t>
        </is>
      </c>
      <c r="C2" t="inlineStr">
        <is>
          <t>Foresta Timber &amp; Board (Pty) Ltd</t>
        </is>
      </c>
      <c r="D2" t="inlineStr">
        <is>
          <t>CRATING</t>
        </is>
      </c>
      <c r="E2" s="1" t="n">
        <v>153</v>
      </c>
      <c r="F2" t="n">
        <v>5</v>
      </c>
      <c r="G2" t="n">
        <v>0</v>
      </c>
      <c r="H2" t="n">
        <v>25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TCOVER</t>
        </is>
      </c>
      <c r="B2" t="inlineStr">
        <is>
          <t>ROPE TIE DOWN - TONNEAU COVER - MAHINDRA SINGLE CAB</t>
        </is>
      </c>
      <c r="C2" t="inlineStr">
        <is>
          <t>TONNEAU COVER MASTERS</t>
        </is>
      </c>
      <c r="D2" t="inlineStr">
        <is>
          <t>Car accessories</t>
        </is>
      </c>
      <c r="E2" s="1" t="n">
        <v>1700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.30 Duct</t>
        </is>
      </c>
      <c r="B2" t="inlineStr">
        <is>
          <t>300mm Diameter-10 meter Long</t>
        </is>
      </c>
      <c r="C2" t="inlineStr">
        <is>
          <t>Luft Industries Natal (Pty) Ltd</t>
        </is>
      </c>
      <c r="D2" t="inlineStr">
        <is>
          <t>DUCT</t>
        </is>
      </c>
      <c r="E2" s="1" t="n">
        <v>1500</v>
      </c>
      <c r="F2" t="n">
        <v>1</v>
      </c>
      <c r="G2" t="n">
        <v>0</v>
      </c>
      <c r="H2" t="n">
        <v>6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1501</t>
        </is>
      </c>
      <c r="B2" t="inlineStr">
        <is>
          <t>ARCAL SPEED 50L CYLINDER 17.5KG</t>
        </is>
      </c>
      <c r="C2" t="inlineStr">
        <is>
          <t>INTROWELD CC</t>
        </is>
      </c>
      <c r="D2" t="inlineStr">
        <is>
          <t>FABRICATION</t>
        </is>
      </c>
      <c r="E2" s="1" t="n">
        <v>1130.43</v>
      </c>
      <c r="F2" t="n">
        <v>1</v>
      </c>
      <c r="G2" t="n">
        <v>0</v>
      </c>
      <c r="H2" t="n">
        <v>5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2450x1225x2mm</t>
        </is>
      </c>
      <c r="B3" t="inlineStr">
        <is>
          <t>HR Sheet CQ 2450x1225x2mm</t>
        </is>
      </c>
      <c r="C3" t="inlineStr">
        <is>
          <t>NJR STEEL - ALRODE (PTY) LTD</t>
        </is>
      </c>
      <c r="D3" t="inlineStr">
        <is>
          <t>FABRICATION</t>
        </is>
      </c>
      <c r="E3" s="1" t="n">
        <v>701.4400000000001</v>
      </c>
      <c r="F3" t="n">
        <v>2</v>
      </c>
      <c r="G3" t="n">
        <v>0</v>
      </c>
      <c r="H3" t="n">
        <v>10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Angle S355JR-50x50x5mm</t>
        </is>
      </c>
      <c r="B4" t="inlineStr">
        <is>
          <t>Angle S355JR 50x50x5mm 6Mtr</t>
        </is>
      </c>
      <c r="C4" t="inlineStr">
        <is>
          <t>NJR STEEL - ALRODE (PTY) LTD</t>
        </is>
      </c>
      <c r="D4" t="inlineStr">
        <is>
          <t>FABRICATION</t>
        </is>
      </c>
      <c r="E4" s="1" t="n">
        <v>309.4</v>
      </c>
      <c r="F4" t="n">
        <v>1</v>
      </c>
      <c r="G4" t="n">
        <v>0</v>
      </c>
      <c r="H4" t="n">
        <v>2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SQ-TUBE32X32</t>
        </is>
      </c>
      <c r="B5" t="inlineStr">
        <is>
          <t>SQ / TUBE 32X32X1.5 - 6M</t>
        </is>
      </c>
      <c r="C5" t="inlineStr">
        <is>
          <t>NJR STEEL - ALRODE (PTY) LTD</t>
        </is>
      </c>
      <c r="D5" t="inlineStr">
        <is>
          <t>FABRICATION</t>
        </is>
      </c>
      <c r="E5" s="1" t="n">
        <v>133</v>
      </c>
      <c r="F5" t="n">
        <v>5</v>
      </c>
      <c r="G5" t="n">
        <v>0</v>
      </c>
      <c r="H5" t="n">
        <v>25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194843</t>
        </is>
      </c>
      <c r="B2" t="inlineStr">
        <is>
          <t>M12 FLAT WASHER DIN 125A ZINC BLUE (13i/d x 24o/d x 2 .5 thk)</t>
        </is>
      </c>
      <c r="C2" t="inlineStr">
        <is>
          <t>M&amp;D SPECIALISED FASTENERS (PTY) LTD</t>
        </is>
      </c>
      <c r="D2" t="inlineStr">
        <is>
          <t>FASTENERS</t>
        </is>
      </c>
      <c r="E2" s="1" t="n">
        <v>0.4</v>
      </c>
      <c r="F2" t="n">
        <v>156</v>
      </c>
      <c r="G2" t="n">
        <v>0</v>
      </c>
      <c r="H2" t="n">
        <v>778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194856</t>
        </is>
      </c>
      <c r="B3" t="inlineStr">
        <is>
          <t>M16 FLAT WASHER DIN 125A ZINC BLUE (17i/d x 30o/d X 3thk)</t>
        </is>
      </c>
      <c r="C3" t="inlineStr">
        <is>
          <t>M&amp;D SPECIALISED FASTENERS (PTY) LTD</t>
        </is>
      </c>
      <c r="D3" t="inlineStr">
        <is>
          <t>FASTENERS</t>
        </is>
      </c>
      <c r="E3" s="1" t="n">
        <v>0.8</v>
      </c>
      <c r="F3" t="n">
        <v>400</v>
      </c>
      <c r="G3" t="n">
        <v>0</v>
      </c>
      <c r="H3" t="n">
        <v>2000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194916</t>
        </is>
      </c>
      <c r="B4" t="inlineStr">
        <is>
          <t>M6 (6.4 X12X1.6) FLAT WASHER DIN 125A ZINC BLUE</t>
        </is>
      </c>
      <c r="C4" t="inlineStr">
        <is>
          <t>M&amp;D SPECIALISED FASTENERS (PTY) LTD</t>
        </is>
      </c>
      <c r="D4" t="inlineStr">
        <is>
          <t>FASTENERS</t>
        </is>
      </c>
      <c r="E4" s="1" t="n">
        <v>0.08</v>
      </c>
      <c r="F4" t="n">
        <v>150</v>
      </c>
      <c r="G4" t="n">
        <v>0</v>
      </c>
      <c r="H4" t="n">
        <v>750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239158</t>
        </is>
      </c>
      <c r="B5" t="inlineStr">
        <is>
          <t>M6*25 HT HEX SET SCREW Z/BLUE</t>
        </is>
      </c>
      <c r="C5" t="inlineStr">
        <is>
          <t>M&amp;D SPECIALISED FASTENERS (PTY) LTD</t>
        </is>
      </c>
      <c r="D5" t="inlineStr">
        <is>
          <t>FASTENERS</t>
        </is>
      </c>
      <c r="E5" s="1" t="n">
        <v>0.65</v>
      </c>
      <c r="F5" t="n">
        <v>150</v>
      </c>
      <c r="G5" t="n">
        <v>0</v>
      </c>
      <c r="H5" t="n">
        <v>750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241420</t>
        </is>
      </c>
      <c r="B6" t="inlineStr">
        <is>
          <t>M12 FLAT WASHER DIN 125A - (13i/dX24o/dX2.5thk) S/S 304 - A2</t>
        </is>
      </c>
      <c r="C6" t="inlineStr">
        <is>
          <t>M&amp;D SPECIALISED FASTENERS (PTY) LTD</t>
        </is>
      </c>
      <c r="D6" t="inlineStr">
        <is>
          <t>FASTENERS</t>
        </is>
      </c>
      <c r="E6" s="1" t="n">
        <v>0.8</v>
      </c>
      <c r="F6" t="n">
        <v>166</v>
      </c>
      <c r="G6" t="n">
        <v>0</v>
      </c>
      <c r="H6" t="n">
        <v>830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245199</t>
        </is>
      </c>
      <c r="B7" t="inlineStr">
        <is>
          <t>M5*16 HEX SET SCREW S/S 304 - A2</t>
        </is>
      </c>
      <c r="C7" t="inlineStr">
        <is>
          <t>M&amp;D SPECIALISED FASTENERS (PTY) LTD</t>
        </is>
      </c>
      <c r="D7" t="inlineStr">
        <is>
          <t>FASTENERS</t>
        </is>
      </c>
      <c r="E7" s="1" t="n">
        <v>0.65</v>
      </c>
      <c r="F7" t="n">
        <v>210</v>
      </c>
      <c r="G7" t="n">
        <v>0</v>
      </c>
      <c r="H7" t="n">
        <v>1050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245232</t>
        </is>
      </c>
      <c r="B8" t="inlineStr">
        <is>
          <t>M6*16 A2 HEX SET SCREW</t>
        </is>
      </c>
      <c r="C8" t="inlineStr">
        <is>
          <t>M&amp;D SPECIALISED FASTENERS (PTY) LTD</t>
        </is>
      </c>
      <c r="D8" t="inlineStr">
        <is>
          <t>FASTENERS</t>
        </is>
      </c>
      <c r="E8" s="1" t="n">
        <v>0.8</v>
      </c>
      <c r="F8" t="n">
        <v>210</v>
      </c>
      <c r="G8" t="n">
        <v>0</v>
      </c>
      <c r="H8" t="n">
        <v>1050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245381</t>
        </is>
      </c>
      <c r="B9" t="inlineStr">
        <is>
          <t>M5 HEX NUTS S/S 304 - A2</t>
        </is>
      </c>
      <c r="C9" t="inlineStr">
        <is>
          <t>M&amp;D SPECIALISED FASTENERS (PTY) LTD</t>
        </is>
      </c>
      <c r="D9" t="inlineStr">
        <is>
          <t>FASTENERS</t>
        </is>
      </c>
      <c r="E9" s="1" t="n">
        <v>0.2</v>
      </c>
      <c r="F9" t="n">
        <v>150</v>
      </c>
      <c r="G9" t="n">
        <v>0</v>
      </c>
      <c r="H9" t="n">
        <v>750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M10 FLAT WASHER (S/S)</t>
        </is>
      </c>
      <c r="B10" t="inlineStr">
        <is>
          <t>M10x20x3 FLAT WASHER STAINLESS STEEL A2</t>
        </is>
      </c>
      <c r="C10" t="inlineStr">
        <is>
          <t>M&amp;D SPECIALISED FASTENERS (PTY) LTD</t>
        </is>
      </c>
      <c r="D10" t="inlineStr">
        <is>
          <t>FASTENERS</t>
        </is>
      </c>
      <c r="E10" s="1" t="n">
        <v>4</v>
      </c>
      <c r="F10" t="n">
        <v>125</v>
      </c>
      <c r="G10" t="n">
        <v>0</v>
      </c>
      <c r="H10" t="n">
        <v>625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M10 FLAT WASHER ZB</t>
        </is>
      </c>
      <c r="B11" t="inlineStr">
        <is>
          <t>M10 FLAT WASHER DIN 125A ZINC BLUE (10 .5i/dx20o/dxthk) 10 125A ZB</t>
        </is>
      </c>
      <c r="C11" t="inlineStr">
        <is>
          <t>M&amp;D SPECIALISED FASTENERS (PTY) LTD</t>
        </is>
      </c>
      <c r="D11" t="inlineStr">
        <is>
          <t>FASTENERS</t>
        </is>
      </c>
      <c r="E11" s="1" t="n">
        <v>0.24</v>
      </c>
      <c r="F11" t="n">
        <v>68</v>
      </c>
      <c r="G11" t="n">
        <v>0</v>
      </c>
      <c r="H11" t="n">
        <v>339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M10 HEX NUT (S/S)</t>
        </is>
      </c>
      <c r="B12" t="inlineStr">
        <is>
          <t>M10 HEX NUT STAINLESS STEEL A2</t>
        </is>
      </c>
      <c r="C12" t="inlineStr">
        <is>
          <t>M&amp;D SPECIALISED FASTENERS (PTY) LTD</t>
        </is>
      </c>
      <c r="D12" t="inlineStr">
        <is>
          <t>FASTENERS</t>
        </is>
      </c>
      <c r="E12" s="1" t="n">
        <v>1.5</v>
      </c>
      <c r="F12" t="n">
        <v>75</v>
      </c>
      <c r="G12" t="n">
        <v>0</v>
      </c>
      <c r="H12" t="n">
        <v>375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M10*16 (S/S)</t>
        </is>
      </c>
      <c r="B13" t="inlineStr">
        <is>
          <t>M10*16 HT HEX SET SCREW (S/S) A2</t>
        </is>
      </c>
      <c r="C13" t="inlineStr">
        <is>
          <t>M&amp;D SPECIALISED FASTENERS (PTY) LTD</t>
        </is>
      </c>
      <c r="D13" t="inlineStr">
        <is>
          <t>FASTENERS</t>
        </is>
      </c>
      <c r="E13" s="1" t="n">
        <v>3</v>
      </c>
      <c r="F13" t="n">
        <v>75</v>
      </c>
      <c r="G13" t="n">
        <v>0</v>
      </c>
      <c r="H13" t="n">
        <v>375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M10X40</t>
        </is>
      </c>
      <c r="B14" t="inlineStr">
        <is>
          <t>M10X40 HT HEX SET SCREWS</t>
        </is>
      </c>
      <c r="C14" t="inlineStr">
        <is>
          <t>M&amp;D SPECIALISED FASTENERS (PTY) LTD</t>
        </is>
      </c>
      <c r="D14" t="inlineStr">
        <is>
          <t>FASTENERS</t>
        </is>
      </c>
      <c r="E14" s="1" t="n">
        <v>3.17</v>
      </c>
      <c r="F14" t="n">
        <v>432</v>
      </c>
      <c r="G14" t="n">
        <v>0</v>
      </c>
      <c r="H14" t="n">
        <v>1512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M12 FLAT WASHER (S/S)</t>
        </is>
      </c>
      <c r="B15" t="inlineStr">
        <is>
          <t>M12x30x3 FLAT WASHER STAINLESS STEEL A2</t>
        </is>
      </c>
      <c r="C15" t="inlineStr">
        <is>
          <t>M&amp;D SPECIALISED FASTENERS (PTY) LTD</t>
        </is>
      </c>
      <c r="D15" t="inlineStr">
        <is>
          <t>FASTENERS</t>
        </is>
      </c>
      <c r="E15" s="1" t="n">
        <v>2.5</v>
      </c>
      <c r="F15" t="n">
        <v>125</v>
      </c>
      <c r="G15" t="n">
        <v>0</v>
      </c>
      <c r="H15" t="n">
        <v>625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M12 FLAT WASHER S/S</t>
        </is>
      </c>
      <c r="B16" t="inlineStr">
        <is>
          <t>M12 FLAT WASHER - S/S A2 - 304</t>
        </is>
      </c>
      <c r="C16" t="inlineStr">
        <is>
          <t>M&amp;D SPECIALISED FASTENERS (PTY) LTD</t>
        </is>
      </c>
      <c r="D16" t="inlineStr">
        <is>
          <t>FASTENERS</t>
        </is>
      </c>
      <c r="E16" s="1" t="n">
        <v>0.8</v>
      </c>
      <c r="F16" t="n">
        <v>360</v>
      </c>
      <c r="G16" t="n">
        <v>0</v>
      </c>
      <c r="H16" t="n">
        <v>840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M12 HEX NUT (S/S)</t>
        </is>
      </c>
      <c r="B17" t="inlineStr">
        <is>
          <t>M12 HEX NUT STAINLESS STEEL A2</t>
        </is>
      </c>
      <c r="C17" t="inlineStr">
        <is>
          <t>M&amp;D SPECIALISED FASTENERS (PTY) LTD</t>
        </is>
      </c>
      <c r="D17" t="inlineStr">
        <is>
          <t>FASTENERS</t>
        </is>
      </c>
      <c r="E17" s="1" t="n">
        <v>1.8</v>
      </c>
      <c r="F17" t="n">
        <v>75</v>
      </c>
      <c r="G17" t="n">
        <v>0</v>
      </c>
      <c r="H17" t="n">
        <v>375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M14 FLAT WASHER ZB</t>
        </is>
      </c>
      <c r="B18" t="inlineStr">
        <is>
          <t>M14x30x3 FLAT WASHER Z/BLUE</t>
        </is>
      </c>
      <c r="C18" t="inlineStr">
        <is>
          <t>M&amp;D SPECIALISED FASTENERS (PTY) LTD</t>
        </is>
      </c>
      <c r="D18" t="inlineStr">
        <is>
          <t>FASTENERS</t>
        </is>
      </c>
      <c r="E18" s="1" t="n">
        <v>0.6</v>
      </c>
      <c r="F18" t="n">
        <v>50</v>
      </c>
      <c r="G18" t="n">
        <v>0</v>
      </c>
      <c r="H18" t="n">
        <v>250</v>
      </c>
      <c r="I18" t="n">
        <v>0</v>
      </c>
      <c r="J18" t="n">
        <v>0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M14X65 Hex Set Screw</t>
        </is>
      </c>
      <c r="B19" t="inlineStr">
        <is>
          <t>M14*65 HT HEX SET SCREW Z/BLUE</t>
        </is>
      </c>
      <c r="C19" t="inlineStr">
        <is>
          <t>M&amp;D SPECIALISED FASTENERS (PTY) LTD</t>
        </is>
      </c>
      <c r="D19" t="inlineStr">
        <is>
          <t>FASTENERS</t>
        </is>
      </c>
      <c r="E19" s="1" t="n">
        <v>6.5</v>
      </c>
      <c r="F19" t="n">
        <v>50</v>
      </c>
      <c r="G19" t="n">
        <v>0</v>
      </c>
      <c r="H19" t="n">
        <v>250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M16 FLAT WASHER (17i/d X 30o/d 3thk) ZB</t>
        </is>
      </c>
      <c r="B20" t="inlineStr">
        <is>
          <t>M16 FLAT WASHER DIN 125A ZINC BLUE (17i/d X 30o/d 3thk) 16 125A ZB</t>
        </is>
      </c>
      <c r="C20" t="inlineStr">
        <is>
          <t>M&amp;D SPECIALISED FASTENERS (PTY) LTD</t>
        </is>
      </c>
      <c r="D20" t="inlineStr">
        <is>
          <t>FASTENERS</t>
        </is>
      </c>
      <c r="E20" s="1" t="n">
        <v>0.8</v>
      </c>
      <c r="F20" t="n">
        <v>167</v>
      </c>
      <c r="G20" t="n">
        <v>0</v>
      </c>
      <c r="H20" t="n">
        <v>836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M16 FLAT WASHER (S/S)</t>
        </is>
      </c>
      <c r="B21" t="inlineStr">
        <is>
          <t>M16 FLAT WASHER STAINLESS STEEL A2</t>
        </is>
      </c>
      <c r="C21" t="inlineStr">
        <is>
          <t>M&amp;D SPECIALISED FASTENERS (PTY) LTD</t>
        </is>
      </c>
      <c r="D21" t="inlineStr">
        <is>
          <t>FASTENERS</t>
        </is>
      </c>
      <c r="E21" s="1" t="n">
        <v>1.3</v>
      </c>
      <c r="F21" t="n">
        <v>50</v>
      </c>
      <c r="G21" t="n">
        <v>0</v>
      </c>
      <c r="H21" t="n">
        <v>250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M16 HEX NUT (S/S)</t>
        </is>
      </c>
      <c r="B22" t="inlineStr">
        <is>
          <t>M16 HEX NUT STAINLESS STEEL A2</t>
        </is>
      </c>
      <c r="C22" t="inlineStr">
        <is>
          <t>M&amp;D SPECIALISED FASTENERS (PTY) LTD</t>
        </is>
      </c>
      <c r="D22" t="inlineStr">
        <is>
          <t>FASTENERS</t>
        </is>
      </c>
      <c r="E22" s="1" t="n">
        <v>3.5</v>
      </c>
      <c r="F22" t="n">
        <v>100</v>
      </c>
      <c r="G22" t="n">
        <v>0</v>
      </c>
      <c r="H22" t="n">
        <v>500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M16*120 (S/S)</t>
        </is>
      </c>
      <c r="B23" t="inlineStr">
        <is>
          <t>M16*120 HT HEX SET SCREW (S/S) A2</t>
        </is>
      </c>
      <c r="C23" t="inlineStr">
        <is>
          <t>M&amp;D SPECIALISED FASTENERS (PTY) LTD</t>
        </is>
      </c>
      <c r="D23" t="inlineStr">
        <is>
          <t>FASTENERS</t>
        </is>
      </c>
      <c r="E23" s="1" t="n">
        <v>45</v>
      </c>
      <c r="F23" t="n">
        <v>75</v>
      </c>
      <c r="G23" t="n">
        <v>0</v>
      </c>
      <c r="H23" t="n">
        <v>375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SPRING WASHER 16 ZB</t>
        </is>
      </c>
      <c r="B24" t="inlineStr">
        <is>
          <t>16 SQ MED SPRING WASHER Z/BLUE 16 7980 SS ZB</t>
        </is>
      </c>
      <c r="C24" t="inlineStr">
        <is>
          <t>M&amp;D SPECIALISED FASTENERS (PTY) LTD</t>
        </is>
      </c>
      <c r="D24" t="inlineStr">
        <is>
          <t>FASTENERS</t>
        </is>
      </c>
      <c r="E24" s="1" t="n">
        <v>0.4</v>
      </c>
      <c r="F24" t="n">
        <v>10</v>
      </c>
      <c r="G24" t="n">
        <v>0</v>
      </c>
      <c r="H24" t="n">
        <v>50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THREADED ROD 12X1 ZB</t>
        </is>
      </c>
      <c r="B25" t="inlineStr">
        <is>
          <t>THREADED ROD 8.8 ZINC BLUE 12X1 975 8.8 ZB</t>
        </is>
      </c>
      <c r="C25" t="inlineStr">
        <is>
          <t>M&amp;D SPECIALISED FASTENERS (PTY) LTD</t>
        </is>
      </c>
      <c r="D25" t="inlineStr">
        <is>
          <t>FASTENERS</t>
        </is>
      </c>
      <c r="E25" s="1" t="n">
        <v>42</v>
      </c>
      <c r="F25" t="n">
        <v>3</v>
      </c>
      <c r="G25" t="n">
        <v>0</v>
      </c>
      <c r="H25" t="n">
        <v>7</v>
      </c>
      <c r="I25" t="n">
        <v>0</v>
      </c>
      <c r="J25" t="n">
        <v>0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THREADED ROD 16X1 8 .8 ZB</t>
        </is>
      </c>
      <c r="B26" t="inlineStr">
        <is>
          <t>16X1 THREADED ROD 8 . 8 ZINC BLUE 16X1 975 8 .8 ZB</t>
        </is>
      </c>
      <c r="C26" t="inlineStr">
        <is>
          <t>M&amp;D SPECIALISED FASTENERS (PTY) LTD</t>
        </is>
      </c>
      <c r="D26" t="inlineStr">
        <is>
          <t>FASTENERS</t>
        </is>
      </c>
      <c r="E26" s="1" t="n">
        <v>96</v>
      </c>
      <c r="F26" t="n">
        <v>2</v>
      </c>
      <c r="G26" t="n">
        <v>0</v>
      </c>
      <c r="H26" t="n">
        <v>12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SCBFLT1.25B</t>
        </is>
      </c>
      <c r="B2" t="inlineStr">
        <is>
          <t>SCB Blower Simple Intake Filter - 1 1/4</t>
        </is>
      </c>
      <c r="C2" t="inlineStr"/>
      <c r="D2" t="inlineStr">
        <is>
          <t>FM - BLOWER</t>
        </is>
      </c>
      <c r="E2" s="1" t="n">
        <v>0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1000CF</t>
        </is>
      </c>
      <c r="B2" t="inlineStr">
        <is>
          <t>1000 Diam Counter Flange</t>
        </is>
      </c>
      <c r="C2" t="inlineStr">
        <is>
          <t>Attenu-Tec HVAC Parts</t>
        </is>
      </c>
      <c r="D2" t="inlineStr">
        <is>
          <t>FM - C/FLANGE</t>
        </is>
      </c>
      <c r="E2" s="1" t="n">
        <v>502.91</v>
      </c>
      <c r="F2" t="n">
        <v>1</v>
      </c>
      <c r="G2" t="n">
        <v>0</v>
      </c>
      <c r="H2" t="n">
        <v>4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1000CFUG</t>
        </is>
      </c>
      <c r="B3" t="inlineStr">
        <is>
          <t>1000 Diam Counter Flange Ungalvanised</t>
        </is>
      </c>
      <c r="C3" t="inlineStr">
        <is>
          <t>ULTIMATENG (PTY) LTD</t>
        </is>
      </c>
      <c r="D3" t="inlineStr">
        <is>
          <t>FM - C/FLANGE</t>
        </is>
      </c>
      <c r="E3" s="1" t="n">
        <v>0</v>
      </c>
      <c r="F3" t="n">
        <v>3</v>
      </c>
      <c r="G3" t="n">
        <v>0</v>
      </c>
      <c r="H3" t="n">
        <v>15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315CF</t>
        </is>
      </c>
      <c r="B4" t="inlineStr">
        <is>
          <t>315 Diam Counter Flange</t>
        </is>
      </c>
      <c r="C4" t="inlineStr">
        <is>
          <t>Attenu-Tec HVAC Parts</t>
        </is>
      </c>
      <c r="D4" t="inlineStr">
        <is>
          <t>FM - C/FLANGE</t>
        </is>
      </c>
      <c r="E4" s="1" t="n">
        <v>76.19</v>
      </c>
      <c r="F4" t="n">
        <v>7</v>
      </c>
      <c r="G4" t="n">
        <v>0</v>
      </c>
      <c r="H4" t="n">
        <v>28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400CF</t>
        </is>
      </c>
      <c r="B5" t="inlineStr">
        <is>
          <t>400 Diam Counter Flange</t>
        </is>
      </c>
      <c r="C5" t="inlineStr">
        <is>
          <t>Attenu-Tec HVAC Parts</t>
        </is>
      </c>
      <c r="D5" t="inlineStr">
        <is>
          <t>FM - C/FLANGE</t>
        </is>
      </c>
      <c r="E5" s="1" t="n">
        <v>85</v>
      </c>
      <c r="F5" t="n">
        <v>5</v>
      </c>
      <c r="G5" t="n">
        <v>0</v>
      </c>
      <c r="H5" t="n">
        <v>24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500CF</t>
        </is>
      </c>
      <c r="B6" t="inlineStr">
        <is>
          <t>500 Diam Counter Flange</t>
        </is>
      </c>
      <c r="C6" t="inlineStr">
        <is>
          <t>Attenu-Tec HVAC Parts</t>
        </is>
      </c>
      <c r="D6" t="inlineStr">
        <is>
          <t>FM - C/FLANGE</t>
        </is>
      </c>
      <c r="E6" s="1" t="n">
        <v>64.44</v>
      </c>
      <c r="F6" t="n">
        <v>5</v>
      </c>
      <c r="G6" t="n">
        <v>0</v>
      </c>
      <c r="H6" t="n">
        <v>18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500CFUG</t>
        </is>
      </c>
      <c r="B7" t="inlineStr">
        <is>
          <t>500 Diam Counter Flange Ungalvanised</t>
        </is>
      </c>
      <c r="C7" t="inlineStr">
        <is>
          <t>ULTIMATENG (PTY) LTD</t>
        </is>
      </c>
      <c r="D7" t="inlineStr">
        <is>
          <t>FM - C/FLANGE</t>
        </is>
      </c>
      <c r="E7" s="1" t="n">
        <v>0</v>
      </c>
      <c r="F7" t="n">
        <v>10</v>
      </c>
      <c r="G7" t="n">
        <v>0</v>
      </c>
      <c r="H7" t="n">
        <v>50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560CF</t>
        </is>
      </c>
      <c r="B8" t="inlineStr">
        <is>
          <t>560 Diam Counter Flange</t>
        </is>
      </c>
      <c r="C8" t="inlineStr">
        <is>
          <t>Attenu-Tec HVAC Parts</t>
        </is>
      </c>
      <c r="D8" t="inlineStr">
        <is>
          <t>FM - C/FLANGE</t>
        </is>
      </c>
      <c r="E8" s="1" t="n">
        <v>0</v>
      </c>
      <c r="F8" t="n">
        <v>4</v>
      </c>
      <c r="G8" t="n">
        <v>0</v>
      </c>
      <c r="H8" t="n">
        <v>19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560CFUG</t>
        </is>
      </c>
      <c r="B9" t="inlineStr">
        <is>
          <t>560 Diam Counter Flange Ungalvanised</t>
        </is>
      </c>
      <c r="C9" t="inlineStr">
        <is>
          <t>ULTIMATENG (PTY) LTD</t>
        </is>
      </c>
      <c r="D9" t="inlineStr">
        <is>
          <t>FM - C/FLANGE</t>
        </is>
      </c>
      <c r="E9" s="1" t="n">
        <v>0</v>
      </c>
      <c r="F9" t="n">
        <v>9</v>
      </c>
      <c r="G9" t="n">
        <v>0</v>
      </c>
      <c r="H9" t="n">
        <v>45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630CF</t>
        </is>
      </c>
      <c r="B10" t="inlineStr">
        <is>
          <t>630 Diam Counter Flange</t>
        </is>
      </c>
      <c r="C10" t="inlineStr">
        <is>
          <t>Attenu-Tec HVAC Parts</t>
        </is>
      </c>
      <c r="D10" t="inlineStr">
        <is>
          <t>FM - C/FLANGE</t>
        </is>
      </c>
      <c r="E10" s="1" t="n">
        <v>0</v>
      </c>
      <c r="F10" t="n">
        <v>3</v>
      </c>
      <c r="G10" t="n">
        <v>0</v>
      </c>
      <c r="H10" t="n">
        <v>13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630CFUG</t>
        </is>
      </c>
      <c r="B11" t="inlineStr">
        <is>
          <t>630 Diam Counter Flange Ungalvanised</t>
        </is>
      </c>
      <c r="C11" t="inlineStr">
        <is>
          <t>ULTIMATENG (PTY) LTD</t>
        </is>
      </c>
      <c r="D11" t="inlineStr">
        <is>
          <t>FM - C/FLANGE</t>
        </is>
      </c>
      <c r="E11" s="1" t="n">
        <v>0</v>
      </c>
      <c r="F11" t="n">
        <v>16</v>
      </c>
      <c r="G11" t="n">
        <v>0</v>
      </c>
      <c r="H11" t="n">
        <v>80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710CF</t>
        </is>
      </c>
      <c r="B12" t="inlineStr">
        <is>
          <t>710 Diam Counter Flange</t>
        </is>
      </c>
      <c r="C12" t="inlineStr">
        <is>
          <t>Attenu-Tec HVAC Parts</t>
        </is>
      </c>
      <c r="D12" t="inlineStr">
        <is>
          <t>FM - C/FLANGE</t>
        </is>
      </c>
      <c r="E12" s="1" t="n">
        <v>50.18</v>
      </c>
      <c r="F12" t="n">
        <v>3</v>
      </c>
      <c r="G12" t="n">
        <v>0</v>
      </c>
      <c r="H12" t="n">
        <v>10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710CFUG</t>
        </is>
      </c>
      <c r="B13" t="inlineStr">
        <is>
          <t>710 Diam Counter Flange Ungalvanised</t>
        </is>
      </c>
      <c r="C13" t="inlineStr">
        <is>
          <t>ULTIMATENG (PTY) LTD</t>
        </is>
      </c>
      <c r="D13" t="inlineStr">
        <is>
          <t>FM - C/FLANGE</t>
        </is>
      </c>
      <c r="E13" s="1" t="n">
        <v>0</v>
      </c>
      <c r="F13" t="n">
        <v>9</v>
      </c>
      <c r="G13" t="n">
        <v>0</v>
      </c>
      <c r="H13" t="n">
        <v>45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800CF</t>
        </is>
      </c>
      <c r="B14" t="inlineStr">
        <is>
          <t>800 Diam Counter Flange</t>
        </is>
      </c>
      <c r="C14" t="inlineStr">
        <is>
          <t>Attenu-Tec HVAC Parts</t>
        </is>
      </c>
      <c r="D14" t="inlineStr">
        <is>
          <t>FM - C/FLANGE</t>
        </is>
      </c>
      <c r="E14" s="1" t="n">
        <v>212.23</v>
      </c>
      <c r="F14" t="n">
        <v>2</v>
      </c>
      <c r="G14" t="n">
        <v>0</v>
      </c>
      <c r="H14" t="n">
        <v>9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800CFUG</t>
        </is>
      </c>
      <c r="B15" t="inlineStr">
        <is>
          <t>800 Diam Counter Flange Ungalvanised</t>
        </is>
      </c>
      <c r="C15" t="inlineStr">
        <is>
          <t>ULTIMATENG (PTY) LTD</t>
        </is>
      </c>
      <c r="D15" t="inlineStr">
        <is>
          <t>FM - C/FLANGE</t>
        </is>
      </c>
      <c r="E15" s="1" t="n">
        <v>0</v>
      </c>
      <c r="F15" t="n">
        <v>16</v>
      </c>
      <c r="G15" t="n">
        <v>0</v>
      </c>
      <c r="H15" t="n">
        <v>80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900CF</t>
        </is>
      </c>
      <c r="B16" t="inlineStr">
        <is>
          <t>900 Diam Counter Flange</t>
        </is>
      </c>
      <c r="C16" t="inlineStr">
        <is>
          <t>Attenu-Tec HVAC Parts</t>
        </is>
      </c>
      <c r="D16" t="inlineStr">
        <is>
          <t>FM - C/FLANGE</t>
        </is>
      </c>
      <c r="E16" s="1" t="n">
        <v>403</v>
      </c>
      <c r="F16" t="n">
        <v>1</v>
      </c>
      <c r="G16" t="n">
        <v>0</v>
      </c>
      <c r="H16" t="n">
        <v>5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900CFUG</t>
        </is>
      </c>
      <c r="B17" t="inlineStr">
        <is>
          <t>900 Diam Counter Flange Ungalvanised</t>
        </is>
      </c>
      <c r="C17" t="inlineStr">
        <is>
          <t>ULTIMATENG (PTY) LTD</t>
        </is>
      </c>
      <c r="D17" t="inlineStr">
        <is>
          <t>FM - C/FLANGE</t>
        </is>
      </c>
      <c r="E17" s="1" t="n">
        <v>0</v>
      </c>
      <c r="F17" t="n">
        <v>4</v>
      </c>
      <c r="G17" t="n">
        <v>0</v>
      </c>
      <c r="H17" t="n">
        <v>22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C315x315</t>
        </is>
      </c>
      <c r="B2" t="inlineStr">
        <is>
          <t>Casing size 315diamx315</t>
        </is>
      </c>
      <c r="C2" t="inlineStr">
        <is>
          <t>GALVAGLOW (PTY) LTD</t>
        </is>
      </c>
      <c r="D2" t="inlineStr">
        <is>
          <t>FM - CASING</t>
        </is>
      </c>
      <c r="E2" s="1" t="n">
        <v>144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C400x400</t>
        </is>
      </c>
      <c r="B3" t="inlineStr">
        <is>
          <t>Casing Size 400diamx400</t>
        </is>
      </c>
      <c r="C3" t="inlineStr">
        <is>
          <t>GALVAGLOW (PTY) LTD</t>
        </is>
      </c>
      <c r="D3" t="inlineStr">
        <is>
          <t>FM - CASING</t>
        </is>
      </c>
      <c r="E3" s="1" t="n">
        <v>225.64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C500x400</t>
        </is>
      </c>
      <c r="B4" t="inlineStr">
        <is>
          <t>Casing Size 500diamx400</t>
        </is>
      </c>
      <c r="C4" t="inlineStr">
        <is>
          <t>GALVAGLOW (PTY) LTD</t>
        </is>
      </c>
      <c r="D4" t="inlineStr">
        <is>
          <t>FM - CASING</t>
        </is>
      </c>
      <c r="E4" s="1" t="n">
        <v>124.5</v>
      </c>
      <c r="F4" t="n">
        <v>1</v>
      </c>
      <c r="G4" t="n">
        <v>0</v>
      </c>
      <c r="H4" t="n">
        <v>2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C560x400</t>
        </is>
      </c>
      <c r="B5" t="inlineStr">
        <is>
          <t>Casing size 560diamx400</t>
        </is>
      </c>
      <c r="C5" t="inlineStr">
        <is>
          <t>GALVAGLOW (PTY) LTD</t>
        </is>
      </c>
      <c r="D5" t="inlineStr">
        <is>
          <t>FM - CASING</t>
        </is>
      </c>
      <c r="E5" s="1" t="n">
        <v>0</v>
      </c>
      <c r="F5" t="n">
        <v>2</v>
      </c>
      <c r="G5" t="n">
        <v>0</v>
      </c>
      <c r="H5" t="n">
        <v>10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C560x500</t>
        </is>
      </c>
      <c r="B6" t="inlineStr">
        <is>
          <t>Casing size 560diamx500</t>
        </is>
      </c>
      <c r="C6" t="inlineStr">
        <is>
          <t>CFW Fans (Pty) Ltd</t>
        </is>
      </c>
      <c r="D6" t="inlineStr">
        <is>
          <t>FM - CASING</t>
        </is>
      </c>
      <c r="E6" s="1" t="n">
        <v>1792</v>
      </c>
      <c r="F6" t="n">
        <v>1</v>
      </c>
      <c r="G6" t="n">
        <v>0</v>
      </c>
      <c r="H6" t="n">
        <v>3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C630x400</t>
        </is>
      </c>
      <c r="B7" t="inlineStr">
        <is>
          <t>Casing Size 630diamx400</t>
        </is>
      </c>
      <c r="C7" t="inlineStr">
        <is>
          <t>GALVAGLOW (PTY) LTD</t>
        </is>
      </c>
      <c r="D7" t="inlineStr">
        <is>
          <t>FM - CASING</t>
        </is>
      </c>
      <c r="E7" s="1" t="n">
        <v>0</v>
      </c>
      <c r="F7" t="n">
        <v>2</v>
      </c>
      <c r="G7" t="n">
        <v>0</v>
      </c>
      <c r="H7" t="n">
        <v>10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C710x400</t>
        </is>
      </c>
      <c r="B8" t="inlineStr">
        <is>
          <t>Casing Size 710diamx400</t>
        </is>
      </c>
      <c r="C8" t="inlineStr">
        <is>
          <t>GALVAGLOW (PTY) LTD</t>
        </is>
      </c>
      <c r="D8" t="inlineStr">
        <is>
          <t>FM - CASING</t>
        </is>
      </c>
      <c r="E8" s="1" t="n">
        <v>0</v>
      </c>
      <c r="F8" t="n">
        <v>5</v>
      </c>
      <c r="G8" t="n">
        <v>0</v>
      </c>
      <c r="H8" t="n">
        <v>25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C800x400</t>
        </is>
      </c>
      <c r="B9" t="inlineStr">
        <is>
          <t>Casing Size 800diamx400</t>
        </is>
      </c>
      <c r="C9" t="inlineStr">
        <is>
          <t>GALVAGLOW (PTY) LTD</t>
        </is>
      </c>
      <c r="D9" t="inlineStr">
        <is>
          <t>FM - CASING</t>
        </is>
      </c>
      <c r="E9" s="1" t="n">
        <v>0</v>
      </c>
      <c r="F9" t="n">
        <v>3</v>
      </c>
      <c r="G9" t="n">
        <v>0</v>
      </c>
      <c r="H9" t="n">
        <v>14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C800x500</t>
        </is>
      </c>
      <c r="B10" t="inlineStr">
        <is>
          <t>Casing Size 800diamx500</t>
        </is>
      </c>
      <c r="C10" t="inlineStr">
        <is>
          <t>CFW Fans (Pty) Ltd</t>
        </is>
      </c>
      <c r="D10" t="inlineStr">
        <is>
          <t>FM - CASING</t>
        </is>
      </c>
      <c r="E10" s="1" t="n">
        <v>1095</v>
      </c>
      <c r="F10" t="n">
        <v>1</v>
      </c>
      <c r="G10" t="n">
        <v>0</v>
      </c>
      <c r="H10" t="n">
        <v>3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C900x500</t>
        </is>
      </c>
      <c r="B11" t="inlineStr">
        <is>
          <t>Casing Size 900diamx500</t>
        </is>
      </c>
      <c r="C11" t="inlineStr">
        <is>
          <t>GALVAGLOW (PTY) LTD</t>
        </is>
      </c>
      <c r="D11" t="inlineStr">
        <is>
          <t>FM - CASING</t>
        </is>
      </c>
      <c r="E11" s="1" t="n">
        <v>0</v>
      </c>
      <c r="F11" t="n">
        <v>1</v>
      </c>
      <c r="G11" t="n">
        <v>0</v>
      </c>
      <c r="H11" t="n">
        <v>5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400C400</t>
        </is>
      </c>
      <c r="B2" t="inlineStr">
        <is>
          <t>400 Casing x 400mm Long - DO NOT DRILL MOTOR AND BRACKET HOLES</t>
        </is>
      </c>
      <c r="C2" t="inlineStr">
        <is>
          <t>CFW Fans (Pty) Ltd</t>
        </is>
      </c>
      <c r="D2" t="inlineStr">
        <is>
          <t>FM - CFW FANS</t>
        </is>
      </c>
      <c r="E2" s="1" t="n">
        <v>1195</v>
      </c>
      <c r="F2" t="n">
        <v>2</v>
      </c>
      <c r="G2" t="n">
        <v>0</v>
      </c>
      <c r="H2" t="n">
        <v>8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500C400</t>
        </is>
      </c>
      <c r="B3" t="inlineStr">
        <is>
          <t>500 Casing x 400mm Long - DO NOT DRILL MOTOR AND BRACKET HOLES</t>
        </is>
      </c>
      <c r="C3" t="inlineStr">
        <is>
          <t>CFW Fans (Pty) Ltd</t>
        </is>
      </c>
      <c r="D3" t="inlineStr">
        <is>
          <t>FM - CFW FANS</t>
        </is>
      </c>
      <c r="E3" s="1" t="n">
        <v>1438</v>
      </c>
      <c r="F3" t="n">
        <v>2</v>
      </c>
      <c r="G3" t="n">
        <v>0</v>
      </c>
      <c r="H3" t="n">
        <v>8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HDA9B315</t>
        </is>
      </c>
      <c r="B4" t="inlineStr">
        <is>
          <t>HDA9 - 315 Impeller to suit 0.37Kw 2pole Motor</t>
        </is>
      </c>
      <c r="C4" t="inlineStr">
        <is>
          <t>CFW Fans (Pty) Ltd</t>
        </is>
      </c>
      <c r="D4" t="inlineStr">
        <is>
          <t>FM - CFW FANS</t>
        </is>
      </c>
      <c r="E4" s="1" t="n">
        <v>1880</v>
      </c>
      <c r="F4" t="n">
        <v>1</v>
      </c>
      <c r="G4" t="n">
        <v>0</v>
      </c>
      <c r="H4" t="n">
        <v>2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LDA9B710</t>
        </is>
      </c>
      <c r="B5" t="inlineStr">
        <is>
          <t>LDA9B - Allumium bladed Impeller - Form B to suit 1.1kw 4Pole motor</t>
        </is>
      </c>
      <c r="C5" t="inlineStr">
        <is>
          <t>CFW Fans (Pty) Ltd</t>
        </is>
      </c>
      <c r="D5" t="inlineStr">
        <is>
          <t>FM - CFW FANS</t>
        </is>
      </c>
      <c r="E5" s="1" t="n">
        <v>1737</v>
      </c>
      <c r="F5" t="n">
        <v>2</v>
      </c>
      <c r="G5" t="n">
        <v>0</v>
      </c>
      <c r="H5" t="n">
        <v>10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1000S1.5DP</t>
        </is>
      </c>
      <c r="B2" t="inlineStr">
        <is>
          <t>1000 Diam Silencer 1.5D Podded</t>
        </is>
      </c>
      <c r="C2" t="inlineStr">
        <is>
          <t>Attenu-Tec</t>
        </is>
      </c>
      <c r="D2" t="inlineStr">
        <is>
          <t>FM - DONKIN</t>
        </is>
      </c>
      <c r="E2" s="1" t="n">
        <v>6255</v>
      </c>
      <c r="F2" t="n">
        <v>1</v>
      </c>
      <c r="G2" t="n">
        <v>0</v>
      </c>
      <c r="H2" t="n">
        <v>3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1000S2.0DP</t>
        </is>
      </c>
      <c r="B3" t="inlineStr">
        <is>
          <t>1000 Diam Silencer 2.0D Podded</t>
        </is>
      </c>
      <c r="C3" t="inlineStr">
        <is>
          <t>Attenu-Tec</t>
        </is>
      </c>
      <c r="D3" t="inlineStr">
        <is>
          <t>FM - DONKIN</t>
        </is>
      </c>
      <c r="E3" s="1" t="n">
        <v>7900</v>
      </c>
      <c r="F3" t="n">
        <v>8</v>
      </c>
      <c r="G3" t="n">
        <v>0</v>
      </c>
      <c r="H3" t="n">
        <v>16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1000SM1.0D</t>
        </is>
      </c>
      <c r="B4" t="inlineStr">
        <is>
          <t>1000 Diam Melinex Silencer 1.0D</t>
        </is>
      </c>
      <c r="C4" t="inlineStr">
        <is>
          <t>Attenu-Tec</t>
        </is>
      </c>
      <c r="D4" t="inlineStr">
        <is>
          <t>FM - DONKIN</t>
        </is>
      </c>
      <c r="E4" s="1" t="n">
        <v>4463</v>
      </c>
      <c r="F4" t="n">
        <v>2</v>
      </c>
      <c r="G4" t="n">
        <v>0</v>
      </c>
      <c r="H4" t="n">
        <v>10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1000SM1.0DP</t>
        </is>
      </c>
      <c r="B5" t="inlineStr">
        <is>
          <t>1000 Diam Melinex Silencer 1.0D Podded</t>
        </is>
      </c>
      <c r="C5" t="inlineStr"/>
      <c r="D5" t="inlineStr">
        <is>
          <t>FM - DONKIN</t>
        </is>
      </c>
      <c r="E5" s="1" t="n">
        <v>0</v>
      </c>
      <c r="F5" t="n">
        <v>2</v>
      </c>
      <c r="G5" t="n">
        <v>0</v>
      </c>
      <c r="H5" t="n">
        <v>10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1000SM1.5DP</t>
        </is>
      </c>
      <c r="B6" t="inlineStr">
        <is>
          <t>1000 Diam Melinex Silencer 1.5D Podded</t>
        </is>
      </c>
      <c r="C6" t="inlineStr">
        <is>
          <t>Attenu-Tec</t>
        </is>
      </c>
      <c r="D6" t="inlineStr">
        <is>
          <t>FM - DONKIN</t>
        </is>
      </c>
      <c r="E6" s="1" t="n">
        <v>5620</v>
      </c>
      <c r="F6" t="n">
        <v>1</v>
      </c>
      <c r="G6" t="n">
        <v>0</v>
      </c>
      <c r="H6" t="n">
        <v>5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100T600</t>
        </is>
      </c>
      <c r="B7" t="inlineStr">
        <is>
          <t>100 Diam Tube Silencer 600L</t>
        </is>
      </c>
      <c r="C7" t="inlineStr">
        <is>
          <t>Attenu-Tec</t>
        </is>
      </c>
      <c r="D7" t="inlineStr">
        <is>
          <t>FM - DONKIN</t>
        </is>
      </c>
      <c r="E7" s="1" t="n">
        <v>360</v>
      </c>
      <c r="F7" t="n">
        <v>2</v>
      </c>
      <c r="G7" t="n">
        <v>0</v>
      </c>
      <c r="H7" t="n">
        <v>9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1250FC</t>
        </is>
      </c>
      <c r="B8" t="inlineStr">
        <is>
          <t>1250 Diam Flexible Connection</t>
        </is>
      </c>
      <c r="C8" t="inlineStr">
        <is>
          <t>Attenu-Tec HVAC Parts</t>
        </is>
      </c>
      <c r="D8" t="inlineStr">
        <is>
          <t>FM - DONKIN</t>
        </is>
      </c>
      <c r="E8" s="1" t="n">
        <v>2147.54</v>
      </c>
      <c r="F8" t="n">
        <v>1</v>
      </c>
      <c r="G8" t="n">
        <v>0</v>
      </c>
      <c r="H8" t="n">
        <v>3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125T600</t>
        </is>
      </c>
      <c r="B9" t="inlineStr">
        <is>
          <t>125 Diam Tube Silencer 600L</t>
        </is>
      </c>
      <c r="C9" t="inlineStr">
        <is>
          <t>Attenu-Tec</t>
        </is>
      </c>
      <c r="D9" t="inlineStr">
        <is>
          <t>FM - DONKIN</t>
        </is>
      </c>
      <c r="E9" s="1" t="n">
        <v>440.33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125TTSilentM</t>
        </is>
      </c>
      <c r="B10" t="inlineStr">
        <is>
          <t>125 TT Silent M Fan</t>
        </is>
      </c>
      <c r="C10" t="inlineStr"/>
      <c r="D10" t="inlineStr">
        <is>
          <t>FM - DONKIN</t>
        </is>
      </c>
      <c r="E10" s="1" t="n">
        <v>0</v>
      </c>
      <c r="F10" t="n">
        <v>12</v>
      </c>
      <c r="G10" t="n">
        <v>0</v>
      </c>
      <c r="H10" t="n">
        <v>62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150T600</t>
        </is>
      </c>
      <c r="B11" t="inlineStr">
        <is>
          <t>150 Diam Tube Silencer 600L</t>
        </is>
      </c>
      <c r="C11" t="inlineStr">
        <is>
          <t>Attenu-Tec</t>
        </is>
      </c>
      <c r="D11" t="inlineStr">
        <is>
          <t>FM - DONKIN</t>
        </is>
      </c>
      <c r="E11" s="1" t="n">
        <v>474.88</v>
      </c>
      <c r="F11" t="n">
        <v>2</v>
      </c>
      <c r="G11" t="n">
        <v>0</v>
      </c>
      <c r="H11" t="n">
        <v>10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1600FC</t>
        </is>
      </c>
      <c r="B12" t="inlineStr">
        <is>
          <t>1600 Diam Flexible Connection</t>
        </is>
      </c>
      <c r="C12" t="inlineStr">
        <is>
          <t>Air Speration</t>
        </is>
      </c>
      <c r="D12" t="inlineStr">
        <is>
          <t>FM - DONKIN</t>
        </is>
      </c>
      <c r="E12" s="1" t="n">
        <v>12757.61</v>
      </c>
      <c r="F12" t="n">
        <v>2</v>
      </c>
      <c r="G12" t="n">
        <v>0</v>
      </c>
      <c r="H12" t="n">
        <v>4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200T600</t>
        </is>
      </c>
      <c r="B13" t="inlineStr">
        <is>
          <t>200 Diam Tube Silencer 600L</t>
        </is>
      </c>
      <c r="C13" t="inlineStr">
        <is>
          <t>Attenu-Tec</t>
        </is>
      </c>
      <c r="D13" t="inlineStr">
        <is>
          <t>FM - DONKIN</t>
        </is>
      </c>
      <c r="E13" s="1" t="n">
        <v>533</v>
      </c>
      <c r="F13" t="n">
        <v>4</v>
      </c>
      <c r="G13" t="n">
        <v>0</v>
      </c>
      <c r="H13" t="n">
        <v>18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200T900</t>
        </is>
      </c>
      <c r="B14" t="inlineStr">
        <is>
          <t>200 Diam Tube Silencer 900L</t>
        </is>
      </c>
      <c r="C14" t="inlineStr">
        <is>
          <t>Attenu-Tec</t>
        </is>
      </c>
      <c r="D14" t="inlineStr">
        <is>
          <t>FM - DONKIN</t>
        </is>
      </c>
      <c r="E14" s="1" t="n">
        <v>623</v>
      </c>
      <c r="F14" t="n">
        <v>2</v>
      </c>
      <c r="G14" t="n">
        <v>0</v>
      </c>
      <c r="H14" t="n">
        <v>10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2243FM</t>
        </is>
      </c>
      <c r="B15" t="inlineStr">
        <is>
          <t>22kW 4P 380V Foot Mount Motor</t>
        </is>
      </c>
      <c r="C15" t="inlineStr">
        <is>
          <t>ACTOM</t>
        </is>
      </c>
      <c r="D15" t="inlineStr">
        <is>
          <t>FM - DONKIN</t>
        </is>
      </c>
      <c r="E15" s="1" t="n">
        <v>16260</v>
      </c>
      <c r="F15" t="n">
        <v>2</v>
      </c>
      <c r="G15" t="n">
        <v>0</v>
      </c>
      <c r="H15" t="n">
        <v>6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250T600</t>
        </is>
      </c>
      <c r="B16" t="inlineStr">
        <is>
          <t>250 Diam Tube Silencer 600L</t>
        </is>
      </c>
      <c r="C16" t="inlineStr">
        <is>
          <t>Attenu-Tec</t>
        </is>
      </c>
      <c r="D16" t="inlineStr">
        <is>
          <t>FM - DONKIN</t>
        </is>
      </c>
      <c r="E16" s="1" t="n">
        <v>595</v>
      </c>
      <c r="F16" t="n">
        <v>2</v>
      </c>
      <c r="G16" t="n">
        <v>0</v>
      </c>
      <c r="H16" t="n">
        <v>12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315-560AVMS</t>
        </is>
      </c>
      <c r="B17" t="inlineStr">
        <is>
          <t>315 to 560 NDA RED ANeoprene Floor Mounts</t>
        </is>
      </c>
      <c r="C17" t="inlineStr">
        <is>
          <t>Seal 'N Devices (Pty) Ltd</t>
        </is>
      </c>
      <c r="D17" t="inlineStr">
        <is>
          <t>FM - DONKIN</t>
        </is>
      </c>
      <c r="E17" s="1" t="n">
        <v>42.94</v>
      </c>
      <c r="F17" t="n">
        <v>24</v>
      </c>
      <c r="G17" t="n">
        <v>0</v>
      </c>
      <c r="H17" t="n">
        <v>118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315FC</t>
        </is>
      </c>
      <c r="B18" t="inlineStr">
        <is>
          <t>315 Diam Flexible Connection</t>
        </is>
      </c>
      <c r="C18" t="inlineStr">
        <is>
          <t>Attenu-Tec</t>
        </is>
      </c>
      <c r="D18" t="inlineStr">
        <is>
          <t>FM - DONKIN</t>
        </is>
      </c>
      <c r="E18" s="1" t="n">
        <v>142.96</v>
      </c>
      <c r="F18" t="n">
        <v>1</v>
      </c>
      <c r="G18" t="n">
        <v>0</v>
      </c>
      <c r="H18" t="n">
        <v>2</v>
      </c>
      <c r="I18" t="n">
        <v>0</v>
      </c>
      <c r="J18" t="n">
        <v>0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315S1.0DP</t>
        </is>
      </c>
      <c r="B19" t="inlineStr">
        <is>
          <t>315 Diam Silencer 1.0D Podded</t>
        </is>
      </c>
      <c r="C19" t="inlineStr">
        <is>
          <t>Attenu-Tec</t>
        </is>
      </c>
      <c r="D19" t="inlineStr">
        <is>
          <t>FM - DONKIN</t>
        </is>
      </c>
      <c r="E19" s="1" t="n">
        <v>1425</v>
      </c>
      <c r="F19" t="n">
        <v>1</v>
      </c>
      <c r="G19" t="n">
        <v>0</v>
      </c>
      <c r="H19" t="n">
        <v>2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315S1.5DP</t>
        </is>
      </c>
      <c r="B20" t="inlineStr">
        <is>
          <t>315 Diam Silencer 1.5D Podded</t>
        </is>
      </c>
      <c r="C20" t="inlineStr">
        <is>
          <t>Attenu-Tec</t>
        </is>
      </c>
      <c r="D20" t="inlineStr">
        <is>
          <t>FM - DONKIN</t>
        </is>
      </c>
      <c r="E20" s="1" t="n">
        <v>1340</v>
      </c>
      <c r="F20" t="n">
        <v>3</v>
      </c>
      <c r="G20" t="n">
        <v>0</v>
      </c>
      <c r="H20" t="n">
        <v>12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315S2.0DP</t>
        </is>
      </c>
      <c r="B21" t="inlineStr">
        <is>
          <t>315 Diam Silencer 2.0D Podded</t>
        </is>
      </c>
      <c r="C21" t="inlineStr">
        <is>
          <t>Attenu-Tec</t>
        </is>
      </c>
      <c r="D21" t="inlineStr">
        <is>
          <t>FM - DONKIN</t>
        </is>
      </c>
      <c r="E21" s="1" t="n">
        <v>1695</v>
      </c>
      <c r="F21" t="n">
        <v>1</v>
      </c>
      <c r="G21" t="n">
        <v>0</v>
      </c>
      <c r="H21" t="n">
        <v>3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315SM1.5DP</t>
        </is>
      </c>
      <c r="B22" t="inlineStr">
        <is>
          <t>315 Diam Melinex Silencer 1.5D Podded</t>
        </is>
      </c>
      <c r="C22" t="inlineStr">
        <is>
          <t>Attenu-Tec</t>
        </is>
      </c>
      <c r="D22" t="inlineStr">
        <is>
          <t>FM - DONKIN</t>
        </is>
      </c>
      <c r="E22" s="1" t="n">
        <v>1270</v>
      </c>
      <c r="F22" t="n">
        <v>3</v>
      </c>
      <c r="G22" t="n">
        <v>0</v>
      </c>
      <c r="H22" t="n">
        <v>7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315T300</t>
        </is>
      </c>
      <c r="B23" t="inlineStr">
        <is>
          <t>315 Diam Tube Silencer 300L</t>
        </is>
      </c>
      <c r="C23" t="inlineStr">
        <is>
          <t>Attenu-Tec</t>
        </is>
      </c>
      <c r="D23" t="inlineStr">
        <is>
          <t>FM - DONKIN</t>
        </is>
      </c>
      <c r="E23" s="1" t="n">
        <v>414</v>
      </c>
      <c r="F23" t="n">
        <v>5</v>
      </c>
      <c r="G23" t="n">
        <v>0</v>
      </c>
      <c r="H23" t="n">
        <v>25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315T600</t>
        </is>
      </c>
      <c r="B24" t="inlineStr">
        <is>
          <t>315 Diam Tube Silencer 600L</t>
        </is>
      </c>
      <c r="C24" t="inlineStr">
        <is>
          <t>Attenu-Tec</t>
        </is>
      </c>
      <c r="D24" t="inlineStr">
        <is>
          <t>FM - DONKIN</t>
        </is>
      </c>
      <c r="E24" s="1" t="n">
        <v>679</v>
      </c>
      <c r="F24" t="n">
        <v>7</v>
      </c>
      <c r="G24" t="n">
        <v>0</v>
      </c>
      <c r="H24" t="n">
        <v>30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315T900</t>
        </is>
      </c>
      <c r="B25" t="inlineStr">
        <is>
          <t>315 Diam Tube Silencer 900L</t>
        </is>
      </c>
      <c r="C25" t="inlineStr">
        <is>
          <t>Attenu-Tec</t>
        </is>
      </c>
      <c r="D25" t="inlineStr">
        <is>
          <t>FM - DONKIN</t>
        </is>
      </c>
      <c r="E25" s="1" t="n">
        <v>793</v>
      </c>
      <c r="F25" t="n">
        <v>1</v>
      </c>
      <c r="G25" t="n">
        <v>0</v>
      </c>
      <c r="H25" t="n">
        <v>2</v>
      </c>
      <c r="I25" t="n">
        <v>0</v>
      </c>
      <c r="J25" t="n">
        <v>0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355T600.</t>
        </is>
      </c>
      <c r="B26" t="inlineStr">
        <is>
          <t>355 Diam Tube Silencer 600L</t>
        </is>
      </c>
      <c r="C26" t="inlineStr">
        <is>
          <t>Attenu-Tec</t>
        </is>
      </c>
      <c r="D26" t="inlineStr">
        <is>
          <t>FM - DONKIN</t>
        </is>
      </c>
      <c r="E26" s="1" t="n">
        <v>731</v>
      </c>
      <c r="F26" t="n">
        <v>1</v>
      </c>
      <c r="G26" t="n">
        <v>0</v>
      </c>
      <c r="H26" t="n">
        <v>5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400FC</t>
        </is>
      </c>
      <c r="B27" t="inlineStr">
        <is>
          <t>400 Diam Flexible Connection</t>
        </is>
      </c>
      <c r="C27" t="inlineStr">
        <is>
          <t>Attenu-Tec HVAC Parts</t>
        </is>
      </c>
      <c r="D27" t="inlineStr">
        <is>
          <t>FM - DONKIN</t>
        </is>
      </c>
      <c r="E27" s="1" t="n">
        <v>325.84</v>
      </c>
      <c r="F27" t="n">
        <v>1</v>
      </c>
      <c r="G27" t="n">
        <v>0</v>
      </c>
      <c r="H27" t="n">
        <v>3</v>
      </c>
      <c r="I27" t="n">
        <v>0</v>
      </c>
      <c r="J27" t="n">
        <v>0</v>
      </c>
      <c r="K27">
        <f>IF(H27-I27-J27&gt;0,H27-I27-J27,0)</f>
        <v/>
      </c>
      <c r="L27" s="1">
        <f>IFERROR(I27*E27,0)</f>
        <v/>
      </c>
      <c r="M27" s="1">
        <f>IFERROR(K27*E27,0)</f>
        <v/>
      </c>
    </row>
    <row r="28">
      <c r="A28" t="inlineStr">
        <is>
          <t>400HVJ-2S</t>
        </is>
      </c>
      <c r="B28" t="inlineStr">
        <is>
          <t>400 Diam Vertical Discharge Unit</t>
        </is>
      </c>
      <c r="C28" t="inlineStr">
        <is>
          <t>Attenu-Tec HVAC Parts</t>
        </is>
      </c>
      <c r="D28" t="inlineStr">
        <is>
          <t>FM - DONKIN</t>
        </is>
      </c>
      <c r="E28" s="1" t="n">
        <v>840</v>
      </c>
      <c r="F28" t="n">
        <v>1</v>
      </c>
      <c r="G28" t="n">
        <v>0</v>
      </c>
      <c r="H28" t="n">
        <v>3</v>
      </c>
      <c r="I28" t="n">
        <v>0</v>
      </c>
      <c r="J28" t="n">
        <v>0</v>
      </c>
      <c r="K28">
        <f>IF(H28-I28-J28&gt;0,H28-I28-J28,0)</f>
        <v/>
      </c>
      <c r="L28" s="1">
        <f>IFERROR(I28*E28,0)</f>
        <v/>
      </c>
      <c r="M28" s="1">
        <f>IFERROR(K28*E28,0)</f>
        <v/>
      </c>
    </row>
    <row r="29">
      <c r="A29" t="inlineStr">
        <is>
          <t>400S1.0D</t>
        </is>
      </c>
      <c r="B29" t="inlineStr">
        <is>
          <t>400 Diam Silencer 1.0D</t>
        </is>
      </c>
      <c r="C29" t="inlineStr"/>
      <c r="D29" t="inlineStr">
        <is>
          <t>FM - DONKIN</t>
        </is>
      </c>
      <c r="E29" s="1" t="n">
        <v>0</v>
      </c>
      <c r="F29" t="n">
        <v>1</v>
      </c>
      <c r="G29" t="n">
        <v>0</v>
      </c>
      <c r="H29" t="n">
        <v>5</v>
      </c>
      <c r="I29" t="n">
        <v>0</v>
      </c>
      <c r="J29" t="n">
        <v>0</v>
      </c>
      <c r="K29">
        <f>IF(H29-I29-J29&gt;0,H29-I29-J29,0)</f>
        <v/>
      </c>
      <c r="L29" s="1">
        <f>IFERROR(I29*E29,0)</f>
        <v/>
      </c>
      <c r="M29" s="1">
        <f>IFERROR(K29*E29,0)</f>
        <v/>
      </c>
    </row>
    <row r="30">
      <c r="A30" t="inlineStr">
        <is>
          <t>400S1.0DP</t>
        </is>
      </c>
      <c r="B30" t="inlineStr">
        <is>
          <t>400 Diam Silencer 1.0D Podded</t>
        </is>
      </c>
      <c r="C30" t="inlineStr">
        <is>
          <t>Attenu-Tec</t>
        </is>
      </c>
      <c r="D30" t="inlineStr">
        <is>
          <t>FM - DONKIN</t>
        </is>
      </c>
      <c r="E30" s="1" t="n">
        <v>1456</v>
      </c>
      <c r="F30" t="n">
        <v>1</v>
      </c>
      <c r="G30" t="n">
        <v>0</v>
      </c>
      <c r="H30" t="n">
        <v>2</v>
      </c>
      <c r="I30" t="n">
        <v>0</v>
      </c>
      <c r="J30" t="n">
        <v>0</v>
      </c>
      <c r="K30">
        <f>IF(H30-I30-J30&gt;0,H30-I30-J30,0)</f>
        <v/>
      </c>
      <c r="L30" s="1">
        <f>IFERROR(I30*E30,0)</f>
        <v/>
      </c>
      <c r="M30" s="1">
        <f>IFERROR(K30*E30,0)</f>
        <v/>
      </c>
    </row>
    <row r="31">
      <c r="A31" t="inlineStr">
        <is>
          <t>400S1.5D</t>
        </is>
      </c>
      <c r="B31" t="inlineStr">
        <is>
          <t>400 Diam Silencer 1.5D</t>
        </is>
      </c>
      <c r="C31" t="inlineStr">
        <is>
          <t>Attenu-Tec</t>
        </is>
      </c>
      <c r="D31" t="inlineStr">
        <is>
          <t>FM - DONKIN</t>
        </is>
      </c>
      <c r="E31" s="1" t="n">
        <v>1164</v>
      </c>
      <c r="F31" t="n">
        <v>1</v>
      </c>
      <c r="G31" t="n">
        <v>0</v>
      </c>
      <c r="H31" t="n">
        <v>2</v>
      </c>
      <c r="I31" t="n">
        <v>0</v>
      </c>
      <c r="J31" t="n">
        <v>0</v>
      </c>
      <c r="K31">
        <f>IF(H31-I31-J31&gt;0,H31-I31-J31,0)</f>
        <v/>
      </c>
      <c r="L31" s="1">
        <f>IFERROR(I31*E31,0)</f>
        <v/>
      </c>
      <c r="M31" s="1">
        <f>IFERROR(K31*E31,0)</f>
        <v/>
      </c>
    </row>
    <row r="32">
      <c r="A32" t="inlineStr">
        <is>
          <t>400S1.5DP</t>
        </is>
      </c>
      <c r="B32" t="inlineStr">
        <is>
          <t>400 Diam Silencer 1.5D Podded</t>
        </is>
      </c>
      <c r="C32" t="inlineStr">
        <is>
          <t>Attenu-Tec</t>
        </is>
      </c>
      <c r="D32" t="inlineStr">
        <is>
          <t>FM - DONKIN</t>
        </is>
      </c>
      <c r="E32" s="1" t="n">
        <v>1632</v>
      </c>
      <c r="F32" t="n">
        <v>2</v>
      </c>
      <c r="G32" t="n">
        <v>0</v>
      </c>
      <c r="H32" t="n">
        <v>10</v>
      </c>
      <c r="I32" t="n">
        <v>0</v>
      </c>
      <c r="J32" t="n">
        <v>0</v>
      </c>
      <c r="K32">
        <f>IF(H32-I32-J32&gt;0,H32-I32-J32,0)</f>
        <v/>
      </c>
      <c r="L32" s="1">
        <f>IFERROR(I32*E32,0)</f>
        <v/>
      </c>
      <c r="M32" s="1">
        <f>IFERROR(K32*E32,0)</f>
        <v/>
      </c>
    </row>
    <row r="33">
      <c r="A33" t="inlineStr">
        <is>
          <t>400S2.0DP</t>
        </is>
      </c>
      <c r="B33" t="inlineStr">
        <is>
          <t>400 Diam Silencer 2.0D Podded</t>
        </is>
      </c>
      <c r="C33" t="inlineStr">
        <is>
          <t>Attenu-Tec</t>
        </is>
      </c>
      <c r="D33" t="inlineStr">
        <is>
          <t>FM - DONKIN</t>
        </is>
      </c>
      <c r="E33" s="1" t="n">
        <v>2030.72</v>
      </c>
      <c r="F33" t="n">
        <v>1</v>
      </c>
      <c r="G33" t="n">
        <v>0</v>
      </c>
      <c r="H33" t="n">
        <v>5</v>
      </c>
      <c r="I33" t="n">
        <v>0</v>
      </c>
      <c r="J33" t="n">
        <v>0</v>
      </c>
      <c r="K33">
        <f>IF(H33-I33-J33&gt;0,H33-I33-J33,0)</f>
        <v/>
      </c>
      <c r="L33" s="1">
        <f>IFERROR(I33*E33,0)</f>
        <v/>
      </c>
      <c r="M33" s="1">
        <f>IFERROR(K33*E33,0)</f>
        <v/>
      </c>
    </row>
    <row r="34">
      <c r="A34" t="inlineStr">
        <is>
          <t>400SM1.5DP</t>
        </is>
      </c>
      <c r="B34" t="inlineStr">
        <is>
          <t>400 Diam Melinex Silencer 1.5D Podded</t>
        </is>
      </c>
      <c r="C34" t="inlineStr">
        <is>
          <t>Attenu-Tec</t>
        </is>
      </c>
      <c r="D34" t="inlineStr">
        <is>
          <t>FM - DONKIN</t>
        </is>
      </c>
      <c r="E34" s="1" t="n">
        <v>1506.5</v>
      </c>
      <c r="F34" t="n">
        <v>1</v>
      </c>
      <c r="G34" t="n">
        <v>0</v>
      </c>
      <c r="H34" t="n">
        <v>2</v>
      </c>
      <c r="I34" t="n">
        <v>0</v>
      </c>
      <c r="J34" t="n">
        <v>0</v>
      </c>
      <c r="K34">
        <f>IF(H34-I34-J34&gt;0,H34-I34-J34,0)</f>
        <v/>
      </c>
      <c r="L34" s="1">
        <f>IFERROR(I34*E34,0)</f>
        <v/>
      </c>
      <c r="M34" s="1">
        <f>IFERROR(K34*E34,0)</f>
        <v/>
      </c>
    </row>
    <row r="35">
      <c r="A35" t="inlineStr">
        <is>
          <t>500FC</t>
        </is>
      </c>
      <c r="B35" t="inlineStr">
        <is>
          <t>500 Diam Flexible Connection</t>
        </is>
      </c>
      <c r="C35" t="inlineStr">
        <is>
          <t>Air Speration</t>
        </is>
      </c>
      <c r="D35" t="inlineStr">
        <is>
          <t>FM - DONKIN</t>
        </is>
      </c>
      <c r="E35" s="1" t="n">
        <v>537.5700000000001</v>
      </c>
      <c r="F35" t="n">
        <v>1</v>
      </c>
      <c r="G35" t="n">
        <v>0</v>
      </c>
      <c r="H35" t="n">
        <v>3</v>
      </c>
      <c r="I35" t="n">
        <v>0</v>
      </c>
      <c r="J35" t="n">
        <v>0</v>
      </c>
      <c r="K35">
        <f>IF(H35-I35-J35&gt;0,H35-I35-J35,0)</f>
        <v/>
      </c>
      <c r="L35" s="1">
        <f>IFERROR(I35*E35,0)</f>
        <v/>
      </c>
      <c r="M35" s="1">
        <f>IFERROR(K35*E35,0)</f>
        <v/>
      </c>
    </row>
    <row r="36">
      <c r="A36" t="inlineStr">
        <is>
          <t>500HVJ-2S</t>
        </is>
      </c>
      <c r="B36" t="inlineStr">
        <is>
          <t>500 Diam Vertical Discharge Unit</t>
        </is>
      </c>
      <c r="C36" t="inlineStr">
        <is>
          <t>Attenu-Tec HVAC Parts</t>
        </is>
      </c>
      <c r="D36" t="inlineStr">
        <is>
          <t>FM - DONKIN</t>
        </is>
      </c>
      <c r="E36" s="1" t="n">
        <v>1025</v>
      </c>
      <c r="F36" t="n">
        <v>1</v>
      </c>
      <c r="G36" t="n">
        <v>0</v>
      </c>
      <c r="H36" t="n">
        <v>3</v>
      </c>
      <c r="I36" t="n">
        <v>0</v>
      </c>
      <c r="J36" t="n">
        <v>0</v>
      </c>
      <c r="K36">
        <f>IF(H36-I36-J36&gt;0,H36-I36-J36,0)</f>
        <v/>
      </c>
      <c r="L36" s="1">
        <f>IFERROR(I36*E36,0)</f>
        <v/>
      </c>
      <c r="M36" s="1">
        <f>IFERROR(K36*E36,0)</f>
        <v/>
      </c>
    </row>
    <row r="37">
      <c r="A37" t="inlineStr">
        <is>
          <t>500S1.0DP</t>
        </is>
      </c>
      <c r="B37" t="inlineStr">
        <is>
          <t>500 Diam Silencer 1.0D Podded</t>
        </is>
      </c>
      <c r="C37" t="inlineStr">
        <is>
          <t>Attenu-Tec</t>
        </is>
      </c>
      <c r="D37" t="inlineStr">
        <is>
          <t>FM - DONKIN</t>
        </is>
      </c>
      <c r="E37" s="1" t="n">
        <v>1575</v>
      </c>
      <c r="F37" t="n">
        <v>1</v>
      </c>
      <c r="G37" t="n">
        <v>0</v>
      </c>
      <c r="H37" t="n">
        <v>2</v>
      </c>
      <c r="I37" t="n">
        <v>0</v>
      </c>
      <c r="J37" t="n">
        <v>0</v>
      </c>
      <c r="K37">
        <f>IF(H37-I37-J37&gt;0,H37-I37-J37,0)</f>
        <v/>
      </c>
      <c r="L37" s="1">
        <f>IFERROR(I37*E37,0)</f>
        <v/>
      </c>
      <c r="M37" s="1">
        <f>IFERROR(K37*E37,0)</f>
        <v/>
      </c>
    </row>
    <row r="38">
      <c r="A38" t="inlineStr">
        <is>
          <t>500S1.5D</t>
        </is>
      </c>
      <c r="B38" t="inlineStr">
        <is>
          <t>500 Diam Silencer 1.5D</t>
        </is>
      </c>
      <c r="C38" t="inlineStr"/>
      <c r="D38" t="inlineStr">
        <is>
          <t>FM - DONKIN</t>
        </is>
      </c>
      <c r="E38" s="1" t="n">
        <v>0</v>
      </c>
      <c r="F38" t="n">
        <v>1</v>
      </c>
      <c r="G38" t="n">
        <v>0</v>
      </c>
      <c r="H38" t="n">
        <v>5</v>
      </c>
      <c r="I38" t="n">
        <v>0</v>
      </c>
      <c r="J38" t="n">
        <v>0</v>
      </c>
      <c r="K38">
        <f>IF(H38-I38-J38&gt;0,H38-I38-J38,0)</f>
        <v/>
      </c>
      <c r="L38" s="1">
        <f>IFERROR(I38*E38,0)</f>
        <v/>
      </c>
      <c r="M38" s="1">
        <f>IFERROR(K38*E38,0)</f>
        <v/>
      </c>
    </row>
    <row r="39">
      <c r="A39" t="inlineStr">
        <is>
          <t>500S1.5DP</t>
        </is>
      </c>
      <c r="B39" t="inlineStr">
        <is>
          <t>500 Diam Silencer 1.5D Podded</t>
        </is>
      </c>
      <c r="C39" t="inlineStr">
        <is>
          <t>Attenu-Tec</t>
        </is>
      </c>
      <c r="D39" t="inlineStr">
        <is>
          <t>FM - DONKIN</t>
        </is>
      </c>
      <c r="E39" s="1" t="n">
        <v>2025</v>
      </c>
      <c r="F39" t="n">
        <v>2</v>
      </c>
      <c r="G39" t="n">
        <v>0</v>
      </c>
      <c r="H39" t="n">
        <v>8</v>
      </c>
      <c r="I39" t="n">
        <v>0</v>
      </c>
      <c r="J39" t="n">
        <v>0</v>
      </c>
      <c r="K39">
        <f>IF(H39-I39-J39&gt;0,H39-I39-J39,0)</f>
        <v/>
      </c>
      <c r="L39" s="1">
        <f>IFERROR(I39*E39,0)</f>
        <v/>
      </c>
      <c r="M39" s="1">
        <f>IFERROR(K39*E39,0)</f>
        <v/>
      </c>
    </row>
    <row r="40">
      <c r="A40" t="inlineStr">
        <is>
          <t>500S2.0DP</t>
        </is>
      </c>
      <c r="B40" t="inlineStr">
        <is>
          <t>500 Diam Silencer 2.0D Podded</t>
        </is>
      </c>
      <c r="C40" t="inlineStr">
        <is>
          <t>Attenu-Tec</t>
        </is>
      </c>
      <c r="D40" t="inlineStr">
        <is>
          <t>FM - DONKIN</t>
        </is>
      </c>
      <c r="E40" s="1" t="n">
        <v>2608</v>
      </c>
      <c r="F40" t="n">
        <v>4</v>
      </c>
      <c r="G40" t="n">
        <v>0</v>
      </c>
      <c r="H40" t="n">
        <v>13</v>
      </c>
      <c r="I40" t="n">
        <v>0</v>
      </c>
      <c r="J40" t="n">
        <v>0</v>
      </c>
      <c r="K40">
        <f>IF(H40-I40-J40&gt;0,H40-I40-J40,0)</f>
        <v/>
      </c>
      <c r="L40" s="1">
        <f>IFERROR(I40*E40,0)</f>
        <v/>
      </c>
      <c r="M40" s="1">
        <f>IFERROR(K40*E40,0)</f>
        <v/>
      </c>
    </row>
    <row r="41">
      <c r="A41" t="inlineStr">
        <is>
          <t>500SM1.5D</t>
        </is>
      </c>
      <c r="B41" t="inlineStr">
        <is>
          <t>500 Diam Melinex Silencer 1.5D</t>
        </is>
      </c>
      <c r="C41" t="inlineStr"/>
      <c r="D41" t="inlineStr">
        <is>
          <t>FM - DONKIN</t>
        </is>
      </c>
      <c r="E41" s="1" t="n">
        <v>0</v>
      </c>
      <c r="F41" t="n">
        <v>1</v>
      </c>
      <c r="G41" t="n">
        <v>0</v>
      </c>
      <c r="H41" t="n">
        <v>5</v>
      </c>
      <c r="I41" t="n">
        <v>0</v>
      </c>
      <c r="J41" t="n">
        <v>0</v>
      </c>
      <c r="K41">
        <f>IF(H41-I41-J41&gt;0,H41-I41-J41,0)</f>
        <v/>
      </c>
      <c r="L41" s="1">
        <f>IFERROR(I41*E41,0)</f>
        <v/>
      </c>
      <c r="M41" s="1">
        <f>IFERROR(K41*E41,0)</f>
        <v/>
      </c>
    </row>
    <row r="42">
      <c r="A42" t="inlineStr">
        <is>
          <t>500SM1.5DP</t>
        </is>
      </c>
      <c r="B42" t="inlineStr">
        <is>
          <t>500 Diam Melinex Silencer 1.5D Podded</t>
        </is>
      </c>
      <c r="C42" t="inlineStr">
        <is>
          <t>Attenu-Tec</t>
        </is>
      </c>
      <c r="D42" t="inlineStr">
        <is>
          <t>FM - DONKIN</t>
        </is>
      </c>
      <c r="E42" s="1" t="n">
        <v>1819</v>
      </c>
      <c r="F42" t="n">
        <v>1</v>
      </c>
      <c r="G42" t="n">
        <v>0</v>
      </c>
      <c r="H42" t="n">
        <v>2</v>
      </c>
      <c r="I42" t="n">
        <v>0</v>
      </c>
      <c r="J42" t="n">
        <v>0</v>
      </c>
      <c r="K42">
        <f>IF(H42-I42-J42&gt;0,H42-I42-J42,0)</f>
        <v/>
      </c>
      <c r="L42" s="1">
        <f>IFERROR(I42*E42,0)</f>
        <v/>
      </c>
      <c r="M42" s="1">
        <f>IFERROR(K42*E42,0)</f>
        <v/>
      </c>
    </row>
    <row r="43">
      <c r="A43" t="inlineStr">
        <is>
          <t>500SM2.0DP</t>
        </is>
      </c>
      <c r="B43" t="inlineStr">
        <is>
          <t>500 Diam Melinex Silencer 2.0D Podded</t>
        </is>
      </c>
      <c r="C43" t="inlineStr">
        <is>
          <t>Attenu-Tec</t>
        </is>
      </c>
      <c r="D43" t="inlineStr">
        <is>
          <t>FM - DONKIN</t>
        </is>
      </c>
      <c r="E43" s="1" t="n">
        <v>2608</v>
      </c>
      <c r="F43" t="n">
        <v>1</v>
      </c>
      <c r="G43" t="n">
        <v>0</v>
      </c>
      <c r="H43" t="n">
        <v>2</v>
      </c>
      <c r="I43" t="n">
        <v>0</v>
      </c>
      <c r="J43" t="n">
        <v>0</v>
      </c>
      <c r="K43">
        <f>IF(H43-I43-J43&gt;0,H43-I43-J43,0)</f>
        <v/>
      </c>
      <c r="L43" s="1">
        <f>IFERROR(I43*E43,0)</f>
        <v/>
      </c>
      <c r="M43" s="1">
        <f>IFERROR(K43*E43,0)</f>
        <v/>
      </c>
    </row>
    <row r="44">
      <c r="A44" t="inlineStr">
        <is>
          <t>560FC</t>
        </is>
      </c>
      <c r="B44" t="inlineStr">
        <is>
          <t>560 Diam Flexible Connection</t>
        </is>
      </c>
      <c r="C44" t="inlineStr">
        <is>
          <t>Attenu-Tec HVAC Parts</t>
        </is>
      </c>
      <c r="D44" t="inlineStr">
        <is>
          <t>FM - DONKIN</t>
        </is>
      </c>
      <c r="E44" s="1" t="n">
        <v>733</v>
      </c>
      <c r="F44" t="n">
        <v>2</v>
      </c>
      <c r="G44" t="n">
        <v>0</v>
      </c>
      <c r="H44" t="n">
        <v>4</v>
      </c>
      <c r="I44" t="n">
        <v>0</v>
      </c>
      <c r="J44" t="n">
        <v>0</v>
      </c>
      <c r="K44">
        <f>IF(H44-I44-J44&gt;0,H44-I44-J44,0)</f>
        <v/>
      </c>
      <c r="L44" s="1">
        <f>IFERROR(I44*E44,0)</f>
        <v/>
      </c>
      <c r="M44" s="1">
        <f>IFERROR(K44*E44,0)</f>
        <v/>
      </c>
    </row>
    <row r="45">
      <c r="A45" t="inlineStr">
        <is>
          <t>560HVJ-2S</t>
        </is>
      </c>
      <c r="B45" t="inlineStr">
        <is>
          <t>560 Diam Vertical Discharge Unit</t>
        </is>
      </c>
      <c r="C45" t="inlineStr">
        <is>
          <t>Attenu-Tec HVAC Parts</t>
        </is>
      </c>
      <c r="D45" t="inlineStr">
        <is>
          <t>FM - DONKIN</t>
        </is>
      </c>
      <c r="E45" s="1" t="n">
        <v>1201.86</v>
      </c>
      <c r="F45" t="n">
        <v>1</v>
      </c>
      <c r="G45" t="n">
        <v>0</v>
      </c>
      <c r="H45" t="n">
        <v>3</v>
      </c>
      <c r="I45" t="n">
        <v>0</v>
      </c>
      <c r="J45" t="n">
        <v>0</v>
      </c>
      <c r="K45">
        <f>IF(H45-I45-J45&gt;0,H45-I45-J45,0)</f>
        <v/>
      </c>
      <c r="L45" s="1">
        <f>IFERROR(I45*E45,0)</f>
        <v/>
      </c>
      <c r="M45" s="1">
        <f>IFERROR(K45*E45,0)</f>
        <v/>
      </c>
    </row>
    <row r="46">
      <c r="A46" t="inlineStr">
        <is>
          <t>560S1.5D</t>
        </is>
      </c>
      <c r="B46" t="inlineStr">
        <is>
          <t>560 Diam Silencer 1.5D</t>
        </is>
      </c>
      <c r="C46" t="inlineStr">
        <is>
          <t>Attenu-Tec</t>
        </is>
      </c>
      <c r="D46" t="inlineStr">
        <is>
          <t>FM - DONKIN</t>
        </is>
      </c>
      <c r="E46" s="1" t="n">
        <v>2352</v>
      </c>
      <c r="F46" t="n">
        <v>1</v>
      </c>
      <c r="G46" t="n">
        <v>0</v>
      </c>
      <c r="H46" t="n">
        <v>5</v>
      </c>
      <c r="I46" t="n">
        <v>0</v>
      </c>
      <c r="J46" t="n">
        <v>0</v>
      </c>
      <c r="K46">
        <f>IF(H46-I46-J46&gt;0,H46-I46-J46,0)</f>
        <v/>
      </c>
      <c r="L46" s="1">
        <f>IFERROR(I46*E46,0)</f>
        <v/>
      </c>
      <c r="M46" s="1">
        <f>IFERROR(K46*E46,0)</f>
        <v/>
      </c>
    </row>
    <row r="47">
      <c r="A47" t="inlineStr">
        <is>
          <t>560S1.5DP</t>
        </is>
      </c>
      <c r="B47" t="inlineStr">
        <is>
          <t>560 Diam Silencer 1.5D Podded</t>
        </is>
      </c>
      <c r="C47" t="inlineStr">
        <is>
          <t>Attenu-Tec</t>
        </is>
      </c>
      <c r="D47" t="inlineStr">
        <is>
          <t>FM - DONKIN</t>
        </is>
      </c>
      <c r="E47" s="1" t="n">
        <v>2617</v>
      </c>
      <c r="F47" t="n">
        <v>3</v>
      </c>
      <c r="G47" t="n">
        <v>0</v>
      </c>
      <c r="H47" t="n">
        <v>10</v>
      </c>
      <c r="I47" t="n">
        <v>0</v>
      </c>
      <c r="J47" t="n">
        <v>0</v>
      </c>
      <c r="K47">
        <f>IF(H47-I47-J47&gt;0,H47-I47-J47,0)</f>
        <v/>
      </c>
      <c r="L47" s="1">
        <f>IFERROR(I47*E47,0)</f>
        <v/>
      </c>
      <c r="M47" s="1">
        <f>IFERROR(K47*E47,0)</f>
        <v/>
      </c>
    </row>
    <row r="48">
      <c r="A48" t="inlineStr">
        <is>
          <t>560S2.0DP</t>
        </is>
      </c>
      <c r="B48" t="inlineStr">
        <is>
          <t>560 Diam Silencer 2.0D Podded</t>
        </is>
      </c>
      <c r="C48" t="inlineStr">
        <is>
          <t>Attenu-Tec</t>
        </is>
      </c>
      <c r="D48" t="inlineStr">
        <is>
          <t>FM - DONKIN</t>
        </is>
      </c>
      <c r="E48" s="1" t="n">
        <v>3435</v>
      </c>
      <c r="F48" t="n">
        <v>2</v>
      </c>
      <c r="G48" t="n">
        <v>0</v>
      </c>
      <c r="H48" t="n">
        <v>5</v>
      </c>
      <c r="I48" t="n">
        <v>0</v>
      </c>
      <c r="J48" t="n">
        <v>0</v>
      </c>
      <c r="K48">
        <f>IF(H48-I48-J48&gt;0,H48-I48-J48,0)</f>
        <v/>
      </c>
      <c r="L48" s="1">
        <f>IFERROR(I48*E48,0)</f>
        <v/>
      </c>
      <c r="M48" s="1">
        <f>IFERROR(K48*E48,0)</f>
        <v/>
      </c>
    </row>
    <row r="49">
      <c r="A49" t="inlineStr">
        <is>
          <t>560SM1.0DP</t>
        </is>
      </c>
      <c r="B49" t="inlineStr">
        <is>
          <t>560 Diam Melinex Silencer 1.0D Podded</t>
        </is>
      </c>
      <c r="C49" t="inlineStr">
        <is>
          <t>Attenu-Tec</t>
        </is>
      </c>
      <c r="D49" t="inlineStr">
        <is>
          <t>FM - DONKIN</t>
        </is>
      </c>
      <c r="E49" s="1" t="n">
        <v>2138</v>
      </c>
      <c r="F49" t="n">
        <v>1</v>
      </c>
      <c r="G49" t="n">
        <v>0</v>
      </c>
      <c r="H49" t="n">
        <v>2</v>
      </c>
      <c r="I49" t="n">
        <v>0</v>
      </c>
      <c r="J49" t="n">
        <v>0</v>
      </c>
      <c r="K49">
        <f>IF(H49-I49-J49&gt;0,H49-I49-J49,0)</f>
        <v/>
      </c>
      <c r="L49" s="1">
        <f>IFERROR(I49*E49,0)</f>
        <v/>
      </c>
      <c r="M49" s="1">
        <f>IFERROR(K49*E49,0)</f>
        <v/>
      </c>
    </row>
    <row r="50">
      <c r="A50" t="inlineStr">
        <is>
          <t>560SM1.5DP</t>
        </is>
      </c>
      <c r="B50" t="inlineStr">
        <is>
          <t>560 Diam Melinex Silencer 1.5D Podded</t>
        </is>
      </c>
      <c r="C50" t="inlineStr">
        <is>
          <t>Attenu-Tec</t>
        </is>
      </c>
      <c r="D50" t="inlineStr">
        <is>
          <t>FM - DONKIN</t>
        </is>
      </c>
      <c r="E50" s="1" t="n">
        <v>2486.15</v>
      </c>
      <c r="F50" t="n">
        <v>1</v>
      </c>
      <c r="G50" t="n">
        <v>0</v>
      </c>
      <c r="H50" t="n">
        <v>2</v>
      </c>
      <c r="I50" t="n">
        <v>0</v>
      </c>
      <c r="J50" t="n">
        <v>0</v>
      </c>
      <c r="K50">
        <f>IF(H50-I50-J50&gt;0,H50-I50-J50,0)</f>
        <v/>
      </c>
      <c r="L50" s="1">
        <f>IFERROR(I50*E50,0)</f>
        <v/>
      </c>
      <c r="M50" s="1">
        <f>IFERROR(K50*E50,0)</f>
        <v/>
      </c>
    </row>
    <row r="51">
      <c r="A51" t="inlineStr">
        <is>
          <t>560SM2.0DP</t>
        </is>
      </c>
      <c r="B51" t="inlineStr">
        <is>
          <t>560 Diam Melinex Silencer 2.0D Podded</t>
        </is>
      </c>
      <c r="C51" t="inlineStr">
        <is>
          <t>Attenu-Tec</t>
        </is>
      </c>
      <c r="D51" t="inlineStr">
        <is>
          <t>FM - DONKIN</t>
        </is>
      </c>
      <c r="E51" s="1" t="n">
        <v>3435</v>
      </c>
      <c r="F51" t="n">
        <v>7</v>
      </c>
      <c r="G51" t="n">
        <v>0</v>
      </c>
      <c r="H51" t="n">
        <v>15</v>
      </c>
      <c r="I51" t="n">
        <v>0</v>
      </c>
      <c r="J51" t="n">
        <v>0</v>
      </c>
      <c r="K51">
        <f>IF(H51-I51-J51&gt;0,H51-I51-J51,0)</f>
        <v/>
      </c>
      <c r="L51" s="1">
        <f>IFERROR(I51*E51,0)</f>
        <v/>
      </c>
      <c r="M51" s="1">
        <f>IFERROR(K51*E51,0)</f>
        <v/>
      </c>
    </row>
    <row r="52">
      <c r="A52" t="inlineStr">
        <is>
          <t>630-1000AVMS</t>
        </is>
      </c>
      <c r="B52" t="inlineStr">
        <is>
          <t>630 to 1000 NDB GREEN Neoprene Floor Mounts</t>
        </is>
      </c>
      <c r="C52" t="inlineStr">
        <is>
          <t>Seal 'N Devices (Pty) Ltd</t>
        </is>
      </c>
      <c r="D52" t="inlineStr">
        <is>
          <t>FM - DONKIN</t>
        </is>
      </c>
      <c r="E52" s="1" t="n">
        <v>57.48</v>
      </c>
      <c r="F52" t="n">
        <v>20</v>
      </c>
      <c r="G52" t="n">
        <v>0</v>
      </c>
      <c r="H52" t="n">
        <v>100</v>
      </c>
      <c r="I52" t="n">
        <v>0</v>
      </c>
      <c r="J52" t="n">
        <v>0</v>
      </c>
      <c r="K52">
        <f>IF(H52-I52-J52&gt;0,H52-I52-J52,0)</f>
        <v/>
      </c>
      <c r="L52" s="1">
        <f>IFERROR(I52*E52,0)</f>
        <v/>
      </c>
      <c r="M52" s="1">
        <f>IFERROR(K52*E52,0)</f>
        <v/>
      </c>
    </row>
    <row r="53">
      <c r="A53" t="inlineStr">
        <is>
          <t>630FC</t>
        </is>
      </c>
      <c r="B53" t="inlineStr">
        <is>
          <t>630 Diam Flexible Connection</t>
        </is>
      </c>
      <c r="C53" t="inlineStr">
        <is>
          <t>Attenu-Tec HVAC Parts</t>
        </is>
      </c>
      <c r="D53" t="inlineStr">
        <is>
          <t>FM - DONKIN</t>
        </is>
      </c>
      <c r="E53" s="1" t="n">
        <v>663.63</v>
      </c>
      <c r="F53" t="n">
        <v>1</v>
      </c>
      <c r="G53" t="n">
        <v>0</v>
      </c>
      <c r="H53" t="n">
        <v>3</v>
      </c>
      <c r="I53" t="n">
        <v>0</v>
      </c>
      <c r="J53" t="n">
        <v>0</v>
      </c>
      <c r="K53">
        <f>IF(H53-I53-J53&gt;0,H53-I53-J53,0)</f>
        <v/>
      </c>
      <c r="L53" s="1">
        <f>IFERROR(I53*E53,0)</f>
        <v/>
      </c>
      <c r="M53" s="1">
        <f>IFERROR(K53*E53,0)</f>
        <v/>
      </c>
    </row>
    <row r="54">
      <c r="A54" t="inlineStr">
        <is>
          <t>630HVJ-2S</t>
        </is>
      </c>
      <c r="B54" t="inlineStr">
        <is>
          <t>630 Diam Vertical Discharge Unit</t>
        </is>
      </c>
      <c r="C54" t="inlineStr">
        <is>
          <t>Attenu-Tec HVAC Parts</t>
        </is>
      </c>
      <c r="D54" t="inlineStr">
        <is>
          <t>FM - DONKIN</t>
        </is>
      </c>
      <c r="E54" s="1" t="n">
        <v>1437</v>
      </c>
      <c r="F54" t="n">
        <v>1</v>
      </c>
      <c r="G54" t="n">
        <v>0</v>
      </c>
      <c r="H54" t="n">
        <v>2</v>
      </c>
      <c r="I54" t="n">
        <v>0</v>
      </c>
      <c r="J54" t="n">
        <v>0</v>
      </c>
      <c r="K54">
        <f>IF(H54-I54-J54&gt;0,H54-I54-J54,0)</f>
        <v/>
      </c>
      <c r="L54" s="1">
        <f>IFERROR(I54*E54,0)</f>
        <v/>
      </c>
      <c r="M54" s="1">
        <f>IFERROR(K54*E54,0)</f>
        <v/>
      </c>
    </row>
    <row r="55">
      <c r="A55" t="inlineStr">
        <is>
          <t>630S1.5DP</t>
        </is>
      </c>
      <c r="B55" t="inlineStr">
        <is>
          <t>630 Diam Silencer 1.5D Podded</t>
        </is>
      </c>
      <c r="C55" t="inlineStr">
        <is>
          <t>Attenu-Tec</t>
        </is>
      </c>
      <c r="D55" t="inlineStr">
        <is>
          <t>FM - DONKIN</t>
        </is>
      </c>
      <c r="E55" s="1" t="n">
        <v>3010</v>
      </c>
      <c r="F55" t="n">
        <v>2</v>
      </c>
      <c r="G55" t="n">
        <v>0</v>
      </c>
      <c r="H55" t="n">
        <v>8</v>
      </c>
      <c r="I55" t="n">
        <v>0</v>
      </c>
      <c r="J55" t="n">
        <v>0</v>
      </c>
      <c r="K55">
        <f>IF(H55-I55-J55&gt;0,H55-I55-J55,0)</f>
        <v/>
      </c>
      <c r="L55" s="1">
        <f>IFERROR(I55*E55,0)</f>
        <v/>
      </c>
      <c r="M55" s="1">
        <f>IFERROR(K55*E55,0)</f>
        <v/>
      </c>
    </row>
    <row r="56">
      <c r="A56" t="inlineStr">
        <is>
          <t>630S2.0D</t>
        </is>
      </c>
      <c r="B56" t="inlineStr">
        <is>
          <t>630 Diam Silencer 2.0D</t>
        </is>
      </c>
      <c r="C56" t="inlineStr">
        <is>
          <t>Attenu-Tec</t>
        </is>
      </c>
      <c r="D56" t="inlineStr">
        <is>
          <t>FM - DONKIN</t>
        </is>
      </c>
      <c r="E56" s="1" t="n">
        <v>3075</v>
      </c>
      <c r="F56" t="n">
        <v>1</v>
      </c>
      <c r="G56" t="n">
        <v>0</v>
      </c>
      <c r="H56" t="n">
        <v>3</v>
      </c>
      <c r="I56" t="n">
        <v>0</v>
      </c>
      <c r="J56" t="n">
        <v>0</v>
      </c>
      <c r="K56">
        <f>IF(H56-I56-J56&gt;0,H56-I56-J56,0)</f>
        <v/>
      </c>
      <c r="L56" s="1">
        <f>IFERROR(I56*E56,0)</f>
        <v/>
      </c>
      <c r="M56" s="1">
        <f>IFERROR(K56*E56,0)</f>
        <v/>
      </c>
    </row>
    <row r="57">
      <c r="A57" t="inlineStr">
        <is>
          <t>630S2.0DP</t>
        </is>
      </c>
      <c r="B57" t="inlineStr">
        <is>
          <t>630 Diam Silencer 2.0D Podded</t>
        </is>
      </c>
      <c r="C57" t="inlineStr">
        <is>
          <t>Attenu-Tec</t>
        </is>
      </c>
      <c r="D57" t="inlineStr">
        <is>
          <t>FM - DONKIN</t>
        </is>
      </c>
      <c r="E57" s="1" t="n">
        <v>3896</v>
      </c>
      <c r="F57" t="n">
        <v>2</v>
      </c>
      <c r="G57" t="n">
        <v>0</v>
      </c>
      <c r="H57" t="n">
        <v>6</v>
      </c>
      <c r="I57" t="n">
        <v>0</v>
      </c>
      <c r="J57" t="n">
        <v>0</v>
      </c>
      <c r="K57">
        <f>IF(H57-I57-J57&gt;0,H57-I57-J57,0)</f>
        <v/>
      </c>
      <c r="L57" s="1">
        <f>IFERROR(I57*E57,0)</f>
        <v/>
      </c>
      <c r="M57" s="1">
        <f>IFERROR(K57*E57,0)</f>
        <v/>
      </c>
    </row>
    <row r="58">
      <c r="A58" t="inlineStr">
        <is>
          <t>630SM1.0DP</t>
        </is>
      </c>
      <c r="B58" t="inlineStr">
        <is>
          <t>630 Diam Melinex Silencer 1.0D Podded</t>
        </is>
      </c>
      <c r="C58" t="inlineStr">
        <is>
          <t>Attenu-Tec</t>
        </is>
      </c>
      <c r="D58" t="inlineStr">
        <is>
          <t>FM - DONKIN</t>
        </is>
      </c>
      <c r="E58" s="1" t="n">
        <v>2400</v>
      </c>
      <c r="F58" t="n">
        <v>1</v>
      </c>
      <c r="G58" t="n">
        <v>0</v>
      </c>
      <c r="H58" t="n">
        <v>5</v>
      </c>
      <c r="I58" t="n">
        <v>0</v>
      </c>
      <c r="J58" t="n">
        <v>0</v>
      </c>
      <c r="K58">
        <f>IF(H58-I58-J58&gt;0,H58-I58-J58,0)</f>
        <v/>
      </c>
      <c r="L58" s="1">
        <f>IFERROR(I58*E58,0)</f>
        <v/>
      </c>
      <c r="M58" s="1">
        <f>IFERROR(K58*E58,0)</f>
        <v/>
      </c>
    </row>
    <row r="59">
      <c r="A59" t="inlineStr">
        <is>
          <t>630SM1.5D</t>
        </is>
      </c>
      <c r="B59" t="inlineStr">
        <is>
          <t>630 Diam Melinex Silencer 1.5D</t>
        </is>
      </c>
      <c r="C59" t="inlineStr">
        <is>
          <t>Attenu-Tec</t>
        </is>
      </c>
      <c r="D59" t="inlineStr">
        <is>
          <t>FM - DONKIN</t>
        </is>
      </c>
      <c r="E59" s="1" t="n">
        <v>2175</v>
      </c>
      <c r="F59" t="n">
        <v>1</v>
      </c>
      <c r="G59" t="n">
        <v>0</v>
      </c>
      <c r="H59" t="n">
        <v>5</v>
      </c>
      <c r="I59" t="n">
        <v>0</v>
      </c>
      <c r="J59" t="n">
        <v>0</v>
      </c>
      <c r="K59">
        <f>IF(H59-I59-J59&gt;0,H59-I59-J59,0)</f>
        <v/>
      </c>
      <c r="L59" s="1">
        <f>IFERROR(I59*E59,0)</f>
        <v/>
      </c>
      <c r="M59" s="1">
        <f>IFERROR(K59*E59,0)</f>
        <v/>
      </c>
    </row>
    <row r="60">
      <c r="A60" t="inlineStr">
        <is>
          <t>630SM1.5DP</t>
        </is>
      </c>
      <c r="B60" t="inlineStr">
        <is>
          <t>630 Diam Melinex Silencer 1.5D Podded</t>
        </is>
      </c>
      <c r="C60" t="inlineStr">
        <is>
          <t>Attenu-Tec</t>
        </is>
      </c>
      <c r="D60" t="inlineStr">
        <is>
          <t>FM - DONKIN</t>
        </is>
      </c>
      <c r="E60" s="1" t="n">
        <v>2916.38</v>
      </c>
      <c r="F60" t="n">
        <v>1</v>
      </c>
      <c r="G60" t="n">
        <v>0</v>
      </c>
      <c r="H60" t="n">
        <v>4</v>
      </c>
      <c r="I60" t="n">
        <v>0</v>
      </c>
      <c r="J60" t="n">
        <v>0</v>
      </c>
      <c r="K60">
        <f>IF(H60-I60-J60&gt;0,H60-I60-J60,0)</f>
        <v/>
      </c>
      <c r="L60" s="1">
        <f>IFERROR(I60*E60,0)</f>
        <v/>
      </c>
      <c r="M60" s="1">
        <f>IFERROR(K60*E60,0)</f>
        <v/>
      </c>
    </row>
    <row r="61">
      <c r="A61" t="inlineStr">
        <is>
          <t>630SM2.0DP</t>
        </is>
      </c>
      <c r="B61" t="inlineStr">
        <is>
          <t>630 Diam Melinex Silencer 2.0D Podded</t>
        </is>
      </c>
      <c r="C61" t="inlineStr">
        <is>
          <t>Attenu-Tec</t>
        </is>
      </c>
      <c r="D61" t="inlineStr">
        <is>
          <t>FM - DONKIN</t>
        </is>
      </c>
      <c r="E61" s="1" t="n">
        <v>3693</v>
      </c>
      <c r="F61" t="n">
        <v>6</v>
      </c>
      <c r="G61" t="n">
        <v>0</v>
      </c>
      <c r="H61" t="n">
        <v>14</v>
      </c>
      <c r="I61" t="n">
        <v>0</v>
      </c>
      <c r="J61" t="n">
        <v>0</v>
      </c>
      <c r="K61">
        <f>IF(H61-I61-J61&gt;0,H61-I61-J61,0)</f>
        <v/>
      </c>
      <c r="L61" s="1">
        <f>IFERROR(I61*E61,0)</f>
        <v/>
      </c>
      <c r="M61" s="1">
        <f>IFERROR(K61*E61,0)</f>
        <v/>
      </c>
    </row>
    <row r="62">
      <c r="A62" t="inlineStr">
        <is>
          <t>710FC</t>
        </is>
      </c>
      <c r="B62" t="inlineStr">
        <is>
          <t>710 Diam Flexible Connection</t>
        </is>
      </c>
      <c r="C62" t="inlineStr">
        <is>
          <t>Attenu-Tec HVAC Parts</t>
        </is>
      </c>
      <c r="D62" t="inlineStr">
        <is>
          <t>FM - DONKIN</t>
        </is>
      </c>
      <c r="E62" s="1" t="n">
        <v>860</v>
      </c>
      <c r="F62" t="n">
        <v>2</v>
      </c>
      <c r="G62" t="n">
        <v>0</v>
      </c>
      <c r="H62" t="n">
        <v>4</v>
      </c>
      <c r="I62" t="n">
        <v>0</v>
      </c>
      <c r="J62" t="n">
        <v>0</v>
      </c>
      <c r="K62">
        <f>IF(H62-I62-J62&gt;0,H62-I62-J62,0)</f>
        <v/>
      </c>
      <c r="L62" s="1">
        <f>IFERROR(I62*E62,0)</f>
        <v/>
      </c>
      <c r="M62" s="1">
        <f>IFERROR(K62*E62,0)</f>
        <v/>
      </c>
    </row>
    <row r="63">
      <c r="A63" t="inlineStr">
        <is>
          <t>710HVJ-2S</t>
        </is>
      </c>
      <c r="B63" t="inlineStr">
        <is>
          <t>710 Diam Vertical Discharge Unit</t>
        </is>
      </c>
      <c r="C63" t="inlineStr">
        <is>
          <t>Attenu-Tec HVAC Parts</t>
        </is>
      </c>
      <c r="D63" t="inlineStr">
        <is>
          <t>FM - DONKIN</t>
        </is>
      </c>
      <c r="E63" s="1" t="n">
        <v>1592</v>
      </c>
      <c r="F63" t="n">
        <v>1</v>
      </c>
      <c r="G63" t="n">
        <v>0</v>
      </c>
      <c r="H63" t="n">
        <v>3</v>
      </c>
      <c r="I63" t="n">
        <v>0</v>
      </c>
      <c r="J63" t="n">
        <v>0</v>
      </c>
      <c r="K63">
        <f>IF(H63-I63-J63&gt;0,H63-I63-J63,0)</f>
        <v/>
      </c>
      <c r="L63" s="1">
        <f>IFERROR(I63*E63,0)</f>
        <v/>
      </c>
      <c r="M63" s="1">
        <f>IFERROR(K63*E63,0)</f>
        <v/>
      </c>
    </row>
    <row r="64">
      <c r="A64" t="inlineStr">
        <is>
          <t>710S1.5DP</t>
        </is>
      </c>
      <c r="B64" t="inlineStr">
        <is>
          <t>710 Diam Silencer 1.5D Podded</t>
        </is>
      </c>
      <c r="C64" t="inlineStr">
        <is>
          <t>Attenu-Tec</t>
        </is>
      </c>
      <c r="D64" t="inlineStr">
        <is>
          <t>FM - DONKIN</t>
        </is>
      </c>
      <c r="E64" s="1" t="n">
        <v>3685</v>
      </c>
      <c r="F64" t="n">
        <v>1</v>
      </c>
      <c r="G64" t="n">
        <v>0</v>
      </c>
      <c r="H64" t="n">
        <v>5</v>
      </c>
      <c r="I64" t="n">
        <v>0</v>
      </c>
      <c r="J64" t="n">
        <v>0</v>
      </c>
      <c r="K64">
        <f>IF(H64-I64-J64&gt;0,H64-I64-J64,0)</f>
        <v/>
      </c>
      <c r="L64" s="1">
        <f>IFERROR(I64*E64,0)</f>
        <v/>
      </c>
      <c r="M64" s="1">
        <f>IFERROR(K64*E64,0)</f>
        <v/>
      </c>
    </row>
    <row r="65">
      <c r="A65" t="inlineStr">
        <is>
          <t>710S2.0DP</t>
        </is>
      </c>
      <c r="B65" t="inlineStr">
        <is>
          <t>710 Diam Silencer 2.0D Podded</t>
        </is>
      </c>
      <c r="C65" t="inlineStr">
        <is>
          <t>Attenu-Tec</t>
        </is>
      </c>
      <c r="D65" t="inlineStr">
        <is>
          <t>FM - DONKIN</t>
        </is>
      </c>
      <c r="E65" s="1" t="n">
        <v>4720</v>
      </c>
      <c r="F65" t="n">
        <v>1</v>
      </c>
      <c r="G65" t="n">
        <v>0</v>
      </c>
      <c r="H65" t="n">
        <v>3</v>
      </c>
      <c r="I65" t="n">
        <v>0</v>
      </c>
      <c r="J65" t="n">
        <v>0</v>
      </c>
      <c r="K65">
        <f>IF(H65-I65-J65&gt;0,H65-I65-J65,0)</f>
        <v/>
      </c>
      <c r="L65" s="1">
        <f>IFERROR(I65*E65,0)</f>
        <v/>
      </c>
      <c r="M65" s="1">
        <f>IFERROR(K65*E65,0)</f>
        <v/>
      </c>
    </row>
    <row r="66">
      <c r="A66" t="inlineStr">
        <is>
          <t>710SM1.5D</t>
        </is>
      </c>
      <c r="B66" t="inlineStr">
        <is>
          <t>710 Diam Melinex Silencer 1.5D</t>
        </is>
      </c>
      <c r="C66" t="inlineStr">
        <is>
          <t>Attenu-Tec</t>
        </is>
      </c>
      <c r="D66" t="inlineStr">
        <is>
          <t>FM - DONKIN</t>
        </is>
      </c>
      <c r="E66" s="1" t="n">
        <v>3331</v>
      </c>
      <c r="F66" t="n">
        <v>1</v>
      </c>
      <c r="G66" t="n">
        <v>0</v>
      </c>
      <c r="H66" t="n">
        <v>2</v>
      </c>
      <c r="I66" t="n">
        <v>0</v>
      </c>
      <c r="J66" t="n">
        <v>0</v>
      </c>
      <c r="K66">
        <f>IF(H66-I66-J66&gt;0,H66-I66-J66,0)</f>
        <v/>
      </c>
      <c r="L66" s="1">
        <f>IFERROR(I66*E66,0)</f>
        <v/>
      </c>
      <c r="M66" s="1">
        <f>IFERROR(K66*E66,0)</f>
        <v/>
      </c>
    </row>
    <row r="67">
      <c r="A67" t="inlineStr">
        <is>
          <t>710SM1.5DP</t>
        </is>
      </c>
      <c r="B67" t="inlineStr">
        <is>
          <t>710 Diam Melinex Silencer 1.5D Podded</t>
        </is>
      </c>
      <c r="C67" t="inlineStr">
        <is>
          <t>Attenu-Tec</t>
        </is>
      </c>
      <c r="D67" t="inlineStr">
        <is>
          <t>FM - DONKIN</t>
        </is>
      </c>
      <c r="E67" s="1" t="n">
        <v>3485.72</v>
      </c>
      <c r="F67" t="n">
        <v>1</v>
      </c>
      <c r="G67" t="n">
        <v>0</v>
      </c>
      <c r="H67" t="n">
        <v>4</v>
      </c>
      <c r="I67" t="n">
        <v>0</v>
      </c>
      <c r="J67" t="n">
        <v>0</v>
      </c>
      <c r="K67">
        <f>IF(H67-I67-J67&gt;0,H67-I67-J67,0)</f>
        <v/>
      </c>
      <c r="L67" s="1">
        <f>IFERROR(I67*E67,0)</f>
        <v/>
      </c>
      <c r="M67" s="1">
        <f>IFERROR(K67*E67,0)</f>
        <v/>
      </c>
    </row>
    <row r="68">
      <c r="A68" t="inlineStr">
        <is>
          <t>800FC</t>
        </is>
      </c>
      <c r="B68" t="inlineStr">
        <is>
          <t>800 Diam Flexible Connection</t>
        </is>
      </c>
      <c r="C68" t="inlineStr"/>
      <c r="D68" t="inlineStr">
        <is>
          <t>FM - DONKIN</t>
        </is>
      </c>
      <c r="E68" s="1" t="n">
        <v>0</v>
      </c>
      <c r="F68" t="n">
        <v>2</v>
      </c>
      <c r="G68" t="n">
        <v>0</v>
      </c>
      <c r="H68" t="n">
        <v>12</v>
      </c>
      <c r="I68" t="n">
        <v>0</v>
      </c>
      <c r="J68" t="n">
        <v>0</v>
      </c>
      <c r="K68">
        <f>IF(H68-I68-J68&gt;0,H68-I68-J68,0)</f>
        <v/>
      </c>
      <c r="L68" s="1">
        <f>IFERROR(I68*E68,0)</f>
        <v/>
      </c>
      <c r="M68" s="1">
        <f>IFERROR(K68*E68,0)</f>
        <v/>
      </c>
    </row>
    <row r="69">
      <c r="A69" t="inlineStr">
        <is>
          <t>800HVJ-2S</t>
        </is>
      </c>
      <c r="B69" t="inlineStr">
        <is>
          <t>800 Diam Vertical Discharge Unit</t>
        </is>
      </c>
      <c r="C69" t="inlineStr">
        <is>
          <t>Attenu-Tec HVAC Parts</t>
        </is>
      </c>
      <c r="D69" t="inlineStr">
        <is>
          <t>FM - DONKIN</t>
        </is>
      </c>
      <c r="E69" s="1" t="n">
        <v>1699</v>
      </c>
      <c r="F69" t="n">
        <v>1</v>
      </c>
      <c r="G69" t="n">
        <v>0</v>
      </c>
      <c r="H69" t="n">
        <v>3</v>
      </c>
      <c r="I69" t="n">
        <v>0</v>
      </c>
      <c r="J69" t="n">
        <v>0</v>
      </c>
      <c r="K69">
        <f>IF(H69-I69-J69&gt;0,H69-I69-J69,0)</f>
        <v/>
      </c>
      <c r="L69" s="1">
        <f>IFERROR(I69*E69,0)</f>
        <v/>
      </c>
      <c r="M69" s="1">
        <f>IFERROR(K69*E69,0)</f>
        <v/>
      </c>
    </row>
    <row r="70">
      <c r="A70" t="inlineStr">
        <is>
          <t>800S1.0DP</t>
        </is>
      </c>
      <c r="B70" t="inlineStr">
        <is>
          <t>800 Diam Silencer 1.0D Podded</t>
        </is>
      </c>
      <c r="C70" t="inlineStr">
        <is>
          <t>Attenu-Tec</t>
        </is>
      </c>
      <c r="D70" t="inlineStr">
        <is>
          <t>FM - DONKIN</t>
        </is>
      </c>
      <c r="E70" s="1" t="n">
        <v>3395</v>
      </c>
      <c r="F70" t="n">
        <v>29</v>
      </c>
      <c r="G70" t="n">
        <v>0</v>
      </c>
      <c r="H70" t="n">
        <v>61</v>
      </c>
      <c r="I70" t="n">
        <v>0</v>
      </c>
      <c r="J70" t="n">
        <v>0</v>
      </c>
      <c r="K70">
        <f>IF(H70-I70-J70&gt;0,H70-I70-J70,0)</f>
        <v/>
      </c>
      <c r="L70" s="1">
        <f>IFERROR(I70*E70,0)</f>
        <v/>
      </c>
      <c r="M70" s="1">
        <f>IFERROR(K70*E70,0)</f>
        <v/>
      </c>
    </row>
    <row r="71">
      <c r="A71" t="inlineStr">
        <is>
          <t>800S1.5D</t>
        </is>
      </c>
      <c r="B71" t="inlineStr">
        <is>
          <t>800 Diam Silencer 1.5D</t>
        </is>
      </c>
      <c r="C71" t="inlineStr"/>
      <c r="D71" t="inlineStr">
        <is>
          <t>FM - DONKIN</t>
        </is>
      </c>
      <c r="E71" s="1" t="n">
        <v>0</v>
      </c>
      <c r="F71" t="n">
        <v>1</v>
      </c>
      <c r="G71" t="n">
        <v>0</v>
      </c>
      <c r="H71" t="n">
        <v>2</v>
      </c>
      <c r="I71" t="n">
        <v>0</v>
      </c>
      <c r="J71" t="n">
        <v>0</v>
      </c>
      <c r="K71">
        <f>IF(H71-I71-J71&gt;0,H71-I71-J71,0)</f>
        <v/>
      </c>
      <c r="L71" s="1">
        <f>IFERROR(I71*E71,0)</f>
        <v/>
      </c>
      <c r="M71" s="1">
        <f>IFERROR(K71*E71,0)</f>
        <v/>
      </c>
    </row>
    <row r="72">
      <c r="A72" t="inlineStr">
        <is>
          <t>800S1.5DP</t>
        </is>
      </c>
      <c r="B72" t="inlineStr">
        <is>
          <t>800 Diam Silencer 1.5D Podded</t>
        </is>
      </c>
      <c r="C72" t="inlineStr">
        <is>
          <t>Attenu-Tec</t>
        </is>
      </c>
      <c r="D72" t="inlineStr">
        <is>
          <t>FM - DONKIN</t>
        </is>
      </c>
      <c r="E72" s="1" t="n">
        <v>4423</v>
      </c>
      <c r="F72" t="n">
        <v>1</v>
      </c>
      <c r="G72" t="n">
        <v>0</v>
      </c>
      <c r="H72" t="n">
        <v>4</v>
      </c>
      <c r="I72" t="n">
        <v>0</v>
      </c>
      <c r="J72" t="n">
        <v>0</v>
      </c>
      <c r="K72">
        <f>IF(H72-I72-J72&gt;0,H72-I72-J72,0)</f>
        <v/>
      </c>
      <c r="L72" s="1">
        <f>IFERROR(I72*E72,0)</f>
        <v/>
      </c>
      <c r="M72" s="1">
        <f>IFERROR(K72*E72,0)</f>
        <v/>
      </c>
    </row>
    <row r="73">
      <c r="A73" t="inlineStr">
        <is>
          <t>800S2.0DP</t>
        </is>
      </c>
      <c r="B73" t="inlineStr">
        <is>
          <t>800 Diam Silencer 2.0D Podded</t>
        </is>
      </c>
      <c r="C73" t="inlineStr">
        <is>
          <t>Attenu-Tec</t>
        </is>
      </c>
      <c r="D73" t="inlineStr">
        <is>
          <t>FM - DONKIN</t>
        </is>
      </c>
      <c r="E73" s="1" t="n">
        <v>5738</v>
      </c>
      <c r="F73" t="n">
        <v>1</v>
      </c>
      <c r="G73" t="n">
        <v>0</v>
      </c>
      <c r="H73" t="n">
        <v>3</v>
      </c>
      <c r="I73" t="n">
        <v>0</v>
      </c>
      <c r="J73" t="n">
        <v>0</v>
      </c>
      <c r="K73">
        <f>IF(H73-I73-J73&gt;0,H73-I73-J73,0)</f>
        <v/>
      </c>
      <c r="L73" s="1">
        <f>IFERROR(I73*E73,0)</f>
        <v/>
      </c>
      <c r="M73" s="1">
        <f>IFERROR(K73*E73,0)</f>
        <v/>
      </c>
    </row>
    <row r="74">
      <c r="A74" t="inlineStr">
        <is>
          <t>800SM1.0DP</t>
        </is>
      </c>
      <c r="B74" t="inlineStr">
        <is>
          <t>800 Diam Melinex Silencer 1.0D Podded</t>
        </is>
      </c>
      <c r="C74" t="inlineStr"/>
      <c r="D74" t="inlineStr">
        <is>
          <t>FM - DONKIN</t>
        </is>
      </c>
      <c r="E74" s="1" t="n">
        <v>0</v>
      </c>
      <c r="F74" t="n">
        <v>8</v>
      </c>
      <c r="G74" t="n">
        <v>0</v>
      </c>
      <c r="H74" t="n">
        <v>40</v>
      </c>
      <c r="I74" t="n">
        <v>0</v>
      </c>
      <c r="J74" t="n">
        <v>0</v>
      </c>
      <c r="K74">
        <f>IF(H74-I74-J74&gt;0,H74-I74-J74,0)</f>
        <v/>
      </c>
      <c r="L74" s="1">
        <f>IFERROR(I74*E74,0)</f>
        <v/>
      </c>
      <c r="M74" s="1">
        <f>IFERROR(K74*E74,0)</f>
        <v/>
      </c>
    </row>
    <row r="75">
      <c r="A75" t="inlineStr">
        <is>
          <t>800SM1.5D</t>
        </is>
      </c>
      <c r="B75" t="inlineStr">
        <is>
          <t>800 Diam Melinex Silencer 1.5D</t>
        </is>
      </c>
      <c r="C75" t="inlineStr">
        <is>
          <t>Attenu-Tec</t>
        </is>
      </c>
      <c r="D75" t="inlineStr">
        <is>
          <t>FM - DONKIN</t>
        </is>
      </c>
      <c r="E75" s="1" t="n">
        <v>3582</v>
      </c>
      <c r="F75" t="n">
        <v>1</v>
      </c>
      <c r="G75" t="n">
        <v>0</v>
      </c>
      <c r="H75" t="n">
        <v>2</v>
      </c>
      <c r="I75" t="n">
        <v>0</v>
      </c>
      <c r="J75" t="n">
        <v>0</v>
      </c>
      <c r="K75">
        <f>IF(H75-I75-J75&gt;0,H75-I75-J75,0)</f>
        <v/>
      </c>
      <c r="L75" s="1">
        <f>IFERROR(I75*E75,0)</f>
        <v/>
      </c>
      <c r="M75" s="1">
        <f>IFERROR(K75*E75,0)</f>
        <v/>
      </c>
    </row>
    <row r="76">
      <c r="A76" t="inlineStr">
        <is>
          <t>800SM1.5DP</t>
        </is>
      </c>
      <c r="B76" t="inlineStr">
        <is>
          <t>800 Diam Melinex Silencer 1.5D Podded</t>
        </is>
      </c>
      <c r="C76" t="inlineStr">
        <is>
          <t>Attenu-Tec</t>
        </is>
      </c>
      <c r="D76" t="inlineStr">
        <is>
          <t>FM - DONKIN</t>
        </is>
      </c>
      <c r="E76" s="1" t="n">
        <v>4192</v>
      </c>
      <c r="F76" t="n">
        <v>2</v>
      </c>
      <c r="G76" t="n">
        <v>0</v>
      </c>
      <c r="H76" t="n">
        <v>4</v>
      </c>
      <c r="I76" t="n">
        <v>0</v>
      </c>
      <c r="J76" t="n">
        <v>0</v>
      </c>
      <c r="K76">
        <f>IF(H76-I76-J76&gt;0,H76-I76-J76,0)</f>
        <v/>
      </c>
      <c r="L76" s="1">
        <f>IFERROR(I76*E76,0)</f>
        <v/>
      </c>
      <c r="M76" s="1">
        <f>IFERROR(K76*E76,0)</f>
        <v/>
      </c>
    </row>
    <row r="77">
      <c r="A77" t="inlineStr">
        <is>
          <t>900HVJ-2S</t>
        </is>
      </c>
      <c r="B77" t="inlineStr">
        <is>
          <t>900 Diam Vertical Discharge Unit</t>
        </is>
      </c>
      <c r="C77" t="inlineStr">
        <is>
          <t>Air Speration</t>
        </is>
      </c>
      <c r="D77" t="inlineStr">
        <is>
          <t>FM - DONKIN</t>
        </is>
      </c>
      <c r="E77" s="1" t="n">
        <v>4053.73</v>
      </c>
      <c r="F77" t="n">
        <v>2</v>
      </c>
      <c r="G77" t="n">
        <v>0</v>
      </c>
      <c r="H77" t="n">
        <v>9</v>
      </c>
      <c r="I77" t="n">
        <v>0</v>
      </c>
      <c r="J77" t="n">
        <v>0</v>
      </c>
      <c r="K77">
        <f>IF(H77-I77-J77&gt;0,H77-I77-J77,0)</f>
        <v/>
      </c>
      <c r="L77" s="1">
        <f>IFERROR(I77*E77,0)</f>
        <v/>
      </c>
      <c r="M77" s="1">
        <f>IFERROR(K77*E77,0)</f>
        <v/>
      </c>
    </row>
    <row r="78">
      <c r="A78" t="inlineStr">
        <is>
          <t>900S1.5D</t>
        </is>
      </c>
      <c r="B78" t="inlineStr">
        <is>
          <t>900 Diam Silencer 1.5D</t>
        </is>
      </c>
      <c r="C78" t="inlineStr">
        <is>
          <t>Attenu-Tec</t>
        </is>
      </c>
      <c r="D78" t="inlineStr">
        <is>
          <t>FM - DONKIN</t>
        </is>
      </c>
      <c r="E78" s="1" t="n">
        <v>4272</v>
      </c>
      <c r="F78" t="n">
        <v>2</v>
      </c>
      <c r="G78" t="n">
        <v>0</v>
      </c>
      <c r="H78" t="n">
        <v>10</v>
      </c>
      <c r="I78" t="n">
        <v>0</v>
      </c>
      <c r="J78" t="n">
        <v>0</v>
      </c>
      <c r="K78">
        <f>IF(H78-I78-J78&gt;0,H78-I78-J78,0)</f>
        <v/>
      </c>
      <c r="L78" s="1">
        <f>IFERROR(I78*E78,0)</f>
        <v/>
      </c>
      <c r="M78" s="1">
        <f>IFERROR(K78*E78,0)</f>
        <v/>
      </c>
    </row>
    <row r="79">
      <c r="A79" t="inlineStr">
        <is>
          <t>900S1.5DP</t>
        </is>
      </c>
      <c r="B79" t="inlineStr">
        <is>
          <t>900 Diam Silencer 1.5D Podded</t>
        </is>
      </c>
      <c r="C79" t="inlineStr"/>
      <c r="D79" t="inlineStr">
        <is>
          <t>FM - DONKIN</t>
        </is>
      </c>
      <c r="E79" s="1" t="n">
        <v>0</v>
      </c>
      <c r="F79" t="n">
        <v>1</v>
      </c>
      <c r="G79" t="n">
        <v>0</v>
      </c>
      <c r="H79" t="n">
        <v>5</v>
      </c>
      <c r="I79" t="n">
        <v>0</v>
      </c>
      <c r="J79" t="n">
        <v>0</v>
      </c>
      <c r="K79">
        <f>IF(H79-I79-J79&gt;0,H79-I79-J79,0)</f>
        <v/>
      </c>
      <c r="L79" s="1">
        <f>IFERROR(I79*E79,0)</f>
        <v/>
      </c>
      <c r="M79" s="1">
        <f>IFERROR(K79*E79,0)</f>
        <v/>
      </c>
    </row>
    <row r="80">
      <c r="A80" t="inlineStr">
        <is>
          <t>900S2.0D</t>
        </is>
      </c>
      <c r="B80" t="inlineStr">
        <is>
          <t>900 Diam Silencer 2.0D</t>
        </is>
      </c>
      <c r="C80" t="inlineStr">
        <is>
          <t>Attenu-Tec</t>
        </is>
      </c>
      <c r="D80" t="inlineStr">
        <is>
          <t>FM - DONKIN</t>
        </is>
      </c>
      <c r="E80" s="1" t="n">
        <v>5661.5</v>
      </c>
      <c r="F80" t="n">
        <v>1</v>
      </c>
      <c r="G80" t="n">
        <v>0</v>
      </c>
      <c r="H80" t="n">
        <v>3</v>
      </c>
      <c r="I80" t="n">
        <v>0</v>
      </c>
      <c r="J80" t="n">
        <v>0</v>
      </c>
      <c r="K80">
        <f>IF(H80-I80-J80&gt;0,H80-I80-J80,0)</f>
        <v/>
      </c>
      <c r="L80" s="1">
        <f>IFERROR(I80*E80,0)</f>
        <v/>
      </c>
      <c r="M80" s="1">
        <f>IFERROR(K80*E80,0)</f>
        <v/>
      </c>
    </row>
    <row r="81">
      <c r="A81" t="inlineStr">
        <is>
          <t>900S2.0DP</t>
        </is>
      </c>
      <c r="B81" t="inlineStr">
        <is>
          <t>900 Diam Silencer 2.0D Podded</t>
        </is>
      </c>
      <c r="C81" t="inlineStr">
        <is>
          <t>Attenu-Tec</t>
        </is>
      </c>
      <c r="D81" t="inlineStr">
        <is>
          <t>FM - DONKIN</t>
        </is>
      </c>
      <c r="E81" s="1" t="n">
        <v>6224</v>
      </c>
      <c r="F81" t="n">
        <v>1</v>
      </c>
      <c r="G81" t="n">
        <v>0</v>
      </c>
      <c r="H81" t="n">
        <v>3</v>
      </c>
      <c r="I81" t="n">
        <v>0</v>
      </c>
      <c r="J81" t="n">
        <v>0</v>
      </c>
      <c r="K81">
        <f>IF(H81-I81-J81&gt;0,H81-I81-J81,0)</f>
        <v/>
      </c>
      <c r="L81" s="1">
        <f>IFERROR(I81*E81,0)</f>
        <v/>
      </c>
      <c r="M81" s="1">
        <f>IFERROR(K81*E81,0)</f>
        <v/>
      </c>
    </row>
    <row r="82">
      <c r="A82" t="inlineStr">
        <is>
          <t>900SM1.5DP</t>
        </is>
      </c>
      <c r="B82" t="inlineStr">
        <is>
          <t>900 Diam Melinex Silencer 1.5D Podded</t>
        </is>
      </c>
      <c r="C82" t="inlineStr">
        <is>
          <t>Attenu-Tec</t>
        </is>
      </c>
      <c r="D82" t="inlineStr">
        <is>
          <t>FM - DONKIN</t>
        </is>
      </c>
      <c r="E82" s="1" t="n">
        <v>4804</v>
      </c>
      <c r="F82" t="n">
        <v>1</v>
      </c>
      <c r="G82" t="n">
        <v>0</v>
      </c>
      <c r="H82" t="n">
        <v>5</v>
      </c>
      <c r="I82" t="n">
        <v>0</v>
      </c>
      <c r="J82" t="n">
        <v>0</v>
      </c>
      <c r="K82">
        <f>IF(H82-I82-J82&gt;0,H82-I82-J82,0)</f>
        <v/>
      </c>
      <c r="L82" s="1">
        <f>IFERROR(I82*E82,0)</f>
        <v/>
      </c>
      <c r="M82" s="1">
        <f>IFERROR(K82*E82,0)</f>
        <v/>
      </c>
    </row>
    <row r="83">
      <c r="A83" t="inlineStr">
        <is>
          <t>900SM2.0DP</t>
        </is>
      </c>
      <c r="B83" t="inlineStr">
        <is>
          <t>900 Diam Melinex Silencer 2.0D Podded</t>
        </is>
      </c>
      <c r="C83" t="inlineStr">
        <is>
          <t>Attenu-Tec</t>
        </is>
      </c>
      <c r="D83" t="inlineStr">
        <is>
          <t>FM - DONKIN</t>
        </is>
      </c>
      <c r="E83" s="1" t="n">
        <v>6224</v>
      </c>
      <c r="F83" t="n">
        <v>1</v>
      </c>
      <c r="G83" t="n">
        <v>0</v>
      </c>
      <c r="H83" t="n">
        <v>2</v>
      </c>
      <c r="I83" t="n">
        <v>0</v>
      </c>
      <c r="J83" t="n">
        <v>0</v>
      </c>
      <c r="K83">
        <f>IF(H83-I83-J83&gt;0,H83-I83-J83,0)</f>
        <v/>
      </c>
      <c r="L83" s="1">
        <f>IFERROR(I83*E83,0)</f>
        <v/>
      </c>
      <c r="M83" s="1">
        <f>IFERROR(K83*E83,0)</f>
        <v/>
      </c>
    </row>
    <row r="84">
      <c r="A84" t="inlineStr">
        <is>
          <t>AIRMAX2-500</t>
        </is>
      </c>
      <c r="B84" t="inlineStr">
        <is>
          <t>AIRMAX-2.500 W</t>
        </is>
      </c>
      <c r="C84" t="inlineStr"/>
      <c r="D84" t="inlineStr">
        <is>
          <t>FM - DONKIN</t>
        </is>
      </c>
      <c r="E84" s="1" t="n">
        <v>0</v>
      </c>
      <c r="F84" t="n">
        <v>1</v>
      </c>
      <c r="G84" t="n">
        <v>0</v>
      </c>
      <c r="H84" t="n">
        <v>2</v>
      </c>
      <c r="I84" t="n">
        <v>0</v>
      </c>
      <c r="J84" t="n">
        <v>0</v>
      </c>
      <c r="K84">
        <f>IF(H84-I84-J84&gt;0,H84-I84-J84,0)</f>
        <v/>
      </c>
      <c r="L84" s="1">
        <f>IFERROR(I84*E84,0)</f>
        <v/>
      </c>
      <c r="M84" s="1">
        <f>IFERROR(K84*E84,0)</f>
        <v/>
      </c>
    </row>
    <row r="85">
      <c r="A85" t="inlineStr">
        <is>
          <t>AIRMAX2-500P</t>
        </is>
      </c>
      <c r="B85" t="inlineStr">
        <is>
          <t>AIRMAX-2.500 P</t>
        </is>
      </c>
      <c r="C85" t="inlineStr"/>
      <c r="D85" t="inlineStr">
        <is>
          <t>FM - DONKIN</t>
        </is>
      </c>
      <c r="E85" s="1" t="n">
        <v>0</v>
      </c>
      <c r="F85" t="n">
        <v>1</v>
      </c>
      <c r="G85" t="n">
        <v>0</v>
      </c>
      <c r="H85" t="n">
        <v>2</v>
      </c>
      <c r="I85" t="n">
        <v>0</v>
      </c>
      <c r="J85" t="n">
        <v>0</v>
      </c>
      <c r="K85">
        <f>IF(H85-I85-J85&gt;0,H85-I85-J85,0)</f>
        <v/>
      </c>
      <c r="L85" s="1">
        <f>IFERROR(I85*E85,0)</f>
        <v/>
      </c>
      <c r="M85" s="1">
        <f>IFERROR(K85*E85,0)</f>
        <v/>
      </c>
    </row>
    <row r="86">
      <c r="A86" t="inlineStr">
        <is>
          <t>AIRMAX2-650</t>
        </is>
      </c>
      <c r="B86" t="inlineStr">
        <is>
          <t>AIRMAX-2.650 W</t>
        </is>
      </c>
      <c r="C86" t="inlineStr"/>
      <c r="D86" t="inlineStr">
        <is>
          <t>FM - DONKIN</t>
        </is>
      </c>
      <c r="E86" s="1" t="n">
        <v>0</v>
      </c>
      <c r="F86" t="n">
        <v>1</v>
      </c>
      <c r="G86" t="n">
        <v>0</v>
      </c>
      <c r="H86" t="n">
        <v>4</v>
      </c>
      <c r="I86" t="n">
        <v>0</v>
      </c>
      <c r="J86" t="n">
        <v>0</v>
      </c>
      <c r="K86">
        <f>IF(H86-I86-J86&gt;0,H86-I86-J86,0)</f>
        <v/>
      </c>
      <c r="L86" s="1">
        <f>IFERROR(I86*E86,0)</f>
        <v/>
      </c>
      <c r="M86" s="1">
        <f>IFERROR(K86*E86,0)</f>
        <v/>
      </c>
    </row>
    <row r="87">
      <c r="A87" t="inlineStr">
        <is>
          <t>AIRMAX2-650P</t>
        </is>
      </c>
      <c r="B87" t="inlineStr">
        <is>
          <t>AIRMAX-2.650 P</t>
        </is>
      </c>
      <c r="C87" t="inlineStr"/>
      <c r="D87" t="inlineStr">
        <is>
          <t>FM - DONKIN</t>
        </is>
      </c>
      <c r="E87" s="1" t="n">
        <v>0</v>
      </c>
      <c r="F87" t="n">
        <v>1</v>
      </c>
      <c r="G87" t="n">
        <v>0</v>
      </c>
      <c r="H87" t="n">
        <v>2</v>
      </c>
      <c r="I87" t="n">
        <v>0</v>
      </c>
      <c r="J87" t="n">
        <v>0</v>
      </c>
      <c r="K87">
        <f>IF(H87-I87-J87&gt;0,H87-I87-J87,0)</f>
        <v/>
      </c>
      <c r="L87" s="1">
        <f>IFERROR(I87*E87,0)</f>
        <v/>
      </c>
      <c r="M87" s="1">
        <f>IFERROR(K87*E87,0)</f>
        <v/>
      </c>
    </row>
    <row r="88">
      <c r="A88" t="inlineStr">
        <is>
          <t>AIRMAX2-650P.EC</t>
        </is>
      </c>
      <c r="B88" t="inlineStr">
        <is>
          <t>AIRMAX-2.650 P. EC</t>
        </is>
      </c>
      <c r="C88" t="inlineStr"/>
      <c r="D88" t="inlineStr">
        <is>
          <t>FM - DONKIN</t>
        </is>
      </c>
      <c r="E88" s="1" t="n">
        <v>0</v>
      </c>
      <c r="F88" t="n">
        <v>1</v>
      </c>
      <c r="G88" t="n">
        <v>0</v>
      </c>
      <c r="H88" t="n">
        <v>2</v>
      </c>
      <c r="I88" t="n">
        <v>0</v>
      </c>
      <c r="J88" t="n">
        <v>0</v>
      </c>
      <c r="K88">
        <f>IF(H88-I88-J88&gt;0,H88-I88-J88,0)</f>
        <v/>
      </c>
      <c r="L88" s="1">
        <f>IFERROR(I88*E88,0)</f>
        <v/>
      </c>
      <c r="M88" s="1">
        <f>IFERROR(K88*E88,0)</f>
        <v/>
      </c>
    </row>
    <row r="89">
      <c r="A89" t="inlineStr">
        <is>
          <t>AIRMAX2-650W</t>
        </is>
      </c>
      <c r="B89" t="inlineStr">
        <is>
          <t>AIRMAX-2.650 W.EC</t>
        </is>
      </c>
      <c r="C89" t="inlineStr"/>
      <c r="D89" t="inlineStr">
        <is>
          <t>FM - DONKIN</t>
        </is>
      </c>
      <c r="E89" s="1" t="n">
        <v>0</v>
      </c>
      <c r="F89" t="n">
        <v>1</v>
      </c>
      <c r="G89" t="n">
        <v>0</v>
      </c>
      <c r="H89" t="n">
        <v>2</v>
      </c>
      <c r="I89" t="n">
        <v>0</v>
      </c>
      <c r="J89" t="n">
        <v>0</v>
      </c>
      <c r="K89">
        <f>IF(H89-I89-J89&gt;0,H89-I89-J89,0)</f>
        <v/>
      </c>
      <c r="L89" s="1">
        <f>IFERROR(I89*E89,0)</f>
        <v/>
      </c>
      <c r="M89" s="1">
        <f>IFERROR(K89*E89,0)</f>
        <v/>
      </c>
    </row>
    <row r="90">
      <c r="A90" t="inlineStr">
        <is>
          <t>AIRMAX2-750</t>
        </is>
      </c>
      <c r="B90" t="inlineStr">
        <is>
          <t>AIRMAX-2.750 W</t>
        </is>
      </c>
      <c r="C90" t="inlineStr"/>
      <c r="D90" t="inlineStr">
        <is>
          <t>FM - DONKIN</t>
        </is>
      </c>
      <c r="E90" s="1" t="n">
        <v>0</v>
      </c>
      <c r="F90" t="n">
        <v>1</v>
      </c>
      <c r="G90" t="n">
        <v>0</v>
      </c>
      <c r="H90" t="n">
        <v>2</v>
      </c>
      <c r="I90" t="n">
        <v>0</v>
      </c>
      <c r="J90" t="n">
        <v>0</v>
      </c>
      <c r="K90">
        <f>IF(H90-I90-J90&gt;0,H90-I90-J90,0)</f>
        <v/>
      </c>
      <c r="L90" s="1">
        <f>IFERROR(I90*E90,0)</f>
        <v/>
      </c>
      <c r="M90" s="1">
        <f>IFERROR(K90*E90,0)</f>
        <v/>
      </c>
    </row>
    <row r="91">
      <c r="A91" t="inlineStr">
        <is>
          <t>AIRMAX2-850</t>
        </is>
      </c>
      <c r="B91" t="inlineStr">
        <is>
          <t>AIRMAX-2.850 W</t>
        </is>
      </c>
      <c r="C91" t="inlineStr"/>
      <c r="D91" t="inlineStr">
        <is>
          <t>FM - DONKIN</t>
        </is>
      </c>
      <c r="E91" s="1" t="n">
        <v>0</v>
      </c>
      <c r="F91" t="n">
        <v>1</v>
      </c>
      <c r="G91" t="n">
        <v>0</v>
      </c>
      <c r="H91" t="n">
        <v>5</v>
      </c>
      <c r="I91" t="n">
        <v>0</v>
      </c>
      <c r="J91" t="n">
        <v>0</v>
      </c>
      <c r="K91">
        <f>IF(H91-I91-J91&gt;0,H91-I91-J91,0)</f>
        <v/>
      </c>
      <c r="L91" s="1">
        <f>IFERROR(I91*E91,0)</f>
        <v/>
      </c>
      <c r="M91" s="1">
        <f>IFERROR(K91*E91,0)</f>
        <v/>
      </c>
    </row>
    <row r="92">
      <c r="A92" t="inlineStr">
        <is>
          <t>C462x470-B</t>
        </is>
      </c>
      <c r="B92" t="inlineStr">
        <is>
          <t>Casing size 462diamx470 Buffalo</t>
        </is>
      </c>
      <c r="C92" t="inlineStr">
        <is>
          <t>GALVAGLOW (PTY) LTD</t>
        </is>
      </c>
      <c r="D92" t="inlineStr">
        <is>
          <t>FM - DONKIN</t>
        </is>
      </c>
      <c r="E92" s="1" t="n">
        <v>0</v>
      </c>
      <c r="F92" t="n">
        <v>1</v>
      </c>
      <c r="G92" t="n">
        <v>0</v>
      </c>
      <c r="H92" t="n">
        <v>5</v>
      </c>
      <c r="I92" t="n">
        <v>0</v>
      </c>
      <c r="J92" t="n">
        <v>0</v>
      </c>
      <c r="K92">
        <f>IF(H92-I92-J92&gt;0,H92-I92-J92,0)</f>
        <v/>
      </c>
      <c r="L92" s="1">
        <f>IFERROR(I92*E92,0)</f>
        <v/>
      </c>
      <c r="M92" s="1">
        <f>IFERROR(K92*E92,0)</f>
        <v/>
      </c>
    </row>
    <row r="93">
      <c r="A93" t="inlineStr">
        <is>
          <t>C462x470UG-B</t>
        </is>
      </c>
      <c r="B93" t="inlineStr">
        <is>
          <t>Casing size 462diamx470 Buffalo-Ungalvanised</t>
        </is>
      </c>
      <c r="C93" t="inlineStr">
        <is>
          <t>TS TELEKI T/A VENT SYSTEM AND PROJECTS</t>
        </is>
      </c>
      <c r="D93" t="inlineStr">
        <is>
          <t>FM - DONKIN</t>
        </is>
      </c>
      <c r="E93" s="1" t="n">
        <v>1491.01</v>
      </c>
      <c r="F93" t="n">
        <v>1</v>
      </c>
      <c r="G93" t="n">
        <v>0</v>
      </c>
      <c r="H93" t="n">
        <v>5</v>
      </c>
      <c r="I93" t="n">
        <v>0</v>
      </c>
      <c r="J93" t="n">
        <v>0</v>
      </c>
      <c r="K93">
        <f>IF(H93-I93-J93&gt;0,H93-I93-J93,0)</f>
        <v/>
      </c>
      <c r="L93" s="1">
        <f>IFERROR(I93*E93,0)</f>
        <v/>
      </c>
      <c r="M93" s="1">
        <f>IFERROR(K93*E93,0)</f>
        <v/>
      </c>
    </row>
    <row r="94">
      <c r="A94" t="inlineStr">
        <is>
          <t>CTerm-Cap</t>
        </is>
      </c>
      <c r="B94" t="inlineStr">
        <is>
          <t>Casing Terminal Cap</t>
        </is>
      </c>
      <c r="C94" t="inlineStr">
        <is>
          <t>GALVAGLOW (PTY) LTD</t>
        </is>
      </c>
      <c r="D94" t="inlineStr">
        <is>
          <t>FM - DONKIN</t>
        </is>
      </c>
      <c r="E94" s="1" t="n">
        <v>0</v>
      </c>
      <c r="F94" t="n">
        <v>10</v>
      </c>
      <c r="G94" t="n">
        <v>0</v>
      </c>
      <c r="H94" t="n">
        <v>52</v>
      </c>
      <c r="I94" t="n">
        <v>0</v>
      </c>
      <c r="J94" t="n">
        <v>0</v>
      </c>
      <c r="K94">
        <f>IF(H94-I94-J94&gt;0,H94-I94-J94,0)</f>
        <v/>
      </c>
      <c r="L94" s="1">
        <f>IFERROR(I94*E94,0)</f>
        <v/>
      </c>
      <c r="M94" s="1">
        <f>IFERROR(K94*E94,0)</f>
        <v/>
      </c>
    </row>
    <row r="95">
      <c r="A95" t="inlineStr">
        <is>
          <t>D100056</t>
        </is>
      </c>
      <c r="B95" t="inlineStr">
        <is>
          <t>KSB 200 BOX FAN</t>
        </is>
      </c>
      <c r="C95" t="inlineStr"/>
      <c r="D95" t="inlineStr">
        <is>
          <t>FM - DONKIN</t>
        </is>
      </c>
      <c r="E95" s="1" t="n">
        <v>0</v>
      </c>
      <c r="F95" t="n">
        <v>1</v>
      </c>
      <c r="G95" t="n">
        <v>0</v>
      </c>
      <c r="H95" t="n">
        <v>4</v>
      </c>
      <c r="I95" t="n">
        <v>0</v>
      </c>
      <c r="J95" t="n">
        <v>0</v>
      </c>
      <c r="K95">
        <f>IF(H95-I95-J95&gt;0,H95-I95-J95,0)</f>
        <v/>
      </c>
      <c r="L95" s="1">
        <f>IFERROR(I95*E95,0)</f>
        <v/>
      </c>
      <c r="M95" s="1">
        <f>IFERROR(K95*E95,0)</f>
        <v/>
      </c>
    </row>
    <row r="96">
      <c r="A96" t="inlineStr">
        <is>
          <t>D100058</t>
        </is>
      </c>
      <c r="B96" t="inlineStr">
        <is>
          <t>KSB 250 BOX FAN</t>
        </is>
      </c>
      <c r="C96" t="inlineStr"/>
      <c r="D96" t="inlineStr">
        <is>
          <t>FM - DONKIN</t>
        </is>
      </c>
      <c r="E96" s="1" t="n">
        <v>0</v>
      </c>
      <c r="F96" t="n">
        <v>1</v>
      </c>
      <c r="G96" t="n">
        <v>0</v>
      </c>
      <c r="H96" t="n">
        <v>2</v>
      </c>
      <c r="I96" t="n">
        <v>0</v>
      </c>
      <c r="J96" t="n">
        <v>0</v>
      </c>
      <c r="K96">
        <f>IF(H96-I96-J96&gt;0,H96-I96-J96,0)</f>
        <v/>
      </c>
      <c r="L96" s="1">
        <f>IFERROR(I96*E96,0)</f>
        <v/>
      </c>
      <c r="M96" s="1">
        <f>IFERROR(K96*E96,0)</f>
        <v/>
      </c>
    </row>
    <row r="97">
      <c r="A97" t="inlineStr">
        <is>
          <t>D100059</t>
        </is>
      </c>
      <c r="B97" t="inlineStr">
        <is>
          <t>TT SILENT M250</t>
        </is>
      </c>
      <c r="C97" t="inlineStr"/>
      <c r="D97" t="inlineStr">
        <is>
          <t>FM - DONKIN</t>
        </is>
      </c>
      <c r="E97" s="1" t="n">
        <v>0</v>
      </c>
      <c r="F97" t="n">
        <v>1</v>
      </c>
      <c r="G97" t="n">
        <v>0</v>
      </c>
      <c r="H97" t="n">
        <v>5</v>
      </c>
      <c r="I97" t="n">
        <v>0</v>
      </c>
      <c r="J97" t="n">
        <v>0</v>
      </c>
      <c r="K97">
        <f>IF(H97-I97-J97&gt;0,H97-I97-J97,0)</f>
        <v/>
      </c>
      <c r="L97" s="1">
        <f>IFERROR(I97*E97,0)</f>
        <v/>
      </c>
      <c r="M97" s="1">
        <f>IFERROR(K97*E97,0)</f>
        <v/>
      </c>
    </row>
    <row r="98">
      <c r="A98" t="inlineStr">
        <is>
          <t>F6942 Filter</t>
        </is>
      </c>
      <c r="B98" t="inlineStr">
        <is>
          <t>Donkin Fan Filter F6942 Set</t>
        </is>
      </c>
      <c r="C98" t="inlineStr"/>
      <c r="D98" t="inlineStr">
        <is>
          <t>FM - DONKIN</t>
        </is>
      </c>
      <c r="E98" s="1" t="n">
        <v>0</v>
      </c>
      <c r="F98" t="n">
        <v>1</v>
      </c>
      <c r="G98" t="n">
        <v>0</v>
      </c>
      <c r="H98" t="n">
        <v>5</v>
      </c>
      <c r="I98" t="n">
        <v>0</v>
      </c>
      <c r="J98" t="n">
        <v>0</v>
      </c>
      <c r="K98">
        <f>IF(H98-I98-J98&gt;0,H98-I98-J98,0)</f>
        <v/>
      </c>
      <c r="L98" s="1">
        <f>IFERROR(I98*E98,0)</f>
        <v/>
      </c>
      <c r="M98" s="1">
        <f>IFERROR(K98*E98,0)</f>
        <v/>
      </c>
    </row>
    <row r="99">
      <c r="A99" t="inlineStr">
        <is>
          <t>FT4001502</t>
        </is>
      </c>
      <c r="B99" t="inlineStr">
        <is>
          <t>Funmax 400 15.D.8 c/w 1.5kw 2P 380 V Motor</t>
        </is>
      </c>
      <c r="C99" t="inlineStr"/>
      <c r="D99" t="inlineStr">
        <is>
          <t>FM - DONKIN</t>
        </is>
      </c>
      <c r="E99" s="1" t="n">
        <v>0</v>
      </c>
      <c r="F99" t="n">
        <v>1</v>
      </c>
      <c r="G99" t="n">
        <v>0</v>
      </c>
      <c r="H99" t="n">
        <v>2</v>
      </c>
      <c r="I99" t="n">
        <v>0</v>
      </c>
      <c r="J99" t="n">
        <v>0</v>
      </c>
      <c r="K99">
        <f>IF(H99-I99-J99&gt;0,H99-I99-J99,0)</f>
        <v/>
      </c>
      <c r="L99" s="1">
        <f>IFERROR(I99*E99,0)</f>
        <v/>
      </c>
      <c r="M99" s="1">
        <f>IFERROR(K99*E99,0)</f>
        <v/>
      </c>
    </row>
    <row r="100">
      <c r="A100" t="inlineStr">
        <is>
          <t>FT7101104</t>
        </is>
      </c>
      <c r="B100" t="inlineStr">
        <is>
          <t>Funmax 710 20.D.8 c/w 1.1kw 4P 380 V Motor</t>
        </is>
      </c>
      <c r="C100" t="inlineStr">
        <is>
          <t>Centrifab (Pty) Ltd</t>
        </is>
      </c>
      <c r="D100" t="inlineStr">
        <is>
          <t>FM - DONKIN</t>
        </is>
      </c>
      <c r="E100" s="1" t="n">
        <v>13600</v>
      </c>
      <c r="F100" t="n">
        <v>2</v>
      </c>
      <c r="G100" t="n">
        <v>0</v>
      </c>
      <c r="H100" t="n">
        <v>4</v>
      </c>
      <c r="I100" t="n">
        <v>0</v>
      </c>
      <c r="J100" t="n">
        <v>0</v>
      </c>
      <c r="K100">
        <f>IF(H100-I100-J100&gt;0,H100-I100-J100,0)</f>
        <v/>
      </c>
      <c r="L100" s="1">
        <f>IFERROR(I100*E100,0)</f>
        <v/>
      </c>
      <c r="M100" s="1">
        <f>IFERROR(K100*E100,0)</f>
        <v/>
      </c>
    </row>
    <row r="101">
      <c r="A101" t="inlineStr">
        <is>
          <t>LS250</t>
        </is>
      </c>
      <c r="B101" t="inlineStr">
        <is>
          <t>LOUVER SHUTTER Alum. 9</t>
        </is>
      </c>
      <c r="C101" t="inlineStr"/>
      <c r="D101" t="inlineStr">
        <is>
          <t>FM - DONKIN</t>
        </is>
      </c>
      <c r="E101" s="1" t="n">
        <v>518.48</v>
      </c>
      <c r="F101" t="n">
        <v>1</v>
      </c>
      <c r="G101" t="n">
        <v>0</v>
      </c>
      <c r="H101" t="n">
        <v>2</v>
      </c>
      <c r="I101" t="n">
        <v>0</v>
      </c>
      <c r="J101" t="n">
        <v>0</v>
      </c>
      <c r="K101">
        <f>IF(H101-I101-J101&gt;0,H101-I101-J101,0)</f>
        <v/>
      </c>
      <c r="L101" s="1">
        <f>IFERROR(I101*E101,0)</f>
        <v/>
      </c>
      <c r="M101" s="1">
        <f>IFERROR(K101*E101,0)</f>
        <v/>
      </c>
    </row>
    <row r="102">
      <c r="A102" t="inlineStr">
        <is>
          <t>LS315</t>
        </is>
      </c>
      <c r="B102" t="inlineStr">
        <is>
          <t>LOUVER SHUTTER Alum. 12</t>
        </is>
      </c>
      <c r="C102" t="inlineStr"/>
      <c r="D102" t="inlineStr">
        <is>
          <t>FM - DONKIN</t>
        </is>
      </c>
      <c r="E102" s="1" t="n">
        <v>437.68</v>
      </c>
      <c r="F102" t="n">
        <v>1</v>
      </c>
      <c r="G102" t="n">
        <v>0</v>
      </c>
      <c r="H102" t="n">
        <v>2</v>
      </c>
      <c r="I102" t="n">
        <v>0</v>
      </c>
      <c r="J102" t="n">
        <v>0</v>
      </c>
      <c r="K102">
        <f>IF(H102-I102-J102&gt;0,H102-I102-J102,0)</f>
        <v/>
      </c>
      <c r="L102" s="1">
        <f>IFERROR(I102*E102,0)</f>
        <v/>
      </c>
      <c r="M102" s="1">
        <f>IFERROR(K102*E102,0)</f>
        <v/>
      </c>
    </row>
    <row r="103">
      <c r="A103" t="inlineStr">
        <is>
          <t>LS400</t>
        </is>
      </c>
      <c r="B103" t="inlineStr">
        <is>
          <t>LOUVRE SHUTTER 15''</t>
        </is>
      </c>
      <c r="C103" t="inlineStr"/>
      <c r="D103" t="inlineStr">
        <is>
          <t>FM - DONKIN</t>
        </is>
      </c>
      <c r="E103" s="1" t="n">
        <v>555.74</v>
      </c>
      <c r="F103" t="n">
        <v>1</v>
      </c>
      <c r="G103" t="n">
        <v>0</v>
      </c>
      <c r="H103" t="n">
        <v>2</v>
      </c>
      <c r="I103" t="n">
        <v>0</v>
      </c>
      <c r="J103" t="n">
        <v>0</v>
      </c>
      <c r="K103">
        <f>IF(H103-I103-J103&gt;0,H103-I103-J103,0)</f>
        <v/>
      </c>
      <c r="L103" s="1">
        <f>IFERROR(I103*E103,0)</f>
        <v/>
      </c>
      <c r="M103" s="1">
        <f>IFERROR(K103*E103,0)</f>
        <v/>
      </c>
    </row>
    <row r="104">
      <c r="A104" t="inlineStr">
        <is>
          <t>LS500</t>
        </is>
      </c>
      <c r="B104" t="inlineStr">
        <is>
          <t>LOUVRE SHUTTER Alum. 18</t>
        </is>
      </c>
      <c r="C104" t="inlineStr"/>
      <c r="D104" t="inlineStr">
        <is>
          <t>FM - DONKIN</t>
        </is>
      </c>
      <c r="E104" s="1" t="n">
        <v>724.5</v>
      </c>
      <c r="F104" t="n">
        <v>1</v>
      </c>
      <c r="G104" t="n">
        <v>0</v>
      </c>
      <c r="H104" t="n">
        <v>2</v>
      </c>
      <c r="I104" t="n">
        <v>0</v>
      </c>
      <c r="J104" t="n">
        <v>0</v>
      </c>
      <c r="K104">
        <f>IF(H104-I104-J104&gt;0,H104-I104-J104,0)</f>
        <v/>
      </c>
      <c r="L104" s="1">
        <f>IFERROR(I104*E104,0)</f>
        <v/>
      </c>
      <c r="M104" s="1">
        <f>IFERROR(K104*E104,0)</f>
        <v/>
      </c>
    </row>
    <row r="105">
      <c r="A105" t="inlineStr">
        <is>
          <t>LS630</t>
        </is>
      </c>
      <c r="B105" t="inlineStr">
        <is>
          <t>LOUVRE SHUTTER Alum. 24</t>
        </is>
      </c>
      <c r="C105" t="inlineStr"/>
      <c r="D105" t="inlineStr">
        <is>
          <t>FM - DONKIN</t>
        </is>
      </c>
      <c r="E105" s="1" t="n">
        <v>974.05</v>
      </c>
      <c r="F105" t="n">
        <v>1</v>
      </c>
      <c r="G105" t="n">
        <v>0</v>
      </c>
      <c r="H105" t="n">
        <v>2</v>
      </c>
      <c r="I105" t="n">
        <v>0</v>
      </c>
      <c r="J105" t="n">
        <v>0</v>
      </c>
      <c r="K105">
        <f>IF(H105-I105-J105&gt;0,H105-I105-J105,0)</f>
        <v/>
      </c>
      <c r="L105" s="1">
        <f>IFERROR(I105*E105,0)</f>
        <v/>
      </c>
      <c r="M105" s="1">
        <f>IFERROR(K105*E105,0)</f>
        <v/>
      </c>
    </row>
    <row r="106">
      <c r="A106" t="inlineStr">
        <is>
          <t>Laser Cutting-P1000</t>
        </is>
      </c>
      <c r="B106" t="inlineStr">
        <is>
          <t>Program 1000 - 4mm</t>
        </is>
      </c>
      <c r="C106" t="inlineStr">
        <is>
          <t>ULTIMATENG (PTY) LTD</t>
        </is>
      </c>
      <c r="D106" t="inlineStr">
        <is>
          <t>FM - DONKIN</t>
        </is>
      </c>
      <c r="E106" s="1" t="n">
        <v>3000</v>
      </c>
      <c r="F106" t="n">
        <v>2</v>
      </c>
      <c r="G106" t="n">
        <v>0</v>
      </c>
      <c r="H106" t="n">
        <v>8</v>
      </c>
      <c r="I106" t="n">
        <v>0</v>
      </c>
      <c r="J106" t="n">
        <v>0</v>
      </c>
      <c r="K106">
        <f>IF(H106-I106-J106&gt;0,H106-I106-J106,0)</f>
        <v/>
      </c>
      <c r="L106" s="1">
        <f>IFERROR(I106*E106,0)</f>
        <v/>
      </c>
      <c r="M106" s="1">
        <f>IFERROR(K106*E106,0)</f>
        <v/>
      </c>
    </row>
    <row r="107">
      <c r="A107" t="inlineStr">
        <is>
          <t>Laser Cutting-P3</t>
        </is>
      </c>
      <c r="B107" t="inlineStr">
        <is>
          <t>Program 3</t>
        </is>
      </c>
      <c r="C107" t="inlineStr">
        <is>
          <t>ULTIMATENG (PTY) LTD</t>
        </is>
      </c>
      <c r="D107" t="inlineStr">
        <is>
          <t>FM - DONKIN</t>
        </is>
      </c>
      <c r="E107" s="1" t="n">
        <v>3103.33</v>
      </c>
      <c r="F107" t="n">
        <v>2</v>
      </c>
      <c r="G107" t="n">
        <v>0</v>
      </c>
      <c r="H107" t="n">
        <v>12</v>
      </c>
      <c r="I107" t="n">
        <v>0</v>
      </c>
      <c r="J107" t="n">
        <v>0</v>
      </c>
      <c r="K107">
        <f>IF(H107-I107-J107&gt;0,H107-I107-J107,0)</f>
        <v/>
      </c>
      <c r="L107" s="1">
        <f>IFERROR(I107*E107,0)</f>
        <v/>
      </c>
      <c r="M107" s="1">
        <f>IFERROR(K107*E107,0)</f>
        <v/>
      </c>
    </row>
    <row r="108">
      <c r="A108" t="inlineStr">
        <is>
          <t>Laser Cutting-P4</t>
        </is>
      </c>
      <c r="B108" t="inlineStr">
        <is>
          <t>Program 4</t>
        </is>
      </c>
      <c r="C108" t="inlineStr">
        <is>
          <t>ULTIMATENG (PTY) LTD</t>
        </is>
      </c>
      <c r="D108" t="inlineStr">
        <is>
          <t>FM - DONKIN</t>
        </is>
      </c>
      <c r="E108" s="1" t="n">
        <v>2545.38</v>
      </c>
      <c r="F108" t="n">
        <v>2</v>
      </c>
      <c r="G108" t="n">
        <v>0</v>
      </c>
      <c r="H108" t="n">
        <v>11</v>
      </c>
      <c r="I108" t="n">
        <v>0</v>
      </c>
      <c r="J108" t="n">
        <v>0</v>
      </c>
      <c r="K108">
        <f>IF(H108-I108-J108&gt;0,H108-I108-J108,0)</f>
        <v/>
      </c>
      <c r="L108" s="1">
        <f>IFERROR(I108*E108,0)</f>
        <v/>
      </c>
      <c r="M108" s="1">
        <f>IFERROR(K108*E108,0)</f>
        <v/>
      </c>
    </row>
    <row r="109">
      <c r="A109" t="inlineStr">
        <is>
          <t>Laser Cutting-P900</t>
        </is>
      </c>
      <c r="B109" t="inlineStr">
        <is>
          <t>Program 900 - 4mm</t>
        </is>
      </c>
      <c r="C109" t="inlineStr">
        <is>
          <t>ULTIMATENG (PTY) LTD</t>
        </is>
      </c>
      <c r="D109" t="inlineStr">
        <is>
          <t>FM - DONKIN</t>
        </is>
      </c>
      <c r="E109" s="1" t="n">
        <v>4200</v>
      </c>
      <c r="F109" t="n">
        <v>2</v>
      </c>
      <c r="G109" t="n">
        <v>0</v>
      </c>
      <c r="H109" t="n">
        <v>8</v>
      </c>
      <c r="I109" t="n">
        <v>0</v>
      </c>
      <c r="J109" t="n">
        <v>0</v>
      </c>
      <c r="K109">
        <f>IF(H109-I109-J109&gt;0,H109-I109-J109,0)</f>
        <v/>
      </c>
      <c r="L109" s="1">
        <f>IFERROR(I109*E109,0)</f>
        <v/>
      </c>
      <c r="M109" s="1">
        <f>IFERROR(K109*E109,0)</f>
        <v/>
      </c>
    </row>
    <row r="110">
      <c r="A110" t="inlineStr">
        <is>
          <t>MB1000UG</t>
        </is>
      </c>
      <c r="B110" t="inlineStr">
        <is>
          <t>1000diam mounting brackets Ungalvanized (4 per set)</t>
        </is>
      </c>
      <c r="C110" t="inlineStr">
        <is>
          <t>ULTIMATENG (PTY) LTD</t>
        </is>
      </c>
      <c r="D110" t="inlineStr">
        <is>
          <t>FM - DONKIN</t>
        </is>
      </c>
      <c r="E110" s="1" t="n">
        <v>0</v>
      </c>
      <c r="F110" t="n">
        <v>6</v>
      </c>
      <c r="G110" t="n">
        <v>0</v>
      </c>
      <c r="H110" t="n">
        <v>30</v>
      </c>
      <c r="I110" t="n">
        <v>0</v>
      </c>
      <c r="J110" t="n">
        <v>0</v>
      </c>
      <c r="K110">
        <f>IF(H110-I110-J110&gt;0,H110-I110-J110,0)</f>
        <v/>
      </c>
      <c r="L110" s="1">
        <f>IFERROR(I110*E110,0)</f>
        <v/>
      </c>
      <c r="M110" s="1">
        <f>IFERROR(K110*E110,0)</f>
        <v/>
      </c>
    </row>
    <row r="111">
      <c r="A111" t="inlineStr">
        <is>
          <t>MB630</t>
        </is>
      </c>
      <c r="B111" t="inlineStr">
        <is>
          <t>630diam Mounting Brackets (4 per set)</t>
        </is>
      </c>
      <c r="C111" t="inlineStr">
        <is>
          <t>GALVAGLOW (PTY) LTD</t>
        </is>
      </c>
      <c r="D111" t="inlineStr">
        <is>
          <t>FM - DONKIN</t>
        </is>
      </c>
      <c r="E111" s="1" t="n">
        <v>0</v>
      </c>
      <c r="F111" t="n">
        <v>5</v>
      </c>
      <c r="G111" t="n">
        <v>0</v>
      </c>
      <c r="H111" t="n">
        <v>25</v>
      </c>
      <c r="I111" t="n">
        <v>0</v>
      </c>
      <c r="J111" t="n">
        <v>0</v>
      </c>
      <c r="K111">
        <f>IF(H111-I111-J111&gt;0,H111-I111-J111,0)</f>
        <v/>
      </c>
      <c r="L111" s="1">
        <f>IFERROR(I111*E111,0)</f>
        <v/>
      </c>
      <c r="M111" s="1">
        <f>IFERROR(K111*E111,0)</f>
        <v/>
      </c>
    </row>
    <row r="112">
      <c r="A112" t="inlineStr">
        <is>
          <t>MB630UG</t>
        </is>
      </c>
      <c r="B112" t="inlineStr">
        <is>
          <t>630diam Mounting Brackets Ungalvanized (4 per set)</t>
        </is>
      </c>
      <c r="C112" t="inlineStr">
        <is>
          <t>ULTIMATENG (PTY) LTD</t>
        </is>
      </c>
      <c r="D112" t="inlineStr">
        <is>
          <t>FM - DONKIN</t>
        </is>
      </c>
      <c r="E112" s="1" t="n">
        <v>0</v>
      </c>
      <c r="F112" t="n">
        <v>18</v>
      </c>
      <c r="G112" t="n">
        <v>0</v>
      </c>
      <c r="H112" t="n">
        <v>88</v>
      </c>
      <c r="I112" t="n">
        <v>0</v>
      </c>
      <c r="J112" t="n">
        <v>0</v>
      </c>
      <c r="K112">
        <f>IF(H112-I112-J112&gt;0,H112-I112-J112,0)</f>
        <v/>
      </c>
      <c r="L112" s="1">
        <f>IFERROR(I112*E112,0)</f>
        <v/>
      </c>
      <c r="M112" s="1">
        <f>IFERROR(K112*E112,0)</f>
        <v/>
      </c>
    </row>
    <row r="113">
      <c r="A113" t="inlineStr">
        <is>
          <t>MB710</t>
        </is>
      </c>
      <c r="B113" t="inlineStr">
        <is>
          <t>710diam mounting brackets (4 per set)</t>
        </is>
      </c>
      <c r="C113" t="inlineStr">
        <is>
          <t>GALVAGLOW (PTY) LTD</t>
        </is>
      </c>
      <c r="D113" t="inlineStr">
        <is>
          <t>FM - DONKIN</t>
        </is>
      </c>
      <c r="E113" s="1" t="n">
        <v>0</v>
      </c>
      <c r="F113" t="n">
        <v>4</v>
      </c>
      <c r="G113" t="n">
        <v>0</v>
      </c>
      <c r="H113" t="n">
        <v>22</v>
      </c>
      <c r="I113" t="n">
        <v>0</v>
      </c>
      <c r="J113" t="n">
        <v>0</v>
      </c>
      <c r="K113">
        <f>IF(H113-I113-J113&gt;0,H113-I113-J113,0)</f>
        <v/>
      </c>
      <c r="L113" s="1">
        <f>IFERROR(I113*E113,0)</f>
        <v/>
      </c>
      <c r="M113" s="1">
        <f>IFERROR(K113*E113,0)</f>
        <v/>
      </c>
    </row>
    <row r="114">
      <c r="A114" t="inlineStr">
        <is>
          <t>MB710UG</t>
        </is>
      </c>
      <c r="B114" t="inlineStr">
        <is>
          <t>710diam mounting brackets Ungalvanized (4 per set)</t>
        </is>
      </c>
      <c r="C114" t="inlineStr">
        <is>
          <t>ULTIMATENG (PTY) LTD</t>
        </is>
      </c>
      <c r="D114" t="inlineStr">
        <is>
          <t>FM - DONKIN</t>
        </is>
      </c>
      <c r="E114" s="1" t="n">
        <v>0</v>
      </c>
      <c r="F114" t="n">
        <v>16</v>
      </c>
      <c r="G114" t="n">
        <v>0</v>
      </c>
      <c r="H114" t="n">
        <v>80</v>
      </c>
      <c r="I114" t="n">
        <v>0</v>
      </c>
      <c r="J114" t="n">
        <v>0</v>
      </c>
      <c r="K114">
        <f>IF(H114-I114-J114&gt;0,H114-I114-J114,0)</f>
        <v/>
      </c>
      <c r="L114" s="1">
        <f>IFERROR(I114*E114,0)</f>
        <v/>
      </c>
      <c r="M114" s="1">
        <f>IFERROR(K114*E114,0)</f>
        <v/>
      </c>
    </row>
    <row r="115">
      <c r="A115" t="inlineStr">
        <is>
          <t>MB800UG</t>
        </is>
      </c>
      <c r="B115" t="inlineStr">
        <is>
          <t>800diam mounting brackets Ungalvanized (4 per set)</t>
        </is>
      </c>
      <c r="C115" t="inlineStr">
        <is>
          <t>ULTIMATENG (PTY) LTD</t>
        </is>
      </c>
      <c r="D115" t="inlineStr">
        <is>
          <t>FM - DONKIN</t>
        </is>
      </c>
      <c r="E115" s="1" t="n">
        <v>0</v>
      </c>
      <c r="F115" t="n">
        <v>11</v>
      </c>
      <c r="G115" t="n">
        <v>0</v>
      </c>
      <c r="H115" t="n">
        <v>55</v>
      </c>
      <c r="I115" t="n">
        <v>0</v>
      </c>
      <c r="J115" t="n">
        <v>0</v>
      </c>
      <c r="K115">
        <f>IF(H115-I115-J115&gt;0,H115-I115-J115,0)</f>
        <v/>
      </c>
      <c r="L115" s="1">
        <f>IFERROR(I115*E115,0)</f>
        <v/>
      </c>
      <c r="M115" s="1">
        <f>IFERROR(K115*E115,0)</f>
        <v/>
      </c>
    </row>
    <row r="116">
      <c r="A116" t="inlineStr">
        <is>
          <t>MB900UG</t>
        </is>
      </c>
      <c r="B116" t="inlineStr">
        <is>
          <t>900diam mounting brackets Ungalvanized (4 per set)</t>
        </is>
      </c>
      <c r="C116" t="inlineStr">
        <is>
          <t>ULTIMATENG (PTY) LTD</t>
        </is>
      </c>
      <c r="D116" t="inlineStr">
        <is>
          <t>FM - DONKIN</t>
        </is>
      </c>
      <c r="E116" s="1" t="n">
        <v>0</v>
      </c>
      <c r="F116" t="n">
        <v>12</v>
      </c>
      <c r="G116" t="n">
        <v>0</v>
      </c>
      <c r="H116" t="n">
        <v>60</v>
      </c>
      <c r="I116" t="n">
        <v>0</v>
      </c>
      <c r="J116" t="n">
        <v>0</v>
      </c>
      <c r="K116">
        <f>IF(H116-I116-J116&gt;0,H116-I116-J116,0)</f>
        <v/>
      </c>
      <c r="L116" s="1">
        <f>IFERROR(I116*E116,0)</f>
        <v/>
      </c>
      <c r="M116" s="1">
        <f>IFERROR(K116*E116,0)</f>
        <v/>
      </c>
    </row>
    <row r="117">
      <c r="A117" t="inlineStr">
        <is>
          <t>MF12504008</t>
        </is>
      </c>
      <c r="B117" t="inlineStr">
        <is>
          <t>MFAJAX-3 1250 c/w 4,00KW 8P 380V</t>
        </is>
      </c>
      <c r="C117" t="inlineStr"/>
      <c r="D117" t="inlineStr">
        <is>
          <t>FM - DONKIN</t>
        </is>
      </c>
      <c r="E117" s="1" t="n">
        <v>0</v>
      </c>
      <c r="F117" t="n">
        <v>1</v>
      </c>
      <c r="G117" t="n">
        <v>0</v>
      </c>
      <c r="H117" t="n">
        <v>2</v>
      </c>
      <c r="I117" t="n">
        <v>0</v>
      </c>
      <c r="J117" t="n">
        <v>0</v>
      </c>
      <c r="K117">
        <f>IF(H117-I117-J117&gt;0,H117-I117-J117,0)</f>
        <v/>
      </c>
      <c r="L117" s="1">
        <f>IFERROR(I117*E117,0)</f>
        <v/>
      </c>
      <c r="M117" s="1">
        <f>IFERROR(K117*E117,0)</f>
        <v/>
      </c>
    </row>
    <row r="118">
      <c r="A118" t="inlineStr">
        <is>
          <t>MFA100011004</t>
        </is>
      </c>
      <c r="B118" t="inlineStr">
        <is>
          <t>MAXFLO 1000/250/14 A c/w 11,00KW 4P 380V</t>
        </is>
      </c>
      <c r="C118" t="inlineStr">
        <is>
          <t>Centrifab (Pty) Ltd</t>
        </is>
      </c>
      <c r="D118" t="inlineStr">
        <is>
          <t>FM - DONKIN</t>
        </is>
      </c>
      <c r="E118" s="1" t="n">
        <v>3774</v>
      </c>
      <c r="F118" t="n">
        <v>1</v>
      </c>
      <c r="G118" t="n">
        <v>0</v>
      </c>
      <c r="H118" t="n">
        <v>3</v>
      </c>
      <c r="I118" t="n">
        <v>0</v>
      </c>
      <c r="J118" t="n">
        <v>0</v>
      </c>
      <c r="K118">
        <f>IF(H118-I118-J118&gt;0,H118-I118-J118,0)</f>
        <v/>
      </c>
      <c r="L118" s="1">
        <f>IFERROR(I118*E118,0)</f>
        <v/>
      </c>
      <c r="M118" s="1">
        <f>IFERROR(K118*E118,0)</f>
        <v/>
      </c>
    </row>
    <row r="119">
      <c r="A119" t="inlineStr">
        <is>
          <t>MFA10004004</t>
        </is>
      </c>
      <c r="B119" t="inlineStr">
        <is>
          <t>MAXFLO 1000/250/14 A c/w 4,00KW 4P 380V</t>
        </is>
      </c>
      <c r="C119" t="inlineStr">
        <is>
          <t>Centrifab (Pty) Ltd</t>
        </is>
      </c>
      <c r="D119" t="inlineStr">
        <is>
          <t>FM - DONKIN</t>
        </is>
      </c>
      <c r="E119" s="1" t="n">
        <v>11554.27</v>
      </c>
      <c r="F119" t="n">
        <v>1</v>
      </c>
      <c r="G119" t="n">
        <v>0</v>
      </c>
      <c r="H119" t="n">
        <v>2</v>
      </c>
      <c r="I119" t="n">
        <v>0</v>
      </c>
      <c r="J119" t="n">
        <v>0</v>
      </c>
      <c r="K119">
        <f>IF(H119-I119-J119&gt;0,H119-I119-J119,0)</f>
        <v/>
      </c>
      <c r="L119" s="1">
        <f>IFERROR(I119*E119,0)</f>
        <v/>
      </c>
      <c r="M119" s="1">
        <f>IFERROR(K119*E119,0)</f>
        <v/>
      </c>
    </row>
    <row r="120">
      <c r="A120" t="inlineStr">
        <is>
          <t>MFA10005504</t>
        </is>
      </c>
      <c r="B120" t="inlineStr">
        <is>
          <t>MAXFLO 1000/250/14 A c/w 5,50KW 4P 380V</t>
        </is>
      </c>
      <c r="C120" t="inlineStr"/>
      <c r="D120" t="inlineStr">
        <is>
          <t>FM - DONKIN</t>
        </is>
      </c>
      <c r="E120" s="1" t="n">
        <v>0</v>
      </c>
      <c r="F120" t="n">
        <v>1</v>
      </c>
      <c r="G120" t="n">
        <v>0</v>
      </c>
      <c r="H120" t="n">
        <v>2</v>
      </c>
      <c r="I120" t="n">
        <v>0</v>
      </c>
      <c r="J120" t="n">
        <v>0</v>
      </c>
      <c r="K120">
        <f>IF(H120-I120-J120&gt;0,H120-I120-J120,0)</f>
        <v/>
      </c>
      <c r="L120" s="1">
        <f>IFERROR(I120*E120,0)</f>
        <v/>
      </c>
      <c r="M120" s="1">
        <f>IFERROR(K120*E120,0)</f>
        <v/>
      </c>
    </row>
    <row r="121">
      <c r="A121" t="inlineStr">
        <is>
          <t>MFA3150372</t>
        </is>
      </c>
      <c r="B121" t="inlineStr">
        <is>
          <t>MAXFLO 315/150/10 A c/w 0.37kW 2P 380V</t>
        </is>
      </c>
      <c r="C121" t="inlineStr"/>
      <c r="D121" t="inlineStr">
        <is>
          <t>FM - DONKIN</t>
        </is>
      </c>
      <c r="E121" s="1" t="n">
        <v>0</v>
      </c>
      <c r="F121" t="n">
        <v>1</v>
      </c>
      <c r="G121" t="n">
        <v>0</v>
      </c>
      <c r="H121" t="n">
        <v>2</v>
      </c>
      <c r="I121" t="n">
        <v>0</v>
      </c>
      <c r="J121" t="n">
        <v>0</v>
      </c>
      <c r="K121">
        <f>IF(H121-I121-J121&gt;0,H121-I121-J121,0)</f>
        <v/>
      </c>
      <c r="L121" s="1">
        <f>IFERROR(I121*E121,0)</f>
        <v/>
      </c>
      <c r="M121" s="1">
        <f>IFERROR(K121*E121,0)</f>
        <v/>
      </c>
    </row>
    <row r="122">
      <c r="A122" t="inlineStr">
        <is>
          <t>MFA3150552</t>
        </is>
      </c>
      <c r="B122" t="inlineStr">
        <is>
          <t>MAXFLO 315/150/10 A c/w 0,55KW 2P 380V</t>
        </is>
      </c>
      <c r="C122" t="inlineStr"/>
      <c r="D122" t="inlineStr">
        <is>
          <t>FM - DONKIN</t>
        </is>
      </c>
      <c r="E122" s="1" t="n">
        <v>0</v>
      </c>
      <c r="F122" t="n">
        <v>1</v>
      </c>
      <c r="G122" t="n">
        <v>0</v>
      </c>
      <c r="H122" t="n">
        <v>2</v>
      </c>
      <c r="I122" t="n">
        <v>0</v>
      </c>
      <c r="J122" t="n">
        <v>0</v>
      </c>
      <c r="K122">
        <f>IF(H122-I122-J122&gt;0,H122-I122-J122,0)</f>
        <v/>
      </c>
      <c r="L122" s="1">
        <f>IFERROR(I122*E122,0)</f>
        <v/>
      </c>
      <c r="M122" s="1">
        <f>IFERROR(K122*E122,0)</f>
        <v/>
      </c>
    </row>
    <row r="123">
      <c r="A123" t="inlineStr">
        <is>
          <t>MFA3150752</t>
        </is>
      </c>
      <c r="B123" t="inlineStr">
        <is>
          <t>MAXFLO 315/150/10 A c/w 0,75KW 2P 380V</t>
        </is>
      </c>
      <c r="C123" t="inlineStr"/>
      <c r="D123" t="inlineStr">
        <is>
          <t>FM - DONKIN</t>
        </is>
      </c>
      <c r="E123" s="1" t="n">
        <v>0</v>
      </c>
      <c r="F123" t="n">
        <v>1</v>
      </c>
      <c r="G123" t="n">
        <v>0</v>
      </c>
      <c r="H123" t="n">
        <v>2</v>
      </c>
      <c r="I123" t="n">
        <v>0</v>
      </c>
      <c r="J123" t="n">
        <v>0</v>
      </c>
      <c r="K123">
        <f>IF(H123-I123-J123&gt;0,H123-I123-J123,0)</f>
        <v/>
      </c>
      <c r="L123" s="1">
        <f>IFERROR(I123*E123,0)</f>
        <v/>
      </c>
      <c r="M123" s="1">
        <f>IFERROR(K123*E123,0)</f>
        <v/>
      </c>
    </row>
    <row r="124">
      <c r="A124" t="inlineStr">
        <is>
          <t>MFA4000374</t>
        </is>
      </c>
      <c r="B124" t="inlineStr">
        <is>
          <t>MAXFLO 400/150/10 A c/w 0,37KW 4P 380V</t>
        </is>
      </c>
      <c r="C124" t="inlineStr"/>
      <c r="D124" t="inlineStr">
        <is>
          <t>FM - DONKIN</t>
        </is>
      </c>
      <c r="E124" s="1" t="n">
        <v>0</v>
      </c>
      <c r="F124" t="n">
        <v>1</v>
      </c>
      <c r="G124" t="n">
        <v>0</v>
      </c>
      <c r="H124" t="n">
        <v>2</v>
      </c>
      <c r="I124" t="n">
        <v>0</v>
      </c>
      <c r="J124" t="n">
        <v>0</v>
      </c>
      <c r="K124">
        <f>IF(H124-I124-J124&gt;0,H124-I124-J124,0)</f>
        <v/>
      </c>
      <c r="L124" s="1">
        <f>IFERROR(I124*E124,0)</f>
        <v/>
      </c>
      <c r="M124" s="1">
        <f>IFERROR(K124*E124,0)</f>
        <v/>
      </c>
    </row>
    <row r="125">
      <c r="A125" t="inlineStr">
        <is>
          <t>MFA4000552</t>
        </is>
      </c>
      <c r="B125" t="inlineStr">
        <is>
          <t>MAXFLO 400/150/10 A c/w 0,55KW 2P 380V</t>
        </is>
      </c>
      <c r="C125" t="inlineStr"/>
      <c r="D125" t="inlineStr">
        <is>
          <t>FM - DONKIN</t>
        </is>
      </c>
      <c r="E125" s="1" t="n">
        <v>0</v>
      </c>
      <c r="F125" t="n">
        <v>1</v>
      </c>
      <c r="G125" t="n">
        <v>0</v>
      </c>
      <c r="H125" t="n">
        <v>2</v>
      </c>
      <c r="I125" t="n">
        <v>0</v>
      </c>
      <c r="J125" t="n">
        <v>0</v>
      </c>
      <c r="K125">
        <f>IF(H125-I125-J125&gt;0,H125-I125-J125,0)</f>
        <v/>
      </c>
      <c r="L125" s="1">
        <f>IFERROR(I125*E125,0)</f>
        <v/>
      </c>
      <c r="M125" s="1">
        <f>IFERROR(K125*E125,0)</f>
        <v/>
      </c>
    </row>
    <row r="126">
      <c r="A126" t="inlineStr">
        <is>
          <t>MFA4000752</t>
        </is>
      </c>
      <c r="B126" t="inlineStr">
        <is>
          <t>MAXFLO 400/150/10 A c/w 0,75KW 2P 380V</t>
        </is>
      </c>
      <c r="C126" t="inlineStr"/>
      <c r="D126" t="inlineStr">
        <is>
          <t>FM - DONKIN</t>
        </is>
      </c>
      <c r="E126" s="1" t="n">
        <v>0</v>
      </c>
      <c r="F126" t="n">
        <v>1</v>
      </c>
      <c r="G126" t="n">
        <v>0</v>
      </c>
      <c r="H126" t="n">
        <v>2</v>
      </c>
      <c r="I126" t="n">
        <v>0</v>
      </c>
      <c r="J126" t="n">
        <v>0</v>
      </c>
      <c r="K126">
        <f>IF(H126-I126-J126&gt;0,H126-I126-J126,0)</f>
        <v/>
      </c>
      <c r="L126" s="1">
        <f>IFERROR(I126*E126,0)</f>
        <v/>
      </c>
      <c r="M126" s="1">
        <f>IFERROR(K126*E126,0)</f>
        <v/>
      </c>
    </row>
    <row r="127">
      <c r="A127" t="inlineStr">
        <is>
          <t>MFA4001102</t>
        </is>
      </c>
      <c r="B127" t="inlineStr">
        <is>
          <t>MAXFLO 400/150/10 A c/w 1,10KW 2P 380V</t>
        </is>
      </c>
      <c r="C127" t="inlineStr">
        <is>
          <t>Centrifab (Pty) Ltd</t>
        </is>
      </c>
      <c r="D127" t="inlineStr">
        <is>
          <t>FM - DONKIN</t>
        </is>
      </c>
      <c r="E127" s="1" t="n">
        <v>7100</v>
      </c>
      <c r="F127" t="n">
        <v>1</v>
      </c>
      <c r="G127" t="n">
        <v>0</v>
      </c>
      <c r="H127" t="n">
        <v>2</v>
      </c>
      <c r="I127" t="n">
        <v>0</v>
      </c>
      <c r="J127" t="n">
        <v>0</v>
      </c>
      <c r="K127">
        <f>IF(H127-I127-J127&gt;0,H127-I127-J127,0)</f>
        <v/>
      </c>
      <c r="L127" s="1">
        <f>IFERROR(I127*E127,0)</f>
        <v/>
      </c>
      <c r="M127" s="1">
        <f>IFERROR(K127*E127,0)</f>
        <v/>
      </c>
    </row>
    <row r="128">
      <c r="A128" t="inlineStr">
        <is>
          <t>MFA4001502</t>
        </is>
      </c>
      <c r="B128" t="inlineStr">
        <is>
          <t>MAXFLO 400/150/10 A c/w 1.50KW 2P 380V</t>
        </is>
      </c>
      <c r="C128" t="inlineStr"/>
      <c r="D128" t="inlineStr">
        <is>
          <t>FM - DONKIN</t>
        </is>
      </c>
      <c r="E128" s="1" t="n">
        <v>0</v>
      </c>
      <c r="F128" t="n">
        <v>1</v>
      </c>
      <c r="G128" t="n">
        <v>0</v>
      </c>
      <c r="H128" t="n">
        <v>2</v>
      </c>
      <c r="I128" t="n">
        <v>0</v>
      </c>
      <c r="J128" t="n">
        <v>0</v>
      </c>
      <c r="K128">
        <f>IF(H128-I128-J128&gt;0,H128-I128-J128,0)</f>
        <v/>
      </c>
      <c r="L128" s="1">
        <f>IFERROR(I128*E128,0)</f>
        <v/>
      </c>
      <c r="M128" s="1">
        <f>IFERROR(K128*E128,0)</f>
        <v/>
      </c>
    </row>
    <row r="129">
      <c r="A129" t="inlineStr">
        <is>
          <t>MFA5000554</t>
        </is>
      </c>
      <c r="B129" t="inlineStr">
        <is>
          <t>MAXFLO 500/150/10 A c/w 0,55KW 4P 380V</t>
        </is>
      </c>
      <c r="C129" t="inlineStr">
        <is>
          <t>Air Speration</t>
        </is>
      </c>
      <c r="D129" t="inlineStr">
        <is>
          <t>FM - DONKIN</t>
        </is>
      </c>
      <c r="E129" s="1" t="n">
        <v>5824.76</v>
      </c>
      <c r="F129" t="n">
        <v>1</v>
      </c>
      <c r="G129" t="n">
        <v>0</v>
      </c>
      <c r="H129" t="n">
        <v>2</v>
      </c>
      <c r="I129" t="n">
        <v>0</v>
      </c>
      <c r="J129" t="n">
        <v>0</v>
      </c>
      <c r="K129">
        <f>IF(H129-I129-J129&gt;0,H129-I129-J129,0)</f>
        <v/>
      </c>
      <c r="L129" s="1">
        <f>IFERROR(I129*E129,0)</f>
        <v/>
      </c>
      <c r="M129" s="1">
        <f>IFERROR(K129*E129,0)</f>
        <v/>
      </c>
    </row>
    <row r="130">
      <c r="A130" t="inlineStr">
        <is>
          <t>MFA5000754</t>
        </is>
      </c>
      <c r="B130" t="inlineStr">
        <is>
          <t>MAXFLO 500/150/10 A c/w 0,75KW 4P 380V</t>
        </is>
      </c>
      <c r="C130" t="inlineStr"/>
      <c r="D130" t="inlineStr">
        <is>
          <t>FM - DONKIN</t>
        </is>
      </c>
      <c r="E130" s="1" t="n">
        <v>0</v>
      </c>
      <c r="F130" t="n">
        <v>1</v>
      </c>
      <c r="G130" t="n">
        <v>0</v>
      </c>
      <c r="H130" t="n">
        <v>2</v>
      </c>
      <c r="I130" t="n">
        <v>0</v>
      </c>
      <c r="J130" t="n">
        <v>0</v>
      </c>
      <c r="K130">
        <f>IF(H130-I130-J130&gt;0,H130-I130-J130,0)</f>
        <v/>
      </c>
      <c r="L130" s="1">
        <f>IFERROR(I130*E130,0)</f>
        <v/>
      </c>
      <c r="M130" s="1">
        <f>IFERROR(K130*E130,0)</f>
        <v/>
      </c>
    </row>
    <row r="131">
      <c r="A131" t="inlineStr">
        <is>
          <t>MFA5001102</t>
        </is>
      </c>
      <c r="B131" t="inlineStr">
        <is>
          <t>MAXFLO 500/150/10 A c/w 1,10KW 2P 380V</t>
        </is>
      </c>
      <c r="C131" t="inlineStr"/>
      <c r="D131" t="inlineStr">
        <is>
          <t>FM - DONKIN</t>
        </is>
      </c>
      <c r="E131" s="1" t="n">
        <v>0</v>
      </c>
      <c r="F131" t="n">
        <v>1</v>
      </c>
      <c r="G131" t="n">
        <v>0</v>
      </c>
      <c r="H131" t="n">
        <v>2</v>
      </c>
      <c r="I131" t="n">
        <v>0</v>
      </c>
      <c r="J131" t="n">
        <v>0</v>
      </c>
      <c r="K131">
        <f>IF(H131-I131-J131&gt;0,H131-I131-J131,0)</f>
        <v/>
      </c>
      <c r="L131" s="1">
        <f>IFERROR(I131*E131,0)</f>
        <v/>
      </c>
      <c r="M131" s="1">
        <f>IFERROR(K131*E131,0)</f>
        <v/>
      </c>
    </row>
    <row r="132">
      <c r="A132" t="inlineStr">
        <is>
          <t>MFA5001104</t>
        </is>
      </c>
      <c r="B132" t="inlineStr">
        <is>
          <t>MAXFLO 500/150/10 A c/w 1,10KW 4P 380V</t>
        </is>
      </c>
      <c r="C132" t="inlineStr"/>
      <c r="D132" t="inlineStr">
        <is>
          <t>FM - DONKIN</t>
        </is>
      </c>
      <c r="E132" s="1" t="n">
        <v>0</v>
      </c>
      <c r="F132" t="n">
        <v>1</v>
      </c>
      <c r="G132" t="n">
        <v>0</v>
      </c>
      <c r="H132" t="n">
        <v>2</v>
      </c>
      <c r="I132" t="n">
        <v>0</v>
      </c>
      <c r="J132" t="n">
        <v>0</v>
      </c>
      <c r="K132">
        <f>IF(H132-I132-J132&gt;0,H132-I132-J132,0)</f>
        <v/>
      </c>
      <c r="L132" s="1">
        <f>IFERROR(I132*E132,0)</f>
        <v/>
      </c>
      <c r="M132" s="1">
        <f>IFERROR(K132*E132,0)</f>
        <v/>
      </c>
    </row>
    <row r="133">
      <c r="A133" t="inlineStr">
        <is>
          <t>MFA5002202</t>
        </is>
      </c>
      <c r="B133" t="inlineStr">
        <is>
          <t>MAXFLO 500/150/10 A c/w 2,20KW 2P 380V</t>
        </is>
      </c>
      <c r="C133" t="inlineStr">
        <is>
          <t>Air Speration</t>
        </is>
      </c>
      <c r="D133" t="inlineStr">
        <is>
          <t>FM - DONKIN</t>
        </is>
      </c>
      <c r="E133" s="1" t="n">
        <v>8942.15</v>
      </c>
      <c r="F133" t="n">
        <v>1</v>
      </c>
      <c r="G133" t="n">
        <v>0</v>
      </c>
      <c r="H133" t="n">
        <v>3</v>
      </c>
      <c r="I133" t="n">
        <v>0</v>
      </c>
      <c r="J133" t="n">
        <v>0</v>
      </c>
      <c r="K133">
        <f>IF(H133-I133-J133&gt;0,H133-I133-J133,0)</f>
        <v/>
      </c>
      <c r="L133" s="1">
        <f>IFERROR(I133*E133,0)</f>
        <v/>
      </c>
      <c r="M133" s="1">
        <f>IFERROR(K133*E133,0)</f>
        <v/>
      </c>
    </row>
    <row r="134">
      <c r="A134" t="inlineStr">
        <is>
          <t>MFA5003002</t>
        </is>
      </c>
      <c r="B134" t="inlineStr">
        <is>
          <t>MAXFLO 500/150/10 A c/w 3.00kW 2P 380V</t>
        </is>
      </c>
      <c r="C134" t="inlineStr"/>
      <c r="D134" t="inlineStr">
        <is>
          <t>FM - DONKIN</t>
        </is>
      </c>
      <c r="E134" s="1" t="n">
        <v>0</v>
      </c>
      <c r="F134" t="n">
        <v>1</v>
      </c>
      <c r="G134" t="n">
        <v>0</v>
      </c>
      <c r="H134" t="n">
        <v>2</v>
      </c>
      <c r="I134" t="n">
        <v>0</v>
      </c>
      <c r="J134" t="n">
        <v>0</v>
      </c>
      <c r="K134">
        <f>IF(H134-I134-J134&gt;0,H134-I134-J134,0)</f>
        <v/>
      </c>
      <c r="L134" s="1">
        <f>IFERROR(I134*E134,0)</f>
        <v/>
      </c>
      <c r="M134" s="1">
        <f>IFERROR(K134*E134,0)</f>
        <v/>
      </c>
    </row>
    <row r="135">
      <c r="A135" t="inlineStr">
        <is>
          <t>MFA5004002</t>
        </is>
      </c>
      <c r="B135" t="inlineStr">
        <is>
          <t>MAXFLO 500/150/10 A c/w 4,00KW 2P 380V</t>
        </is>
      </c>
      <c r="C135" t="inlineStr"/>
      <c r="D135" t="inlineStr">
        <is>
          <t>FM - DONKIN</t>
        </is>
      </c>
      <c r="E135" s="1" t="n">
        <v>0</v>
      </c>
      <c r="F135" t="n">
        <v>1</v>
      </c>
      <c r="G135" t="n">
        <v>0</v>
      </c>
      <c r="H135" t="n">
        <v>2</v>
      </c>
      <c r="I135" t="n">
        <v>0</v>
      </c>
      <c r="J135" t="n">
        <v>0</v>
      </c>
      <c r="K135">
        <f>IF(H135-I135-J135&gt;0,H135-I135-J135,0)</f>
        <v/>
      </c>
      <c r="L135" s="1">
        <f>IFERROR(I135*E135,0)</f>
        <v/>
      </c>
      <c r="M135" s="1">
        <f>IFERROR(K135*E135,0)</f>
        <v/>
      </c>
    </row>
    <row r="136">
      <c r="A136" t="inlineStr">
        <is>
          <t>MFA90011004</t>
        </is>
      </c>
      <c r="B136" t="inlineStr">
        <is>
          <t>MAXFLO 900/250/14 A c/w 11,00KW 4P 380V</t>
        </is>
      </c>
      <c r="C136" t="inlineStr">
        <is>
          <t>Air Speration</t>
        </is>
      </c>
      <c r="D136" t="inlineStr">
        <is>
          <t>FM - DONKIN</t>
        </is>
      </c>
      <c r="E136" s="1" t="n">
        <v>8127.2</v>
      </c>
      <c r="F136" t="n">
        <v>1</v>
      </c>
      <c r="G136" t="n">
        <v>0</v>
      </c>
      <c r="H136" t="n">
        <v>2</v>
      </c>
      <c r="I136" t="n">
        <v>0</v>
      </c>
      <c r="J136" t="n">
        <v>0</v>
      </c>
      <c r="K136">
        <f>IF(H136-I136-J136&gt;0,H136-I136-J136,0)</f>
        <v/>
      </c>
      <c r="L136" s="1">
        <f>IFERROR(I136*E136,0)</f>
        <v/>
      </c>
      <c r="M136" s="1">
        <f>IFERROR(K136*E136,0)</f>
        <v/>
      </c>
    </row>
    <row r="137">
      <c r="A137" t="inlineStr">
        <is>
          <t>MFA9001506</t>
        </is>
      </c>
      <c r="B137" t="inlineStr">
        <is>
          <t>MAXFLO 900/250/14 A c/w 1,50KW 6P 380V</t>
        </is>
      </c>
      <c r="C137" t="inlineStr"/>
      <c r="D137" t="inlineStr">
        <is>
          <t>FM - DONKIN</t>
        </is>
      </c>
      <c r="E137" s="1" t="n">
        <v>0</v>
      </c>
      <c r="F137" t="n">
        <v>1</v>
      </c>
      <c r="G137" t="n">
        <v>0</v>
      </c>
      <c r="H137" t="n">
        <v>2</v>
      </c>
      <c r="I137" t="n">
        <v>0</v>
      </c>
      <c r="J137" t="n">
        <v>0</v>
      </c>
      <c r="K137">
        <f>IF(H137-I137-J137&gt;0,H137-I137-J137,0)</f>
        <v/>
      </c>
      <c r="L137" s="1">
        <f>IFERROR(I137*E137,0)</f>
        <v/>
      </c>
      <c r="M137" s="1">
        <f>IFERROR(K137*E137,0)</f>
        <v/>
      </c>
    </row>
    <row r="138">
      <c r="A138" t="inlineStr">
        <is>
          <t>MFA9002204</t>
        </is>
      </c>
      <c r="B138" t="inlineStr">
        <is>
          <t>MAXFLO 900/250/14 A c/w 2,20KW 4P 380V</t>
        </is>
      </c>
      <c r="C138" t="inlineStr">
        <is>
          <t>Centrifab (Pty) Ltd</t>
        </is>
      </c>
      <c r="D138" t="inlineStr">
        <is>
          <t>FM - DONKIN</t>
        </is>
      </c>
      <c r="E138" s="1" t="n">
        <v>8127.2</v>
      </c>
      <c r="F138" t="n">
        <v>1</v>
      </c>
      <c r="G138" t="n">
        <v>0</v>
      </c>
      <c r="H138" t="n">
        <v>2</v>
      </c>
      <c r="I138" t="n">
        <v>0</v>
      </c>
      <c r="J138" t="n">
        <v>0</v>
      </c>
      <c r="K138">
        <f>IF(H138-I138-J138&gt;0,H138-I138-J138,0)</f>
        <v/>
      </c>
      <c r="L138" s="1">
        <f>IFERROR(I138*E138,0)</f>
        <v/>
      </c>
      <c r="M138" s="1">
        <f>IFERROR(K138*E138,0)</f>
        <v/>
      </c>
    </row>
    <row r="139">
      <c r="A139" t="inlineStr">
        <is>
          <t>MFA9003004</t>
        </is>
      </c>
      <c r="B139" t="inlineStr">
        <is>
          <t>MAXFLO 900/250/14 A c/w 3,00KW 4P 380V</t>
        </is>
      </c>
      <c r="C139" t="inlineStr"/>
      <c r="D139" t="inlineStr">
        <is>
          <t>FM - DONKIN</t>
        </is>
      </c>
      <c r="E139" s="1" t="n">
        <v>0</v>
      </c>
      <c r="F139" t="n">
        <v>1</v>
      </c>
      <c r="G139" t="n">
        <v>0</v>
      </c>
      <c r="H139" t="n">
        <v>2</v>
      </c>
      <c r="I139" t="n">
        <v>0</v>
      </c>
      <c r="J139" t="n">
        <v>0</v>
      </c>
      <c r="K139">
        <f>IF(H139-I139-J139&gt;0,H139-I139-J139,0)</f>
        <v/>
      </c>
      <c r="L139" s="1">
        <f>IFERROR(I139*E139,0)</f>
        <v/>
      </c>
      <c r="M139" s="1">
        <f>IFERROR(K139*E139,0)</f>
        <v/>
      </c>
    </row>
    <row r="140">
      <c r="A140" t="inlineStr">
        <is>
          <t>MFA9004004</t>
        </is>
      </c>
      <c r="B140" t="inlineStr">
        <is>
          <t>MAXFLO 900/250/14 A c/w 4,00KW 4P 380V</t>
        </is>
      </c>
      <c r="C140" t="inlineStr"/>
      <c r="D140" t="inlineStr">
        <is>
          <t>FM - DONKIN</t>
        </is>
      </c>
      <c r="E140" s="1" t="n">
        <v>0</v>
      </c>
      <c r="F140" t="n">
        <v>1</v>
      </c>
      <c r="G140" t="n">
        <v>0</v>
      </c>
      <c r="H140" t="n">
        <v>2</v>
      </c>
      <c r="I140" t="n">
        <v>0</v>
      </c>
      <c r="J140" t="n">
        <v>0</v>
      </c>
      <c r="K140">
        <f>IF(H140-I140-J140&gt;0,H140-I140-J140,0)</f>
        <v/>
      </c>
      <c r="L140" s="1">
        <f>IFERROR(I140*E140,0)</f>
        <v/>
      </c>
      <c r="M140" s="1">
        <f>IFERROR(K140*E140,0)</f>
        <v/>
      </c>
    </row>
    <row r="141">
      <c r="A141" t="inlineStr">
        <is>
          <t>MFA9005504</t>
        </is>
      </c>
      <c r="B141" t="inlineStr">
        <is>
          <t>MAXFLO 900/250/14 A c/w 5,50KW 4P 380V</t>
        </is>
      </c>
      <c r="C141" t="inlineStr"/>
      <c r="D141" t="inlineStr">
        <is>
          <t>FM - DONKIN</t>
        </is>
      </c>
      <c r="E141" s="1" t="n">
        <v>0</v>
      </c>
      <c r="F141" t="n">
        <v>1</v>
      </c>
      <c r="G141" t="n">
        <v>0</v>
      </c>
      <c r="H141" t="n">
        <v>2</v>
      </c>
      <c r="I141" t="n">
        <v>0</v>
      </c>
      <c r="J141" t="n">
        <v>0</v>
      </c>
      <c r="K141">
        <f>IF(H141-I141-J141&gt;0,H141-I141-J141,0)</f>
        <v/>
      </c>
      <c r="L141" s="1">
        <f>IFERROR(I141*E141,0)</f>
        <v/>
      </c>
      <c r="M141" s="1">
        <f>IFERROR(K141*E141,0)</f>
        <v/>
      </c>
    </row>
    <row r="142">
      <c r="A142" t="inlineStr">
        <is>
          <t>MFA9007504</t>
        </is>
      </c>
      <c r="B142" t="inlineStr">
        <is>
          <t>MAXFLO 900/250/14 A c/w 7,50KW 4P 380V</t>
        </is>
      </c>
      <c r="C142" t="inlineStr"/>
      <c r="D142" t="inlineStr">
        <is>
          <t>FM - DONKIN</t>
        </is>
      </c>
      <c r="E142" s="1" t="n">
        <v>0</v>
      </c>
      <c r="F142" t="n">
        <v>1</v>
      </c>
      <c r="G142" t="n">
        <v>0</v>
      </c>
      <c r="H142" t="n">
        <v>2</v>
      </c>
      <c r="I142" t="n">
        <v>0</v>
      </c>
      <c r="J142" t="n">
        <v>0</v>
      </c>
      <c r="K142">
        <f>IF(H142-I142-J142&gt;0,H142-I142-J142,0)</f>
        <v/>
      </c>
      <c r="L142" s="1">
        <f>IFERROR(I142*E142,0)</f>
        <v/>
      </c>
      <c r="M142" s="1">
        <f>IFERROR(K142*E142,0)</f>
        <v/>
      </c>
    </row>
    <row r="143">
      <c r="A143" t="inlineStr">
        <is>
          <t>MFAY5600374</t>
        </is>
      </c>
      <c r="B143" t="inlineStr">
        <is>
          <t>MAXFLO 560/150/10 A c/w 0,37KW 4P 380V</t>
        </is>
      </c>
      <c r="C143" t="inlineStr"/>
      <c r="D143" t="inlineStr">
        <is>
          <t>FM - DONKIN</t>
        </is>
      </c>
      <c r="E143" s="1" t="n">
        <v>0</v>
      </c>
      <c r="F143" t="n">
        <v>1</v>
      </c>
      <c r="G143" t="n">
        <v>0</v>
      </c>
      <c r="H143" t="n">
        <v>2</v>
      </c>
      <c r="I143" t="n">
        <v>0</v>
      </c>
      <c r="J143" t="n">
        <v>0</v>
      </c>
      <c r="K143">
        <f>IF(H143-I143-J143&gt;0,H143-I143-J143,0)</f>
        <v/>
      </c>
      <c r="L143" s="1">
        <f>IFERROR(I143*E143,0)</f>
        <v/>
      </c>
      <c r="M143" s="1">
        <f>IFERROR(K143*E143,0)</f>
        <v/>
      </c>
    </row>
    <row r="144">
      <c r="A144" t="inlineStr">
        <is>
          <t>MFAY5600554</t>
        </is>
      </c>
      <c r="B144" t="inlineStr">
        <is>
          <t>MAXFLO 560/150/10 A c/w 0,55KW 4P 380V</t>
        </is>
      </c>
      <c r="C144" t="inlineStr">
        <is>
          <t>Air Speration</t>
        </is>
      </c>
      <c r="D144" t="inlineStr">
        <is>
          <t>FM - DONKIN</t>
        </is>
      </c>
      <c r="E144" s="1" t="n">
        <v>5685.45</v>
      </c>
      <c r="F144" t="n">
        <v>1</v>
      </c>
      <c r="G144" t="n">
        <v>0</v>
      </c>
      <c r="H144" t="n">
        <v>2</v>
      </c>
      <c r="I144" t="n">
        <v>0</v>
      </c>
      <c r="J144" t="n">
        <v>0</v>
      </c>
      <c r="K144">
        <f>IF(H144-I144-J144&gt;0,H144-I144-J144,0)</f>
        <v/>
      </c>
      <c r="L144" s="1">
        <f>IFERROR(I144*E144,0)</f>
        <v/>
      </c>
      <c r="M144" s="1">
        <f>IFERROR(K144*E144,0)</f>
        <v/>
      </c>
    </row>
    <row r="145">
      <c r="A145" t="inlineStr">
        <is>
          <t>MFAY5600754</t>
        </is>
      </c>
      <c r="B145" t="inlineStr">
        <is>
          <t>MAXFLO 560/150/10 A c/w 0,75KW 4P 380V</t>
        </is>
      </c>
      <c r="C145" t="inlineStr"/>
      <c r="D145" t="inlineStr">
        <is>
          <t>FM - DONKIN</t>
        </is>
      </c>
      <c r="E145" s="1" t="n">
        <v>0</v>
      </c>
      <c r="F145" t="n">
        <v>1</v>
      </c>
      <c r="G145" t="n">
        <v>0</v>
      </c>
      <c r="H145" t="n">
        <v>2</v>
      </c>
      <c r="I145" t="n">
        <v>0</v>
      </c>
      <c r="J145" t="n">
        <v>0</v>
      </c>
      <c r="K145">
        <f>IF(H145-I145-J145&gt;0,H145-I145-J145,0)</f>
        <v/>
      </c>
      <c r="L145" s="1">
        <f>IFERROR(I145*E145,0)</f>
        <v/>
      </c>
      <c r="M145" s="1">
        <f>IFERROR(K145*E145,0)</f>
        <v/>
      </c>
    </row>
    <row r="146">
      <c r="A146" t="inlineStr">
        <is>
          <t>MFAY5601104</t>
        </is>
      </c>
      <c r="B146" t="inlineStr">
        <is>
          <t>MAXFLO 560/150/10 A c/w 1,10KW 4P 380V</t>
        </is>
      </c>
      <c r="C146" t="inlineStr"/>
      <c r="D146" t="inlineStr">
        <is>
          <t>FM - DONKIN</t>
        </is>
      </c>
      <c r="E146" s="1" t="n">
        <v>0</v>
      </c>
      <c r="F146" t="n">
        <v>1</v>
      </c>
      <c r="G146" t="n">
        <v>0</v>
      </c>
      <c r="H146" t="n">
        <v>2</v>
      </c>
      <c r="I146" t="n">
        <v>0</v>
      </c>
      <c r="J146" t="n">
        <v>0</v>
      </c>
      <c r="K146">
        <f>IF(H146-I146-J146&gt;0,H146-I146-J146,0)</f>
        <v/>
      </c>
      <c r="L146" s="1">
        <f>IFERROR(I146*E146,0)</f>
        <v/>
      </c>
      <c r="M146" s="1">
        <f>IFERROR(K146*E146,0)</f>
        <v/>
      </c>
    </row>
    <row r="147">
      <c r="A147" t="inlineStr">
        <is>
          <t>MFAY5601504</t>
        </is>
      </c>
      <c r="B147" t="inlineStr">
        <is>
          <t>MAXFLO 560/150/10 A c/w 1,50KW 4P 380V</t>
        </is>
      </c>
      <c r="C147" t="inlineStr"/>
      <c r="D147" t="inlineStr">
        <is>
          <t>FM - DONKIN</t>
        </is>
      </c>
      <c r="E147" s="1" t="n">
        <v>0</v>
      </c>
      <c r="F147" t="n">
        <v>1</v>
      </c>
      <c r="G147" t="n">
        <v>0</v>
      </c>
      <c r="H147" t="n">
        <v>2</v>
      </c>
      <c r="I147" t="n">
        <v>0</v>
      </c>
      <c r="J147" t="n">
        <v>0</v>
      </c>
      <c r="K147">
        <f>IF(H147-I147-J147&gt;0,H147-I147-J147,0)</f>
        <v/>
      </c>
      <c r="L147" s="1">
        <f>IFERROR(I147*E147,0)</f>
        <v/>
      </c>
      <c r="M147" s="1">
        <f>IFERROR(K147*E147,0)</f>
        <v/>
      </c>
    </row>
    <row r="148">
      <c r="A148" t="inlineStr">
        <is>
          <t>MFAY5602202</t>
        </is>
      </c>
      <c r="B148" t="inlineStr">
        <is>
          <t>MAXFLO 560/150/10 A c/w 2,20KW 2P 380V</t>
        </is>
      </c>
      <c r="C148" t="inlineStr"/>
      <c r="D148" t="inlineStr">
        <is>
          <t>FM - DONKIN</t>
        </is>
      </c>
      <c r="E148" s="1" t="n">
        <v>0</v>
      </c>
      <c r="F148" t="n">
        <v>1</v>
      </c>
      <c r="G148" t="n">
        <v>0</v>
      </c>
      <c r="H148" t="n">
        <v>5</v>
      </c>
      <c r="I148" t="n">
        <v>0</v>
      </c>
      <c r="J148" t="n">
        <v>0</v>
      </c>
      <c r="K148">
        <f>IF(H148-I148-J148&gt;0,H148-I148-J148,0)</f>
        <v/>
      </c>
      <c r="L148" s="1">
        <f>IFERROR(I148*E148,0)</f>
        <v/>
      </c>
      <c r="M148" s="1">
        <f>IFERROR(K148*E148,0)</f>
        <v/>
      </c>
    </row>
    <row r="149">
      <c r="A149" t="inlineStr">
        <is>
          <t>MFAY5604002</t>
        </is>
      </c>
      <c r="B149" t="inlineStr">
        <is>
          <t>MAXFLO 560/150/10 A c/w 4,00KW 2P 380V</t>
        </is>
      </c>
      <c r="C149" t="inlineStr"/>
      <c r="D149" t="inlineStr">
        <is>
          <t>FM - DONKIN</t>
        </is>
      </c>
      <c r="E149" s="1" t="n">
        <v>0</v>
      </c>
      <c r="F149" t="n">
        <v>1</v>
      </c>
      <c r="G149" t="n">
        <v>0</v>
      </c>
      <c r="H149" t="n">
        <v>5</v>
      </c>
      <c r="I149" t="n">
        <v>0</v>
      </c>
      <c r="J149" t="n">
        <v>0</v>
      </c>
      <c r="K149">
        <f>IF(H149-I149-J149&gt;0,H149-I149-J149,0)</f>
        <v/>
      </c>
      <c r="L149" s="1">
        <f>IFERROR(I149*E149,0)</f>
        <v/>
      </c>
      <c r="M149" s="1">
        <f>IFERROR(K149*E149,0)</f>
        <v/>
      </c>
    </row>
    <row r="150">
      <c r="A150" t="inlineStr">
        <is>
          <t>MFAY6300554</t>
        </is>
      </c>
      <c r="B150" t="inlineStr">
        <is>
          <t>MAXFLO 630/150/10 A c/w 0,55KW 4P 380V</t>
        </is>
      </c>
      <c r="C150" t="inlineStr">
        <is>
          <t>Centrifab (Pty) Ltd</t>
        </is>
      </c>
      <c r="D150" t="inlineStr">
        <is>
          <t>FM - DONKIN</t>
        </is>
      </c>
      <c r="E150" s="1" t="n">
        <v>2700</v>
      </c>
      <c r="F150" t="n">
        <v>1</v>
      </c>
      <c r="G150" t="n">
        <v>0</v>
      </c>
      <c r="H150" t="n">
        <v>5</v>
      </c>
      <c r="I150" t="n">
        <v>0</v>
      </c>
      <c r="J150" t="n">
        <v>0</v>
      </c>
      <c r="K150">
        <f>IF(H150-I150-J150&gt;0,H150-I150-J150,0)</f>
        <v/>
      </c>
      <c r="L150" s="1">
        <f>IFERROR(I150*E150,0)</f>
        <v/>
      </c>
      <c r="M150" s="1">
        <f>IFERROR(K150*E150,0)</f>
        <v/>
      </c>
    </row>
    <row r="151">
      <c r="A151" t="inlineStr">
        <is>
          <t>MFAY6300556</t>
        </is>
      </c>
      <c r="B151" t="inlineStr">
        <is>
          <t>MAXFLO 630/150/10 A c/w 0,55KW 6P 380V</t>
        </is>
      </c>
      <c r="C151" t="inlineStr"/>
      <c r="D151" t="inlineStr">
        <is>
          <t>FM - DONKIN</t>
        </is>
      </c>
      <c r="E151" s="1" t="n">
        <v>0</v>
      </c>
      <c r="F151" t="n">
        <v>1</v>
      </c>
      <c r="G151" t="n">
        <v>0</v>
      </c>
      <c r="H151" t="n">
        <v>2</v>
      </c>
      <c r="I151" t="n">
        <v>0</v>
      </c>
      <c r="J151" t="n">
        <v>0</v>
      </c>
      <c r="K151">
        <f>IF(H151-I151-J151&gt;0,H151-I151-J151,0)</f>
        <v/>
      </c>
      <c r="L151" s="1">
        <f>IFERROR(I151*E151,0)</f>
        <v/>
      </c>
      <c r="M151" s="1">
        <f>IFERROR(K151*E151,0)</f>
        <v/>
      </c>
    </row>
    <row r="152">
      <c r="A152" t="inlineStr">
        <is>
          <t>MFAY6300754</t>
        </is>
      </c>
      <c r="B152" t="inlineStr">
        <is>
          <t>MAXFLO 630/150/10 A c/w 0,75KW 4P 380V</t>
        </is>
      </c>
      <c r="C152" t="inlineStr"/>
      <c r="D152" t="inlineStr">
        <is>
          <t>FM - DONKIN</t>
        </is>
      </c>
      <c r="E152" s="1" t="n">
        <v>0</v>
      </c>
      <c r="F152" t="n">
        <v>2</v>
      </c>
      <c r="G152" t="n">
        <v>0</v>
      </c>
      <c r="H152" t="n">
        <v>10</v>
      </c>
      <c r="I152" t="n">
        <v>0</v>
      </c>
      <c r="J152" t="n">
        <v>0</v>
      </c>
      <c r="K152">
        <f>IF(H152-I152-J152&gt;0,H152-I152-J152,0)</f>
        <v/>
      </c>
      <c r="L152" s="1">
        <f>IFERROR(I152*E152,0)</f>
        <v/>
      </c>
      <c r="M152" s="1">
        <f>IFERROR(K152*E152,0)</f>
        <v/>
      </c>
    </row>
    <row r="153">
      <c r="A153" t="inlineStr">
        <is>
          <t>MFAY6301104</t>
        </is>
      </c>
      <c r="B153" t="inlineStr">
        <is>
          <t>MAXFLO 630/150/10 A c/w 1,10KW 4P 380V</t>
        </is>
      </c>
      <c r="C153" t="inlineStr"/>
      <c r="D153" t="inlineStr">
        <is>
          <t>FM - DONKIN</t>
        </is>
      </c>
      <c r="E153" s="1" t="n">
        <v>0</v>
      </c>
      <c r="F153" t="n">
        <v>1</v>
      </c>
      <c r="G153" t="n">
        <v>0</v>
      </c>
      <c r="H153" t="n">
        <v>2</v>
      </c>
      <c r="I153" t="n">
        <v>0</v>
      </c>
      <c r="J153" t="n">
        <v>0</v>
      </c>
      <c r="K153">
        <f>IF(H153-I153-J153&gt;0,H153-I153-J153,0)</f>
        <v/>
      </c>
      <c r="L153" s="1">
        <f>IFERROR(I153*E153,0)</f>
        <v/>
      </c>
      <c r="M153" s="1">
        <f>IFERROR(K153*E153,0)</f>
        <v/>
      </c>
    </row>
    <row r="154">
      <c r="A154" t="inlineStr">
        <is>
          <t>MFAY6301504</t>
        </is>
      </c>
      <c r="B154" t="inlineStr">
        <is>
          <t>MAXFLO 630/150/10 A c/w 1,50KW 4P 380V</t>
        </is>
      </c>
      <c r="C154" t="inlineStr"/>
      <c r="D154" t="inlineStr">
        <is>
          <t>FM - DONKIN</t>
        </is>
      </c>
      <c r="E154" s="1" t="n">
        <v>0</v>
      </c>
      <c r="F154" t="n">
        <v>1</v>
      </c>
      <c r="G154" t="n">
        <v>0</v>
      </c>
      <c r="H154" t="n">
        <v>2</v>
      </c>
      <c r="I154" t="n">
        <v>0</v>
      </c>
      <c r="J154" t="n">
        <v>0</v>
      </c>
      <c r="K154">
        <f>IF(H154-I154-J154&gt;0,H154-I154-J154,0)</f>
        <v/>
      </c>
      <c r="L154" s="1">
        <f>IFERROR(I154*E154,0)</f>
        <v/>
      </c>
      <c r="M154" s="1">
        <f>IFERROR(K154*E154,0)</f>
        <v/>
      </c>
    </row>
    <row r="155">
      <c r="A155" t="inlineStr">
        <is>
          <t>MFAY6302204</t>
        </is>
      </c>
      <c r="B155" t="inlineStr">
        <is>
          <t>MAXFLO 630/150/10 A c/w 2,20KW 4P 380V</t>
        </is>
      </c>
      <c r="C155" t="inlineStr"/>
      <c r="D155" t="inlineStr">
        <is>
          <t>FM - DONKIN</t>
        </is>
      </c>
      <c r="E155" s="1" t="n">
        <v>0</v>
      </c>
      <c r="F155" t="n">
        <v>1</v>
      </c>
      <c r="G155" t="n">
        <v>0</v>
      </c>
      <c r="H155" t="n">
        <v>2</v>
      </c>
      <c r="I155" t="n">
        <v>0</v>
      </c>
      <c r="J155" t="n">
        <v>0</v>
      </c>
      <c r="K155">
        <f>IF(H155-I155-J155&gt;0,H155-I155-J155,0)</f>
        <v/>
      </c>
      <c r="L155" s="1">
        <f>IFERROR(I155*E155,0)</f>
        <v/>
      </c>
      <c r="M155" s="1">
        <f>IFERROR(K155*E155,0)</f>
        <v/>
      </c>
    </row>
    <row r="156">
      <c r="A156" t="inlineStr">
        <is>
          <t>MFAY7101104</t>
        </is>
      </c>
      <c r="B156" t="inlineStr">
        <is>
          <t>MAXFLO 710/150/10 A c/w 1,10KW 4P 380V</t>
        </is>
      </c>
      <c r="C156" t="inlineStr">
        <is>
          <t>Centrifab (Pty) Ltd</t>
        </is>
      </c>
      <c r="D156" t="inlineStr">
        <is>
          <t>FM - DONKIN</t>
        </is>
      </c>
      <c r="E156" s="1" t="n">
        <v>8558.02</v>
      </c>
      <c r="F156" t="n">
        <v>1</v>
      </c>
      <c r="G156" t="n">
        <v>0</v>
      </c>
      <c r="H156" t="n">
        <v>3</v>
      </c>
      <c r="I156" t="n">
        <v>0</v>
      </c>
      <c r="J156" t="n">
        <v>0</v>
      </c>
      <c r="K156">
        <f>IF(H156-I156-J156&gt;0,H156-I156-J156,0)</f>
        <v/>
      </c>
      <c r="L156" s="1">
        <f>IFERROR(I156*E156,0)</f>
        <v/>
      </c>
      <c r="M156" s="1">
        <f>IFERROR(K156*E156,0)</f>
        <v/>
      </c>
    </row>
    <row r="157">
      <c r="A157" t="inlineStr">
        <is>
          <t>MFAY7101504</t>
        </is>
      </c>
      <c r="B157" t="inlineStr">
        <is>
          <t>MAXFLO 710/150/10 A c/w 1,50KW 4P 380V</t>
        </is>
      </c>
      <c r="C157" t="inlineStr"/>
      <c r="D157" t="inlineStr">
        <is>
          <t>FM - DONKIN</t>
        </is>
      </c>
      <c r="E157" s="1" t="n">
        <v>0</v>
      </c>
      <c r="F157" t="n">
        <v>1</v>
      </c>
      <c r="G157" t="n">
        <v>0</v>
      </c>
      <c r="H157" t="n">
        <v>5</v>
      </c>
      <c r="I157" t="n">
        <v>0</v>
      </c>
      <c r="J157" t="n">
        <v>0</v>
      </c>
      <c r="K157">
        <f>IF(H157-I157-J157&gt;0,H157-I157-J157,0)</f>
        <v/>
      </c>
      <c r="L157" s="1">
        <f>IFERROR(I157*E157,0)</f>
        <v/>
      </c>
      <c r="M157" s="1">
        <f>IFERROR(K157*E157,0)</f>
        <v/>
      </c>
    </row>
    <row r="158">
      <c r="A158" t="inlineStr">
        <is>
          <t>MFAY7102204</t>
        </is>
      </c>
      <c r="B158" t="inlineStr">
        <is>
          <t>MAXFLO 710/150/10 A c/w 2,20KW 4P 380V</t>
        </is>
      </c>
      <c r="C158" t="inlineStr"/>
      <c r="D158" t="inlineStr">
        <is>
          <t>FM - DONKIN</t>
        </is>
      </c>
      <c r="E158" s="1" t="n">
        <v>0</v>
      </c>
      <c r="F158" t="n">
        <v>1</v>
      </c>
      <c r="G158" t="n">
        <v>0</v>
      </c>
      <c r="H158" t="n">
        <v>2</v>
      </c>
      <c r="I158" t="n">
        <v>0</v>
      </c>
      <c r="J158" t="n">
        <v>0</v>
      </c>
      <c r="K158">
        <f>IF(H158-I158-J158&gt;0,H158-I158-J158,0)</f>
        <v/>
      </c>
      <c r="L158" s="1">
        <f>IFERROR(I158*E158,0)</f>
        <v/>
      </c>
      <c r="M158" s="1">
        <f>IFERROR(K158*E158,0)</f>
        <v/>
      </c>
    </row>
    <row r="159">
      <c r="A159" t="inlineStr">
        <is>
          <t>MFAY7104004</t>
        </is>
      </c>
      <c r="B159" t="inlineStr">
        <is>
          <t>MAXFLO 710/150/10 A c/w 4,00KW 4P 380V</t>
        </is>
      </c>
      <c r="C159" t="inlineStr">
        <is>
          <t>Air Speration</t>
        </is>
      </c>
      <c r="D159" t="inlineStr">
        <is>
          <t>FM - DONKIN</t>
        </is>
      </c>
      <c r="E159" s="1" t="n">
        <v>9521.1</v>
      </c>
      <c r="F159" t="n">
        <v>2</v>
      </c>
      <c r="G159" t="n">
        <v>0</v>
      </c>
      <c r="H159" t="n">
        <v>4</v>
      </c>
      <c r="I159" t="n">
        <v>0</v>
      </c>
      <c r="J159" t="n">
        <v>0</v>
      </c>
      <c r="K159">
        <f>IF(H159-I159-J159&gt;0,H159-I159-J159,0)</f>
        <v/>
      </c>
      <c r="L159" s="1">
        <f>IFERROR(I159*E159,0)</f>
        <v/>
      </c>
      <c r="M159" s="1">
        <f>IFERROR(K159*E159,0)</f>
        <v/>
      </c>
    </row>
    <row r="160">
      <c r="A160" t="inlineStr">
        <is>
          <t>MFAY8001504</t>
        </is>
      </c>
      <c r="B160" t="inlineStr">
        <is>
          <t>MAXFLO 800/150/10 A c/w 1,50KW 4P 380V</t>
        </is>
      </c>
      <c r="C160" t="inlineStr"/>
      <c r="D160" t="inlineStr">
        <is>
          <t>FM - DONKIN</t>
        </is>
      </c>
      <c r="E160" s="1" t="n">
        <v>0</v>
      </c>
      <c r="F160" t="n">
        <v>1</v>
      </c>
      <c r="G160" t="n">
        <v>0</v>
      </c>
      <c r="H160" t="n">
        <v>2</v>
      </c>
      <c r="I160" t="n">
        <v>0</v>
      </c>
      <c r="J160" t="n">
        <v>0</v>
      </c>
      <c r="K160">
        <f>IF(H160-I160-J160&gt;0,H160-I160-J160,0)</f>
        <v/>
      </c>
      <c r="L160" s="1">
        <f>IFERROR(I160*E160,0)</f>
        <v/>
      </c>
      <c r="M160" s="1">
        <f>IFERROR(K160*E160,0)</f>
        <v/>
      </c>
    </row>
    <row r="161">
      <c r="A161" t="inlineStr">
        <is>
          <t>MFAY8002204</t>
        </is>
      </c>
      <c r="B161" t="inlineStr">
        <is>
          <t>MAXFLO 800/150/10 A c/w 2,20KW 4P 380V</t>
        </is>
      </c>
      <c r="C161" t="inlineStr"/>
      <c r="D161" t="inlineStr">
        <is>
          <t>FM - DONKIN</t>
        </is>
      </c>
      <c r="E161" s="1" t="n">
        <v>0</v>
      </c>
      <c r="F161" t="n">
        <v>2</v>
      </c>
      <c r="G161" t="n">
        <v>0</v>
      </c>
      <c r="H161" t="n">
        <v>8</v>
      </c>
      <c r="I161" t="n">
        <v>0</v>
      </c>
      <c r="J161" t="n">
        <v>0</v>
      </c>
      <c r="K161">
        <f>IF(H161-I161-J161&gt;0,H161-I161-J161,0)</f>
        <v/>
      </c>
      <c r="L161" s="1">
        <f>IFERROR(I161*E161,0)</f>
        <v/>
      </c>
      <c r="M161" s="1">
        <f>IFERROR(K161*E161,0)</f>
        <v/>
      </c>
    </row>
    <row r="162">
      <c r="A162" t="inlineStr">
        <is>
          <t>MFAY8003004</t>
        </is>
      </c>
      <c r="B162" t="inlineStr">
        <is>
          <t>MAXFLO 800/150/10 A c/w 3,00KW 4P 380V</t>
        </is>
      </c>
      <c r="C162" t="inlineStr"/>
      <c r="D162" t="inlineStr">
        <is>
          <t>FM - DONKIN</t>
        </is>
      </c>
      <c r="E162" s="1" t="n">
        <v>0</v>
      </c>
      <c r="F162" t="n">
        <v>1</v>
      </c>
      <c r="G162" t="n">
        <v>0</v>
      </c>
      <c r="H162" t="n">
        <v>2</v>
      </c>
      <c r="I162" t="n">
        <v>0</v>
      </c>
      <c r="J162" t="n">
        <v>0</v>
      </c>
      <c r="K162">
        <f>IF(H162-I162-J162&gt;0,H162-I162-J162,0)</f>
        <v/>
      </c>
      <c r="L162" s="1">
        <f>IFERROR(I162*E162,0)</f>
        <v/>
      </c>
      <c r="M162" s="1">
        <f>IFERROR(K162*E162,0)</f>
        <v/>
      </c>
    </row>
    <row r="163">
      <c r="A163" t="inlineStr">
        <is>
          <t>MFAY8004004</t>
        </is>
      </c>
      <c r="B163" t="inlineStr">
        <is>
          <t>MAXFLO 800/150/10 A c/w 4,00KW 4P 380V</t>
        </is>
      </c>
      <c r="C163" t="inlineStr"/>
      <c r="D163" t="inlineStr">
        <is>
          <t>FM - DONKIN</t>
        </is>
      </c>
      <c r="E163" s="1" t="n">
        <v>0</v>
      </c>
      <c r="F163" t="n">
        <v>1</v>
      </c>
      <c r="G163" t="n">
        <v>0</v>
      </c>
      <c r="H163" t="n">
        <v>2</v>
      </c>
      <c r="I163" t="n">
        <v>0</v>
      </c>
      <c r="J163" t="n">
        <v>0</v>
      </c>
      <c r="K163">
        <f>IF(H163-I163-J163&gt;0,H163-I163-J163,0)</f>
        <v/>
      </c>
      <c r="L163" s="1">
        <f>IFERROR(I163*E163,0)</f>
        <v/>
      </c>
      <c r="M163" s="1">
        <f>IFERROR(K163*E163,0)</f>
        <v/>
      </c>
    </row>
    <row r="164">
      <c r="A164" t="inlineStr">
        <is>
          <t>MFAY8007504</t>
        </is>
      </c>
      <c r="B164" t="inlineStr">
        <is>
          <t>MAXFLO 800/150/10 A c/w 7,50KW 4P 380V</t>
        </is>
      </c>
      <c r="C164" t="inlineStr"/>
      <c r="D164" t="inlineStr">
        <is>
          <t>FM - DONKIN</t>
        </is>
      </c>
      <c r="E164" s="1" t="n">
        <v>0</v>
      </c>
      <c r="F164" t="n">
        <v>1</v>
      </c>
      <c r="G164" t="n">
        <v>0</v>
      </c>
      <c r="H164" t="n">
        <v>2</v>
      </c>
      <c r="I164" t="n">
        <v>0</v>
      </c>
      <c r="J164" t="n">
        <v>0</v>
      </c>
      <c r="K164">
        <f>IF(H164-I164-J164&gt;0,H164-I164-J164,0)</f>
        <v/>
      </c>
      <c r="L164" s="1">
        <f>IFERROR(I164*E164,0)</f>
        <v/>
      </c>
      <c r="M164" s="1">
        <f>IFERROR(K164*E164,0)</f>
        <v/>
      </c>
    </row>
    <row r="165">
      <c r="A165" t="inlineStr">
        <is>
          <t>MFAZ5600554</t>
        </is>
      </c>
      <c r="B165" t="inlineStr">
        <is>
          <t>MAXFLO 560/250/14 A c/w 0,55KW 4P 380V</t>
        </is>
      </c>
      <c r="C165" t="inlineStr"/>
      <c r="D165" t="inlineStr">
        <is>
          <t>FM - DONKIN</t>
        </is>
      </c>
      <c r="E165" s="1" t="n">
        <v>0</v>
      </c>
      <c r="F165" t="n">
        <v>1</v>
      </c>
      <c r="G165" t="n">
        <v>0</v>
      </c>
      <c r="H165" t="n">
        <v>2</v>
      </c>
      <c r="I165" t="n">
        <v>0</v>
      </c>
      <c r="J165" t="n">
        <v>0</v>
      </c>
      <c r="K165">
        <f>IF(H165-I165-J165&gt;0,H165-I165-J165,0)</f>
        <v/>
      </c>
      <c r="L165" s="1">
        <f>IFERROR(I165*E165,0)</f>
        <v/>
      </c>
      <c r="M165" s="1">
        <f>IFERROR(K165*E165,0)</f>
        <v/>
      </c>
    </row>
    <row r="166">
      <c r="A166" t="inlineStr">
        <is>
          <t>MFAZ5600754</t>
        </is>
      </c>
      <c r="B166" t="inlineStr">
        <is>
          <t>MAXFLO 560/250/14 A c/w 0,75KW 4P 380V</t>
        </is>
      </c>
      <c r="C166" t="inlineStr"/>
      <c r="D166" t="inlineStr">
        <is>
          <t>FM - DONKIN</t>
        </is>
      </c>
      <c r="E166" s="1" t="n">
        <v>0</v>
      </c>
      <c r="F166" t="n">
        <v>1</v>
      </c>
      <c r="G166" t="n">
        <v>0</v>
      </c>
      <c r="H166" t="n">
        <v>4</v>
      </c>
      <c r="I166" t="n">
        <v>0</v>
      </c>
      <c r="J166" t="n">
        <v>0</v>
      </c>
      <c r="K166">
        <f>IF(H166-I166-J166&gt;0,H166-I166-J166,0)</f>
        <v/>
      </c>
      <c r="L166" s="1">
        <f>IFERROR(I166*E166,0)</f>
        <v/>
      </c>
      <c r="M166" s="1">
        <f>IFERROR(K166*E166,0)</f>
        <v/>
      </c>
    </row>
    <row r="167">
      <c r="A167" t="inlineStr">
        <is>
          <t>MFAZ5601104</t>
        </is>
      </c>
      <c r="B167" t="inlineStr">
        <is>
          <t>MAXFLO 560/250/14 A c/w 1,10KW 4P 380V</t>
        </is>
      </c>
      <c r="C167" t="inlineStr"/>
      <c r="D167" t="inlineStr">
        <is>
          <t>FM - DONKIN</t>
        </is>
      </c>
      <c r="E167" s="1" t="n">
        <v>0</v>
      </c>
      <c r="F167" t="n">
        <v>1</v>
      </c>
      <c r="G167" t="n">
        <v>0</v>
      </c>
      <c r="H167" t="n">
        <v>2</v>
      </c>
      <c r="I167" t="n">
        <v>0</v>
      </c>
      <c r="J167" t="n">
        <v>0</v>
      </c>
      <c r="K167">
        <f>IF(H167-I167-J167&gt;0,H167-I167-J167,0)</f>
        <v/>
      </c>
      <c r="L167" s="1">
        <f>IFERROR(I167*E167,0)</f>
        <v/>
      </c>
      <c r="M167" s="1">
        <f>IFERROR(K167*E167,0)</f>
        <v/>
      </c>
    </row>
    <row r="168">
      <c r="A168" t="inlineStr">
        <is>
          <t>MFAZ5601504</t>
        </is>
      </c>
      <c r="B168" t="inlineStr">
        <is>
          <t>MAXFLO 560/250/14 A c/w 1,50KW 4P 380V</t>
        </is>
      </c>
      <c r="C168" t="inlineStr"/>
      <c r="D168" t="inlineStr">
        <is>
          <t>FM - DONKIN</t>
        </is>
      </c>
      <c r="E168" s="1" t="n">
        <v>0</v>
      </c>
      <c r="F168" t="n">
        <v>2</v>
      </c>
      <c r="G168" t="n">
        <v>0</v>
      </c>
      <c r="H168" t="n">
        <v>8</v>
      </c>
      <c r="I168" t="n">
        <v>0</v>
      </c>
      <c r="J168" t="n">
        <v>0</v>
      </c>
      <c r="K168">
        <f>IF(H168-I168-J168&gt;0,H168-I168-J168,0)</f>
        <v/>
      </c>
      <c r="L168" s="1">
        <f>IFERROR(I168*E168,0)</f>
        <v/>
      </c>
      <c r="M168" s="1">
        <f>IFERROR(K168*E168,0)</f>
        <v/>
      </c>
    </row>
    <row r="169">
      <c r="A169" t="inlineStr">
        <is>
          <t>MFAZ5602202</t>
        </is>
      </c>
      <c r="B169" t="inlineStr">
        <is>
          <t>MAXFLO 560/250/14 A c/w 2,20KW 2P 380V</t>
        </is>
      </c>
      <c r="C169" t="inlineStr"/>
      <c r="D169" t="inlineStr">
        <is>
          <t>FM - DONKIN</t>
        </is>
      </c>
      <c r="E169" s="1" t="n">
        <v>0</v>
      </c>
      <c r="F169" t="n">
        <v>1</v>
      </c>
      <c r="G169" t="n">
        <v>0</v>
      </c>
      <c r="H169" t="n">
        <v>2</v>
      </c>
      <c r="I169" t="n">
        <v>0</v>
      </c>
      <c r="J169" t="n">
        <v>0</v>
      </c>
      <c r="K169">
        <f>IF(H169-I169-J169&gt;0,H169-I169-J169,0)</f>
        <v/>
      </c>
      <c r="L169" s="1">
        <f>IFERROR(I169*E169,0)</f>
        <v/>
      </c>
      <c r="M169" s="1">
        <f>IFERROR(K169*E169,0)</f>
        <v/>
      </c>
    </row>
    <row r="170">
      <c r="A170" t="inlineStr">
        <is>
          <t>MFAZ5604002</t>
        </is>
      </c>
      <c r="B170" t="inlineStr">
        <is>
          <t>MAXFLO 560/250/14 A c/w 4,00KW 2P 380V</t>
        </is>
      </c>
      <c r="C170" t="inlineStr">
        <is>
          <t>Air Speration</t>
        </is>
      </c>
      <c r="D170" t="inlineStr">
        <is>
          <t>FM - DONKIN</t>
        </is>
      </c>
      <c r="E170" s="1" t="n">
        <v>9281.52</v>
      </c>
      <c r="F170" t="n">
        <v>1</v>
      </c>
      <c r="G170" t="n">
        <v>0</v>
      </c>
      <c r="H170" t="n">
        <v>2</v>
      </c>
      <c r="I170" t="n">
        <v>0</v>
      </c>
      <c r="J170" t="n">
        <v>0</v>
      </c>
      <c r="K170">
        <f>IF(H170-I170-J170&gt;0,H170-I170-J170,0)</f>
        <v/>
      </c>
      <c r="L170" s="1">
        <f>IFERROR(I170*E170,0)</f>
        <v/>
      </c>
      <c r="M170" s="1">
        <f>IFERROR(K170*E170,0)</f>
        <v/>
      </c>
    </row>
    <row r="171">
      <c r="A171" t="inlineStr">
        <is>
          <t>MFAZ6300374</t>
        </is>
      </c>
      <c r="B171" t="inlineStr">
        <is>
          <t>MAXFLO 630/250/14 A c/w 0,37KW 4P 380V</t>
        </is>
      </c>
      <c r="C171" t="inlineStr">
        <is>
          <t>Centrifab (Pty) Ltd</t>
        </is>
      </c>
      <c r="D171" t="inlineStr">
        <is>
          <t>FM - DONKIN</t>
        </is>
      </c>
      <c r="E171" s="1" t="n">
        <v>3511.53</v>
      </c>
      <c r="F171" t="n">
        <v>1</v>
      </c>
      <c r="G171" t="n">
        <v>0</v>
      </c>
      <c r="H171" t="n">
        <v>3</v>
      </c>
      <c r="I171" t="n">
        <v>0</v>
      </c>
      <c r="J171" t="n">
        <v>0</v>
      </c>
      <c r="K171">
        <f>IF(H171-I171-J171&gt;0,H171-I171-J171,0)</f>
        <v/>
      </c>
      <c r="L171" s="1">
        <f>IFERROR(I171*E171,0)</f>
        <v/>
      </c>
      <c r="M171" s="1">
        <f>IFERROR(K171*E171,0)</f>
        <v/>
      </c>
    </row>
    <row r="172">
      <c r="A172" t="inlineStr">
        <is>
          <t>MFAZ6300554</t>
        </is>
      </c>
      <c r="B172" t="inlineStr">
        <is>
          <t>MAXFLO 630/250/14 A c/w 0,55KW 4P 380V</t>
        </is>
      </c>
      <c r="C172" t="inlineStr"/>
      <c r="D172" t="inlineStr">
        <is>
          <t>FM - DONKIN</t>
        </is>
      </c>
      <c r="E172" s="1" t="n">
        <v>0</v>
      </c>
      <c r="F172" t="n">
        <v>1</v>
      </c>
      <c r="G172" t="n">
        <v>0</v>
      </c>
      <c r="H172" t="n">
        <v>2</v>
      </c>
      <c r="I172" t="n">
        <v>0</v>
      </c>
      <c r="J172" t="n">
        <v>0</v>
      </c>
      <c r="K172">
        <f>IF(H172-I172-J172&gt;0,H172-I172-J172,0)</f>
        <v/>
      </c>
      <c r="L172" s="1">
        <f>IFERROR(I172*E172,0)</f>
        <v/>
      </c>
      <c r="M172" s="1">
        <f>IFERROR(K172*E172,0)</f>
        <v/>
      </c>
    </row>
    <row r="173">
      <c r="A173" t="inlineStr">
        <is>
          <t>MFAZ6300754</t>
        </is>
      </c>
      <c r="B173" t="inlineStr">
        <is>
          <t>MAXFLO 630/250/14 A c/w 0,75KW 4P 380V</t>
        </is>
      </c>
      <c r="C173" t="inlineStr"/>
      <c r="D173" t="inlineStr">
        <is>
          <t>FM - DONKIN</t>
        </is>
      </c>
      <c r="E173" s="1" t="n">
        <v>0</v>
      </c>
      <c r="F173" t="n">
        <v>1</v>
      </c>
      <c r="G173" t="n">
        <v>0</v>
      </c>
      <c r="H173" t="n">
        <v>2</v>
      </c>
      <c r="I173" t="n">
        <v>0</v>
      </c>
      <c r="J173" t="n">
        <v>0</v>
      </c>
      <c r="K173">
        <f>IF(H173-I173-J173&gt;0,H173-I173-J173,0)</f>
        <v/>
      </c>
      <c r="L173" s="1">
        <f>IFERROR(I173*E173,0)</f>
        <v/>
      </c>
      <c r="M173" s="1">
        <f>IFERROR(K173*E173,0)</f>
        <v/>
      </c>
    </row>
    <row r="174">
      <c r="A174" t="inlineStr">
        <is>
          <t>MFAZ6301104</t>
        </is>
      </c>
      <c r="B174" t="inlineStr">
        <is>
          <t>MAXFLO 630/250/14 A c/w 1,10KW 4P 380V</t>
        </is>
      </c>
      <c r="C174" t="inlineStr">
        <is>
          <t>Air Speration</t>
        </is>
      </c>
      <c r="D174" t="inlineStr">
        <is>
          <t>FM - DONKIN</t>
        </is>
      </c>
      <c r="E174" s="1" t="n">
        <v>8775</v>
      </c>
      <c r="F174" t="n">
        <v>1</v>
      </c>
      <c r="G174" t="n">
        <v>0</v>
      </c>
      <c r="H174" t="n">
        <v>3</v>
      </c>
      <c r="I174" t="n">
        <v>0</v>
      </c>
      <c r="J174" t="n">
        <v>0</v>
      </c>
      <c r="K174">
        <f>IF(H174-I174-J174&gt;0,H174-I174-J174,0)</f>
        <v/>
      </c>
      <c r="L174" s="1">
        <f>IFERROR(I174*E174,0)</f>
        <v/>
      </c>
      <c r="M174" s="1">
        <f>IFERROR(K174*E174,0)</f>
        <v/>
      </c>
    </row>
    <row r="175">
      <c r="A175" t="inlineStr">
        <is>
          <t>MFAZ6301504</t>
        </is>
      </c>
      <c r="B175" t="inlineStr">
        <is>
          <t>MAXFLO 630/250/14 A c/w 1,50KW 4P 380V</t>
        </is>
      </c>
      <c r="C175" t="inlineStr">
        <is>
          <t>Centrifab (Pty) Ltd</t>
        </is>
      </c>
      <c r="D175" t="inlineStr">
        <is>
          <t>FM - DONKIN</t>
        </is>
      </c>
      <c r="E175" s="1" t="n">
        <v>8058</v>
      </c>
      <c r="F175" t="n">
        <v>1</v>
      </c>
      <c r="G175" t="n">
        <v>0</v>
      </c>
      <c r="H175" t="n">
        <v>2</v>
      </c>
      <c r="I175" t="n">
        <v>0</v>
      </c>
      <c r="J175" t="n">
        <v>0</v>
      </c>
      <c r="K175">
        <f>IF(H175-I175-J175&gt;0,H175-I175-J175,0)</f>
        <v/>
      </c>
      <c r="L175" s="1">
        <f>IFERROR(I175*E175,0)</f>
        <v/>
      </c>
      <c r="M175" s="1">
        <f>IFERROR(K175*E175,0)</f>
        <v/>
      </c>
    </row>
    <row r="176">
      <c r="A176" t="inlineStr">
        <is>
          <t>MFAZ6302204</t>
        </is>
      </c>
      <c r="B176" t="inlineStr">
        <is>
          <t>MAXFLO 630/250/14 A c/w 2,20KW 4P 380V</t>
        </is>
      </c>
      <c r="C176" t="inlineStr"/>
      <c r="D176" t="inlineStr">
        <is>
          <t>FM - DONKIN</t>
        </is>
      </c>
      <c r="E176" s="1" t="n">
        <v>0</v>
      </c>
      <c r="F176" t="n">
        <v>1</v>
      </c>
      <c r="G176" t="n">
        <v>0</v>
      </c>
      <c r="H176" t="n">
        <v>2</v>
      </c>
      <c r="I176" t="n">
        <v>0</v>
      </c>
      <c r="J176" t="n">
        <v>0</v>
      </c>
      <c r="K176">
        <f>IF(H176-I176-J176&gt;0,H176-I176-J176,0)</f>
        <v/>
      </c>
      <c r="L176" s="1">
        <f>IFERROR(I176*E176,0)</f>
        <v/>
      </c>
      <c r="M176" s="1">
        <f>IFERROR(K176*E176,0)</f>
        <v/>
      </c>
    </row>
    <row r="177">
      <c r="A177" t="inlineStr">
        <is>
          <t>MFAZ6303004</t>
        </is>
      </c>
      <c r="B177" t="inlineStr">
        <is>
          <t>MAXFLO 630/250/14 A c/w 3,00KW 4P 380V</t>
        </is>
      </c>
      <c r="C177" t="inlineStr"/>
      <c r="D177" t="inlineStr">
        <is>
          <t>FM - DONKIN</t>
        </is>
      </c>
      <c r="E177" s="1" t="n">
        <v>0</v>
      </c>
      <c r="F177" t="n">
        <v>1</v>
      </c>
      <c r="G177" t="n">
        <v>0</v>
      </c>
      <c r="H177" t="n">
        <v>2</v>
      </c>
      <c r="I177" t="n">
        <v>0</v>
      </c>
      <c r="J177" t="n">
        <v>0</v>
      </c>
      <c r="K177">
        <f>IF(H177-I177-J177&gt;0,H177-I177-J177,0)</f>
        <v/>
      </c>
      <c r="L177" s="1">
        <f>IFERROR(I177*E177,0)</f>
        <v/>
      </c>
      <c r="M177" s="1">
        <f>IFERROR(K177*E177,0)</f>
        <v/>
      </c>
    </row>
    <row r="178">
      <c r="A178" t="inlineStr">
        <is>
          <t>MFAZ6304004</t>
        </is>
      </c>
      <c r="B178" t="inlineStr">
        <is>
          <t>MAXFLO 630/250/14 A c/w 4,00KW 4P 380V</t>
        </is>
      </c>
      <c r="C178" t="inlineStr"/>
      <c r="D178" t="inlineStr">
        <is>
          <t>FM - DONKIN</t>
        </is>
      </c>
      <c r="E178" s="1" t="n">
        <v>0</v>
      </c>
      <c r="F178" t="n">
        <v>1</v>
      </c>
      <c r="G178" t="n">
        <v>0</v>
      </c>
      <c r="H178" t="n">
        <v>5</v>
      </c>
      <c r="I178" t="n">
        <v>0</v>
      </c>
      <c r="J178" t="n">
        <v>0</v>
      </c>
      <c r="K178">
        <f>IF(H178-I178-J178&gt;0,H178-I178-J178,0)</f>
        <v/>
      </c>
      <c r="L178" s="1">
        <f>IFERROR(I178*E178,0)</f>
        <v/>
      </c>
      <c r="M178" s="1">
        <f>IFERROR(K178*E178,0)</f>
        <v/>
      </c>
    </row>
    <row r="179">
      <c r="A179" t="inlineStr">
        <is>
          <t>MFAZ7101104</t>
        </is>
      </c>
      <c r="B179" t="inlineStr">
        <is>
          <t>MAXFLO 710/250/14 A c/w 1,10KW 4P 380V</t>
        </is>
      </c>
      <c r="C179" t="inlineStr">
        <is>
          <t>Air Speration</t>
        </is>
      </c>
      <c r="D179" t="inlineStr">
        <is>
          <t>FM - DONKIN</t>
        </is>
      </c>
      <c r="E179" s="1" t="n">
        <v>10080</v>
      </c>
      <c r="F179" t="n">
        <v>1</v>
      </c>
      <c r="G179" t="n">
        <v>0</v>
      </c>
      <c r="H179" t="n">
        <v>3</v>
      </c>
      <c r="I179" t="n">
        <v>0</v>
      </c>
      <c r="J179" t="n">
        <v>0</v>
      </c>
      <c r="K179">
        <f>IF(H179-I179-J179&gt;0,H179-I179-J179,0)</f>
        <v/>
      </c>
      <c r="L179" s="1">
        <f>IFERROR(I179*E179,0)</f>
        <v/>
      </c>
      <c r="M179" s="1">
        <f>IFERROR(K179*E179,0)</f>
        <v/>
      </c>
    </row>
    <row r="180">
      <c r="A180" t="inlineStr">
        <is>
          <t>MFAZ7101504</t>
        </is>
      </c>
      <c r="B180" t="inlineStr">
        <is>
          <t>MAXFLO 710/250/14 A c/w 1,50KW 4P 380V</t>
        </is>
      </c>
      <c r="C180" t="inlineStr"/>
      <c r="D180" t="inlineStr">
        <is>
          <t>FM - DONKIN</t>
        </is>
      </c>
      <c r="E180" s="1" t="n">
        <v>0</v>
      </c>
      <c r="F180" t="n">
        <v>1</v>
      </c>
      <c r="G180" t="n">
        <v>0</v>
      </c>
      <c r="H180" t="n">
        <v>2</v>
      </c>
      <c r="I180" t="n">
        <v>0</v>
      </c>
      <c r="J180" t="n">
        <v>0</v>
      </c>
      <c r="K180">
        <f>IF(H180-I180-J180&gt;0,H180-I180-J180,0)</f>
        <v/>
      </c>
      <c r="L180" s="1">
        <f>IFERROR(I180*E180,0)</f>
        <v/>
      </c>
      <c r="M180" s="1">
        <f>IFERROR(K180*E180,0)</f>
        <v/>
      </c>
    </row>
    <row r="181">
      <c r="A181" t="inlineStr">
        <is>
          <t>MFAZ7102204</t>
        </is>
      </c>
      <c r="B181" t="inlineStr">
        <is>
          <t>MAXFLO 710/250/14 A c/w 2,20KW 4P 380V</t>
        </is>
      </c>
      <c r="C181" t="inlineStr"/>
      <c r="D181" t="inlineStr">
        <is>
          <t>FM - DONKIN</t>
        </is>
      </c>
      <c r="E181" s="1" t="n">
        <v>0</v>
      </c>
      <c r="F181" t="n">
        <v>1</v>
      </c>
      <c r="G181" t="n">
        <v>0</v>
      </c>
      <c r="H181" t="n">
        <v>2</v>
      </c>
      <c r="I181" t="n">
        <v>0</v>
      </c>
      <c r="J181" t="n">
        <v>0</v>
      </c>
      <c r="K181">
        <f>IF(H181-I181-J181&gt;0,H181-I181-J181,0)</f>
        <v/>
      </c>
      <c r="L181" s="1">
        <f>IFERROR(I181*E181,0)</f>
        <v/>
      </c>
      <c r="M181" s="1">
        <f>IFERROR(K181*E181,0)</f>
        <v/>
      </c>
    </row>
    <row r="182">
      <c r="A182" t="inlineStr">
        <is>
          <t>MFAZ7104004</t>
        </is>
      </c>
      <c r="B182" t="inlineStr">
        <is>
          <t>MAXFLO 710/250/14 A c/w 4,00KW 4P 380V</t>
        </is>
      </c>
      <c r="C182" t="inlineStr"/>
      <c r="D182" t="inlineStr">
        <is>
          <t>FM - DONKIN</t>
        </is>
      </c>
      <c r="E182" s="1" t="n">
        <v>0</v>
      </c>
      <c r="F182" t="n">
        <v>1</v>
      </c>
      <c r="G182" t="n">
        <v>0</v>
      </c>
      <c r="H182" t="n">
        <v>2</v>
      </c>
      <c r="I182" t="n">
        <v>0</v>
      </c>
      <c r="J182" t="n">
        <v>0</v>
      </c>
      <c r="K182">
        <f>IF(H182-I182-J182&gt;0,H182-I182-J182,0)</f>
        <v/>
      </c>
      <c r="L182" s="1">
        <f>IFERROR(I182*E182,0)</f>
        <v/>
      </c>
      <c r="M182" s="1">
        <f>IFERROR(K182*E182,0)</f>
        <v/>
      </c>
    </row>
    <row r="183">
      <c r="A183" t="inlineStr">
        <is>
          <t>MFAZ7105504</t>
        </is>
      </c>
      <c r="B183" t="inlineStr">
        <is>
          <t>MAXFLO 710/250/14 A c/w 5,50KW 4P 380V</t>
        </is>
      </c>
      <c r="C183" t="inlineStr">
        <is>
          <t>Air Speration</t>
        </is>
      </c>
      <c r="D183" t="inlineStr">
        <is>
          <t>FM - DONKIN</t>
        </is>
      </c>
      <c r="E183" s="1" t="n">
        <v>9912</v>
      </c>
      <c r="F183" t="n">
        <v>1</v>
      </c>
      <c r="G183" t="n">
        <v>0</v>
      </c>
      <c r="H183" t="n">
        <v>2</v>
      </c>
      <c r="I183" t="n">
        <v>0</v>
      </c>
      <c r="J183" t="n">
        <v>0</v>
      </c>
      <c r="K183">
        <f>IF(H183-I183-J183&gt;0,H183-I183-J183,0)</f>
        <v/>
      </c>
      <c r="L183" s="1">
        <f>IFERROR(I183*E183,0)</f>
        <v/>
      </c>
      <c r="M183" s="1">
        <f>IFERROR(K183*E183,0)</f>
        <v/>
      </c>
    </row>
    <row r="184">
      <c r="A184" t="inlineStr">
        <is>
          <t>MFAZ8002204</t>
        </is>
      </c>
      <c r="B184" t="inlineStr">
        <is>
          <t>MAXFLO 800/250/14 A c/w 2,20KW 4P 380V</t>
        </is>
      </c>
      <c r="C184" t="inlineStr">
        <is>
          <t>Air Speration</t>
        </is>
      </c>
      <c r="D184" t="inlineStr">
        <is>
          <t>FM - DONKIN</t>
        </is>
      </c>
      <c r="E184" s="1" t="n">
        <v>8492.74</v>
      </c>
      <c r="F184" t="n">
        <v>1</v>
      </c>
      <c r="G184" t="n">
        <v>0</v>
      </c>
      <c r="H184" t="n">
        <v>2</v>
      </c>
      <c r="I184" t="n">
        <v>0</v>
      </c>
      <c r="J184" t="n">
        <v>0</v>
      </c>
      <c r="K184">
        <f>IF(H184-I184-J184&gt;0,H184-I184-J184,0)</f>
        <v/>
      </c>
      <c r="L184" s="1">
        <f>IFERROR(I184*E184,0)</f>
        <v/>
      </c>
      <c r="M184" s="1">
        <f>IFERROR(K184*E184,0)</f>
        <v/>
      </c>
    </row>
    <row r="185">
      <c r="A185" t="inlineStr">
        <is>
          <t>MFAZ8003004</t>
        </is>
      </c>
      <c r="B185" t="inlineStr">
        <is>
          <t>MAXFLO 800/250/14 A c/w 3,00KW 4P 380V</t>
        </is>
      </c>
      <c r="C185" t="inlineStr"/>
      <c r="D185" t="inlineStr">
        <is>
          <t>FM - DONKIN</t>
        </is>
      </c>
      <c r="E185" s="1" t="n">
        <v>0</v>
      </c>
      <c r="F185" t="n">
        <v>1</v>
      </c>
      <c r="G185" t="n">
        <v>0</v>
      </c>
      <c r="H185" t="n">
        <v>2</v>
      </c>
      <c r="I185" t="n">
        <v>0</v>
      </c>
      <c r="J185" t="n">
        <v>0</v>
      </c>
      <c r="K185">
        <f>IF(H185-I185-J185&gt;0,H185-I185-J185,0)</f>
        <v/>
      </c>
      <c r="L185" s="1">
        <f>IFERROR(I185*E185,0)</f>
        <v/>
      </c>
      <c r="M185" s="1">
        <f>IFERROR(K185*E185,0)</f>
        <v/>
      </c>
    </row>
    <row r="186">
      <c r="A186" t="inlineStr">
        <is>
          <t>MFAZ8004004</t>
        </is>
      </c>
      <c r="B186" t="inlineStr">
        <is>
          <t>MAXFLO 800/250/14 A c/w 4,00KW 4P 380V</t>
        </is>
      </c>
      <c r="C186" t="inlineStr"/>
      <c r="D186" t="inlineStr">
        <is>
          <t>FM - DONKIN</t>
        </is>
      </c>
      <c r="E186" s="1" t="n">
        <v>0</v>
      </c>
      <c r="F186" t="n">
        <v>2</v>
      </c>
      <c r="G186" t="n">
        <v>0</v>
      </c>
      <c r="H186" t="n">
        <v>8</v>
      </c>
      <c r="I186" t="n">
        <v>0</v>
      </c>
      <c r="J186" t="n">
        <v>0</v>
      </c>
      <c r="K186">
        <f>IF(H186-I186-J186&gt;0,H186-I186-J186,0)</f>
        <v/>
      </c>
      <c r="L186" s="1">
        <f>IFERROR(I186*E186,0)</f>
        <v/>
      </c>
      <c r="M186" s="1">
        <f>IFERROR(K186*E186,0)</f>
        <v/>
      </c>
    </row>
    <row r="187">
      <c r="A187" t="inlineStr">
        <is>
          <t>MFAZ8005504</t>
        </is>
      </c>
      <c r="B187" t="inlineStr">
        <is>
          <t>MAXFLO 800/250/14 A c/w 5,50KW 4P 380V</t>
        </is>
      </c>
      <c r="C187" t="inlineStr"/>
      <c r="D187" t="inlineStr">
        <is>
          <t>FM - DONKIN</t>
        </is>
      </c>
      <c r="E187" s="1" t="n">
        <v>0</v>
      </c>
      <c r="F187" t="n">
        <v>2</v>
      </c>
      <c r="G187" t="n">
        <v>0</v>
      </c>
      <c r="H187" t="n">
        <v>12</v>
      </c>
      <c r="I187" t="n">
        <v>0</v>
      </c>
      <c r="J187" t="n">
        <v>0</v>
      </c>
      <c r="K187">
        <f>IF(H187-I187-J187&gt;0,H187-I187-J187,0)</f>
        <v/>
      </c>
      <c r="L187" s="1">
        <f>IFERROR(I187*E187,0)</f>
        <v/>
      </c>
      <c r="M187" s="1">
        <f>IFERROR(K187*E187,0)</f>
        <v/>
      </c>
    </row>
    <row r="188">
      <c r="A188" t="inlineStr">
        <is>
          <t>MFP10005504</t>
        </is>
      </c>
      <c r="B188" t="inlineStr">
        <is>
          <t>MAXFLO 1000/250/14 P c/w 5,50KW 4P 380V</t>
        </is>
      </c>
      <c r="C188" t="inlineStr"/>
      <c r="D188" t="inlineStr">
        <is>
          <t>FM - DONKIN</t>
        </is>
      </c>
      <c r="E188" s="1" t="n">
        <v>0</v>
      </c>
      <c r="F188" t="n">
        <v>1</v>
      </c>
      <c r="G188" t="n">
        <v>0</v>
      </c>
      <c r="H188" t="n">
        <v>2</v>
      </c>
      <c r="I188" t="n">
        <v>0</v>
      </c>
      <c r="J188" t="n">
        <v>0</v>
      </c>
      <c r="K188">
        <f>IF(H188-I188-J188&gt;0,H188-I188-J188,0)</f>
        <v/>
      </c>
      <c r="L188" s="1">
        <f>IFERROR(I188*E188,0)</f>
        <v/>
      </c>
      <c r="M188" s="1">
        <f>IFERROR(K188*E188,0)</f>
        <v/>
      </c>
    </row>
    <row r="189">
      <c r="A189" t="inlineStr">
        <is>
          <t>MFP10007504</t>
        </is>
      </c>
      <c r="B189" t="inlineStr">
        <is>
          <t>MAXFLO 1000/250/14 P c/w 7,50KW 4P 380V</t>
        </is>
      </c>
      <c r="C189" t="inlineStr"/>
      <c r="D189" t="inlineStr">
        <is>
          <t>FM - DONKIN</t>
        </is>
      </c>
      <c r="E189" s="1" t="n">
        <v>0</v>
      </c>
      <c r="F189" t="n">
        <v>1</v>
      </c>
      <c r="G189" t="n">
        <v>0</v>
      </c>
      <c r="H189" t="n">
        <v>2</v>
      </c>
      <c r="I189" t="n">
        <v>0</v>
      </c>
      <c r="J189" t="n">
        <v>0</v>
      </c>
      <c r="K189">
        <f>IF(H189-I189-J189&gt;0,H189-I189-J189,0)</f>
        <v/>
      </c>
      <c r="L189" s="1">
        <f>IFERROR(I189*E189,0)</f>
        <v/>
      </c>
      <c r="M189" s="1">
        <f>IFERROR(K189*E189,0)</f>
        <v/>
      </c>
    </row>
    <row r="190">
      <c r="A190" t="inlineStr">
        <is>
          <t>MFP3150254</t>
        </is>
      </c>
      <c r="B190" t="inlineStr">
        <is>
          <t>MAXFLO 315/150/10 P c/w 0,25KW 4P 380V</t>
        </is>
      </c>
      <c r="C190" t="inlineStr">
        <is>
          <t>Air Speration</t>
        </is>
      </c>
      <c r="D190" t="inlineStr">
        <is>
          <t>FM - DONKIN</t>
        </is>
      </c>
      <c r="E190" s="1" t="n">
        <v>4150.17</v>
      </c>
      <c r="F190" t="n">
        <v>1</v>
      </c>
      <c r="G190" t="n">
        <v>0</v>
      </c>
      <c r="H190" t="n">
        <v>2</v>
      </c>
      <c r="I190" t="n">
        <v>0</v>
      </c>
      <c r="J190" t="n">
        <v>0</v>
      </c>
      <c r="K190">
        <f>IF(H190-I190-J190&gt;0,H190-I190-J190,0)</f>
        <v/>
      </c>
      <c r="L190" s="1">
        <f>IFERROR(I190*E190,0)</f>
        <v/>
      </c>
      <c r="M190" s="1">
        <f>IFERROR(K190*E190,0)</f>
        <v/>
      </c>
    </row>
    <row r="191">
      <c r="A191" t="inlineStr">
        <is>
          <t>MFP3150374</t>
        </is>
      </c>
      <c r="B191" t="inlineStr">
        <is>
          <t>MAXFLO 315/150/10 P c/w 0,37KW 4P 380V</t>
        </is>
      </c>
      <c r="C191" t="inlineStr"/>
      <c r="D191" t="inlineStr">
        <is>
          <t>FM - DONKIN</t>
        </is>
      </c>
      <c r="E191" s="1" t="n">
        <v>0</v>
      </c>
      <c r="F191" t="n">
        <v>1</v>
      </c>
      <c r="G191" t="n">
        <v>0</v>
      </c>
      <c r="H191" t="n">
        <v>2</v>
      </c>
      <c r="I191" t="n">
        <v>0</v>
      </c>
      <c r="J191" t="n">
        <v>0</v>
      </c>
      <c r="K191">
        <f>IF(H191-I191-J191&gt;0,H191-I191-J191,0)</f>
        <v/>
      </c>
      <c r="L191" s="1">
        <f>IFERROR(I191*E191,0)</f>
        <v/>
      </c>
      <c r="M191" s="1">
        <f>IFERROR(K191*E191,0)</f>
        <v/>
      </c>
    </row>
    <row r="192">
      <c r="A192" t="inlineStr">
        <is>
          <t>MFP3150552</t>
        </is>
      </c>
      <c r="B192" t="inlineStr">
        <is>
          <t>MAXFLO 315/150/10 P c/w 0,55KW 2P 380V</t>
        </is>
      </c>
      <c r="C192" t="inlineStr">
        <is>
          <t>Air Speration</t>
        </is>
      </c>
      <c r="D192" t="inlineStr">
        <is>
          <t>FM - DONKIN</t>
        </is>
      </c>
      <c r="E192" s="1" t="n">
        <v>4157</v>
      </c>
      <c r="F192" t="n">
        <v>1</v>
      </c>
      <c r="G192" t="n">
        <v>0</v>
      </c>
      <c r="H192" t="n">
        <v>4</v>
      </c>
      <c r="I192" t="n">
        <v>0</v>
      </c>
      <c r="J192" t="n">
        <v>0</v>
      </c>
      <c r="K192">
        <f>IF(H192-I192-J192&gt;0,H192-I192-J192,0)</f>
        <v/>
      </c>
      <c r="L192" s="1">
        <f>IFERROR(I192*E192,0)</f>
        <v/>
      </c>
      <c r="M192" s="1">
        <f>IFERROR(K192*E192,0)</f>
        <v/>
      </c>
    </row>
    <row r="193">
      <c r="A193" t="inlineStr">
        <is>
          <t>MFP3150752</t>
        </is>
      </c>
      <c r="B193" t="inlineStr">
        <is>
          <t>MAXFLO 315/150/10 P c/w 0,75KW 2P 380V</t>
        </is>
      </c>
      <c r="C193" t="inlineStr">
        <is>
          <t>Air Speration</t>
        </is>
      </c>
      <c r="D193" t="inlineStr">
        <is>
          <t>FM - DONKIN</t>
        </is>
      </c>
      <c r="E193" s="1" t="n">
        <v>4633</v>
      </c>
      <c r="F193" t="n">
        <v>1</v>
      </c>
      <c r="G193" t="n">
        <v>0</v>
      </c>
      <c r="H193" t="n">
        <v>2</v>
      </c>
      <c r="I193" t="n">
        <v>0</v>
      </c>
      <c r="J193" t="n">
        <v>0</v>
      </c>
      <c r="K193">
        <f>IF(H193-I193-J193&gt;0,H193-I193-J193,0)</f>
        <v/>
      </c>
      <c r="L193" s="1">
        <f>IFERROR(I193*E193,0)</f>
        <v/>
      </c>
      <c r="M193" s="1">
        <f>IFERROR(K193*E193,0)</f>
        <v/>
      </c>
    </row>
    <row r="194">
      <c r="A194" t="inlineStr">
        <is>
          <t>MFP4000254</t>
        </is>
      </c>
      <c r="B194" t="inlineStr">
        <is>
          <t>MAXFLO 400/150/10 P c/w 0,25KW 4P 380V</t>
        </is>
      </c>
      <c r="C194" t="inlineStr">
        <is>
          <t>Centrifab (Pty) Ltd</t>
        </is>
      </c>
      <c r="D194" t="inlineStr">
        <is>
          <t>FM - DONKIN</t>
        </is>
      </c>
      <c r="E194" s="1" t="n">
        <v>4402.8</v>
      </c>
      <c r="F194" t="n">
        <v>1</v>
      </c>
      <c r="G194" t="n">
        <v>0</v>
      </c>
      <c r="H194" t="n">
        <v>2</v>
      </c>
      <c r="I194" t="n">
        <v>0</v>
      </c>
      <c r="J194" t="n">
        <v>0</v>
      </c>
      <c r="K194">
        <f>IF(H194-I194-J194&gt;0,H194-I194-J194,0)</f>
        <v/>
      </c>
      <c r="L194" s="1">
        <f>IFERROR(I194*E194,0)</f>
        <v/>
      </c>
      <c r="M194" s="1">
        <f>IFERROR(K194*E194,0)</f>
        <v/>
      </c>
    </row>
    <row r="195">
      <c r="A195" t="inlineStr">
        <is>
          <t>MFP4000374</t>
        </is>
      </c>
      <c r="B195" t="inlineStr">
        <is>
          <t>MAXFLO 400/150/10 P c/w 0,37KW 4P 380V</t>
        </is>
      </c>
      <c r="C195" t="inlineStr">
        <is>
          <t>Centrifab (Pty) Ltd</t>
        </is>
      </c>
      <c r="D195" t="inlineStr">
        <is>
          <t>FM - DONKIN</t>
        </is>
      </c>
      <c r="E195" s="1" t="n">
        <v>4559.13</v>
      </c>
      <c r="F195" t="n">
        <v>1</v>
      </c>
      <c r="G195" t="n">
        <v>0</v>
      </c>
      <c r="H195" t="n">
        <v>2</v>
      </c>
      <c r="I195" t="n">
        <v>0</v>
      </c>
      <c r="J195" t="n">
        <v>0</v>
      </c>
      <c r="K195">
        <f>IF(H195-I195-J195&gt;0,H195-I195-J195,0)</f>
        <v/>
      </c>
      <c r="L195" s="1">
        <f>IFERROR(I195*E195,0)</f>
        <v/>
      </c>
      <c r="M195" s="1">
        <f>IFERROR(K195*E195,0)</f>
        <v/>
      </c>
    </row>
    <row r="196">
      <c r="A196" t="inlineStr">
        <is>
          <t>MFP4000552</t>
        </is>
      </c>
      <c r="B196" t="inlineStr">
        <is>
          <t>MAXFLO 400/150/10 P c/w 0,55KW 2P 380V</t>
        </is>
      </c>
      <c r="C196" t="inlineStr"/>
      <c r="D196" t="inlineStr">
        <is>
          <t>FM - DONKIN</t>
        </is>
      </c>
      <c r="E196" s="1" t="n">
        <v>0</v>
      </c>
      <c r="F196" t="n">
        <v>1</v>
      </c>
      <c r="G196" t="n">
        <v>0</v>
      </c>
      <c r="H196" t="n">
        <v>2</v>
      </c>
      <c r="I196" t="n">
        <v>0</v>
      </c>
      <c r="J196" t="n">
        <v>0</v>
      </c>
      <c r="K196">
        <f>IF(H196-I196-J196&gt;0,H196-I196-J196,0)</f>
        <v/>
      </c>
      <c r="L196" s="1">
        <f>IFERROR(I196*E196,0)</f>
        <v/>
      </c>
      <c r="M196" s="1">
        <f>IFERROR(K196*E196,0)</f>
        <v/>
      </c>
    </row>
    <row r="197">
      <c r="A197" t="inlineStr">
        <is>
          <t>MFP4000554</t>
        </is>
      </c>
      <c r="B197" t="inlineStr">
        <is>
          <t>MAXFLO 400/150/10 P c/w 0,55KW 4P 380V</t>
        </is>
      </c>
      <c r="C197" t="inlineStr"/>
      <c r="D197" t="inlineStr">
        <is>
          <t>FM - DONKIN</t>
        </is>
      </c>
      <c r="E197" s="1" t="n">
        <v>0</v>
      </c>
      <c r="F197" t="n">
        <v>1</v>
      </c>
      <c r="G197" t="n">
        <v>0</v>
      </c>
      <c r="H197" t="n">
        <v>2</v>
      </c>
      <c r="I197" t="n">
        <v>0</v>
      </c>
      <c r="J197" t="n">
        <v>0</v>
      </c>
      <c r="K197">
        <f>IF(H197-I197-J197&gt;0,H197-I197-J197,0)</f>
        <v/>
      </c>
      <c r="L197" s="1">
        <f>IFERROR(I197*E197,0)</f>
        <v/>
      </c>
      <c r="M197" s="1">
        <f>IFERROR(K197*E197,0)</f>
        <v/>
      </c>
    </row>
    <row r="198">
      <c r="A198" t="inlineStr">
        <is>
          <t>MFP4000752</t>
        </is>
      </c>
      <c r="B198" t="inlineStr">
        <is>
          <t>MAXFLO 400/150/10 P c/w 0,75KW 2P 380V</t>
        </is>
      </c>
      <c r="C198" t="inlineStr"/>
      <c r="D198" t="inlineStr">
        <is>
          <t>FM - DONKIN</t>
        </is>
      </c>
      <c r="E198" s="1" t="n">
        <v>0</v>
      </c>
      <c r="F198" t="n">
        <v>1</v>
      </c>
      <c r="G198" t="n">
        <v>0</v>
      </c>
      <c r="H198" t="n">
        <v>2</v>
      </c>
      <c r="I198" t="n">
        <v>0</v>
      </c>
      <c r="J198" t="n">
        <v>0</v>
      </c>
      <c r="K198">
        <f>IF(H198-I198-J198&gt;0,H198-I198-J198,0)</f>
        <v/>
      </c>
      <c r="L198" s="1">
        <f>IFERROR(I198*E198,0)</f>
        <v/>
      </c>
      <c r="M198" s="1">
        <f>IFERROR(K198*E198,0)</f>
        <v/>
      </c>
    </row>
    <row r="199">
      <c r="A199" t="inlineStr">
        <is>
          <t>MFP4001102</t>
        </is>
      </c>
      <c r="B199" t="inlineStr">
        <is>
          <t>MAXFLO 400/150/10 P c/w 1,10KW 2P 380V</t>
        </is>
      </c>
      <c r="C199" t="inlineStr">
        <is>
          <t>Air Speration</t>
        </is>
      </c>
      <c r="D199" t="inlineStr">
        <is>
          <t>FM - DONKIN</t>
        </is>
      </c>
      <c r="E199" s="1" t="n">
        <v>4935.88</v>
      </c>
      <c r="F199" t="n">
        <v>1</v>
      </c>
      <c r="G199" t="n">
        <v>0</v>
      </c>
      <c r="H199" t="n">
        <v>3</v>
      </c>
      <c r="I199" t="n">
        <v>0</v>
      </c>
      <c r="J199" t="n">
        <v>0</v>
      </c>
      <c r="K199">
        <f>IF(H199-I199-J199&gt;0,H199-I199-J199,0)</f>
        <v/>
      </c>
      <c r="L199" s="1">
        <f>IFERROR(I199*E199,0)</f>
        <v/>
      </c>
      <c r="M199" s="1">
        <f>IFERROR(K199*E199,0)</f>
        <v/>
      </c>
    </row>
    <row r="200">
      <c r="A200" t="inlineStr">
        <is>
          <t>MFP5000374</t>
        </is>
      </c>
      <c r="B200" t="inlineStr">
        <is>
          <t>MAXFLO 500/150/10 P c/w 0,37KW 4P 380V</t>
        </is>
      </c>
      <c r="C200" t="inlineStr">
        <is>
          <t>Air Speration</t>
        </is>
      </c>
      <c r="D200" t="inlineStr">
        <is>
          <t>FM - DONKIN</t>
        </is>
      </c>
      <c r="E200" s="1" t="n">
        <v>4138</v>
      </c>
      <c r="F200" t="n">
        <v>1</v>
      </c>
      <c r="G200" t="n">
        <v>0</v>
      </c>
      <c r="H200" t="n">
        <v>2</v>
      </c>
      <c r="I200" t="n">
        <v>0</v>
      </c>
      <c r="J200" t="n">
        <v>0</v>
      </c>
      <c r="K200">
        <f>IF(H200-I200-J200&gt;0,H200-I200-J200,0)</f>
        <v/>
      </c>
      <c r="L200" s="1">
        <f>IFERROR(I200*E200,0)</f>
        <v/>
      </c>
      <c r="M200" s="1">
        <f>IFERROR(K200*E200,0)</f>
        <v/>
      </c>
    </row>
    <row r="201">
      <c r="A201" t="inlineStr">
        <is>
          <t>MFP5000554</t>
        </is>
      </c>
      <c r="B201" t="inlineStr">
        <is>
          <t>MAXFLO 500/150/10 P c/w 0,55KW 4P 380V</t>
        </is>
      </c>
      <c r="C201" t="inlineStr">
        <is>
          <t>Air Speration</t>
        </is>
      </c>
      <c r="D201" t="inlineStr">
        <is>
          <t>FM - DONKIN</t>
        </is>
      </c>
      <c r="E201" s="1" t="n">
        <v>5284.43</v>
      </c>
      <c r="F201" t="n">
        <v>1</v>
      </c>
      <c r="G201" t="n">
        <v>0</v>
      </c>
      <c r="H201" t="n">
        <v>2</v>
      </c>
      <c r="I201" t="n">
        <v>0</v>
      </c>
      <c r="J201" t="n">
        <v>0</v>
      </c>
      <c r="K201">
        <f>IF(H201-I201-J201&gt;0,H201-I201-J201,0)</f>
        <v/>
      </c>
      <c r="L201" s="1">
        <f>IFERROR(I201*E201,0)</f>
        <v/>
      </c>
      <c r="M201" s="1">
        <f>IFERROR(K201*E201,0)</f>
        <v/>
      </c>
    </row>
    <row r="202">
      <c r="A202" t="inlineStr">
        <is>
          <t>MFP5000754</t>
        </is>
      </c>
      <c r="B202" t="inlineStr">
        <is>
          <t>MAXFLO 500/150/10 P c/w 0,75KW 4P 380V</t>
        </is>
      </c>
      <c r="C202" t="inlineStr"/>
      <c r="D202" t="inlineStr">
        <is>
          <t>FM - DONKIN</t>
        </is>
      </c>
      <c r="E202" s="1" t="n">
        <v>0</v>
      </c>
      <c r="F202" t="n">
        <v>1</v>
      </c>
      <c r="G202" t="n">
        <v>0</v>
      </c>
      <c r="H202" t="n">
        <v>2</v>
      </c>
      <c r="I202" t="n">
        <v>0</v>
      </c>
      <c r="J202" t="n">
        <v>0</v>
      </c>
      <c r="K202">
        <f>IF(H202-I202-J202&gt;0,H202-I202-J202,0)</f>
        <v/>
      </c>
      <c r="L202" s="1">
        <f>IFERROR(I202*E202,0)</f>
        <v/>
      </c>
      <c r="M202" s="1">
        <f>IFERROR(K202*E202,0)</f>
        <v/>
      </c>
    </row>
    <row r="203">
      <c r="A203" t="inlineStr">
        <is>
          <t>MFP5001102</t>
        </is>
      </c>
      <c r="B203" t="inlineStr">
        <is>
          <t>MAXFLO 500/150/10 P c/w 1,10KW 2P 380V</t>
        </is>
      </c>
      <c r="C203" t="inlineStr"/>
      <c r="D203" t="inlineStr">
        <is>
          <t>FM - DONKIN</t>
        </is>
      </c>
      <c r="E203" s="1" t="n">
        <v>0</v>
      </c>
      <c r="F203" t="n">
        <v>1</v>
      </c>
      <c r="G203" t="n">
        <v>0</v>
      </c>
      <c r="H203" t="n">
        <v>2</v>
      </c>
      <c r="I203" t="n">
        <v>0</v>
      </c>
      <c r="J203" t="n">
        <v>0</v>
      </c>
      <c r="K203">
        <f>IF(H203-I203-J203&gt;0,H203-I203-J203,0)</f>
        <v/>
      </c>
      <c r="L203" s="1">
        <f>IFERROR(I203*E203,0)</f>
        <v/>
      </c>
      <c r="M203" s="1">
        <f>IFERROR(K203*E203,0)</f>
        <v/>
      </c>
    </row>
    <row r="204">
      <c r="A204" t="inlineStr">
        <is>
          <t>MFP5001104</t>
        </is>
      </c>
      <c r="B204" t="inlineStr">
        <is>
          <t>MAXFLO 500/150/10 P c/w 1,10KW 4P 380V</t>
        </is>
      </c>
      <c r="C204" t="inlineStr"/>
      <c r="D204" t="inlineStr">
        <is>
          <t>FM - DONKIN</t>
        </is>
      </c>
      <c r="E204" s="1" t="n">
        <v>0</v>
      </c>
      <c r="F204" t="n">
        <v>1</v>
      </c>
      <c r="G204" t="n">
        <v>0</v>
      </c>
      <c r="H204" t="n">
        <v>2</v>
      </c>
      <c r="I204" t="n">
        <v>0</v>
      </c>
      <c r="J204" t="n">
        <v>0</v>
      </c>
      <c r="K204">
        <f>IF(H204-I204-J204&gt;0,H204-I204-J204,0)</f>
        <v/>
      </c>
      <c r="L204" s="1">
        <f>IFERROR(I204*E204,0)</f>
        <v/>
      </c>
      <c r="M204" s="1">
        <f>IFERROR(K204*E204,0)</f>
        <v/>
      </c>
    </row>
    <row r="205">
      <c r="A205" t="inlineStr">
        <is>
          <t>MFP5001504</t>
        </is>
      </c>
      <c r="B205" t="inlineStr">
        <is>
          <t>MAXFLO 500/150/10 P c/w 1,50KW 4P 380V</t>
        </is>
      </c>
      <c r="C205" t="inlineStr"/>
      <c r="D205" t="inlineStr">
        <is>
          <t>FM - DONKIN</t>
        </is>
      </c>
      <c r="E205" s="1" t="n">
        <v>0</v>
      </c>
      <c r="F205" t="n">
        <v>1</v>
      </c>
      <c r="G205" t="n">
        <v>0</v>
      </c>
      <c r="H205" t="n">
        <v>2</v>
      </c>
      <c r="I205" t="n">
        <v>0</v>
      </c>
      <c r="J205" t="n">
        <v>0</v>
      </c>
      <c r="K205">
        <f>IF(H205-I205-J205&gt;0,H205-I205-J205,0)</f>
        <v/>
      </c>
      <c r="L205" s="1">
        <f>IFERROR(I205*E205,0)</f>
        <v/>
      </c>
      <c r="M205" s="1">
        <f>IFERROR(K205*E205,0)</f>
        <v/>
      </c>
    </row>
    <row r="206">
      <c r="A206" t="inlineStr">
        <is>
          <t>MFP5002202</t>
        </is>
      </c>
      <c r="B206" t="inlineStr">
        <is>
          <t>MAXFLO 500/150/10 P c/w 2,20KW 2P 380V</t>
        </is>
      </c>
      <c r="C206" t="inlineStr">
        <is>
          <t>Air Speration</t>
        </is>
      </c>
      <c r="D206" t="inlineStr">
        <is>
          <t>FM - DONKIN</t>
        </is>
      </c>
      <c r="E206" s="1" t="n">
        <v>6487.29</v>
      </c>
      <c r="F206" t="n">
        <v>1</v>
      </c>
      <c r="G206" t="n">
        <v>0</v>
      </c>
      <c r="H206" t="n">
        <v>2</v>
      </c>
      <c r="I206" t="n">
        <v>0</v>
      </c>
      <c r="J206" t="n">
        <v>0</v>
      </c>
      <c r="K206">
        <f>IF(H206-I206-J206&gt;0,H206-I206-J206,0)</f>
        <v/>
      </c>
      <c r="L206" s="1">
        <f>IFERROR(I206*E206,0)</f>
        <v/>
      </c>
      <c r="M206" s="1">
        <f>IFERROR(K206*E206,0)</f>
        <v/>
      </c>
    </row>
    <row r="207">
      <c r="A207" t="inlineStr">
        <is>
          <t>MFP5004002</t>
        </is>
      </c>
      <c r="B207" t="inlineStr">
        <is>
          <t>MAXFLO 500/150/10 P c/w 4,00KW 2P 380V</t>
        </is>
      </c>
      <c r="C207" t="inlineStr">
        <is>
          <t>Centrifab (Pty) Ltd</t>
        </is>
      </c>
      <c r="D207" t="inlineStr">
        <is>
          <t>FM - DONKIN</t>
        </is>
      </c>
      <c r="E207" s="1" t="n">
        <v>8039</v>
      </c>
      <c r="F207" t="n">
        <v>2</v>
      </c>
      <c r="G207" t="n">
        <v>0</v>
      </c>
      <c r="H207" t="n">
        <v>10</v>
      </c>
      <c r="I207" t="n">
        <v>0</v>
      </c>
      <c r="J207" t="n">
        <v>0</v>
      </c>
      <c r="K207">
        <f>IF(H207-I207-J207&gt;0,H207-I207-J207,0)</f>
        <v/>
      </c>
      <c r="L207" s="1">
        <f>IFERROR(I207*E207,0)</f>
        <v/>
      </c>
      <c r="M207" s="1">
        <f>IFERROR(K207*E207,0)</f>
        <v/>
      </c>
    </row>
    <row r="208">
      <c r="A208" t="inlineStr">
        <is>
          <t>MFP9002204</t>
        </is>
      </c>
      <c r="B208" t="inlineStr">
        <is>
          <t>MAXFLO 900/250/14 P c/w 2,20KW 4P 380V</t>
        </is>
      </c>
      <c r="C208" t="inlineStr"/>
      <c r="D208" t="inlineStr">
        <is>
          <t>FM - DONKIN</t>
        </is>
      </c>
      <c r="E208" s="1" t="n">
        <v>0</v>
      </c>
      <c r="F208" t="n">
        <v>1</v>
      </c>
      <c r="G208" t="n">
        <v>0</v>
      </c>
      <c r="H208" t="n">
        <v>2</v>
      </c>
      <c r="I208" t="n">
        <v>0</v>
      </c>
      <c r="J208" t="n">
        <v>0</v>
      </c>
      <c r="K208">
        <f>IF(H208-I208-J208&gt;0,H208-I208-J208,0)</f>
        <v/>
      </c>
      <c r="L208" s="1">
        <f>IFERROR(I208*E208,0)</f>
        <v/>
      </c>
      <c r="M208" s="1">
        <f>IFERROR(K208*E208,0)</f>
        <v/>
      </c>
    </row>
    <row r="209">
      <c r="A209" t="inlineStr">
        <is>
          <t>MFP9004004</t>
        </is>
      </c>
      <c r="B209" t="inlineStr">
        <is>
          <t>MAXFLO 900/250/14 P c/w 4,00KW 4P 380V</t>
        </is>
      </c>
      <c r="C209" t="inlineStr"/>
      <c r="D209" t="inlineStr">
        <is>
          <t>FM - DONKIN</t>
        </is>
      </c>
      <c r="E209" s="1" t="n">
        <v>0</v>
      </c>
      <c r="F209" t="n">
        <v>1</v>
      </c>
      <c r="G209" t="n">
        <v>0</v>
      </c>
      <c r="H209" t="n">
        <v>2</v>
      </c>
      <c r="I209" t="n">
        <v>0</v>
      </c>
      <c r="J209" t="n">
        <v>0</v>
      </c>
      <c r="K209">
        <f>IF(H209-I209-J209&gt;0,H209-I209-J209,0)</f>
        <v/>
      </c>
      <c r="L209" s="1">
        <f>IFERROR(I209*E209,0)</f>
        <v/>
      </c>
      <c r="M209" s="1">
        <f>IFERROR(K209*E209,0)</f>
        <v/>
      </c>
    </row>
    <row r="210">
      <c r="A210" t="inlineStr">
        <is>
          <t>MFP9005504</t>
        </is>
      </c>
      <c r="B210" t="inlineStr">
        <is>
          <t>MAXFLO 900/250/14 P c/w 5,50KW 4P 380V</t>
        </is>
      </c>
      <c r="C210" t="inlineStr"/>
      <c r="D210" t="inlineStr">
        <is>
          <t>FM - DONKIN</t>
        </is>
      </c>
      <c r="E210" s="1" t="n">
        <v>0</v>
      </c>
      <c r="F210" t="n">
        <v>1</v>
      </c>
      <c r="G210" t="n">
        <v>0</v>
      </c>
      <c r="H210" t="n">
        <v>2</v>
      </c>
      <c r="I210" t="n">
        <v>0</v>
      </c>
      <c r="J210" t="n">
        <v>0</v>
      </c>
      <c r="K210">
        <f>IF(H210-I210-J210&gt;0,H210-I210-J210,0)</f>
        <v/>
      </c>
      <c r="L210" s="1">
        <f>IFERROR(I210*E210,0)</f>
        <v/>
      </c>
      <c r="M210" s="1">
        <f>IFERROR(K210*E210,0)</f>
        <v/>
      </c>
    </row>
    <row r="211">
      <c r="A211" t="inlineStr">
        <is>
          <t>MFPY5600374</t>
        </is>
      </c>
      <c r="B211" t="inlineStr">
        <is>
          <t>MAXFLO 560/150/10 P c/w 0,37KW 4P 380V</t>
        </is>
      </c>
      <c r="C211" t="inlineStr"/>
      <c r="D211" t="inlineStr">
        <is>
          <t>FM - DONKIN</t>
        </is>
      </c>
      <c r="E211" s="1" t="n">
        <v>0</v>
      </c>
      <c r="F211" t="n">
        <v>1</v>
      </c>
      <c r="G211" t="n">
        <v>0</v>
      </c>
      <c r="H211" t="n">
        <v>2</v>
      </c>
      <c r="I211" t="n">
        <v>0</v>
      </c>
      <c r="J211" t="n">
        <v>0</v>
      </c>
      <c r="K211">
        <f>IF(H211-I211-J211&gt;0,H211-I211-J211,0)</f>
        <v/>
      </c>
      <c r="L211" s="1">
        <f>IFERROR(I211*E211,0)</f>
        <v/>
      </c>
      <c r="M211" s="1">
        <f>IFERROR(K211*E211,0)</f>
        <v/>
      </c>
    </row>
    <row r="212">
      <c r="A212" t="inlineStr">
        <is>
          <t>MFPY5600554</t>
        </is>
      </c>
      <c r="B212" t="inlineStr">
        <is>
          <t>MAXFLO 560/150/10 P c/w 0,55KW 4P 380V</t>
        </is>
      </c>
      <c r="C212" t="inlineStr">
        <is>
          <t>Air Speration</t>
        </is>
      </c>
      <c r="D212" t="inlineStr">
        <is>
          <t>FM - DONKIN</t>
        </is>
      </c>
      <c r="E212" s="1" t="n">
        <v>5138.69</v>
      </c>
      <c r="F212" t="n">
        <v>1</v>
      </c>
      <c r="G212" t="n">
        <v>0</v>
      </c>
      <c r="H212" t="n">
        <v>2</v>
      </c>
      <c r="I212" t="n">
        <v>0</v>
      </c>
      <c r="J212" t="n">
        <v>0</v>
      </c>
      <c r="K212">
        <f>IF(H212-I212-J212&gt;0,H212-I212-J212,0)</f>
        <v/>
      </c>
      <c r="L212" s="1">
        <f>IFERROR(I212*E212,0)</f>
        <v/>
      </c>
      <c r="M212" s="1">
        <f>IFERROR(K212*E212,0)</f>
        <v/>
      </c>
    </row>
    <row r="213">
      <c r="A213" t="inlineStr">
        <is>
          <t>MFPY5600754</t>
        </is>
      </c>
      <c r="B213" t="inlineStr">
        <is>
          <t>MAXFLO 560/150/10 P c/w 0,75KW 4P 380V</t>
        </is>
      </c>
      <c r="C213" t="inlineStr">
        <is>
          <t>Centrifab (Pty) Ltd</t>
        </is>
      </c>
      <c r="D213" t="inlineStr">
        <is>
          <t>FM - DONKIN</t>
        </is>
      </c>
      <c r="E213" s="1" t="n">
        <v>3606.45</v>
      </c>
      <c r="F213" t="n">
        <v>1</v>
      </c>
      <c r="G213" t="n">
        <v>0</v>
      </c>
      <c r="H213" t="n">
        <v>2</v>
      </c>
      <c r="I213" t="n">
        <v>0</v>
      </c>
      <c r="J213" t="n">
        <v>0</v>
      </c>
      <c r="K213">
        <f>IF(H213-I213-J213&gt;0,H213-I213-J213,0)</f>
        <v/>
      </c>
      <c r="L213" s="1">
        <f>IFERROR(I213*E213,0)</f>
        <v/>
      </c>
      <c r="M213" s="1">
        <f>IFERROR(K213*E213,0)</f>
        <v/>
      </c>
    </row>
    <row r="214">
      <c r="A214" t="inlineStr">
        <is>
          <t>MFPY5601104</t>
        </is>
      </c>
      <c r="B214" t="inlineStr">
        <is>
          <t>MAXFLO 560/150/10 P c/w 1,10KW 4P 380V</t>
        </is>
      </c>
      <c r="C214" t="inlineStr">
        <is>
          <t>Air Speration</t>
        </is>
      </c>
      <c r="D214" t="inlineStr">
        <is>
          <t>FM - DONKIN</t>
        </is>
      </c>
      <c r="E214" s="1" t="n">
        <v>5419</v>
      </c>
      <c r="F214" t="n">
        <v>1</v>
      </c>
      <c r="G214" t="n">
        <v>0</v>
      </c>
      <c r="H214" t="n">
        <v>3</v>
      </c>
      <c r="I214" t="n">
        <v>0</v>
      </c>
      <c r="J214" t="n">
        <v>0</v>
      </c>
      <c r="K214">
        <f>IF(H214-I214-J214&gt;0,H214-I214-J214,0)</f>
        <v/>
      </c>
      <c r="L214" s="1">
        <f>IFERROR(I214*E214,0)</f>
        <v/>
      </c>
      <c r="M214" s="1">
        <f>IFERROR(K214*E214,0)</f>
        <v/>
      </c>
    </row>
    <row r="215">
      <c r="A215" t="inlineStr">
        <is>
          <t>MFPY6300554</t>
        </is>
      </c>
      <c r="B215" t="inlineStr">
        <is>
          <t>MAXFLO 630/150/10 P c/w 0,55KW 4P 380V</t>
        </is>
      </c>
      <c r="C215" t="inlineStr"/>
      <c r="D215" t="inlineStr">
        <is>
          <t>FM - DONKIN</t>
        </is>
      </c>
      <c r="E215" s="1" t="n">
        <v>0</v>
      </c>
      <c r="F215" t="n">
        <v>1</v>
      </c>
      <c r="G215" t="n">
        <v>0</v>
      </c>
      <c r="H215" t="n">
        <v>5</v>
      </c>
      <c r="I215" t="n">
        <v>0</v>
      </c>
      <c r="J215" t="n">
        <v>0</v>
      </c>
      <c r="K215">
        <f>IF(H215-I215-J215&gt;0,H215-I215-J215,0)</f>
        <v/>
      </c>
      <c r="L215" s="1">
        <f>IFERROR(I215*E215,0)</f>
        <v/>
      </c>
      <c r="M215" s="1">
        <f>IFERROR(K215*E215,0)</f>
        <v/>
      </c>
    </row>
    <row r="216">
      <c r="A216" t="inlineStr">
        <is>
          <t>MFPY6300754</t>
        </is>
      </c>
      <c r="B216" t="inlineStr">
        <is>
          <t>MAXFLO 630/150/10 P c/w 0,75KW 4P 380V</t>
        </is>
      </c>
      <c r="C216" t="inlineStr">
        <is>
          <t>Air Speration</t>
        </is>
      </c>
      <c r="D216" t="inlineStr">
        <is>
          <t>FM - DONKIN</t>
        </is>
      </c>
      <c r="E216" s="1" t="n">
        <v>5978.54</v>
      </c>
      <c r="F216" t="n">
        <v>2</v>
      </c>
      <c r="G216" t="n">
        <v>0</v>
      </c>
      <c r="H216" t="n">
        <v>4</v>
      </c>
      <c r="I216" t="n">
        <v>0</v>
      </c>
      <c r="J216" t="n">
        <v>0</v>
      </c>
      <c r="K216">
        <f>IF(H216-I216-J216&gt;0,H216-I216-J216,0)</f>
        <v/>
      </c>
      <c r="L216" s="1">
        <f>IFERROR(I216*E216,0)</f>
        <v/>
      </c>
      <c r="M216" s="1">
        <f>IFERROR(K216*E216,0)</f>
        <v/>
      </c>
    </row>
    <row r="217">
      <c r="A217" t="inlineStr">
        <is>
          <t>MFPY6301104</t>
        </is>
      </c>
      <c r="B217" t="inlineStr">
        <is>
          <t>MAXFLO 630/150/10 P c/w 1,10KW 4P 380V</t>
        </is>
      </c>
      <c r="C217" t="inlineStr">
        <is>
          <t>Centrifab (Pty) Ltd</t>
        </is>
      </c>
      <c r="D217" t="inlineStr">
        <is>
          <t>FM - DONKIN</t>
        </is>
      </c>
      <c r="E217" s="1" t="n">
        <v>5809.2</v>
      </c>
      <c r="F217" t="n">
        <v>1</v>
      </c>
      <c r="G217" t="n">
        <v>0</v>
      </c>
      <c r="H217" t="n">
        <v>5</v>
      </c>
      <c r="I217" t="n">
        <v>0</v>
      </c>
      <c r="J217" t="n">
        <v>0</v>
      </c>
      <c r="K217">
        <f>IF(H217-I217-J217&gt;0,H217-I217-J217,0)</f>
        <v/>
      </c>
      <c r="L217" s="1">
        <f>IFERROR(I217*E217,0)</f>
        <v/>
      </c>
      <c r="M217" s="1">
        <f>IFERROR(K217*E217,0)</f>
        <v/>
      </c>
    </row>
    <row r="218">
      <c r="A218" t="inlineStr">
        <is>
          <t>MFPY6302204</t>
        </is>
      </c>
      <c r="B218" t="inlineStr">
        <is>
          <t>MAXFLO 630/150/10 P c/w 2,20KW 4P 380V</t>
        </is>
      </c>
      <c r="C218" t="inlineStr"/>
      <c r="D218" t="inlineStr">
        <is>
          <t>FM - DONKIN</t>
        </is>
      </c>
      <c r="E218" s="1" t="n">
        <v>0</v>
      </c>
      <c r="F218" t="n">
        <v>2</v>
      </c>
      <c r="G218" t="n">
        <v>0</v>
      </c>
      <c r="H218" t="n">
        <v>8</v>
      </c>
      <c r="I218" t="n">
        <v>0</v>
      </c>
      <c r="J218" t="n">
        <v>0</v>
      </c>
      <c r="K218">
        <f>IF(H218-I218-J218&gt;0,H218-I218-J218,0)</f>
        <v/>
      </c>
      <c r="L218" s="1">
        <f>IFERROR(I218*E218,0)</f>
        <v/>
      </c>
      <c r="M218" s="1">
        <f>IFERROR(K218*E218,0)</f>
        <v/>
      </c>
    </row>
    <row r="219">
      <c r="A219" t="inlineStr">
        <is>
          <t>MFPY6303004</t>
        </is>
      </c>
      <c r="B219" t="inlineStr">
        <is>
          <t>MAXFLO 630/150/10 P c/w 3,00KW 4P 380V</t>
        </is>
      </c>
      <c r="C219" t="inlineStr"/>
      <c r="D219" t="inlineStr">
        <is>
          <t>FM - DONKIN</t>
        </is>
      </c>
      <c r="E219" s="1" t="n">
        <v>0</v>
      </c>
      <c r="F219" t="n">
        <v>1</v>
      </c>
      <c r="G219" t="n">
        <v>0</v>
      </c>
      <c r="H219" t="n">
        <v>2</v>
      </c>
      <c r="I219" t="n">
        <v>0</v>
      </c>
      <c r="J219" t="n">
        <v>0</v>
      </c>
      <c r="K219">
        <f>IF(H219-I219-J219&gt;0,H219-I219-J219,0)</f>
        <v/>
      </c>
      <c r="L219" s="1">
        <f>IFERROR(I219*E219,0)</f>
        <v/>
      </c>
      <c r="M219" s="1">
        <f>IFERROR(K219*E219,0)</f>
        <v/>
      </c>
    </row>
    <row r="220">
      <c r="A220" t="inlineStr">
        <is>
          <t>MFPY7101104</t>
        </is>
      </c>
      <c r="B220" t="inlineStr">
        <is>
          <t>MAXFLO 710/150/10 P c/w 1,10KW 4P 380V</t>
        </is>
      </c>
      <c r="C220" t="inlineStr"/>
      <c r="D220" t="inlineStr">
        <is>
          <t>FM - DONKIN</t>
        </is>
      </c>
      <c r="E220" s="1" t="n">
        <v>0</v>
      </c>
      <c r="F220" t="n">
        <v>1</v>
      </c>
      <c r="G220" t="n">
        <v>0</v>
      </c>
      <c r="H220" t="n">
        <v>5</v>
      </c>
      <c r="I220" t="n">
        <v>0</v>
      </c>
      <c r="J220" t="n">
        <v>0</v>
      </c>
      <c r="K220">
        <f>IF(H220-I220-J220&gt;0,H220-I220-J220,0)</f>
        <v/>
      </c>
      <c r="L220" s="1">
        <f>IFERROR(I220*E220,0)</f>
        <v/>
      </c>
      <c r="M220" s="1">
        <f>IFERROR(K220*E220,0)</f>
        <v/>
      </c>
    </row>
    <row r="221">
      <c r="A221" t="inlineStr">
        <is>
          <t>MFPY7102204</t>
        </is>
      </c>
      <c r="B221" t="inlineStr">
        <is>
          <t>MAXFLO 710/150/10 P c/w 2,20KW 4P 380V</t>
        </is>
      </c>
      <c r="C221" t="inlineStr"/>
      <c r="D221" t="inlineStr">
        <is>
          <t>FM - DONKIN</t>
        </is>
      </c>
      <c r="E221" s="1" t="n">
        <v>0</v>
      </c>
      <c r="F221" t="n">
        <v>1</v>
      </c>
      <c r="G221" t="n">
        <v>0</v>
      </c>
      <c r="H221" t="n">
        <v>2</v>
      </c>
      <c r="I221" t="n">
        <v>0</v>
      </c>
      <c r="J221" t="n">
        <v>0</v>
      </c>
      <c r="K221">
        <f>IF(H221-I221-J221&gt;0,H221-I221-J221,0)</f>
        <v/>
      </c>
      <c r="L221" s="1">
        <f>IFERROR(I221*E221,0)</f>
        <v/>
      </c>
      <c r="M221" s="1">
        <f>IFERROR(K221*E221,0)</f>
        <v/>
      </c>
    </row>
    <row r="222">
      <c r="A222" t="inlineStr">
        <is>
          <t>MFPY7104004</t>
        </is>
      </c>
      <c r="B222" t="inlineStr">
        <is>
          <t>MAXFLO 710/150/10 P c/w 4,00KW 4P 380V</t>
        </is>
      </c>
      <c r="C222" t="inlineStr"/>
      <c r="D222" t="inlineStr">
        <is>
          <t>FM - DONKIN</t>
        </is>
      </c>
      <c r="E222" s="1" t="n">
        <v>0</v>
      </c>
      <c r="F222" t="n">
        <v>1</v>
      </c>
      <c r="G222" t="n">
        <v>0</v>
      </c>
      <c r="H222" t="n">
        <v>2</v>
      </c>
      <c r="I222" t="n">
        <v>0</v>
      </c>
      <c r="J222" t="n">
        <v>0</v>
      </c>
      <c r="K222">
        <f>IF(H222-I222-J222&gt;0,H222-I222-J222,0)</f>
        <v/>
      </c>
      <c r="L222" s="1">
        <f>IFERROR(I222*E222,0)</f>
        <v/>
      </c>
      <c r="M222" s="1">
        <f>IFERROR(K222*E222,0)</f>
        <v/>
      </c>
    </row>
    <row r="223">
      <c r="A223" t="inlineStr">
        <is>
          <t>MFPY8003004</t>
        </is>
      </c>
      <c r="B223" t="inlineStr">
        <is>
          <t>MAXFLO 800/150/10 P c/w 3,00KW 4P 380V</t>
        </is>
      </c>
      <c r="C223" t="inlineStr"/>
      <c r="D223" t="inlineStr">
        <is>
          <t>FM - DONKIN</t>
        </is>
      </c>
      <c r="E223" s="1" t="n">
        <v>0</v>
      </c>
      <c r="F223" t="n">
        <v>1</v>
      </c>
      <c r="G223" t="n">
        <v>0</v>
      </c>
      <c r="H223" t="n">
        <v>2</v>
      </c>
      <c r="I223" t="n">
        <v>0</v>
      </c>
      <c r="J223" t="n">
        <v>0</v>
      </c>
      <c r="K223">
        <f>IF(H223-I223-J223&gt;0,H223-I223-J223,0)</f>
        <v/>
      </c>
      <c r="L223" s="1">
        <f>IFERROR(I223*E223,0)</f>
        <v/>
      </c>
      <c r="M223" s="1">
        <f>IFERROR(K223*E223,0)</f>
        <v/>
      </c>
    </row>
    <row r="224">
      <c r="A224" t="inlineStr">
        <is>
          <t>MFPY8005504</t>
        </is>
      </c>
      <c r="B224" t="inlineStr">
        <is>
          <t>MAXFLO 800/150/10 P c/w 5,50KW 4P 380V</t>
        </is>
      </c>
      <c r="C224" t="inlineStr"/>
      <c r="D224" t="inlineStr">
        <is>
          <t>FM - DONKIN</t>
        </is>
      </c>
      <c r="E224" s="1" t="n">
        <v>0</v>
      </c>
      <c r="F224" t="n">
        <v>1</v>
      </c>
      <c r="G224" t="n">
        <v>0</v>
      </c>
      <c r="H224" t="n">
        <v>2</v>
      </c>
      <c r="I224" t="n">
        <v>0</v>
      </c>
      <c r="J224" t="n">
        <v>0</v>
      </c>
      <c r="K224">
        <f>IF(H224-I224-J224&gt;0,H224-I224-J224,0)</f>
        <v/>
      </c>
      <c r="L224" s="1">
        <f>IFERROR(I224*E224,0)</f>
        <v/>
      </c>
      <c r="M224" s="1">
        <f>IFERROR(K224*E224,0)</f>
        <v/>
      </c>
    </row>
    <row r="225">
      <c r="A225" t="inlineStr">
        <is>
          <t>MFPZ5600554</t>
        </is>
      </c>
      <c r="B225" t="inlineStr">
        <is>
          <t>MAXFLO 560/250/14 P c/w 0,55KW 4P 380V</t>
        </is>
      </c>
      <c r="C225" t="inlineStr">
        <is>
          <t>Air Speration</t>
        </is>
      </c>
      <c r="D225" t="inlineStr">
        <is>
          <t>FM - DONKIN</t>
        </is>
      </c>
      <c r="E225" s="1" t="n">
        <v>5219.33</v>
      </c>
      <c r="F225" t="n">
        <v>1</v>
      </c>
      <c r="G225" t="n">
        <v>0</v>
      </c>
      <c r="H225" t="n">
        <v>3</v>
      </c>
      <c r="I225" t="n">
        <v>0</v>
      </c>
      <c r="J225" t="n">
        <v>0</v>
      </c>
      <c r="K225">
        <f>IF(H225-I225-J225&gt;0,H225-I225-J225,0)</f>
        <v/>
      </c>
      <c r="L225" s="1">
        <f>IFERROR(I225*E225,0)</f>
        <v/>
      </c>
      <c r="M225" s="1">
        <f>IFERROR(K225*E225,0)</f>
        <v/>
      </c>
    </row>
    <row r="226">
      <c r="A226" t="inlineStr">
        <is>
          <t>MFPZ5600556</t>
        </is>
      </c>
      <c r="B226" t="inlineStr">
        <is>
          <t>MAXFLO 560/250/14 P c/w 0,55KW 6P 380V</t>
        </is>
      </c>
      <c r="C226" t="inlineStr"/>
      <c r="D226" t="inlineStr">
        <is>
          <t>FM - DONKIN</t>
        </is>
      </c>
      <c r="E226" s="1" t="n">
        <v>0</v>
      </c>
      <c r="F226" t="n">
        <v>1</v>
      </c>
      <c r="G226" t="n">
        <v>0</v>
      </c>
      <c r="H226" t="n">
        <v>2</v>
      </c>
      <c r="I226" t="n">
        <v>0</v>
      </c>
      <c r="J226" t="n">
        <v>0</v>
      </c>
      <c r="K226">
        <f>IF(H226-I226-J226&gt;0,H226-I226-J226,0)</f>
        <v/>
      </c>
      <c r="L226" s="1">
        <f>IFERROR(I226*E226,0)</f>
        <v/>
      </c>
      <c r="M226" s="1">
        <f>IFERROR(K226*E226,0)</f>
        <v/>
      </c>
    </row>
    <row r="227">
      <c r="A227" t="inlineStr">
        <is>
          <t>MFPZ5600754</t>
        </is>
      </c>
      <c r="B227" t="inlineStr">
        <is>
          <t>MAXFLO 560/250/14 P c/w 0,75KW 4P 380V</t>
        </is>
      </c>
      <c r="C227" t="inlineStr">
        <is>
          <t>Air Speration</t>
        </is>
      </c>
      <c r="D227" t="inlineStr">
        <is>
          <t>FM - DONKIN</t>
        </is>
      </c>
      <c r="E227" s="1" t="n">
        <v>5355.45</v>
      </c>
      <c r="F227" t="n">
        <v>1</v>
      </c>
      <c r="G227" t="n">
        <v>0</v>
      </c>
      <c r="H227" t="n">
        <v>3</v>
      </c>
      <c r="I227" t="n">
        <v>0</v>
      </c>
      <c r="J227" t="n">
        <v>0</v>
      </c>
      <c r="K227">
        <f>IF(H227-I227-J227&gt;0,H227-I227-J227,0)</f>
        <v/>
      </c>
      <c r="L227" s="1">
        <f>IFERROR(I227*E227,0)</f>
        <v/>
      </c>
      <c r="M227" s="1">
        <f>IFERROR(K227*E227,0)</f>
        <v/>
      </c>
    </row>
    <row r="228">
      <c r="A228" t="inlineStr">
        <is>
          <t>MFPZ5601104</t>
        </is>
      </c>
      <c r="B228" t="inlineStr">
        <is>
          <t>MAXFLO 560/250/14 P c/w 1,10KW 4P 380V</t>
        </is>
      </c>
      <c r="C228" t="inlineStr">
        <is>
          <t>Air Speration</t>
        </is>
      </c>
      <c r="D228" t="inlineStr">
        <is>
          <t>FM - DONKIN</t>
        </is>
      </c>
      <c r="E228" s="1" t="n">
        <v>5601</v>
      </c>
      <c r="F228" t="n">
        <v>2</v>
      </c>
      <c r="G228" t="n">
        <v>0</v>
      </c>
      <c r="H228" t="n">
        <v>4</v>
      </c>
      <c r="I228" t="n">
        <v>0</v>
      </c>
      <c r="J228" t="n">
        <v>0</v>
      </c>
      <c r="K228">
        <f>IF(H228-I228-J228&gt;0,H228-I228-J228,0)</f>
        <v/>
      </c>
      <c r="L228" s="1">
        <f>IFERROR(I228*E228,0)</f>
        <v/>
      </c>
      <c r="M228" s="1">
        <f>IFERROR(K228*E228,0)</f>
        <v/>
      </c>
    </row>
    <row r="229">
      <c r="A229" t="inlineStr">
        <is>
          <t>MFPZ5601504</t>
        </is>
      </c>
      <c r="B229" t="inlineStr">
        <is>
          <t>MAXFLO 560/250/14 P c/w 1,50KW 4P 380V</t>
        </is>
      </c>
      <c r="C229" t="inlineStr"/>
      <c r="D229" t="inlineStr">
        <is>
          <t>FM - DONKIN</t>
        </is>
      </c>
      <c r="E229" s="1" t="n">
        <v>0</v>
      </c>
      <c r="F229" t="n">
        <v>1</v>
      </c>
      <c r="G229" t="n">
        <v>0</v>
      </c>
      <c r="H229" t="n">
        <v>2</v>
      </c>
      <c r="I229" t="n">
        <v>0</v>
      </c>
      <c r="J229" t="n">
        <v>0</v>
      </c>
      <c r="K229">
        <f>IF(H229-I229-J229&gt;0,H229-I229-J229,0)</f>
        <v/>
      </c>
      <c r="L229" s="1">
        <f>IFERROR(I229*E229,0)</f>
        <v/>
      </c>
      <c r="M229" s="1">
        <f>IFERROR(K229*E229,0)</f>
        <v/>
      </c>
    </row>
    <row r="230">
      <c r="A230" t="inlineStr">
        <is>
          <t>MFPZ5602202</t>
        </is>
      </c>
      <c r="B230" t="inlineStr">
        <is>
          <t>MAXFLO 560/250/14 P c/w 2,20KW 2P 380V</t>
        </is>
      </c>
      <c r="C230" t="inlineStr"/>
      <c r="D230" t="inlineStr">
        <is>
          <t>FM - DONKIN</t>
        </is>
      </c>
      <c r="E230" s="1" t="n">
        <v>0</v>
      </c>
      <c r="F230" t="n">
        <v>1</v>
      </c>
      <c r="G230" t="n">
        <v>0</v>
      </c>
      <c r="H230" t="n">
        <v>2</v>
      </c>
      <c r="I230" t="n">
        <v>0</v>
      </c>
      <c r="J230" t="n">
        <v>0</v>
      </c>
      <c r="K230">
        <f>IF(H230-I230-J230&gt;0,H230-I230-J230,0)</f>
        <v/>
      </c>
      <c r="L230" s="1">
        <f>IFERROR(I230*E230,0)</f>
        <v/>
      </c>
      <c r="M230" s="1">
        <f>IFERROR(K230*E230,0)</f>
        <v/>
      </c>
    </row>
    <row r="231">
      <c r="A231" t="inlineStr">
        <is>
          <t>MFPZ6300554</t>
        </is>
      </c>
      <c r="B231" t="inlineStr">
        <is>
          <t>MAXFLO 630/250/14 P c/w 0,55KW 4P 380V</t>
        </is>
      </c>
      <c r="C231" t="inlineStr">
        <is>
          <t>Centrifab (Pty) Ltd</t>
        </is>
      </c>
      <c r="D231" t="inlineStr">
        <is>
          <t>FM - DONKIN</t>
        </is>
      </c>
      <c r="E231" s="1" t="n">
        <v>2032.3</v>
      </c>
      <c r="F231" t="n">
        <v>1</v>
      </c>
      <c r="G231" t="n">
        <v>0</v>
      </c>
      <c r="H231" t="n">
        <v>3</v>
      </c>
      <c r="I231" t="n">
        <v>0</v>
      </c>
      <c r="J231" t="n">
        <v>0</v>
      </c>
      <c r="K231">
        <f>IF(H231-I231-J231&gt;0,H231-I231-J231,0)</f>
        <v/>
      </c>
      <c r="L231" s="1">
        <f>IFERROR(I231*E231,0)</f>
        <v/>
      </c>
      <c r="M231" s="1">
        <f>IFERROR(K231*E231,0)</f>
        <v/>
      </c>
    </row>
    <row r="232">
      <c r="A232" t="inlineStr">
        <is>
          <t>MFPZ6300754</t>
        </is>
      </c>
      <c r="B232" t="inlineStr">
        <is>
          <t>MAXFLO 630/250/14 P c/w 0,75KW 4P 380V</t>
        </is>
      </c>
      <c r="C232" t="inlineStr"/>
      <c r="D232" t="inlineStr">
        <is>
          <t>FM - DONKIN</t>
        </is>
      </c>
      <c r="E232" s="1" t="n">
        <v>0</v>
      </c>
      <c r="F232" t="n">
        <v>2</v>
      </c>
      <c r="G232" t="n">
        <v>0</v>
      </c>
      <c r="H232" t="n">
        <v>10</v>
      </c>
      <c r="I232" t="n">
        <v>0</v>
      </c>
      <c r="J232" t="n">
        <v>0</v>
      </c>
      <c r="K232">
        <f>IF(H232-I232-J232&gt;0,H232-I232-J232,0)</f>
        <v/>
      </c>
      <c r="L232" s="1">
        <f>IFERROR(I232*E232,0)</f>
        <v/>
      </c>
      <c r="M232" s="1">
        <f>IFERROR(K232*E232,0)</f>
        <v/>
      </c>
    </row>
    <row r="233">
      <c r="A233" t="inlineStr">
        <is>
          <t>MFPZ6301104</t>
        </is>
      </c>
      <c r="B233" t="inlineStr">
        <is>
          <t>MAXFLO 630/250/14 P c/w 1,10KW 4P 380V</t>
        </is>
      </c>
      <c r="C233" t="inlineStr">
        <is>
          <t>Air Speration</t>
        </is>
      </c>
      <c r="D233" t="inlineStr">
        <is>
          <t>FM - DONKIN</t>
        </is>
      </c>
      <c r="E233" s="1" t="n">
        <v>2032.3</v>
      </c>
      <c r="F233" t="n">
        <v>1</v>
      </c>
      <c r="G233" t="n">
        <v>0</v>
      </c>
      <c r="H233" t="n">
        <v>2</v>
      </c>
      <c r="I233" t="n">
        <v>0</v>
      </c>
      <c r="J233" t="n">
        <v>0</v>
      </c>
      <c r="K233">
        <f>IF(H233-I233-J233&gt;0,H233-I233-J233,0)</f>
        <v/>
      </c>
      <c r="L233" s="1">
        <f>IFERROR(I233*E233,0)</f>
        <v/>
      </c>
      <c r="M233" s="1">
        <f>IFERROR(K233*E233,0)</f>
        <v/>
      </c>
    </row>
    <row r="234">
      <c r="A234" t="inlineStr">
        <is>
          <t>MFPZ6301504</t>
        </is>
      </c>
      <c r="B234" t="inlineStr">
        <is>
          <t>MAXFLO 630/250/14 P c/w 1,50KW 4P 380V</t>
        </is>
      </c>
      <c r="C234" t="inlineStr"/>
      <c r="D234" t="inlineStr">
        <is>
          <t>FM - DONKIN</t>
        </is>
      </c>
      <c r="E234" s="1" t="n">
        <v>0</v>
      </c>
      <c r="F234" t="n">
        <v>1</v>
      </c>
      <c r="G234" t="n">
        <v>0</v>
      </c>
      <c r="H234" t="n">
        <v>5</v>
      </c>
      <c r="I234" t="n">
        <v>0</v>
      </c>
      <c r="J234" t="n">
        <v>0</v>
      </c>
      <c r="K234">
        <f>IF(H234-I234-J234&gt;0,H234-I234-J234,0)</f>
        <v/>
      </c>
      <c r="L234" s="1">
        <f>IFERROR(I234*E234,0)</f>
        <v/>
      </c>
      <c r="M234" s="1">
        <f>IFERROR(K234*E234,0)</f>
        <v/>
      </c>
    </row>
    <row r="235">
      <c r="A235" t="inlineStr">
        <is>
          <t>MFPZ6302204</t>
        </is>
      </c>
      <c r="B235" t="inlineStr">
        <is>
          <t>MAXFLO 630/250/14 P c/w 2,20KW 4P 380V</t>
        </is>
      </c>
      <c r="C235" t="inlineStr"/>
      <c r="D235" t="inlineStr">
        <is>
          <t>FM - DONKIN</t>
        </is>
      </c>
      <c r="E235" s="1" t="n">
        <v>0</v>
      </c>
      <c r="F235" t="n">
        <v>1</v>
      </c>
      <c r="G235" t="n">
        <v>0</v>
      </c>
      <c r="H235" t="n">
        <v>2</v>
      </c>
      <c r="I235" t="n">
        <v>0</v>
      </c>
      <c r="J235" t="n">
        <v>0</v>
      </c>
      <c r="K235">
        <f>IF(H235-I235-J235&gt;0,H235-I235-J235,0)</f>
        <v/>
      </c>
      <c r="L235" s="1">
        <f>IFERROR(I235*E235,0)</f>
        <v/>
      </c>
      <c r="M235" s="1">
        <f>IFERROR(K235*E235,0)</f>
        <v/>
      </c>
    </row>
    <row r="236">
      <c r="A236" t="inlineStr">
        <is>
          <t>MFPZ6303004</t>
        </is>
      </c>
      <c r="B236" t="inlineStr">
        <is>
          <t>MAXFLO 630/250/14 P c/w 3,00KW 4P 380V</t>
        </is>
      </c>
      <c r="C236" t="inlineStr">
        <is>
          <t>Centrifab (Pty) Ltd</t>
        </is>
      </c>
      <c r="D236" t="inlineStr">
        <is>
          <t>FM - DONKIN</t>
        </is>
      </c>
      <c r="E236" s="1" t="n">
        <v>6348.78</v>
      </c>
      <c r="F236" t="n">
        <v>2</v>
      </c>
      <c r="G236" t="n">
        <v>0</v>
      </c>
      <c r="H236" t="n">
        <v>4</v>
      </c>
      <c r="I236" t="n">
        <v>0</v>
      </c>
      <c r="J236" t="n">
        <v>0</v>
      </c>
      <c r="K236">
        <f>IF(H236-I236-J236&gt;0,H236-I236-J236,0)</f>
        <v/>
      </c>
      <c r="L236" s="1">
        <f>IFERROR(I236*E236,0)</f>
        <v/>
      </c>
      <c r="M236" s="1">
        <f>IFERROR(K236*E236,0)</f>
        <v/>
      </c>
    </row>
    <row r="237">
      <c r="A237" t="inlineStr">
        <is>
          <t>MFPZ7101504</t>
        </is>
      </c>
      <c r="B237" t="inlineStr">
        <is>
          <t>MAXFLO 710/250/14 P c/w 1,50KW 4P 380V</t>
        </is>
      </c>
      <c r="C237" t="inlineStr">
        <is>
          <t>Air Speration</t>
        </is>
      </c>
      <c r="D237" t="inlineStr">
        <is>
          <t>FM - DONKIN</t>
        </is>
      </c>
      <c r="E237" s="1" t="n">
        <v>6479.3</v>
      </c>
      <c r="F237" t="n">
        <v>1</v>
      </c>
      <c r="G237" t="n">
        <v>0</v>
      </c>
      <c r="H237" t="n">
        <v>2</v>
      </c>
      <c r="I237" t="n">
        <v>0</v>
      </c>
      <c r="J237" t="n">
        <v>0</v>
      </c>
      <c r="K237">
        <f>IF(H237-I237-J237&gt;0,H237-I237-J237,0)</f>
        <v/>
      </c>
      <c r="L237" s="1">
        <f>IFERROR(I237*E237,0)</f>
        <v/>
      </c>
      <c r="M237" s="1">
        <f>IFERROR(K237*E237,0)</f>
        <v/>
      </c>
    </row>
    <row r="238">
      <c r="A238" t="inlineStr">
        <is>
          <t>MFPZ7103004</t>
        </is>
      </c>
      <c r="B238" t="inlineStr">
        <is>
          <t>MAXFLO 710/250/14 P c/w 3,00KW 4P 380V</t>
        </is>
      </c>
      <c r="C238" t="inlineStr"/>
      <c r="D238" t="inlineStr">
        <is>
          <t>FM - DONKIN</t>
        </is>
      </c>
      <c r="E238" s="1" t="n">
        <v>0</v>
      </c>
      <c r="F238" t="n">
        <v>1</v>
      </c>
      <c r="G238" t="n">
        <v>0</v>
      </c>
      <c r="H238" t="n">
        <v>2</v>
      </c>
      <c r="I238" t="n">
        <v>0</v>
      </c>
      <c r="J238" t="n">
        <v>0</v>
      </c>
      <c r="K238">
        <f>IF(H238-I238-J238&gt;0,H238-I238-J238,0)</f>
        <v/>
      </c>
      <c r="L238" s="1">
        <f>IFERROR(I238*E238,0)</f>
        <v/>
      </c>
      <c r="M238" s="1">
        <f>IFERROR(K238*E238,0)</f>
        <v/>
      </c>
    </row>
    <row r="239">
      <c r="A239" t="inlineStr">
        <is>
          <t>MFPZ7104004</t>
        </is>
      </c>
      <c r="B239" t="inlineStr">
        <is>
          <t>MAXFLO 710/250/14 P c/w 4,00KW 4P 380V</t>
        </is>
      </c>
      <c r="C239" t="inlineStr"/>
      <c r="D239" t="inlineStr">
        <is>
          <t>FM - DONKIN</t>
        </is>
      </c>
      <c r="E239" s="1" t="n">
        <v>0</v>
      </c>
      <c r="F239" t="n">
        <v>1</v>
      </c>
      <c r="G239" t="n">
        <v>0</v>
      </c>
      <c r="H239" t="n">
        <v>2</v>
      </c>
      <c r="I239" t="n">
        <v>0</v>
      </c>
      <c r="J239" t="n">
        <v>0</v>
      </c>
      <c r="K239">
        <f>IF(H239-I239-J239&gt;0,H239-I239-J239,0)</f>
        <v/>
      </c>
      <c r="L239" s="1">
        <f>IFERROR(I239*E239,0)</f>
        <v/>
      </c>
      <c r="M239" s="1">
        <f>IFERROR(K239*E239,0)</f>
        <v/>
      </c>
    </row>
    <row r="240">
      <c r="A240" t="inlineStr">
        <is>
          <t>MFPZ8002204</t>
        </is>
      </c>
      <c r="B240" t="inlineStr">
        <is>
          <t>MAXFLO 800/250/14 P c/w 2,20KW 4P 380V</t>
        </is>
      </c>
      <c r="C240" t="inlineStr">
        <is>
          <t>Air Speration</t>
        </is>
      </c>
      <c r="D240" t="inlineStr">
        <is>
          <t>FM - DONKIN</t>
        </is>
      </c>
      <c r="E240" s="1" t="n">
        <v>8203</v>
      </c>
      <c r="F240" t="n">
        <v>1</v>
      </c>
      <c r="G240" t="n">
        <v>0</v>
      </c>
      <c r="H240" t="n">
        <v>2</v>
      </c>
      <c r="I240" t="n">
        <v>0</v>
      </c>
      <c r="J240" t="n">
        <v>0</v>
      </c>
      <c r="K240">
        <f>IF(H240-I240-J240&gt;0,H240-I240-J240,0)</f>
        <v/>
      </c>
      <c r="L240" s="1">
        <f>IFERROR(I240*E240,0)</f>
        <v/>
      </c>
      <c r="M240" s="1">
        <f>IFERROR(K240*E240,0)</f>
        <v/>
      </c>
    </row>
    <row r="241">
      <c r="A241" t="inlineStr">
        <is>
          <t>MFPZ8003004</t>
        </is>
      </c>
      <c r="B241" t="inlineStr">
        <is>
          <t>MAXFLO 800/250/14 P c/w 3,00KW 4P 380V</t>
        </is>
      </c>
      <c r="C241" t="inlineStr"/>
      <c r="D241" t="inlineStr">
        <is>
          <t>FM - DONKIN</t>
        </is>
      </c>
      <c r="E241" s="1" t="n">
        <v>0</v>
      </c>
      <c r="F241" t="n">
        <v>1</v>
      </c>
      <c r="G241" t="n">
        <v>0</v>
      </c>
      <c r="H241" t="n">
        <v>2</v>
      </c>
      <c r="I241" t="n">
        <v>0</v>
      </c>
      <c r="J241" t="n">
        <v>0</v>
      </c>
      <c r="K241">
        <f>IF(H241-I241-J241&gt;0,H241-I241-J241,0)</f>
        <v/>
      </c>
      <c r="L241" s="1">
        <f>IFERROR(I241*E241,0)</f>
        <v/>
      </c>
      <c r="M241" s="1">
        <f>IFERROR(K241*E241,0)</f>
        <v/>
      </c>
    </row>
    <row r="242">
      <c r="A242" t="inlineStr">
        <is>
          <t>MFPZ8004004</t>
        </is>
      </c>
      <c r="B242" t="inlineStr">
        <is>
          <t>MAXFLO 800/250/14 P c/w 4,00KW 4P 380V</t>
        </is>
      </c>
      <c r="C242" t="inlineStr"/>
      <c r="D242" t="inlineStr">
        <is>
          <t>FM - DONKIN</t>
        </is>
      </c>
      <c r="E242" s="1" t="n">
        <v>0</v>
      </c>
      <c r="F242" t="n">
        <v>1</v>
      </c>
      <c r="G242" t="n">
        <v>0</v>
      </c>
      <c r="H242" t="n">
        <v>5</v>
      </c>
      <c r="I242" t="n">
        <v>0</v>
      </c>
      <c r="J242" t="n">
        <v>0</v>
      </c>
      <c r="K242">
        <f>IF(H242-I242-J242&gt;0,H242-I242-J242,0)</f>
        <v/>
      </c>
      <c r="L242" s="1">
        <f>IFERROR(I242*E242,0)</f>
        <v/>
      </c>
      <c r="M242" s="1">
        <f>IFERROR(K242*E242,0)</f>
        <v/>
      </c>
    </row>
    <row r="243">
      <c r="A243" t="inlineStr">
        <is>
          <t>MFPZ8005504</t>
        </is>
      </c>
      <c r="B243" t="inlineStr">
        <is>
          <t>MAXFLO 800/250/14 P c/w 5,50KW 4P 380V</t>
        </is>
      </c>
      <c r="C243" t="inlineStr"/>
      <c r="D243" t="inlineStr">
        <is>
          <t>FM - DONKIN</t>
        </is>
      </c>
      <c r="E243" s="1" t="n">
        <v>0</v>
      </c>
      <c r="F243" t="n">
        <v>1</v>
      </c>
      <c r="G243" t="n">
        <v>0</v>
      </c>
      <c r="H243" t="n">
        <v>2</v>
      </c>
      <c r="I243" t="n">
        <v>0</v>
      </c>
      <c r="J243" t="n">
        <v>0</v>
      </c>
      <c r="K243">
        <f>IF(H243-I243-J243&gt;0,H243-I243-J243,0)</f>
        <v/>
      </c>
      <c r="L243" s="1">
        <f>IFERROR(I243*E243,0)</f>
        <v/>
      </c>
      <c r="M243" s="1">
        <f>IFERROR(K243*E243,0)</f>
        <v/>
      </c>
    </row>
    <row r="244">
      <c r="A244" t="inlineStr">
        <is>
          <t>MH125022004</t>
        </is>
      </c>
      <c r="B244" t="inlineStr">
        <is>
          <t>MFAJAX-3 1250 c/w 22,00KW 4P 380V</t>
        </is>
      </c>
      <c r="C244" t="inlineStr">
        <is>
          <t>Centrifab (Pty) Ltd</t>
        </is>
      </c>
      <c r="D244" t="inlineStr">
        <is>
          <t>FM - DONKIN</t>
        </is>
      </c>
      <c r="E244" s="1" t="n">
        <v>71700</v>
      </c>
      <c r="F244" t="n">
        <v>2</v>
      </c>
      <c r="G244" t="n">
        <v>0</v>
      </c>
      <c r="H244" t="n">
        <v>4</v>
      </c>
      <c r="I244" t="n">
        <v>0</v>
      </c>
      <c r="J244" t="n">
        <v>0</v>
      </c>
      <c r="K244">
        <f>IF(H244-I244-J244&gt;0,H244-I244-J244,0)</f>
        <v/>
      </c>
      <c r="L244" s="1">
        <f>IFERROR(I244*E244,0)</f>
        <v/>
      </c>
      <c r="M244" s="1">
        <f>IFERROR(K244*E244,0)</f>
        <v/>
      </c>
    </row>
    <row r="245">
      <c r="A245" t="inlineStr">
        <is>
          <t>MH125045004</t>
        </is>
      </c>
      <c r="B245" t="inlineStr">
        <is>
          <t>MFAJAX-3 1250 c/w 45,00KW 4P 380V</t>
        </is>
      </c>
      <c r="C245" t="inlineStr">
        <is>
          <t>Air Speration</t>
        </is>
      </c>
      <c r="D245" t="inlineStr">
        <is>
          <t>FM - DONKIN</t>
        </is>
      </c>
      <c r="E245" s="1" t="n">
        <v>61563.24</v>
      </c>
      <c r="F245" t="n">
        <v>1</v>
      </c>
      <c r="G245" t="n">
        <v>0</v>
      </c>
      <c r="H245" t="n">
        <v>5</v>
      </c>
      <c r="I245" t="n">
        <v>0</v>
      </c>
      <c r="J245" t="n">
        <v>0</v>
      </c>
      <c r="K245">
        <f>IF(H245-I245-J245&gt;0,H245-I245-J245,0)</f>
        <v/>
      </c>
      <c r="L245" s="1">
        <f>IFERROR(I245*E245,0)</f>
        <v/>
      </c>
      <c r="M245" s="1">
        <f>IFERROR(K245*E245,0)</f>
        <v/>
      </c>
    </row>
    <row r="246">
      <c r="A246" t="inlineStr">
        <is>
          <t>MS3150552</t>
        </is>
      </c>
      <c r="B246" t="inlineStr">
        <is>
          <t>MAJAX-3 315 c/w 0,55KW 2P 220V</t>
        </is>
      </c>
      <c r="C246" t="inlineStr"/>
      <c r="D246" t="inlineStr">
        <is>
          <t>FM - DONKIN</t>
        </is>
      </c>
      <c r="E246" s="1" t="n">
        <v>0</v>
      </c>
      <c r="F246" t="n">
        <v>1</v>
      </c>
      <c r="G246" t="n">
        <v>0</v>
      </c>
      <c r="H246" t="n">
        <v>2</v>
      </c>
      <c r="I246" t="n">
        <v>0</v>
      </c>
      <c r="J246" t="n">
        <v>0</v>
      </c>
      <c r="K246">
        <f>IF(H246-I246-J246&gt;0,H246-I246-J246,0)</f>
        <v/>
      </c>
      <c r="L246" s="1">
        <f>IFERROR(I246*E246,0)</f>
        <v/>
      </c>
      <c r="M246" s="1">
        <f>IFERROR(K246*E246,0)</f>
        <v/>
      </c>
    </row>
    <row r="247">
      <c r="A247" t="inlineStr">
        <is>
          <t>MS5605502</t>
        </is>
      </c>
      <c r="B247" t="inlineStr">
        <is>
          <t>MAJAX-3 560 c/w 5,50KW 2P 220V</t>
        </is>
      </c>
      <c r="C247" t="inlineStr">
        <is>
          <t>Air Speration</t>
        </is>
      </c>
      <c r="D247" t="inlineStr">
        <is>
          <t>FM - DONKIN</t>
        </is>
      </c>
      <c r="E247" s="1" t="n">
        <v>10432.26</v>
      </c>
      <c r="F247" t="n">
        <v>1</v>
      </c>
      <c r="G247" t="n">
        <v>0</v>
      </c>
      <c r="H247" t="n">
        <v>2</v>
      </c>
      <c r="I247" t="n">
        <v>0</v>
      </c>
      <c r="J247" t="n">
        <v>0</v>
      </c>
      <c r="K247">
        <f>IF(H247-I247-J247&gt;0,H247-I247-J247,0)</f>
        <v/>
      </c>
      <c r="L247" s="1">
        <f>IFERROR(I247*E247,0)</f>
        <v/>
      </c>
      <c r="M247" s="1">
        <f>IFERROR(K247*E247,0)</f>
        <v/>
      </c>
    </row>
    <row r="248">
      <c r="A248" t="inlineStr">
        <is>
          <t>MT100011004</t>
        </is>
      </c>
      <c r="B248" t="inlineStr">
        <is>
          <t>MAJAX-3 1000 c/w 11,00KW 4P 380V</t>
        </is>
      </c>
      <c r="C248" t="inlineStr">
        <is>
          <t>Centrifab (Pty) Ltd</t>
        </is>
      </c>
      <c r="D248" t="inlineStr">
        <is>
          <t>FM - DONKIN</t>
        </is>
      </c>
      <c r="E248" s="1" t="n">
        <v>3940.5</v>
      </c>
      <c r="F248" t="n">
        <v>1</v>
      </c>
      <c r="G248" t="n">
        <v>0</v>
      </c>
      <c r="H248" t="n">
        <v>2</v>
      </c>
      <c r="I248" t="n">
        <v>0</v>
      </c>
      <c r="J248" t="n">
        <v>0</v>
      </c>
      <c r="K248">
        <f>IF(H248-I248-J248&gt;0,H248-I248-J248,0)</f>
        <v/>
      </c>
      <c r="L248" s="1">
        <f>IFERROR(I248*E248,0)</f>
        <v/>
      </c>
      <c r="M248" s="1">
        <f>IFERROR(K248*E248,0)</f>
        <v/>
      </c>
    </row>
    <row r="249">
      <c r="A249" t="inlineStr">
        <is>
          <t>MT100011006</t>
        </is>
      </c>
      <c r="B249" t="inlineStr">
        <is>
          <t>MAJAX-3 1000 c/w 11,00KW 6P 380V</t>
        </is>
      </c>
      <c r="C249" t="inlineStr">
        <is>
          <t>Centrifab (Pty) Ltd</t>
        </is>
      </c>
      <c r="D249" t="inlineStr">
        <is>
          <t>FM - DONKIN</t>
        </is>
      </c>
      <c r="E249" s="1" t="n">
        <v>3940.5</v>
      </c>
      <c r="F249" t="n">
        <v>2</v>
      </c>
      <c r="G249" t="n">
        <v>0</v>
      </c>
      <c r="H249" t="n">
        <v>4</v>
      </c>
      <c r="I249" t="n">
        <v>0</v>
      </c>
      <c r="J249" t="n">
        <v>0</v>
      </c>
      <c r="K249">
        <f>IF(H249-I249-J249&gt;0,H249-I249-J249,0)</f>
        <v/>
      </c>
      <c r="L249" s="1">
        <f>IFERROR(I249*E249,0)</f>
        <v/>
      </c>
      <c r="M249" s="1">
        <f>IFERROR(K249*E249,0)</f>
        <v/>
      </c>
    </row>
    <row r="250">
      <c r="A250" t="inlineStr">
        <is>
          <t>MT100015004</t>
        </is>
      </c>
      <c r="B250" t="inlineStr">
        <is>
          <t>MAJAX-3 1000 c/w 15,00KW 4P 380V</t>
        </is>
      </c>
      <c r="C250" t="inlineStr">
        <is>
          <t>Centrifab (Pty) Ltd</t>
        </is>
      </c>
      <c r="D250" t="inlineStr">
        <is>
          <t>FM - DONKIN</t>
        </is>
      </c>
      <c r="E250" s="1" t="n">
        <v>3940.5</v>
      </c>
      <c r="F250" t="n">
        <v>1</v>
      </c>
      <c r="G250" t="n">
        <v>0</v>
      </c>
      <c r="H250" t="n">
        <v>2</v>
      </c>
      <c r="I250" t="n">
        <v>0</v>
      </c>
      <c r="J250" t="n">
        <v>0</v>
      </c>
      <c r="K250">
        <f>IF(H250-I250-J250&gt;0,H250-I250-J250,0)</f>
        <v/>
      </c>
      <c r="L250" s="1">
        <f>IFERROR(I250*E250,0)</f>
        <v/>
      </c>
      <c r="M250" s="1">
        <f>IFERROR(K250*E250,0)</f>
        <v/>
      </c>
    </row>
    <row r="251">
      <c r="A251" t="inlineStr">
        <is>
          <t>MT100018504</t>
        </is>
      </c>
      <c r="B251" t="inlineStr">
        <is>
          <t>MAJAX-3 1000 c/w 18,50KW 4P 380V</t>
        </is>
      </c>
      <c r="C251" t="inlineStr">
        <is>
          <t>Air Speration</t>
        </is>
      </c>
      <c r="D251" t="inlineStr">
        <is>
          <t>FM - DONKIN</t>
        </is>
      </c>
      <c r="E251" s="1" t="n">
        <v>49784.83</v>
      </c>
      <c r="F251" t="n">
        <v>1</v>
      </c>
      <c r="G251" t="n">
        <v>0</v>
      </c>
      <c r="H251" t="n">
        <v>5</v>
      </c>
      <c r="I251" t="n">
        <v>0</v>
      </c>
      <c r="J251" t="n">
        <v>0</v>
      </c>
      <c r="K251">
        <f>IF(H251-I251-J251&gt;0,H251-I251-J251,0)</f>
        <v/>
      </c>
      <c r="L251" s="1">
        <f>IFERROR(I251*E251,0)</f>
        <v/>
      </c>
      <c r="M251" s="1">
        <f>IFERROR(K251*E251,0)</f>
        <v/>
      </c>
    </row>
    <row r="252">
      <c r="A252" t="inlineStr">
        <is>
          <t>MT100022004</t>
        </is>
      </c>
      <c r="B252" t="inlineStr">
        <is>
          <t>MAJAX-3 1000 c/w 22,00KW 4P 380V</t>
        </is>
      </c>
      <c r="C252" t="inlineStr"/>
      <c r="D252" t="inlineStr">
        <is>
          <t>FM - DONKIN</t>
        </is>
      </c>
      <c r="E252" s="1" t="n">
        <v>0</v>
      </c>
      <c r="F252" t="n">
        <v>1</v>
      </c>
      <c r="G252" t="n">
        <v>0</v>
      </c>
      <c r="H252" t="n">
        <v>2</v>
      </c>
      <c r="I252" t="n">
        <v>0</v>
      </c>
      <c r="J252" t="n">
        <v>0</v>
      </c>
      <c r="K252">
        <f>IF(H252-I252-J252&gt;0,H252-I252-J252,0)</f>
        <v/>
      </c>
      <c r="L252" s="1">
        <f>IFERROR(I252*E252,0)</f>
        <v/>
      </c>
      <c r="M252" s="1">
        <f>IFERROR(K252*E252,0)</f>
        <v/>
      </c>
    </row>
    <row r="253">
      <c r="A253" t="inlineStr">
        <is>
          <t>MT10004004</t>
        </is>
      </c>
      <c r="B253" t="inlineStr">
        <is>
          <t>MAJAX-3 1000 c/w 4,00KW 4P 380V</t>
        </is>
      </c>
      <c r="C253" t="inlineStr">
        <is>
          <t>Centrifab (Pty) Ltd</t>
        </is>
      </c>
      <c r="D253" t="inlineStr">
        <is>
          <t>FM - DONKIN</t>
        </is>
      </c>
      <c r="E253" s="1" t="n">
        <v>9552.190000000001</v>
      </c>
      <c r="F253" t="n">
        <v>2</v>
      </c>
      <c r="G253" t="n">
        <v>0</v>
      </c>
      <c r="H253" t="n">
        <v>4</v>
      </c>
      <c r="I253" t="n">
        <v>0</v>
      </c>
      <c r="J253" t="n">
        <v>0</v>
      </c>
      <c r="K253">
        <f>IF(H253-I253-J253&gt;0,H253-I253-J253,0)</f>
        <v/>
      </c>
      <c r="L253" s="1">
        <f>IFERROR(I253*E253,0)</f>
        <v/>
      </c>
      <c r="M253" s="1">
        <f>IFERROR(K253*E253,0)</f>
        <v/>
      </c>
    </row>
    <row r="254">
      <c r="A254" t="inlineStr">
        <is>
          <t>MT10005504</t>
        </is>
      </c>
      <c r="B254" t="inlineStr">
        <is>
          <t>MAJAX-3 1000 c/w 5,50KW 4P 380V</t>
        </is>
      </c>
      <c r="C254" t="inlineStr">
        <is>
          <t>Air Speration</t>
        </is>
      </c>
      <c r="D254" t="inlineStr">
        <is>
          <t>FM - DONKIN</t>
        </is>
      </c>
      <c r="E254" s="1" t="n">
        <v>13279.03</v>
      </c>
      <c r="F254" t="n">
        <v>1</v>
      </c>
      <c r="G254" t="n">
        <v>0</v>
      </c>
      <c r="H254" t="n">
        <v>2</v>
      </c>
      <c r="I254" t="n">
        <v>0</v>
      </c>
      <c r="J254" t="n">
        <v>0</v>
      </c>
      <c r="K254">
        <f>IF(H254-I254-J254&gt;0,H254-I254-J254,0)</f>
        <v/>
      </c>
      <c r="L254" s="1">
        <f>IFERROR(I254*E254,0)</f>
        <v/>
      </c>
      <c r="M254" s="1">
        <f>IFERROR(K254*E254,0)</f>
        <v/>
      </c>
    </row>
    <row r="255">
      <c r="A255" t="inlineStr">
        <is>
          <t>MT10005506</t>
        </is>
      </c>
      <c r="B255" t="inlineStr">
        <is>
          <t>MAJAX-3 1000 c/w 5,50KW 6P 380V</t>
        </is>
      </c>
      <c r="C255" t="inlineStr">
        <is>
          <t>Centrifab (Pty) Ltd</t>
        </is>
      </c>
      <c r="D255" t="inlineStr">
        <is>
          <t>FM - DONKIN</t>
        </is>
      </c>
      <c r="E255" s="1" t="n">
        <v>16136.44</v>
      </c>
      <c r="F255" t="n">
        <v>2</v>
      </c>
      <c r="G255" t="n">
        <v>0</v>
      </c>
      <c r="H255" t="n">
        <v>4</v>
      </c>
      <c r="I255" t="n">
        <v>0</v>
      </c>
      <c r="J255" t="n">
        <v>0</v>
      </c>
      <c r="K255">
        <f>IF(H255-I255-J255&gt;0,H255-I255-J255,0)</f>
        <v/>
      </c>
      <c r="L255" s="1">
        <f>IFERROR(I255*E255,0)</f>
        <v/>
      </c>
      <c r="M255" s="1">
        <f>IFERROR(K255*E255,0)</f>
        <v/>
      </c>
    </row>
    <row r="256">
      <c r="A256" t="inlineStr">
        <is>
          <t>MT10007504</t>
        </is>
      </c>
      <c r="B256" t="inlineStr">
        <is>
          <t>MAJAX-3 1000 c/w 7,50KW 4P 380V</t>
        </is>
      </c>
      <c r="C256" t="inlineStr"/>
      <c r="D256" t="inlineStr">
        <is>
          <t>FM - DONKIN</t>
        </is>
      </c>
      <c r="E256" s="1" t="n">
        <v>0</v>
      </c>
      <c r="F256" t="n">
        <v>1</v>
      </c>
      <c r="G256" t="n">
        <v>0</v>
      </c>
      <c r="H256" t="n">
        <v>2</v>
      </c>
      <c r="I256" t="n">
        <v>0</v>
      </c>
      <c r="J256" t="n">
        <v>0</v>
      </c>
      <c r="K256">
        <f>IF(H256-I256-J256&gt;0,H256-I256-J256,0)</f>
        <v/>
      </c>
      <c r="L256" s="1">
        <f>IFERROR(I256*E256,0)</f>
        <v/>
      </c>
      <c r="M256" s="1">
        <f>IFERROR(K256*E256,0)</f>
        <v/>
      </c>
    </row>
    <row r="257">
      <c r="A257" t="inlineStr">
        <is>
          <t>MT10007506</t>
        </is>
      </c>
      <c r="B257" t="inlineStr">
        <is>
          <t>MAJAX-3 1000 c/w 7,50KW 6P 380V</t>
        </is>
      </c>
      <c r="C257" t="inlineStr">
        <is>
          <t>Centrifab (Pty) Ltd</t>
        </is>
      </c>
      <c r="D257" t="inlineStr">
        <is>
          <t>FM - DONKIN</t>
        </is>
      </c>
      <c r="E257" s="1" t="n">
        <v>26555</v>
      </c>
      <c r="F257" t="n">
        <v>1</v>
      </c>
      <c r="G257" t="n">
        <v>0</v>
      </c>
      <c r="H257" t="n">
        <v>2</v>
      </c>
      <c r="I257" t="n">
        <v>0</v>
      </c>
      <c r="J257" t="n">
        <v>0</v>
      </c>
      <c r="K257">
        <f>IF(H257-I257-J257&gt;0,H257-I257-J257,0)</f>
        <v/>
      </c>
      <c r="L257" s="1">
        <f>IFERROR(I257*E257,0)</f>
        <v/>
      </c>
      <c r="M257" s="1">
        <f>IFERROR(K257*E257,0)</f>
        <v/>
      </c>
    </row>
    <row r="258">
      <c r="A258" t="inlineStr">
        <is>
          <t>MT3150254</t>
        </is>
      </c>
      <c r="B258" t="inlineStr">
        <is>
          <t>MAJAX-3 315 c/w 0,25KW 4P 380V</t>
        </is>
      </c>
      <c r="C258" t="inlineStr">
        <is>
          <t>Air Speration</t>
        </is>
      </c>
      <c r="D258" t="inlineStr">
        <is>
          <t>FM - DONKIN</t>
        </is>
      </c>
      <c r="E258" s="1" t="n">
        <v>4018.68</v>
      </c>
      <c r="F258" t="n">
        <v>1</v>
      </c>
      <c r="G258" t="n">
        <v>0</v>
      </c>
      <c r="H258" t="n">
        <v>2</v>
      </c>
      <c r="I258" t="n">
        <v>0</v>
      </c>
      <c r="J258" t="n">
        <v>0</v>
      </c>
      <c r="K258">
        <f>IF(H258-I258-J258&gt;0,H258-I258-J258,0)</f>
        <v/>
      </c>
      <c r="L258" s="1">
        <f>IFERROR(I258*E258,0)</f>
        <v/>
      </c>
      <c r="M258" s="1">
        <f>IFERROR(K258*E258,0)</f>
        <v/>
      </c>
    </row>
    <row r="259">
      <c r="A259" t="inlineStr">
        <is>
          <t>MT3150552</t>
        </is>
      </c>
      <c r="B259" t="inlineStr">
        <is>
          <t>MAJAX-3 315 c/w 0,55KW 2P 380V</t>
        </is>
      </c>
      <c r="C259" t="inlineStr">
        <is>
          <t>Air Speration</t>
        </is>
      </c>
      <c r="D259" t="inlineStr">
        <is>
          <t>FM - DONKIN</t>
        </is>
      </c>
      <c r="E259" s="1" t="n">
        <v>4018.68</v>
      </c>
      <c r="F259" t="n">
        <v>1</v>
      </c>
      <c r="G259" t="n">
        <v>0</v>
      </c>
      <c r="H259" t="n">
        <v>4</v>
      </c>
      <c r="I259" t="n">
        <v>0</v>
      </c>
      <c r="J259" t="n">
        <v>0</v>
      </c>
      <c r="K259">
        <f>IF(H259-I259-J259&gt;0,H259-I259-J259,0)</f>
        <v/>
      </c>
      <c r="L259" s="1">
        <f>IFERROR(I259*E259,0)</f>
        <v/>
      </c>
      <c r="M259" s="1">
        <f>IFERROR(K259*E259,0)</f>
        <v/>
      </c>
    </row>
    <row r="260">
      <c r="A260" t="inlineStr">
        <is>
          <t>MT4000186</t>
        </is>
      </c>
      <c r="B260" t="inlineStr">
        <is>
          <t>MAJAX-3 400 c/w 0,18KW 6P 380V</t>
        </is>
      </c>
      <c r="C260" t="inlineStr">
        <is>
          <t>Centrifab (Pty) Ltd</t>
        </is>
      </c>
      <c r="D260" t="inlineStr">
        <is>
          <t>FM - DONKIN</t>
        </is>
      </c>
      <c r="E260" s="1" t="n">
        <v>2180</v>
      </c>
      <c r="F260" t="n">
        <v>2</v>
      </c>
      <c r="G260" t="n">
        <v>0</v>
      </c>
      <c r="H260" t="n">
        <v>6</v>
      </c>
      <c r="I260" t="n">
        <v>0</v>
      </c>
      <c r="J260" t="n">
        <v>0</v>
      </c>
      <c r="K260">
        <f>IF(H260-I260-J260&gt;0,H260-I260-J260,0)</f>
        <v/>
      </c>
      <c r="L260" s="1">
        <f>IFERROR(I260*E260,0)</f>
        <v/>
      </c>
      <c r="M260" s="1">
        <f>IFERROR(K260*E260,0)</f>
        <v/>
      </c>
    </row>
    <row r="261">
      <c r="A261" t="inlineStr">
        <is>
          <t>MT4000254</t>
        </is>
      </c>
      <c r="B261" t="inlineStr">
        <is>
          <t>MAJAX-3 400 c/w 0,25KW 4P 380V</t>
        </is>
      </c>
      <c r="C261" t="inlineStr">
        <is>
          <t>Air Speration</t>
        </is>
      </c>
      <c r="D261" t="inlineStr">
        <is>
          <t>FM - DONKIN</t>
        </is>
      </c>
      <c r="E261" s="1" t="n">
        <v>4808.7</v>
      </c>
      <c r="F261" t="n">
        <v>1</v>
      </c>
      <c r="G261" t="n">
        <v>0</v>
      </c>
      <c r="H261" t="n">
        <v>2</v>
      </c>
      <c r="I261" t="n">
        <v>0</v>
      </c>
      <c r="J261" t="n">
        <v>0</v>
      </c>
      <c r="K261">
        <f>IF(H261-I261-J261&gt;0,H261-I261-J261,0)</f>
        <v/>
      </c>
      <c r="L261" s="1">
        <f>IFERROR(I261*E261,0)</f>
        <v/>
      </c>
      <c r="M261" s="1">
        <f>IFERROR(K261*E261,0)</f>
        <v/>
      </c>
    </row>
    <row r="262">
      <c r="A262" t="inlineStr">
        <is>
          <t>MT4000374</t>
        </is>
      </c>
      <c r="B262" t="inlineStr">
        <is>
          <t>MAJAX-3 400 c/w 0,37KW 4P 380V</t>
        </is>
      </c>
      <c r="C262" t="inlineStr">
        <is>
          <t>Air Speration</t>
        </is>
      </c>
      <c r="D262" t="inlineStr">
        <is>
          <t>FM - DONKIN</t>
        </is>
      </c>
      <c r="E262" s="1" t="n">
        <v>3174.33</v>
      </c>
      <c r="F262" t="n">
        <v>1</v>
      </c>
      <c r="G262" t="n">
        <v>0</v>
      </c>
      <c r="H262" t="n">
        <v>2</v>
      </c>
      <c r="I262" t="n">
        <v>0</v>
      </c>
      <c r="J262" t="n">
        <v>0</v>
      </c>
      <c r="K262">
        <f>IF(H262-I262-J262&gt;0,H262-I262-J262,0)</f>
        <v/>
      </c>
      <c r="L262" s="1">
        <f>IFERROR(I262*E262,0)</f>
        <v/>
      </c>
      <c r="M262" s="1">
        <f>IFERROR(K262*E262,0)</f>
        <v/>
      </c>
    </row>
    <row r="263">
      <c r="A263" t="inlineStr">
        <is>
          <t>MT4000552</t>
        </is>
      </c>
      <c r="B263" t="inlineStr">
        <is>
          <t>MAJAX-3 400 c/w 0,55KW 2P 380V</t>
        </is>
      </c>
      <c r="C263" t="inlineStr">
        <is>
          <t>Air Speration</t>
        </is>
      </c>
      <c r="D263" t="inlineStr">
        <is>
          <t>FM - DONKIN</t>
        </is>
      </c>
      <c r="E263" s="1" t="n">
        <v>4676.31</v>
      </c>
      <c r="F263" t="n">
        <v>1</v>
      </c>
      <c r="G263" t="n">
        <v>0</v>
      </c>
      <c r="H263" t="n">
        <v>4</v>
      </c>
      <c r="I263" t="n">
        <v>0</v>
      </c>
      <c r="J263" t="n">
        <v>0</v>
      </c>
      <c r="K263">
        <f>IF(H263-I263-J263&gt;0,H263-I263-J263,0)</f>
        <v/>
      </c>
      <c r="L263" s="1">
        <f>IFERROR(I263*E263,0)</f>
        <v/>
      </c>
      <c r="M263" s="1">
        <f>IFERROR(K263*E263,0)</f>
        <v/>
      </c>
    </row>
    <row r="264">
      <c r="A264" t="inlineStr">
        <is>
          <t>MT4001102</t>
        </is>
      </c>
      <c r="B264" t="inlineStr">
        <is>
          <t>MAJAX-3 400 c/w 1,10KW 2P 380V</t>
        </is>
      </c>
      <c r="C264" t="inlineStr">
        <is>
          <t>Air Speration</t>
        </is>
      </c>
      <c r="D264" t="inlineStr">
        <is>
          <t>FM - DONKIN</t>
        </is>
      </c>
      <c r="E264" s="1" t="n">
        <v>3834.39</v>
      </c>
      <c r="F264" t="n">
        <v>1</v>
      </c>
      <c r="G264" t="n">
        <v>0</v>
      </c>
      <c r="H264" t="n">
        <v>3</v>
      </c>
      <c r="I264" t="n">
        <v>0</v>
      </c>
      <c r="J264" t="n">
        <v>0</v>
      </c>
      <c r="K264">
        <f>IF(H264-I264-J264&gt;0,H264-I264-J264,0)</f>
        <v/>
      </c>
      <c r="L264" s="1">
        <f>IFERROR(I264*E264,0)</f>
        <v/>
      </c>
      <c r="M264" s="1">
        <f>IFERROR(K264*E264,0)</f>
        <v/>
      </c>
    </row>
    <row r="265">
      <c r="A265" t="inlineStr">
        <is>
          <t>MT4001502</t>
        </is>
      </c>
      <c r="B265" t="inlineStr">
        <is>
          <t>MAJAX-3 400 c/w 1,50KW 2P 380V</t>
        </is>
      </c>
      <c r="C265" t="inlineStr">
        <is>
          <t>Air Speration</t>
        </is>
      </c>
      <c r="D265" t="inlineStr">
        <is>
          <t>FM - DONKIN</t>
        </is>
      </c>
      <c r="E265" s="1" t="n">
        <v>5108.35</v>
      </c>
      <c r="F265" t="n">
        <v>1</v>
      </c>
      <c r="G265" t="n">
        <v>0</v>
      </c>
      <c r="H265" t="n">
        <v>2</v>
      </c>
      <c r="I265" t="n">
        <v>0</v>
      </c>
      <c r="J265" t="n">
        <v>0</v>
      </c>
      <c r="K265">
        <f>IF(H265-I265-J265&gt;0,H265-I265-J265,0)</f>
        <v/>
      </c>
      <c r="L265" s="1">
        <f>IFERROR(I265*E265,0)</f>
        <v/>
      </c>
      <c r="M265" s="1">
        <f>IFERROR(K265*E265,0)</f>
        <v/>
      </c>
    </row>
    <row r="266">
      <c r="A266" t="inlineStr">
        <is>
          <t>MT4002202</t>
        </is>
      </c>
      <c r="B266" t="inlineStr">
        <is>
          <t>MAJAX-3 400 c/w 2,20KW 2P 380V</t>
        </is>
      </c>
      <c r="C266" t="inlineStr">
        <is>
          <t>Air Speration</t>
        </is>
      </c>
      <c r="D266" t="inlineStr">
        <is>
          <t>FM - DONKIN</t>
        </is>
      </c>
      <c r="E266" s="1" t="n">
        <v>5580.89</v>
      </c>
      <c r="F266" t="n">
        <v>1</v>
      </c>
      <c r="G266" t="n">
        <v>0</v>
      </c>
      <c r="H266" t="n">
        <v>5</v>
      </c>
      <c r="I266" t="n">
        <v>0</v>
      </c>
      <c r="J266" t="n">
        <v>0</v>
      </c>
      <c r="K266">
        <f>IF(H266-I266-J266&gt;0,H266-I266-J266,0)</f>
        <v/>
      </c>
      <c r="L266" s="1">
        <f>IFERROR(I266*E266,0)</f>
        <v/>
      </c>
      <c r="M266" s="1">
        <f>IFERROR(K266*E266,0)</f>
        <v/>
      </c>
    </row>
    <row r="267">
      <c r="A267" t="inlineStr">
        <is>
          <t>MT5000186</t>
        </is>
      </c>
      <c r="B267" t="inlineStr">
        <is>
          <t>MAJAX-3 500 c/w 0,18KW 6P 380V</t>
        </is>
      </c>
      <c r="C267" t="inlineStr">
        <is>
          <t>Centrifab (Pty) Ltd</t>
        </is>
      </c>
      <c r="D267" t="inlineStr">
        <is>
          <t>FM - DONKIN</t>
        </is>
      </c>
      <c r="E267" s="1" t="n">
        <v>2180</v>
      </c>
      <c r="F267" t="n">
        <v>2</v>
      </c>
      <c r="G267" t="n">
        <v>0</v>
      </c>
      <c r="H267" t="n">
        <v>4</v>
      </c>
      <c r="I267" t="n">
        <v>0</v>
      </c>
      <c r="J267" t="n">
        <v>0</v>
      </c>
      <c r="K267">
        <f>IF(H267-I267-J267&gt;0,H267-I267-J267,0)</f>
        <v/>
      </c>
      <c r="L267" s="1">
        <f>IFERROR(I267*E267,0)</f>
        <v/>
      </c>
      <c r="M267" s="1">
        <f>IFERROR(K267*E267,0)</f>
        <v/>
      </c>
    </row>
    <row r="268">
      <c r="A268" t="inlineStr">
        <is>
          <t>MT5000254</t>
        </is>
      </c>
      <c r="B268" t="inlineStr">
        <is>
          <t>MAJAX-3 500 c/w 0,25KW 4P 380V</t>
        </is>
      </c>
      <c r="C268" t="inlineStr">
        <is>
          <t>Air Speration</t>
        </is>
      </c>
      <c r="D268" t="inlineStr">
        <is>
          <t>FM - DONKIN</t>
        </is>
      </c>
      <c r="E268" s="1" t="n">
        <v>10392</v>
      </c>
      <c r="F268" t="n">
        <v>1</v>
      </c>
      <c r="G268" t="n">
        <v>0</v>
      </c>
      <c r="H268" t="n">
        <v>2</v>
      </c>
      <c r="I268" t="n">
        <v>0</v>
      </c>
      <c r="J268" t="n">
        <v>0</v>
      </c>
      <c r="K268">
        <f>IF(H268-I268-J268&gt;0,H268-I268-J268,0)</f>
        <v/>
      </c>
      <c r="L268" s="1">
        <f>IFERROR(I268*E268,0)</f>
        <v/>
      </c>
      <c r="M268" s="1">
        <f>IFERROR(K268*E268,0)</f>
        <v/>
      </c>
    </row>
    <row r="269">
      <c r="A269" t="inlineStr">
        <is>
          <t>MT5000374</t>
        </is>
      </c>
      <c r="B269" t="inlineStr">
        <is>
          <t>MAJAX-3 500 c/w 0,37KW 4P 380V</t>
        </is>
      </c>
      <c r="C269" t="inlineStr">
        <is>
          <t>Air Speration</t>
        </is>
      </c>
      <c r="D269" t="inlineStr">
        <is>
          <t>FM - DONKIN</t>
        </is>
      </c>
      <c r="E269" s="1" t="n">
        <v>4963.5</v>
      </c>
      <c r="F269" t="n">
        <v>2</v>
      </c>
      <c r="G269" t="n">
        <v>0</v>
      </c>
      <c r="H269" t="n">
        <v>4</v>
      </c>
      <c r="I269" t="n">
        <v>0</v>
      </c>
      <c r="J269" t="n">
        <v>0</v>
      </c>
      <c r="K269">
        <f>IF(H269-I269-J269&gt;0,H269-I269-J269,0)</f>
        <v/>
      </c>
      <c r="L269" s="1">
        <f>IFERROR(I269*E269,0)</f>
        <v/>
      </c>
      <c r="M269" s="1">
        <f>IFERROR(K269*E269,0)</f>
        <v/>
      </c>
    </row>
    <row r="270">
      <c r="A270" t="inlineStr">
        <is>
          <t>MT5000554</t>
        </is>
      </c>
      <c r="B270" t="inlineStr">
        <is>
          <t>MAJAX-3 500 c/w 0,55KW 4P 380V</t>
        </is>
      </c>
      <c r="C270" t="inlineStr"/>
      <c r="D270" t="inlineStr">
        <is>
          <t>FM - DONKIN</t>
        </is>
      </c>
      <c r="E270" s="1" t="n">
        <v>0</v>
      </c>
      <c r="F270" t="n">
        <v>1</v>
      </c>
      <c r="G270" t="n">
        <v>0</v>
      </c>
      <c r="H270" t="n">
        <v>2</v>
      </c>
      <c r="I270" t="n">
        <v>0</v>
      </c>
      <c r="J270" t="n">
        <v>0</v>
      </c>
      <c r="K270">
        <f>IF(H270-I270-J270&gt;0,H270-I270-J270,0)</f>
        <v/>
      </c>
      <c r="L270" s="1">
        <f>IFERROR(I270*E270,0)</f>
        <v/>
      </c>
      <c r="M270" s="1">
        <f>IFERROR(K270*E270,0)</f>
        <v/>
      </c>
    </row>
    <row r="271">
      <c r="A271" t="inlineStr">
        <is>
          <t>MT5000556</t>
        </is>
      </c>
      <c r="B271" t="inlineStr">
        <is>
          <t>MAJAX-3 500 c/w 0,55KW 6P 380V</t>
        </is>
      </c>
      <c r="C271" t="inlineStr">
        <is>
          <t>Air Speration</t>
        </is>
      </c>
      <c r="D271" t="inlineStr">
        <is>
          <t>FM - DONKIN</t>
        </is>
      </c>
      <c r="E271" s="1" t="n">
        <v>6221.34</v>
      </c>
      <c r="F271" t="n">
        <v>1</v>
      </c>
      <c r="G271" t="n">
        <v>0</v>
      </c>
      <c r="H271" t="n">
        <v>2</v>
      </c>
      <c r="I271" t="n">
        <v>0</v>
      </c>
      <c r="J271" t="n">
        <v>0</v>
      </c>
      <c r="K271">
        <f>IF(H271-I271-J271&gt;0,H271-I271-J271,0)</f>
        <v/>
      </c>
      <c r="L271" s="1">
        <f>IFERROR(I271*E271,0)</f>
        <v/>
      </c>
      <c r="M271" s="1">
        <f>IFERROR(K271*E271,0)</f>
        <v/>
      </c>
    </row>
    <row r="272">
      <c r="A272" t="inlineStr">
        <is>
          <t>MT5000754</t>
        </is>
      </c>
      <c r="B272" t="inlineStr">
        <is>
          <t>MAJAX-3 500 c/w 0,75KW 4P 380V</t>
        </is>
      </c>
      <c r="C272" t="inlineStr"/>
      <c r="D272" t="inlineStr">
        <is>
          <t>FM - DONKIN</t>
        </is>
      </c>
      <c r="E272" s="1" t="n">
        <v>0</v>
      </c>
      <c r="F272" t="n">
        <v>1</v>
      </c>
      <c r="G272" t="n">
        <v>0</v>
      </c>
      <c r="H272" t="n">
        <v>2</v>
      </c>
      <c r="I272" t="n">
        <v>0</v>
      </c>
      <c r="J272" t="n">
        <v>0</v>
      </c>
      <c r="K272">
        <f>IF(H272-I272-J272&gt;0,H272-I272-J272,0)</f>
        <v/>
      </c>
      <c r="L272" s="1">
        <f>IFERROR(I272*E272,0)</f>
        <v/>
      </c>
      <c r="M272" s="1">
        <f>IFERROR(K272*E272,0)</f>
        <v/>
      </c>
    </row>
    <row r="273">
      <c r="A273" t="inlineStr">
        <is>
          <t>MT5001102</t>
        </is>
      </c>
      <c r="B273" t="inlineStr">
        <is>
          <t>MAJAX-3 500 c/w 1,10KW 2P 380V</t>
        </is>
      </c>
      <c r="C273" t="inlineStr">
        <is>
          <t>Air Speration</t>
        </is>
      </c>
      <c r="D273" t="inlineStr">
        <is>
          <t>FM - DONKIN</t>
        </is>
      </c>
      <c r="E273" s="1" t="n">
        <v>11773.24</v>
      </c>
      <c r="F273" t="n">
        <v>1</v>
      </c>
      <c r="G273" t="n">
        <v>0</v>
      </c>
      <c r="H273" t="n">
        <v>2</v>
      </c>
      <c r="I273" t="n">
        <v>0</v>
      </c>
      <c r="J273" t="n">
        <v>0</v>
      </c>
      <c r="K273">
        <f>IF(H273-I273-J273&gt;0,H273-I273-J273,0)</f>
        <v/>
      </c>
      <c r="L273" s="1">
        <f>IFERROR(I273*E273,0)</f>
        <v/>
      </c>
      <c r="M273" s="1">
        <f>IFERROR(K273*E273,0)</f>
        <v/>
      </c>
    </row>
    <row r="274">
      <c r="A274" t="inlineStr">
        <is>
          <t>MT5001104</t>
        </is>
      </c>
      <c r="B274" t="inlineStr">
        <is>
          <t>MAJAX-3 500 c/w 1,10KW 4P 380V</t>
        </is>
      </c>
      <c r="C274" t="inlineStr"/>
      <c r="D274" t="inlineStr">
        <is>
          <t>FM - DONKIN</t>
        </is>
      </c>
      <c r="E274" s="1" t="n">
        <v>0</v>
      </c>
      <c r="F274" t="n">
        <v>2</v>
      </c>
      <c r="G274" t="n">
        <v>0</v>
      </c>
      <c r="H274" t="n">
        <v>8</v>
      </c>
      <c r="I274" t="n">
        <v>0</v>
      </c>
      <c r="J274" t="n">
        <v>0</v>
      </c>
      <c r="K274">
        <f>IF(H274-I274-J274&gt;0,H274-I274-J274,0)</f>
        <v/>
      </c>
      <c r="L274" s="1">
        <f>IFERROR(I274*E274,0)</f>
        <v/>
      </c>
      <c r="M274" s="1">
        <f>IFERROR(K274*E274,0)</f>
        <v/>
      </c>
    </row>
    <row r="275">
      <c r="A275" t="inlineStr">
        <is>
          <t>MT5001502</t>
        </is>
      </c>
      <c r="B275" t="inlineStr">
        <is>
          <t>MAJAX-3 500 c/w 1,50KW 2P 380V</t>
        </is>
      </c>
      <c r="C275" t="inlineStr">
        <is>
          <t>Air Speration</t>
        </is>
      </c>
      <c r="D275" t="inlineStr">
        <is>
          <t>FM - DONKIN</t>
        </is>
      </c>
      <c r="E275" s="1" t="n">
        <v>10969</v>
      </c>
      <c r="F275" t="n">
        <v>1</v>
      </c>
      <c r="G275" t="n">
        <v>0</v>
      </c>
      <c r="H275" t="n">
        <v>2</v>
      </c>
      <c r="I275" t="n">
        <v>0</v>
      </c>
      <c r="J275" t="n">
        <v>0</v>
      </c>
      <c r="K275">
        <f>IF(H275-I275-J275&gt;0,H275-I275-J275,0)</f>
        <v/>
      </c>
      <c r="L275" s="1">
        <f>IFERROR(I275*E275,0)</f>
        <v/>
      </c>
      <c r="M275" s="1">
        <f>IFERROR(K275*E275,0)</f>
        <v/>
      </c>
    </row>
    <row r="276">
      <c r="A276" t="inlineStr">
        <is>
          <t>MT5002202</t>
        </is>
      </c>
      <c r="B276" t="inlineStr">
        <is>
          <t>MAJAX-3 500 c/w 2,20KW 2P 380V</t>
        </is>
      </c>
      <c r="C276" t="inlineStr">
        <is>
          <t>Air Speration</t>
        </is>
      </c>
      <c r="D276" t="inlineStr">
        <is>
          <t>FM - DONKIN</t>
        </is>
      </c>
      <c r="E276" s="1" t="n">
        <v>10607.34</v>
      </c>
      <c r="F276" t="n">
        <v>1</v>
      </c>
      <c r="G276" t="n">
        <v>0</v>
      </c>
      <c r="H276" t="n">
        <v>3</v>
      </c>
      <c r="I276" t="n">
        <v>0</v>
      </c>
      <c r="J276" t="n">
        <v>0</v>
      </c>
      <c r="K276">
        <f>IF(H276-I276-J276&gt;0,H276-I276-J276,0)</f>
        <v/>
      </c>
      <c r="L276" s="1">
        <f>IFERROR(I276*E276,0)</f>
        <v/>
      </c>
      <c r="M276" s="1">
        <f>IFERROR(K276*E276,0)</f>
        <v/>
      </c>
    </row>
    <row r="277">
      <c r="A277" t="inlineStr">
        <is>
          <t>MT5004002</t>
        </is>
      </c>
      <c r="B277" t="inlineStr">
        <is>
          <t>MAJAX-3 500 c/w 4,00KW 2P 380V</t>
        </is>
      </c>
      <c r="C277" t="inlineStr">
        <is>
          <t>Air Speration</t>
        </is>
      </c>
      <c r="D277" t="inlineStr">
        <is>
          <t>FM - DONKIN</t>
        </is>
      </c>
      <c r="E277" s="1" t="n">
        <v>7366</v>
      </c>
      <c r="F277" t="n">
        <v>1</v>
      </c>
      <c r="G277" t="n">
        <v>0</v>
      </c>
      <c r="H277" t="n">
        <v>2</v>
      </c>
      <c r="I277" t="n">
        <v>0</v>
      </c>
      <c r="J277" t="n">
        <v>0</v>
      </c>
      <c r="K277">
        <f>IF(H277-I277-J277&gt;0,H277-I277-J277,0)</f>
        <v/>
      </c>
      <c r="L277" s="1">
        <f>IFERROR(I277*E277,0)</f>
        <v/>
      </c>
      <c r="M277" s="1">
        <f>IFERROR(K277*E277,0)</f>
        <v/>
      </c>
    </row>
    <row r="278">
      <c r="A278" t="inlineStr">
        <is>
          <t>MT5600374</t>
        </is>
      </c>
      <c r="B278" t="inlineStr">
        <is>
          <t>MAJAX-3 560 c/w 0,37KW 4P 380V</t>
        </is>
      </c>
      <c r="C278" t="inlineStr"/>
      <c r="D278" t="inlineStr">
        <is>
          <t>FM - DONKIN</t>
        </is>
      </c>
      <c r="E278" s="1" t="n">
        <v>0</v>
      </c>
      <c r="F278" t="n">
        <v>1</v>
      </c>
      <c r="G278" t="n">
        <v>0</v>
      </c>
      <c r="H278" t="n">
        <v>2</v>
      </c>
      <c r="I278" t="n">
        <v>0</v>
      </c>
      <c r="J278" t="n">
        <v>0</v>
      </c>
      <c r="K278">
        <f>IF(H278-I278-J278&gt;0,H278-I278-J278,0)</f>
        <v/>
      </c>
      <c r="L278" s="1">
        <f>IFERROR(I278*E278,0)</f>
        <v/>
      </c>
      <c r="M278" s="1">
        <f>IFERROR(K278*E278,0)</f>
        <v/>
      </c>
    </row>
    <row r="279">
      <c r="A279" t="inlineStr">
        <is>
          <t>MT5600554</t>
        </is>
      </c>
      <c r="B279" t="inlineStr">
        <is>
          <t>MAJAX-3 560 c/w 0,55KW 4P 380V</t>
        </is>
      </c>
      <c r="C279" t="inlineStr">
        <is>
          <t>Air Speration</t>
        </is>
      </c>
      <c r="D279" t="inlineStr">
        <is>
          <t>FM - DONKIN</t>
        </is>
      </c>
      <c r="E279" s="1" t="n">
        <v>6057.42</v>
      </c>
      <c r="F279" t="n">
        <v>1</v>
      </c>
      <c r="G279" t="n">
        <v>0</v>
      </c>
      <c r="H279" t="n">
        <v>2</v>
      </c>
      <c r="I279" t="n">
        <v>0</v>
      </c>
      <c r="J279" t="n">
        <v>0</v>
      </c>
      <c r="K279">
        <f>IF(H279-I279-J279&gt;0,H279-I279-J279,0)</f>
        <v/>
      </c>
      <c r="L279" s="1">
        <f>IFERROR(I279*E279,0)</f>
        <v/>
      </c>
      <c r="M279" s="1">
        <f>IFERROR(K279*E279,0)</f>
        <v/>
      </c>
    </row>
    <row r="280">
      <c r="A280" t="inlineStr">
        <is>
          <t>MT5600556</t>
        </is>
      </c>
      <c r="B280" t="inlineStr">
        <is>
          <t>MAJAX-3 560 c/w 0,55KW 6P 380V</t>
        </is>
      </c>
      <c r="C280" t="inlineStr">
        <is>
          <t>Air Speration</t>
        </is>
      </c>
      <c r="D280" t="inlineStr">
        <is>
          <t>FM - DONKIN</t>
        </is>
      </c>
      <c r="E280" s="1" t="n">
        <v>518.9400000000001</v>
      </c>
      <c r="F280" t="n">
        <v>1</v>
      </c>
      <c r="G280" t="n">
        <v>0</v>
      </c>
      <c r="H280" t="n">
        <v>2</v>
      </c>
      <c r="I280" t="n">
        <v>0</v>
      </c>
      <c r="J280" t="n">
        <v>0</v>
      </c>
      <c r="K280">
        <f>IF(H280-I280-J280&gt;0,H280-I280-J280,0)</f>
        <v/>
      </c>
      <c r="L280" s="1">
        <f>IFERROR(I280*E280,0)</f>
        <v/>
      </c>
      <c r="M280" s="1">
        <f>IFERROR(K280*E280,0)</f>
        <v/>
      </c>
    </row>
    <row r="281">
      <c r="A281" t="inlineStr">
        <is>
          <t>MT5600754</t>
        </is>
      </c>
      <c r="B281" t="inlineStr">
        <is>
          <t>MAJAX-3 560 c/w 0,75KW 4P 380V</t>
        </is>
      </c>
      <c r="C281" t="inlineStr">
        <is>
          <t>Air Speration</t>
        </is>
      </c>
      <c r="D281" t="inlineStr">
        <is>
          <t>FM - DONKIN</t>
        </is>
      </c>
      <c r="E281" s="1" t="n">
        <v>5649</v>
      </c>
      <c r="F281" t="n">
        <v>1</v>
      </c>
      <c r="G281" t="n">
        <v>0</v>
      </c>
      <c r="H281" t="n">
        <v>2</v>
      </c>
      <c r="I281" t="n">
        <v>0</v>
      </c>
      <c r="J281" t="n">
        <v>0</v>
      </c>
      <c r="K281">
        <f>IF(H281-I281-J281&gt;0,H281-I281-J281,0)</f>
        <v/>
      </c>
      <c r="L281" s="1">
        <f>IFERROR(I281*E281,0)</f>
        <v/>
      </c>
      <c r="M281" s="1">
        <f>IFERROR(K281*E281,0)</f>
        <v/>
      </c>
    </row>
    <row r="282">
      <c r="A282" t="inlineStr">
        <is>
          <t>MT5601104</t>
        </is>
      </c>
      <c r="B282" t="inlineStr">
        <is>
          <t>MAJAX-3 560 c/w 1,10KW 4P 380V</t>
        </is>
      </c>
      <c r="C282" t="inlineStr">
        <is>
          <t>Air Speration</t>
        </is>
      </c>
      <c r="D282" t="inlineStr">
        <is>
          <t>FM - DONKIN</t>
        </is>
      </c>
      <c r="E282" s="1" t="n">
        <v>6230.54</v>
      </c>
      <c r="F282" t="n">
        <v>1</v>
      </c>
      <c r="G282" t="n">
        <v>0</v>
      </c>
      <c r="H282" t="n">
        <v>2</v>
      </c>
      <c r="I282" t="n">
        <v>0</v>
      </c>
      <c r="J282" t="n">
        <v>0</v>
      </c>
      <c r="K282">
        <f>IF(H282-I282-J282&gt;0,H282-I282-J282,0)</f>
        <v/>
      </c>
      <c r="L282" s="1">
        <f>IFERROR(I282*E282,0)</f>
        <v/>
      </c>
      <c r="M282" s="1">
        <f>IFERROR(K282*E282,0)</f>
        <v/>
      </c>
    </row>
    <row r="283">
      <c r="A283" t="inlineStr">
        <is>
          <t>MT5601502</t>
        </is>
      </c>
      <c r="B283" t="inlineStr">
        <is>
          <t>MAJAX-3 560 c/w 1,50KW 2P 380V</t>
        </is>
      </c>
      <c r="C283" t="inlineStr">
        <is>
          <t>Centrifab (Pty) Ltd</t>
        </is>
      </c>
      <c r="D283" t="inlineStr">
        <is>
          <t>FM - DONKIN</t>
        </is>
      </c>
      <c r="E283" s="1" t="n">
        <v>6395</v>
      </c>
      <c r="F283" t="n">
        <v>1</v>
      </c>
      <c r="G283" t="n">
        <v>0</v>
      </c>
      <c r="H283" t="n">
        <v>2</v>
      </c>
      <c r="I283" t="n">
        <v>0</v>
      </c>
      <c r="J283" t="n">
        <v>0</v>
      </c>
      <c r="K283">
        <f>IF(H283-I283-J283&gt;0,H283-I283-J283,0)</f>
        <v/>
      </c>
      <c r="L283" s="1">
        <f>IFERROR(I283*E283,0)</f>
        <v/>
      </c>
      <c r="M283" s="1">
        <f>IFERROR(K283*E283,0)</f>
        <v/>
      </c>
    </row>
    <row r="284">
      <c r="A284" t="inlineStr">
        <is>
          <t>MT5601504</t>
        </is>
      </c>
      <c r="B284" t="inlineStr">
        <is>
          <t>MAJAX-3 560 c/w 1,50KW 4P 380V</t>
        </is>
      </c>
      <c r="C284" t="inlineStr">
        <is>
          <t>Centrifab (Pty) Ltd</t>
        </is>
      </c>
      <c r="D284" t="inlineStr">
        <is>
          <t>FM - DONKIN</t>
        </is>
      </c>
      <c r="E284" s="1" t="n">
        <v>7194.67</v>
      </c>
      <c r="F284" t="n">
        <v>1</v>
      </c>
      <c r="G284" t="n">
        <v>0</v>
      </c>
      <c r="H284" t="n">
        <v>2</v>
      </c>
      <c r="I284" t="n">
        <v>0</v>
      </c>
      <c r="J284" t="n">
        <v>0</v>
      </c>
      <c r="K284">
        <f>IF(H284-I284-J284&gt;0,H284-I284-J284,0)</f>
        <v/>
      </c>
      <c r="L284" s="1">
        <f>IFERROR(I284*E284,0)</f>
        <v/>
      </c>
      <c r="M284" s="1">
        <f>IFERROR(K284*E284,0)</f>
        <v/>
      </c>
    </row>
    <row r="285">
      <c r="A285" t="inlineStr">
        <is>
          <t>MT5602202</t>
        </is>
      </c>
      <c r="B285" t="inlineStr">
        <is>
          <t>MAJAX-3 560 c/w 2,20KW 2P 380V</t>
        </is>
      </c>
      <c r="C285" t="inlineStr">
        <is>
          <t>Air Speration</t>
        </is>
      </c>
      <c r="D285" t="inlineStr">
        <is>
          <t>FM - DONKIN</t>
        </is>
      </c>
      <c r="E285" s="1" t="n">
        <v>7167.96</v>
      </c>
      <c r="F285" t="n">
        <v>1</v>
      </c>
      <c r="G285" t="n">
        <v>0</v>
      </c>
      <c r="H285" t="n">
        <v>2</v>
      </c>
      <c r="I285" t="n">
        <v>0</v>
      </c>
      <c r="J285" t="n">
        <v>0</v>
      </c>
      <c r="K285">
        <f>IF(H285-I285-J285&gt;0,H285-I285-J285,0)</f>
        <v/>
      </c>
      <c r="L285" s="1">
        <f>IFERROR(I285*E285,0)</f>
        <v/>
      </c>
      <c r="M285" s="1">
        <f>IFERROR(K285*E285,0)</f>
        <v/>
      </c>
    </row>
    <row r="286">
      <c r="A286" t="inlineStr">
        <is>
          <t>MT5604002</t>
        </is>
      </c>
      <c r="B286" t="inlineStr">
        <is>
          <t>MAJAX-3 560 c/w 4,00KW 2P 380V</t>
        </is>
      </c>
      <c r="C286" t="inlineStr">
        <is>
          <t>Wide Range Engineering (Pty) Ltd</t>
        </is>
      </c>
      <c r="D286" t="inlineStr">
        <is>
          <t>FM - DONKIN</t>
        </is>
      </c>
      <c r="E286" s="1" t="n">
        <v>7876.05</v>
      </c>
      <c r="F286" t="n">
        <v>1</v>
      </c>
      <c r="G286" t="n">
        <v>0</v>
      </c>
      <c r="H286" t="n">
        <v>2</v>
      </c>
      <c r="I286" t="n">
        <v>0</v>
      </c>
      <c r="J286" t="n">
        <v>0</v>
      </c>
      <c r="K286">
        <f>IF(H286-I286-J286&gt;0,H286-I286-J286,0)</f>
        <v/>
      </c>
      <c r="L286" s="1">
        <f>IFERROR(I286*E286,0)</f>
        <v/>
      </c>
      <c r="M286" s="1">
        <f>IFERROR(K286*E286,0)</f>
        <v/>
      </c>
    </row>
    <row r="287">
      <c r="A287" t="inlineStr">
        <is>
          <t>MT6300186</t>
        </is>
      </c>
      <c r="B287" t="inlineStr">
        <is>
          <t>MAJAX-3 630 c/w 0,18KW 6P 380V</t>
        </is>
      </c>
      <c r="C287" t="inlineStr">
        <is>
          <t>Centrifab (Pty) Ltd</t>
        </is>
      </c>
      <c r="D287" t="inlineStr">
        <is>
          <t>FM - DONKIN</t>
        </is>
      </c>
      <c r="E287" s="1" t="n">
        <v>2597.6</v>
      </c>
      <c r="F287" t="n">
        <v>1</v>
      </c>
      <c r="G287" t="n">
        <v>0</v>
      </c>
      <c r="H287" t="n">
        <v>2</v>
      </c>
      <c r="I287" t="n">
        <v>0</v>
      </c>
      <c r="J287" t="n">
        <v>0</v>
      </c>
      <c r="K287">
        <f>IF(H287-I287-J287&gt;0,H287-I287-J287,0)</f>
        <v/>
      </c>
      <c r="L287" s="1">
        <f>IFERROR(I287*E287,0)</f>
        <v/>
      </c>
      <c r="M287" s="1">
        <f>IFERROR(K287*E287,0)</f>
        <v/>
      </c>
    </row>
    <row r="288">
      <c r="A288" t="inlineStr">
        <is>
          <t>MT6300374</t>
        </is>
      </c>
      <c r="B288" t="inlineStr">
        <is>
          <t>MAJAX-3 630 c/w 0,37KW 4P 380V</t>
        </is>
      </c>
      <c r="C288" t="inlineStr"/>
      <c r="D288" t="inlineStr">
        <is>
          <t>FM - DONKIN</t>
        </is>
      </c>
      <c r="E288" s="1" t="n">
        <v>0</v>
      </c>
      <c r="F288" t="n">
        <v>1</v>
      </c>
      <c r="G288" t="n">
        <v>0</v>
      </c>
      <c r="H288" t="n">
        <v>2</v>
      </c>
      <c r="I288" t="n">
        <v>0</v>
      </c>
      <c r="J288" t="n">
        <v>0</v>
      </c>
      <c r="K288">
        <f>IF(H288-I288-J288&gt;0,H288-I288-J288,0)</f>
        <v/>
      </c>
      <c r="L288" s="1">
        <f>IFERROR(I288*E288,0)</f>
        <v/>
      </c>
      <c r="M288" s="1">
        <f>IFERROR(K288*E288,0)</f>
        <v/>
      </c>
    </row>
    <row r="289">
      <c r="A289" t="inlineStr">
        <is>
          <t>MT6300554</t>
        </is>
      </c>
      <c r="B289" t="inlineStr">
        <is>
          <t>MAJAX-3 630 c/w 0,55KW 4P 380V</t>
        </is>
      </c>
      <c r="C289" t="inlineStr">
        <is>
          <t>Centrifab (Pty) Ltd</t>
        </is>
      </c>
      <c r="D289" t="inlineStr">
        <is>
          <t>FM - DONKIN</t>
        </is>
      </c>
      <c r="E289" s="1" t="n">
        <v>2770</v>
      </c>
      <c r="F289" t="n">
        <v>1</v>
      </c>
      <c r="G289" t="n">
        <v>0</v>
      </c>
      <c r="H289" t="n">
        <v>2</v>
      </c>
      <c r="I289" t="n">
        <v>0</v>
      </c>
      <c r="J289" t="n">
        <v>0</v>
      </c>
      <c r="K289">
        <f>IF(H289-I289-J289&gt;0,H289-I289-J289,0)</f>
        <v/>
      </c>
      <c r="L289" s="1">
        <f>IFERROR(I289*E289,0)</f>
        <v/>
      </c>
      <c r="M289" s="1">
        <f>IFERROR(K289*E289,0)</f>
        <v/>
      </c>
    </row>
    <row r="290">
      <c r="A290" t="inlineStr">
        <is>
          <t>MT6300556</t>
        </is>
      </c>
      <c r="B290" t="inlineStr">
        <is>
          <t>MAJAX-3 630 c/w 0,55KW 6P 380V</t>
        </is>
      </c>
      <c r="C290" t="inlineStr">
        <is>
          <t>Centrifab (Pty) Ltd</t>
        </is>
      </c>
      <c r="D290" t="inlineStr">
        <is>
          <t>FM - DONKIN</t>
        </is>
      </c>
      <c r="E290" s="1" t="n">
        <v>6943.86</v>
      </c>
      <c r="F290" t="n">
        <v>1</v>
      </c>
      <c r="G290" t="n">
        <v>0</v>
      </c>
      <c r="H290" t="n">
        <v>3</v>
      </c>
      <c r="I290" t="n">
        <v>0</v>
      </c>
      <c r="J290" t="n">
        <v>0</v>
      </c>
      <c r="K290">
        <f>IF(H290-I290-J290&gt;0,H290-I290-J290,0)</f>
        <v/>
      </c>
      <c r="L290" s="1">
        <f>IFERROR(I290*E290,0)</f>
        <v/>
      </c>
      <c r="M290" s="1">
        <f>IFERROR(K290*E290,0)</f>
        <v/>
      </c>
    </row>
    <row r="291">
      <c r="A291" t="inlineStr">
        <is>
          <t>MT6300754</t>
        </is>
      </c>
      <c r="B291" t="inlineStr">
        <is>
          <t>MAJAX-3 630 c/w 0,75KW 4P 380V</t>
        </is>
      </c>
      <c r="C291" t="inlineStr"/>
      <c r="D291" t="inlineStr">
        <is>
          <t>FM - DONKIN</t>
        </is>
      </c>
      <c r="E291" s="1" t="n">
        <v>0</v>
      </c>
      <c r="F291" t="n">
        <v>1</v>
      </c>
      <c r="G291" t="n">
        <v>0</v>
      </c>
      <c r="H291" t="n">
        <v>2</v>
      </c>
      <c r="I291" t="n">
        <v>0</v>
      </c>
      <c r="J291" t="n">
        <v>0</v>
      </c>
      <c r="K291">
        <f>IF(H291-I291-J291&gt;0,H291-I291-J291,0)</f>
        <v/>
      </c>
      <c r="L291" s="1">
        <f>IFERROR(I291*E291,0)</f>
        <v/>
      </c>
      <c r="M291" s="1">
        <f>IFERROR(K291*E291,0)</f>
        <v/>
      </c>
    </row>
    <row r="292">
      <c r="A292" t="inlineStr">
        <is>
          <t>MT6300756</t>
        </is>
      </c>
      <c r="B292" t="inlineStr">
        <is>
          <t>MAJAX-3 630 c/w 0,75KW 6P 380V</t>
        </is>
      </c>
      <c r="C292" t="inlineStr"/>
      <c r="D292" t="inlineStr">
        <is>
          <t>FM - DONKIN</t>
        </is>
      </c>
      <c r="E292" s="1" t="n">
        <v>0</v>
      </c>
      <c r="F292" t="n">
        <v>1</v>
      </c>
      <c r="G292" t="n">
        <v>0</v>
      </c>
      <c r="H292" t="n">
        <v>2</v>
      </c>
      <c r="I292" t="n">
        <v>0</v>
      </c>
      <c r="J292" t="n">
        <v>0</v>
      </c>
      <c r="K292">
        <f>IF(H292-I292-J292&gt;0,H292-I292-J292,0)</f>
        <v/>
      </c>
      <c r="L292" s="1">
        <f>IFERROR(I292*E292,0)</f>
        <v/>
      </c>
      <c r="M292" s="1">
        <f>IFERROR(K292*E292,0)</f>
        <v/>
      </c>
    </row>
    <row r="293">
      <c r="A293" t="inlineStr">
        <is>
          <t>MT6301104</t>
        </is>
      </c>
      <c r="B293" t="inlineStr">
        <is>
          <t>MAJAX-3 630 c/w 1,10KW 4P 380V</t>
        </is>
      </c>
      <c r="C293" t="inlineStr">
        <is>
          <t>Air Speration</t>
        </is>
      </c>
      <c r="D293" t="inlineStr">
        <is>
          <t>FM - DONKIN</t>
        </is>
      </c>
      <c r="E293" s="1" t="n">
        <v>8466.290000000001</v>
      </c>
      <c r="F293" t="n">
        <v>1</v>
      </c>
      <c r="G293" t="n">
        <v>0</v>
      </c>
      <c r="H293" t="n">
        <v>2</v>
      </c>
      <c r="I293" t="n">
        <v>0</v>
      </c>
      <c r="J293" t="n">
        <v>0</v>
      </c>
      <c r="K293">
        <f>IF(H293-I293-J293&gt;0,H293-I293-J293,0)</f>
        <v/>
      </c>
      <c r="L293" s="1">
        <f>IFERROR(I293*E293,0)</f>
        <v/>
      </c>
      <c r="M293" s="1">
        <f>IFERROR(K293*E293,0)</f>
        <v/>
      </c>
    </row>
    <row r="294">
      <c r="A294" t="inlineStr">
        <is>
          <t>MT6301504</t>
        </is>
      </c>
      <c r="B294" t="inlineStr">
        <is>
          <t>MAJAX-3 630 c/w 1,50KW 4P 380V</t>
        </is>
      </c>
      <c r="C294" t="inlineStr">
        <is>
          <t>Centrifab (Pty) Ltd</t>
        </is>
      </c>
      <c r="D294" t="inlineStr">
        <is>
          <t>FM - DONKIN</t>
        </is>
      </c>
      <c r="E294" s="1" t="n">
        <v>7314.9</v>
      </c>
      <c r="F294" t="n">
        <v>1</v>
      </c>
      <c r="G294" t="n">
        <v>0</v>
      </c>
      <c r="H294" t="n">
        <v>2</v>
      </c>
      <c r="I294" t="n">
        <v>0</v>
      </c>
      <c r="J294" t="n">
        <v>0</v>
      </c>
      <c r="K294">
        <f>IF(H294-I294-J294&gt;0,H294-I294-J294,0)</f>
        <v/>
      </c>
      <c r="L294" s="1">
        <f>IFERROR(I294*E294,0)</f>
        <v/>
      </c>
      <c r="M294" s="1">
        <f>IFERROR(K294*E294,0)</f>
        <v/>
      </c>
    </row>
    <row r="295">
      <c r="A295" t="inlineStr">
        <is>
          <t>MT6302204</t>
        </is>
      </c>
      <c r="B295" t="inlineStr">
        <is>
          <t>MAJAX-3 630 c/w 2,20KW 4P 380V</t>
        </is>
      </c>
      <c r="C295" t="inlineStr"/>
      <c r="D295" t="inlineStr">
        <is>
          <t>FM - DONKIN</t>
        </is>
      </c>
      <c r="E295" s="1" t="n">
        <v>0</v>
      </c>
      <c r="F295" t="n">
        <v>1</v>
      </c>
      <c r="G295" t="n">
        <v>0</v>
      </c>
      <c r="H295" t="n">
        <v>2</v>
      </c>
      <c r="I295" t="n">
        <v>0</v>
      </c>
      <c r="J295" t="n">
        <v>0</v>
      </c>
      <c r="K295">
        <f>IF(H295-I295-J295&gt;0,H295-I295-J295,0)</f>
        <v/>
      </c>
      <c r="L295" s="1">
        <f>IFERROR(I295*E295,0)</f>
        <v/>
      </c>
      <c r="M295" s="1">
        <f>IFERROR(K295*E295,0)</f>
        <v/>
      </c>
    </row>
    <row r="296">
      <c r="A296" t="inlineStr">
        <is>
          <t>MT6303004</t>
        </is>
      </c>
      <c r="B296" t="inlineStr">
        <is>
          <t>MAJAX-3 630 c/w 3,00KW 4P 380V</t>
        </is>
      </c>
      <c r="C296" t="inlineStr"/>
      <c r="D296" t="inlineStr">
        <is>
          <t>FM - DONKIN</t>
        </is>
      </c>
      <c r="E296" s="1" t="n">
        <v>0</v>
      </c>
      <c r="F296" t="n">
        <v>1</v>
      </c>
      <c r="G296" t="n">
        <v>0</v>
      </c>
      <c r="H296" t="n">
        <v>2</v>
      </c>
      <c r="I296" t="n">
        <v>0</v>
      </c>
      <c r="J296" t="n">
        <v>0</v>
      </c>
      <c r="K296">
        <f>IF(H296-I296-J296&gt;0,H296-I296-J296,0)</f>
        <v/>
      </c>
      <c r="L296" s="1">
        <f>IFERROR(I296*E296,0)</f>
        <v/>
      </c>
      <c r="M296" s="1">
        <f>IFERROR(K296*E296,0)</f>
        <v/>
      </c>
    </row>
    <row r="297">
      <c r="A297" t="inlineStr">
        <is>
          <t>MT6305502</t>
        </is>
      </c>
      <c r="B297" t="inlineStr">
        <is>
          <t>MAJAX-3 630 c/w 5,50KW 2P 380V</t>
        </is>
      </c>
      <c r="C297" t="inlineStr">
        <is>
          <t>Centrifab (Pty) Ltd</t>
        </is>
      </c>
      <c r="D297" t="inlineStr">
        <is>
          <t>FM - DONKIN</t>
        </is>
      </c>
      <c r="E297" s="1" t="n">
        <v>2908</v>
      </c>
      <c r="F297" t="n">
        <v>1</v>
      </c>
      <c r="G297" t="n">
        <v>0</v>
      </c>
      <c r="H297" t="n">
        <v>2</v>
      </c>
      <c r="I297" t="n">
        <v>0</v>
      </c>
      <c r="J297" t="n">
        <v>0</v>
      </c>
      <c r="K297">
        <f>IF(H297-I297-J297&gt;0,H297-I297-J297,0)</f>
        <v/>
      </c>
      <c r="L297" s="1">
        <f>IFERROR(I297*E297,0)</f>
        <v/>
      </c>
      <c r="M297" s="1">
        <f>IFERROR(K297*E297,0)</f>
        <v/>
      </c>
    </row>
    <row r="298">
      <c r="A298" t="inlineStr">
        <is>
          <t>MT6307502</t>
        </is>
      </c>
      <c r="B298" t="inlineStr">
        <is>
          <t>MAJAX-3 630 c/w 7,50KW 2P 380V</t>
        </is>
      </c>
      <c r="C298" t="inlineStr">
        <is>
          <t>Air Speration</t>
        </is>
      </c>
      <c r="D298" t="inlineStr">
        <is>
          <t>FM - DONKIN</t>
        </is>
      </c>
      <c r="E298" s="1" t="n">
        <v>11339.2</v>
      </c>
      <c r="F298" t="n">
        <v>1</v>
      </c>
      <c r="G298" t="n">
        <v>0</v>
      </c>
      <c r="H298" t="n">
        <v>3</v>
      </c>
      <c r="I298" t="n">
        <v>0</v>
      </c>
      <c r="J298" t="n">
        <v>0</v>
      </c>
      <c r="K298">
        <f>IF(H298-I298-J298&gt;0,H298-I298-J298,0)</f>
        <v/>
      </c>
      <c r="L298" s="1">
        <f>IFERROR(I298*E298,0)</f>
        <v/>
      </c>
      <c r="M298" s="1">
        <f>IFERROR(K298*E298,0)</f>
        <v/>
      </c>
    </row>
    <row r="299">
      <c r="A299" t="inlineStr">
        <is>
          <t>MT7100554</t>
        </is>
      </c>
      <c r="B299" t="inlineStr">
        <is>
          <t>MAJAX-3 710 c/w 0,55KW 4P 380V</t>
        </is>
      </c>
      <c r="C299" t="inlineStr"/>
      <c r="D299" t="inlineStr">
        <is>
          <t>FM - DONKIN</t>
        </is>
      </c>
      <c r="E299" s="1" t="n">
        <v>0</v>
      </c>
      <c r="F299" t="n">
        <v>1</v>
      </c>
      <c r="G299" t="n">
        <v>0</v>
      </c>
      <c r="H299" t="n">
        <v>2</v>
      </c>
      <c r="I299" t="n">
        <v>0</v>
      </c>
      <c r="J299" t="n">
        <v>0</v>
      </c>
      <c r="K299">
        <f>IF(H299-I299-J299&gt;0,H299-I299-J299,0)</f>
        <v/>
      </c>
      <c r="L299" s="1">
        <f>IFERROR(I299*E299,0)</f>
        <v/>
      </c>
      <c r="M299" s="1">
        <f>IFERROR(K299*E299,0)</f>
        <v/>
      </c>
    </row>
    <row r="300">
      <c r="A300" t="inlineStr">
        <is>
          <t>MT7100754</t>
        </is>
      </c>
      <c r="B300" t="inlineStr">
        <is>
          <t>MAJAX-3 710 c/w 0,75KW 4P 380V</t>
        </is>
      </c>
      <c r="C300" t="inlineStr">
        <is>
          <t>Centrifab (Pty) Ltd</t>
        </is>
      </c>
      <c r="D300" t="inlineStr">
        <is>
          <t>FM - DONKIN</t>
        </is>
      </c>
      <c r="E300" s="1" t="n">
        <v>6492.37</v>
      </c>
      <c r="F300" t="n">
        <v>2</v>
      </c>
      <c r="G300" t="n">
        <v>0</v>
      </c>
      <c r="H300" t="n">
        <v>4</v>
      </c>
      <c r="I300" t="n">
        <v>0</v>
      </c>
      <c r="J300" t="n">
        <v>0</v>
      </c>
      <c r="K300">
        <f>IF(H300-I300-J300&gt;0,H300-I300-J300,0)</f>
        <v/>
      </c>
      <c r="L300" s="1">
        <f>IFERROR(I300*E300,0)</f>
        <v/>
      </c>
      <c r="M300" s="1">
        <f>IFERROR(K300*E300,0)</f>
        <v/>
      </c>
    </row>
    <row r="301">
      <c r="A301" t="inlineStr">
        <is>
          <t>MT7101104</t>
        </is>
      </c>
      <c r="B301" t="inlineStr">
        <is>
          <t>MAJAX-3 710 c/w 1,10KW 4P 380V</t>
        </is>
      </c>
      <c r="C301" t="inlineStr"/>
      <c r="D301" t="inlineStr">
        <is>
          <t>FM - DONKIN</t>
        </is>
      </c>
      <c r="E301" s="1" t="n">
        <v>0</v>
      </c>
      <c r="F301" t="n">
        <v>1</v>
      </c>
      <c r="G301" t="n">
        <v>0</v>
      </c>
      <c r="H301" t="n">
        <v>2</v>
      </c>
      <c r="I301" t="n">
        <v>0</v>
      </c>
      <c r="J301" t="n">
        <v>0</v>
      </c>
      <c r="K301">
        <f>IF(H301-I301-J301&gt;0,H301-I301-J301,0)</f>
        <v/>
      </c>
      <c r="L301" s="1">
        <f>IFERROR(I301*E301,0)</f>
        <v/>
      </c>
      <c r="M301" s="1">
        <f>IFERROR(K301*E301,0)</f>
        <v/>
      </c>
    </row>
    <row r="302">
      <c r="A302" t="inlineStr">
        <is>
          <t>MT7101504</t>
        </is>
      </c>
      <c r="B302" t="inlineStr">
        <is>
          <t>MAJAX-3 710 c/w 1,50KW 4P 380V</t>
        </is>
      </c>
      <c r="C302" t="inlineStr">
        <is>
          <t>Centrifab (Pty) Ltd</t>
        </is>
      </c>
      <c r="D302" t="inlineStr">
        <is>
          <t>FM - DONKIN</t>
        </is>
      </c>
      <c r="E302" s="1" t="n">
        <v>14506</v>
      </c>
      <c r="F302" t="n">
        <v>1</v>
      </c>
      <c r="G302" t="n">
        <v>0</v>
      </c>
      <c r="H302" t="n">
        <v>3</v>
      </c>
      <c r="I302" t="n">
        <v>0</v>
      </c>
      <c r="J302" t="n">
        <v>0</v>
      </c>
      <c r="K302">
        <f>IF(H302-I302-J302&gt;0,H302-I302-J302,0)</f>
        <v/>
      </c>
      <c r="L302" s="1">
        <f>IFERROR(I302*E302,0)</f>
        <v/>
      </c>
      <c r="M302" s="1">
        <f>IFERROR(K302*E302,0)</f>
        <v/>
      </c>
    </row>
    <row r="303">
      <c r="A303" t="inlineStr">
        <is>
          <t>MT7102204</t>
        </is>
      </c>
      <c r="B303" t="inlineStr">
        <is>
          <t>MAJAX-3 710 c/w 2,20KW 4P 380V</t>
        </is>
      </c>
      <c r="C303" t="inlineStr">
        <is>
          <t>Air Speration</t>
        </is>
      </c>
      <c r="D303" t="inlineStr">
        <is>
          <t>FM - DONKIN</t>
        </is>
      </c>
      <c r="E303" s="1" t="n">
        <v>9384.52</v>
      </c>
      <c r="F303" t="n">
        <v>2</v>
      </c>
      <c r="G303" t="n">
        <v>0</v>
      </c>
      <c r="H303" t="n">
        <v>4</v>
      </c>
      <c r="I303" t="n">
        <v>0</v>
      </c>
      <c r="J303" t="n">
        <v>0</v>
      </c>
      <c r="K303">
        <f>IF(H303-I303-J303&gt;0,H303-I303-J303,0)</f>
        <v/>
      </c>
      <c r="L303" s="1">
        <f>IFERROR(I303*E303,0)</f>
        <v/>
      </c>
      <c r="M303" s="1">
        <f>IFERROR(K303*E303,0)</f>
        <v/>
      </c>
    </row>
    <row r="304">
      <c r="A304" t="inlineStr">
        <is>
          <t>MT7103004</t>
        </is>
      </c>
      <c r="B304" t="inlineStr">
        <is>
          <t>MAJAX-3 710 c/w 3,00KW 4P 380V</t>
        </is>
      </c>
      <c r="C304" t="inlineStr"/>
      <c r="D304" t="inlineStr">
        <is>
          <t>FM - DONKIN</t>
        </is>
      </c>
      <c r="E304" s="1" t="n">
        <v>0</v>
      </c>
      <c r="F304" t="n">
        <v>1</v>
      </c>
      <c r="G304" t="n">
        <v>0</v>
      </c>
      <c r="H304" t="n">
        <v>2</v>
      </c>
      <c r="I304" t="n">
        <v>0</v>
      </c>
      <c r="J304" t="n">
        <v>0</v>
      </c>
      <c r="K304">
        <f>IF(H304-I304-J304&gt;0,H304-I304-J304,0)</f>
        <v/>
      </c>
      <c r="L304" s="1">
        <f>IFERROR(I304*E304,0)</f>
        <v/>
      </c>
      <c r="M304" s="1">
        <f>IFERROR(K304*E304,0)</f>
        <v/>
      </c>
    </row>
    <row r="305">
      <c r="A305" t="inlineStr">
        <is>
          <t>MT7104004</t>
        </is>
      </c>
      <c r="B305" t="inlineStr">
        <is>
          <t>MAJAX-3 710 c/w 4,00KW 4P 380V</t>
        </is>
      </c>
      <c r="C305" t="inlineStr"/>
      <c r="D305" t="inlineStr">
        <is>
          <t>FM - DONKIN</t>
        </is>
      </c>
      <c r="E305" s="1" t="n">
        <v>0</v>
      </c>
      <c r="F305" t="n">
        <v>1</v>
      </c>
      <c r="G305" t="n">
        <v>0</v>
      </c>
      <c r="H305" t="n">
        <v>5</v>
      </c>
      <c r="I305" t="n">
        <v>0</v>
      </c>
      <c r="J305" t="n">
        <v>0</v>
      </c>
      <c r="K305">
        <f>IF(H305-I305-J305&gt;0,H305-I305-J305,0)</f>
        <v/>
      </c>
      <c r="L305" s="1">
        <f>IFERROR(I305*E305,0)</f>
        <v/>
      </c>
      <c r="M305" s="1">
        <f>IFERROR(K305*E305,0)</f>
        <v/>
      </c>
    </row>
    <row r="306">
      <c r="A306" t="inlineStr">
        <is>
          <t>MT8000556</t>
        </is>
      </c>
      <c r="B306" t="inlineStr">
        <is>
          <t>MAJAX-3 800 c/w 0,55KW 6P 380V</t>
        </is>
      </c>
      <c r="C306" t="inlineStr"/>
      <c r="D306" t="inlineStr">
        <is>
          <t>FM - DONKIN</t>
        </is>
      </c>
      <c r="E306" s="1" t="n">
        <v>0</v>
      </c>
      <c r="F306" t="n">
        <v>2</v>
      </c>
      <c r="G306" t="n">
        <v>0</v>
      </c>
      <c r="H306" t="n">
        <v>8</v>
      </c>
      <c r="I306" t="n">
        <v>0</v>
      </c>
      <c r="J306" t="n">
        <v>0</v>
      </c>
      <c r="K306">
        <f>IF(H306-I306-J306&gt;0,H306-I306-J306,0)</f>
        <v/>
      </c>
      <c r="L306" s="1">
        <f>IFERROR(I306*E306,0)</f>
        <v/>
      </c>
      <c r="M306" s="1">
        <f>IFERROR(K306*E306,0)</f>
        <v/>
      </c>
    </row>
    <row r="307">
      <c r="A307" t="inlineStr">
        <is>
          <t>MT8001106</t>
        </is>
      </c>
      <c r="B307" t="inlineStr">
        <is>
          <t>MAJAX-3 800 c/w 1,10KW 6P 380V</t>
        </is>
      </c>
      <c r="C307" t="inlineStr"/>
      <c r="D307" t="inlineStr">
        <is>
          <t>FM - DONKIN</t>
        </is>
      </c>
      <c r="E307" s="1" t="n">
        <v>0</v>
      </c>
      <c r="F307" t="n">
        <v>1</v>
      </c>
      <c r="G307" t="n">
        <v>0</v>
      </c>
      <c r="H307" t="n">
        <v>5</v>
      </c>
      <c r="I307" t="n">
        <v>0</v>
      </c>
      <c r="J307" t="n">
        <v>0</v>
      </c>
      <c r="K307">
        <f>IF(H307-I307-J307&gt;0,H307-I307-J307,0)</f>
        <v/>
      </c>
      <c r="L307" s="1">
        <f>IFERROR(I307*E307,0)</f>
        <v/>
      </c>
      <c r="M307" s="1">
        <f>IFERROR(K307*E307,0)</f>
        <v/>
      </c>
    </row>
    <row r="308">
      <c r="A308" t="inlineStr">
        <is>
          <t>MT8002204</t>
        </is>
      </c>
      <c r="B308" t="inlineStr">
        <is>
          <t>MAJAX-3 800 c/w 2,20KW 4P 380V</t>
        </is>
      </c>
      <c r="C308" t="inlineStr">
        <is>
          <t>Centrifab (Pty) Ltd</t>
        </is>
      </c>
      <c r="D308" t="inlineStr">
        <is>
          <t>FM - DONKIN</t>
        </is>
      </c>
      <c r="E308" s="1" t="n">
        <v>7954.28</v>
      </c>
      <c r="F308" t="n">
        <v>1</v>
      </c>
      <c r="G308" t="n">
        <v>0</v>
      </c>
      <c r="H308" t="n">
        <v>3</v>
      </c>
      <c r="I308" t="n">
        <v>0</v>
      </c>
      <c r="J308" t="n">
        <v>0</v>
      </c>
      <c r="K308">
        <f>IF(H308-I308-J308&gt;0,H308-I308-J308,0)</f>
        <v/>
      </c>
      <c r="L308" s="1">
        <f>IFERROR(I308*E308,0)</f>
        <v/>
      </c>
      <c r="M308" s="1">
        <f>IFERROR(K308*E308,0)</f>
        <v/>
      </c>
    </row>
    <row r="309">
      <c r="A309" t="inlineStr">
        <is>
          <t>MT8003004</t>
        </is>
      </c>
      <c r="B309" t="inlineStr">
        <is>
          <t>MAJAX-3 800 c/w 3,00KW 4P 380V</t>
        </is>
      </c>
      <c r="C309" t="inlineStr">
        <is>
          <t>Centrifab (Pty) Ltd</t>
        </is>
      </c>
      <c r="D309" t="inlineStr">
        <is>
          <t>FM - DONKIN</t>
        </is>
      </c>
      <c r="E309" s="1" t="n">
        <v>8741.879999999999</v>
      </c>
      <c r="F309" t="n">
        <v>1</v>
      </c>
      <c r="G309" t="n">
        <v>0</v>
      </c>
      <c r="H309" t="n">
        <v>4</v>
      </c>
      <c r="I309" t="n">
        <v>0</v>
      </c>
      <c r="J309" t="n">
        <v>0</v>
      </c>
      <c r="K309">
        <f>IF(H309-I309-J309&gt;0,H309-I309-J309,0)</f>
        <v/>
      </c>
      <c r="L309" s="1">
        <f>IFERROR(I309*E309,0)</f>
        <v/>
      </c>
      <c r="M309" s="1">
        <f>IFERROR(K309*E309,0)</f>
        <v/>
      </c>
    </row>
    <row r="310">
      <c r="A310" t="inlineStr">
        <is>
          <t>MT8004004</t>
        </is>
      </c>
      <c r="B310" t="inlineStr">
        <is>
          <t>MAJAX-3 800 c/w 4,00KW 4P 380V</t>
        </is>
      </c>
      <c r="C310" t="inlineStr">
        <is>
          <t>Centrifab (Pty) Ltd</t>
        </is>
      </c>
      <c r="D310" t="inlineStr">
        <is>
          <t>FM - DONKIN</t>
        </is>
      </c>
      <c r="E310" s="1" t="n">
        <v>17409.6</v>
      </c>
      <c r="F310" t="n">
        <v>2</v>
      </c>
      <c r="G310" t="n">
        <v>0</v>
      </c>
      <c r="H310" t="n">
        <v>4</v>
      </c>
      <c r="I310" t="n">
        <v>0</v>
      </c>
      <c r="J310" t="n">
        <v>0</v>
      </c>
      <c r="K310">
        <f>IF(H310-I310-J310&gt;0,H310-I310-J310,0)</f>
        <v/>
      </c>
      <c r="L310" s="1">
        <f>IFERROR(I310*E310,0)</f>
        <v/>
      </c>
      <c r="M310" s="1">
        <f>IFERROR(K310*E310,0)</f>
        <v/>
      </c>
    </row>
    <row r="311">
      <c r="A311" t="inlineStr">
        <is>
          <t>MT8005504</t>
        </is>
      </c>
      <c r="B311" t="inlineStr">
        <is>
          <t>MAJAX-3 800 c/w 5,50KW 4P 380V</t>
        </is>
      </c>
      <c r="C311" t="inlineStr">
        <is>
          <t>Centrifab (Pty) Ltd</t>
        </is>
      </c>
      <c r="D311" t="inlineStr">
        <is>
          <t>FM - DONKIN</t>
        </is>
      </c>
      <c r="E311" s="1" t="n">
        <v>12400.02</v>
      </c>
      <c r="F311" t="n">
        <v>1</v>
      </c>
      <c r="G311" t="n">
        <v>0</v>
      </c>
      <c r="H311" t="n">
        <v>3</v>
      </c>
      <c r="I311" t="n">
        <v>0</v>
      </c>
      <c r="J311" t="n">
        <v>0</v>
      </c>
      <c r="K311">
        <f>IF(H311-I311-J311&gt;0,H311-I311-J311,0)</f>
        <v/>
      </c>
      <c r="L311" s="1">
        <f>IFERROR(I311*E311,0)</f>
        <v/>
      </c>
      <c r="M311" s="1">
        <f>IFERROR(K311*E311,0)</f>
        <v/>
      </c>
    </row>
    <row r="312">
      <c r="A312" t="inlineStr">
        <is>
          <t>MT8007504</t>
        </is>
      </c>
      <c r="B312" t="inlineStr">
        <is>
          <t>MAJAX-3 800 c/w 7,50KW 4P 380V</t>
        </is>
      </c>
      <c r="C312" t="inlineStr"/>
      <c r="D312" t="inlineStr">
        <is>
          <t>FM - DONKIN</t>
        </is>
      </c>
      <c r="E312" s="1" t="n">
        <v>0</v>
      </c>
      <c r="F312" t="n">
        <v>1</v>
      </c>
      <c r="G312" t="n">
        <v>0</v>
      </c>
      <c r="H312" t="n">
        <v>2</v>
      </c>
      <c r="I312" t="n">
        <v>0</v>
      </c>
      <c r="J312" t="n">
        <v>0</v>
      </c>
      <c r="K312">
        <f>IF(H312-I312-J312&gt;0,H312-I312-J312,0)</f>
        <v/>
      </c>
      <c r="L312" s="1">
        <f>IFERROR(I312*E312,0)</f>
        <v/>
      </c>
      <c r="M312" s="1">
        <f>IFERROR(K312*E312,0)</f>
        <v/>
      </c>
    </row>
    <row r="313">
      <c r="A313" t="inlineStr">
        <is>
          <t>MT9002204</t>
        </is>
      </c>
      <c r="B313" t="inlineStr">
        <is>
          <t>MAJAX-3 900 c/w 2,20KW 4P 380V</t>
        </is>
      </c>
      <c r="C313" t="inlineStr">
        <is>
          <t>Air Speration</t>
        </is>
      </c>
      <c r="D313" t="inlineStr">
        <is>
          <t>FM - DONKIN</t>
        </is>
      </c>
      <c r="E313" s="1" t="n">
        <v>9327.959999999999</v>
      </c>
      <c r="F313" t="n">
        <v>1</v>
      </c>
      <c r="G313" t="n">
        <v>0</v>
      </c>
      <c r="H313" t="n">
        <v>2</v>
      </c>
      <c r="I313" t="n">
        <v>0</v>
      </c>
      <c r="J313" t="n">
        <v>0</v>
      </c>
      <c r="K313">
        <f>IF(H313-I313-J313&gt;0,H313-I313-J313,0)</f>
        <v/>
      </c>
      <c r="L313" s="1">
        <f>IFERROR(I313*E313,0)</f>
        <v/>
      </c>
      <c r="M313" s="1">
        <f>IFERROR(K313*E313,0)</f>
        <v/>
      </c>
    </row>
    <row r="314">
      <c r="A314" t="inlineStr">
        <is>
          <t>MT9005504</t>
        </is>
      </c>
      <c r="B314" t="inlineStr">
        <is>
          <t>MAJAX-3 900 c/w 5,50KW 4P 380V</t>
        </is>
      </c>
      <c r="C314" t="inlineStr">
        <is>
          <t>Centrifab (Pty) Ltd</t>
        </is>
      </c>
      <c r="D314" t="inlineStr">
        <is>
          <t>FM - DONKIN</t>
        </is>
      </c>
      <c r="E314" s="1" t="n">
        <v>18403.56</v>
      </c>
      <c r="F314" t="n">
        <v>1</v>
      </c>
      <c r="G314" t="n">
        <v>0</v>
      </c>
      <c r="H314" t="n">
        <v>3</v>
      </c>
      <c r="I314" t="n">
        <v>0</v>
      </c>
      <c r="J314" t="n">
        <v>0</v>
      </c>
      <c r="K314">
        <f>IF(H314-I314-J314&gt;0,H314-I314-J314,0)</f>
        <v/>
      </c>
      <c r="L314" s="1">
        <f>IFERROR(I314*E314,0)</f>
        <v/>
      </c>
      <c r="M314" s="1">
        <f>IFERROR(K314*E314,0)</f>
        <v/>
      </c>
    </row>
    <row r="315">
      <c r="A315" t="inlineStr">
        <is>
          <t>MT9005506</t>
        </is>
      </c>
      <c r="B315" t="inlineStr">
        <is>
          <t>MAJAX-3 900 c/w 5,50KW 6P 380V</t>
        </is>
      </c>
      <c r="C315" t="inlineStr"/>
      <c r="D315" t="inlineStr">
        <is>
          <t>FM - DONKIN</t>
        </is>
      </c>
      <c r="E315" s="1" t="n">
        <v>0</v>
      </c>
      <c r="F315" t="n">
        <v>1</v>
      </c>
      <c r="G315" t="n">
        <v>0</v>
      </c>
      <c r="H315" t="n">
        <v>2</v>
      </c>
      <c r="I315" t="n">
        <v>0</v>
      </c>
      <c r="J315" t="n">
        <v>0</v>
      </c>
      <c r="K315">
        <f>IF(H315-I315-J315&gt;0,H315-I315-J315,0)</f>
        <v/>
      </c>
      <c r="L315" s="1">
        <f>IFERROR(I315*E315,0)</f>
        <v/>
      </c>
      <c r="M315" s="1">
        <f>IFERROR(K315*E315,0)</f>
        <v/>
      </c>
    </row>
    <row r="316">
      <c r="A316" t="inlineStr">
        <is>
          <t>NONE</t>
        </is>
      </c>
      <c r="B316" t="inlineStr">
        <is>
          <t>AIRMAX-2.850 WALL MOUNT</t>
        </is>
      </c>
      <c r="C316" t="inlineStr"/>
      <c r="D316" t="inlineStr">
        <is>
          <t>FM - DONKIN</t>
        </is>
      </c>
      <c r="E316" s="1" t="n">
        <v>0</v>
      </c>
      <c r="F316" t="n">
        <v>2</v>
      </c>
      <c r="G316" t="n">
        <v>0</v>
      </c>
      <c r="H316" t="n">
        <v>10</v>
      </c>
      <c r="I316" t="n">
        <v>0</v>
      </c>
      <c r="J316" t="n">
        <v>0</v>
      </c>
      <c r="K316">
        <f>IF(H316-I316-J316&gt;0,H316-I316-J316,0)</f>
        <v/>
      </c>
      <c r="L316" s="1">
        <f>IFERROR(I316*E316,0)</f>
        <v/>
      </c>
      <c r="M316" s="1">
        <f>IFERROR(K316*E316,0)</f>
        <v/>
      </c>
    </row>
    <row r="317">
      <c r="A317" t="inlineStr">
        <is>
          <t>TB 315-560</t>
        </is>
      </c>
      <c r="B317" t="inlineStr">
        <is>
          <t>Casing Terminal Box (315-560)</t>
        </is>
      </c>
      <c r="C317" t="inlineStr">
        <is>
          <t>ULTIMATENG (PTY) LTD</t>
        </is>
      </c>
      <c r="D317" t="inlineStr">
        <is>
          <t>FM - DONKIN</t>
        </is>
      </c>
      <c r="E317" s="1" t="n">
        <v>0</v>
      </c>
      <c r="F317" t="n">
        <v>19</v>
      </c>
      <c r="G317" t="n">
        <v>0</v>
      </c>
      <c r="H317" t="n">
        <v>95</v>
      </c>
      <c r="I317" t="n">
        <v>0</v>
      </c>
      <c r="J317" t="n">
        <v>0</v>
      </c>
      <c r="K317">
        <f>IF(H317-I317-J317&gt;0,H317-I317-J317,0)</f>
        <v/>
      </c>
      <c r="L317" s="1">
        <f>IFERROR(I317*E317,0)</f>
        <v/>
      </c>
      <c r="M317" s="1">
        <f>IFERROR(K317*E317,0)</f>
        <v/>
      </c>
    </row>
    <row r="318">
      <c r="A318" t="inlineStr">
        <is>
          <t>TB 630-800</t>
        </is>
      </c>
      <c r="B318" t="inlineStr">
        <is>
          <t>Casing Terminal Box (560-800)</t>
        </is>
      </c>
      <c r="C318" t="inlineStr">
        <is>
          <t>ULTIMATENG (PTY) LTD</t>
        </is>
      </c>
      <c r="D318" t="inlineStr">
        <is>
          <t>FM - DONKIN</t>
        </is>
      </c>
      <c r="E318" s="1" t="n">
        <v>0</v>
      </c>
      <c r="F318" t="n">
        <v>19</v>
      </c>
      <c r="G318" t="n">
        <v>0</v>
      </c>
      <c r="H318" t="n">
        <v>95</v>
      </c>
      <c r="I318" t="n">
        <v>0</v>
      </c>
      <c r="J318" t="n">
        <v>0</v>
      </c>
      <c r="K318">
        <f>IF(H318-I318-J318&gt;0,H318-I318-J318,0)</f>
        <v/>
      </c>
      <c r="L318" s="1">
        <f>IFERROR(I318*E318,0)</f>
        <v/>
      </c>
      <c r="M318" s="1">
        <f>IFERROR(K318*E318,0)</f>
        <v/>
      </c>
    </row>
    <row r="319">
      <c r="A319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Material</t>
        </is>
      </c>
      <c r="B2" t="inlineStr">
        <is>
          <t>Material</t>
        </is>
      </c>
      <c r="C2" t="inlineStr">
        <is>
          <t>Downside Projects</t>
        </is>
      </c>
      <c r="D2" t="inlineStr">
        <is>
          <t>FM - ELECTRICAL WIRING</t>
        </is>
      </c>
      <c r="E2" s="1" t="n">
        <v>5400</v>
      </c>
      <c r="F2" t="n">
        <v>1</v>
      </c>
      <c r="G2" t="n">
        <v>0</v>
      </c>
      <c r="H2" t="n">
        <v>3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WIRING</t>
        </is>
      </c>
      <c r="B3" t="inlineStr">
        <is>
          <t>Wiring of welding plug and installation of welding plug x2</t>
        </is>
      </c>
      <c r="C3" t="inlineStr">
        <is>
          <t>Downside Projects</t>
        </is>
      </c>
      <c r="D3" t="inlineStr">
        <is>
          <t>FM - ELECTRICAL WIRING</t>
        </is>
      </c>
      <c r="E3" s="1" t="n">
        <v>2750</v>
      </c>
      <c r="F3" t="n">
        <v>1</v>
      </c>
      <c r="G3" t="n">
        <v>0</v>
      </c>
      <c r="H3" t="n">
        <v>5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2450x1225x4mm</t>
        </is>
      </c>
      <c r="B2" t="inlineStr">
        <is>
          <t>HR Sheet CQ 2450x1225x4 mm</t>
        </is>
      </c>
      <c r="C2" t="inlineStr">
        <is>
          <t>NJR STEEL - ALRODE (PTY) LTD</t>
        </is>
      </c>
      <c r="D2" t="inlineStr">
        <is>
          <t>FM - FABRICATION</t>
        </is>
      </c>
      <c r="E2" s="1" t="n">
        <v>1418.1</v>
      </c>
      <c r="F2" t="n">
        <v>1</v>
      </c>
      <c r="G2" t="n">
        <v>0</v>
      </c>
      <c r="H2" t="n">
        <v>5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25.4*6-2RTUBE</t>
        </is>
      </c>
      <c r="B3" t="inlineStr">
        <is>
          <t>25,4*1.6-2mm Round Tube Die Set (Die CLR 93mm)</t>
        </is>
      </c>
      <c r="C3" t="inlineStr">
        <is>
          <t>Strongman Metal Tools CC</t>
        </is>
      </c>
      <c r="D3" t="inlineStr">
        <is>
          <t>FM - FABRICATION</t>
        </is>
      </c>
      <c r="E3" s="1" t="n">
        <v>2699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3000x1500x4mm</t>
        </is>
      </c>
      <c r="B4" t="inlineStr">
        <is>
          <t>HR Sheet CQ 3000x1500x4mm</t>
        </is>
      </c>
      <c r="C4" t="inlineStr">
        <is>
          <t>NJR STEEL - ALRODE (PTY) LTD</t>
        </is>
      </c>
      <c r="D4" t="inlineStr">
        <is>
          <t>FM - FABRICATION</t>
        </is>
      </c>
      <c r="E4" s="1" t="n">
        <v>2024.6</v>
      </c>
      <c r="F4" t="n">
        <v>1</v>
      </c>
      <c r="G4" t="n">
        <v>0</v>
      </c>
      <c r="H4" t="n">
        <v>5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315PLT315-2MM</t>
        </is>
      </c>
      <c r="B5" t="inlineStr">
        <is>
          <t>315 Casing Sheet - 995 x 315 - 2mm</t>
        </is>
      </c>
      <c r="C5" t="inlineStr">
        <is>
          <t>NJR STEEL - ALRODE (PTY) LTD</t>
        </is>
      </c>
      <c r="D5" t="inlineStr">
        <is>
          <t>FM - FABRICATION</t>
        </is>
      </c>
      <c r="E5" s="1" t="n">
        <v>133</v>
      </c>
      <c r="F5" t="n">
        <v>5</v>
      </c>
      <c r="G5" t="n">
        <v>0</v>
      </c>
      <c r="H5" t="n">
        <v>25</v>
      </c>
      <c r="I5" t="n">
        <v>0</v>
      </c>
      <c r="J5" t="n">
        <v>6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32*2-RTUBE</t>
        </is>
      </c>
      <c r="B6" t="inlineStr">
        <is>
          <t>32*2 mm Round Tube Die Set (Die CLR 125mm)</t>
        </is>
      </c>
      <c r="C6" t="inlineStr">
        <is>
          <t>Strongman Metal Tools CC</t>
        </is>
      </c>
      <c r="D6" t="inlineStr">
        <is>
          <t>FM - FABRICATION</t>
        </is>
      </c>
      <c r="E6" s="1" t="n">
        <v>4799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400PLT400-2MM</t>
        </is>
      </c>
      <c r="B7" t="inlineStr">
        <is>
          <t>400 Casing Sheet - 1262 x 400 - 2mm</t>
        </is>
      </c>
      <c r="C7" t="inlineStr">
        <is>
          <t>NJR STEEL - ALRODE (PTY) LTD</t>
        </is>
      </c>
      <c r="D7" t="inlineStr">
        <is>
          <t>FM - FABRICATION</t>
        </is>
      </c>
      <c r="E7" s="1" t="n">
        <v>213</v>
      </c>
      <c r="F7" t="n">
        <v>5</v>
      </c>
      <c r="G7" t="n">
        <v>0</v>
      </c>
      <c r="H7" t="n">
        <v>25</v>
      </c>
      <c r="I7" t="n">
        <v>0</v>
      </c>
      <c r="J7" t="n">
        <v>7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500PLT400-2MM</t>
        </is>
      </c>
      <c r="B8" t="inlineStr">
        <is>
          <t>500 Casing Sheet - 1579 x 400 - 2mm</t>
        </is>
      </c>
      <c r="C8" t="inlineStr">
        <is>
          <t>NJR STEEL - ALRODE (PTY) LTD</t>
        </is>
      </c>
      <c r="D8" t="inlineStr">
        <is>
          <t>FM - FABRICATION</t>
        </is>
      </c>
      <c r="E8" s="1" t="n">
        <v>207.08</v>
      </c>
      <c r="F8" t="n">
        <v>3</v>
      </c>
      <c r="G8" t="n">
        <v>0</v>
      </c>
      <c r="H8" t="n">
        <v>15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500PLT400-3MM</t>
        </is>
      </c>
      <c r="B9" t="inlineStr">
        <is>
          <t>500 Casing Sheet - 1579 x 400 - 3mm</t>
        </is>
      </c>
      <c r="C9" t="inlineStr">
        <is>
          <t>NJR STEEL - ALRODE (PTY) LTD</t>
        </is>
      </c>
      <c r="D9" t="inlineStr">
        <is>
          <t>FM - FABRICATION</t>
        </is>
      </c>
      <c r="E9" s="1" t="n">
        <v>385.17</v>
      </c>
      <c r="F9" t="n">
        <v>3</v>
      </c>
      <c r="G9" t="n">
        <v>0</v>
      </c>
      <c r="H9" t="n">
        <v>15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500PLT500-3MM</t>
        </is>
      </c>
      <c r="B10" t="inlineStr">
        <is>
          <t>500 Casing Sheet - 1579 x 500 - 3mm</t>
        </is>
      </c>
      <c r="C10" t="inlineStr">
        <is>
          <t>NJR STEEL - ALRODE (PTY) LTD</t>
        </is>
      </c>
      <c r="D10" t="inlineStr">
        <is>
          <t>FM - FABRICATION</t>
        </is>
      </c>
      <c r="E10" s="1" t="n">
        <v>389</v>
      </c>
      <c r="F10" t="n">
        <v>1</v>
      </c>
      <c r="G10" t="n">
        <v>0</v>
      </c>
      <c r="H10" t="n">
        <v>2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560PLT400-2MM</t>
        </is>
      </c>
      <c r="B11" t="inlineStr">
        <is>
          <t>560 Casing Sheet - 1767 x 400 - 2mm</t>
        </is>
      </c>
      <c r="C11" t="inlineStr">
        <is>
          <t>NJR STEEL - ALRODE (PTY) LTD</t>
        </is>
      </c>
      <c r="D11" t="inlineStr">
        <is>
          <t>FM - FABRICATION</t>
        </is>
      </c>
      <c r="E11" s="1" t="n">
        <v>232</v>
      </c>
      <c r="F11" t="n">
        <v>3</v>
      </c>
      <c r="G11" t="n">
        <v>0</v>
      </c>
      <c r="H11" t="n">
        <v>15</v>
      </c>
      <c r="I11" t="n">
        <v>0</v>
      </c>
      <c r="J11" t="n">
        <v>4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560PLT400-3MM</t>
        </is>
      </c>
      <c r="B12" t="inlineStr">
        <is>
          <t>560 Casing Sheet - 1767 x 400 - 3mm</t>
        </is>
      </c>
      <c r="C12" t="inlineStr">
        <is>
          <t>NJR STEEL - ALRODE (PTY) LTD</t>
        </is>
      </c>
      <c r="D12" t="inlineStr">
        <is>
          <t>FM - FABRICATION</t>
        </is>
      </c>
      <c r="E12" s="1" t="n">
        <v>418.71</v>
      </c>
      <c r="F12" t="n">
        <v>4</v>
      </c>
      <c r="G12" t="n">
        <v>0</v>
      </c>
      <c r="H12" t="n">
        <v>18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630PLT400-3MM</t>
        </is>
      </c>
      <c r="B13" t="inlineStr">
        <is>
          <t>630 Casing Sheet - 1987 x 400 - 3mm</t>
        </is>
      </c>
      <c r="C13" t="inlineStr">
        <is>
          <t>NJR STEEL - ALRODE (PTY) LTD</t>
        </is>
      </c>
      <c r="D13" t="inlineStr">
        <is>
          <t>FM - FABRICATION</t>
        </is>
      </c>
      <c r="E13" s="1" t="n">
        <v>461</v>
      </c>
      <c r="F13" t="n">
        <v>4</v>
      </c>
      <c r="G13" t="n">
        <v>0</v>
      </c>
      <c r="H13" t="n">
        <v>20</v>
      </c>
      <c r="I13" t="n">
        <v>0</v>
      </c>
      <c r="J13" t="n">
        <v>4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710PLT400-3MM</t>
        </is>
      </c>
      <c r="B14" t="inlineStr">
        <is>
          <t>710 Casing Sheet - 2238 x 400 - 3mm</t>
        </is>
      </c>
      <c r="C14" t="inlineStr">
        <is>
          <t>NJR STEEL - ALRODE (PTY) LTD</t>
        </is>
      </c>
      <c r="D14" t="inlineStr">
        <is>
          <t>FM - FABRICATION</t>
        </is>
      </c>
      <c r="E14" s="1" t="n">
        <v>530</v>
      </c>
      <c r="F14" t="n">
        <v>4</v>
      </c>
      <c r="G14" t="n">
        <v>0</v>
      </c>
      <c r="H14" t="n">
        <v>18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800PLT400-2MM</t>
        </is>
      </c>
      <c r="B15" t="inlineStr">
        <is>
          <t>800 Casing Sheet - 2528 x 400 - 2mm</t>
        </is>
      </c>
      <c r="C15" t="inlineStr">
        <is>
          <t>NJR STEEL - ALRODE (PTY) LTD</t>
        </is>
      </c>
      <c r="D15" t="inlineStr">
        <is>
          <t>FM - FABRICATION</t>
        </is>
      </c>
      <c r="E15" s="1" t="n">
        <v>331</v>
      </c>
      <c r="F15" t="n">
        <v>3</v>
      </c>
      <c r="G15" t="n">
        <v>0</v>
      </c>
      <c r="H15" t="n">
        <v>15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800PLT400-3MM</t>
        </is>
      </c>
      <c r="B16" t="inlineStr">
        <is>
          <t>800 Casing Sheet - 2528 x 400 - 3mm</t>
        </is>
      </c>
      <c r="C16" t="inlineStr">
        <is>
          <t>NJR STEEL - ALRODE (PTY) LTD</t>
        </is>
      </c>
      <c r="D16" t="inlineStr">
        <is>
          <t>FM - FABRICATION</t>
        </is>
      </c>
      <c r="E16" s="1" t="n">
        <v>597</v>
      </c>
      <c r="F16" t="n">
        <v>4</v>
      </c>
      <c r="G16" t="n">
        <v>0</v>
      </c>
      <c r="H16" t="n">
        <v>18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800PLT400-3MM.</t>
        </is>
      </c>
      <c r="B17" t="inlineStr">
        <is>
          <t>800 Casing Sheet - 2528 x 400 - 3mm</t>
        </is>
      </c>
      <c r="C17" t="inlineStr">
        <is>
          <t>ULTIMATENG (PTY) LTD</t>
        </is>
      </c>
      <c r="D17" t="inlineStr">
        <is>
          <t>FM - FABRICATION</t>
        </is>
      </c>
      <c r="E17" s="1" t="n">
        <v>400</v>
      </c>
      <c r="F17" t="n">
        <v>5</v>
      </c>
      <c r="G17" t="n">
        <v>0</v>
      </c>
      <c r="H17" t="n">
        <v>25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800PLT500-3MM</t>
        </is>
      </c>
      <c r="B18" t="inlineStr">
        <is>
          <t>800 Casing Sheet - 2528 x 500 - 3mm</t>
        </is>
      </c>
      <c r="C18" t="inlineStr">
        <is>
          <t>NJR STEEL - ALRODE (PTY) LTD</t>
        </is>
      </c>
      <c r="D18" t="inlineStr">
        <is>
          <t>FM - FABRICATION</t>
        </is>
      </c>
      <c r="E18" s="1" t="n">
        <v>767.67</v>
      </c>
      <c r="F18" t="n">
        <v>3</v>
      </c>
      <c r="G18" t="n">
        <v>0</v>
      </c>
      <c r="H18" t="n">
        <v>15</v>
      </c>
      <c r="I18" t="n">
        <v>0</v>
      </c>
      <c r="J18" t="n">
        <v>0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900PLT500-3MM</t>
        </is>
      </c>
      <c r="B19" t="inlineStr">
        <is>
          <t>900 Casing Sheet - 2839 x 500 - 3mm</t>
        </is>
      </c>
      <c r="C19" t="inlineStr">
        <is>
          <t>NJR STEEL - ALRODE (PTY) LTD</t>
        </is>
      </c>
      <c r="D19" t="inlineStr">
        <is>
          <t>FM - FABRICATION</t>
        </is>
      </c>
      <c r="E19" s="1" t="n">
        <v>897</v>
      </c>
      <c r="F19" t="n">
        <v>2</v>
      </c>
      <c r="G19" t="n">
        <v>0</v>
      </c>
      <c r="H19" t="n">
        <v>12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C1000X500FM</t>
        </is>
      </c>
      <c r="B20" t="inlineStr">
        <is>
          <t>Casing Size 1000diam x 500Long</t>
        </is>
      </c>
      <c r="C20" t="inlineStr">
        <is>
          <t>GALVAGLOW (PTY) LTD</t>
        </is>
      </c>
      <c r="D20" t="inlineStr">
        <is>
          <t>FM - FABRICATION</t>
        </is>
      </c>
      <c r="E20" s="1" t="n">
        <v>0</v>
      </c>
      <c r="F20" t="n">
        <v>1</v>
      </c>
      <c r="G20" t="n">
        <v>0</v>
      </c>
      <c r="H20" t="n">
        <v>2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FLEX-W/FRAME</t>
        </is>
      </c>
      <c r="B21" t="inlineStr">
        <is>
          <t>WELDING FRAME H=2m x W=3m, Galvanised steel frame (25x25 square tube)</t>
        </is>
      </c>
      <c r="C21" t="inlineStr">
        <is>
          <t>Fischli + Fuhrmann</t>
        </is>
      </c>
      <c r="D21" t="inlineStr">
        <is>
          <t>FM - FABRICATION</t>
        </is>
      </c>
      <c r="E21" s="1" t="n">
        <v>1680</v>
      </c>
      <c r="F21" t="n">
        <v>2</v>
      </c>
      <c r="G21" t="n">
        <v>0</v>
      </c>
      <c r="H21" t="n">
        <v>8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LASER CUTTING-775</t>
        </is>
      </c>
      <c r="B22" t="inlineStr">
        <is>
          <t>775 x 225 x 5mm</t>
        </is>
      </c>
      <c r="C22" t="inlineStr">
        <is>
          <t>ULTIMATENG (PTY) LTD</t>
        </is>
      </c>
      <c r="D22" t="inlineStr">
        <is>
          <t>FM - FABRICATION</t>
        </is>
      </c>
      <c r="E22" s="1" t="n">
        <v>217.32</v>
      </c>
      <c r="F22" t="n">
        <v>1</v>
      </c>
      <c r="G22" t="n">
        <v>0</v>
      </c>
      <c r="H22" t="n">
        <v>5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Laser Cutting-Axial P1</t>
        </is>
      </c>
      <c r="B23" t="inlineStr">
        <is>
          <t>Axial Program 1 Cover</t>
        </is>
      </c>
      <c r="C23" t="inlineStr">
        <is>
          <t>ULTIMATENG (PTY) LTD</t>
        </is>
      </c>
      <c r="D23" t="inlineStr">
        <is>
          <t>FM - FABRICATION</t>
        </is>
      </c>
      <c r="E23" s="1" t="n">
        <v>2950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Laser Cutting-Axial P3</t>
        </is>
      </c>
      <c r="B24" t="inlineStr">
        <is>
          <t>Axial Program 3 Covers</t>
        </is>
      </c>
      <c r="C24" t="inlineStr">
        <is>
          <t>ULTIMATENG (PTY) LTD</t>
        </is>
      </c>
      <c r="D24" t="inlineStr">
        <is>
          <t>FM - FABRICATION</t>
        </is>
      </c>
      <c r="E24" s="1" t="n">
        <v>2950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Laser Cutting-Bends</t>
        </is>
      </c>
      <c r="B25" t="inlineStr">
        <is>
          <t>Laser Cutting Bends</t>
        </is>
      </c>
      <c r="C25" t="inlineStr">
        <is>
          <t>ULTIMATENG (PTY) LTD</t>
        </is>
      </c>
      <c r="D25" t="inlineStr">
        <is>
          <t>FM - FABRICATION</t>
        </is>
      </c>
      <c r="E25" s="1" t="n">
        <v>4.09</v>
      </c>
      <c r="F25" t="n">
        <v>113</v>
      </c>
      <c r="G25" t="n">
        <v>0</v>
      </c>
      <c r="H25" t="n">
        <v>565</v>
      </c>
      <c r="I25" t="n">
        <v>0</v>
      </c>
      <c r="J25" t="n">
        <v>0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TTS038030006</t>
        </is>
      </c>
      <c r="B26" t="inlineStr">
        <is>
          <t>Sq / Tube 38X38X3.0-6M</t>
        </is>
      </c>
      <c r="C26" t="inlineStr">
        <is>
          <t>NJR STEEL - ALRODE (PTY) LTD</t>
        </is>
      </c>
      <c r="D26" t="inlineStr">
        <is>
          <t>FM - FABRICATION</t>
        </is>
      </c>
      <c r="E26" s="1" t="n">
        <v>341.95</v>
      </c>
      <c r="F26" t="n">
        <v>1</v>
      </c>
      <c r="G26" t="n">
        <v>0</v>
      </c>
      <c r="H26" t="n">
        <v>2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ENGINE-001</t>
        </is>
      </c>
      <c r="B2" t="inlineStr">
        <is>
          <t>Engineering Services - 3D Scanning, Modelling of a Fan Blade and Hub</t>
        </is>
      </c>
      <c r="C2" t="inlineStr">
        <is>
          <t>Holt Consulting Engineers</t>
        </is>
      </c>
      <c r="D2" t="inlineStr">
        <is>
          <t>FM - FAN BLADE MODELLING</t>
        </is>
      </c>
      <c r="E2" s="1" t="n">
        <v>44769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CA4</t>
        </is>
      </c>
      <c r="B2" t="inlineStr">
        <is>
          <t>CA4V - 1' 1/4</t>
        </is>
      </c>
      <c r="C2" t="inlineStr"/>
      <c r="D2" t="inlineStr">
        <is>
          <t>FM - FPZ</t>
        </is>
      </c>
      <c r="E2" s="1" t="n">
        <v>0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CA5</t>
        </is>
      </c>
      <c r="B3" t="inlineStr">
        <is>
          <t>CA5V - 1' 1/2</t>
        </is>
      </c>
      <c r="C3" t="inlineStr"/>
      <c r="D3" t="inlineStr">
        <is>
          <t>FM - FPZ</t>
        </is>
      </c>
      <c r="E3" s="1" t="n">
        <v>0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CA6</t>
        </is>
      </c>
      <c r="B4" t="inlineStr">
        <is>
          <t>CA6V - 2'</t>
        </is>
      </c>
      <c r="C4" t="inlineStr">
        <is>
          <t>Effepizeta</t>
        </is>
      </c>
      <c r="D4" t="inlineStr">
        <is>
          <t>FM - FPZ</t>
        </is>
      </c>
      <c r="E4" s="1" t="n">
        <v>604.23</v>
      </c>
      <c r="F4" t="n">
        <v>6</v>
      </c>
      <c r="G4" t="n">
        <v>0</v>
      </c>
      <c r="H4" t="n">
        <v>12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CA8</t>
        </is>
      </c>
      <c r="B5" t="inlineStr">
        <is>
          <t>CA8 - 3'</t>
        </is>
      </c>
      <c r="C5" t="inlineStr">
        <is>
          <t>Effepizeta</t>
        </is>
      </c>
      <c r="D5" t="inlineStr">
        <is>
          <t>FM - FPZ</t>
        </is>
      </c>
      <c r="E5" s="1" t="n">
        <v>0</v>
      </c>
      <c r="F5" t="n">
        <v>2</v>
      </c>
      <c r="G5" t="n">
        <v>0</v>
      </c>
      <c r="H5" t="n">
        <v>4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CA9</t>
        </is>
      </c>
      <c r="B6" t="inlineStr">
        <is>
          <t>CA9- 4'</t>
        </is>
      </c>
      <c r="C6" t="inlineStr">
        <is>
          <t>Effepizeta</t>
        </is>
      </c>
      <c r="D6" t="inlineStr">
        <is>
          <t>FM - FPZ</t>
        </is>
      </c>
      <c r="E6" s="1" t="n">
        <v>1243.84</v>
      </c>
      <c r="F6" t="n">
        <v>2</v>
      </c>
      <c r="G6" t="n">
        <v>0</v>
      </c>
      <c r="H6" t="n">
        <v>4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CF4</t>
        </is>
      </c>
      <c r="B7" t="inlineStr">
        <is>
          <t>CF4 - 1' 1/4</t>
        </is>
      </c>
      <c r="C7" t="inlineStr"/>
      <c r="D7" t="inlineStr">
        <is>
          <t>FM - FPZ</t>
        </is>
      </c>
      <c r="E7" s="1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CF5</t>
        </is>
      </c>
      <c r="B8" t="inlineStr">
        <is>
          <t>CF5 - 1' 1/2</t>
        </is>
      </c>
      <c r="C8" t="inlineStr">
        <is>
          <t>Effepizeta</t>
        </is>
      </c>
      <c r="D8" t="inlineStr">
        <is>
          <t>FM - FPZ</t>
        </is>
      </c>
      <c r="E8" s="1" t="n">
        <v>0</v>
      </c>
      <c r="F8" t="n">
        <v>1</v>
      </c>
      <c r="G8" t="n">
        <v>0</v>
      </c>
      <c r="H8" t="n">
        <v>2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CF6</t>
        </is>
      </c>
      <c r="B9" t="inlineStr">
        <is>
          <t>CF6 - 2'</t>
        </is>
      </c>
      <c r="C9" t="inlineStr"/>
      <c r="D9" t="inlineStr">
        <is>
          <t>FM - FPZ</t>
        </is>
      </c>
      <c r="E9" s="1" t="n">
        <v>0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CF8</t>
        </is>
      </c>
      <c r="B10" t="inlineStr">
        <is>
          <t>CF8 - 3'</t>
        </is>
      </c>
      <c r="C10" t="inlineStr">
        <is>
          <t>Effepizeta</t>
        </is>
      </c>
      <c r="D10" t="inlineStr">
        <is>
          <t>FM - FPZ</t>
        </is>
      </c>
      <c r="E10" s="1" t="n">
        <v>230.34</v>
      </c>
      <c r="F10" t="n">
        <v>2</v>
      </c>
      <c r="G10" t="n">
        <v>0</v>
      </c>
      <c r="H10" t="n">
        <v>4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CF9</t>
        </is>
      </c>
      <c r="B11" t="inlineStr">
        <is>
          <t>CF9 - 4'</t>
        </is>
      </c>
      <c r="C11" t="inlineStr">
        <is>
          <t>Effepizeta</t>
        </is>
      </c>
      <c r="D11" t="inlineStr">
        <is>
          <t>FM - FPZ</t>
        </is>
      </c>
      <c r="E11" s="1" t="n">
        <v>524.73</v>
      </c>
      <c r="F11" t="n">
        <v>5</v>
      </c>
      <c r="G11" t="n">
        <v>0</v>
      </c>
      <c r="H11" t="n">
        <v>10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D100039</t>
        </is>
      </c>
      <c r="B12" t="inlineStr">
        <is>
          <t>CONTROL UNIT</t>
        </is>
      </c>
      <c r="C12" t="inlineStr">
        <is>
          <t>Attenu-Tec</t>
        </is>
      </c>
      <c r="D12" t="inlineStr">
        <is>
          <t>FM - FPZ</t>
        </is>
      </c>
      <c r="E12" s="1" t="n">
        <v>2827.17</v>
      </c>
      <c r="F12" t="n">
        <v>12</v>
      </c>
      <c r="G12" t="n">
        <v>0</v>
      </c>
      <c r="H12" t="n">
        <v>43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FL4</t>
        </is>
      </c>
      <c r="B13" t="inlineStr">
        <is>
          <t>FL4 - 1' 1/4</t>
        </is>
      </c>
      <c r="C13" t="inlineStr"/>
      <c r="D13" t="inlineStr">
        <is>
          <t>FM - FPZ</t>
        </is>
      </c>
      <c r="E13" s="1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FL5</t>
        </is>
      </c>
      <c r="B14" t="inlineStr">
        <is>
          <t>FL5 - 1' 1/2</t>
        </is>
      </c>
      <c r="C14" t="inlineStr"/>
      <c r="D14" t="inlineStr">
        <is>
          <t>FM - FPZ</t>
        </is>
      </c>
      <c r="E14" s="1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FL6</t>
        </is>
      </c>
      <c r="B15" t="inlineStr">
        <is>
          <t>FL6 - 2'</t>
        </is>
      </c>
      <c r="C15" t="inlineStr">
        <is>
          <t>Effepizeta</t>
        </is>
      </c>
      <c r="D15" t="inlineStr">
        <is>
          <t>FM - FPZ</t>
        </is>
      </c>
      <c r="E15" s="1" t="n">
        <v>785.39</v>
      </c>
      <c r="F15" t="n">
        <v>3</v>
      </c>
      <c r="G15" t="n">
        <v>0</v>
      </c>
      <c r="H15" t="n">
        <v>6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FL8</t>
        </is>
      </c>
      <c r="B16" t="inlineStr">
        <is>
          <t>FL8 - 3'</t>
        </is>
      </c>
      <c r="C16" t="inlineStr">
        <is>
          <t>Effepizeta</t>
        </is>
      </c>
      <c r="D16" t="inlineStr">
        <is>
          <t>FM - FPZ</t>
        </is>
      </c>
      <c r="E16" s="1" t="n">
        <v>1114.09</v>
      </c>
      <c r="F16" t="n">
        <v>2</v>
      </c>
      <c r="G16" t="n">
        <v>0</v>
      </c>
      <c r="H16" t="n">
        <v>4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FL9</t>
        </is>
      </c>
      <c r="B17" t="inlineStr">
        <is>
          <t>FL9 - 4 Intake Filter</t>
        </is>
      </c>
      <c r="C17" t="inlineStr">
        <is>
          <t>Effepizeta</t>
        </is>
      </c>
      <c r="D17" t="inlineStr">
        <is>
          <t>FM - FPZ</t>
        </is>
      </c>
      <c r="E17" s="1" t="n">
        <v>1147.25</v>
      </c>
      <c r="F17" t="n">
        <v>2</v>
      </c>
      <c r="G17" t="n">
        <v>0</v>
      </c>
      <c r="H17" t="n">
        <v>4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K03MS055S</t>
        </is>
      </c>
      <c r="B18" t="inlineStr">
        <is>
          <t>SCL-K03 MS-0.55kW-1</t>
        </is>
      </c>
      <c r="C18" t="inlineStr"/>
      <c r="D18" t="inlineStr">
        <is>
          <t>FM - FPZ</t>
        </is>
      </c>
      <c r="E18" s="1" t="n">
        <v>0</v>
      </c>
      <c r="F18" t="n">
        <v>1</v>
      </c>
      <c r="G18" t="n">
        <v>0</v>
      </c>
      <c r="H18" t="n">
        <v>2</v>
      </c>
      <c r="I18" t="n">
        <v>0</v>
      </c>
      <c r="J18" t="n">
        <v>0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K04MS11S</t>
        </is>
      </c>
      <c r="B19" t="inlineStr">
        <is>
          <t>SCL-K04 MS-1.1kW-1-220V</t>
        </is>
      </c>
      <c r="C19" t="inlineStr">
        <is>
          <t>Effepizeta</t>
        </is>
      </c>
      <c r="D19" t="inlineStr">
        <is>
          <t>FM - FPZ</t>
        </is>
      </c>
      <c r="E19" s="1" t="n">
        <v>6609.77</v>
      </c>
      <c r="F19" t="n">
        <v>2</v>
      </c>
      <c r="G19" t="n">
        <v>0</v>
      </c>
      <c r="H19" t="n">
        <v>4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K04MS11T</t>
        </is>
      </c>
      <c r="B20" t="inlineStr">
        <is>
          <t>SCL-K04 MS-1.1kW</t>
        </is>
      </c>
      <c r="C20" t="inlineStr">
        <is>
          <t>Effepizeta</t>
        </is>
      </c>
      <c r="D20" t="inlineStr">
        <is>
          <t>FM - FPZ</t>
        </is>
      </c>
      <c r="E20" s="1" t="n">
        <v>6335</v>
      </c>
      <c r="F20" t="n">
        <v>2</v>
      </c>
      <c r="G20" t="n">
        <v>0</v>
      </c>
      <c r="H20" t="n">
        <v>4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K05MS15T</t>
        </is>
      </c>
      <c r="B21" t="inlineStr">
        <is>
          <t>SCL-K05 MS-1.5kW</t>
        </is>
      </c>
      <c r="C21" t="inlineStr">
        <is>
          <t>Effepizeta</t>
        </is>
      </c>
      <c r="D21" t="inlineStr">
        <is>
          <t>FM - FPZ</t>
        </is>
      </c>
      <c r="E21" s="1" t="n">
        <v>8276.559999999999</v>
      </c>
      <c r="F21" t="n">
        <v>2</v>
      </c>
      <c r="G21" t="n">
        <v>0</v>
      </c>
      <c r="H21" t="n">
        <v>4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K05MS22T</t>
        </is>
      </c>
      <c r="B22" t="inlineStr">
        <is>
          <t>SCL-K05 MS-2.2kW</t>
        </is>
      </c>
      <c r="C22" t="inlineStr">
        <is>
          <t>Effepizeta</t>
        </is>
      </c>
      <c r="D22" t="inlineStr">
        <is>
          <t>FM - FPZ</t>
        </is>
      </c>
      <c r="E22" s="1" t="n">
        <v>8273.66</v>
      </c>
      <c r="F22" t="n">
        <v>2</v>
      </c>
      <c r="G22" t="n">
        <v>0</v>
      </c>
      <c r="H22" t="n">
        <v>4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K06MS4</t>
        </is>
      </c>
      <c r="B23" t="inlineStr">
        <is>
          <t>SCL-K06 MS-4W</t>
        </is>
      </c>
      <c r="C23" t="inlineStr">
        <is>
          <t>Effepizeta</t>
        </is>
      </c>
      <c r="D23" t="inlineStr">
        <is>
          <t>FM - FPZ</t>
        </is>
      </c>
      <c r="E23" s="1" t="n">
        <v>7417.57</v>
      </c>
      <c r="F23" t="n">
        <v>2</v>
      </c>
      <c r="G23" t="n">
        <v>0</v>
      </c>
      <c r="H23" t="n">
        <v>4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K07MS4</t>
        </is>
      </c>
      <c r="B24" t="inlineStr">
        <is>
          <t>SCL-K07 MS-4kW</t>
        </is>
      </c>
      <c r="C24" t="inlineStr">
        <is>
          <t>Effepizeta</t>
        </is>
      </c>
      <c r="D24" t="inlineStr">
        <is>
          <t>FM - FPZ</t>
        </is>
      </c>
      <c r="E24" s="1" t="n">
        <v>15200.44</v>
      </c>
      <c r="F24" t="n">
        <v>2</v>
      </c>
      <c r="G24" t="n">
        <v>0</v>
      </c>
      <c r="H24" t="n">
        <v>4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K07MS55</t>
        </is>
      </c>
      <c r="B25" t="inlineStr">
        <is>
          <t>SCL-K07 MS-5.5kW</t>
        </is>
      </c>
      <c r="C25" t="inlineStr"/>
      <c r="D25" t="inlineStr">
        <is>
          <t>FM - FPZ</t>
        </is>
      </c>
      <c r="E25" s="1" t="n">
        <v>0</v>
      </c>
      <c r="F25" t="n">
        <v>1</v>
      </c>
      <c r="G25" t="n">
        <v>0</v>
      </c>
      <c r="H25" t="n">
        <v>2</v>
      </c>
      <c r="I25" t="n">
        <v>0</v>
      </c>
      <c r="J25" t="n">
        <v>0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K08MS75</t>
        </is>
      </c>
      <c r="B26" t="inlineStr">
        <is>
          <t>SCL-K08 MS-7.5kW</t>
        </is>
      </c>
      <c r="C26" t="inlineStr">
        <is>
          <t>Effepizeta</t>
        </is>
      </c>
      <c r="D26" t="inlineStr">
        <is>
          <t>FM - FPZ</t>
        </is>
      </c>
      <c r="E26" s="1" t="n">
        <v>30692.13</v>
      </c>
      <c r="F26" t="n">
        <v>2</v>
      </c>
      <c r="G26" t="n">
        <v>0</v>
      </c>
      <c r="H26" t="n">
        <v>4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K09MS55</t>
        </is>
      </c>
      <c r="B27" t="inlineStr">
        <is>
          <t>SCL-K09 MS-5.5kW</t>
        </is>
      </c>
      <c r="C27" t="inlineStr">
        <is>
          <t>Effepizeta</t>
        </is>
      </c>
      <c r="D27" t="inlineStr">
        <is>
          <t>FM - FPZ</t>
        </is>
      </c>
      <c r="E27" s="1" t="n">
        <v>37510.41</v>
      </c>
      <c r="F27" t="n">
        <v>2</v>
      </c>
      <c r="G27" t="n">
        <v>0</v>
      </c>
      <c r="H27" t="n">
        <v>4</v>
      </c>
      <c r="I27" t="n">
        <v>0</v>
      </c>
      <c r="J27" t="n">
        <v>0</v>
      </c>
      <c r="K27">
        <f>IF(H27-I27-J27&gt;0,H27-I27-J27,0)</f>
        <v/>
      </c>
      <c r="L27" s="1">
        <f>IFERROR(I27*E27,0)</f>
        <v/>
      </c>
      <c r="M27" s="1">
        <f>IFERROR(K27*E27,0)</f>
        <v/>
      </c>
    </row>
    <row r="28">
      <c r="A28" t="inlineStr">
        <is>
          <t>K09TD15</t>
        </is>
      </c>
      <c r="B28" t="inlineStr">
        <is>
          <t>SCL-K09 TD-15kW</t>
        </is>
      </c>
      <c r="C28" t="inlineStr">
        <is>
          <t>Effepizeta</t>
        </is>
      </c>
      <c r="D28" t="inlineStr">
        <is>
          <t>FM - FPZ</t>
        </is>
      </c>
      <c r="E28" s="1" t="n">
        <v>0</v>
      </c>
      <c r="F28" t="n">
        <v>2</v>
      </c>
      <c r="G28" t="n">
        <v>0</v>
      </c>
      <c r="H28" t="n">
        <v>4</v>
      </c>
      <c r="I28" t="n">
        <v>0</v>
      </c>
      <c r="J28" t="n">
        <v>0</v>
      </c>
      <c r="K28">
        <f>IF(H28-I28-J28&gt;0,H28-I28-J28,0)</f>
        <v/>
      </c>
      <c r="L28" s="1">
        <f>IFERROR(I28*E28,0)</f>
        <v/>
      </c>
      <c r="M28" s="1">
        <f>IFERROR(K28*E28,0)</f>
        <v/>
      </c>
    </row>
    <row r="29">
      <c r="A29" t="inlineStr">
        <is>
          <t>K09TS15</t>
        </is>
      </c>
      <c r="B29" t="inlineStr">
        <is>
          <t>SCL-K09 TS-15kW</t>
        </is>
      </c>
      <c r="C29" t="inlineStr">
        <is>
          <t>Effepizeta</t>
        </is>
      </c>
      <c r="D29" t="inlineStr">
        <is>
          <t>FM - FPZ</t>
        </is>
      </c>
      <c r="E29" s="1" t="n">
        <v>64921.97</v>
      </c>
      <c r="F29" t="n">
        <v>2</v>
      </c>
      <c r="G29" t="n">
        <v>0</v>
      </c>
      <c r="H29" t="n">
        <v>4</v>
      </c>
      <c r="I29" t="n">
        <v>0</v>
      </c>
      <c r="J29" t="n">
        <v>0</v>
      </c>
      <c r="K29">
        <f>IF(H29-I29-J29&gt;0,H29-I29-J29,0)</f>
        <v/>
      </c>
      <c r="L29" s="1">
        <f>IFERROR(I29*E29,0)</f>
        <v/>
      </c>
      <c r="M29" s="1">
        <f>IFERROR(K29*E29,0)</f>
        <v/>
      </c>
    </row>
    <row r="30">
      <c r="A30" t="inlineStr">
        <is>
          <t>K10MD75</t>
        </is>
      </c>
      <c r="B30" t="inlineStr">
        <is>
          <t>SCL-K10 MD-7.5kW</t>
        </is>
      </c>
      <c r="C30" t="inlineStr"/>
      <c r="D30" t="inlineStr">
        <is>
          <t>FM - FPZ</t>
        </is>
      </c>
      <c r="E30" s="1" t="n">
        <v>0</v>
      </c>
      <c r="F30" t="n">
        <v>1</v>
      </c>
      <c r="G30" t="n">
        <v>0</v>
      </c>
      <c r="H30" t="n">
        <v>2</v>
      </c>
      <c r="I30" t="n">
        <v>0</v>
      </c>
      <c r="J30" t="n">
        <v>0</v>
      </c>
      <c r="K30">
        <f>IF(H30-I30-J30&gt;0,H30-I30-J30,0)</f>
        <v/>
      </c>
      <c r="L30" s="1">
        <f>IFERROR(I30*E30,0)</f>
        <v/>
      </c>
      <c r="M30" s="1">
        <f>IFERROR(K30*E30,0)</f>
        <v/>
      </c>
    </row>
    <row r="31">
      <c r="A31" t="inlineStr">
        <is>
          <t>K10MS11</t>
        </is>
      </c>
      <c r="B31" t="inlineStr">
        <is>
          <t>SCL-K10 MS-11kW</t>
        </is>
      </c>
      <c r="C31" t="inlineStr">
        <is>
          <t>Effepizeta</t>
        </is>
      </c>
      <c r="D31" t="inlineStr">
        <is>
          <t>FM - FPZ</t>
        </is>
      </c>
      <c r="E31" s="1" t="n">
        <v>40775.36</v>
      </c>
      <c r="F31" t="n">
        <v>2</v>
      </c>
      <c r="G31" t="n">
        <v>0</v>
      </c>
      <c r="H31" t="n">
        <v>4</v>
      </c>
      <c r="I31" t="n">
        <v>0</v>
      </c>
      <c r="J31" t="n">
        <v>0</v>
      </c>
      <c r="K31">
        <f>IF(H31-I31-J31&gt;0,H31-I31-J31,0)</f>
        <v/>
      </c>
      <c r="L31" s="1">
        <f>IFERROR(I31*E31,0)</f>
        <v/>
      </c>
      <c r="M31" s="1">
        <f>IFERROR(K31*E31,0)</f>
        <v/>
      </c>
    </row>
    <row r="32">
      <c r="A32" t="inlineStr">
        <is>
          <t>K11MS11</t>
        </is>
      </c>
      <c r="B32" t="inlineStr">
        <is>
          <t>SCL-K11 MS-11kW</t>
        </is>
      </c>
      <c r="C32" t="inlineStr">
        <is>
          <t>Effepizeta</t>
        </is>
      </c>
      <c r="D32" t="inlineStr">
        <is>
          <t>FM - FPZ</t>
        </is>
      </c>
      <c r="E32" s="1" t="n">
        <v>48810.59</v>
      </c>
      <c r="F32" t="n">
        <v>2</v>
      </c>
      <c r="G32" t="n">
        <v>0</v>
      </c>
      <c r="H32" t="n">
        <v>4</v>
      </c>
      <c r="I32" t="n">
        <v>0</v>
      </c>
      <c r="J32" t="n">
        <v>0</v>
      </c>
      <c r="K32">
        <f>IF(H32-I32-J32&gt;0,H32-I32-J32,0)</f>
        <v/>
      </c>
      <c r="L32" s="1">
        <f>IFERROR(I32*E32,0)</f>
        <v/>
      </c>
      <c r="M32" s="1">
        <f>IFERROR(K32*E32,0)</f>
        <v/>
      </c>
    </row>
    <row r="33">
      <c r="A33" t="inlineStr">
        <is>
          <t>K11TS22</t>
        </is>
      </c>
      <c r="B33" t="inlineStr">
        <is>
          <t>SCL-K11 TS-22kW</t>
        </is>
      </c>
      <c r="C33" t="inlineStr"/>
      <c r="D33" t="inlineStr">
        <is>
          <t>FM - FPZ</t>
        </is>
      </c>
      <c r="E33" s="1" t="n">
        <v>0</v>
      </c>
      <c r="F33" t="n">
        <v>1</v>
      </c>
      <c r="G33" t="n">
        <v>0</v>
      </c>
      <c r="H33" t="n">
        <v>2</v>
      </c>
      <c r="I33" t="n">
        <v>0</v>
      </c>
      <c r="J33" t="n">
        <v>0</v>
      </c>
      <c r="K33">
        <f>IF(H33-I33-J33&gt;0,H33-I33-J33,0)</f>
        <v/>
      </c>
      <c r="L33" s="1">
        <f>IFERROR(I33*E33,0)</f>
        <v/>
      </c>
      <c r="M33" s="1">
        <f>IFERROR(K33*E33,0)</f>
        <v/>
      </c>
    </row>
    <row r="34">
      <c r="A34" t="inlineStr">
        <is>
          <t>K12MS15</t>
        </is>
      </c>
      <c r="B34" t="inlineStr">
        <is>
          <t>SCL-K12 MS-15kW</t>
        </is>
      </c>
      <c r="C34" t="inlineStr">
        <is>
          <t>Effepizeta</t>
        </is>
      </c>
      <c r="D34" t="inlineStr">
        <is>
          <t>FM - FPZ</t>
        </is>
      </c>
      <c r="E34" s="1" t="n">
        <v>0</v>
      </c>
      <c r="F34" t="n">
        <v>1</v>
      </c>
      <c r="G34" t="n">
        <v>0</v>
      </c>
      <c r="H34" t="n">
        <v>3</v>
      </c>
      <c r="I34" t="n">
        <v>0</v>
      </c>
      <c r="J34" t="n">
        <v>0</v>
      </c>
      <c r="K34">
        <f>IF(H34-I34-J34&gt;0,H34-I34-J34,0)</f>
        <v/>
      </c>
      <c r="L34" s="1">
        <f>IFERROR(I34*E34,0)</f>
        <v/>
      </c>
      <c r="M34" s="1">
        <f>IFERROR(K34*E34,0)</f>
        <v/>
      </c>
    </row>
    <row r="35">
      <c r="A35" t="inlineStr">
        <is>
          <t>K75MS55</t>
        </is>
      </c>
      <c r="B35" t="inlineStr">
        <is>
          <t>SCL-K75 MS-5.5kW</t>
        </is>
      </c>
      <c r="C35" t="inlineStr">
        <is>
          <t>Effepizeta</t>
        </is>
      </c>
      <c r="D35" t="inlineStr">
        <is>
          <t>FM - FPZ</t>
        </is>
      </c>
      <c r="E35" s="1" t="n">
        <v>0</v>
      </c>
      <c r="F35" t="n">
        <v>1</v>
      </c>
      <c r="G35" t="n">
        <v>0</v>
      </c>
      <c r="H35" t="n">
        <v>3</v>
      </c>
      <c r="I35" t="n">
        <v>0</v>
      </c>
      <c r="J35" t="n">
        <v>0</v>
      </c>
      <c r="K35">
        <f>IF(H35-I35-J35&gt;0,H35-I35-J35,0)</f>
        <v/>
      </c>
      <c r="L35" s="1">
        <f>IFERROR(I35*E35,0)</f>
        <v/>
      </c>
      <c r="M35" s="1">
        <f>IFERROR(K35*E35,0)</f>
        <v/>
      </c>
    </row>
    <row r="36">
      <c r="A36" t="inlineStr">
        <is>
          <t>SR30MD000069</t>
        </is>
      </c>
      <c r="B36" t="inlineStr">
        <is>
          <t>SCL R30-MD MOR EU M.E 1.5KW 3Ph 380V</t>
        </is>
      </c>
      <c r="C36" t="inlineStr">
        <is>
          <t>Effepizeta</t>
        </is>
      </c>
      <c r="D36" t="inlineStr">
        <is>
          <t>FM - FPZ</t>
        </is>
      </c>
      <c r="E36" s="1" t="n">
        <v>14161.01</v>
      </c>
      <c r="F36" t="n">
        <v>3</v>
      </c>
      <c r="G36" t="n">
        <v>0</v>
      </c>
      <c r="H36" t="n">
        <v>7</v>
      </c>
      <c r="I36" t="n">
        <v>0</v>
      </c>
      <c r="J36" t="n">
        <v>0</v>
      </c>
      <c r="K36">
        <f>IF(H36-I36-J36&gt;0,H36-I36-J36,0)</f>
        <v/>
      </c>
      <c r="L36" s="1">
        <f>IFERROR(I36*E36,0)</f>
        <v/>
      </c>
      <c r="M36" s="1">
        <f>IFERROR(K36*E36,0)</f>
        <v/>
      </c>
    </row>
    <row r="37">
      <c r="A37" t="inlineStr">
        <is>
          <t>SR40MD00+0006</t>
        </is>
      </c>
      <c r="B37" t="inlineStr">
        <is>
          <t>SCL R40MD</t>
        </is>
      </c>
      <c r="C37" t="inlineStr"/>
      <c r="D37" t="inlineStr">
        <is>
          <t>FM - FPZ</t>
        </is>
      </c>
      <c r="E37" s="1" t="n">
        <v>0</v>
      </c>
      <c r="F37" t="n">
        <v>1</v>
      </c>
      <c r="G37" t="n">
        <v>0</v>
      </c>
      <c r="H37" t="n">
        <v>2</v>
      </c>
      <c r="I37" t="n">
        <v>0</v>
      </c>
      <c r="J37" t="n">
        <v>0</v>
      </c>
      <c r="K37">
        <f>IF(H37-I37-J37&gt;0,H37-I37-J37,0)</f>
        <v/>
      </c>
      <c r="L37" s="1">
        <f>IFERROR(I37*E37,0)</f>
        <v/>
      </c>
      <c r="M37" s="1">
        <f>IFERROR(K37*E37,0)</f>
        <v/>
      </c>
    </row>
    <row r="38">
      <c r="A38" t="inlineStr">
        <is>
          <t>VLA3 &amp; RV3</t>
        </is>
      </c>
      <c r="B38" t="inlineStr">
        <is>
          <t>VLA3 or RV3 - 1'</t>
        </is>
      </c>
      <c r="C38" t="inlineStr"/>
      <c r="D38" t="inlineStr">
        <is>
          <t>FM - FPZ</t>
        </is>
      </c>
      <c r="E38" s="1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0</v>
      </c>
      <c r="K38">
        <f>IF(H38-I38-J38&gt;0,H38-I38-J38,0)</f>
        <v/>
      </c>
      <c r="L38" s="1">
        <f>IFERROR(I38*E38,0)</f>
        <v/>
      </c>
      <c r="M38" s="1">
        <f>IFERROR(K38*E38,0)</f>
        <v/>
      </c>
    </row>
    <row r="39">
      <c r="A39" t="inlineStr">
        <is>
          <t>VRL6</t>
        </is>
      </c>
      <c r="B39" t="inlineStr">
        <is>
          <t>VRL6 - 2'</t>
        </is>
      </c>
      <c r="C39" t="inlineStr"/>
      <c r="D39" t="inlineStr">
        <is>
          <t>FM - FPZ</t>
        </is>
      </c>
      <c r="E39" s="1" t="n">
        <v>0</v>
      </c>
      <c r="F39" t="n">
        <v>1</v>
      </c>
      <c r="G39" t="n">
        <v>0</v>
      </c>
      <c r="H39" t="n">
        <v>2</v>
      </c>
      <c r="I39" t="n">
        <v>0</v>
      </c>
      <c r="J39" t="n">
        <v>0</v>
      </c>
      <c r="K39">
        <f>IF(H39-I39-J39&gt;0,H39-I39-J39,0)</f>
        <v/>
      </c>
      <c r="L39" s="1">
        <f>IFERROR(I39*E39,0)</f>
        <v/>
      </c>
      <c r="M39" s="1">
        <f>IFERROR(K39*E39,0)</f>
        <v/>
      </c>
    </row>
    <row r="40">
      <c r="A40" t="inlineStr">
        <is>
          <t>VRL8</t>
        </is>
      </c>
      <c r="B40" t="inlineStr">
        <is>
          <t>VRL8 - 3'</t>
        </is>
      </c>
      <c r="C40" t="inlineStr">
        <is>
          <t>Effepizeta</t>
        </is>
      </c>
      <c r="D40" t="inlineStr">
        <is>
          <t>FM - FPZ</t>
        </is>
      </c>
      <c r="E40" s="1" t="n">
        <v>0</v>
      </c>
      <c r="F40" t="n">
        <v>1</v>
      </c>
      <c r="G40" t="n">
        <v>0</v>
      </c>
      <c r="H40" t="n">
        <v>3</v>
      </c>
      <c r="I40" t="n">
        <v>0</v>
      </c>
      <c r="J40" t="n">
        <v>0</v>
      </c>
      <c r="K40">
        <f>IF(H40-I40-J40&gt;0,H40-I40-J40,0)</f>
        <v/>
      </c>
      <c r="L40" s="1">
        <f>IFERROR(I40*E40,0)</f>
        <v/>
      </c>
      <c r="M40" s="1">
        <f>IFERROR(K40*E40,0)</f>
        <v/>
      </c>
    </row>
    <row r="41">
      <c r="A41" t="inlineStr">
        <is>
          <t>VRL9</t>
        </is>
      </c>
      <c r="B41" t="inlineStr">
        <is>
          <t>VRL9 - 4'</t>
        </is>
      </c>
      <c r="C41" t="inlineStr">
        <is>
          <t>Effepizeta</t>
        </is>
      </c>
      <c r="D41" t="inlineStr">
        <is>
          <t>FM - FPZ</t>
        </is>
      </c>
      <c r="E41" s="1" t="n">
        <v>0</v>
      </c>
      <c r="F41" t="n">
        <v>1</v>
      </c>
      <c r="G41" t="n">
        <v>0</v>
      </c>
      <c r="H41" t="n">
        <v>3</v>
      </c>
      <c r="I41" t="n">
        <v>0</v>
      </c>
      <c r="J41" t="n">
        <v>0</v>
      </c>
      <c r="K41">
        <f>IF(H41-I41-J41&gt;0,H41-I41-J41,0)</f>
        <v/>
      </c>
      <c r="L41" s="1">
        <f>IFERROR(I41*E41,0)</f>
        <v/>
      </c>
      <c r="M41" s="1">
        <f>IFERROR(K41*E41,0)</f>
        <v/>
      </c>
    </row>
    <row r="42">
      <c r="A42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1609CL</t>
        </is>
      </c>
      <c r="B2" t="inlineStr">
        <is>
          <t>160/9 Clamp - to suit, 14mm, 19mm, 24mm and 28mm bore hubs</t>
        </is>
      </c>
      <c r="C2" t="inlineStr">
        <is>
          <t>CFW Fans (Pty) Ltd</t>
        </is>
      </c>
      <c r="D2" t="inlineStr">
        <is>
          <t>FM - IMPELLER</t>
        </is>
      </c>
      <c r="E2" s="1" t="n">
        <v>235</v>
      </c>
      <c r="F2" t="n">
        <v>8</v>
      </c>
      <c r="G2" t="n">
        <v>0</v>
      </c>
      <c r="H2" t="n">
        <v>40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1609H14</t>
        </is>
      </c>
      <c r="B3" t="inlineStr">
        <is>
          <t>160/9 Hub - 14mm</t>
        </is>
      </c>
      <c r="C3" t="inlineStr">
        <is>
          <t>CFW Fans (Pty) Ltd</t>
        </is>
      </c>
      <c r="D3" t="inlineStr">
        <is>
          <t>FM - IMPELLER</t>
        </is>
      </c>
      <c r="E3" s="1" t="n">
        <v>270</v>
      </c>
      <c r="F3" t="n">
        <v>3</v>
      </c>
      <c r="G3" t="n">
        <v>0</v>
      </c>
      <c r="H3" t="n">
        <v>14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1609H19</t>
        </is>
      </c>
      <c r="B4" t="inlineStr">
        <is>
          <t>160/9 Hub - 19mm</t>
        </is>
      </c>
      <c r="C4" t="inlineStr">
        <is>
          <t>CFW Fans (Pty) Ltd</t>
        </is>
      </c>
      <c r="D4" t="inlineStr">
        <is>
          <t>FM - IMPELLER</t>
        </is>
      </c>
      <c r="E4" s="1" t="n">
        <v>270</v>
      </c>
      <c r="F4" t="n">
        <v>2</v>
      </c>
      <c r="G4" t="n">
        <v>0</v>
      </c>
      <c r="H4" t="n">
        <v>12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1609H24</t>
        </is>
      </c>
      <c r="B5" t="inlineStr">
        <is>
          <t>160/9 Hub - 24mm</t>
        </is>
      </c>
      <c r="C5" t="inlineStr">
        <is>
          <t>CFW Fans (Pty) Ltd</t>
        </is>
      </c>
      <c r="D5" t="inlineStr">
        <is>
          <t>FM - IMPELLER</t>
        </is>
      </c>
      <c r="E5" s="1" t="n">
        <v>270</v>
      </c>
      <c r="F5" t="n">
        <v>2</v>
      </c>
      <c r="G5" t="n">
        <v>0</v>
      </c>
      <c r="H5" t="n">
        <v>10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1609H28</t>
        </is>
      </c>
      <c r="B6" t="inlineStr">
        <is>
          <t>160/9 Hub - 28mm</t>
        </is>
      </c>
      <c r="C6" t="inlineStr">
        <is>
          <t>CFW Fans (Pty) Ltd</t>
        </is>
      </c>
      <c r="D6" t="inlineStr">
        <is>
          <t>FM - IMPELLER</t>
        </is>
      </c>
      <c r="E6" s="1" t="n">
        <v>270</v>
      </c>
      <c r="F6" t="n">
        <v>2</v>
      </c>
      <c r="G6" t="n">
        <v>0</v>
      </c>
      <c r="H6" t="n">
        <v>8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25012CL</t>
        </is>
      </c>
      <c r="B7" t="inlineStr">
        <is>
          <t>250/12 Clamp - to suit, 38mm and 42mm bore hubs</t>
        </is>
      </c>
      <c r="C7" t="inlineStr">
        <is>
          <t>CFW Fans (Pty) Ltd</t>
        </is>
      </c>
      <c r="D7" t="inlineStr">
        <is>
          <t>FM - IMPELLER</t>
        </is>
      </c>
      <c r="E7" s="1" t="n">
        <v>297</v>
      </c>
      <c r="F7" t="n">
        <v>2</v>
      </c>
      <c r="G7" t="n">
        <v>0</v>
      </c>
      <c r="H7" t="n">
        <v>9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25012H19</t>
        </is>
      </c>
      <c r="B8" t="inlineStr">
        <is>
          <t>250/12 Hub - 19mm</t>
        </is>
      </c>
      <c r="C8" t="inlineStr">
        <is>
          <t>CFW Fans (Pty) Ltd</t>
        </is>
      </c>
      <c r="D8" t="inlineStr">
        <is>
          <t>FM - IMPELLER</t>
        </is>
      </c>
      <c r="E8" s="1" t="n">
        <v>384</v>
      </c>
      <c r="F8" t="n">
        <v>2</v>
      </c>
      <c r="G8" t="n">
        <v>0</v>
      </c>
      <c r="H8" t="n">
        <v>10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25012H24</t>
        </is>
      </c>
      <c r="B9" t="inlineStr">
        <is>
          <t>250/12 Hub - 24mm bore</t>
        </is>
      </c>
      <c r="C9" t="inlineStr">
        <is>
          <t>CFW Fans (Pty) Ltd</t>
        </is>
      </c>
      <c r="D9" t="inlineStr">
        <is>
          <t>FM - IMPELLER</t>
        </is>
      </c>
      <c r="E9" s="1" t="n">
        <v>384</v>
      </c>
      <c r="F9" t="n">
        <v>1</v>
      </c>
      <c r="G9" t="n">
        <v>0</v>
      </c>
      <c r="H9" t="n">
        <v>5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25012H28</t>
        </is>
      </c>
      <c r="B10" t="inlineStr">
        <is>
          <t>250/12 Hub - 28mm bore</t>
        </is>
      </c>
      <c r="C10" t="inlineStr">
        <is>
          <t>CFW Fans (Pty) Ltd</t>
        </is>
      </c>
      <c r="D10" t="inlineStr">
        <is>
          <t>FM - IMPELLER</t>
        </is>
      </c>
      <c r="E10" s="1" t="n">
        <v>384</v>
      </c>
      <c r="F10" t="n">
        <v>2</v>
      </c>
      <c r="G10" t="n">
        <v>0</v>
      </c>
      <c r="H10" t="n">
        <v>8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25012H38</t>
        </is>
      </c>
      <c r="B11" t="inlineStr">
        <is>
          <t>250/12 Hub - 38mm</t>
        </is>
      </c>
      <c r="C11" t="inlineStr">
        <is>
          <t>CFW Fans (Pty) Ltd</t>
        </is>
      </c>
      <c r="D11" t="inlineStr">
        <is>
          <t>FM - IMPELLER</t>
        </is>
      </c>
      <c r="E11" s="1" t="n">
        <v>384</v>
      </c>
      <c r="F11" t="n">
        <v>1</v>
      </c>
      <c r="G11" t="n">
        <v>0</v>
      </c>
      <c r="H11" t="n">
        <v>2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25012H42</t>
        </is>
      </c>
      <c r="B12" t="inlineStr">
        <is>
          <t>250/12 Hub - 42mm</t>
        </is>
      </c>
      <c r="C12" t="inlineStr">
        <is>
          <t>CFW Fans (Pty) Ltd</t>
        </is>
      </c>
      <c r="D12" t="inlineStr">
        <is>
          <t>FM - IMPELLER</t>
        </is>
      </c>
      <c r="E12" s="1" t="n">
        <v>384</v>
      </c>
      <c r="F12" t="n">
        <v>3</v>
      </c>
      <c r="G12" t="n">
        <v>0</v>
      </c>
      <c r="H12" t="n">
        <v>15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Al Blades</t>
        </is>
      </c>
      <c r="B13" t="inlineStr">
        <is>
          <t>Aluminium Blades</t>
        </is>
      </c>
      <c r="C13" t="inlineStr">
        <is>
          <t>CFW Fans (Pty) Ltd</t>
        </is>
      </c>
      <c r="D13" t="inlineStr">
        <is>
          <t>FM - IMPELLER</t>
        </is>
      </c>
      <c r="E13" s="1" t="n">
        <v>85</v>
      </c>
      <c r="F13" t="n">
        <v>47</v>
      </c>
      <c r="G13" t="n">
        <v>0</v>
      </c>
      <c r="H13" t="n">
        <v>234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Al Blanks</t>
        </is>
      </c>
      <c r="B14" t="inlineStr">
        <is>
          <t>Aluminium Blanks</t>
        </is>
      </c>
      <c r="C14" t="inlineStr">
        <is>
          <t>CFW Fans (Pty) Ltd</t>
        </is>
      </c>
      <c r="D14" t="inlineStr">
        <is>
          <t>FM - IMPELLER</t>
        </is>
      </c>
      <c r="E14" s="1" t="n">
        <v>11</v>
      </c>
      <c r="F14" t="n">
        <v>6</v>
      </c>
      <c r="G14" t="n">
        <v>0</v>
      </c>
      <c r="H14" t="n">
        <v>29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Pl Blades</t>
        </is>
      </c>
      <c r="B15" t="inlineStr">
        <is>
          <t>Plastic Blades</t>
        </is>
      </c>
      <c r="C15" t="inlineStr">
        <is>
          <t>CFW Fans (Pty) Ltd</t>
        </is>
      </c>
      <c r="D15" t="inlineStr">
        <is>
          <t>FM - IMPELLER</t>
        </is>
      </c>
      <c r="E15" s="1" t="n">
        <v>42</v>
      </c>
      <c r="F15" t="n">
        <v>29</v>
      </c>
      <c r="G15" t="n">
        <v>0</v>
      </c>
      <c r="H15" t="n">
        <v>144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Pl Blanks</t>
        </is>
      </c>
      <c r="B16" t="inlineStr">
        <is>
          <t>Plastic Blanks</t>
        </is>
      </c>
      <c r="C16" t="inlineStr">
        <is>
          <t>CFW Fans (Pty) Ltd</t>
        </is>
      </c>
      <c r="D16" t="inlineStr">
        <is>
          <t>FM - IMPELLER</t>
        </is>
      </c>
      <c r="E16" s="1" t="n">
        <v>11</v>
      </c>
      <c r="F16" t="n">
        <v>8</v>
      </c>
      <c r="G16" t="n">
        <v>0</v>
      </c>
      <c r="H16" t="n">
        <v>41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AXIP450</t>
        </is>
      </c>
      <c r="B2" t="inlineStr">
        <is>
          <t>TAXIP F300: 450-5-25</t>
        </is>
      </c>
      <c r="C2" t="inlineStr">
        <is>
          <t>Kayites</t>
        </is>
      </c>
      <c r="D2" t="inlineStr">
        <is>
          <t>FM - KAYITES</t>
        </is>
      </c>
      <c r="E2" s="1" t="n">
        <v>4520.64</v>
      </c>
      <c r="F2" t="n">
        <v>2</v>
      </c>
      <c r="G2" t="n">
        <v>0</v>
      </c>
      <c r="H2" t="n">
        <v>6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BAF100</t>
        </is>
      </c>
      <c r="B3" t="inlineStr">
        <is>
          <t>BAF 100</t>
        </is>
      </c>
      <c r="C3" t="inlineStr">
        <is>
          <t>Kayites</t>
        </is>
      </c>
      <c r="D3" t="inlineStr">
        <is>
          <t>FM - KAYITES</t>
        </is>
      </c>
      <c r="E3" s="1" t="n">
        <v>59.08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BAF125</t>
        </is>
      </c>
      <c r="B4" t="inlineStr">
        <is>
          <t>BAF 125</t>
        </is>
      </c>
      <c r="C4" t="inlineStr">
        <is>
          <t>Kayites</t>
        </is>
      </c>
      <c r="D4" t="inlineStr">
        <is>
          <t>FM - KAYITES</t>
        </is>
      </c>
      <c r="E4" s="1" t="n">
        <v>95.86</v>
      </c>
      <c r="F4" t="n">
        <v>1</v>
      </c>
      <c r="G4" t="n">
        <v>0</v>
      </c>
      <c r="H4" t="n">
        <v>5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BAF150</t>
        </is>
      </c>
      <c r="B5" t="inlineStr">
        <is>
          <t>BAF 150</t>
        </is>
      </c>
      <c r="C5" t="inlineStr">
        <is>
          <t>Kayites</t>
        </is>
      </c>
      <c r="D5" t="inlineStr">
        <is>
          <t>FM - KAYITES</t>
        </is>
      </c>
      <c r="E5" s="1" t="n">
        <v>137.02</v>
      </c>
      <c r="F5" t="n">
        <v>2</v>
      </c>
      <c r="G5" t="n">
        <v>0</v>
      </c>
      <c r="H5" t="n">
        <v>10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CFD2.5</t>
        </is>
      </c>
      <c r="B6" t="inlineStr">
        <is>
          <t>2.5 Amps Speed Controller</t>
        </is>
      </c>
      <c r="C6" t="inlineStr">
        <is>
          <t>Kayites</t>
        </is>
      </c>
      <c r="D6" t="inlineStr">
        <is>
          <t>FM - KAYITES</t>
        </is>
      </c>
      <c r="E6" s="1" t="n">
        <v>277.75</v>
      </c>
      <c r="F6" t="n">
        <v>2</v>
      </c>
      <c r="G6" t="n">
        <v>0</v>
      </c>
      <c r="H6" t="n">
        <v>9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CRAD190</t>
        </is>
      </c>
      <c r="B7" t="inlineStr">
        <is>
          <t>CRAD 190</t>
        </is>
      </c>
      <c r="C7" t="inlineStr">
        <is>
          <t>Kayites</t>
        </is>
      </c>
      <c r="D7" t="inlineStr">
        <is>
          <t>FM - KAYITES</t>
        </is>
      </c>
      <c r="E7" s="1" t="n">
        <v>872.8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CRAD450</t>
        </is>
      </c>
      <c r="B8" t="inlineStr">
        <is>
          <t>CRAD 450</t>
        </is>
      </c>
      <c r="C8" t="inlineStr">
        <is>
          <t>Kayites</t>
        </is>
      </c>
      <c r="D8" t="inlineStr">
        <is>
          <t>FM - KAYITES</t>
        </is>
      </c>
      <c r="E8" s="1" t="n">
        <v>4865.1</v>
      </c>
      <c r="F8" t="n">
        <v>1</v>
      </c>
      <c r="G8" t="n">
        <v>0</v>
      </c>
      <c r="H8" t="n">
        <v>3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CRADIK190</t>
        </is>
      </c>
      <c r="B9" t="inlineStr">
        <is>
          <t>CRADIK 190</t>
        </is>
      </c>
      <c r="C9" t="inlineStr"/>
      <c r="D9" t="inlineStr">
        <is>
          <t>FM - KAYITES</t>
        </is>
      </c>
      <c r="E9" s="1" t="n">
        <v>0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CUB355</t>
        </is>
      </c>
      <c r="B10" t="inlineStr">
        <is>
          <t>CUB 355</t>
        </is>
      </c>
      <c r="C10" t="inlineStr"/>
      <c r="D10" t="inlineStr">
        <is>
          <t>FM - KAYITES</t>
        </is>
      </c>
      <c r="E10" s="1" t="n">
        <v>0</v>
      </c>
      <c r="F10" t="n">
        <v>1</v>
      </c>
      <c r="G10" t="n">
        <v>0</v>
      </c>
      <c r="H10" t="n">
        <v>2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JRAD50F300</t>
        </is>
      </c>
      <c r="B11" t="inlineStr">
        <is>
          <t>JRAD 50 F300 'C / 2H</t>
        </is>
      </c>
      <c r="C11" t="inlineStr">
        <is>
          <t>Kayites</t>
        </is>
      </c>
      <c r="D11" t="inlineStr">
        <is>
          <t>FM - KAYITES</t>
        </is>
      </c>
      <c r="E11" s="1" t="n">
        <v>8234.75</v>
      </c>
      <c r="F11" t="n">
        <v>1</v>
      </c>
      <c r="G11" t="n">
        <v>0</v>
      </c>
      <c r="H11" t="n">
        <v>3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JRAD70F300</t>
        </is>
      </c>
      <c r="B12" t="inlineStr">
        <is>
          <t>JRAD 70 F300 'C / 2H</t>
        </is>
      </c>
      <c r="C12" t="inlineStr">
        <is>
          <t>Kayites</t>
        </is>
      </c>
      <c r="D12" t="inlineStr">
        <is>
          <t>FM - KAYITES</t>
        </is>
      </c>
      <c r="E12" s="1" t="n">
        <v>10200.65</v>
      </c>
      <c r="F12" t="n">
        <v>3</v>
      </c>
      <c r="G12" t="n">
        <v>0</v>
      </c>
      <c r="H12" t="n">
        <v>15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JRAD90F300</t>
        </is>
      </c>
      <c r="B13" t="inlineStr">
        <is>
          <t>JRAD 90 F300 'C / 2H</t>
        </is>
      </c>
      <c r="C13" t="inlineStr">
        <is>
          <t>Kayites</t>
        </is>
      </c>
      <c r="D13" t="inlineStr">
        <is>
          <t>FM - KAYITES</t>
        </is>
      </c>
      <c r="E13" s="1" t="n">
        <v>10609.51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KAF125</t>
        </is>
      </c>
      <c r="B14" t="inlineStr">
        <is>
          <t>KAF 125</t>
        </is>
      </c>
      <c r="C14" t="inlineStr"/>
      <c r="D14" t="inlineStr">
        <is>
          <t>FM - KAYITES</t>
        </is>
      </c>
      <c r="E14" s="1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KAF150</t>
        </is>
      </c>
      <c r="B15" t="inlineStr">
        <is>
          <t>KAF 150</t>
        </is>
      </c>
      <c r="C15" t="inlineStr"/>
      <c r="D15" t="inlineStr">
        <is>
          <t>FM - KAYITES</t>
        </is>
      </c>
      <c r="E15" s="1" t="n">
        <v>0</v>
      </c>
      <c r="F15" t="n">
        <v>1</v>
      </c>
      <c r="G15" t="n">
        <v>0</v>
      </c>
      <c r="H15" t="n">
        <v>2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KAF200</t>
        </is>
      </c>
      <c r="B16" t="inlineStr">
        <is>
          <t>KAF 200</t>
        </is>
      </c>
      <c r="C16" t="inlineStr"/>
      <c r="D16" t="inlineStr">
        <is>
          <t>FM - KAYITES</t>
        </is>
      </c>
      <c r="E16" s="1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KAF250</t>
        </is>
      </c>
      <c r="B17" t="inlineStr">
        <is>
          <t>KAF 250</t>
        </is>
      </c>
      <c r="C17" t="inlineStr"/>
      <c r="D17" t="inlineStr">
        <is>
          <t>FM - KAYITES</t>
        </is>
      </c>
      <c r="E17" s="1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KAF315</t>
        </is>
      </c>
      <c r="B18" t="inlineStr">
        <is>
          <t>KAF 315</t>
        </is>
      </c>
      <c r="C18" t="inlineStr"/>
      <c r="D18" t="inlineStr">
        <is>
          <t>FM - KAYITES</t>
        </is>
      </c>
      <c r="E18" s="1" t="n">
        <v>0</v>
      </c>
      <c r="F18" t="n">
        <v>1</v>
      </c>
      <c r="G18" t="n">
        <v>0</v>
      </c>
      <c r="H18" t="n">
        <v>4</v>
      </c>
      <c r="I18" t="n">
        <v>0</v>
      </c>
      <c r="J18" t="n">
        <v>0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KAZ120</t>
        </is>
      </c>
      <c r="B19" t="inlineStr">
        <is>
          <t>KAZ 120</t>
        </is>
      </c>
      <c r="C19" t="inlineStr">
        <is>
          <t>Kayites</t>
        </is>
      </c>
      <c r="D19" t="inlineStr">
        <is>
          <t>FM - KAYITES</t>
        </is>
      </c>
      <c r="E19" s="1" t="n">
        <v>479.32</v>
      </c>
      <c r="F19" t="n">
        <v>1</v>
      </c>
      <c r="G19" t="n">
        <v>0</v>
      </c>
      <c r="H19" t="n">
        <v>5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KAZ140</t>
        </is>
      </c>
      <c r="B20" t="inlineStr">
        <is>
          <t>KAZ 140</t>
        </is>
      </c>
      <c r="C20" t="inlineStr">
        <is>
          <t>Kayites</t>
        </is>
      </c>
      <c r="D20" t="inlineStr">
        <is>
          <t>FM - KAYITES</t>
        </is>
      </c>
      <c r="E20" s="1" t="n">
        <v>492.37</v>
      </c>
      <c r="F20" t="n">
        <v>1</v>
      </c>
      <c r="G20" t="n">
        <v>0</v>
      </c>
      <c r="H20" t="n">
        <v>2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KAZ160</t>
        </is>
      </c>
      <c r="B21" t="inlineStr">
        <is>
          <t>KAZ 160</t>
        </is>
      </c>
      <c r="C21" t="inlineStr">
        <is>
          <t>Kayites</t>
        </is>
      </c>
      <c r="D21" t="inlineStr">
        <is>
          <t>FM - KAYITES</t>
        </is>
      </c>
      <c r="E21" s="1" t="n">
        <v>555.49</v>
      </c>
      <c r="F21" t="n">
        <v>1</v>
      </c>
      <c r="G21" t="n">
        <v>0</v>
      </c>
      <c r="H21" t="n">
        <v>6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KDAXIS200</t>
        </is>
      </c>
      <c r="B22" t="inlineStr">
        <is>
          <t>KDAXIS 200</t>
        </is>
      </c>
      <c r="C22" t="inlineStr">
        <is>
          <t>Kayites</t>
        </is>
      </c>
      <c r="D22" t="inlineStr">
        <is>
          <t>FM - KAYITES</t>
        </is>
      </c>
      <c r="E22" s="1" t="n">
        <v>432.77</v>
      </c>
      <c r="F22" t="n">
        <v>1</v>
      </c>
      <c r="G22" t="n">
        <v>0</v>
      </c>
      <c r="H22" t="n">
        <v>5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KDAXIS250</t>
        </is>
      </c>
      <c r="B23" t="inlineStr">
        <is>
          <t>KDAXIS 250</t>
        </is>
      </c>
      <c r="C23" t="inlineStr">
        <is>
          <t>Kayites</t>
        </is>
      </c>
      <c r="D23" t="inlineStr">
        <is>
          <t>FM - KAYITES</t>
        </is>
      </c>
      <c r="E23" s="1" t="n">
        <v>538.3</v>
      </c>
      <c r="F23" t="n">
        <v>1</v>
      </c>
      <c r="G23" t="n">
        <v>0</v>
      </c>
      <c r="H23" t="n">
        <v>6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KDAXIS300</t>
        </is>
      </c>
      <c r="B24" t="inlineStr">
        <is>
          <t>KDAXIS 300</t>
        </is>
      </c>
      <c r="C24" t="inlineStr">
        <is>
          <t>Kayites</t>
        </is>
      </c>
      <c r="D24" t="inlineStr">
        <is>
          <t>FM - KAYITES</t>
        </is>
      </c>
      <c r="E24" s="1" t="n">
        <v>605.5</v>
      </c>
      <c r="F24" t="n">
        <v>1</v>
      </c>
      <c r="G24" t="n">
        <v>0</v>
      </c>
      <c r="H24" t="n">
        <v>6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KDAXIS350</t>
        </is>
      </c>
      <c r="B25" t="inlineStr">
        <is>
          <t>KDAXIS 350</t>
        </is>
      </c>
      <c r="C25" t="inlineStr">
        <is>
          <t>Kayites</t>
        </is>
      </c>
      <c r="D25" t="inlineStr">
        <is>
          <t>FM - KAYITES</t>
        </is>
      </c>
      <c r="E25" s="1" t="n">
        <v>672.8200000000001</v>
      </c>
      <c r="F25" t="n">
        <v>1</v>
      </c>
      <c r="G25" t="n">
        <v>0</v>
      </c>
      <c r="H25" t="n">
        <v>5</v>
      </c>
      <c r="I25" t="n">
        <v>0</v>
      </c>
      <c r="J25" t="n">
        <v>0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KSA4004M</t>
        </is>
      </c>
      <c r="B26" t="inlineStr">
        <is>
          <t>KSA-400-4K-M-220V</t>
        </is>
      </c>
      <c r="C26" t="inlineStr">
        <is>
          <t>Kayites</t>
        </is>
      </c>
      <c r="D26" t="inlineStr">
        <is>
          <t>FM - KAYITES</t>
        </is>
      </c>
      <c r="E26" s="1" t="n">
        <v>1520.58</v>
      </c>
      <c r="F26" t="n">
        <v>1</v>
      </c>
      <c r="G26" t="n">
        <v>0</v>
      </c>
      <c r="H26" t="n">
        <v>3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KSA4004T</t>
        </is>
      </c>
      <c r="B27" t="inlineStr">
        <is>
          <t>KSA-400-4K-T-380V</t>
        </is>
      </c>
      <c r="C27" t="inlineStr">
        <is>
          <t>Kayites</t>
        </is>
      </c>
      <c r="D27" t="inlineStr">
        <is>
          <t>FM - KAYITES</t>
        </is>
      </c>
      <c r="E27" s="1" t="n">
        <v>1520.58</v>
      </c>
      <c r="F27" t="n">
        <v>1</v>
      </c>
      <c r="G27" t="n">
        <v>0</v>
      </c>
      <c r="H27" t="n">
        <v>3</v>
      </c>
      <c r="I27" t="n">
        <v>0</v>
      </c>
      <c r="J27" t="n">
        <v>0</v>
      </c>
      <c r="K27">
        <f>IF(H27-I27-J27&gt;0,H27-I27-J27,0)</f>
        <v/>
      </c>
      <c r="L27" s="1">
        <f>IFERROR(I27*E27,0)</f>
        <v/>
      </c>
      <c r="M27" s="1">
        <f>IFERROR(K27*E27,0)</f>
        <v/>
      </c>
    </row>
    <row r="28">
      <c r="A28" t="inlineStr">
        <is>
          <t>KSA4504T</t>
        </is>
      </c>
      <c r="B28" t="inlineStr">
        <is>
          <t>KSA-450-4K-T-380V</t>
        </is>
      </c>
      <c r="C28" t="inlineStr"/>
      <c r="D28" t="inlineStr">
        <is>
          <t>FM - KAYITES</t>
        </is>
      </c>
      <c r="E28" s="1" t="n">
        <v>0</v>
      </c>
      <c r="F28" t="n">
        <v>1</v>
      </c>
      <c r="G28" t="n">
        <v>0</v>
      </c>
      <c r="H28" t="n">
        <v>2</v>
      </c>
      <c r="I28" t="n">
        <v>0</v>
      </c>
      <c r="J28" t="n">
        <v>0</v>
      </c>
      <c r="K28">
        <f>IF(H28-I28-J28&gt;0,H28-I28-J28,0)</f>
        <v/>
      </c>
      <c r="L28" s="1">
        <f>IFERROR(I28*E28,0)</f>
        <v/>
      </c>
      <c r="M28" s="1">
        <f>IFERROR(K28*E28,0)</f>
        <v/>
      </c>
    </row>
    <row r="29">
      <c r="A29" t="inlineStr">
        <is>
          <t>KSA5004M</t>
        </is>
      </c>
      <c r="B29" t="inlineStr">
        <is>
          <t>KSA-500-4K-M-220V</t>
        </is>
      </c>
      <c r="C29" t="inlineStr">
        <is>
          <t>Kayites</t>
        </is>
      </c>
      <c r="D29" t="inlineStr">
        <is>
          <t>FM - KAYITES</t>
        </is>
      </c>
      <c r="E29" s="1" t="n">
        <v>1547.46</v>
      </c>
      <c r="F29" t="n">
        <v>1</v>
      </c>
      <c r="G29" t="n">
        <v>0</v>
      </c>
      <c r="H29" t="n">
        <v>3</v>
      </c>
      <c r="I29" t="n">
        <v>0</v>
      </c>
      <c r="J29" t="n">
        <v>0</v>
      </c>
      <c r="K29">
        <f>IF(H29-I29-J29&gt;0,H29-I29-J29,0)</f>
        <v/>
      </c>
      <c r="L29" s="1">
        <f>IFERROR(I29*E29,0)</f>
        <v/>
      </c>
      <c r="M29" s="1">
        <f>IFERROR(K29*E29,0)</f>
        <v/>
      </c>
    </row>
    <row r="30">
      <c r="A30" t="inlineStr">
        <is>
          <t>KSA5004T</t>
        </is>
      </c>
      <c r="B30" t="inlineStr">
        <is>
          <t>KSA-500-4K-T-380V</t>
        </is>
      </c>
      <c r="C30" t="inlineStr">
        <is>
          <t>Kayites</t>
        </is>
      </c>
      <c r="D30" t="inlineStr">
        <is>
          <t>FM - KAYITES</t>
        </is>
      </c>
      <c r="E30" s="1" t="n">
        <v>928.48</v>
      </c>
      <c r="F30" t="n">
        <v>1</v>
      </c>
      <c r="G30" t="n">
        <v>0</v>
      </c>
      <c r="H30" t="n">
        <v>3</v>
      </c>
      <c r="I30" t="n">
        <v>0</v>
      </c>
      <c r="J30" t="n">
        <v>0</v>
      </c>
      <c r="K30">
        <f>IF(H30-I30-J30&gt;0,H30-I30-J30,0)</f>
        <v/>
      </c>
      <c r="L30" s="1">
        <f>IFERROR(I30*E30,0)</f>
        <v/>
      </c>
      <c r="M30" s="1">
        <f>IFERROR(K30*E30,0)</f>
        <v/>
      </c>
    </row>
    <row r="31">
      <c r="A31" t="inlineStr">
        <is>
          <t>KSA6004T</t>
        </is>
      </c>
      <c r="B31" t="inlineStr">
        <is>
          <t>KSA-600-4K-T-380V</t>
        </is>
      </c>
      <c r="C31" t="inlineStr">
        <is>
          <t>Kayites</t>
        </is>
      </c>
      <c r="D31" t="inlineStr">
        <is>
          <t>FM - KAYITES</t>
        </is>
      </c>
      <c r="E31" s="1" t="n">
        <v>0</v>
      </c>
      <c r="F31" t="n">
        <v>1</v>
      </c>
      <c r="G31" t="n">
        <v>0</v>
      </c>
      <c r="H31" t="n">
        <v>2</v>
      </c>
      <c r="I31" t="n">
        <v>0</v>
      </c>
      <c r="J31" t="n">
        <v>0</v>
      </c>
      <c r="K31">
        <f>IF(H31-I31-J31&gt;0,H31-I31-J31,0)</f>
        <v/>
      </c>
      <c r="L31" s="1">
        <f>IFERROR(I31*E31,0)</f>
        <v/>
      </c>
      <c r="M31" s="1">
        <f>IFERROR(K31*E31,0)</f>
        <v/>
      </c>
    </row>
    <row r="32">
      <c r="A32" t="inlineStr">
        <is>
          <t>MRAD315</t>
        </is>
      </c>
      <c r="B32" t="inlineStr">
        <is>
          <t>MRAD 315</t>
        </is>
      </c>
      <c r="C32" t="inlineStr">
        <is>
          <t>Kayites</t>
        </is>
      </c>
      <c r="D32" t="inlineStr">
        <is>
          <t>FM - KAYITES</t>
        </is>
      </c>
      <c r="E32" s="1" t="n">
        <v>0</v>
      </c>
      <c r="F32" t="n">
        <v>1</v>
      </c>
      <c r="G32" t="n">
        <v>0</v>
      </c>
      <c r="H32" t="n">
        <v>2</v>
      </c>
      <c r="I32" t="n">
        <v>0</v>
      </c>
      <c r="J32" t="n">
        <v>0</v>
      </c>
      <c r="K32">
        <f>IF(H32-I32-J32&gt;0,H32-I32-J32,0)</f>
        <v/>
      </c>
      <c r="L32" s="1">
        <f>IFERROR(I32*E32,0)</f>
        <v/>
      </c>
      <c r="M32" s="1">
        <f>IFERROR(K32*E32,0)</f>
        <v/>
      </c>
    </row>
    <row r="33">
      <c r="A33" t="inlineStr">
        <is>
          <t>RAD100</t>
        </is>
      </c>
      <c r="B33" t="inlineStr">
        <is>
          <t>RAD 100</t>
        </is>
      </c>
      <c r="C33" t="inlineStr">
        <is>
          <t>Kayites</t>
        </is>
      </c>
      <c r="D33" t="inlineStr">
        <is>
          <t>FM - KAYITES</t>
        </is>
      </c>
      <c r="E33" s="1" t="n">
        <v>460.87</v>
      </c>
      <c r="F33" t="n">
        <v>1</v>
      </c>
      <c r="G33" t="n">
        <v>0</v>
      </c>
      <c r="H33" t="n">
        <v>4</v>
      </c>
      <c r="I33" t="n">
        <v>0</v>
      </c>
      <c r="J33" t="n">
        <v>0</v>
      </c>
      <c r="K33">
        <f>IF(H33-I33-J33&gt;0,H33-I33-J33,0)</f>
        <v/>
      </c>
      <c r="L33" s="1">
        <f>IFERROR(I33*E33,0)</f>
        <v/>
      </c>
      <c r="M33" s="1">
        <f>IFERROR(K33*E33,0)</f>
        <v/>
      </c>
    </row>
    <row r="34">
      <c r="A34" t="inlineStr">
        <is>
          <t>RAD125</t>
        </is>
      </c>
      <c r="B34" t="inlineStr">
        <is>
          <t>RAD 125</t>
        </is>
      </c>
      <c r="C34" t="inlineStr">
        <is>
          <t>Kayites</t>
        </is>
      </c>
      <c r="D34" t="inlineStr">
        <is>
          <t>FM - KAYITES</t>
        </is>
      </c>
      <c r="E34" s="1" t="n">
        <v>516.49</v>
      </c>
      <c r="F34" t="n">
        <v>1</v>
      </c>
      <c r="G34" t="n">
        <v>0</v>
      </c>
      <c r="H34" t="n">
        <v>4</v>
      </c>
      <c r="I34" t="n">
        <v>0</v>
      </c>
      <c r="J34" t="n">
        <v>0</v>
      </c>
      <c r="K34">
        <f>IF(H34-I34-J34&gt;0,H34-I34-J34,0)</f>
        <v/>
      </c>
      <c r="L34" s="1">
        <f>IFERROR(I34*E34,0)</f>
        <v/>
      </c>
      <c r="M34" s="1">
        <f>IFERROR(K34*E34,0)</f>
        <v/>
      </c>
    </row>
    <row r="35">
      <c r="A35" t="inlineStr">
        <is>
          <t>RAD150</t>
        </is>
      </c>
      <c r="B35" t="inlineStr">
        <is>
          <t>RAD 150</t>
        </is>
      </c>
      <c r="C35" t="inlineStr">
        <is>
          <t>Kayites</t>
        </is>
      </c>
      <c r="D35" t="inlineStr">
        <is>
          <t>FM - KAYITES</t>
        </is>
      </c>
      <c r="E35" s="1" t="n">
        <v>517.79</v>
      </c>
      <c r="F35" t="n">
        <v>2</v>
      </c>
      <c r="G35" t="n">
        <v>0</v>
      </c>
      <c r="H35" t="n">
        <v>9</v>
      </c>
      <c r="I35" t="n">
        <v>0</v>
      </c>
      <c r="J35" t="n">
        <v>0</v>
      </c>
      <c r="K35">
        <f>IF(H35-I35-J35&gt;0,H35-I35-J35,0)</f>
        <v/>
      </c>
      <c r="L35" s="1">
        <f>IFERROR(I35*E35,0)</f>
        <v/>
      </c>
      <c r="M35" s="1">
        <f>IFERROR(K35*E35,0)</f>
        <v/>
      </c>
    </row>
    <row r="36">
      <c r="A36" t="inlineStr">
        <is>
          <t>RAD200</t>
        </is>
      </c>
      <c r="B36" t="inlineStr">
        <is>
          <t>RAD 200</t>
        </is>
      </c>
      <c r="C36" t="inlineStr">
        <is>
          <t>Kayites</t>
        </is>
      </c>
      <c r="D36" t="inlineStr">
        <is>
          <t>FM - KAYITES</t>
        </is>
      </c>
      <c r="E36" s="1" t="n">
        <v>706.0700000000001</v>
      </c>
      <c r="F36" t="n">
        <v>4</v>
      </c>
      <c r="G36" t="n">
        <v>0</v>
      </c>
      <c r="H36" t="n">
        <v>16</v>
      </c>
      <c r="I36" t="n">
        <v>0</v>
      </c>
      <c r="J36" t="n">
        <v>0</v>
      </c>
      <c r="K36">
        <f>IF(H36-I36-J36&gt;0,H36-I36-J36,0)</f>
        <v/>
      </c>
      <c r="L36" s="1">
        <f>IFERROR(I36*E36,0)</f>
        <v/>
      </c>
      <c r="M36" s="1">
        <f>IFERROR(K36*E36,0)</f>
        <v/>
      </c>
    </row>
    <row r="37">
      <c r="A37" t="inlineStr">
        <is>
          <t>RAD250</t>
        </is>
      </c>
      <c r="B37" t="inlineStr">
        <is>
          <t>RAD 250</t>
        </is>
      </c>
      <c r="C37" t="inlineStr">
        <is>
          <t>Kayites</t>
        </is>
      </c>
      <c r="D37" t="inlineStr">
        <is>
          <t>FM - KAYITES</t>
        </is>
      </c>
      <c r="E37" s="1" t="n">
        <v>776.6799999999999</v>
      </c>
      <c r="F37" t="n">
        <v>2</v>
      </c>
      <c r="G37" t="n">
        <v>0</v>
      </c>
      <c r="H37" t="n">
        <v>12</v>
      </c>
      <c r="I37" t="n">
        <v>0</v>
      </c>
      <c r="J37" t="n">
        <v>0</v>
      </c>
      <c r="K37">
        <f>IF(H37-I37-J37&gt;0,H37-I37-J37,0)</f>
        <v/>
      </c>
      <c r="L37" s="1">
        <f>IFERROR(I37*E37,0)</f>
        <v/>
      </c>
      <c r="M37" s="1">
        <f>IFERROR(K37*E37,0)</f>
        <v/>
      </c>
    </row>
    <row r="38">
      <c r="A38" t="inlineStr">
        <is>
          <t>RAD315</t>
        </is>
      </c>
      <c r="B38" t="inlineStr">
        <is>
          <t>RAD 315</t>
        </is>
      </c>
      <c r="C38" t="inlineStr">
        <is>
          <t>Kayites</t>
        </is>
      </c>
      <c r="D38" t="inlineStr">
        <is>
          <t>FM - KAYITES</t>
        </is>
      </c>
      <c r="E38" s="1" t="n">
        <v>941.4299999999999</v>
      </c>
      <c r="F38" t="n">
        <v>4</v>
      </c>
      <c r="G38" t="n">
        <v>0</v>
      </c>
      <c r="H38" t="n">
        <v>16</v>
      </c>
      <c r="I38" t="n">
        <v>0</v>
      </c>
      <c r="J38" t="n">
        <v>0</v>
      </c>
      <c r="K38">
        <f>IF(H38-I38-J38&gt;0,H38-I38-J38,0)</f>
        <v/>
      </c>
      <c r="L38" s="1">
        <f>IFERROR(I38*E38,0)</f>
        <v/>
      </c>
      <c r="M38" s="1">
        <f>IFERROR(K38*E38,0)</f>
        <v/>
      </c>
    </row>
    <row r="39">
      <c r="A39" t="inlineStr">
        <is>
          <t>RAD355</t>
        </is>
      </c>
      <c r="B39" t="inlineStr">
        <is>
          <t>RAD 355</t>
        </is>
      </c>
      <c r="C39" t="inlineStr">
        <is>
          <t>Kayites</t>
        </is>
      </c>
      <c r="D39" t="inlineStr">
        <is>
          <t>FM - KAYITES</t>
        </is>
      </c>
      <c r="E39" s="1" t="n">
        <v>1684.24</v>
      </c>
      <c r="F39" t="n">
        <v>1</v>
      </c>
      <c r="G39" t="n">
        <v>0</v>
      </c>
      <c r="H39" t="n">
        <v>5</v>
      </c>
      <c r="I39" t="n">
        <v>0</v>
      </c>
      <c r="J39" t="n">
        <v>0</v>
      </c>
      <c r="K39">
        <f>IF(H39-I39-J39&gt;0,H39-I39-J39,0)</f>
        <v/>
      </c>
      <c r="L39" s="1">
        <f>IFERROR(I39*E39,0)</f>
        <v/>
      </c>
      <c r="M39" s="1">
        <f>IFERROR(K39*E39,0)</f>
        <v/>
      </c>
    </row>
    <row r="40">
      <c r="A40" t="inlineStr">
        <is>
          <t>REC10050</t>
        </is>
      </c>
      <c r="B40" t="inlineStr">
        <is>
          <t>REC 100-50</t>
        </is>
      </c>
      <c r="C40" t="inlineStr">
        <is>
          <t>Kayites</t>
        </is>
      </c>
      <c r="D40" t="inlineStr">
        <is>
          <t>FM - KAYITES</t>
        </is>
      </c>
      <c r="E40" s="1" t="n">
        <v>10123.17</v>
      </c>
      <c r="F40" t="n">
        <v>1</v>
      </c>
      <c r="G40" t="n">
        <v>0</v>
      </c>
      <c r="H40" t="n">
        <v>3</v>
      </c>
      <c r="I40" t="n">
        <v>0</v>
      </c>
      <c r="J40" t="n">
        <v>0</v>
      </c>
      <c r="K40">
        <f>IF(H40-I40-J40&gt;0,H40-I40-J40,0)</f>
        <v/>
      </c>
      <c r="L40" s="1">
        <f>IFERROR(I40*E40,0)</f>
        <v/>
      </c>
      <c r="M40" s="1">
        <f>IFERROR(K40*E40,0)</f>
        <v/>
      </c>
    </row>
    <row r="41">
      <c r="A41" t="inlineStr">
        <is>
          <t>REC5025</t>
        </is>
      </c>
      <c r="B41" t="inlineStr">
        <is>
          <t>REC 50-25</t>
        </is>
      </c>
      <c r="C41" t="inlineStr">
        <is>
          <t>Kayites</t>
        </is>
      </c>
      <c r="D41" t="inlineStr">
        <is>
          <t>FM - KAYITES</t>
        </is>
      </c>
      <c r="E41" s="1" t="n">
        <v>989.28</v>
      </c>
      <c r="F41" t="n">
        <v>1</v>
      </c>
      <c r="G41" t="n">
        <v>0</v>
      </c>
      <c r="H41" t="n">
        <v>3</v>
      </c>
      <c r="I41" t="n">
        <v>0</v>
      </c>
      <c r="J41" t="n">
        <v>0</v>
      </c>
      <c r="K41">
        <f>IF(H41-I41-J41&gt;0,H41-I41-J41,0)</f>
        <v/>
      </c>
      <c r="L41" s="1">
        <f>IFERROR(I41*E41,0)</f>
        <v/>
      </c>
      <c r="M41" s="1">
        <f>IFERROR(K41*E41,0)</f>
        <v/>
      </c>
    </row>
    <row r="42">
      <c r="A42" t="inlineStr">
        <is>
          <t>REC6035</t>
        </is>
      </c>
      <c r="B42" t="inlineStr">
        <is>
          <t>REC 60-35</t>
        </is>
      </c>
      <c r="C42" t="inlineStr">
        <is>
          <t>Kayites</t>
        </is>
      </c>
      <c r="D42" t="inlineStr">
        <is>
          <t>FM - KAYITES</t>
        </is>
      </c>
      <c r="E42" s="1" t="n">
        <v>3603.38</v>
      </c>
      <c r="F42" t="n">
        <v>1</v>
      </c>
      <c r="G42" t="n">
        <v>0</v>
      </c>
      <c r="H42" t="n">
        <v>2</v>
      </c>
      <c r="I42" t="n">
        <v>0</v>
      </c>
      <c r="J42" t="n">
        <v>0</v>
      </c>
      <c r="K42">
        <f>IF(H42-I42-J42&gt;0,H42-I42-J42,0)</f>
        <v/>
      </c>
      <c r="L42" s="1">
        <f>IFERROR(I42*E42,0)</f>
        <v/>
      </c>
      <c r="M42" s="1">
        <f>IFERROR(K42*E42,0)</f>
        <v/>
      </c>
    </row>
    <row r="43">
      <c r="A43" t="inlineStr">
        <is>
          <t>REC7040</t>
        </is>
      </c>
      <c r="B43" t="inlineStr">
        <is>
          <t>REC 70-40</t>
        </is>
      </c>
      <c r="C43" t="inlineStr">
        <is>
          <t>Kayites</t>
        </is>
      </c>
      <c r="D43" t="inlineStr">
        <is>
          <t>FM - KAYITES</t>
        </is>
      </c>
      <c r="E43" s="1" t="n">
        <v>4569.86</v>
      </c>
      <c r="F43" t="n">
        <v>1</v>
      </c>
      <c r="G43" t="n">
        <v>0</v>
      </c>
      <c r="H43" t="n">
        <v>2</v>
      </c>
      <c r="I43" t="n">
        <v>0</v>
      </c>
      <c r="J43" t="n">
        <v>0</v>
      </c>
      <c r="K43">
        <f>IF(H43-I43-J43&gt;0,H43-I43-J43,0)</f>
        <v/>
      </c>
      <c r="L43" s="1">
        <f>IFERROR(I43*E43,0)</f>
        <v/>
      </c>
      <c r="M43" s="1">
        <f>IFERROR(K43*E43,0)</f>
        <v/>
      </c>
    </row>
    <row r="44">
      <c r="A44" t="inlineStr">
        <is>
          <t>SAL500</t>
        </is>
      </c>
      <c r="B44" t="inlineStr">
        <is>
          <t>SAL 500</t>
        </is>
      </c>
      <c r="C44" t="inlineStr"/>
      <c r="D44" t="inlineStr">
        <is>
          <t>FM - KAYITES</t>
        </is>
      </c>
      <c r="E44" s="1" t="n">
        <v>0</v>
      </c>
      <c r="F44" t="n">
        <v>1</v>
      </c>
      <c r="G44" t="n">
        <v>0</v>
      </c>
      <c r="H44" t="n">
        <v>2</v>
      </c>
      <c r="I44" t="n">
        <v>0</v>
      </c>
      <c r="J44" t="n">
        <v>0</v>
      </c>
      <c r="K44">
        <f>IF(H44-I44-J44&gt;0,H44-I44-J44,0)</f>
        <v/>
      </c>
      <c r="L44" s="1">
        <f>IFERROR(I44*E44,0)</f>
        <v/>
      </c>
      <c r="M44" s="1">
        <f>IFERROR(K44*E44,0)</f>
        <v/>
      </c>
    </row>
    <row r="45">
      <c r="A45" t="inlineStr">
        <is>
          <t>SEF100</t>
        </is>
      </c>
      <c r="B45" t="inlineStr">
        <is>
          <t>SEF 100</t>
        </is>
      </c>
      <c r="C45" t="inlineStr">
        <is>
          <t>Kayites</t>
        </is>
      </c>
      <c r="D45" t="inlineStr">
        <is>
          <t>FM - KAYITES</t>
        </is>
      </c>
      <c r="E45" s="1" t="n">
        <v>143.08</v>
      </c>
      <c r="F45" t="n">
        <v>1</v>
      </c>
      <c r="G45" t="n">
        <v>0</v>
      </c>
      <c r="H45" t="n">
        <v>2</v>
      </c>
      <c r="I45" t="n">
        <v>0</v>
      </c>
      <c r="J45" t="n">
        <v>0</v>
      </c>
      <c r="K45">
        <f>IF(H45-I45-J45&gt;0,H45-I45-J45,0)</f>
        <v/>
      </c>
      <c r="L45" s="1">
        <f>IFERROR(I45*E45,0)</f>
        <v/>
      </c>
      <c r="M45" s="1">
        <f>IFERROR(K45*E45,0)</f>
        <v/>
      </c>
    </row>
    <row r="46">
      <c r="A46" t="inlineStr">
        <is>
          <t>SEF125</t>
        </is>
      </c>
      <c r="B46" t="inlineStr">
        <is>
          <t>SEF125</t>
        </is>
      </c>
      <c r="C46" t="inlineStr">
        <is>
          <t>Kayites</t>
        </is>
      </c>
      <c r="D46" t="inlineStr">
        <is>
          <t>FM - KAYITES</t>
        </is>
      </c>
      <c r="E46" s="1" t="n">
        <v>361.37</v>
      </c>
      <c r="F46" t="n">
        <v>1</v>
      </c>
      <c r="G46" t="n">
        <v>0</v>
      </c>
      <c r="H46" t="n">
        <v>2</v>
      </c>
      <c r="I46" t="n">
        <v>0</v>
      </c>
      <c r="J46" t="n">
        <v>0</v>
      </c>
      <c r="K46">
        <f>IF(H46-I46-J46&gt;0,H46-I46-J46,0)</f>
        <v/>
      </c>
      <c r="L46" s="1">
        <f>IFERROR(I46*E46,0)</f>
        <v/>
      </c>
      <c r="M46" s="1">
        <f>IFERROR(K46*E46,0)</f>
        <v/>
      </c>
    </row>
    <row r="47">
      <c r="A47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CAP0.14220</t>
        </is>
      </c>
      <c r="B2" t="inlineStr">
        <is>
          <t>New Capacitor suitable for 60hz 0.1kw 1430rpm 230V</t>
        </is>
      </c>
      <c r="C2" t="inlineStr">
        <is>
          <t>Luck and King</t>
        </is>
      </c>
      <c r="D2" t="inlineStr">
        <is>
          <t>FM - LUCK &amp; KING</t>
        </is>
      </c>
      <c r="E2" s="1" t="n">
        <v>285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RW0.14220</t>
        </is>
      </c>
      <c r="B3" t="inlineStr">
        <is>
          <t>Rewind 0.1Kw 1430rpm 230V Motor Suitable for 60Hz Operation</t>
        </is>
      </c>
      <c r="C3" t="inlineStr">
        <is>
          <t>Luck and King</t>
        </is>
      </c>
      <c r="D3" t="inlineStr">
        <is>
          <t>FM - LUCK &amp; KING</t>
        </is>
      </c>
      <c r="E3" s="1" t="n">
        <v>1930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1000MF</t>
        </is>
      </c>
      <c r="B2" t="inlineStr">
        <is>
          <t>1000 Diam Mounting Feet</t>
        </is>
      </c>
      <c r="C2" t="inlineStr">
        <is>
          <t>Attenu-Tec HVAC Parts</t>
        </is>
      </c>
      <c r="D2" t="inlineStr">
        <is>
          <t>FM - M/FEET</t>
        </is>
      </c>
      <c r="E2" s="1" t="n">
        <v>470.13</v>
      </c>
      <c r="F2" t="n">
        <v>1</v>
      </c>
      <c r="G2" t="n">
        <v>0</v>
      </c>
      <c r="H2" t="n">
        <v>5</v>
      </c>
      <c r="I2" t="n">
        <v>0</v>
      </c>
      <c r="J2" t="n">
        <v>4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1000MFUG</t>
        </is>
      </c>
      <c r="B3" t="inlineStr">
        <is>
          <t>1000 Diam Mounting Feet Ungalvanized</t>
        </is>
      </c>
      <c r="C3" t="inlineStr">
        <is>
          <t>ULTIMATENG (PTY) LTD</t>
        </is>
      </c>
      <c r="D3" t="inlineStr">
        <is>
          <t>FM - M/FEET</t>
        </is>
      </c>
      <c r="E3" s="1" t="n">
        <v>0</v>
      </c>
      <c r="F3" t="n">
        <v>12</v>
      </c>
      <c r="G3" t="n">
        <v>0</v>
      </c>
      <c r="H3" t="n">
        <v>60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315MF</t>
        </is>
      </c>
      <c r="B4" t="inlineStr">
        <is>
          <t>315 Diam Mounting Feet</t>
        </is>
      </c>
      <c r="C4" t="inlineStr">
        <is>
          <t>Attenu-Tec HVAC Parts</t>
        </is>
      </c>
      <c r="D4" t="inlineStr">
        <is>
          <t>FM - M/FEET</t>
        </is>
      </c>
      <c r="E4" s="1" t="n">
        <v>0</v>
      </c>
      <c r="F4" t="n">
        <v>7</v>
      </c>
      <c r="G4" t="n">
        <v>0</v>
      </c>
      <c r="H4" t="n">
        <v>28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400MF</t>
        </is>
      </c>
      <c r="B5" t="inlineStr">
        <is>
          <t>400 Diam Mounting Feet</t>
        </is>
      </c>
      <c r="C5" t="inlineStr">
        <is>
          <t>Air Speration</t>
        </is>
      </c>
      <c r="D5" t="inlineStr">
        <is>
          <t>FM - M/FEET</t>
        </is>
      </c>
      <c r="E5" s="1" t="n">
        <v>0</v>
      </c>
      <c r="F5" t="n">
        <v>7</v>
      </c>
      <c r="G5" t="n">
        <v>0</v>
      </c>
      <c r="H5" t="n">
        <v>29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500MF</t>
        </is>
      </c>
      <c r="B6" t="inlineStr">
        <is>
          <t>500 Diam Mounting Feet</t>
        </is>
      </c>
      <c r="C6" t="inlineStr">
        <is>
          <t>Attenu-Tec HVAC Parts</t>
        </is>
      </c>
      <c r="D6" t="inlineStr">
        <is>
          <t>FM - M/FEET</t>
        </is>
      </c>
      <c r="E6" s="1" t="n">
        <v>0</v>
      </c>
      <c r="F6" t="n">
        <v>5</v>
      </c>
      <c r="G6" t="n">
        <v>0</v>
      </c>
      <c r="H6" t="n">
        <v>23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500MFUG</t>
        </is>
      </c>
      <c r="B7" t="inlineStr">
        <is>
          <t>500 Diam Mounting Feet Ungalvanized</t>
        </is>
      </c>
      <c r="C7" t="inlineStr">
        <is>
          <t>ULTIMATENG (PTY) LTD</t>
        </is>
      </c>
      <c r="D7" t="inlineStr">
        <is>
          <t>FM - M/FEET</t>
        </is>
      </c>
      <c r="E7" s="1" t="n">
        <v>0</v>
      </c>
      <c r="F7" t="n">
        <v>9</v>
      </c>
      <c r="G7" t="n">
        <v>0</v>
      </c>
      <c r="H7" t="n">
        <v>45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560MF</t>
        </is>
      </c>
      <c r="B8" t="inlineStr">
        <is>
          <t>560 Diam Mounting Feet</t>
        </is>
      </c>
      <c r="C8" t="inlineStr">
        <is>
          <t>Attenu-Tec HVAC Parts</t>
        </is>
      </c>
      <c r="D8" t="inlineStr">
        <is>
          <t>FM - M/FEET</t>
        </is>
      </c>
      <c r="E8" s="1" t="n">
        <v>202</v>
      </c>
      <c r="F8" t="n">
        <v>7</v>
      </c>
      <c r="G8" t="n">
        <v>0</v>
      </c>
      <c r="H8" t="n">
        <v>35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630MF</t>
        </is>
      </c>
      <c r="B9" t="inlineStr">
        <is>
          <t>630 Diam Mounting Feet</t>
        </is>
      </c>
      <c r="C9" t="inlineStr">
        <is>
          <t>Air Speration</t>
        </is>
      </c>
      <c r="D9" t="inlineStr">
        <is>
          <t>FM - M/FEET</t>
        </is>
      </c>
      <c r="E9" s="1" t="n">
        <v>0</v>
      </c>
      <c r="F9" t="n">
        <v>6</v>
      </c>
      <c r="G9" t="n">
        <v>0</v>
      </c>
      <c r="H9" t="n">
        <v>24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630MFUG</t>
        </is>
      </c>
      <c r="B10" t="inlineStr">
        <is>
          <t>630 Diam Mounting Feet Ungalvanized</t>
        </is>
      </c>
      <c r="C10" t="inlineStr">
        <is>
          <t>ULTIMATENG (PTY) LTD</t>
        </is>
      </c>
      <c r="D10" t="inlineStr">
        <is>
          <t>FM - M/FEET</t>
        </is>
      </c>
      <c r="E10" s="1" t="n">
        <v>0</v>
      </c>
      <c r="F10" t="n">
        <v>14</v>
      </c>
      <c r="G10" t="n">
        <v>0</v>
      </c>
      <c r="H10" t="n">
        <v>68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710MF</t>
        </is>
      </c>
      <c r="B11" t="inlineStr">
        <is>
          <t>710 Diam Mounting Feet</t>
        </is>
      </c>
      <c r="C11" t="inlineStr">
        <is>
          <t>Attenu-Tec HVAC Parts</t>
        </is>
      </c>
      <c r="D11" t="inlineStr">
        <is>
          <t>FM - M/FEET</t>
        </is>
      </c>
      <c r="E11" s="1" t="n">
        <v>0</v>
      </c>
      <c r="F11" t="n">
        <v>4</v>
      </c>
      <c r="G11" t="n">
        <v>0</v>
      </c>
      <c r="H11" t="n">
        <v>14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710MFUG</t>
        </is>
      </c>
      <c r="B12" t="inlineStr">
        <is>
          <t>710 Diam Mounting Feet Ungalvanised</t>
        </is>
      </c>
      <c r="C12" t="inlineStr">
        <is>
          <t>ULTIMATENG (PTY) LTD</t>
        </is>
      </c>
      <c r="D12" t="inlineStr">
        <is>
          <t>FM - M/FEET</t>
        </is>
      </c>
      <c r="E12" s="1" t="n">
        <v>0</v>
      </c>
      <c r="F12" t="n">
        <v>14</v>
      </c>
      <c r="G12" t="n">
        <v>0</v>
      </c>
      <c r="H12" t="n">
        <v>68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800MF</t>
        </is>
      </c>
      <c r="B13" t="inlineStr">
        <is>
          <t>800 Diam Mounting Feet</t>
        </is>
      </c>
      <c r="C13" t="inlineStr">
        <is>
          <t>Air Speration</t>
        </is>
      </c>
      <c r="D13" t="inlineStr">
        <is>
          <t>FM - M/FEET</t>
        </is>
      </c>
      <c r="E13" s="1" t="n">
        <v>191.49</v>
      </c>
      <c r="F13" t="n">
        <v>2</v>
      </c>
      <c r="G13" t="n">
        <v>0</v>
      </c>
      <c r="H13" t="n">
        <v>10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800MFUG</t>
        </is>
      </c>
      <c r="B14" t="inlineStr">
        <is>
          <t>800 Diam Mounting Feet Ungalvanized</t>
        </is>
      </c>
      <c r="C14" t="inlineStr">
        <is>
          <t>ULTIMATENG (PTY) LTD</t>
        </is>
      </c>
      <c r="D14" t="inlineStr">
        <is>
          <t>FM - M/FEET</t>
        </is>
      </c>
      <c r="E14" s="1" t="n">
        <v>0</v>
      </c>
      <c r="F14" t="n">
        <v>11</v>
      </c>
      <c r="G14" t="n">
        <v>0</v>
      </c>
      <c r="H14" t="n">
        <v>55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900MF</t>
        </is>
      </c>
      <c r="B15" t="inlineStr">
        <is>
          <t>900 Diam Mounting Feet</t>
        </is>
      </c>
      <c r="C15" t="inlineStr">
        <is>
          <t>Attenu-Tec HVAC Parts</t>
        </is>
      </c>
      <c r="D15" t="inlineStr">
        <is>
          <t>FM - M/FEET</t>
        </is>
      </c>
      <c r="E15" s="1" t="n">
        <v>23.19</v>
      </c>
      <c r="F15" t="n">
        <v>2</v>
      </c>
      <c r="G15" t="n">
        <v>0</v>
      </c>
      <c r="H15" t="n">
        <v>8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900MFUG</t>
        </is>
      </c>
      <c r="B16" t="inlineStr">
        <is>
          <t>900 Diam Mounting Feet Ungalvanized</t>
        </is>
      </c>
      <c r="C16" t="inlineStr">
        <is>
          <t>ULTIMATENG (PTY) LTD</t>
        </is>
      </c>
      <c r="D16" t="inlineStr">
        <is>
          <t>FM - M/FEET</t>
        </is>
      </c>
      <c r="E16" s="1" t="n">
        <v>0</v>
      </c>
      <c r="F16" t="n">
        <v>8</v>
      </c>
      <c r="G16" t="n">
        <v>0</v>
      </c>
      <c r="H16" t="n">
        <v>38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Callout</t>
        </is>
      </c>
      <c r="B2" t="inlineStr">
        <is>
          <t>Callout</t>
        </is>
      </c>
      <c r="C2" t="inlineStr">
        <is>
          <t>Lime Laser service</t>
        </is>
      </c>
      <c r="D2" t="inlineStr">
        <is>
          <t>FM - MACHINERY</t>
        </is>
      </c>
      <c r="E2" s="1" t="n">
        <v>566.67</v>
      </c>
      <c r="F2" t="n">
        <v>2</v>
      </c>
      <c r="G2" t="n">
        <v>0</v>
      </c>
      <c r="H2" t="n">
        <v>8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Kilometer</t>
        </is>
      </c>
      <c r="B3" t="inlineStr">
        <is>
          <t>Travelled Kilometers</t>
        </is>
      </c>
      <c r="C3" t="inlineStr">
        <is>
          <t>Lime Laser service</t>
        </is>
      </c>
      <c r="D3" t="inlineStr">
        <is>
          <t>FM - MACHINERY</t>
        </is>
      </c>
      <c r="E3" s="1" t="n">
        <v>7</v>
      </c>
      <c r="F3" t="n">
        <v>100</v>
      </c>
      <c r="G3" t="n">
        <v>0</v>
      </c>
      <c r="H3" t="n">
        <v>500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Toll</t>
        </is>
      </c>
      <c r="B4" t="inlineStr">
        <is>
          <t>Toll</t>
        </is>
      </c>
      <c r="C4" t="inlineStr">
        <is>
          <t>Lime Laser service</t>
        </is>
      </c>
      <c r="D4" t="inlineStr">
        <is>
          <t>FM - MACHINERY</t>
        </is>
      </c>
      <c r="E4" s="1" t="n">
        <v>100</v>
      </c>
      <c r="F4" t="n">
        <v>1</v>
      </c>
      <c r="G4" t="n">
        <v>0</v>
      </c>
      <c r="H4" t="n">
        <v>2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0.2543PM</t>
        </is>
      </c>
      <c r="B2" t="inlineStr">
        <is>
          <t>0.25kW 4P 380V Pad Mount Motor</t>
        </is>
      </c>
      <c r="C2" t="inlineStr">
        <is>
          <t>ACTOM</t>
        </is>
      </c>
      <c r="D2" t="inlineStr">
        <is>
          <t>FM - MOTOR</t>
        </is>
      </c>
      <c r="E2" s="1" t="n">
        <v>1149.38</v>
      </c>
      <c r="F2" t="n">
        <v>2</v>
      </c>
      <c r="G2" t="n">
        <v>0</v>
      </c>
      <c r="H2" t="n">
        <v>6</v>
      </c>
      <c r="I2" t="n">
        <v>0</v>
      </c>
      <c r="J2" t="n">
        <v>6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0.3723PM</t>
        </is>
      </c>
      <c r="B3" t="inlineStr">
        <is>
          <t>0.37kW 2P 380V Pad Mount Motor</t>
        </is>
      </c>
      <c r="C3" t="inlineStr">
        <is>
          <t>ACTOM</t>
        </is>
      </c>
      <c r="D3" t="inlineStr">
        <is>
          <t>FM - MOTOR</t>
        </is>
      </c>
      <c r="E3" s="1" t="n">
        <v>1207.65</v>
      </c>
      <c r="F3" t="n">
        <v>2</v>
      </c>
      <c r="G3" t="n">
        <v>0</v>
      </c>
      <c r="H3" t="n">
        <v>8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0.3743PM</t>
        </is>
      </c>
      <c r="B4" t="inlineStr">
        <is>
          <t>0.37kW 4P 380V Pad Mount Motor</t>
        </is>
      </c>
      <c r="C4" t="inlineStr">
        <is>
          <t>ACTOM</t>
        </is>
      </c>
      <c r="D4" t="inlineStr">
        <is>
          <t>FM - MOTOR</t>
        </is>
      </c>
      <c r="E4" s="1" t="n">
        <v>1251.89</v>
      </c>
      <c r="F4" t="n">
        <v>2</v>
      </c>
      <c r="G4" t="n">
        <v>0</v>
      </c>
      <c r="H4" t="n">
        <v>7</v>
      </c>
      <c r="I4" t="n">
        <v>0</v>
      </c>
      <c r="J4" t="n">
        <v>10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0.5523PM</t>
        </is>
      </c>
      <c r="B5" t="inlineStr">
        <is>
          <t>0.55kW 2P 380V Pad Mount Motor</t>
        </is>
      </c>
      <c r="C5" t="inlineStr">
        <is>
          <t>ACTOM</t>
        </is>
      </c>
      <c r="D5" t="inlineStr">
        <is>
          <t>FM - MOTOR</t>
        </is>
      </c>
      <c r="E5" s="1" t="n">
        <v>1304.81</v>
      </c>
      <c r="F5" t="n">
        <v>3</v>
      </c>
      <c r="G5" t="n">
        <v>0</v>
      </c>
      <c r="H5" t="n">
        <v>9</v>
      </c>
      <c r="I5" t="n">
        <v>0</v>
      </c>
      <c r="J5" t="n">
        <v>10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0.5543PM</t>
        </is>
      </c>
      <c r="B6" t="inlineStr">
        <is>
          <t>0.55kW 4P 380V Pad Mount Motor</t>
        </is>
      </c>
      <c r="C6" t="inlineStr">
        <is>
          <t>ACTOM</t>
        </is>
      </c>
      <c r="D6" t="inlineStr">
        <is>
          <t>FM - MOTOR</t>
        </is>
      </c>
      <c r="E6" s="1" t="n">
        <v>1539.27</v>
      </c>
      <c r="F6" t="n">
        <v>2</v>
      </c>
      <c r="G6" t="n">
        <v>0</v>
      </c>
      <c r="H6" t="n">
        <v>9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0.7523PM</t>
        </is>
      </c>
      <c r="B7" t="inlineStr">
        <is>
          <t>0.75kW 2P 380V Pad Mount Motor</t>
        </is>
      </c>
      <c r="C7" t="inlineStr">
        <is>
          <t>ACTOM</t>
        </is>
      </c>
      <c r="D7" t="inlineStr">
        <is>
          <t>FM - MOTOR</t>
        </is>
      </c>
      <c r="E7" s="1" t="n">
        <v>1590.52</v>
      </c>
      <c r="F7" t="n">
        <v>1</v>
      </c>
      <c r="G7" t="n">
        <v>0</v>
      </c>
      <c r="H7" t="n">
        <v>4</v>
      </c>
      <c r="I7" t="n">
        <v>0</v>
      </c>
      <c r="J7" t="n">
        <v>2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0.7543PM</t>
        </is>
      </c>
      <c r="B8" t="inlineStr">
        <is>
          <t>0.75kW 4P 380V Pad Mount Motor</t>
        </is>
      </c>
      <c r="C8" t="inlineStr">
        <is>
          <t>ACTOM</t>
        </is>
      </c>
      <c r="D8" t="inlineStr">
        <is>
          <t>FM - MOTOR</t>
        </is>
      </c>
      <c r="E8" s="1" t="n">
        <v>1445.96</v>
      </c>
      <c r="F8" t="n">
        <v>3</v>
      </c>
      <c r="G8" t="n">
        <v>0</v>
      </c>
      <c r="H8" t="n">
        <v>9</v>
      </c>
      <c r="I8" t="n">
        <v>0</v>
      </c>
      <c r="J8" t="n">
        <v>6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1.123PM</t>
        </is>
      </c>
      <c r="B9" t="inlineStr">
        <is>
          <t>1.1kW 2P 380V Pad Mount Motor</t>
        </is>
      </c>
      <c r="C9" t="inlineStr">
        <is>
          <t>ACTOM</t>
        </is>
      </c>
      <c r="D9" t="inlineStr">
        <is>
          <t>FM - MOTOR</t>
        </is>
      </c>
      <c r="E9" s="1" t="n">
        <v>1726.71</v>
      </c>
      <c r="F9" t="n">
        <v>1</v>
      </c>
      <c r="G9" t="n">
        <v>0</v>
      </c>
      <c r="H9" t="n">
        <v>4</v>
      </c>
      <c r="I9" t="n">
        <v>0</v>
      </c>
      <c r="J9" t="n">
        <v>8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1.143PM</t>
        </is>
      </c>
      <c r="B10" t="inlineStr">
        <is>
          <t>1.1kW 4P 380V Pad Mount Motor</t>
        </is>
      </c>
      <c r="C10" t="inlineStr">
        <is>
          <t>ACTOM</t>
        </is>
      </c>
      <c r="D10" t="inlineStr">
        <is>
          <t>FM - MOTOR</t>
        </is>
      </c>
      <c r="E10" s="1" t="n">
        <v>1751.92</v>
      </c>
      <c r="F10" t="n">
        <v>2</v>
      </c>
      <c r="G10" t="n">
        <v>0</v>
      </c>
      <c r="H10" t="n">
        <v>9</v>
      </c>
      <c r="I10" t="n">
        <v>0</v>
      </c>
      <c r="J10" t="n">
        <v>15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1.523PM</t>
        </is>
      </c>
      <c r="B11" t="inlineStr">
        <is>
          <t>1.5kW 2P 380V Pad Mount Motor</t>
        </is>
      </c>
      <c r="C11" t="inlineStr">
        <is>
          <t>ACTOM</t>
        </is>
      </c>
      <c r="D11" t="inlineStr">
        <is>
          <t>FM - MOTOR</t>
        </is>
      </c>
      <c r="E11" s="1" t="n">
        <v>1902.15</v>
      </c>
      <c r="F11" t="n">
        <v>1</v>
      </c>
      <c r="G11" t="n">
        <v>0</v>
      </c>
      <c r="H11" t="n">
        <v>3</v>
      </c>
      <c r="I11" t="n">
        <v>0</v>
      </c>
      <c r="J11" t="n">
        <v>5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1.543PM</t>
        </is>
      </c>
      <c r="B12" t="inlineStr">
        <is>
          <t>1.5kW 4P 380V Pad Mount Motor</t>
        </is>
      </c>
      <c r="C12" t="inlineStr">
        <is>
          <t>ACTOM</t>
        </is>
      </c>
      <c r="D12" t="inlineStr">
        <is>
          <t>FM - MOTOR</t>
        </is>
      </c>
      <c r="E12" s="1" t="n">
        <v>2747.74</v>
      </c>
      <c r="F12" t="n">
        <v>3</v>
      </c>
      <c r="G12" t="n">
        <v>0</v>
      </c>
      <c r="H12" t="n">
        <v>9</v>
      </c>
      <c r="I12" t="n">
        <v>0</v>
      </c>
      <c r="J12" t="n">
        <v>16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2.223PM</t>
        </is>
      </c>
      <c r="B13" t="inlineStr">
        <is>
          <t>2.2kW 2P 380V Pad Mount Motor</t>
        </is>
      </c>
      <c r="C13" t="inlineStr">
        <is>
          <t>ACTOM</t>
        </is>
      </c>
      <c r="D13" t="inlineStr">
        <is>
          <t>FM - MOTOR</t>
        </is>
      </c>
      <c r="E13" s="1" t="n">
        <v>2225.53</v>
      </c>
      <c r="F13" t="n">
        <v>2</v>
      </c>
      <c r="G13" t="n">
        <v>0</v>
      </c>
      <c r="H13" t="n">
        <v>5</v>
      </c>
      <c r="I13" t="n">
        <v>0</v>
      </c>
      <c r="J13" t="n">
        <v>8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2.243PM</t>
        </is>
      </c>
      <c r="B14" t="inlineStr">
        <is>
          <t>2.2kW 4P 380V Pad Mount Motor</t>
        </is>
      </c>
      <c r="C14" t="inlineStr">
        <is>
          <t>ACTOM</t>
        </is>
      </c>
      <c r="D14" t="inlineStr">
        <is>
          <t>FM - MOTOR</t>
        </is>
      </c>
      <c r="E14" s="1" t="n">
        <v>2652.15</v>
      </c>
      <c r="F14" t="n">
        <v>3</v>
      </c>
      <c r="G14" t="n">
        <v>0</v>
      </c>
      <c r="H14" t="n">
        <v>10</v>
      </c>
      <c r="I14" t="n">
        <v>0</v>
      </c>
      <c r="J14" t="n">
        <v>20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323PM</t>
        </is>
      </c>
      <c r="B15" t="inlineStr">
        <is>
          <t>3kW 2P 380V Pad Mount Motor</t>
        </is>
      </c>
      <c r="C15" t="inlineStr">
        <is>
          <t>ACTOM</t>
        </is>
      </c>
      <c r="D15" t="inlineStr">
        <is>
          <t>FM - MOTOR</t>
        </is>
      </c>
      <c r="E15" s="1" t="n">
        <v>3047.61</v>
      </c>
      <c r="F15" t="n">
        <v>1</v>
      </c>
      <c r="G15" t="n">
        <v>0</v>
      </c>
      <c r="H15" t="n">
        <v>3</v>
      </c>
      <c r="I15" t="n">
        <v>0</v>
      </c>
      <c r="J15" t="n">
        <v>3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343PM</t>
        </is>
      </c>
      <c r="B16" t="inlineStr">
        <is>
          <t>3kW 4P 380V Pad Mount Motor</t>
        </is>
      </c>
      <c r="C16" t="inlineStr">
        <is>
          <t>ACTOM</t>
        </is>
      </c>
      <c r="D16" t="inlineStr">
        <is>
          <t>FM - MOTOR</t>
        </is>
      </c>
      <c r="E16" s="1" t="n">
        <v>3012.02</v>
      </c>
      <c r="F16" t="n">
        <v>3</v>
      </c>
      <c r="G16" t="n">
        <v>0</v>
      </c>
      <c r="H16" t="n">
        <v>9</v>
      </c>
      <c r="I16" t="n">
        <v>0</v>
      </c>
      <c r="J16" t="n">
        <v>6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423PM</t>
        </is>
      </c>
      <c r="B17" t="inlineStr">
        <is>
          <t>4kW 2P 380V Pad Mount Motor</t>
        </is>
      </c>
      <c r="C17" t="inlineStr">
        <is>
          <t>ACTOM</t>
        </is>
      </c>
      <c r="D17" t="inlineStr">
        <is>
          <t>FM - MOTOR</t>
        </is>
      </c>
      <c r="E17" s="1" t="n">
        <v>3644.75</v>
      </c>
      <c r="F17" t="n">
        <v>1</v>
      </c>
      <c r="G17" t="n">
        <v>0</v>
      </c>
      <c r="H17" t="n">
        <v>5</v>
      </c>
      <c r="I17" t="n">
        <v>0</v>
      </c>
      <c r="J17" t="n">
        <v>12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443PM</t>
        </is>
      </c>
      <c r="B18" t="inlineStr">
        <is>
          <t>4kW 4P 380V Pad Mount Motor</t>
        </is>
      </c>
      <c r="C18" t="inlineStr">
        <is>
          <t>ACTOM</t>
        </is>
      </c>
      <c r="D18" t="inlineStr">
        <is>
          <t>FM - MOTOR</t>
        </is>
      </c>
      <c r="E18" s="1" t="n">
        <v>4017.1</v>
      </c>
      <c r="F18" t="n">
        <v>3</v>
      </c>
      <c r="G18" t="n">
        <v>0</v>
      </c>
      <c r="H18" t="n">
        <v>9</v>
      </c>
      <c r="I18" t="n">
        <v>0</v>
      </c>
      <c r="J18" t="n">
        <v>8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5.523PM</t>
        </is>
      </c>
      <c r="B19" t="inlineStr">
        <is>
          <t>5.5 kW 2P 380V Pad Mount Motor</t>
        </is>
      </c>
      <c r="C19" t="inlineStr">
        <is>
          <t>Luck and King</t>
        </is>
      </c>
      <c r="D19" t="inlineStr">
        <is>
          <t>FM - MOTOR</t>
        </is>
      </c>
      <c r="E19" s="1" t="n">
        <v>5386.44</v>
      </c>
      <c r="F19" t="n">
        <v>1</v>
      </c>
      <c r="G19" t="n">
        <v>0</v>
      </c>
      <c r="H19" t="n">
        <v>3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5.543PM</t>
        </is>
      </c>
      <c r="B20" t="inlineStr">
        <is>
          <t>5.5kW 4P 380V Pad Mount Motor</t>
        </is>
      </c>
      <c r="C20" t="inlineStr">
        <is>
          <t>ACTOM</t>
        </is>
      </c>
      <c r="D20" t="inlineStr">
        <is>
          <t>FM - MOTOR</t>
        </is>
      </c>
      <c r="E20" s="1" t="n">
        <v>4902.91</v>
      </c>
      <c r="F20" t="n">
        <v>1</v>
      </c>
      <c r="G20" t="n">
        <v>0</v>
      </c>
      <c r="H20" t="n">
        <v>3</v>
      </c>
      <c r="I20" t="n">
        <v>0</v>
      </c>
      <c r="J20" t="n">
        <v>6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7.523PM</t>
        </is>
      </c>
      <c r="B21" t="inlineStr">
        <is>
          <t>7.5kW 2P 380V Pad Mount Motor</t>
        </is>
      </c>
      <c r="C21" t="inlineStr">
        <is>
          <t>ACTOM</t>
        </is>
      </c>
      <c r="D21" t="inlineStr">
        <is>
          <t>FM - MOTOR</t>
        </is>
      </c>
      <c r="E21" s="1" t="n">
        <v>2722.8</v>
      </c>
      <c r="F21" t="n">
        <v>4</v>
      </c>
      <c r="G21" t="n">
        <v>0</v>
      </c>
      <c r="H21" t="n">
        <v>14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7.543PM</t>
        </is>
      </c>
      <c r="B22" t="inlineStr">
        <is>
          <t>7.5kW 4P 380V Pad Mount Motor</t>
        </is>
      </c>
      <c r="C22" t="inlineStr">
        <is>
          <t>ACTOM</t>
        </is>
      </c>
      <c r="D22" t="inlineStr">
        <is>
          <t>FM - MOTOR</t>
        </is>
      </c>
      <c r="E22" s="1" t="n">
        <v>5434.17</v>
      </c>
      <c r="F22" t="n">
        <v>1</v>
      </c>
      <c r="G22" t="n">
        <v>0</v>
      </c>
      <c r="H22" t="n">
        <v>3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1010522</t>
        </is>
      </c>
      <c r="B2" t="inlineStr">
        <is>
          <t>AT 10/10 SC2 - Double Unit</t>
        </is>
      </c>
      <c r="C2" t="inlineStr"/>
      <c r="D2" t="inlineStr">
        <is>
          <t>FM - NICOTRA</t>
        </is>
      </c>
      <c r="E2" s="1" t="n">
        <v>0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1212521</t>
        </is>
      </c>
      <c r="B3" t="inlineStr">
        <is>
          <t>AT 12/12 SC - Single Unit</t>
        </is>
      </c>
      <c r="C3" t="inlineStr"/>
      <c r="D3" t="inlineStr">
        <is>
          <t>FM - NICOTRA</t>
        </is>
      </c>
      <c r="E3" s="1" t="n">
        <v>0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129521</t>
        </is>
      </c>
      <c r="B4" t="inlineStr">
        <is>
          <t>AT 12/9 SC - Single Unit</t>
        </is>
      </c>
      <c r="C4" t="inlineStr"/>
      <c r="D4" t="inlineStr">
        <is>
          <t>FM - NICOTRA</t>
        </is>
      </c>
      <c r="E4" s="1" t="n">
        <v>0</v>
      </c>
      <c r="F4" t="n">
        <v>1</v>
      </c>
      <c r="G4" t="n">
        <v>0</v>
      </c>
      <c r="H4" t="n">
        <v>2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1515521</t>
        </is>
      </c>
      <c r="B5" t="inlineStr">
        <is>
          <t>AT 15/15 SC - Single Unit</t>
        </is>
      </c>
      <c r="C5" t="inlineStr">
        <is>
          <t>Regal Beloit Italy S.p.A - Nicotra .</t>
        </is>
      </c>
      <c r="D5" t="inlineStr">
        <is>
          <t>FM - NICOTRA</t>
        </is>
      </c>
      <c r="E5" s="1" t="n">
        <v>3222</v>
      </c>
      <c r="F5" t="n">
        <v>1</v>
      </c>
      <c r="G5" t="n">
        <v>0</v>
      </c>
      <c r="H5" t="n">
        <v>3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1515522</t>
        </is>
      </c>
      <c r="B6" t="inlineStr">
        <is>
          <t>AT 15/15 SC2 - Double Unit</t>
        </is>
      </c>
      <c r="C6" t="inlineStr"/>
      <c r="D6" t="inlineStr">
        <is>
          <t>FM - NICOTRA</t>
        </is>
      </c>
      <c r="E6" s="1" t="n">
        <v>0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1813521</t>
        </is>
      </c>
      <c r="B7" t="inlineStr">
        <is>
          <t>AT 18/13 SC - Single Unit</t>
        </is>
      </c>
      <c r="C7" t="inlineStr">
        <is>
          <t>Regal Beloit Italy S.p.A - Nicotra .</t>
        </is>
      </c>
      <c r="D7" t="inlineStr">
        <is>
          <t>FM - NICOTRA</t>
        </is>
      </c>
      <c r="E7" s="1" t="n">
        <v>2705.32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1818521</t>
        </is>
      </c>
      <c r="B8" t="inlineStr">
        <is>
          <t>AT 18/18 SC - Single Unit</t>
        </is>
      </c>
      <c r="C8" t="inlineStr">
        <is>
          <t>Apache Manufacturing CC</t>
        </is>
      </c>
      <c r="D8" t="inlineStr">
        <is>
          <t>FM - NICOTRA</t>
        </is>
      </c>
      <c r="E8" s="1" t="n">
        <v>4085.58</v>
      </c>
      <c r="F8" t="n">
        <v>1</v>
      </c>
      <c r="G8" t="n">
        <v>0</v>
      </c>
      <c r="H8" t="n">
        <v>2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1818522</t>
        </is>
      </c>
      <c r="B9" t="inlineStr">
        <is>
          <t>AT 18/18 SC2 - Double Unit</t>
        </is>
      </c>
      <c r="C9" t="inlineStr"/>
      <c r="D9" t="inlineStr">
        <is>
          <t>FM - NICOTRA</t>
        </is>
      </c>
      <c r="E9" s="1" t="n">
        <v>0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6038M104</t>
        </is>
      </c>
      <c r="B10" t="inlineStr">
        <is>
          <t>AT18/18 AR 035 PHASE</t>
        </is>
      </c>
      <c r="C10" t="inlineStr">
        <is>
          <t>Air Movement Supplies</t>
        </is>
      </c>
      <c r="D10" t="inlineStr">
        <is>
          <t>FM - NICOTRA</t>
        </is>
      </c>
      <c r="E10" s="1" t="n">
        <v>3665</v>
      </c>
      <c r="F10" t="n">
        <v>1</v>
      </c>
      <c r="G10" t="n">
        <v>0</v>
      </c>
      <c r="H10" t="n">
        <v>3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610303</t>
        </is>
      </c>
      <c r="B11" t="inlineStr">
        <is>
          <t>DD 7-7 - 610303 - 62W 6P 230V-1Ph</t>
        </is>
      </c>
      <c r="C11" t="inlineStr"/>
      <c r="D11" t="inlineStr">
        <is>
          <t>FM - NICOTRA</t>
        </is>
      </c>
      <c r="E11" s="1" t="n">
        <v>0</v>
      </c>
      <c r="F11" t="n">
        <v>1</v>
      </c>
      <c r="G11" t="n">
        <v>0</v>
      </c>
      <c r="H11" t="n">
        <v>5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610318</t>
        </is>
      </c>
      <c r="B12" t="inlineStr">
        <is>
          <t>DD 12/9 - 610318 - 1100W 6P 400V - 3Ph</t>
        </is>
      </c>
      <c r="C12" t="inlineStr"/>
      <c r="D12" t="inlineStr">
        <is>
          <t>FM - NICOTRA</t>
        </is>
      </c>
      <c r="E12" s="1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610633</t>
        </is>
      </c>
      <c r="B13" t="inlineStr">
        <is>
          <t>DD 7/7 - 610633 - 147W 4P 230V-1Ph</t>
        </is>
      </c>
      <c r="C13" t="inlineStr"/>
      <c r="D13" t="inlineStr">
        <is>
          <t>FM - NICOTRA</t>
        </is>
      </c>
      <c r="E13" s="1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6M020K</t>
        </is>
      </c>
      <c r="B14" t="inlineStr">
        <is>
          <t>DDM 9/7 6M020K - 300W 4P 400V-3Ph</t>
        </is>
      </c>
      <c r="C14" t="inlineStr"/>
      <c r="D14" t="inlineStr">
        <is>
          <t>FM - NICOTRA</t>
        </is>
      </c>
      <c r="E14" s="1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6M020M</t>
        </is>
      </c>
      <c r="B15" t="inlineStr">
        <is>
          <t>DDM 9/7 - 6M020M - 550W 4P 230V-1Ph</t>
        </is>
      </c>
      <c r="C15" t="inlineStr"/>
      <c r="D15" t="inlineStr">
        <is>
          <t>FM - NICOTRA</t>
        </is>
      </c>
      <c r="E15" s="1" t="n">
        <v>0</v>
      </c>
      <c r="F15" t="n">
        <v>1</v>
      </c>
      <c r="G15" t="n">
        <v>0</v>
      </c>
      <c r="H15" t="n">
        <v>2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6M0299</t>
        </is>
      </c>
      <c r="B16" t="inlineStr">
        <is>
          <t>DDM 7/7 - 6M0299 - 300W 4P 230V-1Ph</t>
        </is>
      </c>
      <c r="C16" t="inlineStr"/>
      <c r="D16" t="inlineStr">
        <is>
          <t>FM - NICOTRA</t>
        </is>
      </c>
      <c r="E16" s="1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6M02H0</t>
        </is>
      </c>
      <c r="B17" t="inlineStr">
        <is>
          <t>DDM 10/10 - 6M02H0 - 600W 4P 220V-1Ph</t>
        </is>
      </c>
      <c r="C17" t="inlineStr"/>
      <c r="D17" t="inlineStr">
        <is>
          <t>FM - NICOTRA</t>
        </is>
      </c>
      <c r="E17" s="1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6M02H4</t>
        </is>
      </c>
      <c r="B18" t="inlineStr">
        <is>
          <t>DDM 10/8 - 6M02H4 - 550W 4P 230V-1Ph</t>
        </is>
      </c>
      <c r="C18" t="inlineStr"/>
      <c r="D18" t="inlineStr">
        <is>
          <t>FM - NICOTRA</t>
        </is>
      </c>
      <c r="E18" s="1" t="n">
        <v>0</v>
      </c>
      <c r="F18" t="n">
        <v>1</v>
      </c>
      <c r="G18" t="n">
        <v>0</v>
      </c>
      <c r="H18" t="n">
        <v>2</v>
      </c>
      <c r="I18" t="n">
        <v>0</v>
      </c>
      <c r="J18" t="n">
        <v>0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6M02H5</t>
        </is>
      </c>
      <c r="B19" t="inlineStr">
        <is>
          <t>DDM 10/8 - 6M02H5 - 600W 4P 380V</t>
        </is>
      </c>
      <c r="C19" t="inlineStr"/>
      <c r="D19" t="inlineStr">
        <is>
          <t>FM - NICOTRA</t>
        </is>
      </c>
      <c r="E19" s="1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6M02P4</t>
        </is>
      </c>
      <c r="B20" t="inlineStr">
        <is>
          <t>DDM 10/10 - 6M02P4 - 550W 4P 230V-1Ph</t>
        </is>
      </c>
      <c r="C20" t="inlineStr"/>
      <c r="D20" t="inlineStr">
        <is>
          <t>FM - NICOTRA</t>
        </is>
      </c>
      <c r="E20" s="1" t="n">
        <v>0</v>
      </c>
      <c r="F20" t="n">
        <v>1</v>
      </c>
      <c r="G20" t="n">
        <v>0</v>
      </c>
      <c r="H20" t="n">
        <v>2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6M02R7</t>
        </is>
      </c>
      <c r="B21" t="inlineStr">
        <is>
          <t>DDM 10/10 - 6M02R7 - 500W 6P 230V-1Ph</t>
        </is>
      </c>
      <c r="C21" t="inlineStr"/>
      <c r="D21" t="inlineStr">
        <is>
          <t>FM - NICOTRA</t>
        </is>
      </c>
      <c r="E21" s="1" t="n">
        <v>0</v>
      </c>
      <c r="F21" t="n">
        <v>1</v>
      </c>
      <c r="G21" t="n">
        <v>0</v>
      </c>
      <c r="H21" t="n">
        <v>2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6M02R9</t>
        </is>
      </c>
      <c r="B22" t="inlineStr">
        <is>
          <t>DDM 9/9 - 6M02R9 - 550W 4P 220V-1Ph</t>
        </is>
      </c>
      <c r="C22" t="inlineStr">
        <is>
          <t>Regal Beloit Italy S.p.A - Nicotra .</t>
        </is>
      </c>
      <c r="D22" t="inlineStr">
        <is>
          <t>FM - NICOTRA</t>
        </is>
      </c>
      <c r="E22" s="1" t="n">
        <v>2986.83</v>
      </c>
      <c r="F22" t="n">
        <v>1</v>
      </c>
      <c r="G22" t="n">
        <v>0</v>
      </c>
      <c r="H22" t="n">
        <v>2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6M0629</t>
        </is>
      </c>
      <c r="B23" t="inlineStr">
        <is>
          <t>DD 9/7 - 6M0629 - 373W 4P 220V - 13Ph</t>
        </is>
      </c>
      <c r="C23" t="inlineStr"/>
      <c r="D23" t="inlineStr">
        <is>
          <t>FM - NICOTRA</t>
        </is>
      </c>
      <c r="E23" s="1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6M0631</t>
        </is>
      </c>
      <c r="B24" t="inlineStr">
        <is>
          <t>DD 10/8 - 6M0631 - 373W 4P 220V - 1Ph</t>
        </is>
      </c>
      <c r="C24" t="inlineStr"/>
      <c r="D24" t="inlineStr">
        <is>
          <t>FM - NICOTRA</t>
        </is>
      </c>
      <c r="E24" s="1" t="n">
        <v>0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6M066N</t>
        </is>
      </c>
      <c r="B25" t="inlineStr">
        <is>
          <t>DD 9/9 - 6M066N - 550W 4P 220V - 1Ph</t>
        </is>
      </c>
      <c r="C25" t="inlineStr"/>
      <c r="D25" t="inlineStr">
        <is>
          <t>FM - NICOTRA</t>
        </is>
      </c>
      <c r="E25" s="1" t="n">
        <v>0</v>
      </c>
      <c r="F25" t="n">
        <v>1</v>
      </c>
      <c r="G25" t="n">
        <v>0</v>
      </c>
      <c r="H25" t="n">
        <v>2</v>
      </c>
      <c r="I25" t="n">
        <v>0</v>
      </c>
      <c r="J25" t="n">
        <v>0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6M0697</t>
        </is>
      </c>
      <c r="B26" t="inlineStr">
        <is>
          <t>DD 9/9 - 6M0697 - 300W 4P 220V - 1Ph</t>
        </is>
      </c>
      <c r="C26" t="inlineStr"/>
      <c r="D26" t="inlineStr">
        <is>
          <t>FM - NICOTRA</t>
        </is>
      </c>
      <c r="E26" s="1" t="n">
        <v>0</v>
      </c>
      <c r="F26" t="n">
        <v>1</v>
      </c>
      <c r="G26" t="n">
        <v>0</v>
      </c>
      <c r="H26" t="n">
        <v>2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6N0320</t>
        </is>
      </c>
      <c r="B27" t="inlineStr">
        <is>
          <t>DD 12/12 - 6N0320 - 1100W 6P 400V 3Ph</t>
        </is>
      </c>
      <c r="C27" t="inlineStr"/>
      <c r="D27" t="inlineStr">
        <is>
          <t>FM - NICOTRA</t>
        </is>
      </c>
      <c r="E27" s="1" t="n">
        <v>0</v>
      </c>
      <c r="F27" t="n">
        <v>1</v>
      </c>
      <c r="G27" t="n">
        <v>0</v>
      </c>
      <c r="H27" t="n">
        <v>5</v>
      </c>
      <c r="I27" t="n">
        <v>0</v>
      </c>
      <c r="J27" t="n">
        <v>0</v>
      </c>
      <c r="K27">
        <f>IF(H27-I27-J27&gt;0,H27-I27-J27,0)</f>
        <v/>
      </c>
      <c r="L27" s="1">
        <f>IFERROR(I27*E27,0)</f>
        <v/>
      </c>
      <c r="M27" s="1">
        <f>IFERROR(K27*E27,0)</f>
        <v/>
      </c>
    </row>
    <row r="28">
      <c r="A28" t="inlineStr">
        <is>
          <t>77521</t>
        </is>
      </c>
      <c r="B28" t="inlineStr">
        <is>
          <t>AT 7/7 SC - Single Unit</t>
        </is>
      </c>
      <c r="C28" t="inlineStr">
        <is>
          <t>Regal Beloit Italy S.p.A - Nicotra .</t>
        </is>
      </c>
      <c r="D28" t="inlineStr">
        <is>
          <t>FM - NICOTRA</t>
        </is>
      </c>
      <c r="E28" s="1" t="n">
        <v>1276.17</v>
      </c>
      <c r="F28" t="n">
        <v>1</v>
      </c>
      <c r="G28" t="n">
        <v>0</v>
      </c>
      <c r="H28" t="n">
        <v>2</v>
      </c>
      <c r="I28" t="n">
        <v>0</v>
      </c>
      <c r="J28" t="n">
        <v>0</v>
      </c>
      <c r="K28">
        <f>IF(H28-I28-J28&gt;0,H28-I28-J28,0)</f>
        <v/>
      </c>
      <c r="L28" s="1">
        <f>IFERROR(I28*E28,0)</f>
        <v/>
      </c>
      <c r="M28" s="1">
        <f>IFERROR(K28*E28,0)</f>
        <v/>
      </c>
    </row>
    <row r="29">
      <c r="A29" t="inlineStr">
        <is>
          <t>AT 12/9 SC/BD</t>
        </is>
      </c>
      <c r="B29" t="inlineStr">
        <is>
          <t>AT 12/9 SC - Single Unit, Belt drive C/W 4kW 4P 380V FM</t>
        </is>
      </c>
      <c r="C29" t="inlineStr">
        <is>
          <t>TS TELEKI T/A VENT SYSTEM AND PROJECTS</t>
        </is>
      </c>
      <c r="D29" t="inlineStr">
        <is>
          <t>FM - NICOTRA</t>
        </is>
      </c>
      <c r="E29" s="1" t="n">
        <v>2000</v>
      </c>
      <c r="F29" t="n">
        <v>1</v>
      </c>
      <c r="G29" t="n">
        <v>0</v>
      </c>
      <c r="H29" t="n">
        <v>2</v>
      </c>
      <c r="I29" t="n">
        <v>0</v>
      </c>
      <c r="J29" t="n">
        <v>0</v>
      </c>
      <c r="K29">
        <f>IF(H29-I29-J29&gt;0,H29-I29-J29,0)</f>
        <v/>
      </c>
      <c r="L29" s="1">
        <f>IFERROR(I29*E29,0)</f>
        <v/>
      </c>
      <c r="M29" s="1">
        <f>IFERROR(K29*E29,0)</f>
        <v/>
      </c>
    </row>
    <row r="30">
      <c r="A30" t="inlineStr">
        <is>
          <t>D100019</t>
        </is>
      </c>
      <c r="B30" t="inlineStr">
        <is>
          <t>BD 9/9 - M4 0.35KW 230V - 500HZ STC</t>
        </is>
      </c>
      <c r="C30" t="inlineStr">
        <is>
          <t>Luft Industries Natal (Pty) Ltd</t>
        </is>
      </c>
      <c r="D30" t="inlineStr">
        <is>
          <t>FM - NICOTRA</t>
        </is>
      </c>
      <c r="E30" s="1" t="n">
        <v>906.86</v>
      </c>
      <c r="F30" t="n">
        <v>1</v>
      </c>
      <c r="G30" t="n">
        <v>0</v>
      </c>
      <c r="H30" t="n">
        <v>2</v>
      </c>
      <c r="I30" t="n">
        <v>0</v>
      </c>
      <c r="J30" t="n">
        <v>0</v>
      </c>
      <c r="K30">
        <f>IF(H30-I30-J30&gt;0,H30-I30-J30,0)</f>
        <v/>
      </c>
      <c r="L30" s="1">
        <f>IFERROR(I30*E30,0)</f>
        <v/>
      </c>
      <c r="M30" s="1">
        <f>IFERROR(K30*E30,0)</f>
        <v/>
      </c>
    </row>
    <row r="31">
      <c r="A31" t="inlineStr">
        <is>
          <t>D100020</t>
        </is>
      </c>
      <c r="B31" t="inlineStr">
        <is>
          <t>DDM 9/9 6P</t>
        </is>
      </c>
      <c r="C31" t="inlineStr">
        <is>
          <t>Attenu-Tec</t>
        </is>
      </c>
      <c r="D31" t="inlineStr">
        <is>
          <t>FM - NICOTRA</t>
        </is>
      </c>
      <c r="E31" s="1" t="n">
        <v>10531</v>
      </c>
      <c r="F31" t="n">
        <v>1</v>
      </c>
      <c r="G31" t="n">
        <v>0</v>
      </c>
      <c r="H31" t="n">
        <v>3</v>
      </c>
      <c r="I31" t="n">
        <v>0</v>
      </c>
      <c r="J31" t="n">
        <v>0</v>
      </c>
      <c r="K31">
        <f>IF(H31-I31-J31&gt;0,H31-I31-J31,0)</f>
        <v/>
      </c>
      <c r="L31" s="1">
        <f>IFERROR(I31*E31,0)</f>
        <v/>
      </c>
      <c r="M31" s="1">
        <f>IFERROR(K31*E31,0)</f>
        <v/>
      </c>
    </row>
    <row r="32">
      <c r="A32" t="inlineStr">
        <is>
          <t>D100021</t>
        </is>
      </c>
      <c r="B32" t="inlineStr">
        <is>
          <t>DDM 10/8 245W 230V 6P 6M0648</t>
        </is>
      </c>
      <c r="C32" t="inlineStr"/>
      <c r="D32" t="inlineStr">
        <is>
          <t>FM - NICOTRA</t>
        </is>
      </c>
      <c r="E32" s="1" t="n">
        <v>0</v>
      </c>
      <c r="F32" t="n">
        <v>1</v>
      </c>
      <c r="G32" t="n">
        <v>0</v>
      </c>
      <c r="H32" t="n">
        <v>2</v>
      </c>
      <c r="I32" t="n">
        <v>0</v>
      </c>
      <c r="J32" t="n">
        <v>0</v>
      </c>
      <c r="K32">
        <f>IF(H32-I32-J32&gt;0,H32-I32-J32,0)</f>
        <v/>
      </c>
      <c r="L32" s="1">
        <f>IFERROR(I32*E32,0)</f>
        <v/>
      </c>
      <c r="M32" s="1">
        <f>IFERROR(K32*E32,0)</f>
        <v/>
      </c>
    </row>
    <row r="33">
      <c r="A33" t="inlineStr">
        <is>
          <t>D100023</t>
        </is>
      </c>
      <c r="B33" t="inlineStr">
        <is>
          <t>BD 12/12 T6 1.1KW 230V/400 50HZ LPC</t>
        </is>
      </c>
      <c r="C33" t="inlineStr"/>
      <c r="D33" t="inlineStr">
        <is>
          <t>FM - NICOTRA</t>
        </is>
      </c>
      <c r="E33" s="1" t="n">
        <v>0</v>
      </c>
      <c r="F33" t="n">
        <v>1</v>
      </c>
      <c r="G33" t="n">
        <v>0</v>
      </c>
      <c r="H33" t="n">
        <v>5</v>
      </c>
      <c r="I33" t="n">
        <v>0</v>
      </c>
      <c r="J33" t="n">
        <v>0</v>
      </c>
      <c r="K33">
        <f>IF(H33-I33-J33&gt;0,H33-I33-J33,0)</f>
        <v/>
      </c>
      <c r="L33" s="1">
        <f>IFERROR(I33*E33,0)</f>
        <v/>
      </c>
      <c r="M33" s="1">
        <f>IFERROR(K33*E33,0)</f>
        <v/>
      </c>
    </row>
    <row r="34">
      <c r="A34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7000034</t>
        </is>
      </c>
      <c r="B2" t="inlineStr">
        <is>
          <t>CDC 100 - 7000034 - CDC 100C</t>
        </is>
      </c>
      <c r="C2" t="inlineStr"/>
      <c r="D2" t="inlineStr">
        <is>
          <t>FM - OSTBERG</t>
        </is>
      </c>
      <c r="E2" s="1" t="n">
        <v>0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7000037</t>
        </is>
      </c>
      <c r="B3" t="inlineStr">
        <is>
          <t>CDC 125 - 7000037 - CDC 125C</t>
        </is>
      </c>
      <c r="C3" t="inlineStr"/>
      <c r="D3" t="inlineStr">
        <is>
          <t>FM - OSTBERG</t>
        </is>
      </c>
      <c r="E3" s="1" t="n">
        <v>0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7000043</t>
        </is>
      </c>
      <c r="B4" t="inlineStr">
        <is>
          <t>CDC 150 - 7000043 - CDC 150C</t>
        </is>
      </c>
      <c r="C4" t="inlineStr"/>
      <c r="D4" t="inlineStr">
        <is>
          <t>FM - OSTBERG</t>
        </is>
      </c>
      <c r="E4" s="1" t="n">
        <v>0</v>
      </c>
      <c r="F4" t="n">
        <v>1</v>
      </c>
      <c r="G4" t="n">
        <v>0</v>
      </c>
      <c r="H4" t="n">
        <v>6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7000048</t>
        </is>
      </c>
      <c r="B5" t="inlineStr">
        <is>
          <t>CDC 160 - 7000048 - CDC160B</t>
        </is>
      </c>
      <c r="C5" t="inlineStr"/>
      <c r="D5" t="inlineStr">
        <is>
          <t>FM - OSTBERG</t>
        </is>
      </c>
      <c r="E5" s="1" t="n">
        <v>0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7000053</t>
        </is>
      </c>
      <c r="B6" t="inlineStr">
        <is>
          <t>CDC 200/0.8 - 7000053 - CDC200A</t>
        </is>
      </c>
      <c r="C6" t="inlineStr"/>
      <c r="D6" t="inlineStr">
        <is>
          <t>FM - OSTBERG</t>
        </is>
      </c>
      <c r="E6" s="1" t="n">
        <v>0</v>
      </c>
      <c r="F6" t="n">
        <v>2</v>
      </c>
      <c r="G6" t="n">
        <v>0</v>
      </c>
      <c r="H6" t="n">
        <v>12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7000057</t>
        </is>
      </c>
      <c r="B7" t="inlineStr">
        <is>
          <t>CDC 200/0.8 - 7000057 - CDC200B</t>
        </is>
      </c>
      <c r="C7" t="inlineStr"/>
      <c r="D7" t="inlineStr">
        <is>
          <t>FM - OSTBERG</t>
        </is>
      </c>
      <c r="E7" s="1" t="n">
        <v>0</v>
      </c>
      <c r="F7" t="n">
        <v>1</v>
      </c>
      <c r="G7" t="n">
        <v>0</v>
      </c>
      <c r="H7" t="n">
        <v>5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7000067</t>
        </is>
      </c>
      <c r="B8" t="inlineStr">
        <is>
          <t>CDC315 - 7000067 - CDC315B</t>
        </is>
      </c>
      <c r="C8" t="inlineStr">
        <is>
          <t>Luft Industries Natal (Pty) Ltd</t>
        </is>
      </c>
      <c r="D8" t="inlineStr">
        <is>
          <t>FM - OSTBERG</t>
        </is>
      </c>
      <c r="E8" s="1" t="n">
        <v>2024.25</v>
      </c>
      <c r="F8" t="n">
        <v>2</v>
      </c>
      <c r="G8" t="n">
        <v>0</v>
      </c>
      <c r="H8" t="n">
        <v>8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7000072</t>
        </is>
      </c>
      <c r="B9" t="inlineStr">
        <is>
          <t>CDC315 - 7000072 - CDC315C</t>
        </is>
      </c>
      <c r="C9" t="inlineStr"/>
      <c r="D9" t="inlineStr">
        <is>
          <t>FM - OSTBERG</t>
        </is>
      </c>
      <c r="E9" s="1" t="n">
        <v>0</v>
      </c>
      <c r="F9" t="n">
        <v>1</v>
      </c>
      <c r="G9" t="n">
        <v>0</v>
      </c>
      <c r="H9" t="n">
        <v>4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7000073</t>
        </is>
      </c>
      <c r="B10" t="inlineStr">
        <is>
          <t>LT6 - 6Amps</t>
        </is>
      </c>
      <c r="C10" t="inlineStr"/>
      <c r="D10" t="inlineStr">
        <is>
          <t>FM - OSTBERG</t>
        </is>
      </c>
      <c r="E10" s="1" t="n">
        <v>0</v>
      </c>
      <c r="F10" t="n">
        <v>1</v>
      </c>
      <c r="G10" t="n">
        <v>0</v>
      </c>
      <c r="H10" t="n">
        <v>2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7000074</t>
        </is>
      </c>
      <c r="B11" t="inlineStr">
        <is>
          <t>LT10 - 10 Amps</t>
        </is>
      </c>
      <c r="C11" t="inlineStr"/>
      <c r="D11" t="inlineStr">
        <is>
          <t>FM - OSTBERG</t>
        </is>
      </c>
      <c r="E11" s="1" t="n">
        <v>0</v>
      </c>
      <c r="F11" t="n">
        <v>1</v>
      </c>
      <c r="G11" t="n">
        <v>0</v>
      </c>
      <c r="H11" t="n">
        <v>2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PAINT-WORKS</t>
        </is>
      </c>
      <c r="B2" t="inlineStr">
        <is>
          <t>SPRAY PAINT INLET CONES</t>
        </is>
      </c>
      <c r="C2" t="inlineStr"/>
      <c r="D2" t="inlineStr">
        <is>
          <t>FM - PAINTING</t>
        </is>
      </c>
      <c r="E2" s="1" t="n">
        <v>0</v>
      </c>
      <c r="F2" t="n">
        <v>1</v>
      </c>
      <c r="G2" t="n">
        <v>0</v>
      </c>
      <c r="H2" t="n">
        <v>5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3000x1500x1.9mm</t>
        </is>
      </c>
      <c r="B2" t="inlineStr">
        <is>
          <t>HR Sheet CQ 3000x1500x1.9mm</t>
        </is>
      </c>
      <c r="C2" t="inlineStr">
        <is>
          <t>NJR STEEL - ALRODE (PTY) LTD</t>
        </is>
      </c>
      <c r="D2" t="inlineStr">
        <is>
          <t>FM - SHEET</t>
        </is>
      </c>
      <c r="E2" s="1" t="n">
        <v>1052.26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1000005</t>
        </is>
      </c>
      <c r="B2" t="inlineStr">
        <is>
          <t>TURBINA CMP 616 14 LG (Impeller for CMP616-2T-0.75 230/400V)</t>
        </is>
      </c>
      <c r="C2" t="inlineStr">
        <is>
          <t>SODECA</t>
        </is>
      </c>
      <c r="D2" t="inlineStr">
        <is>
          <t>FM - SODECA</t>
        </is>
      </c>
      <c r="E2" s="1" t="n">
        <v>1786.4</v>
      </c>
      <c r="F2" t="n">
        <v>3</v>
      </c>
      <c r="G2" t="n">
        <v>0</v>
      </c>
      <c r="H2" t="n">
        <v>5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1000012</t>
        </is>
      </c>
      <c r="B3" t="inlineStr">
        <is>
          <t>HCD 20 4M</t>
        </is>
      </c>
      <c r="C3" t="inlineStr">
        <is>
          <t>SODECA</t>
        </is>
      </c>
      <c r="D3" t="inlineStr">
        <is>
          <t>FM - SODECA</t>
        </is>
      </c>
      <c r="E3" s="1" t="n">
        <v>798.59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1000013</t>
        </is>
      </c>
      <c r="B4" t="inlineStr">
        <is>
          <t>HCD 25 4M</t>
        </is>
      </c>
      <c r="C4" t="inlineStr">
        <is>
          <t>SODECA</t>
        </is>
      </c>
      <c r="D4" t="inlineStr">
        <is>
          <t>FM - SODECA</t>
        </is>
      </c>
      <c r="E4" s="1" t="n">
        <v>299.66</v>
      </c>
      <c r="F4" t="n">
        <v>3</v>
      </c>
      <c r="G4" t="n">
        <v>0</v>
      </c>
      <c r="H4" t="n">
        <v>5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1000015</t>
        </is>
      </c>
      <c r="B5" t="inlineStr">
        <is>
          <t>HCD 30 4M</t>
        </is>
      </c>
      <c r="C5" t="inlineStr">
        <is>
          <t>SODECA</t>
        </is>
      </c>
      <c r="D5" t="inlineStr">
        <is>
          <t>FM - SODECA</t>
        </is>
      </c>
      <c r="E5" s="1" t="n">
        <v>2222.02</v>
      </c>
      <c r="F5" t="n">
        <v>2</v>
      </c>
      <c r="G5" t="n">
        <v>0</v>
      </c>
      <c r="H5" t="n">
        <v>4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1000016</t>
        </is>
      </c>
      <c r="B6" t="inlineStr">
        <is>
          <t>HCD 35 4M</t>
        </is>
      </c>
      <c r="C6" t="inlineStr">
        <is>
          <t>Luck and King</t>
        </is>
      </c>
      <c r="D6" t="inlineStr">
        <is>
          <t>FM - SODECA</t>
        </is>
      </c>
      <c r="E6" s="1" t="n">
        <v>0</v>
      </c>
      <c r="F6" t="n">
        <v>2</v>
      </c>
      <c r="G6" t="n">
        <v>0</v>
      </c>
      <c r="H6" t="n">
        <v>4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1000040</t>
        </is>
      </c>
      <c r="B7" t="inlineStr">
        <is>
          <t>HCT-25-2T/PL</t>
        </is>
      </c>
      <c r="C7" t="inlineStr"/>
      <c r="D7" t="inlineStr">
        <is>
          <t>FM - SODECA</t>
        </is>
      </c>
      <c r="E7" s="1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1000046</t>
        </is>
      </c>
      <c r="B8" t="inlineStr">
        <is>
          <t>HCT-31-2M/PL</t>
        </is>
      </c>
      <c r="C8" t="inlineStr"/>
      <c r="D8" t="inlineStr">
        <is>
          <t>FM - SODECA</t>
        </is>
      </c>
      <c r="E8" s="1" t="n">
        <v>0</v>
      </c>
      <c r="F8" t="n">
        <v>1</v>
      </c>
      <c r="G8" t="n">
        <v>0</v>
      </c>
      <c r="H8" t="n">
        <v>2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1000047</t>
        </is>
      </c>
      <c r="B9" t="inlineStr">
        <is>
          <t>HCT-31-2T/PL</t>
        </is>
      </c>
      <c r="C9" t="inlineStr"/>
      <c r="D9" t="inlineStr">
        <is>
          <t>FM - SODECA</t>
        </is>
      </c>
      <c r="E9" s="1" t="n">
        <v>0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1000049</t>
        </is>
      </c>
      <c r="B10" t="inlineStr">
        <is>
          <t>HCT-31-4M/PL</t>
        </is>
      </c>
      <c r="C10" t="inlineStr"/>
      <c r="D10" t="inlineStr">
        <is>
          <t>FM - SODECA</t>
        </is>
      </c>
      <c r="E10" s="1" t="n">
        <v>0</v>
      </c>
      <c r="F10" t="n">
        <v>1</v>
      </c>
      <c r="G10" t="n">
        <v>0</v>
      </c>
      <c r="H10" t="n">
        <v>2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1000052</t>
        </is>
      </c>
      <c r="B11" t="inlineStr">
        <is>
          <t>HCT-35-2T/PL</t>
        </is>
      </c>
      <c r="C11" t="inlineStr"/>
      <c r="D11" t="inlineStr">
        <is>
          <t>FM - SODECA</t>
        </is>
      </c>
      <c r="E11" s="1" t="n">
        <v>0</v>
      </c>
      <c r="F11" t="n">
        <v>1</v>
      </c>
      <c r="G11" t="n">
        <v>0</v>
      </c>
      <c r="H11" t="n">
        <v>2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1002948</t>
        </is>
      </c>
      <c r="B12" t="inlineStr">
        <is>
          <t>HCT-40-4T-0.33/PL</t>
        </is>
      </c>
      <c r="C12" t="inlineStr">
        <is>
          <t>SODECA</t>
        </is>
      </c>
      <c r="D12" t="inlineStr">
        <is>
          <t>FM - SODECA</t>
        </is>
      </c>
      <c r="E12" s="1" t="n">
        <v>10445.1</v>
      </c>
      <c r="F12" t="n">
        <v>2</v>
      </c>
      <c r="G12" t="n">
        <v>0</v>
      </c>
      <c r="H12" t="n">
        <v>4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1005878</t>
        </is>
      </c>
      <c r="B13" t="inlineStr">
        <is>
          <t>HTM-56-4M</t>
        </is>
      </c>
      <c r="C13" t="inlineStr"/>
      <c r="D13" t="inlineStr">
        <is>
          <t>FM - SODECA</t>
        </is>
      </c>
      <c r="E13" s="1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1005879</t>
        </is>
      </c>
      <c r="B14" t="inlineStr">
        <is>
          <t>HTM-56-4T</t>
        </is>
      </c>
      <c r="C14" t="inlineStr"/>
      <c r="D14" t="inlineStr">
        <is>
          <t>FM - SODECA</t>
        </is>
      </c>
      <c r="E14" s="1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1006313</t>
        </is>
      </c>
      <c r="B15" t="inlineStr">
        <is>
          <t>HCDF-31-4T / ATEX / EXII2G Ex d</t>
        </is>
      </c>
      <c r="C15" t="inlineStr">
        <is>
          <t>SODECA</t>
        </is>
      </c>
      <c r="D15" t="inlineStr">
        <is>
          <t>FM - SODECA</t>
        </is>
      </c>
      <c r="E15" s="1" t="n">
        <v>10228.92</v>
      </c>
      <c r="F15" t="n">
        <v>2</v>
      </c>
      <c r="G15" t="n">
        <v>0</v>
      </c>
      <c r="H15" t="n">
        <v>4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1006315</t>
        </is>
      </c>
      <c r="B16" t="inlineStr">
        <is>
          <t>HCDF 35 - 4T - Flameproof</t>
        </is>
      </c>
      <c r="C16" t="inlineStr"/>
      <c r="D16" t="inlineStr">
        <is>
          <t>FM - SODECA</t>
        </is>
      </c>
      <c r="E16" s="1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1006321</t>
        </is>
      </c>
      <c r="B17" t="inlineStr">
        <is>
          <t>HCDF 50 - 4T - Flameproof</t>
        </is>
      </c>
      <c r="C17" t="inlineStr"/>
      <c r="D17" t="inlineStr">
        <is>
          <t>FM - SODECA</t>
        </is>
      </c>
      <c r="E17" s="1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1007944</t>
        </is>
      </c>
      <c r="B18" t="inlineStr">
        <is>
          <t>CPV 1020 4T</t>
        </is>
      </c>
      <c r="C18" t="inlineStr">
        <is>
          <t>SODECA</t>
        </is>
      </c>
      <c r="D18" t="inlineStr">
        <is>
          <t>FM - SODECA</t>
        </is>
      </c>
      <c r="E18" s="1" t="n">
        <v>7297.22</v>
      </c>
      <c r="F18" t="n">
        <v>2</v>
      </c>
      <c r="G18" t="n">
        <v>0</v>
      </c>
      <c r="H18" t="n">
        <v>4</v>
      </c>
      <c r="I18" t="n">
        <v>0</v>
      </c>
      <c r="J18" t="n">
        <v>0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1007947</t>
        </is>
      </c>
      <c r="B19" t="inlineStr">
        <is>
          <t>CPV 1325 4T</t>
        </is>
      </c>
      <c r="C19" t="inlineStr">
        <is>
          <t>SODECA</t>
        </is>
      </c>
      <c r="D19" t="inlineStr">
        <is>
          <t>FM - SODECA</t>
        </is>
      </c>
      <c r="E19" s="1" t="n">
        <v>9057.07</v>
      </c>
      <c r="F19" t="n">
        <v>2</v>
      </c>
      <c r="G19" t="n">
        <v>0</v>
      </c>
      <c r="H19" t="n">
        <v>4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1007957</t>
        </is>
      </c>
      <c r="B20" t="inlineStr">
        <is>
          <t>CPV 1020 2TIE3</t>
        </is>
      </c>
      <c r="C20" t="inlineStr">
        <is>
          <t>SODECA</t>
        </is>
      </c>
      <c r="D20" t="inlineStr">
        <is>
          <t>FM - SODECA</t>
        </is>
      </c>
      <c r="E20" s="1" t="n">
        <v>8659.74</v>
      </c>
      <c r="F20" t="n">
        <v>2</v>
      </c>
      <c r="G20" t="n">
        <v>0</v>
      </c>
      <c r="H20" t="n">
        <v>4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1007960</t>
        </is>
      </c>
      <c r="B21" t="inlineStr">
        <is>
          <t>CPV 1325 2TIE3</t>
        </is>
      </c>
      <c r="C21" t="inlineStr">
        <is>
          <t>SODECA</t>
        </is>
      </c>
      <c r="D21" t="inlineStr">
        <is>
          <t>FM - SODECA</t>
        </is>
      </c>
      <c r="E21" s="1" t="n">
        <v>6576.53</v>
      </c>
      <c r="F21" t="n">
        <v>3</v>
      </c>
      <c r="G21" t="n">
        <v>0</v>
      </c>
      <c r="H21" t="n">
        <v>5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1008843</t>
        </is>
      </c>
      <c r="B22" t="inlineStr">
        <is>
          <t>CMA-218-2M</t>
        </is>
      </c>
      <c r="C22" t="inlineStr"/>
      <c r="D22" t="inlineStr">
        <is>
          <t>FM - SODECA</t>
        </is>
      </c>
      <c r="E22" s="1" t="n">
        <v>0</v>
      </c>
      <c r="F22" t="n">
        <v>1</v>
      </c>
      <c r="G22" t="n">
        <v>0</v>
      </c>
      <c r="H22" t="n">
        <v>2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1008844</t>
        </is>
      </c>
      <c r="B23" t="inlineStr">
        <is>
          <t>CMA-218-2T</t>
        </is>
      </c>
      <c r="C23" t="inlineStr">
        <is>
          <t>SODECA</t>
        </is>
      </c>
      <c r="D23" t="inlineStr">
        <is>
          <t>FM - SODECA</t>
        </is>
      </c>
      <c r="E23" s="1" t="n">
        <v>2161.93</v>
      </c>
      <c r="F23" t="n">
        <v>2</v>
      </c>
      <c r="G23" t="n">
        <v>0</v>
      </c>
      <c r="H23" t="n">
        <v>4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1008847</t>
        </is>
      </c>
      <c r="B24" t="inlineStr">
        <is>
          <t>CMA-324-2M</t>
        </is>
      </c>
      <c r="C24" t="inlineStr">
        <is>
          <t>SODECA</t>
        </is>
      </c>
      <c r="D24" t="inlineStr">
        <is>
          <t>FM - SODECA</t>
        </is>
      </c>
      <c r="E24" s="1" t="n">
        <v>1227.76</v>
      </c>
      <c r="F24" t="n">
        <v>3</v>
      </c>
      <c r="G24" t="n">
        <v>0</v>
      </c>
      <c r="H24" t="n">
        <v>5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1008849</t>
        </is>
      </c>
      <c r="B25" t="inlineStr">
        <is>
          <t>CMA-324-2T</t>
        </is>
      </c>
      <c r="C25" t="inlineStr">
        <is>
          <t>SODECA</t>
        </is>
      </c>
      <c r="D25" t="inlineStr">
        <is>
          <t>FM - SODECA</t>
        </is>
      </c>
      <c r="E25" s="1" t="n">
        <v>3195.59</v>
      </c>
      <c r="F25" t="n">
        <v>2</v>
      </c>
      <c r="G25" t="n">
        <v>0</v>
      </c>
      <c r="H25" t="n">
        <v>4</v>
      </c>
      <c r="I25" t="n">
        <v>0</v>
      </c>
      <c r="J25" t="n">
        <v>0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1008851</t>
        </is>
      </c>
      <c r="B26" t="inlineStr">
        <is>
          <t>CMA-325-2M</t>
        </is>
      </c>
      <c r="C26" t="inlineStr">
        <is>
          <t>SODECA</t>
        </is>
      </c>
      <c r="D26" t="inlineStr">
        <is>
          <t>FM - SODECA</t>
        </is>
      </c>
      <c r="E26" s="1" t="n">
        <v>4623.77</v>
      </c>
      <c r="F26" t="n">
        <v>3</v>
      </c>
      <c r="G26" t="n">
        <v>0</v>
      </c>
      <c r="H26" t="n">
        <v>6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1008852</t>
        </is>
      </c>
      <c r="B27" t="inlineStr">
        <is>
          <t>CMA-325-2T</t>
        </is>
      </c>
      <c r="C27" t="inlineStr">
        <is>
          <t>SODECA</t>
        </is>
      </c>
      <c r="D27" t="inlineStr">
        <is>
          <t>FM - SODECA</t>
        </is>
      </c>
      <c r="E27" s="1" t="n">
        <v>3573.35</v>
      </c>
      <c r="F27" t="n">
        <v>2</v>
      </c>
      <c r="G27" t="n">
        <v>0</v>
      </c>
      <c r="H27" t="n">
        <v>4</v>
      </c>
      <c r="I27" t="n">
        <v>0</v>
      </c>
      <c r="J27" t="n">
        <v>0</v>
      </c>
      <c r="K27">
        <f>IF(H27-I27-J27&gt;0,H27-I27-J27,0)</f>
        <v/>
      </c>
      <c r="L27" s="1">
        <f>IFERROR(I27*E27,0)</f>
        <v/>
      </c>
      <c r="M27" s="1">
        <f>IFERROR(K27*E27,0)</f>
        <v/>
      </c>
    </row>
    <row r="28">
      <c r="A28" t="inlineStr">
        <is>
          <t>1008854</t>
        </is>
      </c>
      <c r="B28" t="inlineStr">
        <is>
          <t>CMA-426-2M</t>
        </is>
      </c>
      <c r="C28" t="inlineStr">
        <is>
          <t>SODECA</t>
        </is>
      </c>
      <c r="D28" t="inlineStr">
        <is>
          <t>FM - SODECA</t>
        </is>
      </c>
      <c r="E28" s="1" t="n">
        <v>4990.01</v>
      </c>
      <c r="F28" t="n">
        <v>2</v>
      </c>
      <c r="G28" t="n">
        <v>0</v>
      </c>
      <c r="H28" t="n">
        <v>4</v>
      </c>
      <c r="I28" t="n">
        <v>0</v>
      </c>
      <c r="J28" t="n">
        <v>0</v>
      </c>
      <c r="K28">
        <f>IF(H28-I28-J28&gt;0,H28-I28-J28,0)</f>
        <v/>
      </c>
      <c r="L28" s="1">
        <f>IFERROR(I28*E28,0)</f>
        <v/>
      </c>
      <c r="M28" s="1">
        <f>IFERROR(K28*E28,0)</f>
        <v/>
      </c>
    </row>
    <row r="29">
      <c r="A29" t="inlineStr">
        <is>
          <t>1008856</t>
        </is>
      </c>
      <c r="B29" t="inlineStr">
        <is>
          <t>CMA-426-2T</t>
        </is>
      </c>
      <c r="C29" t="inlineStr">
        <is>
          <t>SODECA</t>
        </is>
      </c>
      <c r="D29" t="inlineStr">
        <is>
          <t>FM - SODECA</t>
        </is>
      </c>
      <c r="E29" s="1" t="n">
        <v>3795.3</v>
      </c>
      <c r="F29" t="n">
        <v>2</v>
      </c>
      <c r="G29" t="n">
        <v>0</v>
      </c>
      <c r="H29" t="n">
        <v>4</v>
      </c>
      <c r="I29" t="n">
        <v>0</v>
      </c>
      <c r="J29" t="n">
        <v>0</v>
      </c>
      <c r="K29">
        <f>IF(H29-I29-J29&gt;0,H29-I29-J29,0)</f>
        <v/>
      </c>
      <c r="L29" s="1">
        <f>IFERROR(I29*E29,0)</f>
        <v/>
      </c>
      <c r="M29" s="1">
        <f>IFERROR(K29*E29,0)</f>
        <v/>
      </c>
    </row>
    <row r="30">
      <c r="A30" t="inlineStr">
        <is>
          <t>1008860</t>
        </is>
      </c>
      <c r="B30" t="inlineStr">
        <is>
          <t>CMA-527-2M</t>
        </is>
      </c>
      <c r="C30" t="inlineStr">
        <is>
          <t>SODECA</t>
        </is>
      </c>
      <c r="D30" t="inlineStr">
        <is>
          <t>FM - SODECA</t>
        </is>
      </c>
      <c r="E30" s="1" t="n">
        <v>7066.18</v>
      </c>
      <c r="F30" t="n">
        <v>5</v>
      </c>
      <c r="G30" t="n">
        <v>0</v>
      </c>
      <c r="H30" t="n">
        <v>9</v>
      </c>
      <c r="I30" t="n">
        <v>0</v>
      </c>
      <c r="J30" t="n">
        <v>0</v>
      </c>
      <c r="K30">
        <f>IF(H30-I30-J30&gt;0,H30-I30-J30,0)</f>
        <v/>
      </c>
      <c r="L30" s="1">
        <f>IFERROR(I30*E30,0)</f>
        <v/>
      </c>
      <c r="M30" s="1">
        <f>IFERROR(K30*E30,0)</f>
        <v/>
      </c>
    </row>
    <row r="31">
      <c r="A31" t="inlineStr">
        <is>
          <t>1008861</t>
        </is>
      </c>
      <c r="B31" t="inlineStr">
        <is>
          <t>CMA-527-2T</t>
        </is>
      </c>
      <c r="C31" t="inlineStr">
        <is>
          <t>SODECA</t>
        </is>
      </c>
      <c r="D31" t="inlineStr">
        <is>
          <t>FM - SODECA</t>
        </is>
      </c>
      <c r="E31" s="1" t="n">
        <v>6501.35</v>
      </c>
      <c r="F31" t="n">
        <v>3</v>
      </c>
      <c r="G31" t="n">
        <v>0</v>
      </c>
      <c r="H31" t="n">
        <v>5</v>
      </c>
      <c r="I31" t="n">
        <v>0</v>
      </c>
      <c r="J31" t="n">
        <v>0</v>
      </c>
      <c r="K31">
        <f>IF(H31-I31-J31&gt;0,H31-I31-J31,0)</f>
        <v/>
      </c>
      <c r="L31" s="1">
        <f>IFERROR(I31*E31,0)</f>
        <v/>
      </c>
      <c r="M31" s="1">
        <f>IFERROR(K31*E31,0)</f>
        <v/>
      </c>
    </row>
    <row r="32">
      <c r="A32" t="inlineStr">
        <is>
          <t>1008864</t>
        </is>
      </c>
      <c r="B32" t="inlineStr">
        <is>
          <t>CMA-528-2M - 1.5</t>
        </is>
      </c>
      <c r="C32" t="inlineStr"/>
      <c r="D32" t="inlineStr">
        <is>
          <t>FM - SODECA</t>
        </is>
      </c>
      <c r="E32" s="1" t="n">
        <v>0</v>
      </c>
      <c r="F32" t="n">
        <v>1</v>
      </c>
      <c r="G32" t="n">
        <v>0</v>
      </c>
      <c r="H32" t="n">
        <v>2</v>
      </c>
      <c r="I32" t="n">
        <v>0</v>
      </c>
      <c r="J32" t="n">
        <v>0</v>
      </c>
      <c r="K32">
        <f>IF(H32-I32-J32&gt;0,H32-I32-J32,0)</f>
        <v/>
      </c>
      <c r="L32" s="1">
        <f>IFERROR(I32*E32,0)</f>
        <v/>
      </c>
      <c r="M32" s="1">
        <f>IFERROR(K32*E32,0)</f>
        <v/>
      </c>
    </row>
    <row r="33">
      <c r="A33" t="inlineStr">
        <is>
          <t>1008867</t>
        </is>
      </c>
      <c r="B33" t="inlineStr">
        <is>
          <t>CMA-531-2M-2</t>
        </is>
      </c>
      <c r="C33" t="inlineStr"/>
      <c r="D33" t="inlineStr">
        <is>
          <t>FM - SODECA</t>
        </is>
      </c>
      <c r="E33" s="1" t="n">
        <v>0</v>
      </c>
      <c r="F33" t="n">
        <v>1</v>
      </c>
      <c r="G33" t="n">
        <v>0</v>
      </c>
      <c r="H33" t="n">
        <v>2</v>
      </c>
      <c r="I33" t="n">
        <v>0</v>
      </c>
      <c r="J33" t="n">
        <v>0</v>
      </c>
      <c r="K33">
        <f>IF(H33-I33-J33&gt;0,H33-I33-J33,0)</f>
        <v/>
      </c>
      <c r="L33" s="1">
        <f>IFERROR(I33*E33,0)</f>
        <v/>
      </c>
      <c r="M33" s="1">
        <f>IFERROR(K33*E33,0)</f>
        <v/>
      </c>
    </row>
    <row r="34">
      <c r="A34" t="inlineStr">
        <is>
          <t>1008870</t>
        </is>
      </c>
      <c r="B34" t="inlineStr">
        <is>
          <t>CMA-528-2T-1.5 IE3</t>
        </is>
      </c>
      <c r="C34" t="inlineStr">
        <is>
          <t>SODECA</t>
        </is>
      </c>
      <c r="D34" t="inlineStr">
        <is>
          <t>FM - SODECA</t>
        </is>
      </c>
      <c r="E34" s="1" t="n">
        <v>8327.860000000001</v>
      </c>
      <c r="F34" t="n">
        <v>3</v>
      </c>
      <c r="G34" t="n">
        <v>0</v>
      </c>
      <c r="H34" t="n">
        <v>5</v>
      </c>
      <c r="I34" t="n">
        <v>0</v>
      </c>
      <c r="J34" t="n">
        <v>0</v>
      </c>
      <c r="K34">
        <f>IF(H34-I34-J34&gt;0,H34-I34-J34,0)</f>
        <v/>
      </c>
      <c r="L34" s="1">
        <f>IFERROR(I34*E34,0)</f>
        <v/>
      </c>
      <c r="M34" s="1">
        <f>IFERROR(K34*E34,0)</f>
        <v/>
      </c>
    </row>
    <row r="35">
      <c r="A35" t="inlineStr">
        <is>
          <t>1008871</t>
        </is>
      </c>
      <c r="B35" t="inlineStr">
        <is>
          <t>CMA-528-2T-1 IE3</t>
        </is>
      </c>
      <c r="C35" t="inlineStr">
        <is>
          <t>SODECA</t>
        </is>
      </c>
      <c r="D35" t="inlineStr">
        <is>
          <t>FM - SODECA</t>
        </is>
      </c>
      <c r="E35" s="1" t="n">
        <v>7791.64</v>
      </c>
      <c r="F35" t="n">
        <v>2</v>
      </c>
      <c r="G35" t="n">
        <v>0</v>
      </c>
      <c r="H35" t="n">
        <v>4</v>
      </c>
      <c r="I35" t="n">
        <v>0</v>
      </c>
      <c r="J35" t="n">
        <v>0</v>
      </c>
      <c r="K35">
        <f>IF(H35-I35-J35&gt;0,H35-I35-J35,0)</f>
        <v/>
      </c>
      <c r="L35" s="1">
        <f>IFERROR(I35*E35,0)</f>
        <v/>
      </c>
      <c r="M35" s="1">
        <f>IFERROR(K35*E35,0)</f>
        <v/>
      </c>
    </row>
    <row r="36">
      <c r="A36" t="inlineStr">
        <is>
          <t>1008873</t>
        </is>
      </c>
      <c r="B36" t="inlineStr">
        <is>
          <t>CMA-531-2T-1.5 IE3</t>
        </is>
      </c>
      <c r="C36" t="inlineStr"/>
      <c r="D36" t="inlineStr">
        <is>
          <t>FM - SODECA</t>
        </is>
      </c>
      <c r="E36" s="1" t="n">
        <v>0</v>
      </c>
      <c r="F36" t="n">
        <v>1</v>
      </c>
      <c r="G36" t="n">
        <v>0</v>
      </c>
      <c r="H36" t="n">
        <v>2</v>
      </c>
      <c r="I36" t="n">
        <v>0</v>
      </c>
      <c r="J36" t="n">
        <v>0</v>
      </c>
      <c r="K36">
        <f>IF(H36-I36-J36&gt;0,H36-I36-J36,0)</f>
        <v/>
      </c>
      <c r="L36" s="1">
        <f>IFERROR(I36*E36,0)</f>
        <v/>
      </c>
      <c r="M36" s="1">
        <f>IFERROR(K36*E36,0)</f>
        <v/>
      </c>
    </row>
    <row r="37">
      <c r="A37" t="inlineStr">
        <is>
          <t>1008874</t>
        </is>
      </c>
      <c r="B37" t="inlineStr">
        <is>
          <t>CMA-531-2T-2 IE3</t>
        </is>
      </c>
      <c r="C37" t="inlineStr"/>
      <c r="D37" t="inlineStr">
        <is>
          <t>FM - SODECA</t>
        </is>
      </c>
      <c r="E37" s="1" t="n">
        <v>0</v>
      </c>
      <c r="F37" t="n">
        <v>1</v>
      </c>
      <c r="G37" t="n">
        <v>0</v>
      </c>
      <c r="H37" t="n">
        <v>2</v>
      </c>
      <c r="I37" t="n">
        <v>0</v>
      </c>
      <c r="J37" t="n">
        <v>0</v>
      </c>
      <c r="K37">
        <f>IF(H37-I37-J37&gt;0,H37-I37-J37,0)</f>
        <v/>
      </c>
      <c r="L37" s="1">
        <f>IFERROR(I37*E37,0)</f>
        <v/>
      </c>
      <c r="M37" s="1">
        <f>IFERROR(K37*E37,0)</f>
        <v/>
      </c>
    </row>
    <row r="38">
      <c r="A38" t="inlineStr">
        <is>
          <t>1008875</t>
        </is>
      </c>
      <c r="B38" t="inlineStr">
        <is>
          <t>CMA-531-2T-3 IE3</t>
        </is>
      </c>
      <c r="C38" t="inlineStr">
        <is>
          <t>SODECA</t>
        </is>
      </c>
      <c r="D38" t="inlineStr">
        <is>
          <t>FM - SODECA</t>
        </is>
      </c>
      <c r="E38" s="1" t="n">
        <v>13272.68</v>
      </c>
      <c r="F38" t="n">
        <v>3</v>
      </c>
      <c r="G38" t="n">
        <v>0</v>
      </c>
      <c r="H38" t="n">
        <v>5</v>
      </c>
      <c r="I38" t="n">
        <v>0</v>
      </c>
      <c r="J38" t="n">
        <v>0</v>
      </c>
      <c r="K38">
        <f>IF(H38-I38-J38&gt;0,H38-I38-J38,0)</f>
        <v/>
      </c>
      <c r="L38" s="1">
        <f>IFERROR(I38*E38,0)</f>
        <v/>
      </c>
      <c r="M38" s="1">
        <f>IFERROR(K38*E38,0)</f>
        <v/>
      </c>
    </row>
    <row r="39">
      <c r="A39" t="inlineStr">
        <is>
          <t>1010396</t>
        </is>
      </c>
      <c r="B39" t="inlineStr">
        <is>
          <t>CAM 540 2T</t>
        </is>
      </c>
      <c r="C39" t="inlineStr"/>
      <c r="D39" t="inlineStr">
        <is>
          <t>FM - SODECA</t>
        </is>
      </c>
      <c r="E39" s="1" t="n">
        <v>0</v>
      </c>
      <c r="F39" t="n">
        <v>1</v>
      </c>
      <c r="G39" t="n">
        <v>0</v>
      </c>
      <c r="H39" t="n">
        <v>2</v>
      </c>
      <c r="I39" t="n">
        <v>0</v>
      </c>
      <c r="J39" t="n">
        <v>0</v>
      </c>
      <c r="K39">
        <f>IF(H39-I39-J39&gt;0,H39-I39-J39,0)</f>
        <v/>
      </c>
      <c r="L39" s="1">
        <f>IFERROR(I39*E39,0)</f>
        <v/>
      </c>
      <c r="M39" s="1">
        <f>IFERROR(K39*E39,0)</f>
        <v/>
      </c>
    </row>
    <row r="40">
      <c r="A40" t="inlineStr">
        <is>
          <t>1010401</t>
        </is>
      </c>
      <c r="B40" t="inlineStr">
        <is>
          <t>CAM 545 2T 4 c/w 3.0kw 2P 400V</t>
        </is>
      </c>
      <c r="C40" t="inlineStr">
        <is>
          <t>SODECA</t>
        </is>
      </c>
      <c r="D40" t="inlineStr">
        <is>
          <t>FM - SODECA</t>
        </is>
      </c>
      <c r="E40" s="1" t="n">
        <v>14410.33</v>
      </c>
      <c r="F40" t="n">
        <v>2</v>
      </c>
      <c r="G40" t="n">
        <v>0</v>
      </c>
      <c r="H40" t="n">
        <v>4</v>
      </c>
      <c r="I40" t="n">
        <v>0</v>
      </c>
      <c r="J40" t="n">
        <v>0</v>
      </c>
      <c r="K40">
        <f>IF(H40-I40-J40&gt;0,H40-I40-J40,0)</f>
        <v/>
      </c>
      <c r="L40" s="1">
        <f>IFERROR(I40*E40,0)</f>
        <v/>
      </c>
      <c r="M40" s="1">
        <f>IFERROR(K40*E40,0)</f>
        <v/>
      </c>
    </row>
    <row r="41">
      <c r="A41" t="inlineStr">
        <is>
          <t>1010407</t>
        </is>
      </c>
      <c r="B41" t="inlineStr">
        <is>
          <t>CAM 550 2T 7.5</t>
        </is>
      </c>
      <c r="C41" t="inlineStr">
        <is>
          <t>SODECA</t>
        </is>
      </c>
      <c r="D41" t="inlineStr">
        <is>
          <t>FM - SODECA</t>
        </is>
      </c>
      <c r="E41" s="1" t="n">
        <v>23609.05</v>
      </c>
      <c r="F41" t="n">
        <v>2</v>
      </c>
      <c r="G41" t="n">
        <v>0</v>
      </c>
      <c r="H41" t="n">
        <v>4</v>
      </c>
      <c r="I41" t="n">
        <v>0</v>
      </c>
      <c r="J41" t="n">
        <v>0</v>
      </c>
      <c r="K41">
        <f>IF(H41-I41-J41&gt;0,H41-I41-J41,0)</f>
        <v/>
      </c>
      <c r="L41" s="1">
        <f>IFERROR(I41*E41,0)</f>
        <v/>
      </c>
      <c r="M41" s="1">
        <f>IFERROR(K41*E41,0)</f>
        <v/>
      </c>
    </row>
    <row r="42">
      <c r="A42" t="inlineStr">
        <is>
          <t>1010596</t>
        </is>
      </c>
      <c r="B42" t="inlineStr">
        <is>
          <t>CAS 254 - 2T - 3</t>
        </is>
      </c>
      <c r="C42" t="inlineStr"/>
      <c r="D42" t="inlineStr">
        <is>
          <t>FM - SODECA</t>
        </is>
      </c>
      <c r="E42" s="1" t="n">
        <v>0</v>
      </c>
      <c r="F42" t="n">
        <v>1</v>
      </c>
      <c r="G42" t="n">
        <v>0</v>
      </c>
      <c r="H42" t="n">
        <v>2</v>
      </c>
      <c r="I42" t="n">
        <v>0</v>
      </c>
      <c r="J42" t="n">
        <v>0</v>
      </c>
      <c r="K42">
        <f>IF(H42-I42-J42&gt;0,H42-I42-J42,0)</f>
        <v/>
      </c>
      <c r="L42" s="1">
        <f>IFERROR(I42*E42,0)</f>
        <v/>
      </c>
      <c r="M42" s="1">
        <f>IFERROR(K42*E42,0)</f>
        <v/>
      </c>
    </row>
    <row r="43">
      <c r="A43" t="inlineStr">
        <is>
          <t>1010606</t>
        </is>
      </c>
      <c r="B43" t="inlineStr">
        <is>
          <t>CAS 463 - 2T - 7.5</t>
        </is>
      </c>
      <c r="C43" t="inlineStr"/>
      <c r="D43" t="inlineStr">
        <is>
          <t>FM - SODECA</t>
        </is>
      </c>
      <c r="E43" s="1" t="n">
        <v>0</v>
      </c>
      <c r="F43" t="n">
        <v>1</v>
      </c>
      <c r="G43" t="n">
        <v>0</v>
      </c>
      <c r="H43" t="n">
        <v>2</v>
      </c>
      <c r="I43" t="n">
        <v>0</v>
      </c>
      <c r="J43" t="n">
        <v>0</v>
      </c>
      <c r="K43">
        <f>IF(H43-I43-J43&gt;0,H43-I43-J43,0)</f>
        <v/>
      </c>
      <c r="L43" s="1">
        <f>IFERROR(I43*E43,0)</f>
        <v/>
      </c>
      <c r="M43" s="1">
        <f>IFERROR(K43*E43,0)</f>
        <v/>
      </c>
    </row>
    <row r="44">
      <c r="A44" t="inlineStr">
        <is>
          <t>1012391</t>
        </is>
      </c>
      <c r="B44" t="inlineStr">
        <is>
          <t>CMP 38 2M</t>
        </is>
      </c>
      <c r="C44" t="inlineStr"/>
      <c r="D44" t="inlineStr">
        <is>
          <t>FM - SODECA</t>
        </is>
      </c>
      <c r="E44" s="1" t="n">
        <v>0</v>
      </c>
      <c r="F44" t="n">
        <v>1</v>
      </c>
      <c r="G44" t="n">
        <v>0</v>
      </c>
      <c r="H44" t="n">
        <v>2</v>
      </c>
      <c r="I44" t="n">
        <v>0</v>
      </c>
      <c r="J44" t="n">
        <v>0</v>
      </c>
      <c r="K44">
        <f>IF(H44-I44-J44&gt;0,H44-I44-J44,0)</f>
        <v/>
      </c>
      <c r="L44" s="1">
        <f>IFERROR(I44*E44,0)</f>
        <v/>
      </c>
      <c r="M44" s="1">
        <f>IFERROR(K44*E44,0)</f>
        <v/>
      </c>
    </row>
    <row r="45">
      <c r="A45" t="inlineStr">
        <is>
          <t>1012398</t>
        </is>
      </c>
      <c r="B45" t="inlineStr">
        <is>
          <t>CMP 512 2M</t>
        </is>
      </c>
      <c r="C45" t="inlineStr">
        <is>
          <t>SODECA</t>
        </is>
      </c>
      <c r="D45" t="inlineStr">
        <is>
          <t>FM - SODECA</t>
        </is>
      </c>
      <c r="E45" s="1" t="n">
        <v>735.24</v>
      </c>
      <c r="F45" t="n">
        <v>2</v>
      </c>
      <c r="G45" t="n">
        <v>0</v>
      </c>
      <c r="H45" t="n">
        <v>4</v>
      </c>
      <c r="I45" t="n">
        <v>0</v>
      </c>
      <c r="J45" t="n">
        <v>0</v>
      </c>
      <c r="K45">
        <f>IF(H45-I45-J45&gt;0,H45-I45-J45,0)</f>
        <v/>
      </c>
      <c r="L45" s="1">
        <f>IFERROR(I45*E45,0)</f>
        <v/>
      </c>
      <c r="M45" s="1">
        <f>IFERROR(K45*E45,0)</f>
        <v/>
      </c>
    </row>
    <row r="46">
      <c r="A46" t="inlineStr">
        <is>
          <t>1012411</t>
        </is>
      </c>
      <c r="B46" t="inlineStr">
        <is>
          <t>CMP 512 2T</t>
        </is>
      </c>
      <c r="C46" t="inlineStr">
        <is>
          <t>SODECA</t>
        </is>
      </c>
      <c r="D46" t="inlineStr">
        <is>
          <t>FM - SODECA</t>
        </is>
      </c>
      <c r="E46" s="1" t="n">
        <v>1727.72</v>
      </c>
      <c r="F46" t="n">
        <v>4</v>
      </c>
      <c r="G46" t="n">
        <v>0</v>
      </c>
      <c r="H46" t="n">
        <v>8</v>
      </c>
      <c r="I46" t="n">
        <v>0</v>
      </c>
      <c r="J46" t="n">
        <v>0</v>
      </c>
      <c r="K46">
        <f>IF(H46-I46-J46&gt;0,H46-I46-J46,0)</f>
        <v/>
      </c>
      <c r="L46" s="1">
        <f>IFERROR(I46*E46,0)</f>
        <v/>
      </c>
      <c r="M46" s="1">
        <f>IFERROR(K46*E46,0)</f>
        <v/>
      </c>
    </row>
    <row r="47">
      <c r="A47" t="inlineStr">
        <is>
          <t>1012446</t>
        </is>
      </c>
      <c r="B47" t="inlineStr">
        <is>
          <t>CMP 514 2M</t>
        </is>
      </c>
      <c r="C47" t="inlineStr">
        <is>
          <t>SODECA</t>
        </is>
      </c>
      <c r="D47" t="inlineStr">
        <is>
          <t>FM - SODECA</t>
        </is>
      </c>
      <c r="E47" s="1" t="n">
        <v>1993.97</v>
      </c>
      <c r="F47" t="n">
        <v>4</v>
      </c>
      <c r="G47" t="n">
        <v>0</v>
      </c>
      <c r="H47" t="n">
        <v>8</v>
      </c>
      <c r="I47" t="n">
        <v>0</v>
      </c>
      <c r="J47" t="n">
        <v>0</v>
      </c>
      <c r="K47">
        <f>IF(H47-I47-J47&gt;0,H47-I47-J47,0)</f>
        <v/>
      </c>
      <c r="L47" s="1">
        <f>IFERROR(I47*E47,0)</f>
        <v/>
      </c>
      <c r="M47" s="1">
        <f>IFERROR(K47*E47,0)</f>
        <v/>
      </c>
    </row>
    <row r="48">
      <c r="A48" t="inlineStr">
        <is>
          <t>1012461</t>
        </is>
      </c>
      <c r="B48" t="inlineStr">
        <is>
          <t>CMP 514 2T</t>
        </is>
      </c>
      <c r="C48" t="inlineStr">
        <is>
          <t>SODECA</t>
        </is>
      </c>
      <c r="D48" t="inlineStr">
        <is>
          <t>FM - SODECA</t>
        </is>
      </c>
      <c r="E48" s="1" t="n">
        <v>2095.15</v>
      </c>
      <c r="F48" t="n">
        <v>4</v>
      </c>
      <c r="G48" t="n">
        <v>0</v>
      </c>
      <c r="H48" t="n">
        <v>8</v>
      </c>
      <c r="I48" t="n">
        <v>0</v>
      </c>
      <c r="J48" t="n">
        <v>0</v>
      </c>
      <c r="K48">
        <f>IF(H48-I48-J48&gt;0,H48-I48-J48,0)</f>
        <v/>
      </c>
      <c r="L48" s="1">
        <f>IFERROR(I48*E48,0)</f>
        <v/>
      </c>
      <c r="M48" s="1">
        <f>IFERROR(K48*E48,0)</f>
        <v/>
      </c>
    </row>
    <row r="49">
      <c r="A49" t="inlineStr">
        <is>
          <t>1012504</t>
        </is>
      </c>
      <c r="B49" t="inlineStr">
        <is>
          <t>CMP 616 2M</t>
        </is>
      </c>
      <c r="C49" t="inlineStr">
        <is>
          <t>SODECA</t>
        </is>
      </c>
      <c r="D49" t="inlineStr">
        <is>
          <t>FM - SODECA</t>
        </is>
      </c>
      <c r="E49" s="1" t="n">
        <v>1429.71</v>
      </c>
      <c r="F49" t="n">
        <v>2</v>
      </c>
      <c r="G49" t="n">
        <v>0</v>
      </c>
      <c r="H49" t="n">
        <v>4</v>
      </c>
      <c r="I49" t="n">
        <v>0</v>
      </c>
      <c r="J49" t="n">
        <v>0</v>
      </c>
      <c r="K49">
        <f>IF(H49-I49-J49&gt;0,H49-I49-J49,0)</f>
        <v/>
      </c>
      <c r="L49" s="1">
        <f>IFERROR(I49*E49,0)</f>
        <v/>
      </c>
      <c r="M49" s="1">
        <f>IFERROR(K49*E49,0)</f>
        <v/>
      </c>
    </row>
    <row r="50">
      <c r="A50" t="inlineStr">
        <is>
          <t>1012516</t>
        </is>
      </c>
      <c r="B50" t="inlineStr">
        <is>
          <t>CMP 616 2T</t>
        </is>
      </c>
      <c r="C50" t="inlineStr">
        <is>
          <t>SODECA</t>
        </is>
      </c>
      <c r="D50" t="inlineStr">
        <is>
          <t>FM - SODECA</t>
        </is>
      </c>
      <c r="E50" s="1" t="n">
        <v>2732.17</v>
      </c>
      <c r="F50" t="n">
        <v>5</v>
      </c>
      <c r="G50" t="n">
        <v>0</v>
      </c>
      <c r="H50" t="n">
        <v>10</v>
      </c>
      <c r="I50" t="n">
        <v>0</v>
      </c>
      <c r="J50" t="n">
        <v>0</v>
      </c>
      <c r="K50">
        <f>IF(H50-I50-J50&gt;0,H50-I50-J50,0)</f>
        <v/>
      </c>
      <c r="L50" s="1">
        <f>IFERROR(I50*E50,0)</f>
        <v/>
      </c>
      <c r="M50" s="1">
        <f>IFERROR(K50*E50,0)</f>
        <v/>
      </c>
    </row>
    <row r="51">
      <c r="A51" t="inlineStr">
        <is>
          <t>1012571</t>
        </is>
      </c>
      <c r="B51" t="inlineStr">
        <is>
          <t>CMP 718 2M</t>
        </is>
      </c>
      <c r="C51" t="inlineStr"/>
      <c r="D51" t="inlineStr">
        <is>
          <t>FM - SODECA</t>
        </is>
      </c>
      <c r="E51" s="1" t="n">
        <v>0</v>
      </c>
      <c r="F51" t="n">
        <v>1</v>
      </c>
      <c r="G51" t="n">
        <v>0</v>
      </c>
      <c r="H51" t="n">
        <v>2</v>
      </c>
      <c r="I51" t="n">
        <v>0</v>
      </c>
      <c r="J51" t="n">
        <v>0</v>
      </c>
      <c r="K51">
        <f>IF(H51-I51-J51&gt;0,H51-I51-J51,0)</f>
        <v/>
      </c>
      <c r="L51" s="1">
        <f>IFERROR(I51*E51,0)</f>
        <v/>
      </c>
      <c r="M51" s="1">
        <f>IFERROR(K51*E51,0)</f>
        <v/>
      </c>
    </row>
    <row r="52">
      <c r="A52" t="inlineStr">
        <is>
          <t>1012594</t>
        </is>
      </c>
      <c r="B52" t="inlineStr">
        <is>
          <t>CMP 820 2M</t>
        </is>
      </c>
      <c r="C52" t="inlineStr"/>
      <c r="D52" t="inlineStr">
        <is>
          <t>FM - SODECA</t>
        </is>
      </c>
      <c r="E52" s="1" t="n">
        <v>0</v>
      </c>
      <c r="F52" t="n">
        <v>1</v>
      </c>
      <c r="G52" t="n">
        <v>0</v>
      </c>
      <c r="H52" t="n">
        <v>2</v>
      </c>
      <c r="I52" t="n">
        <v>0</v>
      </c>
      <c r="J52" t="n">
        <v>0</v>
      </c>
      <c r="K52">
        <f>IF(H52-I52-J52&gt;0,H52-I52-J52,0)</f>
        <v/>
      </c>
      <c r="L52" s="1">
        <f>IFERROR(I52*E52,0)</f>
        <v/>
      </c>
      <c r="M52" s="1">
        <f>IFERROR(K52*E52,0)</f>
        <v/>
      </c>
    </row>
    <row r="53">
      <c r="A53" t="inlineStr">
        <is>
          <t>1012607</t>
        </is>
      </c>
      <c r="B53" t="inlineStr">
        <is>
          <t>CMP 820 4T</t>
        </is>
      </c>
      <c r="C53" t="inlineStr">
        <is>
          <t>SODECA</t>
        </is>
      </c>
      <c r="D53" t="inlineStr">
        <is>
          <t>FM - SODECA</t>
        </is>
      </c>
      <c r="E53" s="1" t="n">
        <v>2967.12</v>
      </c>
      <c r="F53" t="n">
        <v>3</v>
      </c>
      <c r="G53" t="n">
        <v>0</v>
      </c>
      <c r="H53" t="n">
        <v>5</v>
      </c>
      <c r="I53" t="n">
        <v>0</v>
      </c>
      <c r="J53" t="n">
        <v>0</v>
      </c>
      <c r="K53">
        <f>IF(H53-I53-J53&gt;0,H53-I53-J53,0)</f>
        <v/>
      </c>
      <c r="L53" s="1">
        <f>IFERROR(I53*E53,0)</f>
        <v/>
      </c>
      <c r="M53" s="1">
        <f>IFERROR(K53*E53,0)</f>
        <v/>
      </c>
    </row>
    <row r="54">
      <c r="A54" t="inlineStr">
        <is>
          <t>1012658</t>
        </is>
      </c>
      <c r="B54" t="inlineStr">
        <is>
          <t>CMP 718 2T</t>
        </is>
      </c>
      <c r="C54" t="inlineStr">
        <is>
          <t>SODECA</t>
        </is>
      </c>
      <c r="D54" t="inlineStr">
        <is>
          <t>FM - SODECA</t>
        </is>
      </c>
      <c r="E54" s="1" t="n">
        <v>4105.16</v>
      </c>
      <c r="F54" t="n">
        <v>2</v>
      </c>
      <c r="G54" t="n">
        <v>0</v>
      </c>
      <c r="H54" t="n">
        <v>4</v>
      </c>
      <c r="I54" t="n">
        <v>0</v>
      </c>
      <c r="J54" t="n">
        <v>0</v>
      </c>
      <c r="K54">
        <f>IF(H54-I54-J54&gt;0,H54-I54-J54,0)</f>
        <v/>
      </c>
      <c r="L54" s="1">
        <f>IFERROR(I54*E54,0)</f>
        <v/>
      </c>
      <c r="M54" s="1">
        <f>IFERROR(K54*E54,0)</f>
        <v/>
      </c>
    </row>
    <row r="55">
      <c r="A55" t="inlineStr">
        <is>
          <t>1012671</t>
        </is>
      </c>
      <c r="B55" t="inlineStr">
        <is>
          <t>CMP 820 2T</t>
        </is>
      </c>
      <c r="C55" t="inlineStr">
        <is>
          <t>SODECA</t>
        </is>
      </c>
      <c r="D55" t="inlineStr">
        <is>
          <t>FM - SODECA</t>
        </is>
      </c>
      <c r="E55" s="1" t="n">
        <v>4679.14</v>
      </c>
      <c r="F55" t="n">
        <v>2</v>
      </c>
      <c r="G55" t="n">
        <v>0</v>
      </c>
      <c r="H55" t="n">
        <v>4</v>
      </c>
      <c r="I55" t="n">
        <v>0</v>
      </c>
      <c r="J55" t="n">
        <v>0</v>
      </c>
      <c r="K55">
        <f>IF(H55-I55-J55&gt;0,H55-I55-J55,0)</f>
        <v/>
      </c>
      <c r="L55" s="1">
        <f>IFERROR(I55*E55,0)</f>
        <v/>
      </c>
      <c r="M55" s="1">
        <f>IFERROR(K55*E55,0)</f>
        <v/>
      </c>
    </row>
    <row r="56">
      <c r="A56" t="inlineStr">
        <is>
          <t>1012695</t>
        </is>
      </c>
      <c r="B56" t="inlineStr">
        <is>
          <t>CMP 1025 2T 3</t>
        </is>
      </c>
      <c r="C56" t="inlineStr">
        <is>
          <t>SODECA</t>
        </is>
      </c>
      <c r="D56" t="inlineStr">
        <is>
          <t>FM - SODECA</t>
        </is>
      </c>
      <c r="E56" s="1" t="n">
        <v>6886.04</v>
      </c>
      <c r="F56" t="n">
        <v>4</v>
      </c>
      <c r="G56" t="n">
        <v>0</v>
      </c>
      <c r="H56" t="n">
        <v>8</v>
      </c>
      <c r="I56" t="n">
        <v>0</v>
      </c>
      <c r="J56" t="n">
        <v>0</v>
      </c>
      <c r="K56">
        <f>IF(H56-I56-J56&gt;0,H56-I56-J56,0)</f>
        <v/>
      </c>
      <c r="L56" s="1">
        <f>IFERROR(I56*E56,0)</f>
        <v/>
      </c>
      <c r="M56" s="1">
        <f>IFERROR(K56*E56,0)</f>
        <v/>
      </c>
    </row>
    <row r="57">
      <c r="A57" t="inlineStr">
        <is>
          <t>1017052</t>
        </is>
      </c>
      <c r="B57" t="inlineStr">
        <is>
          <t>HC-25-2M/H</t>
        </is>
      </c>
      <c r="C57" t="inlineStr"/>
      <c r="D57" t="inlineStr">
        <is>
          <t>FM - SODECA</t>
        </is>
      </c>
      <c r="E57" s="1" t="n">
        <v>0</v>
      </c>
      <c r="F57" t="n">
        <v>1</v>
      </c>
      <c r="G57" t="n">
        <v>0</v>
      </c>
      <c r="H57" t="n">
        <v>2</v>
      </c>
      <c r="I57" t="n">
        <v>0</v>
      </c>
      <c r="J57" t="n">
        <v>0</v>
      </c>
      <c r="K57">
        <f>IF(H57-I57-J57&gt;0,H57-I57-J57,0)</f>
        <v/>
      </c>
      <c r="L57" s="1">
        <f>IFERROR(I57*E57,0)</f>
        <v/>
      </c>
      <c r="M57" s="1">
        <f>IFERROR(K57*E57,0)</f>
        <v/>
      </c>
    </row>
    <row r="58">
      <c r="A58" t="inlineStr">
        <is>
          <t>1017069</t>
        </is>
      </c>
      <c r="B58" t="inlineStr">
        <is>
          <t>HC-25-4M/H</t>
        </is>
      </c>
      <c r="C58" t="inlineStr">
        <is>
          <t>SODECA</t>
        </is>
      </c>
      <c r="D58" t="inlineStr">
        <is>
          <t>FM - SODECA</t>
        </is>
      </c>
      <c r="E58" s="1" t="n">
        <v>1464.39</v>
      </c>
      <c r="F58" t="n">
        <v>3</v>
      </c>
      <c r="G58" t="n">
        <v>0</v>
      </c>
      <c r="H58" t="n">
        <v>5</v>
      </c>
      <c r="I58" t="n">
        <v>0</v>
      </c>
      <c r="J58" t="n">
        <v>0</v>
      </c>
      <c r="K58">
        <f>IF(H58-I58-J58&gt;0,H58-I58-J58,0)</f>
        <v/>
      </c>
      <c r="L58" s="1">
        <f>IFERROR(I58*E58,0)</f>
        <v/>
      </c>
      <c r="M58" s="1">
        <f>IFERROR(K58*E58,0)</f>
        <v/>
      </c>
    </row>
    <row r="59">
      <c r="A59" t="inlineStr">
        <is>
          <t>1017082</t>
        </is>
      </c>
      <c r="B59" t="inlineStr">
        <is>
          <t>HC-31-2M/H</t>
        </is>
      </c>
      <c r="C59" t="inlineStr"/>
      <c r="D59" t="inlineStr">
        <is>
          <t>FM - SODECA</t>
        </is>
      </c>
      <c r="E59" s="1" t="n">
        <v>0</v>
      </c>
      <c r="F59" t="n">
        <v>1</v>
      </c>
      <c r="G59" t="n">
        <v>0</v>
      </c>
      <c r="H59" t="n">
        <v>2</v>
      </c>
      <c r="I59" t="n">
        <v>0</v>
      </c>
      <c r="J59" t="n">
        <v>0</v>
      </c>
      <c r="K59">
        <f>IF(H59-I59-J59&gt;0,H59-I59-J59,0)</f>
        <v/>
      </c>
      <c r="L59" s="1">
        <f>IFERROR(I59*E59,0)</f>
        <v/>
      </c>
      <c r="M59" s="1">
        <f>IFERROR(K59*E59,0)</f>
        <v/>
      </c>
    </row>
    <row r="60">
      <c r="A60" t="inlineStr">
        <is>
          <t>1017097</t>
        </is>
      </c>
      <c r="B60" t="inlineStr">
        <is>
          <t>HC-31-4M/H</t>
        </is>
      </c>
      <c r="C60" t="inlineStr">
        <is>
          <t>Luft Industries Natal (Pty) Ltd</t>
        </is>
      </c>
      <c r="D60" t="inlineStr">
        <is>
          <t>FM - SODECA</t>
        </is>
      </c>
      <c r="E60" s="1" t="n">
        <v>1340.63</v>
      </c>
      <c r="F60" t="n">
        <v>1</v>
      </c>
      <c r="G60" t="n">
        <v>0</v>
      </c>
      <c r="H60" t="n">
        <v>2</v>
      </c>
      <c r="I60" t="n">
        <v>0</v>
      </c>
      <c r="J60" t="n">
        <v>0</v>
      </c>
      <c r="K60">
        <f>IF(H60-I60-J60&gt;0,H60-I60-J60,0)</f>
        <v/>
      </c>
      <c r="L60" s="1">
        <f>IFERROR(I60*E60,0)</f>
        <v/>
      </c>
      <c r="M60" s="1">
        <f>IFERROR(K60*E60,0)</f>
        <v/>
      </c>
    </row>
    <row r="61">
      <c r="A61" t="inlineStr">
        <is>
          <t>1017106</t>
        </is>
      </c>
      <c r="B61" t="inlineStr">
        <is>
          <t>HC-35-4M/H</t>
        </is>
      </c>
      <c r="C61" t="inlineStr"/>
      <c r="D61" t="inlineStr">
        <is>
          <t>FM - SODECA</t>
        </is>
      </c>
      <c r="E61" s="1" t="n">
        <v>0</v>
      </c>
      <c r="F61" t="n">
        <v>1</v>
      </c>
      <c r="G61" t="n">
        <v>0</v>
      </c>
      <c r="H61" t="n">
        <v>2</v>
      </c>
      <c r="I61" t="n">
        <v>0</v>
      </c>
      <c r="J61" t="n">
        <v>0</v>
      </c>
      <c r="K61">
        <f>IF(H61-I61-J61&gt;0,H61-I61-J61,0)</f>
        <v/>
      </c>
      <c r="L61" s="1">
        <f>IFERROR(I61*E61,0)</f>
        <v/>
      </c>
      <c r="M61" s="1">
        <f>IFERROR(K61*E61,0)</f>
        <v/>
      </c>
    </row>
    <row r="62">
      <c r="A62" t="inlineStr">
        <is>
          <t>1017125</t>
        </is>
      </c>
      <c r="B62" t="inlineStr">
        <is>
          <t>HC-40-4M/H</t>
        </is>
      </c>
      <c r="C62" t="inlineStr"/>
      <c r="D62" t="inlineStr">
        <is>
          <t>FM - SODECA</t>
        </is>
      </c>
      <c r="E62" s="1" t="n">
        <v>0</v>
      </c>
      <c r="F62" t="n">
        <v>1</v>
      </c>
      <c r="G62" t="n">
        <v>0</v>
      </c>
      <c r="H62" t="n">
        <v>2</v>
      </c>
      <c r="I62" t="n">
        <v>0</v>
      </c>
      <c r="J62" t="n">
        <v>0</v>
      </c>
      <c r="K62">
        <f>IF(H62-I62-J62&gt;0,H62-I62-J62,0)</f>
        <v/>
      </c>
      <c r="L62" s="1">
        <f>IFERROR(I62*E62,0)</f>
        <v/>
      </c>
      <c r="M62" s="1">
        <f>IFERROR(K62*E62,0)</f>
        <v/>
      </c>
    </row>
    <row r="63">
      <c r="A63" t="inlineStr">
        <is>
          <t>1017127</t>
        </is>
      </c>
      <c r="B63" t="inlineStr">
        <is>
          <t>HC-40-4T/H</t>
        </is>
      </c>
      <c r="C63" t="inlineStr"/>
      <c r="D63" t="inlineStr">
        <is>
          <t>FM - SODECA</t>
        </is>
      </c>
      <c r="E63" s="1" t="n">
        <v>0</v>
      </c>
      <c r="F63" t="n">
        <v>1</v>
      </c>
      <c r="G63" t="n">
        <v>0</v>
      </c>
      <c r="H63" t="n">
        <v>2</v>
      </c>
      <c r="I63" t="n">
        <v>0</v>
      </c>
      <c r="J63" t="n">
        <v>0</v>
      </c>
      <c r="K63">
        <f>IF(H63-I63-J63&gt;0,H63-I63-J63,0)</f>
        <v/>
      </c>
      <c r="L63" s="1">
        <f>IFERROR(I63*E63,0)</f>
        <v/>
      </c>
      <c r="M63" s="1">
        <f>IFERROR(K63*E63,0)</f>
        <v/>
      </c>
    </row>
    <row r="64">
      <c r="A64" t="inlineStr">
        <is>
          <t>1017130</t>
        </is>
      </c>
      <c r="B64" t="inlineStr">
        <is>
          <t>HC-40-6T/H</t>
        </is>
      </c>
      <c r="C64" t="inlineStr"/>
      <c r="D64" t="inlineStr">
        <is>
          <t>FM - SODECA</t>
        </is>
      </c>
      <c r="E64" s="1" t="n">
        <v>0</v>
      </c>
      <c r="F64" t="n">
        <v>1</v>
      </c>
      <c r="G64" t="n">
        <v>0</v>
      </c>
      <c r="H64" t="n">
        <v>2</v>
      </c>
      <c r="I64" t="n">
        <v>0</v>
      </c>
      <c r="J64" t="n">
        <v>0</v>
      </c>
      <c r="K64">
        <f>IF(H64-I64-J64&gt;0,H64-I64-J64,0)</f>
        <v/>
      </c>
      <c r="L64" s="1">
        <f>IFERROR(I64*E64,0)</f>
        <v/>
      </c>
      <c r="M64" s="1">
        <f>IFERROR(K64*E64,0)</f>
        <v/>
      </c>
    </row>
    <row r="65">
      <c r="A65" t="inlineStr">
        <is>
          <t>1017131</t>
        </is>
      </c>
      <c r="B65" t="inlineStr">
        <is>
          <t>HC-45-4M/H</t>
        </is>
      </c>
      <c r="C65" t="inlineStr"/>
      <c r="D65" t="inlineStr">
        <is>
          <t>FM - SODECA</t>
        </is>
      </c>
      <c r="E65" s="1" t="n">
        <v>0</v>
      </c>
      <c r="F65" t="n">
        <v>1</v>
      </c>
      <c r="G65" t="n">
        <v>0</v>
      </c>
      <c r="H65" t="n">
        <v>2</v>
      </c>
      <c r="I65" t="n">
        <v>0</v>
      </c>
      <c r="J65" t="n">
        <v>0</v>
      </c>
      <c r="K65">
        <f>IF(H65-I65-J65&gt;0,H65-I65-J65,0)</f>
        <v/>
      </c>
      <c r="L65" s="1">
        <f>IFERROR(I65*E65,0)</f>
        <v/>
      </c>
      <c r="M65" s="1">
        <f>IFERROR(K65*E65,0)</f>
        <v/>
      </c>
    </row>
    <row r="66">
      <c r="A66" t="inlineStr">
        <is>
          <t>1017138</t>
        </is>
      </c>
      <c r="B66" t="inlineStr">
        <is>
          <t>HC-45-6M/H</t>
        </is>
      </c>
      <c r="C66" t="inlineStr">
        <is>
          <t>Luft Industries Natal (Pty) Ltd</t>
        </is>
      </c>
      <c r="D66" t="inlineStr">
        <is>
          <t>FM - SODECA</t>
        </is>
      </c>
      <c r="E66" s="1" t="n">
        <v>2993.25</v>
      </c>
      <c r="F66" t="n">
        <v>1</v>
      </c>
      <c r="G66" t="n">
        <v>0</v>
      </c>
      <c r="H66" t="n">
        <v>2</v>
      </c>
      <c r="I66" t="n">
        <v>0</v>
      </c>
      <c r="J66" t="n">
        <v>0</v>
      </c>
      <c r="K66">
        <f>IF(H66-I66-J66&gt;0,H66-I66-J66,0)</f>
        <v/>
      </c>
      <c r="L66" s="1">
        <f>IFERROR(I66*E66,0)</f>
        <v/>
      </c>
      <c r="M66" s="1">
        <f>IFERROR(K66*E66,0)</f>
        <v/>
      </c>
    </row>
    <row r="67">
      <c r="A67" t="inlineStr">
        <is>
          <t>1017139</t>
        </is>
      </c>
      <c r="B67" t="inlineStr">
        <is>
          <t>HC-45-6T/H</t>
        </is>
      </c>
      <c r="C67" t="inlineStr"/>
      <c r="D67" t="inlineStr">
        <is>
          <t>FM - SODECA</t>
        </is>
      </c>
      <c r="E67" s="1" t="n">
        <v>0</v>
      </c>
      <c r="F67" t="n">
        <v>1</v>
      </c>
      <c r="G67" t="n">
        <v>0</v>
      </c>
      <c r="H67" t="n">
        <v>2</v>
      </c>
      <c r="I67" t="n">
        <v>0</v>
      </c>
      <c r="J67" t="n">
        <v>0</v>
      </c>
      <c r="K67">
        <f>IF(H67-I67-J67&gt;0,H67-I67-J67,0)</f>
        <v/>
      </c>
      <c r="L67" s="1">
        <f>IFERROR(I67*E67,0)</f>
        <v/>
      </c>
      <c r="M67" s="1">
        <f>IFERROR(K67*E67,0)</f>
        <v/>
      </c>
    </row>
    <row r="68">
      <c r="A68" t="inlineStr">
        <is>
          <t>1017140</t>
        </is>
      </c>
      <c r="B68" t="inlineStr">
        <is>
          <t>HC-50-4M/H</t>
        </is>
      </c>
      <c r="C68" t="inlineStr">
        <is>
          <t>Luft Industries Natal (Pty) Ltd</t>
        </is>
      </c>
      <c r="D68" t="inlineStr">
        <is>
          <t>FM - SODECA</t>
        </is>
      </c>
      <c r="E68" s="1" t="n">
        <v>2783.25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>
        <f>IF(H68-I68-J68&gt;0,H68-I68-J68,0)</f>
        <v/>
      </c>
      <c r="L68" s="1">
        <f>IFERROR(I68*E68,0)</f>
        <v/>
      </c>
      <c r="M68" s="1">
        <f>IFERROR(K68*E68,0)</f>
        <v/>
      </c>
    </row>
    <row r="69">
      <c r="A69" t="inlineStr">
        <is>
          <t>1017142</t>
        </is>
      </c>
      <c r="B69" t="inlineStr">
        <is>
          <t>HC-50-4T/H</t>
        </is>
      </c>
      <c r="C69" t="inlineStr">
        <is>
          <t>SODECA</t>
        </is>
      </c>
      <c r="D69" t="inlineStr">
        <is>
          <t>FM - SODECA</t>
        </is>
      </c>
      <c r="E69" s="1" t="n">
        <v>5554.99</v>
      </c>
      <c r="F69" t="n">
        <v>1</v>
      </c>
      <c r="G69" t="n">
        <v>0</v>
      </c>
      <c r="H69" t="n">
        <v>3</v>
      </c>
      <c r="I69" t="n">
        <v>0</v>
      </c>
      <c r="J69" t="n">
        <v>0</v>
      </c>
      <c r="K69">
        <f>IF(H69-I69-J69&gt;0,H69-I69-J69,0)</f>
        <v/>
      </c>
      <c r="L69" s="1">
        <f>IFERROR(I69*E69,0)</f>
        <v/>
      </c>
      <c r="M69" s="1">
        <f>IFERROR(K69*E69,0)</f>
        <v/>
      </c>
    </row>
    <row r="70">
      <c r="A70" t="inlineStr">
        <is>
          <t>1017147</t>
        </is>
      </c>
      <c r="B70" t="inlineStr">
        <is>
          <t>HC-50-6M/H</t>
        </is>
      </c>
      <c r="C70" t="inlineStr"/>
      <c r="D70" t="inlineStr">
        <is>
          <t>FM - SODECA</t>
        </is>
      </c>
      <c r="E70" s="1" t="n">
        <v>0</v>
      </c>
      <c r="F70" t="n">
        <v>1</v>
      </c>
      <c r="G70" t="n">
        <v>0</v>
      </c>
      <c r="H70" t="n">
        <v>2</v>
      </c>
      <c r="I70" t="n">
        <v>0</v>
      </c>
      <c r="J70" t="n">
        <v>0</v>
      </c>
      <c r="K70">
        <f>IF(H70-I70-J70&gt;0,H70-I70-J70,0)</f>
        <v/>
      </c>
      <c r="L70" s="1">
        <f>IFERROR(I70*E70,0)</f>
        <v/>
      </c>
      <c r="M70" s="1">
        <f>IFERROR(K70*E70,0)</f>
        <v/>
      </c>
    </row>
    <row r="71">
      <c r="A71" t="inlineStr">
        <is>
          <t>1017148</t>
        </is>
      </c>
      <c r="B71" t="inlineStr">
        <is>
          <t>HC-50-6T/H</t>
        </is>
      </c>
      <c r="C71" t="inlineStr"/>
      <c r="D71" t="inlineStr">
        <is>
          <t>FM - SODECA</t>
        </is>
      </c>
      <c r="E71" s="1" t="n">
        <v>0</v>
      </c>
      <c r="F71" t="n">
        <v>1</v>
      </c>
      <c r="G71" t="n">
        <v>0</v>
      </c>
      <c r="H71" t="n">
        <v>2</v>
      </c>
      <c r="I71" t="n">
        <v>0</v>
      </c>
      <c r="J71" t="n">
        <v>0</v>
      </c>
      <c r="K71">
        <f>IF(H71-I71-J71&gt;0,H71-I71-J71,0)</f>
        <v/>
      </c>
      <c r="L71" s="1">
        <f>IFERROR(I71*E71,0)</f>
        <v/>
      </c>
      <c r="M71" s="1">
        <f>IFERROR(K71*E71,0)</f>
        <v/>
      </c>
    </row>
    <row r="72">
      <c r="A72" t="inlineStr">
        <is>
          <t>1017177</t>
        </is>
      </c>
      <c r="B72" t="inlineStr">
        <is>
          <t>HC-56-4T/H IE3</t>
        </is>
      </c>
      <c r="C72" t="inlineStr">
        <is>
          <t>Luft Industries Natal (Pty) Ltd</t>
        </is>
      </c>
      <c r="D72" t="inlineStr">
        <is>
          <t>FM - SODECA</t>
        </is>
      </c>
      <c r="E72" s="1" t="n">
        <v>2428.5</v>
      </c>
      <c r="F72" t="n">
        <v>1</v>
      </c>
      <c r="G72" t="n">
        <v>0</v>
      </c>
      <c r="H72" t="n">
        <v>5</v>
      </c>
      <c r="I72" t="n">
        <v>0</v>
      </c>
      <c r="J72" t="n">
        <v>0</v>
      </c>
      <c r="K72">
        <f>IF(H72-I72-J72&gt;0,H72-I72-J72,0)</f>
        <v/>
      </c>
      <c r="L72" s="1">
        <f>IFERROR(I72*E72,0)</f>
        <v/>
      </c>
      <c r="M72" s="1">
        <f>IFERROR(K72*E72,0)</f>
        <v/>
      </c>
    </row>
    <row r="73">
      <c r="A73" t="inlineStr">
        <is>
          <t>1034784</t>
        </is>
      </c>
      <c r="B73" t="inlineStr">
        <is>
          <t>NEOLINEO-150/V</t>
        </is>
      </c>
      <c r="C73" t="inlineStr">
        <is>
          <t>SODECA</t>
        </is>
      </c>
      <c r="D73" t="inlineStr">
        <is>
          <t>FM - SODECA</t>
        </is>
      </c>
      <c r="E73" s="1" t="n">
        <v>657.41</v>
      </c>
      <c r="F73" t="n">
        <v>52</v>
      </c>
      <c r="G73" t="n">
        <v>0</v>
      </c>
      <c r="H73" t="n">
        <v>104</v>
      </c>
      <c r="I73" t="n">
        <v>0</v>
      </c>
      <c r="J73" t="n">
        <v>0</v>
      </c>
      <c r="K73">
        <f>IF(H73-I73-J73&gt;0,H73-I73-J73,0)</f>
        <v/>
      </c>
      <c r="L73" s="1">
        <f>IFERROR(I73*E73,0)</f>
        <v/>
      </c>
      <c r="M73" s="1">
        <f>IFERROR(K73*E73,0)</f>
        <v/>
      </c>
    </row>
    <row r="74">
      <c r="A74" t="inlineStr">
        <is>
          <t>1034786</t>
        </is>
      </c>
      <c r="B74" t="inlineStr">
        <is>
          <t>NEOLINEO-200/V</t>
        </is>
      </c>
      <c r="C74" t="inlineStr">
        <is>
          <t>SODECA</t>
        </is>
      </c>
      <c r="D74" t="inlineStr">
        <is>
          <t>FM - SODECA</t>
        </is>
      </c>
      <c r="E74" s="1" t="n">
        <v>1004.27</v>
      </c>
      <c r="F74" t="n">
        <v>52</v>
      </c>
      <c r="G74" t="n">
        <v>0</v>
      </c>
      <c r="H74" t="n">
        <v>104</v>
      </c>
      <c r="I74" t="n">
        <v>0</v>
      </c>
      <c r="J74" t="n">
        <v>0</v>
      </c>
      <c r="K74">
        <f>IF(H74-I74-J74&gt;0,H74-I74-J74,0)</f>
        <v/>
      </c>
      <c r="L74" s="1">
        <f>IFERROR(I74*E74,0)</f>
        <v/>
      </c>
      <c r="M74" s="1">
        <f>IFERROR(K74*E74,0)</f>
        <v/>
      </c>
    </row>
    <row r="75">
      <c r="A75" t="inlineStr">
        <is>
          <t>1034787</t>
        </is>
      </c>
      <c r="B75" t="inlineStr">
        <is>
          <t>NEOLINEO-250/V</t>
        </is>
      </c>
      <c r="C75" t="inlineStr">
        <is>
          <t>SODECA</t>
        </is>
      </c>
      <c r="D75" t="inlineStr">
        <is>
          <t>FM - SODECA</t>
        </is>
      </c>
      <c r="E75" s="1" t="n">
        <v>1887.42</v>
      </c>
      <c r="F75" t="n">
        <v>52</v>
      </c>
      <c r="G75" t="n">
        <v>0</v>
      </c>
      <c r="H75" t="n">
        <v>104</v>
      </c>
      <c r="I75" t="n">
        <v>0</v>
      </c>
      <c r="J75" t="n">
        <v>0</v>
      </c>
      <c r="K75">
        <f>IF(H75-I75-J75&gt;0,H75-I75-J75,0)</f>
        <v/>
      </c>
      <c r="L75" s="1">
        <f>IFERROR(I75*E75,0)</f>
        <v/>
      </c>
      <c r="M75" s="1">
        <f>IFERROR(K75*E75,0)</f>
        <v/>
      </c>
    </row>
    <row r="76">
      <c r="A76" t="inlineStr">
        <is>
          <t>1034788</t>
        </is>
      </c>
      <c r="B76" t="inlineStr">
        <is>
          <t>NEOLINEO-315/V</t>
        </is>
      </c>
      <c r="C76" t="inlineStr">
        <is>
          <t>SODECA</t>
        </is>
      </c>
      <c r="D76" t="inlineStr">
        <is>
          <t>FM - SODECA</t>
        </is>
      </c>
      <c r="E76" s="1" t="n">
        <v>2583.6</v>
      </c>
      <c r="F76" t="n">
        <v>11</v>
      </c>
      <c r="G76" t="n">
        <v>0</v>
      </c>
      <c r="H76" t="n">
        <v>22</v>
      </c>
      <c r="I76" t="n">
        <v>0</v>
      </c>
      <c r="J76" t="n">
        <v>0</v>
      </c>
      <c r="K76">
        <f>IF(H76-I76-J76&gt;0,H76-I76-J76,0)</f>
        <v/>
      </c>
      <c r="L76" s="1">
        <f>IFERROR(I76*E76,0)</f>
        <v/>
      </c>
      <c r="M76" s="1">
        <f>IFERROR(K76*E76,0)</f>
        <v/>
      </c>
    </row>
    <row r="77">
      <c r="A77" t="inlineStr">
        <is>
          <t>1105306</t>
        </is>
      </c>
      <c r="B77" t="inlineStr">
        <is>
          <t>CMP-1128-2T-5.5/S/PIE RD 230/400V. IE3</t>
        </is>
      </c>
      <c r="C77" t="inlineStr">
        <is>
          <t>SODECA</t>
        </is>
      </c>
      <c r="D77" t="inlineStr">
        <is>
          <t>FM - SODECA</t>
        </is>
      </c>
      <c r="E77" s="1" t="n">
        <v>7659.2</v>
      </c>
      <c r="F77" t="n">
        <v>3</v>
      </c>
      <c r="G77" t="n">
        <v>0</v>
      </c>
      <c r="H77" t="n">
        <v>5</v>
      </c>
      <c r="I77" t="n">
        <v>0</v>
      </c>
      <c r="J77" t="n">
        <v>0</v>
      </c>
      <c r="K77">
        <f>IF(H77-I77-J77&gt;0,H77-I77-J77,0)</f>
        <v/>
      </c>
      <c r="L77" s="1">
        <f>IFERROR(I77*E77,0)</f>
        <v/>
      </c>
      <c r="M77" s="1">
        <f>IFERROR(K77*E77,0)</f>
        <v/>
      </c>
    </row>
    <row r="78">
      <c r="A78" t="inlineStr">
        <is>
          <t>D100001</t>
        </is>
      </c>
      <c r="B78" t="inlineStr">
        <is>
          <t>CMP-1128-4T</t>
        </is>
      </c>
      <c r="C78" t="inlineStr">
        <is>
          <t>Attenu-Tec</t>
        </is>
      </c>
      <c r="D78" t="inlineStr">
        <is>
          <t>FM - SODECA</t>
        </is>
      </c>
      <c r="E78" s="1" t="n">
        <v>163.13</v>
      </c>
      <c r="F78" t="n">
        <v>1</v>
      </c>
      <c r="G78" t="n">
        <v>0</v>
      </c>
      <c r="H78" t="n">
        <v>5</v>
      </c>
      <c r="I78" t="n">
        <v>0</v>
      </c>
      <c r="J78" t="n">
        <v>0</v>
      </c>
      <c r="K78">
        <f>IF(H78-I78-J78&gt;0,H78-I78-J78,0)</f>
        <v/>
      </c>
      <c r="L78" s="1">
        <f>IFERROR(I78*E78,0)</f>
        <v/>
      </c>
      <c r="M78" s="1">
        <f>IFERROR(K78*E78,0)</f>
        <v/>
      </c>
    </row>
    <row r="79">
      <c r="A79" t="inlineStr">
        <is>
          <t>D100002</t>
        </is>
      </c>
      <c r="B79" t="inlineStr">
        <is>
          <t>HAT-28-4M</t>
        </is>
      </c>
      <c r="C79" t="inlineStr">
        <is>
          <t>CFW Fans (Pty) Ltd</t>
        </is>
      </c>
      <c r="D79" t="inlineStr">
        <is>
          <t>FM - SODECA</t>
        </is>
      </c>
      <c r="E79" s="1" t="n">
        <v>430.34</v>
      </c>
      <c r="F79" t="n">
        <v>1</v>
      </c>
      <c r="G79" t="n">
        <v>0</v>
      </c>
      <c r="H79" t="n">
        <v>2</v>
      </c>
      <c r="I79" t="n">
        <v>0</v>
      </c>
      <c r="J79" t="n">
        <v>0</v>
      </c>
      <c r="K79">
        <f>IF(H79-I79-J79&gt;0,H79-I79-J79,0)</f>
        <v/>
      </c>
      <c r="L79" s="1">
        <f>IFERROR(I79*E79,0)</f>
        <v/>
      </c>
      <c r="M79" s="1">
        <f>IFERROR(K79*E79,0)</f>
        <v/>
      </c>
    </row>
    <row r="80">
      <c r="A80" t="inlineStr">
        <is>
          <t>D100003</t>
        </is>
      </c>
      <c r="B80" t="inlineStr">
        <is>
          <t>HAT-35-4T</t>
        </is>
      </c>
      <c r="C80" t="inlineStr">
        <is>
          <t>CFW Fans (Pty) Ltd</t>
        </is>
      </c>
      <c r="D80" t="inlineStr">
        <is>
          <t>FM - SODECA</t>
        </is>
      </c>
      <c r="E80" s="1" t="n">
        <v>250</v>
      </c>
      <c r="F80" t="n">
        <v>1</v>
      </c>
      <c r="G80" t="n">
        <v>0</v>
      </c>
      <c r="H80" t="n">
        <v>2</v>
      </c>
      <c r="I80" t="n">
        <v>0</v>
      </c>
      <c r="J80" t="n">
        <v>0</v>
      </c>
      <c r="K80">
        <f>IF(H80-I80-J80&gt;0,H80-I80-J80,0)</f>
        <v/>
      </c>
      <c r="L80" s="1">
        <f>IFERROR(I80*E80,0)</f>
        <v/>
      </c>
      <c r="M80" s="1">
        <f>IFERROR(K80*E80,0)</f>
        <v/>
      </c>
    </row>
    <row r="81">
      <c r="A81" t="inlineStr">
        <is>
          <t>D100005</t>
        </is>
      </c>
      <c r="B81" t="inlineStr">
        <is>
          <t>CAM-550-2T 5.5</t>
        </is>
      </c>
      <c r="C81" t="inlineStr">
        <is>
          <t>Luft Industries Natal (Pty) Ltd</t>
        </is>
      </c>
      <c r="D81" t="inlineStr">
        <is>
          <t>FM - SODECA</t>
        </is>
      </c>
      <c r="E81" s="1" t="n">
        <v>2681.25</v>
      </c>
      <c r="F81" t="n">
        <v>7</v>
      </c>
      <c r="G81" t="n">
        <v>0</v>
      </c>
      <c r="H81" t="n">
        <v>24</v>
      </c>
      <c r="I81" t="n">
        <v>0</v>
      </c>
      <c r="J81" t="n">
        <v>0</v>
      </c>
      <c r="K81">
        <f>IF(H81-I81-J81&gt;0,H81-I81-J81,0)</f>
        <v/>
      </c>
      <c r="L81" s="1">
        <f>IFERROR(I81*E81,0)</f>
        <v/>
      </c>
      <c r="M81" s="1">
        <f>IFERROR(K81*E81,0)</f>
        <v/>
      </c>
    </row>
    <row r="82">
      <c r="A82" t="inlineStr">
        <is>
          <t>D100006</t>
        </is>
      </c>
      <c r="B82" t="inlineStr">
        <is>
          <t>HJBM PLUS 45 - T4 0.55KW</t>
        </is>
      </c>
      <c r="C82" t="inlineStr"/>
      <c r="D82" t="inlineStr">
        <is>
          <t>FM - SODECA</t>
        </is>
      </c>
      <c r="E82" s="1" t="n">
        <v>0</v>
      </c>
      <c r="F82" t="n">
        <v>4</v>
      </c>
      <c r="G82" t="n">
        <v>0</v>
      </c>
      <c r="H82" t="n">
        <v>20</v>
      </c>
      <c r="I82" t="n">
        <v>0</v>
      </c>
      <c r="J82" t="n">
        <v>0</v>
      </c>
      <c r="K82">
        <f>IF(H82-I82-J82&gt;0,H82-I82-J82,0)</f>
        <v/>
      </c>
      <c r="L82" s="1">
        <f>IFERROR(I82*E82,0)</f>
        <v/>
      </c>
      <c r="M82" s="1">
        <f>IFERROR(K82*E82,0)</f>
        <v/>
      </c>
    </row>
    <row r="83">
      <c r="A83" t="inlineStr">
        <is>
          <t>D100007</t>
        </is>
      </c>
      <c r="B83" t="inlineStr">
        <is>
          <t>HJBM 40 M4 0.25</t>
        </is>
      </c>
      <c r="C83" t="inlineStr"/>
      <c r="D83" t="inlineStr">
        <is>
          <t>FM - SODECA</t>
        </is>
      </c>
      <c r="E83" s="1" t="n">
        <v>0</v>
      </c>
      <c r="F83" t="n">
        <v>3</v>
      </c>
      <c r="G83" t="n">
        <v>0</v>
      </c>
      <c r="H83" t="n">
        <v>14</v>
      </c>
      <c r="I83" t="n">
        <v>0</v>
      </c>
      <c r="J83" t="n">
        <v>0</v>
      </c>
      <c r="K83">
        <f>IF(H83-I83-J83&gt;0,H83-I83-J83,0)</f>
        <v/>
      </c>
      <c r="L83" s="1">
        <f>IFERROR(I83*E83,0)</f>
        <v/>
      </c>
      <c r="M83" s="1">
        <f>IFERROR(K83*E83,0)</f>
        <v/>
      </c>
    </row>
    <row r="84">
      <c r="A84" t="inlineStr">
        <is>
          <t>D100008</t>
        </is>
      </c>
      <c r="B84" t="inlineStr">
        <is>
          <t>HJBM 50 T4 0.55</t>
        </is>
      </c>
      <c r="C84" t="inlineStr"/>
      <c r="D84" t="inlineStr">
        <is>
          <t>FM - SODECA</t>
        </is>
      </c>
      <c r="E84" s="1" t="n">
        <v>0</v>
      </c>
      <c r="F84" t="n">
        <v>1</v>
      </c>
      <c r="G84" t="n">
        <v>0</v>
      </c>
      <c r="H84" t="n">
        <v>2</v>
      </c>
      <c r="I84" t="n">
        <v>0</v>
      </c>
      <c r="J84" t="n">
        <v>0</v>
      </c>
      <c r="K84">
        <f>IF(H84-I84-J84&gt;0,H84-I84-J84,0)</f>
        <v/>
      </c>
      <c r="L84" s="1">
        <f>IFERROR(I84*E84,0)</f>
        <v/>
      </c>
      <c r="M84" s="1">
        <f>IFERROR(K84*E84,0)</f>
        <v/>
      </c>
    </row>
    <row r="85">
      <c r="A85" t="inlineStr">
        <is>
          <t>D100009</t>
        </is>
      </c>
      <c r="B85" t="inlineStr">
        <is>
          <t>CA/LINE 355 220-240V</t>
        </is>
      </c>
      <c r="C85" t="inlineStr"/>
      <c r="D85" t="inlineStr">
        <is>
          <t>FM - SODECA</t>
        </is>
      </c>
      <c r="E85" s="1" t="n">
        <v>0</v>
      </c>
      <c r="F85" t="n">
        <v>1</v>
      </c>
      <c r="G85" t="n">
        <v>0</v>
      </c>
      <c r="H85" t="n">
        <v>4</v>
      </c>
      <c r="I85" t="n">
        <v>0</v>
      </c>
      <c r="J85" t="n">
        <v>0</v>
      </c>
      <c r="K85">
        <f>IF(H85-I85-J85&gt;0,H85-I85-J85,0)</f>
        <v/>
      </c>
      <c r="L85" s="1">
        <f>IFERROR(I85*E85,0)</f>
        <v/>
      </c>
      <c r="M85" s="1">
        <f>IFERROR(K85*E85,0)</f>
        <v/>
      </c>
    </row>
    <row r="86">
      <c r="A86" t="inlineStr">
        <is>
          <t>D100010</t>
        </is>
      </c>
      <c r="B86" t="inlineStr">
        <is>
          <t>VKAP 100 LD 3.0</t>
        </is>
      </c>
      <c r="C86" t="inlineStr">
        <is>
          <t>Luft Industries Natal (Pty) Ltd</t>
        </is>
      </c>
      <c r="D86" t="inlineStr">
        <is>
          <t>FM - SODECA</t>
        </is>
      </c>
      <c r="E86" s="1" t="n">
        <v>2428.5</v>
      </c>
      <c r="F86" t="n">
        <v>1</v>
      </c>
      <c r="G86" t="n">
        <v>0</v>
      </c>
      <c r="H86" t="n">
        <v>2</v>
      </c>
      <c r="I86" t="n">
        <v>0</v>
      </c>
      <c r="J86" t="n">
        <v>0</v>
      </c>
      <c r="K86">
        <f>IF(H86-I86-J86&gt;0,H86-I86-J86,0)</f>
        <v/>
      </c>
      <c r="L86" s="1">
        <f>IFERROR(I86*E86,0)</f>
        <v/>
      </c>
      <c r="M86" s="1">
        <f>IFERROR(K86*E86,0)</f>
        <v/>
      </c>
    </row>
    <row r="87">
      <c r="A87" t="inlineStr">
        <is>
          <t>D100011</t>
        </is>
      </c>
      <c r="B87" t="inlineStr">
        <is>
          <t>SV-150-H</t>
        </is>
      </c>
      <c r="C87" t="inlineStr">
        <is>
          <t>Luft Industries Natal (Pty) Ltd</t>
        </is>
      </c>
      <c r="D87" t="inlineStr">
        <is>
          <t>FM - SODECA</t>
        </is>
      </c>
      <c r="E87" s="1" t="n">
        <v>1462.71</v>
      </c>
      <c r="F87" t="n">
        <v>1</v>
      </c>
      <c r="G87" t="n">
        <v>0</v>
      </c>
      <c r="H87" t="n">
        <v>2</v>
      </c>
      <c r="I87" t="n">
        <v>0</v>
      </c>
      <c r="J87" t="n">
        <v>0</v>
      </c>
      <c r="K87">
        <f>IF(H87-I87-J87&gt;0,H87-I87-J87,0)</f>
        <v/>
      </c>
      <c r="L87" s="1">
        <f>IFERROR(I87*E87,0)</f>
        <v/>
      </c>
      <c r="M87" s="1">
        <f>IFERROR(K87*E87,0)</f>
        <v/>
      </c>
    </row>
    <row r="88">
      <c r="A88" t="inlineStr">
        <is>
          <t>D100012</t>
        </is>
      </c>
      <c r="B88" t="inlineStr">
        <is>
          <t>HAT-24-4M</t>
        </is>
      </c>
      <c r="C88" t="inlineStr">
        <is>
          <t>Luft Industries Natal (Pty) Ltd</t>
        </is>
      </c>
      <c r="D88" t="inlineStr">
        <is>
          <t>FM - SODECA</t>
        </is>
      </c>
      <c r="E88" s="1" t="n">
        <v>1240</v>
      </c>
      <c r="F88" t="n">
        <v>1</v>
      </c>
      <c r="G88" t="n">
        <v>0</v>
      </c>
      <c r="H88" t="n">
        <v>2</v>
      </c>
      <c r="I88" t="n">
        <v>0</v>
      </c>
      <c r="J88" t="n">
        <v>0</v>
      </c>
      <c r="K88">
        <f>IF(H88-I88-J88&gt;0,H88-I88-J88,0)</f>
        <v/>
      </c>
      <c r="L88" s="1">
        <f>IFERROR(I88*E88,0)</f>
        <v/>
      </c>
      <c r="M88" s="1">
        <f>IFERROR(K88*E88,0)</f>
        <v/>
      </c>
    </row>
    <row r="89">
      <c r="A89" t="inlineStr">
        <is>
          <t>D100013</t>
        </is>
      </c>
      <c r="B89" t="inlineStr">
        <is>
          <t>CA-LINE-12</t>
        </is>
      </c>
      <c r="C89" t="inlineStr">
        <is>
          <t>Luft Industries Natal (Pty) Ltd</t>
        </is>
      </c>
      <c r="D89" t="inlineStr">
        <is>
          <t>FM - SODECA</t>
        </is>
      </c>
      <c r="E89" s="1" t="n">
        <v>1413.75</v>
      </c>
      <c r="F89" t="n">
        <v>1</v>
      </c>
      <c r="G89" t="n">
        <v>0</v>
      </c>
      <c r="H89" t="n">
        <v>3</v>
      </c>
      <c r="I89" t="n">
        <v>0</v>
      </c>
      <c r="J89" t="n">
        <v>0</v>
      </c>
      <c r="K89">
        <f>IF(H89-I89-J89&gt;0,H89-I89-J89,0)</f>
        <v/>
      </c>
      <c r="L89" s="1">
        <f>IFERROR(I89*E89,0)</f>
        <v/>
      </c>
      <c r="M89" s="1">
        <f>IFERROR(K89*E89,0)</f>
        <v/>
      </c>
    </row>
    <row r="90">
      <c r="A90" t="inlineStr">
        <is>
          <t>D100014</t>
        </is>
      </c>
      <c r="B90" t="inlineStr">
        <is>
          <t>CA-LINE-15</t>
        </is>
      </c>
      <c r="C90" t="inlineStr">
        <is>
          <t>Wide Range Engineering (Pty) Ltd</t>
        </is>
      </c>
      <c r="D90" t="inlineStr">
        <is>
          <t>FM - SODECA</t>
        </is>
      </c>
      <c r="E90" s="1" t="n">
        <v>2838.9</v>
      </c>
      <c r="F90" t="n">
        <v>1</v>
      </c>
      <c r="G90" t="n">
        <v>0</v>
      </c>
      <c r="H90" t="n">
        <v>2</v>
      </c>
      <c r="I90" t="n">
        <v>0</v>
      </c>
      <c r="J90" t="n">
        <v>0</v>
      </c>
      <c r="K90">
        <f>IF(H90-I90-J90&gt;0,H90-I90-J90,0)</f>
        <v/>
      </c>
      <c r="L90" s="1">
        <f>IFERROR(I90*E90,0)</f>
        <v/>
      </c>
      <c r="M90" s="1">
        <f>IFERROR(K90*E90,0)</f>
        <v/>
      </c>
    </row>
    <row r="91">
      <c r="A91" t="inlineStr">
        <is>
          <t>D100015</t>
        </is>
      </c>
      <c r="B91" t="inlineStr">
        <is>
          <t>CA-LINE-20</t>
        </is>
      </c>
      <c r="C91" t="inlineStr">
        <is>
          <t>Wide Range Engineering (Pty) Ltd</t>
        </is>
      </c>
      <c r="D91" t="inlineStr">
        <is>
          <t>FM - SODECA</t>
        </is>
      </c>
      <c r="E91" s="1" t="n">
        <v>2523.07</v>
      </c>
      <c r="F91" t="n">
        <v>1</v>
      </c>
      <c r="G91" t="n">
        <v>0</v>
      </c>
      <c r="H91" t="n">
        <v>2</v>
      </c>
      <c r="I91" t="n">
        <v>0</v>
      </c>
      <c r="J91" t="n">
        <v>0</v>
      </c>
      <c r="K91">
        <f>IF(H91-I91-J91&gt;0,H91-I91-J91,0)</f>
        <v/>
      </c>
      <c r="L91" s="1">
        <f>IFERROR(I91*E91,0)</f>
        <v/>
      </c>
      <c r="M91" s="1">
        <f>IFERROR(K91*E91,0)</f>
        <v/>
      </c>
    </row>
    <row r="92">
      <c r="A92" t="inlineStr">
        <is>
          <t>D100016</t>
        </is>
      </c>
      <c r="B92" t="inlineStr">
        <is>
          <t>NEOSILENT 200</t>
        </is>
      </c>
      <c r="C92" t="inlineStr">
        <is>
          <t>Luft Industries Natal (Pty) Ltd</t>
        </is>
      </c>
      <c r="D92" t="inlineStr">
        <is>
          <t>FM - SODECA</t>
        </is>
      </c>
      <c r="E92" s="1" t="n">
        <v>2681.07</v>
      </c>
      <c r="F92" t="n">
        <v>1</v>
      </c>
      <c r="G92" t="n">
        <v>0</v>
      </c>
      <c r="H92" t="n">
        <v>2</v>
      </c>
      <c r="I92" t="n">
        <v>0</v>
      </c>
      <c r="J92" t="n">
        <v>0</v>
      </c>
      <c r="K92">
        <f>IF(H92-I92-J92&gt;0,H92-I92-J92,0)</f>
        <v/>
      </c>
      <c r="L92" s="1">
        <f>IFERROR(I92*E92,0)</f>
        <v/>
      </c>
      <c r="M92" s="1">
        <f>IFERROR(K92*E92,0)</f>
        <v/>
      </c>
    </row>
    <row r="93">
      <c r="A93" t="inlineStr">
        <is>
          <t>D100017</t>
        </is>
      </c>
      <c r="B93" t="inlineStr">
        <is>
          <t>NEOSILENT 150</t>
        </is>
      </c>
      <c r="C93" t="inlineStr">
        <is>
          <t>Luft Industries Natal (Pty) Ltd</t>
        </is>
      </c>
      <c r="D93" t="inlineStr">
        <is>
          <t>FM - SODECA</t>
        </is>
      </c>
      <c r="E93" s="1" t="n">
        <v>930</v>
      </c>
      <c r="F93" t="n">
        <v>1</v>
      </c>
      <c r="G93" t="n">
        <v>0</v>
      </c>
      <c r="H93" t="n">
        <v>2</v>
      </c>
      <c r="I93" t="n">
        <v>0</v>
      </c>
      <c r="J93" t="n">
        <v>0</v>
      </c>
      <c r="K93">
        <f>IF(H93-I93-J93&gt;0,H93-I93-J93,0)</f>
        <v/>
      </c>
      <c r="L93" s="1">
        <f>IFERROR(I93*E93,0)</f>
        <v/>
      </c>
      <c r="M93" s="1">
        <f>IFERROR(K93*E93,0)</f>
        <v/>
      </c>
    </row>
    <row r="94">
      <c r="A94" t="inlineStr">
        <is>
          <t>D100018</t>
        </is>
      </c>
      <c r="B94" t="inlineStr">
        <is>
          <t>CA-160-2T-2</t>
        </is>
      </c>
      <c r="C94" t="inlineStr">
        <is>
          <t>Luft Industries Natal (Pty) Ltd</t>
        </is>
      </c>
      <c r="D94" t="inlineStr">
        <is>
          <t>FM - SODECA</t>
        </is>
      </c>
      <c r="E94" s="1" t="n">
        <v>338.39</v>
      </c>
      <c r="F94" t="n">
        <v>1</v>
      </c>
      <c r="G94" t="n">
        <v>0</v>
      </c>
      <c r="H94" t="n">
        <v>2</v>
      </c>
      <c r="I94" t="n">
        <v>0</v>
      </c>
      <c r="J94" t="n">
        <v>0</v>
      </c>
      <c r="K94">
        <f>IF(H94-I94-J94&gt;0,H94-I94-J94,0)</f>
        <v/>
      </c>
      <c r="L94" s="1">
        <f>IFERROR(I94*E94,0)</f>
        <v/>
      </c>
      <c r="M94" s="1">
        <f>IFERROR(K94*E94,0)</f>
        <v/>
      </c>
    </row>
    <row r="95">
      <c r="A95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99050-EMB-22-R50</t>
        </is>
      </c>
      <c r="B2" t="inlineStr">
        <is>
          <t>EMBROIDERY R50 R50</t>
        </is>
      </c>
      <c r="C2" t="inlineStr">
        <is>
          <t>Workwear Depot (Pty)Ltd</t>
        </is>
      </c>
      <c r="D2" t="inlineStr">
        <is>
          <t>FM - UNIFORM</t>
        </is>
      </c>
      <c r="E2" s="1" t="n">
        <v>42.93</v>
      </c>
      <c r="F2" t="n">
        <v>4</v>
      </c>
      <c r="G2" t="n">
        <v>0</v>
      </c>
      <c r="H2" t="n">
        <v>20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CP77P-DNM12-104-00-38</t>
        </is>
      </c>
      <c r="B3" t="inlineStr">
        <is>
          <t>DENIM WORK TROUSERS INDIGO 38</t>
        </is>
      </c>
      <c r="C3" t="inlineStr">
        <is>
          <t>Workwear Depot (Pty)Ltd</t>
        </is>
      </c>
      <c r="D3" t="inlineStr">
        <is>
          <t>FM - UNIFORM</t>
        </is>
      </c>
      <c r="E3" s="1" t="n">
        <v>372.2</v>
      </c>
      <c r="F3" t="n">
        <v>1</v>
      </c>
      <c r="G3" t="n">
        <v>0</v>
      </c>
      <c r="H3" t="n">
        <v>5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JN3002-TUNBOOT-600-00-07</t>
        </is>
      </c>
      <c r="B4" t="inlineStr">
        <is>
          <t>TUNGSTEN BOOT BLACK 7</t>
        </is>
      </c>
      <c r="C4" t="inlineStr">
        <is>
          <t>Workwear Depot (Pty)Ltd</t>
        </is>
      </c>
      <c r="D4" t="inlineStr">
        <is>
          <t>FM - UNIFORM</t>
        </is>
      </c>
      <c r="E4" s="1" t="n">
        <v>592.64</v>
      </c>
      <c r="F4" t="n">
        <v>1</v>
      </c>
      <c r="G4" t="n">
        <v>0</v>
      </c>
      <c r="H4" t="n">
        <v>5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JN3002-TUNBOOT-600-00-09</t>
        </is>
      </c>
      <c r="B5" t="inlineStr">
        <is>
          <t>TUNGSTEN BOOT BLACK 9</t>
        </is>
      </c>
      <c r="C5" t="inlineStr">
        <is>
          <t>Workwear Depot (Pty)Ltd</t>
        </is>
      </c>
      <c r="D5" t="inlineStr">
        <is>
          <t>FM - UNIFORM</t>
        </is>
      </c>
      <c r="E5" s="1" t="n">
        <v>592.63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JTPOLY-6398B-600-04-L</t>
        </is>
      </c>
      <c r="B6" t="inlineStr">
        <is>
          <t>WORK T BLACK L</t>
        </is>
      </c>
      <c r="C6" t="inlineStr">
        <is>
          <t>Workwear Depot (Pty)Ltd</t>
        </is>
      </c>
      <c r="D6" t="inlineStr">
        <is>
          <t>FM - UNIFORM</t>
        </is>
      </c>
      <c r="E6" s="1" t="n">
        <v>194.15</v>
      </c>
      <c r="F6" t="n">
        <v>1</v>
      </c>
      <c r="G6" t="n">
        <v>0</v>
      </c>
      <c r="H6" t="n">
        <v>5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11102</t>
        </is>
      </c>
      <c r="B2" t="inlineStr">
        <is>
          <t>MG 120/5 LL</t>
        </is>
      </c>
      <c r="C2" t="inlineStr"/>
      <c r="D2" t="inlineStr">
        <is>
          <t>FM - VORTICE</t>
        </is>
      </c>
      <c r="E2" s="1" t="n">
        <v>0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11103</t>
        </is>
      </c>
      <c r="B3" t="inlineStr">
        <is>
          <t>MG 120/5 LL T</t>
        </is>
      </c>
      <c r="C3" t="inlineStr"/>
      <c r="D3" t="inlineStr">
        <is>
          <t>FM - VORTICE</t>
        </is>
      </c>
      <c r="E3" s="1" t="n">
        <v>0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11125</t>
        </is>
      </c>
      <c r="B4" t="inlineStr">
        <is>
          <t>MF 150</t>
        </is>
      </c>
      <c r="C4" t="inlineStr">
        <is>
          <t>Vortice Elettrosociali SpA</t>
        </is>
      </c>
      <c r="D4" t="inlineStr">
        <is>
          <t>FM - VORTICE</t>
        </is>
      </c>
      <c r="E4" s="1" t="n">
        <v>129.55</v>
      </c>
      <c r="F4" t="n">
        <v>1</v>
      </c>
      <c r="G4" t="n">
        <v>0</v>
      </c>
      <c r="H4" t="n">
        <v>2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11128</t>
        </is>
      </c>
      <c r="B5" t="inlineStr">
        <is>
          <t>MF 120 T</t>
        </is>
      </c>
      <c r="C5" t="inlineStr"/>
      <c r="D5" t="inlineStr">
        <is>
          <t>FM - VORTICE</t>
        </is>
      </c>
      <c r="E5" s="1" t="n">
        <v>0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11133</t>
        </is>
      </c>
      <c r="B6" t="inlineStr">
        <is>
          <t>MF 150 LL</t>
        </is>
      </c>
      <c r="C6" t="inlineStr">
        <is>
          <t>Vortice Elettrosociali SpA</t>
        </is>
      </c>
      <c r="D6" t="inlineStr">
        <is>
          <t>FM - VORTICE</t>
        </is>
      </c>
      <c r="E6" s="1" t="n">
        <v>887.76</v>
      </c>
      <c r="F6" t="n">
        <v>2</v>
      </c>
      <c r="G6" t="n">
        <v>0</v>
      </c>
      <c r="H6" t="n">
        <v>5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11145</t>
        </is>
      </c>
      <c r="B7" t="inlineStr">
        <is>
          <t>MFO 100/4</t>
        </is>
      </c>
      <c r="C7" t="inlineStr"/>
      <c r="D7" t="inlineStr">
        <is>
          <t>FM - VORTICE</t>
        </is>
      </c>
      <c r="E7" s="1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11147</t>
        </is>
      </c>
      <c r="B8" t="inlineStr">
        <is>
          <t>MFO 120/5</t>
        </is>
      </c>
      <c r="C8" t="inlineStr"/>
      <c r="D8" t="inlineStr">
        <is>
          <t>FM - VORTICE</t>
        </is>
      </c>
      <c r="E8" s="1" t="n">
        <v>0</v>
      </c>
      <c r="F8" t="n">
        <v>1</v>
      </c>
      <c r="G8" t="n">
        <v>0</v>
      </c>
      <c r="H8" t="n">
        <v>2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11201</t>
        </is>
      </c>
      <c r="B9" t="inlineStr">
        <is>
          <t>M 100 / 4</t>
        </is>
      </c>
      <c r="C9" t="inlineStr"/>
      <c r="D9" t="inlineStr">
        <is>
          <t>FM - VORTICE</t>
        </is>
      </c>
      <c r="E9" s="1" t="n">
        <v>0</v>
      </c>
      <c r="F9" t="n">
        <v>1</v>
      </c>
      <c r="G9" t="n">
        <v>0</v>
      </c>
      <c r="H9" t="n">
        <v>2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11270</t>
        </is>
      </c>
      <c r="B10" t="inlineStr">
        <is>
          <t>ME 120/5 LL</t>
        </is>
      </c>
      <c r="C10" t="inlineStr"/>
      <c r="D10" t="inlineStr">
        <is>
          <t>FM - VORTICE</t>
        </is>
      </c>
      <c r="E10" s="1" t="n">
        <v>0</v>
      </c>
      <c r="F10" t="n">
        <v>1</v>
      </c>
      <c r="G10" t="n">
        <v>0</v>
      </c>
      <c r="H10" t="n">
        <v>2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11301</t>
        </is>
      </c>
      <c r="B11" t="inlineStr">
        <is>
          <t>M 120 / 5</t>
        </is>
      </c>
      <c r="C11" t="inlineStr"/>
      <c r="D11" t="inlineStr">
        <is>
          <t>FM - VORTICE</t>
        </is>
      </c>
      <c r="E11" s="1" t="n">
        <v>0</v>
      </c>
      <c r="F11" t="n">
        <v>1</v>
      </c>
      <c r="G11" t="n">
        <v>0</v>
      </c>
      <c r="H11" t="n">
        <v>2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11302</t>
        </is>
      </c>
      <c r="B12" t="inlineStr">
        <is>
          <t>M 120 / 5 LL</t>
        </is>
      </c>
      <c r="C12" t="inlineStr"/>
      <c r="D12" t="inlineStr">
        <is>
          <t>FM - VORTICE</t>
        </is>
      </c>
      <c r="E12" s="1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11311</t>
        </is>
      </c>
      <c r="B13" t="inlineStr">
        <is>
          <t>M 120 / 5 T</t>
        </is>
      </c>
      <c r="C13" t="inlineStr"/>
      <c r="D13" t="inlineStr">
        <is>
          <t>FM - VORTICE</t>
        </is>
      </c>
      <c r="E13" s="1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11313</t>
        </is>
      </c>
      <c r="B14" t="inlineStr">
        <is>
          <t>MEX 100/4 LL 1S</t>
        </is>
      </c>
      <c r="C14" t="inlineStr"/>
      <c r="D14" t="inlineStr">
        <is>
          <t>FM - VORTICE</t>
        </is>
      </c>
      <c r="E14" s="1" t="n">
        <v>0</v>
      </c>
      <c r="F14" t="n">
        <v>1</v>
      </c>
      <c r="G14" t="n">
        <v>0</v>
      </c>
      <c r="H14" t="n">
        <v>2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11322</t>
        </is>
      </c>
      <c r="B15" t="inlineStr">
        <is>
          <t>M 120 / 5 A LL</t>
        </is>
      </c>
      <c r="C15" t="inlineStr"/>
      <c r="D15" t="inlineStr">
        <is>
          <t>FM - VORTICE</t>
        </is>
      </c>
      <c r="E15" s="1" t="n">
        <v>0</v>
      </c>
      <c r="F15" t="n">
        <v>1</v>
      </c>
      <c r="G15" t="n">
        <v>0</v>
      </c>
      <c r="H15" t="n">
        <v>2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11333</t>
        </is>
      </c>
      <c r="B16" t="inlineStr">
        <is>
          <t>MEX 120/5 LL IS</t>
        </is>
      </c>
      <c r="C16" t="inlineStr"/>
      <c r="D16" t="inlineStr">
        <is>
          <t>FM - VORTICE</t>
        </is>
      </c>
      <c r="E16" s="1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11334</t>
        </is>
      </c>
      <c r="B17" t="inlineStr">
        <is>
          <t>MEX 120/5 1S LLT</t>
        </is>
      </c>
      <c r="C17" t="inlineStr"/>
      <c r="D17" t="inlineStr">
        <is>
          <t>FM - VORTICE</t>
        </is>
      </c>
      <c r="E17" s="1" t="n">
        <v>0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11401</t>
        </is>
      </c>
      <c r="B18" t="inlineStr">
        <is>
          <t>M 150 / 6</t>
        </is>
      </c>
      <c r="C18" t="inlineStr">
        <is>
          <t>Vortice Elettrosociali SpA</t>
        </is>
      </c>
      <c r="D18" t="inlineStr">
        <is>
          <t>FM - VORTICE</t>
        </is>
      </c>
      <c r="E18" s="1" t="n">
        <v>623.03</v>
      </c>
      <c r="F18" t="n">
        <v>3</v>
      </c>
      <c r="G18" t="n">
        <v>0</v>
      </c>
      <c r="H18" t="n">
        <v>12</v>
      </c>
      <c r="I18" t="n">
        <v>0</v>
      </c>
      <c r="J18" t="n">
        <v>0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11402</t>
        </is>
      </c>
      <c r="B19" t="inlineStr">
        <is>
          <t>M 150 / 6 LL</t>
        </is>
      </c>
      <c r="C19" t="inlineStr">
        <is>
          <t>Vortice Elettrosociali SpA</t>
        </is>
      </c>
      <c r="D19" t="inlineStr">
        <is>
          <t>FM - VORTICE</t>
        </is>
      </c>
      <c r="E19" s="1" t="n">
        <v>788.55</v>
      </c>
      <c r="F19" t="n">
        <v>2</v>
      </c>
      <c r="G19" t="n">
        <v>0</v>
      </c>
      <c r="H19" t="n">
        <v>8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11411</t>
        </is>
      </c>
      <c r="B20" t="inlineStr">
        <is>
          <t>M 150 / 6 T</t>
        </is>
      </c>
      <c r="C20" t="inlineStr"/>
      <c r="D20" t="inlineStr">
        <is>
          <t>FM - VORTICE</t>
        </is>
      </c>
      <c r="E20" s="1" t="n">
        <v>0</v>
      </c>
      <c r="F20" t="n">
        <v>1</v>
      </c>
      <c r="G20" t="n">
        <v>0</v>
      </c>
      <c r="H20" t="n">
        <v>2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11421</t>
        </is>
      </c>
      <c r="B21" t="inlineStr">
        <is>
          <t>M 150 / 6 A</t>
        </is>
      </c>
      <c r="C21" t="inlineStr"/>
      <c r="D21" t="inlineStr">
        <is>
          <t>FM - VORTICE</t>
        </is>
      </c>
      <c r="E21" s="1" t="n">
        <v>0</v>
      </c>
      <c r="F21" t="n">
        <v>1</v>
      </c>
      <c r="G21" t="n">
        <v>0</v>
      </c>
      <c r="H21" t="n">
        <v>2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11741</t>
        </is>
      </c>
      <c r="B22" t="inlineStr">
        <is>
          <t>M120/5 P</t>
        </is>
      </c>
      <c r="C22" t="inlineStr"/>
      <c r="D22" t="inlineStr">
        <is>
          <t>FM - VORTICE</t>
        </is>
      </c>
      <c r="E22" s="1" t="n">
        <v>0</v>
      </c>
      <c r="F22" t="n">
        <v>1</v>
      </c>
      <c r="G22" t="n">
        <v>0</v>
      </c>
      <c r="H22" t="n">
        <v>2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12020</t>
        </is>
      </c>
      <c r="B23" t="inlineStr">
        <is>
          <t>MEDIO I</t>
        </is>
      </c>
      <c r="C23" t="inlineStr">
        <is>
          <t>Vortice Elettrosociali SpA</t>
        </is>
      </c>
      <c r="D23" t="inlineStr">
        <is>
          <t>FM - VORTICE</t>
        </is>
      </c>
      <c r="E23" s="1" t="n">
        <v>1500.14</v>
      </c>
      <c r="F23" t="n">
        <v>2</v>
      </c>
      <c r="G23" t="n">
        <v>0</v>
      </c>
      <c r="H23" t="n">
        <v>4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12023</t>
        </is>
      </c>
      <c r="B24" t="inlineStr">
        <is>
          <t>SUPER I</t>
        </is>
      </c>
      <c r="C24" t="inlineStr">
        <is>
          <t>Vortice Elettrosociali SpA</t>
        </is>
      </c>
      <c r="D24" t="inlineStr">
        <is>
          <t>FM - VORTICE</t>
        </is>
      </c>
      <c r="E24" s="1" t="n">
        <v>1932.21</v>
      </c>
      <c r="F24" t="n">
        <v>1</v>
      </c>
      <c r="G24" t="n">
        <v>0</v>
      </c>
      <c r="H24" t="n">
        <v>3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12412</t>
        </is>
      </c>
      <c r="B25" t="inlineStr">
        <is>
          <t>V 300/12 AR</t>
        </is>
      </c>
      <c r="C25" t="inlineStr">
        <is>
          <t>Vortice Elettrosociali SpA</t>
        </is>
      </c>
      <c r="D25" t="inlineStr">
        <is>
          <t>FM - VORTICE</t>
        </is>
      </c>
      <c r="E25" s="1" t="n">
        <v>2151.51</v>
      </c>
      <c r="F25" t="n">
        <v>2</v>
      </c>
      <c r="G25" t="n">
        <v>0</v>
      </c>
      <c r="H25" t="n">
        <v>5</v>
      </c>
      <c r="I25" t="n">
        <v>0</v>
      </c>
      <c r="J25" t="n">
        <v>0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12413</t>
        </is>
      </c>
      <c r="B26" t="inlineStr">
        <is>
          <t>V 300/12 ARI</t>
        </is>
      </c>
      <c r="C26" t="inlineStr"/>
      <c r="D26" t="inlineStr">
        <is>
          <t>FM - VORTICE</t>
        </is>
      </c>
      <c r="E26" s="1" t="n">
        <v>0</v>
      </c>
      <c r="F26" t="n">
        <v>1</v>
      </c>
      <c r="G26" t="n">
        <v>0</v>
      </c>
      <c r="H26" t="n">
        <v>2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12415</t>
        </is>
      </c>
      <c r="B27" t="inlineStr">
        <is>
          <t>V 300/12 AR LL S</t>
        </is>
      </c>
      <c r="C27" t="inlineStr"/>
      <c r="D27" t="inlineStr">
        <is>
          <t>FM - VORTICE</t>
        </is>
      </c>
      <c r="E27" s="1" t="n">
        <v>0</v>
      </c>
      <c r="F27" t="n">
        <v>1</v>
      </c>
      <c r="G27" t="n">
        <v>0</v>
      </c>
      <c r="H27" t="n">
        <v>2</v>
      </c>
      <c r="I27" t="n">
        <v>0</v>
      </c>
      <c r="J27" t="n">
        <v>0</v>
      </c>
      <c r="K27">
        <f>IF(H27-I27-J27&gt;0,H27-I27-J27,0)</f>
        <v/>
      </c>
      <c r="L27" s="1">
        <f>IFERROR(I27*E27,0)</f>
        <v/>
      </c>
      <c r="M27" s="1">
        <f>IFERROR(K27*E27,0)</f>
        <v/>
      </c>
    </row>
    <row r="28">
      <c r="A28" t="inlineStr">
        <is>
          <t>12416</t>
        </is>
      </c>
      <c r="B28" t="inlineStr">
        <is>
          <t>V 300/12 ARI LL S</t>
        </is>
      </c>
      <c r="C28" t="inlineStr"/>
      <c r="D28" t="inlineStr">
        <is>
          <t>FM - VORTICE</t>
        </is>
      </c>
      <c r="E28" s="1" t="n">
        <v>0</v>
      </c>
      <c r="F28" t="n">
        <v>1</v>
      </c>
      <c r="G28" t="n">
        <v>0</v>
      </c>
      <c r="H28" t="n">
        <v>2</v>
      </c>
      <c r="I28" t="n">
        <v>0</v>
      </c>
      <c r="J28" t="n">
        <v>0</v>
      </c>
      <c r="K28">
        <f>IF(H28-I28-J28&gt;0,H28-I28-J28,0)</f>
        <v/>
      </c>
      <c r="L28" s="1">
        <f>IFERROR(I28*E28,0)</f>
        <v/>
      </c>
      <c r="M28" s="1">
        <f>IFERROR(K28*E28,0)</f>
        <v/>
      </c>
    </row>
    <row r="29">
      <c r="A29" t="inlineStr">
        <is>
          <t>12452</t>
        </is>
      </c>
      <c r="B29" t="inlineStr">
        <is>
          <t>V 230/9 AR</t>
        </is>
      </c>
      <c r="C29" t="inlineStr">
        <is>
          <t>Vortice Elettrosociali SpA</t>
        </is>
      </c>
      <c r="D29" t="inlineStr">
        <is>
          <t>FM - VORTICE</t>
        </is>
      </c>
      <c r="E29" s="1" t="n">
        <v>1730.79</v>
      </c>
      <c r="F29" t="n">
        <v>4</v>
      </c>
      <c r="G29" t="n">
        <v>0</v>
      </c>
      <c r="H29" t="n">
        <v>10</v>
      </c>
      <c r="I29" t="n">
        <v>0</v>
      </c>
      <c r="J29" t="n">
        <v>0</v>
      </c>
      <c r="K29">
        <f>IF(H29-I29-J29&gt;0,H29-I29-J29,0)</f>
        <v/>
      </c>
      <c r="L29" s="1">
        <f>IFERROR(I29*E29,0)</f>
        <v/>
      </c>
      <c r="M29" s="1">
        <f>IFERROR(K29*E29,0)</f>
        <v/>
      </c>
    </row>
    <row r="30">
      <c r="A30" t="inlineStr">
        <is>
          <t>12453</t>
        </is>
      </c>
      <c r="B30" t="inlineStr">
        <is>
          <t>V 230/9 ARI</t>
        </is>
      </c>
      <c r="C30" t="inlineStr"/>
      <c r="D30" t="inlineStr">
        <is>
          <t>FM - VORTICE</t>
        </is>
      </c>
      <c r="E30" s="1" t="n">
        <v>0</v>
      </c>
      <c r="F30" t="n">
        <v>1</v>
      </c>
      <c r="G30" t="n">
        <v>0</v>
      </c>
      <c r="H30" t="n">
        <v>2</v>
      </c>
      <c r="I30" t="n">
        <v>0</v>
      </c>
      <c r="J30" t="n">
        <v>0</v>
      </c>
      <c r="K30">
        <f>IF(H30-I30-J30&gt;0,H30-I30-J30,0)</f>
        <v/>
      </c>
      <c r="L30" s="1">
        <f>IFERROR(I30*E30,0)</f>
        <v/>
      </c>
      <c r="M30" s="1">
        <f>IFERROR(K30*E30,0)</f>
        <v/>
      </c>
    </row>
    <row r="31">
      <c r="A31" t="inlineStr">
        <is>
          <t>12454</t>
        </is>
      </c>
      <c r="B31" t="inlineStr">
        <is>
          <t>V 230/9 P LL S</t>
        </is>
      </c>
      <c r="C31" t="inlineStr"/>
      <c r="D31" t="inlineStr">
        <is>
          <t>FM - VORTICE</t>
        </is>
      </c>
      <c r="E31" s="1" t="n">
        <v>0</v>
      </c>
      <c r="F31" t="n">
        <v>1</v>
      </c>
      <c r="G31" t="n">
        <v>0</v>
      </c>
      <c r="H31" t="n">
        <v>2</v>
      </c>
      <c r="I31" t="n">
        <v>0</v>
      </c>
      <c r="J31" t="n">
        <v>0</v>
      </c>
      <c r="K31">
        <f>IF(H31-I31-J31&gt;0,H31-I31-J31,0)</f>
        <v/>
      </c>
      <c r="L31" s="1">
        <f>IFERROR(I31*E31,0)</f>
        <v/>
      </c>
      <c r="M31" s="1">
        <f>IFERROR(K31*E31,0)</f>
        <v/>
      </c>
    </row>
    <row r="32">
      <c r="A32" t="inlineStr">
        <is>
          <t>12455</t>
        </is>
      </c>
      <c r="B32" t="inlineStr">
        <is>
          <t>V 230/9 AR LL S</t>
        </is>
      </c>
      <c r="C32" t="inlineStr">
        <is>
          <t>Vortice Elettrosociali SpA</t>
        </is>
      </c>
      <c r="D32" t="inlineStr">
        <is>
          <t>FM - VORTICE</t>
        </is>
      </c>
      <c r="E32" s="1" t="n">
        <v>1804.1</v>
      </c>
      <c r="F32" t="n">
        <v>3</v>
      </c>
      <c r="G32" t="n">
        <v>0</v>
      </c>
      <c r="H32" t="n">
        <v>7</v>
      </c>
      <c r="I32" t="n">
        <v>0</v>
      </c>
      <c r="J32" t="n">
        <v>0</v>
      </c>
      <c r="K32">
        <f>IF(H32-I32-J32&gt;0,H32-I32-J32,0)</f>
        <v/>
      </c>
      <c r="L32" s="1">
        <f>IFERROR(I32*E32,0)</f>
        <v/>
      </c>
      <c r="M32" s="1">
        <f>IFERROR(K32*E32,0)</f>
        <v/>
      </c>
    </row>
    <row r="33">
      <c r="A33" t="inlineStr">
        <is>
          <t>12456</t>
        </is>
      </c>
      <c r="B33" t="inlineStr">
        <is>
          <t>V 230/9 ARI LL S</t>
        </is>
      </c>
      <c r="C33" t="inlineStr"/>
      <c r="D33" t="inlineStr">
        <is>
          <t>FM - VORTICE</t>
        </is>
      </c>
      <c r="E33" s="1" t="n">
        <v>0</v>
      </c>
      <c r="F33" t="n">
        <v>1</v>
      </c>
      <c r="G33" t="n">
        <v>0</v>
      </c>
      <c r="H33" t="n">
        <v>2</v>
      </c>
      <c r="I33" t="n">
        <v>0</v>
      </c>
      <c r="J33" t="n">
        <v>0</v>
      </c>
      <c r="K33">
        <f>IF(H33-I33-J33&gt;0,H33-I33-J33,0)</f>
        <v/>
      </c>
      <c r="L33" s="1">
        <f>IFERROR(I33*E33,0)</f>
        <v/>
      </c>
      <c r="M33" s="1">
        <f>IFERROR(K33*E33,0)</f>
        <v/>
      </c>
    </row>
    <row r="34">
      <c r="A34" t="inlineStr">
        <is>
          <t>12611</t>
        </is>
      </c>
      <c r="B34" t="inlineStr">
        <is>
          <t>V 150/6 P</t>
        </is>
      </c>
      <c r="C34" t="inlineStr"/>
      <c r="D34" t="inlineStr">
        <is>
          <t>FM - VORTICE</t>
        </is>
      </c>
      <c r="E34" s="1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0</v>
      </c>
      <c r="K34">
        <f>IF(H34-I34-J34&gt;0,H34-I34-J34,0)</f>
        <v/>
      </c>
      <c r="L34" s="1">
        <f>IFERROR(I34*E34,0)</f>
        <v/>
      </c>
      <c r="M34" s="1">
        <f>IFERROR(K34*E34,0)</f>
        <v/>
      </c>
    </row>
    <row r="35">
      <c r="A35" t="inlineStr">
        <is>
          <t>12612</t>
        </is>
      </c>
      <c r="B35" t="inlineStr">
        <is>
          <t>V 150/6 AR</t>
        </is>
      </c>
      <c r="C35" t="inlineStr">
        <is>
          <t>Vortice Elettrosociali SpA</t>
        </is>
      </c>
      <c r="D35" t="inlineStr">
        <is>
          <t>FM - VORTICE</t>
        </is>
      </c>
      <c r="E35" s="1" t="n">
        <v>887.29</v>
      </c>
      <c r="F35" t="n">
        <v>4</v>
      </c>
      <c r="G35" t="n">
        <v>0</v>
      </c>
      <c r="H35" t="n">
        <v>11</v>
      </c>
      <c r="I35" t="n">
        <v>0</v>
      </c>
      <c r="J35" t="n">
        <v>0</v>
      </c>
      <c r="K35">
        <f>IF(H35-I35-J35&gt;0,H35-I35-J35,0)</f>
        <v/>
      </c>
      <c r="L35" s="1">
        <f>IFERROR(I35*E35,0)</f>
        <v/>
      </c>
      <c r="M35" s="1">
        <f>IFERROR(K35*E35,0)</f>
        <v/>
      </c>
    </row>
    <row r="36">
      <c r="A36" t="inlineStr">
        <is>
          <t>12613</t>
        </is>
      </c>
      <c r="B36" t="inlineStr">
        <is>
          <t>V 150/6 ARI</t>
        </is>
      </c>
      <c r="C36" t="inlineStr">
        <is>
          <t>Vortice Elettrosociali SpA</t>
        </is>
      </c>
      <c r="D36" t="inlineStr">
        <is>
          <t>FM - VORTICE</t>
        </is>
      </c>
      <c r="E36" s="1" t="n">
        <v>667.21</v>
      </c>
      <c r="F36" t="n">
        <v>1</v>
      </c>
      <c r="G36" t="n">
        <v>0</v>
      </c>
      <c r="H36" t="n">
        <v>3</v>
      </c>
      <c r="I36" t="n">
        <v>0</v>
      </c>
      <c r="J36" t="n">
        <v>0</v>
      </c>
      <c r="K36">
        <f>IF(H36-I36-J36&gt;0,H36-I36-J36,0)</f>
        <v/>
      </c>
      <c r="L36" s="1">
        <f>IFERROR(I36*E36,0)</f>
        <v/>
      </c>
      <c r="M36" s="1">
        <f>IFERROR(K36*E36,0)</f>
        <v/>
      </c>
    </row>
    <row r="37">
      <c r="A37" t="inlineStr">
        <is>
          <t>12615</t>
        </is>
      </c>
      <c r="B37" t="inlineStr">
        <is>
          <t>V 150/6 AR LL S</t>
        </is>
      </c>
      <c r="C37" t="inlineStr">
        <is>
          <t>Vortice Elettrosociali SpA</t>
        </is>
      </c>
      <c r="D37" t="inlineStr">
        <is>
          <t>FM - VORTICE</t>
        </is>
      </c>
      <c r="E37" s="1" t="n">
        <v>994.12</v>
      </c>
      <c r="F37" t="n">
        <v>3</v>
      </c>
      <c r="G37" t="n">
        <v>0</v>
      </c>
      <c r="H37" t="n">
        <v>10</v>
      </c>
      <c r="I37" t="n">
        <v>0</v>
      </c>
      <c r="J37" t="n">
        <v>0</v>
      </c>
      <c r="K37">
        <f>IF(H37-I37-J37&gt;0,H37-I37-J37,0)</f>
        <v/>
      </c>
      <c r="L37" s="1">
        <f>IFERROR(I37*E37,0)</f>
        <v/>
      </c>
      <c r="M37" s="1">
        <f>IFERROR(K37*E37,0)</f>
        <v/>
      </c>
    </row>
    <row r="38">
      <c r="A38" t="inlineStr">
        <is>
          <t>12616</t>
        </is>
      </c>
      <c r="B38" t="inlineStr">
        <is>
          <t>V 150/6 ARI LL S</t>
        </is>
      </c>
      <c r="C38" t="inlineStr"/>
      <c r="D38" t="inlineStr">
        <is>
          <t>FM - VORTICE</t>
        </is>
      </c>
      <c r="E38" s="1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0</v>
      </c>
      <c r="K38">
        <f>IF(H38-I38-J38&gt;0,H38-I38-J38,0)</f>
        <v/>
      </c>
      <c r="L38" s="1">
        <f>IFERROR(I38*E38,0)</f>
        <v/>
      </c>
      <c r="M38" s="1">
        <f>IFERROR(K38*E38,0)</f>
        <v/>
      </c>
    </row>
    <row r="39">
      <c r="A39" t="inlineStr">
        <is>
          <t>12943</t>
        </is>
      </c>
      <c r="B39" t="inlineStr">
        <is>
          <t>CR5 Speed Controller</t>
        </is>
      </c>
      <c r="C39" t="inlineStr"/>
      <c r="D39" t="inlineStr">
        <is>
          <t>FM - VORTICE</t>
        </is>
      </c>
      <c r="E39" s="1" t="n">
        <v>0</v>
      </c>
      <c r="F39" t="n">
        <v>1</v>
      </c>
      <c r="G39" t="n">
        <v>0</v>
      </c>
      <c r="H39" t="n">
        <v>2</v>
      </c>
      <c r="I39" t="n">
        <v>0</v>
      </c>
      <c r="J39" t="n">
        <v>0</v>
      </c>
      <c r="K39">
        <f>IF(H39-I39-J39&gt;0,H39-I39-J39,0)</f>
        <v/>
      </c>
      <c r="L39" s="1">
        <f>IFERROR(I39*E39,0)</f>
        <v/>
      </c>
      <c r="M39" s="1">
        <f>IFERROR(K39*E39,0)</f>
        <v/>
      </c>
    </row>
    <row r="40">
      <c r="A40" t="inlineStr">
        <is>
          <t>12966</t>
        </is>
      </c>
      <c r="B40" t="inlineStr">
        <is>
          <t>C1.5 Speed Controller (to suit Lineo 100 to 200)</t>
        </is>
      </c>
      <c r="C40" t="inlineStr">
        <is>
          <t>Vortice Elettrosociali SpA</t>
        </is>
      </c>
      <c r="D40" t="inlineStr">
        <is>
          <t>FM - VORTICE</t>
        </is>
      </c>
      <c r="E40" s="1" t="n">
        <v>514.79</v>
      </c>
      <c r="F40" t="n">
        <v>2</v>
      </c>
      <c r="G40" t="n">
        <v>0</v>
      </c>
      <c r="H40" t="n">
        <v>6</v>
      </c>
      <c r="I40" t="n">
        <v>0</v>
      </c>
      <c r="J40" t="n">
        <v>0</v>
      </c>
      <c r="K40">
        <f>IF(H40-I40-J40&gt;0,H40-I40-J40,0)</f>
        <v/>
      </c>
      <c r="L40" s="1">
        <f>IFERROR(I40*E40,0)</f>
        <v/>
      </c>
      <c r="M40" s="1">
        <f>IFERROR(K40*E40,0)</f>
        <v/>
      </c>
    </row>
    <row r="41">
      <c r="A41" t="inlineStr">
        <is>
          <t>12967</t>
        </is>
      </c>
      <c r="B41" t="inlineStr">
        <is>
          <t>C2.5 Speed Controller (to suit Lineo 250 to 315)</t>
        </is>
      </c>
      <c r="C41" t="inlineStr"/>
      <c r="D41" t="inlineStr">
        <is>
          <t>FM - VORTICE</t>
        </is>
      </c>
      <c r="E41" s="1" t="n">
        <v>0</v>
      </c>
      <c r="F41" t="n">
        <v>1</v>
      </c>
      <c r="G41" t="n">
        <v>0</v>
      </c>
      <c r="H41" t="n">
        <v>2</v>
      </c>
      <c r="I41" t="n">
        <v>0</v>
      </c>
      <c r="J41" t="n">
        <v>0</v>
      </c>
      <c r="K41">
        <f>IF(H41-I41-J41&gt;0,H41-I41-J41,0)</f>
        <v/>
      </c>
      <c r="L41" s="1">
        <f>IFERROR(I41*E41,0)</f>
        <v/>
      </c>
      <c r="M41" s="1">
        <f>IFERROR(K41*E41,0)</f>
        <v/>
      </c>
    </row>
    <row r="42">
      <c r="A42" t="inlineStr">
        <is>
          <t>12998</t>
        </is>
      </c>
      <c r="B42" t="inlineStr">
        <is>
          <t>PIR Sensor</t>
        </is>
      </c>
      <c r="C42" t="inlineStr"/>
      <c r="D42" t="inlineStr">
        <is>
          <t>FM - VORTICE</t>
        </is>
      </c>
      <c r="E42" s="1" t="n">
        <v>0</v>
      </c>
      <c r="F42" t="n">
        <v>1</v>
      </c>
      <c r="G42" t="n">
        <v>0</v>
      </c>
      <c r="H42" t="n">
        <v>2</v>
      </c>
      <c r="I42" t="n">
        <v>0</v>
      </c>
      <c r="J42" t="n">
        <v>0</v>
      </c>
      <c r="K42">
        <f>IF(H42-I42-J42&gt;0,H42-I42-J42,0)</f>
        <v/>
      </c>
      <c r="L42" s="1">
        <f>IFERROR(I42*E42,0)</f>
        <v/>
      </c>
      <c r="M42" s="1">
        <f>IFERROR(K42*E42,0)</f>
        <v/>
      </c>
    </row>
    <row r="43">
      <c r="A43" t="inlineStr">
        <is>
          <t>13001</t>
        </is>
      </c>
      <c r="B43" t="inlineStr">
        <is>
          <t>KIT TE 150/6 Roof Mounting</t>
        </is>
      </c>
      <c r="C43" t="inlineStr"/>
      <c r="D43" t="inlineStr">
        <is>
          <t>FM - VORTICE</t>
        </is>
      </c>
      <c r="E43" s="1" t="n">
        <v>0</v>
      </c>
      <c r="F43" t="n">
        <v>1</v>
      </c>
      <c r="G43" t="n">
        <v>0</v>
      </c>
      <c r="H43" t="n">
        <v>2</v>
      </c>
      <c r="I43" t="n">
        <v>0</v>
      </c>
      <c r="J43" t="n">
        <v>0</v>
      </c>
      <c r="K43">
        <f>IF(H43-I43-J43&gt;0,H43-I43-J43,0)</f>
        <v/>
      </c>
      <c r="L43" s="1">
        <f>IFERROR(I43*E43,0)</f>
        <v/>
      </c>
      <c r="M43" s="1">
        <f>IFERROR(K43*E43,0)</f>
        <v/>
      </c>
    </row>
    <row r="44">
      <c r="A44" t="inlineStr">
        <is>
          <t>13028</t>
        </is>
      </c>
      <c r="B44" t="inlineStr">
        <is>
          <t>KIT TC 230/9</t>
        </is>
      </c>
      <c r="C44" t="inlineStr">
        <is>
          <t>Vortice Elettrosociali SpA</t>
        </is>
      </c>
      <c r="D44" t="inlineStr">
        <is>
          <t>FM - VORTICE</t>
        </is>
      </c>
      <c r="E44" s="1" t="n">
        <v>0</v>
      </c>
      <c r="F44" t="n">
        <v>2</v>
      </c>
      <c r="G44" t="n">
        <v>0</v>
      </c>
      <c r="H44" t="n">
        <v>5</v>
      </c>
      <c r="I44" t="n">
        <v>0</v>
      </c>
      <c r="J44" t="n">
        <v>0</v>
      </c>
      <c r="K44">
        <f>IF(H44-I44-J44&gt;0,H44-I44-J44,0)</f>
        <v/>
      </c>
      <c r="L44" s="1">
        <f>IFERROR(I44*E44,0)</f>
        <v/>
      </c>
      <c r="M44" s="1">
        <f>IFERROR(K44*E44,0)</f>
        <v/>
      </c>
    </row>
    <row r="45">
      <c r="A45" t="inlineStr">
        <is>
          <t>1373000218</t>
        </is>
      </c>
      <c r="B45" t="inlineStr">
        <is>
          <t>MOTORE GM-63A4 B143F TC10 - TIRACAMINO MOTOR</t>
        </is>
      </c>
      <c r="C45" t="inlineStr">
        <is>
          <t>Vortice Elettrosociali SpA</t>
        </is>
      </c>
      <c r="D45" t="inlineStr">
        <is>
          <t>FM - VORTICE</t>
        </is>
      </c>
      <c r="E45" s="1" t="n">
        <v>1330.13</v>
      </c>
      <c r="F45" t="n">
        <v>3</v>
      </c>
      <c r="G45" t="n">
        <v>0</v>
      </c>
      <c r="H45" t="n">
        <v>9</v>
      </c>
      <c r="I45" t="n">
        <v>0</v>
      </c>
      <c r="J45" t="n">
        <v>0</v>
      </c>
      <c r="K45">
        <f>IF(H45-I45-J45&gt;0,H45-I45-J45,0)</f>
        <v/>
      </c>
      <c r="L45" s="1">
        <f>IFERROR(I45*E45,0)</f>
        <v/>
      </c>
      <c r="M45" s="1">
        <f>IFERROR(K45*E45,0)</f>
        <v/>
      </c>
    </row>
    <row r="46">
      <c r="A46" t="inlineStr">
        <is>
          <t>15000</t>
        </is>
      </c>
      <c r="B46" t="inlineStr">
        <is>
          <t>Tiracamino Chimney Fan for Chimney Tops</t>
        </is>
      </c>
      <c r="C46" t="inlineStr">
        <is>
          <t>Vortice Elettrosociali SpA</t>
        </is>
      </c>
      <c r="D46" t="inlineStr">
        <is>
          <t>FM - VORTICE</t>
        </is>
      </c>
      <c r="E46" s="1" t="n">
        <v>5798.62</v>
      </c>
      <c r="F46" t="n">
        <v>4</v>
      </c>
      <c r="G46" t="n">
        <v>0</v>
      </c>
      <c r="H46" t="n">
        <v>14</v>
      </c>
      <c r="I46" t="n">
        <v>0</v>
      </c>
      <c r="J46" t="n">
        <v>0</v>
      </c>
      <c r="K46">
        <f>IF(H46-I46-J46&gt;0,H46-I46-J46,0)</f>
        <v/>
      </c>
      <c r="L46" s="1">
        <f>IFERROR(I46*E46,0)</f>
        <v/>
      </c>
      <c r="M46" s="1">
        <f>IFERROR(K46*E46,0)</f>
        <v/>
      </c>
    </row>
    <row r="47">
      <c r="A47" t="inlineStr">
        <is>
          <t>17005</t>
        </is>
      </c>
      <c r="B47" t="inlineStr">
        <is>
          <t>LINEO 1000 VO</t>
        </is>
      </c>
      <c r="C47" t="inlineStr"/>
      <c r="D47" t="inlineStr">
        <is>
          <t>FM - VORTICE</t>
        </is>
      </c>
      <c r="E47" s="1" t="n">
        <v>0</v>
      </c>
      <c r="F47" t="n">
        <v>1</v>
      </c>
      <c r="G47" t="n">
        <v>0</v>
      </c>
      <c r="H47" t="n">
        <v>2</v>
      </c>
      <c r="I47" t="n">
        <v>0</v>
      </c>
      <c r="J47" t="n">
        <v>0</v>
      </c>
      <c r="K47">
        <f>IF(H47-I47-J47&gt;0,H47-I47-J47,0)</f>
        <v/>
      </c>
      <c r="L47" s="1">
        <f>IFERROR(I47*E47,0)</f>
        <v/>
      </c>
      <c r="M47" s="1">
        <f>IFERROR(K47*E47,0)</f>
        <v/>
      </c>
    </row>
    <row r="48">
      <c r="A48" t="inlineStr">
        <is>
          <t>17021</t>
        </is>
      </c>
      <c r="B48" t="inlineStr">
        <is>
          <t>LINEO 100 TVO</t>
        </is>
      </c>
      <c r="C48" t="inlineStr"/>
      <c r="D48" t="inlineStr">
        <is>
          <t>FM - VORTICE</t>
        </is>
      </c>
      <c r="E48" s="1" t="n">
        <v>0</v>
      </c>
      <c r="F48" t="n">
        <v>1</v>
      </c>
      <c r="G48" t="n">
        <v>0</v>
      </c>
      <c r="H48" t="n">
        <v>2</v>
      </c>
      <c r="I48" t="n">
        <v>0</v>
      </c>
      <c r="J48" t="n">
        <v>0</v>
      </c>
      <c r="K48">
        <f>IF(H48-I48-J48&gt;0,H48-I48-J48,0)</f>
        <v/>
      </c>
      <c r="L48" s="1">
        <f>IFERROR(I48*E48,0)</f>
        <v/>
      </c>
      <c r="M48" s="1">
        <f>IFERROR(K48*E48,0)</f>
        <v/>
      </c>
    </row>
    <row r="49">
      <c r="A49" t="inlineStr">
        <is>
          <t>17143</t>
        </is>
      </c>
      <c r="B49" t="inlineStr">
        <is>
          <t>LINEO 100 Q</t>
        </is>
      </c>
      <c r="C49" t="inlineStr"/>
      <c r="D49" t="inlineStr">
        <is>
          <t>FM - VORTICE</t>
        </is>
      </c>
      <c r="E49" s="1" t="n">
        <v>0</v>
      </c>
      <c r="F49" t="n">
        <v>1</v>
      </c>
      <c r="G49" t="n">
        <v>0</v>
      </c>
      <c r="H49" t="n">
        <v>2</v>
      </c>
      <c r="I49" t="n">
        <v>0</v>
      </c>
      <c r="J49" t="n">
        <v>0</v>
      </c>
      <c r="K49">
        <f>IF(H49-I49-J49&gt;0,H49-I49-J49,0)</f>
        <v/>
      </c>
      <c r="L49" s="1">
        <f>IFERROR(I49*E49,0)</f>
        <v/>
      </c>
      <c r="M49" s="1">
        <f>IFERROR(K49*E49,0)</f>
        <v/>
      </c>
    </row>
    <row r="50">
      <c r="A50" t="inlineStr">
        <is>
          <t>17144</t>
        </is>
      </c>
      <c r="B50" t="inlineStr">
        <is>
          <t>LINEO 100</t>
        </is>
      </c>
      <c r="C50" t="inlineStr"/>
      <c r="D50" t="inlineStr">
        <is>
          <t>FM - VORTICE</t>
        </is>
      </c>
      <c r="E50" s="1" t="n">
        <v>0</v>
      </c>
      <c r="F50" t="n">
        <v>1</v>
      </c>
      <c r="G50" t="n">
        <v>0</v>
      </c>
      <c r="H50" t="n">
        <v>4</v>
      </c>
      <c r="I50" t="n">
        <v>0</v>
      </c>
      <c r="J50" t="n">
        <v>0</v>
      </c>
      <c r="K50">
        <f>IF(H50-I50-J50&gt;0,H50-I50-J50,0)</f>
        <v/>
      </c>
      <c r="L50" s="1">
        <f>IFERROR(I50*E50,0)</f>
        <v/>
      </c>
      <c r="M50" s="1">
        <f>IFERROR(K50*E50,0)</f>
        <v/>
      </c>
    </row>
    <row r="51">
      <c r="A51" t="inlineStr">
        <is>
          <t>17145</t>
        </is>
      </c>
      <c r="B51" t="inlineStr">
        <is>
          <t>LINEO 125</t>
        </is>
      </c>
      <c r="C51" t="inlineStr">
        <is>
          <t>Vortice Elettrosociali SpA</t>
        </is>
      </c>
      <c r="D51" t="inlineStr">
        <is>
          <t>FM - VORTICE</t>
        </is>
      </c>
      <c r="E51" s="1" t="n">
        <v>1177.92</v>
      </c>
      <c r="F51" t="n">
        <v>1</v>
      </c>
      <c r="G51" t="n">
        <v>0</v>
      </c>
      <c r="H51" t="n">
        <v>3</v>
      </c>
      <c r="I51" t="n">
        <v>0</v>
      </c>
      <c r="J51" t="n">
        <v>0</v>
      </c>
      <c r="K51">
        <f>IF(H51-I51-J51&gt;0,H51-I51-J51,0)</f>
        <v/>
      </c>
      <c r="L51" s="1">
        <f>IFERROR(I51*E51,0)</f>
        <v/>
      </c>
      <c r="M51" s="1">
        <f>IFERROR(K51*E51,0)</f>
        <v/>
      </c>
    </row>
    <row r="52">
      <c r="A52" t="inlineStr">
        <is>
          <t>17146</t>
        </is>
      </c>
      <c r="B52" t="inlineStr">
        <is>
          <t>LINEO 150</t>
        </is>
      </c>
      <c r="C52" t="inlineStr">
        <is>
          <t>Vortice Elettrosociali SpA</t>
        </is>
      </c>
      <c r="D52" t="inlineStr">
        <is>
          <t>FM - VORTICE</t>
        </is>
      </c>
      <c r="E52" s="1" t="n">
        <v>1329.45</v>
      </c>
      <c r="F52" t="n">
        <v>2</v>
      </c>
      <c r="G52" t="n">
        <v>0</v>
      </c>
      <c r="H52" t="n">
        <v>7</v>
      </c>
      <c r="I52" t="n">
        <v>0</v>
      </c>
      <c r="J52" t="n">
        <v>0</v>
      </c>
      <c r="K52">
        <f>IF(H52-I52-J52&gt;0,H52-I52-J52,0)</f>
        <v/>
      </c>
      <c r="L52" s="1">
        <f>IFERROR(I52*E52,0)</f>
        <v/>
      </c>
      <c r="M52" s="1">
        <f>IFERROR(K52*E52,0)</f>
        <v/>
      </c>
    </row>
    <row r="53">
      <c r="A53" t="inlineStr">
        <is>
          <t>17148</t>
        </is>
      </c>
      <c r="B53" t="inlineStr">
        <is>
          <t>LINEO 200 Q</t>
        </is>
      </c>
      <c r="C53" t="inlineStr">
        <is>
          <t>Vortice Elettrosociali SpA</t>
        </is>
      </c>
      <c r="D53" t="inlineStr">
        <is>
          <t>FM - VORTICE</t>
        </is>
      </c>
      <c r="E53" s="1" t="n">
        <v>1397.64</v>
      </c>
      <c r="F53" t="n">
        <v>11</v>
      </c>
      <c r="G53" t="n">
        <v>0</v>
      </c>
      <c r="H53" t="n">
        <v>27</v>
      </c>
      <c r="I53" t="n">
        <v>0</v>
      </c>
      <c r="J53" t="n">
        <v>0</v>
      </c>
      <c r="K53">
        <f>IF(H53-I53-J53&gt;0,H53-I53-J53,0)</f>
        <v/>
      </c>
      <c r="L53" s="1">
        <f>IFERROR(I53*E53,0)</f>
        <v/>
      </c>
      <c r="M53" s="1">
        <f>IFERROR(K53*E53,0)</f>
        <v/>
      </c>
    </row>
    <row r="54">
      <c r="A54" t="inlineStr">
        <is>
          <t>17160</t>
        </is>
      </c>
      <c r="B54" t="inlineStr">
        <is>
          <t>LINEO 100 QUIET</t>
        </is>
      </c>
      <c r="C54" t="inlineStr">
        <is>
          <t>Vortice Elettrosociali SpA</t>
        </is>
      </c>
      <c r="D54" t="inlineStr">
        <is>
          <t>FM - VORTICE</t>
        </is>
      </c>
      <c r="E54" s="1" t="n">
        <v>442.78</v>
      </c>
      <c r="F54" t="n">
        <v>1</v>
      </c>
      <c r="G54" t="n">
        <v>0</v>
      </c>
      <c r="H54" t="n">
        <v>3</v>
      </c>
      <c r="I54" t="n">
        <v>0</v>
      </c>
      <c r="J54" t="n">
        <v>0</v>
      </c>
      <c r="K54">
        <f>IF(H54-I54-J54&gt;0,H54-I54-J54,0)</f>
        <v/>
      </c>
      <c r="L54" s="1">
        <f>IFERROR(I54*E54,0)</f>
        <v/>
      </c>
      <c r="M54" s="1">
        <f>IFERROR(K54*E54,0)</f>
        <v/>
      </c>
    </row>
    <row r="55">
      <c r="A55" t="inlineStr">
        <is>
          <t>17161</t>
        </is>
      </c>
      <c r="B55" t="inlineStr">
        <is>
          <t>LINEO 125 QUIET</t>
        </is>
      </c>
      <c r="C55" t="inlineStr">
        <is>
          <t>Vortice Elettrosociali SpA</t>
        </is>
      </c>
      <c r="D55" t="inlineStr">
        <is>
          <t>FM - VORTICE</t>
        </is>
      </c>
      <c r="E55" s="1" t="n">
        <v>1513.62</v>
      </c>
      <c r="F55" t="n">
        <v>2</v>
      </c>
      <c r="G55" t="n">
        <v>0</v>
      </c>
      <c r="H55" t="n">
        <v>5</v>
      </c>
      <c r="I55" t="n">
        <v>0</v>
      </c>
      <c r="J55" t="n">
        <v>0</v>
      </c>
      <c r="K55">
        <f>IF(H55-I55-J55&gt;0,H55-I55-J55,0)</f>
        <v/>
      </c>
      <c r="L55" s="1">
        <f>IFERROR(I55*E55,0)</f>
        <v/>
      </c>
      <c r="M55" s="1">
        <f>IFERROR(K55*E55,0)</f>
        <v/>
      </c>
    </row>
    <row r="56">
      <c r="A56" t="inlineStr">
        <is>
          <t>17162</t>
        </is>
      </c>
      <c r="B56" t="inlineStr">
        <is>
          <t>LINEO 150 QUIET</t>
        </is>
      </c>
      <c r="C56" t="inlineStr">
        <is>
          <t>Vortice Elettrosociali SpA</t>
        </is>
      </c>
      <c r="D56" t="inlineStr">
        <is>
          <t>FM - VORTICE</t>
        </is>
      </c>
      <c r="E56" s="1" t="n">
        <v>1762.95</v>
      </c>
      <c r="F56" t="n">
        <v>2</v>
      </c>
      <c r="G56" t="n">
        <v>0</v>
      </c>
      <c r="H56" t="n">
        <v>7</v>
      </c>
      <c r="I56" t="n">
        <v>0</v>
      </c>
      <c r="J56" t="n">
        <v>0</v>
      </c>
      <c r="K56">
        <f>IF(H56-I56-J56&gt;0,H56-I56-J56,0)</f>
        <v/>
      </c>
      <c r="L56" s="1">
        <f>IFERROR(I56*E56,0)</f>
        <v/>
      </c>
      <c r="M56" s="1">
        <f>IFERROR(K56*E56,0)</f>
        <v/>
      </c>
    </row>
    <row r="57">
      <c r="A57" t="inlineStr">
        <is>
          <t>17164</t>
        </is>
      </c>
      <c r="B57" t="inlineStr">
        <is>
          <t>LINEO 200 QUIET</t>
        </is>
      </c>
      <c r="C57" t="inlineStr">
        <is>
          <t>Vortice Elettrosociali SpA</t>
        </is>
      </c>
      <c r="D57" t="inlineStr">
        <is>
          <t>FM - VORTICE</t>
        </is>
      </c>
      <c r="E57" s="1" t="n">
        <v>2488.4</v>
      </c>
      <c r="F57" t="n">
        <v>2</v>
      </c>
      <c r="G57" t="n">
        <v>0</v>
      </c>
      <c r="H57" t="n">
        <v>7</v>
      </c>
      <c r="I57" t="n">
        <v>0</v>
      </c>
      <c r="J57" t="n">
        <v>0</v>
      </c>
      <c r="K57">
        <f>IF(H57-I57-J57&gt;0,H57-I57-J57,0)</f>
        <v/>
      </c>
      <c r="L57" s="1">
        <f>IFERROR(I57*E57,0)</f>
        <v/>
      </c>
      <c r="M57" s="1">
        <f>IFERROR(K57*E57,0)</f>
        <v/>
      </c>
    </row>
    <row r="58">
      <c r="A58" t="inlineStr">
        <is>
          <t>17165</t>
        </is>
      </c>
      <c r="B58" t="inlineStr">
        <is>
          <t>LINEO 250 QUIET</t>
        </is>
      </c>
      <c r="C58" t="inlineStr">
        <is>
          <t>Vortice Elettrosociali SpA</t>
        </is>
      </c>
      <c r="D58" t="inlineStr">
        <is>
          <t>FM - VORTICE</t>
        </is>
      </c>
      <c r="E58" s="1" t="n">
        <v>5043.15</v>
      </c>
      <c r="F58" t="n">
        <v>2</v>
      </c>
      <c r="G58" t="n">
        <v>0</v>
      </c>
      <c r="H58" t="n">
        <v>8</v>
      </c>
      <c r="I58" t="n">
        <v>0</v>
      </c>
      <c r="J58" t="n">
        <v>0</v>
      </c>
      <c r="K58">
        <f>IF(H58-I58-J58&gt;0,H58-I58-J58,0)</f>
        <v/>
      </c>
      <c r="L58" s="1">
        <f>IFERROR(I58*E58,0)</f>
        <v/>
      </c>
      <c r="M58" s="1">
        <f>IFERROR(K58*E58,0)</f>
        <v/>
      </c>
    </row>
    <row r="59">
      <c r="A59" t="inlineStr">
        <is>
          <t>17166</t>
        </is>
      </c>
      <c r="B59" t="inlineStr">
        <is>
          <t>LINEO 315 QUIET</t>
        </is>
      </c>
      <c r="C59" t="inlineStr">
        <is>
          <t>Vortice Elettrosociali SpA</t>
        </is>
      </c>
      <c r="D59" t="inlineStr">
        <is>
          <t>FM - VORTICE</t>
        </is>
      </c>
      <c r="E59" s="1" t="n">
        <v>6627.02</v>
      </c>
      <c r="F59" t="n">
        <v>1</v>
      </c>
      <c r="G59" t="n">
        <v>0</v>
      </c>
      <c r="H59" t="n">
        <v>5</v>
      </c>
      <c r="I59" t="n">
        <v>0</v>
      </c>
      <c r="J59" t="n">
        <v>0</v>
      </c>
      <c r="K59">
        <f>IF(H59-I59-J59&gt;0,H59-I59-J59,0)</f>
        <v/>
      </c>
      <c r="L59" s="1">
        <f>IFERROR(I59*E59,0)</f>
        <v/>
      </c>
      <c r="M59" s="1">
        <f>IFERROR(K59*E59,0)</f>
        <v/>
      </c>
    </row>
    <row r="60">
      <c r="A60" t="inlineStr">
        <is>
          <t>17180</t>
        </is>
      </c>
      <c r="B60" t="inlineStr">
        <is>
          <t>LINEO 200</t>
        </is>
      </c>
      <c r="C60" t="inlineStr">
        <is>
          <t>Vortice Elettrosociali SpA</t>
        </is>
      </c>
      <c r="D60" t="inlineStr">
        <is>
          <t>FM - VORTICE</t>
        </is>
      </c>
      <c r="E60" s="1" t="n">
        <v>1644.45</v>
      </c>
      <c r="F60" t="n">
        <v>2</v>
      </c>
      <c r="G60" t="n">
        <v>0</v>
      </c>
      <c r="H60" t="n">
        <v>6</v>
      </c>
      <c r="I60" t="n">
        <v>0</v>
      </c>
      <c r="J60" t="n">
        <v>0</v>
      </c>
      <c r="K60">
        <f>IF(H60-I60-J60&gt;0,H60-I60-J60,0)</f>
        <v/>
      </c>
      <c r="L60" s="1">
        <f>IFERROR(I60*E60,0)</f>
        <v/>
      </c>
      <c r="M60" s="1">
        <f>IFERROR(K60*E60,0)</f>
        <v/>
      </c>
    </row>
    <row r="61">
      <c r="A61" t="inlineStr">
        <is>
          <t>17181</t>
        </is>
      </c>
      <c r="B61" t="inlineStr">
        <is>
          <t>LINEO 250</t>
        </is>
      </c>
      <c r="C61" t="inlineStr">
        <is>
          <t>Vortice Elettrosociali SpA</t>
        </is>
      </c>
      <c r="D61" t="inlineStr">
        <is>
          <t>FM - VORTICE</t>
        </is>
      </c>
      <c r="E61" s="1" t="n">
        <v>2207.34</v>
      </c>
      <c r="F61" t="n">
        <v>1</v>
      </c>
      <c r="G61" t="n">
        <v>0</v>
      </c>
      <c r="H61" t="n">
        <v>2</v>
      </c>
      <c r="I61" t="n">
        <v>0</v>
      </c>
      <c r="J61" t="n">
        <v>0</v>
      </c>
      <c r="K61">
        <f>IF(H61-I61-J61&gt;0,H61-I61-J61,0)</f>
        <v/>
      </c>
      <c r="L61" s="1">
        <f>IFERROR(I61*E61,0)</f>
        <v/>
      </c>
      <c r="M61" s="1">
        <f>IFERROR(K61*E61,0)</f>
        <v/>
      </c>
    </row>
    <row r="62">
      <c r="A62" t="inlineStr">
        <is>
          <t>17182</t>
        </is>
      </c>
      <c r="B62" t="inlineStr">
        <is>
          <t>LINEO 315</t>
        </is>
      </c>
      <c r="C62" t="inlineStr">
        <is>
          <t>Vortice Elettrosociali SpA</t>
        </is>
      </c>
      <c r="D62" t="inlineStr">
        <is>
          <t>FM - VORTICE</t>
        </is>
      </c>
      <c r="E62" s="1" t="n">
        <v>3058.29</v>
      </c>
      <c r="F62" t="n">
        <v>3</v>
      </c>
      <c r="G62" t="n">
        <v>0</v>
      </c>
      <c r="H62" t="n">
        <v>10</v>
      </c>
      <c r="I62" t="n">
        <v>0</v>
      </c>
      <c r="J62" t="n">
        <v>0</v>
      </c>
      <c r="K62">
        <f>IF(H62-I62-J62&gt;0,H62-I62-J62,0)</f>
        <v/>
      </c>
      <c r="L62" s="1">
        <f>IFERROR(I62*E62,0)</f>
        <v/>
      </c>
      <c r="M62" s="1">
        <f>IFERROR(K62*E62,0)</f>
        <v/>
      </c>
    </row>
    <row r="63">
      <c r="A63" t="inlineStr">
        <is>
          <t>17185</t>
        </is>
      </c>
      <c r="B63" t="inlineStr">
        <is>
          <t>LINEO 100 T</t>
        </is>
      </c>
      <c r="C63" t="inlineStr"/>
      <c r="D63" t="inlineStr">
        <is>
          <t>FM - VORTICE</t>
        </is>
      </c>
      <c r="E63" s="1" t="n">
        <v>0</v>
      </c>
      <c r="F63" t="n">
        <v>2</v>
      </c>
      <c r="G63" t="n">
        <v>0</v>
      </c>
      <c r="H63" t="n">
        <v>10</v>
      </c>
      <c r="I63" t="n">
        <v>0</v>
      </c>
      <c r="J63" t="n">
        <v>0</v>
      </c>
      <c r="K63">
        <f>IF(H63-I63-J63&gt;0,H63-I63-J63,0)</f>
        <v/>
      </c>
      <c r="L63" s="1">
        <f>IFERROR(I63*E63,0)</f>
        <v/>
      </c>
      <c r="M63" s="1">
        <f>IFERROR(K63*E63,0)</f>
        <v/>
      </c>
    </row>
    <row r="64">
      <c r="A64" t="inlineStr">
        <is>
          <t>22010</t>
        </is>
      </c>
      <c r="B64" t="inlineStr">
        <is>
          <t>100 Wall Fans</t>
        </is>
      </c>
      <c r="C64" t="inlineStr"/>
      <c r="D64" t="inlineStr">
        <is>
          <t>FM - VORTICE</t>
        </is>
      </c>
      <c r="E64" s="1" t="n">
        <v>0</v>
      </c>
      <c r="F64" t="n">
        <v>1</v>
      </c>
      <c r="G64" t="n">
        <v>0</v>
      </c>
      <c r="H64" t="n">
        <v>4</v>
      </c>
      <c r="I64" t="n">
        <v>0</v>
      </c>
      <c r="J64" t="n">
        <v>0</v>
      </c>
      <c r="K64">
        <f>IF(H64-I64-J64&gt;0,H64-I64-J64,0)</f>
        <v/>
      </c>
      <c r="L64" s="1">
        <f>IFERROR(I64*E64,0)</f>
        <v/>
      </c>
      <c r="M64" s="1">
        <f>IFERROR(K64*E64,0)</f>
        <v/>
      </c>
    </row>
    <row r="65">
      <c r="A65" t="inlineStr">
        <is>
          <t>22020</t>
        </is>
      </c>
      <c r="B65" t="inlineStr">
        <is>
          <t>120/150 Wall Fixed Grills</t>
        </is>
      </c>
      <c r="C65" t="inlineStr">
        <is>
          <t>Vortice Elettrosociali SpA</t>
        </is>
      </c>
      <c r="D65" t="inlineStr">
        <is>
          <t>FM - VORTICE</t>
        </is>
      </c>
      <c r="E65" s="1" t="n">
        <v>35.35</v>
      </c>
      <c r="F65" t="n">
        <v>4</v>
      </c>
      <c r="G65" t="n">
        <v>0</v>
      </c>
      <c r="H65" t="n">
        <v>15</v>
      </c>
      <c r="I65" t="n">
        <v>0</v>
      </c>
      <c r="J65" t="n">
        <v>0</v>
      </c>
      <c r="K65">
        <f>IF(H65-I65-J65&gt;0,H65-I65-J65,0)</f>
        <v/>
      </c>
      <c r="L65" s="1">
        <f>IFERROR(I65*E65,0)</f>
        <v/>
      </c>
      <c r="M65" s="1">
        <f>IFERROR(K65*E65,0)</f>
        <v/>
      </c>
    </row>
    <row r="66">
      <c r="A66" t="inlineStr">
        <is>
          <t>22131</t>
        </is>
      </c>
      <c r="B66" t="inlineStr">
        <is>
          <t>F 100 / 4 WINDOW KIT</t>
        </is>
      </c>
      <c r="C66" t="inlineStr"/>
      <c r="D66" t="inlineStr">
        <is>
          <t>FM - VORTICE</t>
        </is>
      </c>
      <c r="E66" s="1" t="n">
        <v>0</v>
      </c>
      <c r="F66" t="n">
        <v>1</v>
      </c>
      <c r="G66" t="n">
        <v>0</v>
      </c>
      <c r="H66" t="n">
        <v>2</v>
      </c>
      <c r="I66" t="n">
        <v>0</v>
      </c>
      <c r="J66" t="n">
        <v>0</v>
      </c>
      <c r="K66">
        <f>IF(H66-I66-J66&gt;0,H66-I66-J66,0)</f>
        <v/>
      </c>
      <c r="L66" s="1">
        <f>IFERROR(I66*E66,0)</f>
        <v/>
      </c>
      <c r="M66" s="1">
        <f>IFERROR(K66*E66,0)</f>
        <v/>
      </c>
    </row>
    <row r="67">
      <c r="A67" t="inlineStr">
        <is>
          <t>22132</t>
        </is>
      </c>
      <c r="B67" t="inlineStr">
        <is>
          <t>F 120 / 5 WINDOW KIT</t>
        </is>
      </c>
      <c r="C67" t="inlineStr"/>
      <c r="D67" t="inlineStr">
        <is>
          <t>FM - VORTICE</t>
        </is>
      </c>
      <c r="E67" s="1" t="n">
        <v>0</v>
      </c>
      <c r="F67" t="n">
        <v>1</v>
      </c>
      <c r="G67" t="n">
        <v>0</v>
      </c>
      <c r="H67" t="n">
        <v>2</v>
      </c>
      <c r="I67" t="n">
        <v>0</v>
      </c>
      <c r="J67" t="n">
        <v>0</v>
      </c>
      <c r="K67">
        <f>IF(H67-I67-J67&gt;0,H67-I67-J67,0)</f>
        <v/>
      </c>
      <c r="L67" s="1">
        <f>IFERROR(I67*E67,0)</f>
        <v/>
      </c>
      <c r="M67" s="1">
        <f>IFERROR(K67*E67,0)</f>
        <v/>
      </c>
    </row>
    <row r="68">
      <c r="A68" t="inlineStr">
        <is>
          <t>22133</t>
        </is>
      </c>
      <c r="B68" t="inlineStr">
        <is>
          <t>F 150 / 6 WINDOW KIT</t>
        </is>
      </c>
      <c r="C68" t="inlineStr"/>
      <c r="D68" t="inlineStr">
        <is>
          <t>FM - VORTICE</t>
        </is>
      </c>
      <c r="E68" s="1" t="n">
        <v>0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>
        <f>IF(H68-I68-J68&gt;0,H68-I68-J68,0)</f>
        <v/>
      </c>
      <c r="L68" s="1">
        <f>IFERROR(I68*E68,0)</f>
        <v/>
      </c>
      <c r="M68" s="1">
        <f>IFERROR(K68*E68,0)</f>
        <v/>
      </c>
    </row>
    <row r="69">
      <c r="A69" t="inlineStr">
        <is>
          <t>22165</t>
        </is>
      </c>
      <c r="B69" t="inlineStr">
        <is>
          <t>FG 100 FIXED GRILLE (VOR 22165)</t>
        </is>
      </c>
      <c r="C69" t="inlineStr"/>
      <c r="D69" t="inlineStr">
        <is>
          <t>FM - VORTICE</t>
        </is>
      </c>
      <c r="E69" s="1" t="n">
        <v>47.94</v>
      </c>
      <c r="F69" t="n">
        <v>1</v>
      </c>
      <c r="G69" t="n">
        <v>0</v>
      </c>
      <c r="H69" t="n">
        <v>2</v>
      </c>
      <c r="I69" t="n">
        <v>0</v>
      </c>
      <c r="J69" t="n">
        <v>0</v>
      </c>
      <c r="K69">
        <f>IF(H69-I69-J69&gt;0,H69-I69-J69,0)</f>
        <v/>
      </c>
      <c r="L69" s="1">
        <f>IFERROR(I69*E69,0)</f>
        <v/>
      </c>
      <c r="M69" s="1">
        <f>IFERROR(K69*E69,0)</f>
        <v/>
      </c>
    </row>
    <row r="70">
      <c r="A70" t="inlineStr">
        <is>
          <t>22167</t>
        </is>
      </c>
      <c r="B70" t="inlineStr">
        <is>
          <t>FG 150 FIXED GRILLE (VOR 22167)</t>
        </is>
      </c>
      <c r="C70" t="inlineStr"/>
      <c r="D70" t="inlineStr">
        <is>
          <t>FM - VORTICE</t>
        </is>
      </c>
      <c r="E70" s="1" t="n">
        <v>31.15</v>
      </c>
      <c r="F70" t="n">
        <v>1</v>
      </c>
      <c r="G70" t="n">
        <v>0</v>
      </c>
      <c r="H70" t="n">
        <v>2</v>
      </c>
      <c r="I70" t="n">
        <v>0</v>
      </c>
      <c r="J70" t="n">
        <v>0</v>
      </c>
      <c r="K70">
        <f>IF(H70-I70-J70&gt;0,H70-I70-J70,0)</f>
        <v/>
      </c>
      <c r="L70" s="1">
        <f>IFERROR(I70*E70,0)</f>
        <v/>
      </c>
      <c r="M70" s="1">
        <f>IFERROR(K70*E70,0)</f>
        <v/>
      </c>
    </row>
    <row r="71">
      <c r="A71" t="inlineStr">
        <is>
          <t>26027</t>
        </is>
      </c>
      <c r="B71" t="inlineStr">
        <is>
          <t>DEUMIDO 20</t>
        </is>
      </c>
      <c r="C71" t="inlineStr"/>
      <c r="D71" t="inlineStr">
        <is>
          <t>FM - VORTICE</t>
        </is>
      </c>
      <c r="E71" s="1" t="n">
        <v>0</v>
      </c>
      <c r="F71" t="n">
        <v>1</v>
      </c>
      <c r="G71" t="n">
        <v>0</v>
      </c>
      <c r="H71" t="n">
        <v>2</v>
      </c>
      <c r="I71" t="n">
        <v>0</v>
      </c>
      <c r="J71" t="n">
        <v>0</v>
      </c>
      <c r="K71">
        <f>IF(H71-I71-J71&gt;0,H71-I71-J71,0)</f>
        <v/>
      </c>
      <c r="L71" s="1">
        <f>IFERROR(I71*E71,0)</f>
        <v/>
      </c>
      <c r="M71" s="1">
        <f>IFERROR(K71*E71,0)</f>
        <v/>
      </c>
    </row>
    <row r="72">
      <c r="A72" t="inlineStr">
        <is>
          <t>30301</t>
        </is>
      </c>
      <c r="B72" t="inlineStr">
        <is>
          <t>C 10/2 T ATEX II 2G/D h T3/125 X Gb/Db</t>
        </is>
      </c>
      <c r="C72" t="inlineStr"/>
      <c r="D72" t="inlineStr">
        <is>
          <t>FM - VORTICE</t>
        </is>
      </c>
      <c r="E72" s="1" t="n">
        <v>0</v>
      </c>
      <c r="F72" t="n">
        <v>1</v>
      </c>
      <c r="G72" t="n">
        <v>0</v>
      </c>
      <c r="H72" t="n">
        <v>2</v>
      </c>
      <c r="I72" t="n">
        <v>0</v>
      </c>
      <c r="J72" t="n">
        <v>0</v>
      </c>
      <c r="K72">
        <f>IF(H72-I72-J72&gt;0,H72-I72-J72,0)</f>
        <v/>
      </c>
      <c r="L72" s="1">
        <f>IFERROR(I72*E72,0)</f>
        <v/>
      </c>
      <c r="M72" s="1">
        <f>IFERROR(K72*E72,0)</f>
        <v/>
      </c>
    </row>
    <row r="73">
      <c r="A73" t="inlineStr">
        <is>
          <t>30305</t>
        </is>
      </c>
      <c r="B73" t="inlineStr">
        <is>
          <t>C 20/2 T ATEX II 2G/D h T3/125 X Gb/Db</t>
        </is>
      </c>
      <c r="C73" t="inlineStr"/>
      <c r="D73" t="inlineStr">
        <is>
          <t>FM - VORTICE</t>
        </is>
      </c>
      <c r="E73" s="1" t="n">
        <v>0</v>
      </c>
      <c r="F73" t="n">
        <v>1</v>
      </c>
      <c r="G73" t="n">
        <v>0</v>
      </c>
      <c r="H73" t="n">
        <v>2</v>
      </c>
      <c r="I73" t="n">
        <v>0</v>
      </c>
      <c r="J73" t="n">
        <v>0</v>
      </c>
      <c r="K73">
        <f>IF(H73-I73-J73&gt;0,H73-I73-J73,0)</f>
        <v/>
      </c>
      <c r="L73" s="1">
        <f>IFERROR(I73*E73,0)</f>
        <v/>
      </c>
      <c r="M73" s="1">
        <f>IFERROR(K73*E73,0)</f>
        <v/>
      </c>
    </row>
    <row r="74">
      <c r="A74" t="inlineStr">
        <is>
          <t>30311</t>
        </is>
      </c>
      <c r="B74" t="inlineStr">
        <is>
          <t>C 37/4 T ATEX II 2G/D h T3/125 X Gb/Db</t>
        </is>
      </c>
      <c r="C74" t="inlineStr"/>
      <c r="D74" t="inlineStr">
        <is>
          <t>FM - VORTICE</t>
        </is>
      </c>
      <c r="E74" s="1" t="n">
        <v>0</v>
      </c>
      <c r="F74" t="n">
        <v>1</v>
      </c>
      <c r="G74" t="n">
        <v>0</v>
      </c>
      <c r="H74" t="n">
        <v>2</v>
      </c>
      <c r="I74" t="n">
        <v>0</v>
      </c>
      <c r="J74" t="n">
        <v>0</v>
      </c>
      <c r="K74">
        <f>IF(H74-I74-J74&gt;0,H74-I74-J74,0)</f>
        <v/>
      </c>
      <c r="L74" s="1">
        <f>IFERROR(I74*E74,0)</f>
        <v/>
      </c>
      <c r="M74" s="1">
        <f>IFERROR(K74*E74,0)</f>
        <v/>
      </c>
    </row>
    <row r="75">
      <c r="A75" t="inlineStr">
        <is>
          <t>40302</t>
        </is>
      </c>
      <c r="B75" t="inlineStr">
        <is>
          <t>E 304 M ATEX II 2G/D h T3/125 X Gb/Db</t>
        </is>
      </c>
      <c r="C75" t="inlineStr">
        <is>
          <t>Vortice Elettrosociali SpA</t>
        </is>
      </c>
      <c r="D75" t="inlineStr">
        <is>
          <t>FM - VORTICE</t>
        </is>
      </c>
      <c r="E75" s="1" t="n">
        <v>4791.06</v>
      </c>
      <c r="F75" t="n">
        <v>1</v>
      </c>
      <c r="G75" t="n">
        <v>0</v>
      </c>
      <c r="H75" t="n">
        <v>3</v>
      </c>
      <c r="I75" t="n">
        <v>0</v>
      </c>
      <c r="J75" t="n">
        <v>0</v>
      </c>
      <c r="K75">
        <f>IF(H75-I75-J75&gt;0,H75-I75-J75,0)</f>
        <v/>
      </c>
      <c r="L75" s="1">
        <f>IFERROR(I75*E75,0)</f>
        <v/>
      </c>
      <c r="M75" s="1">
        <f>IFERROR(K75*E75,0)</f>
        <v/>
      </c>
    </row>
    <row r="76">
      <c r="A76" t="inlineStr">
        <is>
          <t>40304</t>
        </is>
      </c>
      <c r="B76" t="inlineStr">
        <is>
          <t>E 354 M ATEX II 2G/D h T3/125 X Gb/Db</t>
        </is>
      </c>
      <c r="C76" t="inlineStr">
        <is>
          <t>Vortice Elettrosociali SpA</t>
        </is>
      </c>
      <c r="D76" t="inlineStr">
        <is>
          <t>FM - VORTICE</t>
        </is>
      </c>
      <c r="E76" s="1" t="n">
        <v>7004.13</v>
      </c>
      <c r="F76" t="n">
        <v>1</v>
      </c>
      <c r="G76" t="n">
        <v>0</v>
      </c>
      <c r="H76" t="n">
        <v>3</v>
      </c>
      <c r="I76" t="n">
        <v>0</v>
      </c>
      <c r="J76" t="n">
        <v>0</v>
      </c>
      <c r="K76">
        <f>IF(H76-I76-J76&gt;0,H76-I76-J76,0)</f>
        <v/>
      </c>
      <c r="L76" s="1">
        <f>IFERROR(I76*E76,0)</f>
        <v/>
      </c>
      <c r="M76" s="1">
        <f>IFERROR(K76*E76,0)</f>
        <v/>
      </c>
    </row>
    <row r="77">
      <c r="A77" t="inlineStr">
        <is>
          <t>40306</t>
        </is>
      </c>
      <c r="B77" t="inlineStr">
        <is>
          <t>E 404 M ATEX II 2G/D h T3/125 X Gb/Db</t>
        </is>
      </c>
      <c r="C77" t="inlineStr">
        <is>
          <t>Vortice Elettrosociali SpA</t>
        </is>
      </c>
      <c r="D77" t="inlineStr">
        <is>
          <t>FM - VORTICE</t>
        </is>
      </c>
      <c r="E77" s="1" t="n">
        <v>7909.61</v>
      </c>
      <c r="F77" t="n">
        <v>1</v>
      </c>
      <c r="G77" t="n">
        <v>0</v>
      </c>
      <c r="H77" t="n">
        <v>2</v>
      </c>
      <c r="I77" t="n">
        <v>0</v>
      </c>
      <c r="J77" t="n">
        <v>0</v>
      </c>
      <c r="K77">
        <f>IF(H77-I77-J77&gt;0,H77-I77-J77,0)</f>
        <v/>
      </c>
      <c r="L77" s="1">
        <f>IFERROR(I77*E77,0)</f>
        <v/>
      </c>
      <c r="M77" s="1">
        <f>IFERROR(K77*E77,0)</f>
        <v/>
      </c>
    </row>
    <row r="78">
      <c r="A78" t="inlineStr">
        <is>
          <t>40308</t>
        </is>
      </c>
      <c r="B78" t="inlineStr">
        <is>
          <t>E 454 M ATEX II 2G/D h T3/125 X Gb/Db</t>
        </is>
      </c>
      <c r="C78" t="inlineStr"/>
      <c r="D78" t="inlineStr">
        <is>
          <t>FM - VORTICE</t>
        </is>
      </c>
      <c r="E78" s="1" t="n">
        <v>0</v>
      </c>
      <c r="F78" t="n">
        <v>1</v>
      </c>
      <c r="G78" t="n">
        <v>0</v>
      </c>
      <c r="H78" t="n">
        <v>2</v>
      </c>
      <c r="I78" t="n">
        <v>0</v>
      </c>
      <c r="J78" t="n">
        <v>0</v>
      </c>
      <c r="K78">
        <f>IF(H78-I78-J78&gt;0,H78-I78-J78,0)</f>
        <v/>
      </c>
      <c r="L78" s="1">
        <f>IFERROR(I78*E78,0)</f>
        <v/>
      </c>
      <c r="M78" s="1">
        <f>IFERROR(K78*E78,0)</f>
        <v/>
      </c>
    </row>
    <row r="79">
      <c r="A79" t="inlineStr">
        <is>
          <t>40309</t>
        </is>
      </c>
      <c r="B79" t="inlineStr">
        <is>
          <t>E 254 T ATEX II 2G/D h T3/125 X Gb/Db</t>
        </is>
      </c>
      <c r="C79" t="inlineStr"/>
      <c r="D79" t="inlineStr">
        <is>
          <t>FM - VORTICE</t>
        </is>
      </c>
      <c r="E79" s="1" t="n">
        <v>0</v>
      </c>
      <c r="F79" t="n">
        <v>1</v>
      </c>
      <c r="G79" t="n">
        <v>0</v>
      </c>
      <c r="H79" t="n">
        <v>2</v>
      </c>
      <c r="I79" t="n">
        <v>0</v>
      </c>
      <c r="J79" t="n">
        <v>0</v>
      </c>
      <c r="K79">
        <f>IF(H79-I79-J79&gt;0,H79-I79-J79,0)</f>
        <v/>
      </c>
      <c r="L79" s="1">
        <f>IFERROR(I79*E79,0)</f>
        <v/>
      </c>
      <c r="M79" s="1">
        <f>IFERROR(K79*E79,0)</f>
        <v/>
      </c>
    </row>
    <row r="80">
      <c r="A80" t="inlineStr">
        <is>
          <t>40310</t>
        </is>
      </c>
      <c r="B80" t="inlineStr">
        <is>
          <t>E 304 T ATEX II 2G/D h T3/125 X Gb/Db</t>
        </is>
      </c>
      <c r="C80" t="inlineStr"/>
      <c r="D80" t="inlineStr">
        <is>
          <t>FM - VORTICE</t>
        </is>
      </c>
      <c r="E80" s="1" t="n">
        <v>0</v>
      </c>
      <c r="F80" t="n">
        <v>1</v>
      </c>
      <c r="G80" t="n">
        <v>0</v>
      </c>
      <c r="H80" t="n">
        <v>2</v>
      </c>
      <c r="I80" t="n">
        <v>0</v>
      </c>
      <c r="J80" t="n">
        <v>0</v>
      </c>
      <c r="K80">
        <f>IF(H80-I80-J80&gt;0,H80-I80-J80,0)</f>
        <v/>
      </c>
      <c r="L80" s="1">
        <f>IFERROR(I80*E80,0)</f>
        <v/>
      </c>
      <c r="M80" s="1">
        <f>IFERROR(K80*E80,0)</f>
        <v/>
      </c>
    </row>
    <row r="81">
      <c r="A81" t="inlineStr">
        <is>
          <t>40313</t>
        </is>
      </c>
      <c r="B81" t="inlineStr">
        <is>
          <t>E 354 T ATEX II 2G/D h T3/125 X Gb/Db</t>
        </is>
      </c>
      <c r="C81" t="inlineStr">
        <is>
          <t>Vortice Elettrosociali SpA</t>
        </is>
      </c>
      <c r="D81" t="inlineStr">
        <is>
          <t>FM - VORTICE</t>
        </is>
      </c>
      <c r="E81" s="1" t="n">
        <v>5930.81</v>
      </c>
      <c r="F81" t="n">
        <v>1</v>
      </c>
      <c r="G81" t="n">
        <v>0</v>
      </c>
      <c r="H81" t="n">
        <v>3</v>
      </c>
      <c r="I81" t="n">
        <v>0</v>
      </c>
      <c r="J81" t="n">
        <v>0</v>
      </c>
      <c r="K81">
        <f>IF(H81-I81-J81&gt;0,H81-I81-J81,0)</f>
        <v/>
      </c>
      <c r="L81" s="1">
        <f>IFERROR(I81*E81,0)</f>
        <v/>
      </c>
      <c r="M81" s="1">
        <f>IFERROR(K81*E81,0)</f>
        <v/>
      </c>
    </row>
    <row r="82">
      <c r="A82" t="inlineStr">
        <is>
          <t>40314</t>
        </is>
      </c>
      <c r="B82" t="inlineStr">
        <is>
          <t>E404 T ATEX</t>
        </is>
      </c>
      <c r="C82" t="inlineStr">
        <is>
          <t>Vortice Elettrosociali SpA</t>
        </is>
      </c>
      <c r="D82" t="inlineStr">
        <is>
          <t>FM - VORTICE</t>
        </is>
      </c>
      <c r="E82" s="1" t="n">
        <v>0</v>
      </c>
      <c r="F82" t="n">
        <v>1</v>
      </c>
      <c r="G82" t="n">
        <v>0</v>
      </c>
      <c r="H82" t="n">
        <v>3</v>
      </c>
      <c r="I82" t="n">
        <v>0</v>
      </c>
      <c r="J82" t="n">
        <v>0</v>
      </c>
      <c r="K82">
        <f>IF(H82-I82-J82&gt;0,H82-I82-J82,0)</f>
        <v/>
      </c>
      <c r="L82" s="1">
        <f>IFERROR(I82*E82,0)</f>
        <v/>
      </c>
      <c r="M82" s="1">
        <f>IFERROR(K82*E82,0)</f>
        <v/>
      </c>
    </row>
    <row r="83">
      <c r="A83" t="inlineStr">
        <is>
          <t>40315</t>
        </is>
      </c>
      <c r="B83" t="inlineStr">
        <is>
          <t>E 454 T ATEX II 2G/D h T3/125 X Gb/Db</t>
        </is>
      </c>
      <c r="C83" t="inlineStr"/>
      <c r="D83" t="inlineStr">
        <is>
          <t>FM - VORTICE</t>
        </is>
      </c>
      <c r="E83" s="1" t="n">
        <v>0</v>
      </c>
      <c r="F83" t="n">
        <v>1</v>
      </c>
      <c r="G83" t="n">
        <v>0</v>
      </c>
      <c r="H83" t="n">
        <v>2</v>
      </c>
      <c r="I83" t="n">
        <v>0</v>
      </c>
      <c r="J83" t="n">
        <v>0</v>
      </c>
      <c r="K83">
        <f>IF(H83-I83-J83&gt;0,H83-I83-J83,0)</f>
        <v/>
      </c>
      <c r="L83" s="1">
        <f>IFERROR(I83*E83,0)</f>
        <v/>
      </c>
      <c r="M83" s="1">
        <f>IFERROR(K83*E83,0)</f>
        <v/>
      </c>
    </row>
    <row r="84">
      <c r="A84" t="inlineStr">
        <is>
          <t>42227</t>
        </is>
      </c>
      <c r="B84" t="inlineStr">
        <is>
          <t>A-E 304 T</t>
        </is>
      </c>
      <c r="C84" t="inlineStr">
        <is>
          <t>Vortice Elettrosociali SpA</t>
        </is>
      </c>
      <c r="D84" t="inlineStr">
        <is>
          <t>FM - VORTICE</t>
        </is>
      </c>
      <c r="E84" s="1" t="n">
        <v>2758.05</v>
      </c>
      <c r="F84" t="n">
        <v>1</v>
      </c>
      <c r="G84" t="n">
        <v>0</v>
      </c>
      <c r="H84" t="n">
        <v>3</v>
      </c>
      <c r="I84" t="n">
        <v>0</v>
      </c>
      <c r="J84" t="n">
        <v>0</v>
      </c>
      <c r="K84">
        <f>IF(H84-I84-J84&gt;0,H84-I84-J84,0)</f>
        <v/>
      </c>
      <c r="L84" s="1">
        <f>IFERROR(I84*E84,0)</f>
        <v/>
      </c>
      <c r="M84" s="1">
        <f>IFERROR(K84*E84,0)</f>
        <v/>
      </c>
    </row>
    <row r="85">
      <c r="A85" t="inlineStr">
        <is>
          <t>42259</t>
        </is>
      </c>
      <c r="B85" t="inlineStr">
        <is>
          <t>A-E 354 T</t>
        </is>
      </c>
      <c r="C85" t="inlineStr">
        <is>
          <t>Vortice Elettrosociali SpA</t>
        </is>
      </c>
      <c r="D85" t="inlineStr">
        <is>
          <t>FM - VORTICE</t>
        </is>
      </c>
      <c r="E85" s="1" t="n">
        <v>3107.62</v>
      </c>
      <c r="F85" t="n">
        <v>1</v>
      </c>
      <c r="G85" t="n">
        <v>0</v>
      </c>
      <c r="H85" t="n">
        <v>3</v>
      </c>
      <c r="I85" t="n">
        <v>0</v>
      </c>
      <c r="J85" t="n">
        <v>0</v>
      </c>
      <c r="K85">
        <f>IF(H85-I85-J85&gt;0,H85-I85-J85,0)</f>
        <v/>
      </c>
      <c r="L85" s="1">
        <f>IFERROR(I85*E85,0)</f>
        <v/>
      </c>
      <c r="M85" s="1">
        <f>IFERROR(K85*E85,0)</f>
        <v/>
      </c>
    </row>
    <row r="86">
      <c r="A86" t="inlineStr">
        <is>
          <t>L10101250</t>
        </is>
      </c>
      <c r="B86" t="inlineStr">
        <is>
          <t>CA 250 VO In-Line Tube Fan Plastic Casing</t>
        </is>
      </c>
      <c r="C86" t="inlineStr"/>
      <c r="D86" t="inlineStr">
        <is>
          <t>FM - VORTICE</t>
        </is>
      </c>
      <c r="E86" s="1" t="n">
        <v>0</v>
      </c>
      <c r="F86" t="n">
        <v>1</v>
      </c>
      <c r="G86" t="n">
        <v>0</v>
      </c>
      <c r="H86" t="n">
        <v>2</v>
      </c>
      <c r="I86" t="n">
        <v>0</v>
      </c>
      <c r="J86" t="n">
        <v>0</v>
      </c>
      <c r="K86">
        <f>IF(H86-I86-J86&gt;0,H86-I86-J86,0)</f>
        <v/>
      </c>
      <c r="L86" s="1">
        <f>IFERROR(I86*E86,0)</f>
        <v/>
      </c>
      <c r="M86" s="1">
        <f>IFERROR(K86*E86,0)</f>
        <v/>
      </c>
    </row>
    <row r="87">
      <c r="A87" t="inlineStr">
        <is>
          <t>L10101317</t>
        </is>
      </c>
      <c r="B87" t="inlineStr">
        <is>
          <t>CA 355</t>
        </is>
      </c>
      <c r="C87" t="inlineStr"/>
      <c r="D87" t="inlineStr">
        <is>
          <t>FM - VORTICE</t>
        </is>
      </c>
      <c r="E87" s="1" t="n">
        <v>0</v>
      </c>
      <c r="F87" t="n">
        <v>1</v>
      </c>
      <c r="G87" t="n">
        <v>0</v>
      </c>
      <c r="H87" t="n">
        <v>2</v>
      </c>
      <c r="I87" t="n">
        <v>0</v>
      </c>
      <c r="J87" t="n">
        <v>0</v>
      </c>
      <c r="K87">
        <f>IF(H87-I87-J87&gt;0,H87-I87-J87,0)</f>
        <v/>
      </c>
      <c r="L87" s="1">
        <f>IFERROR(I87*E87,0)</f>
        <v/>
      </c>
      <c r="M87" s="1">
        <f>IFERROR(K87*E87,0)</f>
        <v/>
      </c>
    </row>
    <row r="88">
      <c r="A88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Fuel Surcharge</t>
        </is>
      </c>
      <c r="B2" t="inlineStr">
        <is>
          <t>Fuel Surcharge</t>
        </is>
      </c>
      <c r="C2" t="inlineStr">
        <is>
          <t>Rhenus Logistics (Pty) Ltd</t>
        </is>
      </c>
      <c r="D2" t="inlineStr">
        <is>
          <t>FREIGHT</t>
        </is>
      </c>
      <c r="E2" s="1" t="n">
        <v>81.45</v>
      </c>
      <c r="F2" t="n">
        <v>2</v>
      </c>
      <c r="G2" t="n">
        <v>0</v>
      </c>
      <c r="H2" t="n">
        <v>4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IMP0400B150A05AR19080</t>
        </is>
      </c>
      <c r="B2" t="inlineStr">
        <is>
          <t>Impeller 0400mm 'B' 150A05AR 19mm 080Frame Deg00 - 17 DEG</t>
        </is>
      </c>
      <c r="C2" t="inlineStr">
        <is>
          <t>Luft Industries Natal (Pty) Ltd</t>
        </is>
      </c>
      <c r="D2" t="inlineStr">
        <is>
          <t>IMPELLER</t>
        </is>
      </c>
      <c r="E2" s="1" t="n">
        <v>854.1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IMP0500B150A10AR28100.</t>
        </is>
      </c>
      <c r="B3" t="inlineStr">
        <is>
          <t>Impeller 0500mm 'B' 150A10AR 28mm 100Frame Deg00 - 10 DEG</t>
        </is>
      </c>
      <c r="C3" t="inlineStr">
        <is>
          <t>Luft Industries Natal (Pty) Ltd</t>
        </is>
      </c>
      <c r="D3" t="inlineStr">
        <is>
          <t>IMPELLER</t>
        </is>
      </c>
      <c r="E3" s="1" t="n">
        <v>1361.75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IMP0560B250A14AR24090</t>
        </is>
      </c>
      <c r="B4" t="inlineStr">
        <is>
          <t>Impeller 0560mm 'B' 250A14AR 24mm 090Frame Deg00 - 31 DEG</t>
        </is>
      </c>
      <c r="C4" t="inlineStr">
        <is>
          <t>Luft Industries Natal (Pty) Ltd</t>
        </is>
      </c>
      <c r="D4" t="inlineStr">
        <is>
          <t>IMPELLER</t>
        </is>
      </c>
      <c r="E4" s="1" t="n">
        <v>2098.2</v>
      </c>
      <c r="F4" t="n">
        <v>1</v>
      </c>
      <c r="G4" t="n">
        <v>0</v>
      </c>
      <c r="H4" t="n">
        <v>2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IMP0560B250A14AR28100</t>
        </is>
      </c>
      <c r="B5" t="inlineStr">
        <is>
          <t>Impeller 0560mm 'B' 250A14AR 28mm 100Frame Deg00 - 32 DEG</t>
        </is>
      </c>
      <c r="C5" t="inlineStr">
        <is>
          <t>Luft Industries Natal (Pty) Ltd</t>
        </is>
      </c>
      <c r="D5" t="inlineStr">
        <is>
          <t>IMPELLER</t>
        </is>
      </c>
      <c r="E5" s="1" t="n">
        <v>2104.7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IMP0630B150A10AR28100</t>
        </is>
      </c>
      <c r="B6" t="inlineStr">
        <is>
          <t>Impeller 0630mm 'B' 150A10AR 28mm 100Frame Deg00 - 29 DEG</t>
        </is>
      </c>
      <c r="C6" t="inlineStr">
        <is>
          <t>Luft Industries Natal (Pty) Ltd</t>
        </is>
      </c>
      <c r="D6" t="inlineStr">
        <is>
          <t>IMPELLER</t>
        </is>
      </c>
      <c r="E6" s="1" t="n">
        <v>1517.75</v>
      </c>
      <c r="F6" t="n">
        <v>1</v>
      </c>
      <c r="G6" t="n">
        <v>0</v>
      </c>
      <c r="H6" t="n">
        <v>5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IMP0900B250A14AR38132</t>
        </is>
      </c>
      <c r="B7" t="inlineStr">
        <is>
          <t>Impeller 0900mm 'B' 250A14AR 38mm 132Frame Deg00 - 15 DEG</t>
        </is>
      </c>
      <c r="C7" t="inlineStr">
        <is>
          <t>Luft Industries Natal (Pty) Ltd</t>
        </is>
      </c>
      <c r="D7" t="inlineStr">
        <is>
          <t>IMPELLER</t>
        </is>
      </c>
      <c r="E7" s="1" t="n">
        <v>2594.15</v>
      </c>
      <c r="F7" t="n">
        <v>1</v>
      </c>
      <c r="G7" t="n">
        <v>0</v>
      </c>
      <c r="H7" t="n">
        <v>5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1250MF</t>
        </is>
      </c>
      <c r="B2" t="inlineStr">
        <is>
          <t>1250 Diam Mounting Feet</t>
        </is>
      </c>
      <c r="C2" t="inlineStr">
        <is>
          <t>Air Speration</t>
        </is>
      </c>
      <c r="D2" t="inlineStr">
        <is>
          <t>M/FEET</t>
        </is>
      </c>
      <c r="E2" s="1" t="n">
        <v>1135.05</v>
      </c>
      <c r="F2" t="n">
        <v>1</v>
      </c>
      <c r="G2" t="n">
        <v>0</v>
      </c>
      <c r="H2" t="n">
        <v>3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1600MF</t>
        </is>
      </c>
      <c r="B3" t="inlineStr">
        <is>
          <t>1600 Diam Mounting Feet</t>
        </is>
      </c>
      <c r="C3" t="inlineStr">
        <is>
          <t>Air Speration</t>
        </is>
      </c>
      <c r="D3" t="inlineStr">
        <is>
          <t>M/FEET</t>
        </is>
      </c>
      <c r="E3" s="1" t="n">
        <v>1345.25</v>
      </c>
      <c r="F3" t="n">
        <v>2</v>
      </c>
      <c r="G3" t="n">
        <v>0</v>
      </c>
      <c r="H3" t="n">
        <v>5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355MF</t>
        </is>
      </c>
      <c r="B4" t="inlineStr">
        <is>
          <t>355 Diam Mounting Feet</t>
        </is>
      </c>
      <c r="C4" t="inlineStr">
        <is>
          <t>Attenu-Tec HVAC Parts</t>
        </is>
      </c>
      <c r="D4" t="inlineStr">
        <is>
          <t>M/FEET</t>
        </is>
      </c>
      <c r="E4" s="1" t="n">
        <v>90.15000000000001</v>
      </c>
      <c r="F4" t="n">
        <v>6</v>
      </c>
      <c r="G4" t="n">
        <v>0</v>
      </c>
      <c r="H4" t="n">
        <v>14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450MF</t>
        </is>
      </c>
      <c r="B5" t="inlineStr">
        <is>
          <t>450 Diam Mounting Feet</t>
        </is>
      </c>
      <c r="C5" t="inlineStr"/>
      <c r="D5" t="inlineStr">
        <is>
          <t>M/FEET</t>
        </is>
      </c>
      <c r="E5" s="1" t="n">
        <v>0</v>
      </c>
      <c r="F5" t="n">
        <v>2</v>
      </c>
      <c r="G5" t="n">
        <v>0</v>
      </c>
      <c r="H5" t="n">
        <v>10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460MF</t>
        </is>
      </c>
      <c r="B6" t="inlineStr">
        <is>
          <t>460 Diam Mounting Feet</t>
        </is>
      </c>
      <c r="C6" t="inlineStr">
        <is>
          <t>GALVAGLOW (PTY) LTD</t>
        </is>
      </c>
      <c r="D6" t="inlineStr">
        <is>
          <t>M/FEET</t>
        </is>
      </c>
      <c r="E6" s="1" t="n">
        <v>0</v>
      </c>
      <c r="F6" t="n">
        <v>2</v>
      </c>
      <c r="G6" t="n">
        <v>0</v>
      </c>
      <c r="H6" t="n">
        <v>10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EXD-D90B5</t>
        </is>
      </c>
      <c r="B2" t="inlineStr">
        <is>
          <t>EXD D90B5 CAST IRON FLANGE</t>
        </is>
      </c>
      <c r="C2" t="inlineStr">
        <is>
          <t>Shaka Machinery (Pty) Ltd</t>
        </is>
      </c>
      <c r="D2" t="inlineStr">
        <is>
          <t>MOTOR FLANGE</t>
        </is>
      </c>
      <c r="E2" s="1" t="n">
        <v>0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0.3741PM</t>
        </is>
      </c>
      <c r="B2" t="inlineStr">
        <is>
          <t>0.37KW 4P 220V Pad Mount Motor</t>
        </is>
      </c>
      <c r="C2" t="inlineStr">
        <is>
          <t>WEG South Africa</t>
        </is>
      </c>
      <c r="D2" t="inlineStr">
        <is>
          <t>MOTORS</t>
        </is>
      </c>
      <c r="E2" s="1" t="n">
        <v>1430</v>
      </c>
      <c r="F2" t="n">
        <v>1</v>
      </c>
      <c r="G2" t="n">
        <v>0</v>
      </c>
      <c r="H2" t="n">
        <v>3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0.5541PM</t>
        </is>
      </c>
      <c r="B3" t="inlineStr">
        <is>
          <t>0.55KW 4P 220V Pad Mount Motor</t>
        </is>
      </c>
      <c r="C3" t="inlineStr">
        <is>
          <t>ASKARI ELECTRIC (PTY) LTD</t>
        </is>
      </c>
      <c r="D3" t="inlineStr">
        <is>
          <t>MOTORS</t>
        </is>
      </c>
      <c r="E3" s="1" t="n">
        <v>1480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EXD-2.2-2-4-B3</t>
        </is>
      </c>
      <c r="B4" t="inlineStr">
        <is>
          <t>2.2KW 2P 230/400V B3 EXD IE2 FS90L</t>
        </is>
      </c>
      <c r="C4" t="inlineStr">
        <is>
          <t>Shaka Machinery (Pty) Ltd</t>
        </is>
      </c>
      <c r="D4" t="inlineStr">
        <is>
          <t>MOTORS</t>
        </is>
      </c>
      <c r="E4" s="1" t="n">
        <v>7175</v>
      </c>
      <c r="F4" t="n">
        <v>1</v>
      </c>
      <c r="G4" t="n">
        <v>0</v>
      </c>
      <c r="H4" t="n">
        <v>2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WEG SMOKEX PAD W22</t>
        </is>
      </c>
      <c r="B5" t="inlineStr">
        <is>
          <t>18.5KW 4P 380V IP55 300 C/2HR MOTOR</t>
        </is>
      </c>
      <c r="C5" t="inlineStr">
        <is>
          <t>WEG South Africa</t>
        </is>
      </c>
      <c r="D5" t="inlineStr">
        <is>
          <t>MOTORS</t>
        </is>
      </c>
      <c r="E5" s="1" t="n">
        <v>26234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SH01</t>
        </is>
      </c>
      <c r="B2" t="inlineStr">
        <is>
          <t>HAND STRAPPING 12X 1500M - BLACK</t>
        </is>
      </c>
      <c r="C2" t="inlineStr">
        <is>
          <t>Advantage Air Africa Pty Ltd</t>
        </is>
      </c>
      <c r="D2" t="inlineStr">
        <is>
          <t>PACKAGING</t>
        </is>
      </c>
      <c r="E2" s="1" t="n">
        <v>496.99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GALV PLATE</t>
        </is>
      </c>
      <c r="B2" t="inlineStr">
        <is>
          <t>3mm Galvanised Plate</t>
        </is>
      </c>
      <c r="C2" t="inlineStr">
        <is>
          <t>Kart Shop TA Ultimate Laser Cutting</t>
        </is>
      </c>
      <c r="D2" t="inlineStr">
        <is>
          <t>PLATE</t>
        </is>
      </c>
      <c r="E2" s="1" t="n">
        <v>2334</v>
      </c>
      <c r="F2" t="n">
        <v>1</v>
      </c>
      <c r="G2" t="n">
        <v>0</v>
      </c>
      <c r="H2" t="n">
        <v>6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UV 710/3/6</t>
        </is>
      </c>
      <c r="B2" t="inlineStr">
        <is>
          <t>UV710/3/6</t>
        </is>
      </c>
      <c r="C2" t="inlineStr">
        <is>
          <t>Centrifab (Pty) Ltd</t>
        </is>
      </c>
      <c r="D2" t="inlineStr">
        <is>
          <t>Roof Fans</t>
        </is>
      </c>
      <c r="E2" s="1" t="n">
        <v>14073</v>
      </c>
      <c r="F2" t="n">
        <v>1</v>
      </c>
      <c r="G2" t="n">
        <v>0</v>
      </c>
      <c r="H2" t="n">
        <v>3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1008011</t>
        </is>
      </c>
      <c r="B2" t="inlineStr">
        <is>
          <t>CPV/ATEX-1325-2T/2G Ex db</t>
        </is>
      </c>
      <c r="C2" t="inlineStr"/>
      <c r="D2" t="inlineStr">
        <is>
          <t>Sodeca</t>
        </is>
      </c>
      <c r="E2" s="1" t="n">
        <v>0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1016614</t>
        </is>
      </c>
      <c r="B3" t="inlineStr">
        <is>
          <t>HEP-31-2M/H 220-240V</t>
        </is>
      </c>
      <c r="C3" t="inlineStr">
        <is>
          <t>SODECA</t>
        </is>
      </c>
      <c r="D3" t="inlineStr">
        <is>
          <t>Sodeca</t>
        </is>
      </c>
      <c r="E3" s="1" t="n">
        <v>2971.02</v>
      </c>
      <c r="F3" t="n">
        <v>2</v>
      </c>
      <c r="G3" t="n">
        <v>0</v>
      </c>
      <c r="H3" t="n">
        <v>4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-GLF12.5-S</t>
        </is>
      </c>
      <c r="B2" t="inlineStr">
        <is>
          <t>Galvanised Industrial Extractor Fan+ Grill &amp; Louvers 1380sq, 380V,1.1kw, 440rpm, 44000m3/hr</t>
        </is>
      </c>
      <c r="C2" t="inlineStr">
        <is>
          <t>AF Fans CC</t>
        </is>
      </c>
      <c r="D2" t="inlineStr">
        <is>
          <t>Uncategorized</t>
        </is>
      </c>
      <c r="E2" s="1" t="n">
        <v>6515.6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0.552P</t>
        </is>
      </c>
      <c r="B3" t="inlineStr">
        <is>
          <t>0.55Kw 2P 380V Pad Motor</t>
        </is>
      </c>
      <c r="C3" t="inlineStr">
        <is>
          <t>ACTOM</t>
        </is>
      </c>
      <c r="D3" t="inlineStr">
        <is>
          <t>Uncategorized</t>
        </is>
      </c>
      <c r="E3" s="1" t="n">
        <v>1359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0.752P</t>
        </is>
      </c>
      <c r="B4" t="inlineStr">
        <is>
          <t>0.75Kw 2Pole 380V Pad Mount</t>
        </is>
      </c>
      <c r="C4" t="inlineStr">
        <is>
          <t>ACTOM</t>
        </is>
      </c>
      <c r="D4" t="inlineStr">
        <is>
          <t>Uncategorized</t>
        </is>
      </c>
      <c r="E4" s="1" t="n">
        <v>1591</v>
      </c>
      <c r="F4" t="n">
        <v>4</v>
      </c>
      <c r="G4" t="n">
        <v>0</v>
      </c>
      <c r="H4" t="n">
        <v>10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0.7541FM</t>
        </is>
      </c>
      <c r="B5" t="inlineStr">
        <is>
          <t>0.75Kw 220v Foot Mount</t>
        </is>
      </c>
      <c r="C5" t="inlineStr">
        <is>
          <t>ACTOM</t>
        </is>
      </c>
      <c r="D5" t="inlineStr">
        <is>
          <t>Uncategorized</t>
        </is>
      </c>
      <c r="E5" s="1" t="n">
        <v>1880</v>
      </c>
      <c r="F5" t="n">
        <v>1</v>
      </c>
      <c r="G5" t="n">
        <v>0</v>
      </c>
      <c r="H5" t="n">
        <v>3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0.7541PM</t>
        </is>
      </c>
      <c r="B6" t="inlineStr">
        <is>
          <t>0.75Kw 220v Pad Mount</t>
        </is>
      </c>
      <c r="C6" t="inlineStr">
        <is>
          <t>ASKARI ELECTRIC (PTY) LTD</t>
        </is>
      </c>
      <c r="D6" t="inlineStr">
        <is>
          <t>Uncategorized</t>
        </is>
      </c>
      <c r="E6" s="1" t="n">
        <v>1630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0.7563PM</t>
        </is>
      </c>
      <c r="B7" t="inlineStr">
        <is>
          <t>0.75kW 6P 380V Pad Mount Motor</t>
        </is>
      </c>
      <c r="C7" t="inlineStr">
        <is>
          <t>ACTOM</t>
        </is>
      </c>
      <c r="D7" t="inlineStr">
        <is>
          <t>Uncategorized</t>
        </is>
      </c>
      <c r="E7" s="1" t="n">
        <v>1834</v>
      </c>
      <c r="F7" t="n">
        <v>2</v>
      </c>
      <c r="G7" t="n">
        <v>0</v>
      </c>
      <c r="H7" t="n">
        <v>4</v>
      </c>
      <c r="I7" t="n">
        <v>0</v>
      </c>
      <c r="J7" t="n">
        <v>0</v>
      </c>
      <c r="K7">
        <f>IF(H7-I7-J7&gt;0,H7-I7-J7,0)</f>
        <v/>
      </c>
      <c r="L7" s="1">
        <f>IFERROR(I7*E7,0)</f>
        <v/>
      </c>
      <c r="M7" s="1">
        <f>IFERROR(K7*E7,0)</f>
        <v/>
      </c>
    </row>
    <row r="8">
      <c r="A8" t="inlineStr">
        <is>
          <t>0.75kW VSD</t>
        </is>
      </c>
      <c r="B8" t="inlineStr">
        <is>
          <t>Variable Speed Controller</t>
        </is>
      </c>
      <c r="C8" t="inlineStr">
        <is>
          <t>Drive Dynamics (Pty) Ltd</t>
        </is>
      </c>
      <c r="D8" t="inlineStr">
        <is>
          <t>Uncategorized</t>
        </is>
      </c>
      <c r="E8" s="1" t="n">
        <v>2710</v>
      </c>
      <c r="F8" t="n">
        <v>1</v>
      </c>
      <c r="G8" t="n">
        <v>0</v>
      </c>
      <c r="H8" t="n">
        <v>3</v>
      </c>
      <c r="I8" t="n">
        <v>0</v>
      </c>
      <c r="J8" t="n">
        <v>0</v>
      </c>
      <c r="K8">
        <f>IF(H8-I8-J8&gt;0,H8-I8-J8,0)</f>
        <v/>
      </c>
      <c r="L8" s="1">
        <f>IFERROR(I8*E8,0)</f>
        <v/>
      </c>
      <c r="M8" s="1">
        <f>IFERROR(K8*E8,0)</f>
        <v/>
      </c>
    </row>
    <row r="9">
      <c r="A9" t="inlineStr">
        <is>
          <t>0010</t>
        </is>
      </c>
      <c r="B9" t="inlineStr">
        <is>
          <t>SPARE MOTOR - TIRACAMINO - Vortice Spare Motor for Tiracamino 0.12kW 4P 230V</t>
        </is>
      </c>
      <c r="C9" t="inlineStr"/>
      <c r="D9" t="inlineStr">
        <is>
          <t>Uncategorized</t>
        </is>
      </c>
      <c r="E9" s="1" t="n">
        <v>0</v>
      </c>
      <c r="F9" t="n">
        <v>1</v>
      </c>
      <c r="G9" t="n">
        <v>0</v>
      </c>
      <c r="H9" t="n">
        <v>6</v>
      </c>
      <c r="I9" t="n">
        <v>0</v>
      </c>
      <c r="J9" t="n">
        <v>0</v>
      </c>
      <c r="K9">
        <f>IF(H9-I9-J9&gt;0,H9-I9-J9,0)</f>
        <v/>
      </c>
      <c r="L9" s="1">
        <f>IFERROR(I9*E9,0)</f>
        <v/>
      </c>
      <c r="M9" s="1">
        <f>IFERROR(K9*E9,0)</f>
        <v/>
      </c>
    </row>
    <row r="10">
      <c r="A10" t="inlineStr">
        <is>
          <t>009</t>
        </is>
      </c>
      <c r="B10" t="inlineStr">
        <is>
          <t>HVF/75N c/w 0.24kW 750mm 220V</t>
        </is>
      </c>
      <c r="C10" t="inlineStr"/>
      <c r="D10" t="inlineStr">
        <is>
          <t>Uncategorized</t>
        </is>
      </c>
      <c r="E10" s="1" t="n">
        <v>0</v>
      </c>
      <c r="F10" t="n">
        <v>10</v>
      </c>
      <c r="G10" t="n">
        <v>0</v>
      </c>
      <c r="H10" t="n">
        <v>50</v>
      </c>
      <c r="I10" t="n">
        <v>0</v>
      </c>
      <c r="J10" t="n">
        <v>0</v>
      </c>
      <c r="K10">
        <f>IF(H10-I10-J10&gt;0,H10-I10-J10,0)</f>
        <v/>
      </c>
      <c r="L10" s="1">
        <f>IFERROR(I10*E10,0)</f>
        <v/>
      </c>
      <c r="M10" s="1">
        <f>IFERROR(K10*E10,0)</f>
        <v/>
      </c>
    </row>
    <row r="11">
      <c r="A11" t="inlineStr">
        <is>
          <t>02880</t>
        </is>
      </c>
      <c r="B11" t="inlineStr">
        <is>
          <t>PRA LOCKNUT BRASS No 0 &amp; 1 - M20</t>
        </is>
      </c>
      <c r="C11" t="inlineStr">
        <is>
          <t>Pratley (Pty) Ltd</t>
        </is>
      </c>
      <c r="D11" t="inlineStr">
        <is>
          <t>Uncategorized</t>
        </is>
      </c>
      <c r="E11" s="1" t="n">
        <v>4276.18</v>
      </c>
      <c r="F11" t="n">
        <v>1</v>
      </c>
      <c r="G11" t="n">
        <v>0</v>
      </c>
      <c r="H11" t="n">
        <v>2</v>
      </c>
      <c r="I11" t="n">
        <v>0</v>
      </c>
      <c r="J11" t="n">
        <v>0</v>
      </c>
      <c r="K11">
        <f>IF(H11-I11-J11&gt;0,H11-I11-J11,0)</f>
        <v/>
      </c>
      <c r="L11" s="1">
        <f>IFERROR(I11*E11,0)</f>
        <v/>
      </c>
      <c r="M11" s="1">
        <f>IFERROR(K11*E11,0)</f>
        <v/>
      </c>
    </row>
    <row r="12">
      <c r="A12" t="inlineStr">
        <is>
          <t>053575</t>
        </is>
      </c>
      <c r="B12" t="inlineStr">
        <is>
          <t>AFROX PICKELING PASTE AOX 1LT</t>
        </is>
      </c>
      <c r="C12" t="inlineStr">
        <is>
          <t>INTROWELD CC</t>
        </is>
      </c>
      <c r="D12" t="inlineStr">
        <is>
          <t>Uncategorized</t>
        </is>
      </c>
      <c r="E12" s="1" t="n">
        <v>520</v>
      </c>
      <c r="F12" t="n">
        <v>1</v>
      </c>
      <c r="G12" t="n">
        <v>0</v>
      </c>
      <c r="H12" t="n">
        <v>5</v>
      </c>
      <c r="I12" t="n">
        <v>0</v>
      </c>
      <c r="J12" t="n">
        <v>0</v>
      </c>
      <c r="K12">
        <f>IF(H12-I12-J12&gt;0,H12-I12-J12,0)</f>
        <v/>
      </c>
      <c r="L12" s="1">
        <f>IFERROR(I12*E12,0)</f>
        <v/>
      </c>
      <c r="M12" s="1">
        <f>IFERROR(K12*E12,0)</f>
        <v/>
      </c>
    </row>
    <row r="13">
      <c r="A13" t="inlineStr">
        <is>
          <t>1 IP 65</t>
        </is>
      </c>
      <c r="B13" t="inlineStr">
        <is>
          <t>Change IP Rating - Motor Size 90Watts 2Pole 380V to IP 65</t>
        </is>
      </c>
      <c r="C13" t="inlineStr">
        <is>
          <t>Luck and King</t>
        </is>
      </c>
      <c r="D13" t="inlineStr">
        <is>
          <t>Uncategorized</t>
        </is>
      </c>
      <c r="E13" s="1" t="n">
        <v>1004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>
        <f>IF(H13-I13-J13&gt;0,H13-I13-J13,0)</f>
        <v/>
      </c>
      <c r="L13" s="1">
        <f>IFERROR(I13*E13,0)</f>
        <v/>
      </c>
      <c r="M13" s="1">
        <f>IFERROR(K13*E13,0)</f>
        <v/>
      </c>
    </row>
    <row r="14">
      <c r="A14" t="inlineStr">
        <is>
          <t>1.1.2Pad</t>
        </is>
      </c>
      <c r="B14" t="inlineStr">
        <is>
          <t>1.1Kw 2P 380V Pad Mount Motor</t>
        </is>
      </c>
      <c r="C14" t="inlineStr">
        <is>
          <t>ACTOM</t>
        </is>
      </c>
      <c r="D14" t="inlineStr">
        <is>
          <t>Uncategorized</t>
        </is>
      </c>
      <c r="E14" s="1" t="n">
        <v>1768.63</v>
      </c>
      <c r="F14" t="n">
        <v>1</v>
      </c>
      <c r="G14" t="n">
        <v>0</v>
      </c>
      <c r="H14" t="n">
        <v>3</v>
      </c>
      <c r="I14" t="n">
        <v>0</v>
      </c>
      <c r="J14" t="n">
        <v>0</v>
      </c>
      <c r="K14">
        <f>IF(H14-I14-J14&gt;0,H14-I14-J14,0)</f>
        <v/>
      </c>
      <c r="L14" s="1">
        <f>IFERROR(I14*E14,0)</f>
        <v/>
      </c>
      <c r="M14" s="1">
        <f>IFERROR(K14*E14,0)</f>
        <v/>
      </c>
    </row>
    <row r="15">
      <c r="A15" t="inlineStr">
        <is>
          <t>1.141PM</t>
        </is>
      </c>
      <c r="B15" t="inlineStr">
        <is>
          <t>1.1kW 4P 220V Pad Mount Motor</t>
        </is>
      </c>
      <c r="C15" t="inlineStr">
        <is>
          <t>ASKARI ELECTRIC (PTY) LTD</t>
        </is>
      </c>
      <c r="D15" t="inlineStr">
        <is>
          <t>Uncategorized</t>
        </is>
      </c>
      <c r="E15" s="1" t="n">
        <v>2276</v>
      </c>
      <c r="F15" t="n">
        <v>1</v>
      </c>
      <c r="G15" t="n">
        <v>0</v>
      </c>
      <c r="H15" t="n">
        <v>3</v>
      </c>
      <c r="I15" t="n">
        <v>0</v>
      </c>
      <c r="J15" t="n">
        <v>0</v>
      </c>
      <c r="K15">
        <f>IF(H15-I15-J15&gt;0,H15-I15-J15,0)</f>
        <v/>
      </c>
      <c r="L15" s="1">
        <f>IFERROR(I15*E15,0)</f>
        <v/>
      </c>
      <c r="M15" s="1">
        <f>IFERROR(K15*E15,0)</f>
        <v/>
      </c>
    </row>
    <row r="16">
      <c r="A16" t="inlineStr">
        <is>
          <t>1.143FM</t>
        </is>
      </c>
      <c r="B16" t="inlineStr">
        <is>
          <t>1.1kW 4P 400V B3 QL3</t>
        </is>
      </c>
      <c r="C16" t="inlineStr">
        <is>
          <t>ACTOM</t>
        </is>
      </c>
      <c r="D16" t="inlineStr">
        <is>
          <t>Uncategorized</t>
        </is>
      </c>
      <c r="E16" s="1" t="n">
        <v>1864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>
        <f>IF(H16-I16-J16&gt;0,H16-I16-J16,0)</f>
        <v/>
      </c>
      <c r="L16" s="1">
        <f>IFERROR(I16*E16,0)</f>
        <v/>
      </c>
      <c r="M16" s="1">
        <f>IFERROR(K16*E16,0)</f>
        <v/>
      </c>
    </row>
    <row r="17">
      <c r="A17" t="inlineStr">
        <is>
          <t>1.163PM</t>
        </is>
      </c>
      <c r="B17" t="inlineStr">
        <is>
          <t>1.1kW 6P 380V Pad Mount Motor</t>
        </is>
      </c>
      <c r="C17" t="inlineStr">
        <is>
          <t>WEG South Africa</t>
        </is>
      </c>
      <c r="D17" t="inlineStr">
        <is>
          <t>Uncategorized</t>
        </is>
      </c>
      <c r="E17" s="1" t="n">
        <v>2430</v>
      </c>
      <c r="F17" t="n">
        <v>1</v>
      </c>
      <c r="G17" t="n">
        <v>0</v>
      </c>
      <c r="H17" t="n">
        <v>5</v>
      </c>
      <c r="I17" t="n">
        <v>0</v>
      </c>
      <c r="J17" t="n">
        <v>0</v>
      </c>
      <c r="K17">
        <f>IF(H17-I17-J17&gt;0,H17-I17-J17,0)</f>
        <v/>
      </c>
      <c r="L17" s="1">
        <f>IFERROR(I17*E17,0)</f>
        <v/>
      </c>
      <c r="M17" s="1">
        <f>IFERROR(K17*E17,0)</f>
        <v/>
      </c>
    </row>
    <row r="18">
      <c r="A18" t="inlineStr">
        <is>
          <t>1.563PM</t>
        </is>
      </c>
      <c r="B18" t="inlineStr">
        <is>
          <t>1.5kW 6P 380V Pad Mount Motor</t>
        </is>
      </c>
      <c r="C18" t="inlineStr">
        <is>
          <t>ACTOM</t>
        </is>
      </c>
      <c r="D18" t="inlineStr">
        <is>
          <t>Uncategorized</t>
        </is>
      </c>
      <c r="E18" s="1" t="n">
        <v>2681</v>
      </c>
      <c r="F18" t="n">
        <v>14</v>
      </c>
      <c r="G18" t="n">
        <v>0</v>
      </c>
      <c r="H18" t="n">
        <v>34</v>
      </c>
      <c r="I18" t="n">
        <v>0</v>
      </c>
      <c r="J18" t="n">
        <v>0</v>
      </c>
      <c r="K18">
        <f>IF(H18-I18-J18&gt;0,H18-I18-J18,0)</f>
        <v/>
      </c>
      <c r="L18" s="1">
        <f>IFERROR(I18*E18,0)</f>
        <v/>
      </c>
      <c r="M18" s="1">
        <f>IFERROR(K18*E18,0)</f>
        <v/>
      </c>
    </row>
    <row r="19">
      <c r="A19" t="inlineStr">
        <is>
          <t>1.583PM</t>
        </is>
      </c>
      <c r="B19" t="inlineStr">
        <is>
          <t>1.5KW 8P 380V Pad Mount Motor</t>
        </is>
      </c>
      <c r="C19" t="inlineStr">
        <is>
          <t>Bearing Man Group</t>
        </is>
      </c>
      <c r="D19" t="inlineStr">
        <is>
          <t>Uncategorized</t>
        </is>
      </c>
      <c r="E19" s="1" t="n">
        <v>2853.04</v>
      </c>
      <c r="F19" t="n">
        <v>1</v>
      </c>
      <c r="G19" t="n">
        <v>0</v>
      </c>
      <c r="H19" t="n">
        <v>2</v>
      </c>
      <c r="I19" t="n">
        <v>0</v>
      </c>
      <c r="J19" t="n">
        <v>0</v>
      </c>
      <c r="K19">
        <f>IF(H19-I19-J19&gt;0,H19-I19-J19,0)</f>
        <v/>
      </c>
      <c r="L19" s="1">
        <f>IFERROR(I19*E19,0)</f>
        <v/>
      </c>
      <c r="M19" s="1">
        <f>IFERROR(K19*E19,0)</f>
        <v/>
      </c>
    </row>
    <row r="20">
      <c r="A20" t="inlineStr">
        <is>
          <t>100/112 FR 27.8</t>
        </is>
      </c>
      <c r="B20" t="inlineStr">
        <is>
          <t>100/112 Motor Frame - 27.8 mm OD Spacer</t>
        </is>
      </c>
      <c r="C20" t="inlineStr">
        <is>
          <t>Hulmak Engineering cc</t>
        </is>
      </c>
      <c r="D20" t="inlineStr">
        <is>
          <t>Uncategorized</t>
        </is>
      </c>
      <c r="E20" s="1" t="n">
        <v>30</v>
      </c>
      <c r="F20" t="n">
        <v>6</v>
      </c>
      <c r="G20" t="n">
        <v>0</v>
      </c>
      <c r="H20" t="n">
        <v>31</v>
      </c>
      <c r="I20" t="n">
        <v>0</v>
      </c>
      <c r="J20" t="n">
        <v>0</v>
      </c>
      <c r="K20">
        <f>IF(H20-I20-J20&gt;0,H20-I20-J20,0)</f>
        <v/>
      </c>
      <c r="L20" s="1">
        <f>IFERROR(I20*E20,0)</f>
        <v/>
      </c>
      <c r="M20" s="1">
        <f>IFERROR(K20*E20,0)</f>
        <v/>
      </c>
    </row>
    <row r="21">
      <c r="A21" t="inlineStr">
        <is>
          <t>1000 HDG</t>
        </is>
      </c>
      <c r="B21" t="inlineStr">
        <is>
          <t>1000SC 1000mm Diam HDG Screen</t>
        </is>
      </c>
      <c r="C21" t="inlineStr">
        <is>
          <t>Heinmor Wire Products CC</t>
        </is>
      </c>
      <c r="D21" t="inlineStr">
        <is>
          <t>Uncategorized</t>
        </is>
      </c>
      <c r="E21" s="1" t="n">
        <v>876</v>
      </c>
      <c r="F21" t="n">
        <v>1</v>
      </c>
      <c r="G21" t="n">
        <v>0</v>
      </c>
      <c r="H21" t="n">
        <v>5</v>
      </c>
      <c r="I21" t="n">
        <v>0</v>
      </c>
      <c r="J21" t="n">
        <v>0</v>
      </c>
      <c r="K21">
        <f>IF(H21-I21-J21&gt;0,H21-I21-J21,0)</f>
        <v/>
      </c>
      <c r="L21" s="1">
        <f>IFERROR(I21*E21,0)</f>
        <v/>
      </c>
      <c r="M21" s="1">
        <f>IFERROR(K21*E21,0)</f>
        <v/>
      </c>
    </row>
    <row r="22">
      <c r="A22" t="inlineStr">
        <is>
          <t>1000 ICS</t>
        </is>
      </c>
      <c r="B22" t="inlineStr">
        <is>
          <t>Majax Inlet Cone &amp; Screen</t>
        </is>
      </c>
      <c r="C22" t="inlineStr"/>
      <c r="D22" t="inlineStr">
        <is>
          <t>Uncategorized</t>
        </is>
      </c>
      <c r="E22" s="1" t="n">
        <v>0</v>
      </c>
      <c r="F22" t="n">
        <v>1</v>
      </c>
      <c r="G22" t="n">
        <v>0</v>
      </c>
      <c r="H22" t="n">
        <v>5</v>
      </c>
      <c r="I22" t="n">
        <v>0</v>
      </c>
      <c r="J22" t="n">
        <v>0</v>
      </c>
      <c r="K22">
        <f>IF(H22-I22-J22&gt;0,H22-I22-J22,0)</f>
        <v/>
      </c>
      <c r="L22" s="1">
        <f>IFERROR(I22*E22,0)</f>
        <v/>
      </c>
      <c r="M22" s="1">
        <f>IFERROR(K22*E22,0)</f>
        <v/>
      </c>
    </row>
    <row r="23">
      <c r="A23" t="inlineStr">
        <is>
          <t>1000 SIL</t>
        </is>
      </c>
      <c r="B23" t="inlineStr">
        <is>
          <t>Inlet Silencer 1000 1.5D (1000mm Diameter to reduce noise on the dischargeside)</t>
        </is>
      </c>
      <c r="C23" t="inlineStr"/>
      <c r="D23" t="inlineStr">
        <is>
          <t>Uncategorized</t>
        </is>
      </c>
      <c r="E23" s="1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>
        <f>IF(H23-I23-J23&gt;0,H23-I23-J23,0)</f>
        <v/>
      </c>
      <c r="L23" s="1">
        <f>IFERROR(I23*E23,0)</f>
        <v/>
      </c>
      <c r="M23" s="1">
        <f>IFERROR(K23*E23,0)</f>
        <v/>
      </c>
    </row>
    <row r="24">
      <c r="A24" t="inlineStr">
        <is>
          <t>1000 X 500 MM</t>
        </is>
      </c>
      <c r="B24" t="inlineStr">
        <is>
          <t>Sand Trap Air Louver</t>
        </is>
      </c>
      <c r="C24" t="inlineStr"/>
      <c r="D24" t="inlineStr">
        <is>
          <t>Uncategorized</t>
        </is>
      </c>
      <c r="E24" s="1" t="n">
        <v>0</v>
      </c>
      <c r="F24" t="n">
        <v>1</v>
      </c>
      <c r="G24" t="n">
        <v>0</v>
      </c>
      <c r="H24" t="n">
        <v>5</v>
      </c>
      <c r="I24" t="n">
        <v>0</v>
      </c>
      <c r="J24" t="n">
        <v>0</v>
      </c>
      <c r="K24">
        <f>IF(H24-I24-J24&gt;0,H24-I24-J24,0)</f>
        <v/>
      </c>
      <c r="L24" s="1">
        <f>IFERROR(I24*E24,0)</f>
        <v/>
      </c>
      <c r="M24" s="1">
        <f>IFERROR(K24*E24,0)</f>
        <v/>
      </c>
    </row>
    <row r="25">
      <c r="A25" t="inlineStr">
        <is>
          <t>10000000</t>
        </is>
      </c>
      <c r="B25" t="inlineStr">
        <is>
          <t>Impeller 0560mm 'B' 250A14PR19mm 080Frame</t>
        </is>
      </c>
      <c r="C25" t="inlineStr">
        <is>
          <t>Luft Industries Natal (Pty) Ltd</t>
        </is>
      </c>
      <c r="D25" t="inlineStr">
        <is>
          <t>Uncategorized</t>
        </is>
      </c>
      <c r="E25" s="1" t="n">
        <v>1612</v>
      </c>
      <c r="F25" t="n">
        <v>1</v>
      </c>
      <c r="G25" t="n">
        <v>0</v>
      </c>
      <c r="H25" t="n">
        <v>2</v>
      </c>
      <c r="I25" t="n">
        <v>0</v>
      </c>
      <c r="J25" t="n">
        <v>0</v>
      </c>
      <c r="K25">
        <f>IF(H25-I25-J25&gt;0,H25-I25-J25,0)</f>
        <v/>
      </c>
      <c r="L25" s="1">
        <f>IFERROR(I25*E25,0)</f>
        <v/>
      </c>
      <c r="M25" s="1">
        <f>IFERROR(K25*E25,0)</f>
        <v/>
      </c>
    </row>
    <row r="26">
      <c r="A26" t="inlineStr">
        <is>
          <t>1000002</t>
        </is>
      </c>
      <c r="B26" t="inlineStr">
        <is>
          <t>Monthly Retainer - March 2025</t>
        </is>
      </c>
      <c r="C26" t="inlineStr">
        <is>
          <t>KOBILAN PILLAY AND ASSOCIATES</t>
        </is>
      </c>
      <c r="D26" t="inlineStr">
        <is>
          <t>Uncategorized</t>
        </is>
      </c>
      <c r="E26" s="1" t="n">
        <v>4000</v>
      </c>
      <c r="F26" t="n">
        <v>1</v>
      </c>
      <c r="G26" t="n">
        <v>0</v>
      </c>
      <c r="H26" t="n">
        <v>2</v>
      </c>
      <c r="I26" t="n">
        <v>0</v>
      </c>
      <c r="J26" t="n">
        <v>0</v>
      </c>
      <c r="K26">
        <f>IF(H26-I26-J26&gt;0,H26-I26-J26,0)</f>
        <v/>
      </c>
      <c r="L26" s="1">
        <f>IFERROR(I26*E26,0)</f>
        <v/>
      </c>
      <c r="M26" s="1">
        <f>IFERROR(K26*E26,0)</f>
        <v/>
      </c>
    </row>
    <row r="27">
      <c r="A27" t="inlineStr">
        <is>
          <t>1000013.</t>
        </is>
      </c>
      <c r="B27" t="inlineStr">
        <is>
          <t>HCD-30-4M 230V. 50/60Hz</t>
        </is>
      </c>
      <c r="C27" t="inlineStr">
        <is>
          <t>SODECA</t>
        </is>
      </c>
      <c r="D27" t="inlineStr">
        <is>
          <t>Uncategorized</t>
        </is>
      </c>
      <c r="E27" s="1" t="n">
        <v>1635.63</v>
      </c>
      <c r="F27" t="n">
        <v>17</v>
      </c>
      <c r="G27" t="n">
        <v>0</v>
      </c>
      <c r="H27" t="n">
        <v>33</v>
      </c>
      <c r="I27" t="n">
        <v>0</v>
      </c>
      <c r="J27" t="n">
        <v>0</v>
      </c>
      <c r="K27">
        <f>IF(H27-I27-J27&gt;0,H27-I27-J27,0)</f>
        <v/>
      </c>
      <c r="L27" s="1">
        <f>IFERROR(I27*E27,0)</f>
        <v/>
      </c>
      <c r="M27" s="1">
        <f>IFERROR(K27*E27,0)</f>
        <v/>
      </c>
    </row>
    <row r="28">
      <c r="A28" t="inlineStr">
        <is>
          <t>100081</t>
        </is>
      </c>
      <c r="B28" t="inlineStr">
        <is>
          <t>OPTECH OUTER LENS 110 X 90</t>
        </is>
      </c>
      <c r="C28" t="inlineStr">
        <is>
          <t>INTROWELD CC</t>
        </is>
      </c>
      <c r="D28" t="inlineStr">
        <is>
          <t>Uncategorized</t>
        </is>
      </c>
      <c r="E28" s="1" t="n">
        <v>0</v>
      </c>
      <c r="F28" t="n">
        <v>2</v>
      </c>
      <c r="G28" t="n">
        <v>0</v>
      </c>
      <c r="H28" t="n">
        <v>12</v>
      </c>
      <c r="I28" t="n">
        <v>0</v>
      </c>
      <c r="J28" t="n">
        <v>0</v>
      </c>
      <c r="K28">
        <f>IF(H28-I28-J28&gt;0,H28-I28-J28,0)</f>
        <v/>
      </c>
      <c r="L28" s="1">
        <f>IFERROR(I28*E28,0)</f>
        <v/>
      </c>
      <c r="M28" s="1">
        <f>IFERROR(K28*E28,0)</f>
        <v/>
      </c>
    </row>
    <row r="29">
      <c r="A29" t="inlineStr">
        <is>
          <t>100083</t>
        </is>
      </c>
      <c r="B29" t="inlineStr">
        <is>
          <t>OPTECH INNER LENS 108 X 51</t>
        </is>
      </c>
      <c r="C29" t="inlineStr">
        <is>
          <t>INTROWELD CC</t>
        </is>
      </c>
      <c r="D29" t="inlineStr">
        <is>
          <t>Uncategorized</t>
        </is>
      </c>
      <c r="E29" s="1" t="n">
        <v>0</v>
      </c>
      <c r="F29" t="n">
        <v>2</v>
      </c>
      <c r="G29" t="n">
        <v>0</v>
      </c>
      <c r="H29" t="n">
        <v>12</v>
      </c>
      <c r="I29" t="n">
        <v>0</v>
      </c>
      <c r="J29" t="n">
        <v>0</v>
      </c>
      <c r="K29">
        <f>IF(H29-I29-J29&gt;0,H29-I29-J29,0)</f>
        <v/>
      </c>
      <c r="L29" s="1">
        <f>IFERROR(I29*E29,0)</f>
        <v/>
      </c>
      <c r="M29" s="1">
        <f>IFERROR(K29*E29,0)</f>
        <v/>
      </c>
    </row>
    <row r="30">
      <c r="A30" t="inlineStr">
        <is>
          <t>100087</t>
        </is>
      </c>
      <c r="B30" t="inlineStr">
        <is>
          <t>SOLAR HELMET ADJUSTABLE (84-210300-11</t>
        </is>
      </c>
      <c r="C30" t="inlineStr">
        <is>
          <t>INTROWELD CC</t>
        </is>
      </c>
      <c r="D30" t="inlineStr">
        <is>
          <t>Uncategorized</t>
        </is>
      </c>
      <c r="E30" s="1" t="n">
        <v>0</v>
      </c>
      <c r="F30" t="n">
        <v>1</v>
      </c>
      <c r="G30" t="n">
        <v>0</v>
      </c>
      <c r="H30" t="n">
        <v>2</v>
      </c>
      <c r="I30" t="n">
        <v>0</v>
      </c>
      <c r="J30" t="n">
        <v>0</v>
      </c>
      <c r="K30">
        <f>IF(H30-I30-J30&gt;0,H30-I30-J30,0)</f>
        <v/>
      </c>
      <c r="L30" s="1">
        <f>IFERROR(I30*E30,0)</f>
        <v/>
      </c>
      <c r="M30" s="1">
        <f>IFERROR(K30*E30,0)</f>
        <v/>
      </c>
    </row>
    <row r="31">
      <c r="A31" t="inlineStr">
        <is>
          <t>1000IC</t>
        </is>
      </c>
      <c r="B31" t="inlineStr">
        <is>
          <t>Majax Inlet Cone</t>
        </is>
      </c>
      <c r="C31" t="inlineStr">
        <is>
          <t>Attenu-Tec HVAC Parts</t>
        </is>
      </c>
      <c r="D31" t="inlineStr">
        <is>
          <t>Uncategorized</t>
        </is>
      </c>
      <c r="E31" s="1" t="n">
        <v>1478</v>
      </c>
      <c r="F31" t="n">
        <v>8</v>
      </c>
      <c r="G31" t="n">
        <v>0</v>
      </c>
      <c r="H31" t="n">
        <v>40</v>
      </c>
      <c r="I31" t="n">
        <v>0</v>
      </c>
      <c r="J31" t="n">
        <v>0</v>
      </c>
      <c r="K31">
        <f>IF(H31-I31-J31&gt;0,H31-I31-J31,0)</f>
        <v/>
      </c>
      <c r="L31" s="1">
        <f>IFERROR(I31*E31,0)</f>
        <v/>
      </c>
      <c r="M31" s="1">
        <f>IFERROR(K31*E31,0)</f>
        <v/>
      </c>
    </row>
    <row r="32">
      <c r="A32" t="inlineStr">
        <is>
          <t>1000MBP09</t>
        </is>
      </c>
      <c r="B32" t="inlineStr">
        <is>
          <t>1-0350-240 P09 - 1000 Motor Bracket</t>
        </is>
      </c>
      <c r="C32" t="inlineStr">
        <is>
          <t>Kart Shop TA Ultimate Laser Cutting</t>
        </is>
      </c>
      <c r="D32" t="inlineStr">
        <is>
          <t>Uncategorized</t>
        </is>
      </c>
      <c r="E32" s="1" t="n">
        <v>72.61</v>
      </c>
      <c r="F32" t="n">
        <v>1</v>
      </c>
      <c r="G32" t="n">
        <v>0</v>
      </c>
      <c r="H32" t="n">
        <v>4</v>
      </c>
      <c r="I32" t="n">
        <v>0</v>
      </c>
      <c r="J32" t="n">
        <v>0</v>
      </c>
      <c r="K32">
        <f>IF(H32-I32-J32&gt;0,H32-I32-J32,0)</f>
        <v/>
      </c>
      <c r="L32" s="1">
        <f>IFERROR(I32*E32,0)</f>
        <v/>
      </c>
      <c r="M32" s="1">
        <f>IFERROR(K32*E32,0)</f>
        <v/>
      </c>
    </row>
    <row r="33">
      <c r="A33" t="inlineStr">
        <is>
          <t>1006663</t>
        </is>
      </c>
      <c r="B33" t="inlineStr">
        <is>
          <t>B-150</t>
        </is>
      </c>
      <c r="C33" t="inlineStr">
        <is>
          <t>SODECA</t>
        </is>
      </c>
      <c r="D33" t="inlineStr">
        <is>
          <t>Uncategorized</t>
        </is>
      </c>
      <c r="E33" s="1" t="n">
        <v>553.55</v>
      </c>
      <c r="F33" t="n">
        <v>22</v>
      </c>
      <c r="G33" t="n">
        <v>0</v>
      </c>
      <c r="H33" t="n">
        <v>38</v>
      </c>
      <c r="I33" t="n">
        <v>0</v>
      </c>
      <c r="J33" t="n">
        <v>0</v>
      </c>
      <c r="K33">
        <f>IF(H33-I33-J33&gt;0,H33-I33-J33,0)</f>
        <v/>
      </c>
      <c r="L33" s="1">
        <f>IFERROR(I33*E33,0)</f>
        <v/>
      </c>
      <c r="M33" s="1">
        <f>IFERROR(K33*E33,0)</f>
        <v/>
      </c>
    </row>
    <row r="34">
      <c r="A34" t="inlineStr">
        <is>
          <t>1006974</t>
        </is>
      </c>
      <c r="B34" t="inlineStr">
        <is>
          <t>RPA-20</t>
        </is>
      </c>
      <c r="C34" t="inlineStr">
        <is>
          <t>SODECA</t>
        </is>
      </c>
      <c r="D34" t="inlineStr">
        <is>
          <t>Uncategorized</t>
        </is>
      </c>
      <c r="E34" s="1" t="n">
        <v>281.92</v>
      </c>
      <c r="F34" t="n">
        <v>11</v>
      </c>
      <c r="G34" t="n">
        <v>0</v>
      </c>
      <c r="H34" t="n">
        <v>19</v>
      </c>
      <c r="I34" t="n">
        <v>0</v>
      </c>
      <c r="J34" t="n">
        <v>0</v>
      </c>
      <c r="K34">
        <f>IF(H34-I34-J34&gt;0,H34-I34-J34,0)</f>
        <v/>
      </c>
      <c r="L34" s="1">
        <f>IFERROR(I34*E34,0)</f>
        <v/>
      </c>
      <c r="M34" s="1">
        <f>IFERROR(K34*E34,0)</f>
        <v/>
      </c>
    </row>
    <row r="35">
      <c r="A35" t="inlineStr">
        <is>
          <t>1007140</t>
        </is>
      </c>
      <c r="B35" t="inlineStr">
        <is>
          <t>ACE-150</t>
        </is>
      </c>
      <c r="C35" t="inlineStr">
        <is>
          <t>SODECA</t>
        </is>
      </c>
      <c r="D35" t="inlineStr">
        <is>
          <t>Uncategorized</t>
        </is>
      </c>
      <c r="E35" s="1" t="n">
        <v>754.8099999999999</v>
      </c>
      <c r="F35" t="n">
        <v>11</v>
      </c>
      <c r="G35" t="n">
        <v>0</v>
      </c>
      <c r="H35" t="n">
        <v>19</v>
      </c>
      <c r="I35" t="n">
        <v>0</v>
      </c>
      <c r="J35" t="n">
        <v>0</v>
      </c>
      <c r="K35">
        <f>IF(H35-I35-J35&gt;0,H35-I35-J35,0)</f>
        <v/>
      </c>
      <c r="L35" s="1">
        <f>IFERROR(I35*E35,0)</f>
        <v/>
      </c>
      <c r="M35" s="1">
        <f>IFERROR(K35*E35,0)</f>
        <v/>
      </c>
    </row>
    <row r="36">
      <c r="A36" t="inlineStr">
        <is>
          <t>1009166</t>
        </is>
      </c>
      <c r="B36" t="inlineStr">
        <is>
          <t>CBD-2828-4M 3/4/HE</t>
        </is>
      </c>
      <c r="C36" t="inlineStr">
        <is>
          <t>SODECA</t>
        </is>
      </c>
      <c r="D36" t="inlineStr">
        <is>
          <t>Uncategorized</t>
        </is>
      </c>
      <c r="E36" s="1" t="n">
        <v>3198.31</v>
      </c>
      <c r="F36" t="n">
        <v>22</v>
      </c>
      <c r="G36" t="n">
        <v>0</v>
      </c>
      <c r="H36" t="n">
        <v>44</v>
      </c>
      <c r="I36" t="n">
        <v>0</v>
      </c>
      <c r="J36" t="n">
        <v>0</v>
      </c>
      <c r="K36">
        <f>IF(H36-I36-J36&gt;0,H36-I36-J36,0)</f>
        <v/>
      </c>
      <c r="L36" s="1">
        <f>IFERROR(I36*E36,0)</f>
        <v/>
      </c>
      <c r="M36" s="1">
        <f>IFERROR(K36*E36,0)</f>
        <v/>
      </c>
    </row>
    <row r="37">
      <c r="A37" t="inlineStr">
        <is>
          <t>100NB x 135mm</t>
        </is>
      </c>
      <c r="B37" t="inlineStr">
        <is>
          <t>100NB x 135mm Style 10 Linkflex 100% (Inner &amp; Outer Tube) EPDM rubber bellows c/w mild steel</t>
        </is>
      </c>
      <c r="C37" t="inlineStr">
        <is>
          <t>Malcolm Arnot CC ( Linkflex)</t>
        </is>
      </c>
      <c r="D37" t="inlineStr">
        <is>
          <t>Uncategorized</t>
        </is>
      </c>
      <c r="E37" s="1" t="n">
        <v>2020</v>
      </c>
      <c r="F37" t="n">
        <v>8</v>
      </c>
      <c r="G37" t="n">
        <v>0</v>
      </c>
      <c r="H37" t="n">
        <v>42</v>
      </c>
      <c r="I37" t="n">
        <v>0</v>
      </c>
      <c r="J37" t="n">
        <v>0</v>
      </c>
      <c r="K37">
        <f>IF(H37-I37-J37&gt;0,H37-I37-J37,0)</f>
        <v/>
      </c>
      <c r="L37" s="1">
        <f>IFERROR(I37*E37,0)</f>
        <v/>
      </c>
      <c r="M37" s="1">
        <f>IFERROR(K37*E37,0)</f>
        <v/>
      </c>
    </row>
    <row r="38">
      <c r="A38" t="inlineStr">
        <is>
          <t>1010405</t>
        </is>
      </c>
      <c r="B38" t="inlineStr">
        <is>
          <t>CAM 550-2T-5.5 230/400V. IE3</t>
        </is>
      </c>
      <c r="C38" t="inlineStr">
        <is>
          <t>SODECA</t>
        </is>
      </c>
      <c r="D38" t="inlineStr">
        <is>
          <t>Uncategorized</t>
        </is>
      </c>
      <c r="E38" s="1" t="n">
        <v>20655.41</v>
      </c>
      <c r="F38" t="n">
        <v>2</v>
      </c>
      <c r="G38" t="n">
        <v>0</v>
      </c>
      <c r="H38" t="n">
        <v>6</v>
      </c>
      <c r="I38" t="n">
        <v>0</v>
      </c>
      <c r="J38" t="n">
        <v>0</v>
      </c>
      <c r="K38">
        <f>IF(H38-I38-J38&gt;0,H38-I38-J38,0)</f>
        <v/>
      </c>
      <c r="L38" s="1">
        <f>IFERROR(I38*E38,0)</f>
        <v/>
      </c>
      <c r="M38" s="1">
        <f>IFERROR(K38*E38,0)</f>
        <v/>
      </c>
    </row>
    <row r="39">
      <c r="A39" t="inlineStr">
        <is>
          <t>101065</t>
        </is>
      </c>
      <c r="B39" t="inlineStr">
        <is>
          <t>ER70S MILD STEEL MIG WIRE 1.0MM</t>
        </is>
      </c>
      <c r="C39" t="inlineStr">
        <is>
          <t>INTROWELD CC</t>
        </is>
      </c>
      <c r="D39" t="inlineStr">
        <is>
          <t>Uncategorized</t>
        </is>
      </c>
      <c r="E39" s="1" t="n">
        <v>35</v>
      </c>
      <c r="F39" t="n">
        <v>30</v>
      </c>
      <c r="G39" t="n">
        <v>0</v>
      </c>
      <c r="H39" t="n">
        <v>150</v>
      </c>
      <c r="I39" t="n">
        <v>0</v>
      </c>
      <c r="J39" t="n">
        <v>0</v>
      </c>
      <c r="K39">
        <f>IF(H39-I39-J39&gt;0,H39-I39-J39,0)</f>
        <v/>
      </c>
      <c r="L39" s="1">
        <f>IFERROR(I39*E39,0)</f>
        <v/>
      </c>
      <c r="M39" s="1">
        <f>IFERROR(K39*E39,0)</f>
        <v/>
      </c>
    </row>
    <row r="40">
      <c r="A40" t="inlineStr">
        <is>
          <t>1012-2010-A</t>
        </is>
      </c>
      <c r="B40" t="inlineStr">
        <is>
          <t>SQUARE COMBINATION SET 4PC DASQUA</t>
        </is>
      </c>
      <c r="C40" t="inlineStr">
        <is>
          <t>SPARES 2000 CC t/a SHARP-RITE</t>
        </is>
      </c>
      <c r="D40" t="inlineStr">
        <is>
          <t>Uncategorized</t>
        </is>
      </c>
      <c r="E40" s="1" t="n">
        <v>1500</v>
      </c>
      <c r="F40" t="n">
        <v>1</v>
      </c>
      <c r="G40" t="n">
        <v>0</v>
      </c>
      <c r="H40" t="n">
        <v>3</v>
      </c>
      <c r="I40" t="n">
        <v>0</v>
      </c>
      <c r="J40" t="n">
        <v>0</v>
      </c>
      <c r="K40">
        <f>IF(H40-I40-J40&gt;0,H40-I40-J40,0)</f>
        <v/>
      </c>
      <c r="L40" s="1">
        <f>IFERROR(I40*E40,0)</f>
        <v/>
      </c>
      <c r="M40" s="1">
        <f>IFERROR(K40*E40,0)</f>
        <v/>
      </c>
    </row>
    <row r="41">
      <c r="A41" t="inlineStr">
        <is>
          <t>1012392</t>
        </is>
      </c>
      <c r="B41" t="inlineStr">
        <is>
          <t>CMP-38-2M/E 230V</t>
        </is>
      </c>
      <c r="C41" t="inlineStr">
        <is>
          <t>SODECA</t>
        </is>
      </c>
      <c r="D41" t="inlineStr">
        <is>
          <t>Uncategorized</t>
        </is>
      </c>
      <c r="E41" s="1" t="n">
        <v>2093.91</v>
      </c>
      <c r="F41" t="n">
        <v>4</v>
      </c>
      <c r="G41" t="n">
        <v>0</v>
      </c>
      <c r="H41" t="n">
        <v>7</v>
      </c>
      <c r="I41" t="n">
        <v>0</v>
      </c>
      <c r="J41" t="n">
        <v>0</v>
      </c>
      <c r="K41">
        <f>IF(H41-I41-J41&gt;0,H41-I41-J41,0)</f>
        <v/>
      </c>
      <c r="L41" s="1">
        <f>IFERROR(I41*E41,0)</f>
        <v/>
      </c>
      <c r="M41" s="1">
        <f>IFERROR(K41*E41,0)</f>
        <v/>
      </c>
    </row>
    <row r="42">
      <c r="A42" t="inlineStr">
        <is>
          <t>101397</t>
        </is>
      </c>
      <c r="B42" t="inlineStr">
        <is>
          <t>ANTI SPATTER 500ML</t>
        </is>
      </c>
      <c r="C42" t="inlineStr">
        <is>
          <t>INTROWELD CC</t>
        </is>
      </c>
      <c r="D42" t="inlineStr">
        <is>
          <t>Uncategorized</t>
        </is>
      </c>
      <c r="E42" s="1" t="n">
        <v>75.06999999999999</v>
      </c>
      <c r="F42" t="n">
        <v>10</v>
      </c>
      <c r="G42" t="n">
        <v>0</v>
      </c>
      <c r="H42" t="n">
        <v>50</v>
      </c>
      <c r="I42" t="n">
        <v>0</v>
      </c>
      <c r="J42" t="n">
        <v>0</v>
      </c>
      <c r="K42">
        <f>IF(H42-I42-J42&gt;0,H42-I42-J42,0)</f>
        <v/>
      </c>
      <c r="L42" s="1">
        <f>IFERROR(I42*E42,0)</f>
        <v/>
      </c>
      <c r="M42" s="1">
        <f>IFERROR(K42*E42,0)</f>
        <v/>
      </c>
    </row>
    <row r="43">
      <c r="A43" t="inlineStr">
        <is>
          <t>1016608</t>
        </is>
      </c>
      <c r="B43" t="inlineStr">
        <is>
          <t>HEP-25-2T/H 220-240/380-415V</t>
        </is>
      </c>
      <c r="C43" t="inlineStr">
        <is>
          <t>SODECA</t>
        </is>
      </c>
      <c r="D43" t="inlineStr">
        <is>
          <t>Uncategorized</t>
        </is>
      </c>
      <c r="E43" s="1" t="n">
        <v>3617.41</v>
      </c>
      <c r="F43" t="n">
        <v>8</v>
      </c>
      <c r="G43" t="n">
        <v>0</v>
      </c>
      <c r="H43" t="n">
        <v>14</v>
      </c>
      <c r="I43" t="n">
        <v>0</v>
      </c>
      <c r="J43" t="n">
        <v>0</v>
      </c>
      <c r="K43">
        <f>IF(H43-I43-J43&gt;0,H43-I43-J43,0)</f>
        <v/>
      </c>
      <c r="L43" s="1">
        <f>IFERROR(I43*E43,0)</f>
        <v/>
      </c>
      <c r="M43" s="1">
        <f>IFERROR(K43*E43,0)</f>
        <v/>
      </c>
    </row>
    <row r="44">
      <c r="A44" t="inlineStr">
        <is>
          <t>1030701</t>
        </is>
      </c>
      <c r="B44" t="inlineStr">
        <is>
          <t>TIRACANO</t>
        </is>
      </c>
      <c r="C44" t="inlineStr">
        <is>
          <t>SODECA</t>
        </is>
      </c>
      <c r="D44" t="inlineStr">
        <is>
          <t>Uncategorized</t>
        </is>
      </c>
      <c r="E44" s="1" t="n">
        <v>4831.25</v>
      </c>
      <c r="F44" t="n">
        <v>7</v>
      </c>
      <c r="G44" t="n">
        <v>0</v>
      </c>
      <c r="H44" t="n">
        <v>17</v>
      </c>
      <c r="I44" t="n">
        <v>0</v>
      </c>
      <c r="J44" t="n">
        <v>20</v>
      </c>
      <c r="K44">
        <f>IF(H44-I44-J44&gt;0,H44-I44-J44,0)</f>
        <v/>
      </c>
      <c r="L44" s="1">
        <f>IFERROR(I44*E44,0)</f>
        <v/>
      </c>
      <c r="M44" s="1">
        <f>IFERROR(K44*E44,0)</f>
        <v/>
      </c>
    </row>
    <row r="45">
      <c r="A45" t="inlineStr">
        <is>
          <t>1034783</t>
        </is>
      </c>
      <c r="B45" t="inlineStr">
        <is>
          <t>NEOLINEO-125/V</t>
        </is>
      </c>
      <c r="C45" t="inlineStr">
        <is>
          <t>SODECA</t>
        </is>
      </c>
      <c r="D45" t="inlineStr">
        <is>
          <t>Uncategorized</t>
        </is>
      </c>
      <c r="E45" s="1" t="n">
        <v>357.27</v>
      </c>
      <c r="F45" t="n">
        <v>52</v>
      </c>
      <c r="G45" t="n">
        <v>0</v>
      </c>
      <c r="H45" t="n">
        <v>104</v>
      </c>
      <c r="I45" t="n">
        <v>0</v>
      </c>
      <c r="J45" t="n">
        <v>0</v>
      </c>
      <c r="K45">
        <f>IF(H45-I45-J45&gt;0,H45-I45-J45,0)</f>
        <v/>
      </c>
      <c r="L45" s="1">
        <f>IFERROR(I45*E45,0)</f>
        <v/>
      </c>
      <c r="M45" s="1">
        <f>IFERROR(K45*E45,0)</f>
        <v/>
      </c>
    </row>
    <row r="46">
      <c r="A46" t="inlineStr">
        <is>
          <t>106X3SPA</t>
        </is>
      </c>
      <c r="B46" t="inlineStr">
        <is>
          <t>PULLEY FRICTION BELT V-WEDGE 3 GROOVE SPA 1610 TAPER 106MM FENNER</t>
        </is>
      </c>
      <c r="C46" t="inlineStr">
        <is>
          <t>Bearing Man Group</t>
        </is>
      </c>
      <c r="D46" t="inlineStr">
        <is>
          <t>Uncategorized</t>
        </is>
      </c>
      <c r="E46" s="1" t="n">
        <v>232.51</v>
      </c>
      <c r="F46" t="n">
        <v>1</v>
      </c>
      <c r="G46" t="n">
        <v>0</v>
      </c>
      <c r="H46" t="n">
        <v>5</v>
      </c>
      <c r="I46" t="n">
        <v>0</v>
      </c>
      <c r="J46" t="n">
        <v>0</v>
      </c>
      <c r="K46">
        <f>IF(H46-I46-J46&gt;0,H46-I46-J46,0)</f>
        <v/>
      </c>
      <c r="L46" s="1">
        <f>IFERROR(I46*E46,0)</f>
        <v/>
      </c>
      <c r="M46" s="1">
        <f>IFERROR(K46*E46,0)</f>
        <v/>
      </c>
    </row>
    <row r="47">
      <c r="A47" t="inlineStr">
        <is>
          <t>1100999</t>
        </is>
      </c>
      <c r="B47" t="inlineStr">
        <is>
          <t>Rental Sharp BP 30C25 Copier</t>
        </is>
      </c>
      <c r="C47" t="inlineStr">
        <is>
          <t>CRS Corporate Rental Solutions (Pty) Ltd</t>
        </is>
      </c>
      <c r="D47" t="inlineStr">
        <is>
          <t>Uncategorized</t>
        </is>
      </c>
      <c r="E47" s="1" t="n">
        <v>1388.54</v>
      </c>
      <c r="F47" t="n">
        <v>1</v>
      </c>
      <c r="G47" t="n">
        <v>0</v>
      </c>
      <c r="H47" t="n">
        <v>2</v>
      </c>
      <c r="I47" t="n">
        <v>0</v>
      </c>
      <c r="J47" t="n">
        <v>0</v>
      </c>
      <c r="K47">
        <f>IF(H47-I47-J47&gt;0,H47-I47-J47,0)</f>
        <v/>
      </c>
      <c r="L47" s="1">
        <f>IFERROR(I47*E47,0)</f>
        <v/>
      </c>
      <c r="M47" s="1">
        <f>IFERROR(K47*E47,0)</f>
        <v/>
      </c>
    </row>
    <row r="48">
      <c r="A48" t="inlineStr">
        <is>
          <t>112 TBLOCK AL F</t>
        </is>
      </c>
      <c r="B48" t="inlineStr">
        <is>
          <t>BMG MOTORLINE SPARES</t>
        </is>
      </c>
      <c r="C48" t="inlineStr">
        <is>
          <t>Bearing Man Group</t>
        </is>
      </c>
      <c r="D48" t="inlineStr">
        <is>
          <t>Uncategorized</t>
        </is>
      </c>
      <c r="E48" s="1" t="n">
        <v>83.2</v>
      </c>
      <c r="F48" t="n">
        <v>2</v>
      </c>
      <c r="G48" t="n">
        <v>0</v>
      </c>
      <c r="H48" t="n">
        <v>4</v>
      </c>
      <c r="I48" t="n">
        <v>0</v>
      </c>
      <c r="J48" t="n">
        <v>0</v>
      </c>
      <c r="K48">
        <f>IF(H48-I48-J48&gt;0,H48-I48-J48,0)</f>
        <v/>
      </c>
      <c r="L48" s="1">
        <f>IFERROR(I48*E48,0)</f>
        <v/>
      </c>
      <c r="M48" s="1">
        <f>IFERROR(K48*E48,0)</f>
        <v/>
      </c>
    </row>
    <row r="49">
      <c r="A49" t="inlineStr">
        <is>
          <t>112525</t>
        </is>
      </c>
      <c r="B49" t="inlineStr">
        <is>
          <t>11Kw 2P 525V motor to suit 630 Fans</t>
        </is>
      </c>
      <c r="C49" t="inlineStr">
        <is>
          <t>ACTOM</t>
        </is>
      </c>
      <c r="D49" t="inlineStr">
        <is>
          <t>Uncategorized</t>
        </is>
      </c>
      <c r="E49" s="1" t="n">
        <v>11439</v>
      </c>
      <c r="F49" t="n">
        <v>2</v>
      </c>
      <c r="G49" t="n">
        <v>0</v>
      </c>
      <c r="H49" t="n">
        <v>7</v>
      </c>
      <c r="I49" t="n">
        <v>0</v>
      </c>
      <c r="J49" t="n">
        <v>0</v>
      </c>
      <c r="K49">
        <f>IF(H49-I49-J49&gt;0,H49-I49-J49,0)</f>
        <v/>
      </c>
      <c r="L49" s="1">
        <f>IFERROR(I49*E49,0)</f>
        <v/>
      </c>
      <c r="M49" s="1">
        <f>IFERROR(K49*E49,0)</f>
        <v/>
      </c>
    </row>
    <row r="50">
      <c r="A50" t="inlineStr">
        <is>
          <t>112X3SPA</t>
        </is>
      </c>
      <c r="B50" t="inlineStr">
        <is>
          <t>PULLEY FRICTION BELT V-WEDGE 3 GROOVE SPA 2012 TAPER 112MM FENNER</t>
        </is>
      </c>
      <c r="C50" t="inlineStr">
        <is>
          <t>Bearing Man Group</t>
        </is>
      </c>
      <c r="D50" t="inlineStr">
        <is>
          <t>Uncategorized</t>
        </is>
      </c>
      <c r="E50" s="1" t="n">
        <v>243.11</v>
      </c>
      <c r="F50" t="n">
        <v>1</v>
      </c>
      <c r="G50" t="n">
        <v>0</v>
      </c>
      <c r="H50" t="n">
        <v>3</v>
      </c>
      <c r="I50" t="n">
        <v>0</v>
      </c>
      <c r="J50" t="n">
        <v>0</v>
      </c>
      <c r="K50">
        <f>IF(H50-I50-J50&gt;0,H50-I50-J50,0)</f>
        <v/>
      </c>
      <c r="L50" s="1">
        <f>IFERROR(I50*E50,0)</f>
        <v/>
      </c>
      <c r="M50" s="1">
        <f>IFERROR(K50*E50,0)</f>
        <v/>
      </c>
    </row>
    <row r="51">
      <c r="A51" t="inlineStr">
        <is>
          <t>1143.</t>
        </is>
      </c>
      <c r="B51" t="inlineStr">
        <is>
          <t>11kW 4Pole 525V B3 NV3 IE1 Cast Iron</t>
        </is>
      </c>
      <c r="C51" t="inlineStr">
        <is>
          <t>ACTOM</t>
        </is>
      </c>
      <c r="D51" t="inlineStr">
        <is>
          <t>Uncategorized</t>
        </is>
      </c>
      <c r="E51" s="1" t="n">
        <v>8185</v>
      </c>
      <c r="F51" t="n">
        <v>1</v>
      </c>
      <c r="G51" t="n">
        <v>0</v>
      </c>
      <c r="H51" t="n">
        <v>5</v>
      </c>
      <c r="I51" t="n">
        <v>0</v>
      </c>
      <c r="J51" t="n">
        <v>0</v>
      </c>
      <c r="K51">
        <f>IF(H51-I51-J51&gt;0,H51-I51-J51,0)</f>
        <v/>
      </c>
      <c r="L51" s="1">
        <f>IFERROR(I51*E51,0)</f>
        <v/>
      </c>
      <c r="M51" s="1">
        <f>IFERROR(K51*E51,0)</f>
        <v/>
      </c>
    </row>
    <row r="52">
      <c r="A52" t="inlineStr">
        <is>
          <t>1143PM</t>
        </is>
      </c>
      <c r="B52" t="inlineStr">
        <is>
          <t>11KW 4 POLE 380V Pad Mount Motor</t>
        </is>
      </c>
      <c r="C52" t="inlineStr">
        <is>
          <t>WEG South Africa</t>
        </is>
      </c>
      <c r="D52" t="inlineStr">
        <is>
          <t>Uncategorized</t>
        </is>
      </c>
      <c r="E52" s="1" t="n">
        <v>7897.17</v>
      </c>
      <c r="F52" t="n">
        <v>2</v>
      </c>
      <c r="G52" t="n">
        <v>0</v>
      </c>
      <c r="H52" t="n">
        <v>8</v>
      </c>
      <c r="I52" t="n">
        <v>0</v>
      </c>
      <c r="J52" t="n">
        <v>0</v>
      </c>
      <c r="K52">
        <f>IF(H52-I52-J52&gt;0,H52-I52-J52,0)</f>
        <v/>
      </c>
      <c r="L52" s="1">
        <f>IFERROR(I52*E52,0)</f>
        <v/>
      </c>
      <c r="M52" s="1">
        <f>IFERROR(K52*E52,0)</f>
        <v/>
      </c>
    </row>
    <row r="53">
      <c r="A53" t="inlineStr">
        <is>
          <t>118X2SPA.</t>
        </is>
      </c>
      <c r="B53" t="inlineStr">
        <is>
          <t>PULLEY FRICTION BELT V-WEDGE 2 GROOVESPA 1610 TAPER 118MM FENNER</t>
        </is>
      </c>
      <c r="C53" t="inlineStr">
        <is>
          <t>Bearing Man Group</t>
        </is>
      </c>
      <c r="D53" t="inlineStr">
        <is>
          <t>Uncategorized</t>
        </is>
      </c>
      <c r="E53" s="1" t="n">
        <v>220.95</v>
      </c>
      <c r="F53" t="n">
        <v>1</v>
      </c>
      <c r="G53" t="n">
        <v>0</v>
      </c>
      <c r="H53" t="n">
        <v>5</v>
      </c>
      <c r="I53" t="n">
        <v>0</v>
      </c>
      <c r="J53" t="n">
        <v>0</v>
      </c>
      <c r="K53">
        <f>IF(H53-I53-J53&gt;0,H53-I53-J53,0)</f>
        <v/>
      </c>
      <c r="L53" s="1">
        <f>IFERROR(I53*E53,0)</f>
        <v/>
      </c>
      <c r="M53" s="1">
        <f>IFERROR(K53*E53,0)</f>
        <v/>
      </c>
    </row>
    <row r="54">
      <c r="A54" t="inlineStr">
        <is>
          <t>118X3SPA</t>
        </is>
      </c>
      <c r="B54" t="inlineStr">
        <is>
          <t>PULLEY FRICTION BELT V-WEDGE 3 GROOVE SPA 2012 TAPER 118MM FENNER</t>
        </is>
      </c>
      <c r="C54" t="inlineStr">
        <is>
          <t>Bearing Man Group</t>
        </is>
      </c>
      <c r="D54" t="inlineStr">
        <is>
          <t>Uncategorized</t>
        </is>
      </c>
      <c r="E54" s="1" t="n">
        <v>309.09</v>
      </c>
      <c r="F54" t="n">
        <v>1</v>
      </c>
      <c r="G54" t="n">
        <v>0</v>
      </c>
      <c r="H54" t="n">
        <v>2</v>
      </c>
      <c r="I54" t="n">
        <v>0</v>
      </c>
      <c r="J54" t="n">
        <v>0</v>
      </c>
      <c r="K54">
        <f>IF(H54-I54-J54&gt;0,H54-I54-J54,0)</f>
        <v/>
      </c>
      <c r="L54" s="1">
        <f>IFERROR(I54*E54,0)</f>
        <v/>
      </c>
      <c r="M54" s="1">
        <f>IFERROR(K54*E54,0)</f>
        <v/>
      </c>
    </row>
    <row r="55">
      <c r="A55" t="inlineStr">
        <is>
          <t>1200000</t>
        </is>
      </c>
      <c r="B55" t="inlineStr">
        <is>
          <t>Insurance</t>
        </is>
      </c>
      <c r="C55" t="inlineStr">
        <is>
          <t>CRS Corporate Rental Solutions (Pty) Ltd</t>
        </is>
      </c>
      <c r="D55" t="inlineStr">
        <is>
          <t>Uncategorized</t>
        </is>
      </c>
      <c r="E55" s="1" t="n">
        <v>252.53</v>
      </c>
      <c r="F55" t="n">
        <v>1</v>
      </c>
      <c r="G55" t="n">
        <v>0</v>
      </c>
      <c r="H55" t="n">
        <v>2</v>
      </c>
      <c r="I55" t="n">
        <v>0</v>
      </c>
      <c r="J55" t="n">
        <v>0</v>
      </c>
      <c r="K55">
        <f>IF(H55-I55-J55&gt;0,H55-I55-J55,0)</f>
        <v/>
      </c>
      <c r="L55" s="1">
        <f>IFERROR(I55*E55,0)</f>
        <v/>
      </c>
      <c r="M55" s="1">
        <f>IFERROR(K55*E55,0)</f>
        <v/>
      </c>
    </row>
    <row r="56">
      <c r="A56" t="inlineStr">
        <is>
          <t>1210X28MM</t>
        </is>
      </c>
      <c r="B56" t="inlineStr">
        <is>
          <t>TAPER LOCK BUSH METRIC 1210 28MM FENNER</t>
        </is>
      </c>
      <c r="C56" t="inlineStr">
        <is>
          <t>Bearing Man Group</t>
        </is>
      </c>
      <c r="D56" t="inlineStr">
        <is>
          <t>Uncategorized</t>
        </is>
      </c>
      <c r="E56" s="1" t="n">
        <v>62.04</v>
      </c>
      <c r="F56" t="n">
        <v>1</v>
      </c>
      <c r="G56" t="n">
        <v>0</v>
      </c>
      <c r="H56" t="n">
        <v>5</v>
      </c>
      <c r="I56" t="n">
        <v>0</v>
      </c>
      <c r="J56" t="n">
        <v>0</v>
      </c>
      <c r="K56">
        <f>IF(H56-I56-J56&gt;0,H56-I56-J56,0)</f>
        <v/>
      </c>
      <c r="L56" s="1">
        <f>IFERROR(I56*E56,0)</f>
        <v/>
      </c>
      <c r="M56" s="1">
        <f>IFERROR(K56*E56,0)</f>
        <v/>
      </c>
    </row>
    <row r="57">
      <c r="A57" t="inlineStr">
        <is>
          <t>13-11</t>
        </is>
      </c>
      <c r="B57" t="inlineStr">
        <is>
          <t>CABTYRE - 6MM X 6 LUGS 10PKT</t>
        </is>
      </c>
      <c r="C57" t="inlineStr">
        <is>
          <t>Alpha Electrical</t>
        </is>
      </c>
      <c r="D57" t="inlineStr">
        <is>
          <t>Uncategorized</t>
        </is>
      </c>
      <c r="E57" s="1" t="n">
        <v>32</v>
      </c>
      <c r="F57" t="n">
        <v>4</v>
      </c>
      <c r="G57" t="n">
        <v>0</v>
      </c>
      <c r="H57" t="n">
        <v>20</v>
      </c>
      <c r="I57" t="n">
        <v>0</v>
      </c>
      <c r="J57" t="n">
        <v>0</v>
      </c>
      <c r="K57">
        <f>IF(H57-I57-J57&gt;0,H57-I57-J57,0)</f>
        <v/>
      </c>
      <c r="L57" s="1">
        <f>IFERROR(I57*E57,0)</f>
        <v/>
      </c>
      <c r="M57" s="1">
        <f>IFERROR(K57*E57,0)</f>
        <v/>
      </c>
    </row>
    <row r="58">
      <c r="A58" t="inlineStr">
        <is>
          <t>13-12</t>
        </is>
      </c>
      <c r="B58" t="inlineStr">
        <is>
          <t>CABTYRE - 6MM X 8 LUGS 10PKT</t>
        </is>
      </c>
      <c r="C58" t="inlineStr">
        <is>
          <t>Alpha Electrical</t>
        </is>
      </c>
      <c r="D58" t="inlineStr">
        <is>
          <t>Uncategorized</t>
        </is>
      </c>
      <c r="E58" s="1" t="n">
        <v>52</v>
      </c>
      <c r="F58" t="n">
        <v>4</v>
      </c>
      <c r="G58" t="n">
        <v>0</v>
      </c>
      <c r="H58" t="n">
        <v>20</v>
      </c>
      <c r="I58" t="n">
        <v>0</v>
      </c>
      <c r="J58" t="n">
        <v>0</v>
      </c>
      <c r="K58">
        <f>IF(H58-I58-J58&gt;0,H58-I58-J58,0)</f>
        <v/>
      </c>
      <c r="L58" s="1">
        <f>IFERROR(I58*E58,0)</f>
        <v/>
      </c>
      <c r="M58" s="1">
        <f>IFERROR(K58*E58,0)</f>
        <v/>
      </c>
    </row>
    <row r="59">
      <c r="A59" t="inlineStr">
        <is>
          <t>132B0100</t>
        </is>
      </c>
      <c r="B59" t="inlineStr">
        <is>
          <t>OPT MICRO LCP DISPLAY W/O POTENTIOM</t>
        </is>
      </c>
      <c r="C59" t="inlineStr">
        <is>
          <t>Bearing Man Group</t>
        </is>
      </c>
      <c r="D59" t="inlineStr">
        <is>
          <t>Uncategorized</t>
        </is>
      </c>
      <c r="E59" s="1" t="n">
        <v>597.3200000000001</v>
      </c>
      <c r="F59" t="n">
        <v>2</v>
      </c>
      <c r="G59" t="n">
        <v>0</v>
      </c>
      <c r="H59" t="n">
        <v>4</v>
      </c>
      <c r="I59" t="n">
        <v>0</v>
      </c>
      <c r="J59" t="n">
        <v>0</v>
      </c>
      <c r="K59">
        <f>IF(H59-I59-J59&gt;0,H59-I59-J59,0)</f>
        <v/>
      </c>
      <c r="L59" s="1">
        <f>IFERROR(I59*E59,0)</f>
        <v/>
      </c>
      <c r="M59" s="1">
        <f>IFERROR(K59*E59,0)</f>
        <v/>
      </c>
    </row>
    <row r="60">
      <c r="A60" t="inlineStr">
        <is>
          <t>13mm X 8mm</t>
        </is>
      </c>
      <c r="B60" t="inlineStr">
        <is>
          <t>A 2100</t>
        </is>
      </c>
      <c r="C60" t="inlineStr">
        <is>
          <t>Bluetech Fans (Pty) Ltd</t>
        </is>
      </c>
      <c r="D60" t="inlineStr">
        <is>
          <t>Uncategorized</t>
        </is>
      </c>
      <c r="E60" s="1" t="n">
        <v>250</v>
      </c>
      <c r="F60" t="n">
        <v>12</v>
      </c>
      <c r="G60" t="n">
        <v>0</v>
      </c>
      <c r="H60" t="n">
        <v>32</v>
      </c>
      <c r="I60" t="n">
        <v>0</v>
      </c>
      <c r="J60" t="n">
        <v>0</v>
      </c>
      <c r="K60">
        <f>IF(H60-I60-J60&gt;0,H60-I60-J60,0)</f>
        <v/>
      </c>
      <c r="L60" s="1">
        <f>IFERROR(I60*E60,0)</f>
        <v/>
      </c>
      <c r="M60" s="1">
        <f>IFERROR(K60*E60,0)</f>
        <v/>
      </c>
    </row>
    <row r="61">
      <c r="A61" t="inlineStr">
        <is>
          <t>15-1</t>
        </is>
      </c>
      <c r="B61" t="inlineStr">
        <is>
          <t>TI8R BLK - T18R CABLE TIES BLACK 100MMX2</t>
        </is>
      </c>
      <c r="C61" t="inlineStr">
        <is>
          <t>Atlantic Lighting &amp; Electrical distributors</t>
        </is>
      </c>
      <c r="D61" t="inlineStr">
        <is>
          <t>Uncategorized</t>
        </is>
      </c>
      <c r="E61" s="1" t="n">
        <v>14.85</v>
      </c>
      <c r="F61" t="n">
        <v>1</v>
      </c>
      <c r="G61" t="n">
        <v>0</v>
      </c>
      <c r="H61" t="n">
        <v>5</v>
      </c>
      <c r="I61" t="n">
        <v>0</v>
      </c>
      <c r="J61" t="n">
        <v>0</v>
      </c>
      <c r="K61">
        <f>IF(H61-I61-J61&gt;0,H61-I61-J61,0)</f>
        <v/>
      </c>
      <c r="L61" s="1">
        <f>IFERROR(I61*E61,0)</f>
        <v/>
      </c>
      <c r="M61" s="1">
        <f>IFERROR(K61*E61,0)</f>
        <v/>
      </c>
    </row>
    <row r="62">
      <c r="A62" t="inlineStr">
        <is>
          <t>15-5</t>
        </is>
      </c>
      <c r="B62" t="inlineStr">
        <is>
          <t>T50R BLACK - T50R CABLE TIES BLACK 198MMX4</t>
        </is>
      </c>
      <c r="C62" t="inlineStr">
        <is>
          <t>Atlantic Lighting &amp; Electrical distributors</t>
        </is>
      </c>
      <c r="D62" t="inlineStr">
        <is>
          <t>Uncategorized</t>
        </is>
      </c>
      <c r="E62" s="1" t="n">
        <v>48.51</v>
      </c>
      <c r="F62" t="n">
        <v>2</v>
      </c>
      <c r="G62" t="n">
        <v>0</v>
      </c>
      <c r="H62" t="n">
        <v>8</v>
      </c>
      <c r="I62" t="n">
        <v>0</v>
      </c>
      <c r="J62" t="n">
        <v>0</v>
      </c>
      <c r="K62">
        <f>IF(H62-I62-J62&gt;0,H62-I62-J62,0)</f>
        <v/>
      </c>
      <c r="L62" s="1">
        <f>IFERROR(I62*E62,0)</f>
        <v/>
      </c>
      <c r="M62" s="1">
        <f>IFERROR(K62*E62,0)</f>
        <v/>
      </c>
    </row>
    <row r="63">
      <c r="A63" t="inlineStr">
        <is>
          <t>1500W</t>
        </is>
      </c>
      <c r="B63" t="inlineStr">
        <is>
          <t>TERAL 17.5KG</t>
        </is>
      </c>
      <c r="C63" t="inlineStr">
        <is>
          <t>INTROWELD CC</t>
        </is>
      </c>
      <c r="D63" t="inlineStr">
        <is>
          <t>Uncategorized</t>
        </is>
      </c>
      <c r="E63" s="1" t="n">
        <v>1130.43</v>
      </c>
      <c r="F63" t="n">
        <v>3</v>
      </c>
      <c r="G63" t="n">
        <v>0</v>
      </c>
      <c r="H63" t="n">
        <v>15</v>
      </c>
      <c r="I63" t="n">
        <v>0</v>
      </c>
      <c r="J63" t="n">
        <v>0</v>
      </c>
      <c r="K63">
        <f>IF(H63-I63-J63&gt;0,H63-I63-J63,0)</f>
        <v/>
      </c>
      <c r="L63" s="1">
        <f>IFERROR(I63*E63,0)</f>
        <v/>
      </c>
      <c r="M63" s="1">
        <f>IFERROR(K63*E63,0)</f>
        <v/>
      </c>
    </row>
    <row r="64">
      <c r="A64" t="inlineStr">
        <is>
          <t>1502479</t>
        </is>
      </c>
      <c r="B64" t="inlineStr">
        <is>
          <t>HTMH-71-4T-4 220/380V. 60Hz IE3</t>
        </is>
      </c>
      <c r="C64" t="inlineStr">
        <is>
          <t>SODECA</t>
        </is>
      </c>
      <c r="D64" t="inlineStr">
        <is>
          <t>Uncategorized</t>
        </is>
      </c>
      <c r="E64" s="1" t="n">
        <v>21774.6</v>
      </c>
      <c r="F64" t="n">
        <v>54</v>
      </c>
      <c r="G64" t="n">
        <v>0</v>
      </c>
      <c r="H64" t="n">
        <v>94</v>
      </c>
      <c r="I64" t="n">
        <v>0</v>
      </c>
      <c r="J64" t="n">
        <v>0</v>
      </c>
      <c r="K64">
        <f>IF(H64-I64-J64&gt;0,H64-I64-J64,0)</f>
        <v/>
      </c>
      <c r="L64" s="1">
        <f>IFERROR(I64*E64,0)</f>
        <v/>
      </c>
      <c r="M64" s="1">
        <f>IFERROR(K64*E64,0)</f>
        <v/>
      </c>
    </row>
    <row r="65">
      <c r="A65" t="inlineStr">
        <is>
          <t>1503633</t>
        </is>
      </c>
      <c r="B65" t="inlineStr">
        <is>
          <t>CA/LINE/EC-31 50/60Hz.</t>
        </is>
      </c>
      <c r="C65" t="inlineStr">
        <is>
          <t>SODECA</t>
        </is>
      </c>
      <c r="D65" t="inlineStr">
        <is>
          <t>Uncategorized</t>
        </is>
      </c>
      <c r="E65" s="1" t="n">
        <v>4281.64</v>
      </c>
      <c r="F65" t="n">
        <v>1</v>
      </c>
      <c r="G65" t="n">
        <v>0</v>
      </c>
      <c r="H65" t="n">
        <v>3</v>
      </c>
      <c r="I65" t="n">
        <v>0</v>
      </c>
      <c r="J65" t="n">
        <v>0</v>
      </c>
      <c r="K65">
        <f>IF(H65-I65-J65&gt;0,H65-I65-J65,0)</f>
        <v/>
      </c>
      <c r="L65" s="1">
        <f>IFERROR(I65*E65,0)</f>
        <v/>
      </c>
      <c r="M65" s="1">
        <f>IFERROR(K65*E65,0)</f>
        <v/>
      </c>
    </row>
    <row r="66">
      <c r="A66" t="inlineStr">
        <is>
          <t>150T900</t>
        </is>
      </c>
      <c r="B66" t="inlineStr">
        <is>
          <t>150 Diam Tube Silencer 900L</t>
        </is>
      </c>
      <c r="C66" t="inlineStr">
        <is>
          <t>Attenu-Tec</t>
        </is>
      </c>
      <c r="D66" t="inlineStr">
        <is>
          <t>Uncategorized</t>
        </is>
      </c>
      <c r="E66" s="1" t="n">
        <v>556</v>
      </c>
      <c r="F66" t="n">
        <v>4</v>
      </c>
      <c r="G66" t="n">
        <v>0</v>
      </c>
      <c r="H66" t="n">
        <v>22</v>
      </c>
      <c r="I66" t="n">
        <v>0</v>
      </c>
      <c r="J66" t="n">
        <v>0</v>
      </c>
      <c r="K66">
        <f>IF(H66-I66-J66&gt;0,H66-I66-J66,0)</f>
        <v/>
      </c>
      <c r="L66" s="1">
        <f>IFERROR(I66*E66,0)</f>
        <v/>
      </c>
      <c r="M66" s="1">
        <f>IFERROR(K66*E66,0)</f>
        <v/>
      </c>
    </row>
    <row r="67">
      <c r="A67" t="inlineStr">
        <is>
          <t>15928</t>
        </is>
      </c>
      <c r="B67" t="inlineStr">
        <is>
          <t>Repair CMP-1025-2T-3 ( ROS Del Note 15928)</t>
        </is>
      </c>
      <c r="C67" t="inlineStr"/>
      <c r="D67" t="inlineStr">
        <is>
          <t>Uncategorized</t>
        </is>
      </c>
      <c r="E67" s="1" t="n">
        <v>0</v>
      </c>
      <c r="F67" t="n">
        <v>1</v>
      </c>
      <c r="G67" t="n">
        <v>0</v>
      </c>
      <c r="H67" t="n">
        <v>2</v>
      </c>
      <c r="I67" t="n">
        <v>0</v>
      </c>
      <c r="J67" t="n">
        <v>0</v>
      </c>
      <c r="K67">
        <f>IF(H67-I67-J67&gt;0,H67-I67-J67,0)</f>
        <v/>
      </c>
      <c r="L67" s="1">
        <f>IFERROR(I67*E67,0)</f>
        <v/>
      </c>
      <c r="M67" s="1">
        <f>IFERROR(K67*E67,0)</f>
        <v/>
      </c>
    </row>
    <row r="68">
      <c r="A68" t="inlineStr">
        <is>
          <t>16039</t>
        </is>
      </c>
      <c r="B68" t="inlineStr">
        <is>
          <t>CA 250 VO In-Line Tube Fan Plastic Casing</t>
        </is>
      </c>
      <c r="C68" t="inlineStr">
        <is>
          <t>Vortice Elettrosociali SpA</t>
        </is>
      </c>
      <c r="D68" t="inlineStr">
        <is>
          <t>Uncategorized</t>
        </is>
      </c>
      <c r="E68" s="1" t="n">
        <v>2555.16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>
        <f>IF(H68-I68-J68&gt;0,H68-I68-J68,0)</f>
        <v/>
      </c>
      <c r="L68" s="1">
        <f>IFERROR(I68*E68,0)</f>
        <v/>
      </c>
      <c r="M68" s="1">
        <f>IFERROR(K68*E68,0)</f>
        <v/>
      </c>
    </row>
    <row r="69">
      <c r="A69" t="inlineStr">
        <is>
          <t>160X3SPA</t>
        </is>
      </c>
      <c r="B69" t="inlineStr">
        <is>
          <t>PULLEY FRICTION BELT V-WEDGE 3 GROOVE SPA 2517 TAPER 160MM FENNER</t>
        </is>
      </c>
      <c r="C69" t="inlineStr">
        <is>
          <t>Bearing Man Group</t>
        </is>
      </c>
      <c r="D69" t="inlineStr">
        <is>
          <t>Uncategorized</t>
        </is>
      </c>
      <c r="E69" s="1" t="n">
        <v>474.51</v>
      </c>
      <c r="F69" t="n">
        <v>1</v>
      </c>
      <c r="G69" t="n">
        <v>0</v>
      </c>
      <c r="H69" t="n">
        <v>3</v>
      </c>
      <c r="I69" t="n">
        <v>0</v>
      </c>
      <c r="J69" t="n">
        <v>0</v>
      </c>
      <c r="K69">
        <f>IF(H69-I69-J69&gt;0,H69-I69-J69,0)</f>
        <v/>
      </c>
      <c r="L69" s="1">
        <f>IFERROR(I69*E69,0)</f>
        <v/>
      </c>
      <c r="M69" s="1">
        <f>IFERROR(K69*E69,0)</f>
        <v/>
      </c>
    </row>
    <row r="70">
      <c r="A70" t="inlineStr">
        <is>
          <t>1610X25MM.</t>
        </is>
      </c>
      <c r="B70" t="inlineStr">
        <is>
          <t>TAPER LOCK BUSH METRIC 1610 25MM FENNER</t>
        </is>
      </c>
      <c r="C70" t="inlineStr">
        <is>
          <t>Bearing Man Group</t>
        </is>
      </c>
      <c r="D70" t="inlineStr">
        <is>
          <t>Uncategorized</t>
        </is>
      </c>
      <c r="E70" s="1" t="n">
        <v>72.31</v>
      </c>
      <c r="F70" t="n">
        <v>1</v>
      </c>
      <c r="G70" t="n">
        <v>0</v>
      </c>
      <c r="H70" t="n">
        <v>5</v>
      </c>
      <c r="I70" t="n">
        <v>0</v>
      </c>
      <c r="J70" t="n">
        <v>0</v>
      </c>
      <c r="K70">
        <f>IF(H70-I70-J70&gt;0,H70-I70-J70,0)</f>
        <v/>
      </c>
      <c r="L70" s="1">
        <f>IFERROR(I70*E70,0)</f>
        <v/>
      </c>
      <c r="M70" s="1">
        <f>IFERROR(K70*E70,0)</f>
        <v/>
      </c>
    </row>
    <row r="71">
      <c r="A71" t="inlineStr">
        <is>
          <t>1610X28MM.</t>
        </is>
      </c>
      <c r="B71" t="inlineStr">
        <is>
          <t>Taper Lock Bush Metric 1610 28mm FE</t>
        </is>
      </c>
      <c r="C71" t="inlineStr">
        <is>
          <t>Bearing Man Group</t>
        </is>
      </c>
      <c r="D71" t="inlineStr">
        <is>
          <t>Uncategorized</t>
        </is>
      </c>
      <c r="E71" s="1" t="n">
        <v>74.83</v>
      </c>
      <c r="F71" t="n">
        <v>1</v>
      </c>
      <c r="G71" t="n">
        <v>0</v>
      </c>
      <c r="H71" t="n">
        <v>4</v>
      </c>
      <c r="I71" t="n">
        <v>0</v>
      </c>
      <c r="J71" t="n">
        <v>0</v>
      </c>
      <c r="K71">
        <f>IF(H71-I71-J71&gt;0,H71-I71-J71,0)</f>
        <v/>
      </c>
      <c r="L71" s="1">
        <f>IFERROR(I71*E71,0)</f>
        <v/>
      </c>
      <c r="M71" s="1">
        <f>IFERROR(K71*E71,0)</f>
        <v/>
      </c>
    </row>
    <row r="72">
      <c r="A72" t="inlineStr">
        <is>
          <t>1610X38MM</t>
        </is>
      </c>
      <c r="B72" t="inlineStr">
        <is>
          <t>TAPER LOCK BUSH METRIC 1610 38MM FENNER</t>
        </is>
      </c>
      <c r="C72" t="inlineStr">
        <is>
          <t>Bearing Man Group</t>
        </is>
      </c>
      <c r="D72" t="inlineStr">
        <is>
          <t>Uncategorized</t>
        </is>
      </c>
      <c r="E72" s="1" t="n">
        <v>77.68000000000001</v>
      </c>
      <c r="F72" t="n">
        <v>1</v>
      </c>
      <c r="G72" t="n">
        <v>0</v>
      </c>
      <c r="H72" t="n">
        <v>2</v>
      </c>
      <c r="I72" t="n">
        <v>0</v>
      </c>
      <c r="J72" t="n">
        <v>0</v>
      </c>
      <c r="K72">
        <f>IF(H72-I72-J72&gt;0,H72-I72-J72,0)</f>
        <v/>
      </c>
      <c r="L72" s="1">
        <f>IFERROR(I72*E72,0)</f>
        <v/>
      </c>
      <c r="M72" s="1">
        <f>IFERROR(K72*E72,0)</f>
        <v/>
      </c>
    </row>
    <row r="73">
      <c r="A73" t="inlineStr">
        <is>
          <t>16183</t>
        </is>
      </c>
      <c r="B73" t="inlineStr">
        <is>
          <t>CA 150 MD E RF</t>
        </is>
      </c>
      <c r="C73" t="inlineStr">
        <is>
          <t>Vortice Elettrosociali SpA</t>
        </is>
      </c>
      <c r="D73" t="inlineStr">
        <is>
          <t>Uncategorized</t>
        </is>
      </c>
      <c r="E73" s="1" t="n">
        <v>3263.14</v>
      </c>
      <c r="F73" t="n">
        <v>2</v>
      </c>
      <c r="G73" t="n">
        <v>0</v>
      </c>
      <c r="H73" t="n">
        <v>6</v>
      </c>
      <c r="I73" t="n">
        <v>0</v>
      </c>
      <c r="J73" t="n">
        <v>0</v>
      </c>
      <c r="K73">
        <f>IF(H73-I73-J73&gt;0,H73-I73-J73,0)</f>
        <v/>
      </c>
      <c r="L73" s="1">
        <f>IFERROR(I73*E73,0)</f>
        <v/>
      </c>
      <c r="M73" s="1">
        <f>IFERROR(K73*E73,0)</f>
        <v/>
      </c>
    </row>
    <row r="74">
      <c r="A74" t="inlineStr">
        <is>
          <t>16702</t>
        </is>
      </c>
      <c r="B74" t="inlineStr">
        <is>
          <t>PRA GLD FLP TTECH SWA D/COMP NO1 M20</t>
        </is>
      </c>
      <c r="C74" t="inlineStr">
        <is>
          <t>Pratley (Pty) Ltd</t>
        </is>
      </c>
      <c r="D74" t="inlineStr">
        <is>
          <t>Uncategorized</t>
        </is>
      </c>
      <c r="E74" s="1" t="n">
        <v>247.02</v>
      </c>
      <c r="F74" t="n">
        <v>2</v>
      </c>
      <c r="G74" t="n">
        <v>0</v>
      </c>
      <c r="H74" t="n">
        <v>10</v>
      </c>
      <c r="I74" t="n">
        <v>0</v>
      </c>
      <c r="J74" t="n">
        <v>0</v>
      </c>
      <c r="K74">
        <f>IF(H74-I74-J74&gt;0,H74-I74-J74,0)</f>
        <v/>
      </c>
      <c r="L74" s="1">
        <f>IFERROR(I74*E74,0)</f>
        <v/>
      </c>
      <c r="M74" s="1">
        <f>IFERROR(K74*E74,0)</f>
        <v/>
      </c>
    </row>
    <row r="75">
      <c r="A75" t="inlineStr">
        <is>
          <t>168-37</t>
        </is>
      </c>
      <c r="B75" t="inlineStr">
        <is>
          <t>FAS3212LF RIVET FA - 3.2MMX12MM POP RIVETS</t>
        </is>
      </c>
      <c r="C75" t="inlineStr">
        <is>
          <t>Atlantic Lighting &amp; Electrical distributors</t>
        </is>
      </c>
      <c r="D75" t="inlineStr">
        <is>
          <t>Uncategorized</t>
        </is>
      </c>
      <c r="E75" s="1" t="n">
        <v>47.03</v>
      </c>
      <c r="F75" t="n">
        <v>2</v>
      </c>
      <c r="G75" t="n">
        <v>0</v>
      </c>
      <c r="H75" t="n">
        <v>10</v>
      </c>
      <c r="I75" t="n">
        <v>0</v>
      </c>
      <c r="J75" t="n">
        <v>0</v>
      </c>
      <c r="K75">
        <f>IF(H75-I75-J75&gt;0,H75-I75-J75,0)</f>
        <v/>
      </c>
      <c r="L75" s="1">
        <f>IFERROR(I75*E75,0)</f>
        <v/>
      </c>
      <c r="M75" s="1">
        <f>IFERROR(K75*E75,0)</f>
        <v/>
      </c>
    </row>
    <row r="76">
      <c r="A76" t="inlineStr">
        <is>
          <t>18INLET-CONE</t>
        </is>
      </c>
      <c r="B76" t="inlineStr">
        <is>
          <t>18 Inch Inlet Cone</t>
        </is>
      </c>
      <c r="C76" t="inlineStr">
        <is>
          <t>Centrifab (Pty) Ltd</t>
        </is>
      </c>
      <c r="D76" t="inlineStr">
        <is>
          <t>Uncategorized</t>
        </is>
      </c>
      <c r="E76" s="1" t="n">
        <v>630</v>
      </c>
      <c r="F76" t="n">
        <v>1</v>
      </c>
      <c r="G76" t="n">
        <v>0</v>
      </c>
      <c r="H76" t="n">
        <v>2</v>
      </c>
      <c r="I76" t="n">
        <v>0</v>
      </c>
      <c r="J76" t="n">
        <v>0</v>
      </c>
      <c r="K76">
        <f>IF(H76-I76-J76&gt;0,H76-I76-J76,0)</f>
        <v/>
      </c>
      <c r="L76" s="1">
        <f>IFERROR(I76*E76,0)</f>
        <v/>
      </c>
      <c r="M76" s="1">
        <f>IFERROR(K76*E76,0)</f>
        <v/>
      </c>
    </row>
    <row r="77">
      <c r="A77" t="inlineStr">
        <is>
          <t>1920</t>
        </is>
      </c>
      <c r="B77" t="inlineStr">
        <is>
          <t>RENTAL MONTHLY</t>
        </is>
      </c>
      <c r="C77" t="inlineStr">
        <is>
          <t>INTROWELD CC</t>
        </is>
      </c>
      <c r="D77" t="inlineStr">
        <is>
          <t>Uncategorized</t>
        </is>
      </c>
      <c r="E77" s="1" t="n">
        <v>208.69</v>
      </c>
      <c r="F77" t="n">
        <v>3</v>
      </c>
      <c r="G77" t="n">
        <v>0</v>
      </c>
      <c r="H77" t="n">
        <v>15</v>
      </c>
      <c r="I77" t="n">
        <v>0</v>
      </c>
      <c r="J77" t="n">
        <v>0</v>
      </c>
      <c r="K77">
        <f>IF(H77-I77-J77&gt;0,H77-I77-J77,0)</f>
        <v/>
      </c>
      <c r="L77" s="1">
        <f>IFERROR(I77*E77,0)</f>
        <v/>
      </c>
      <c r="M77" s="1">
        <f>IFERROR(K77*E77,0)</f>
        <v/>
      </c>
    </row>
    <row r="78">
      <c r="A78" t="inlineStr">
        <is>
          <t>194832</t>
        </is>
      </c>
      <c r="B78" t="inlineStr">
        <is>
          <t>M10 FLAT WASHER DIN 125A ZINC BLUE (10 .5i/dx20o/dX2thk)</t>
        </is>
      </c>
      <c r="C78" t="inlineStr">
        <is>
          <t>M&amp;D SPECIALISED FASTENERS (PTY) LTD</t>
        </is>
      </c>
      <c r="D78" t="inlineStr">
        <is>
          <t>Uncategorized</t>
        </is>
      </c>
      <c r="E78" s="1" t="n">
        <v>0.2</v>
      </c>
      <c r="F78" t="n">
        <v>44</v>
      </c>
      <c r="G78" t="n">
        <v>0</v>
      </c>
      <c r="H78" t="n">
        <v>218</v>
      </c>
      <c r="I78" t="n">
        <v>0</v>
      </c>
      <c r="J78" t="n">
        <v>0</v>
      </c>
      <c r="K78">
        <f>IF(H78-I78-J78&gt;0,H78-I78-J78,0)</f>
        <v/>
      </c>
      <c r="L78" s="1">
        <f>IFERROR(I78*E78,0)</f>
        <v/>
      </c>
      <c r="M78" s="1">
        <f>IFERROR(K78*E78,0)</f>
        <v/>
      </c>
    </row>
    <row r="79">
      <c r="A79" t="inlineStr">
        <is>
          <t>194925</t>
        </is>
      </c>
      <c r="B79" t="inlineStr">
        <is>
          <t>M8 FLAT WASHER DIN 125A ZINC BLUE (8 . 4ID*16OD*1 . 6THICK)</t>
        </is>
      </c>
      <c r="C79" t="inlineStr">
        <is>
          <t>M&amp;D SPECIALISED FASTENERS (PTY) LTD</t>
        </is>
      </c>
      <c r="D79" t="inlineStr">
        <is>
          <t>Uncategorized</t>
        </is>
      </c>
      <c r="E79" s="1" t="n">
        <v>0.12</v>
      </c>
      <c r="F79" t="n">
        <v>80</v>
      </c>
      <c r="G79" t="n">
        <v>0</v>
      </c>
      <c r="H79" t="n">
        <v>400</v>
      </c>
      <c r="I79" t="n">
        <v>0</v>
      </c>
      <c r="J79" t="n">
        <v>0</v>
      </c>
      <c r="K79">
        <f>IF(H79-I79-J79&gt;0,H79-I79-J79,0)</f>
        <v/>
      </c>
      <c r="L79" s="1">
        <f>IFERROR(I79*E79,0)</f>
        <v/>
      </c>
      <c r="M79" s="1">
        <f>IFERROR(K79*E79,0)</f>
        <v/>
      </c>
    </row>
    <row r="80">
      <c r="A80" t="inlineStr">
        <is>
          <t>2.2 kw VSD</t>
        </is>
      </c>
      <c r="B80" t="inlineStr">
        <is>
          <t>Speed controller</t>
        </is>
      </c>
      <c r="C80" t="inlineStr">
        <is>
          <t>AM SYSTEMS INTEGRATIONS (PTY) LTD</t>
        </is>
      </c>
      <c r="D80" t="inlineStr">
        <is>
          <t>Uncategorized</t>
        </is>
      </c>
      <c r="E80" s="1" t="n">
        <v>0</v>
      </c>
      <c r="F80" t="n">
        <v>3</v>
      </c>
      <c r="G80" t="n">
        <v>0</v>
      </c>
      <c r="H80" t="n">
        <v>9</v>
      </c>
      <c r="I80" t="n">
        <v>0</v>
      </c>
      <c r="J80" t="n">
        <v>0</v>
      </c>
      <c r="K80">
        <f>IF(H80-I80-J80&gt;0,H80-I80-J80,0)</f>
        <v/>
      </c>
      <c r="L80" s="1">
        <f>IFERROR(I80*E80,0)</f>
        <v/>
      </c>
      <c r="M80" s="1">
        <f>IFERROR(K80*E80,0)</f>
        <v/>
      </c>
    </row>
    <row r="81">
      <c r="A81" t="inlineStr">
        <is>
          <t>2.243FM</t>
        </is>
      </c>
      <c r="B81" t="inlineStr">
        <is>
          <t>2.2kW 4P 380V Foot Mount Motor</t>
        </is>
      </c>
      <c r="C81" t="inlineStr">
        <is>
          <t>ACTOM</t>
        </is>
      </c>
      <c r="D81" t="inlineStr">
        <is>
          <t>Uncategorized</t>
        </is>
      </c>
      <c r="E81" s="1" t="n">
        <v>2509.5</v>
      </c>
      <c r="F81" t="n">
        <v>1</v>
      </c>
      <c r="G81" t="n">
        <v>0</v>
      </c>
      <c r="H81" t="n">
        <v>2</v>
      </c>
      <c r="I81" t="n">
        <v>0</v>
      </c>
      <c r="J81" t="n">
        <v>0</v>
      </c>
      <c r="K81">
        <f>IF(H81-I81-J81&gt;0,H81-I81-J81,0)</f>
        <v/>
      </c>
      <c r="L81" s="1">
        <f>IFERROR(I81*E81,0)</f>
        <v/>
      </c>
      <c r="M81" s="1">
        <f>IFERROR(K81*E81,0)</f>
        <v/>
      </c>
    </row>
    <row r="82">
      <c r="A82" t="inlineStr">
        <is>
          <t>200LS</t>
        </is>
      </c>
      <c r="B82" t="inlineStr">
        <is>
          <t>Louvre Shutter</t>
        </is>
      </c>
      <c r="C82" t="inlineStr"/>
      <c r="D82" t="inlineStr">
        <is>
          <t>Uncategorized</t>
        </is>
      </c>
      <c r="E82" s="1" t="n">
        <v>0</v>
      </c>
      <c r="F82" t="n">
        <v>3</v>
      </c>
      <c r="G82" t="n">
        <v>0</v>
      </c>
      <c r="H82" t="n">
        <v>15</v>
      </c>
      <c r="I82" t="n">
        <v>0</v>
      </c>
      <c r="J82" t="n">
        <v>0</v>
      </c>
      <c r="K82">
        <f>IF(H82-I82-J82&gt;0,H82-I82-J82,0)</f>
        <v/>
      </c>
      <c r="L82" s="1">
        <f>IFERROR(I82*E82,0)</f>
        <v/>
      </c>
      <c r="M82" s="1">
        <f>IFERROR(K82*E82,0)</f>
        <v/>
      </c>
    </row>
    <row r="83">
      <c r="A83" t="inlineStr">
        <is>
          <t>200T1200</t>
        </is>
      </c>
      <c r="B83" t="inlineStr">
        <is>
          <t>200 Diam Tube Silencer 1200L</t>
        </is>
      </c>
      <c r="C83" t="inlineStr">
        <is>
          <t>Attenu-Tec</t>
        </is>
      </c>
      <c r="D83" t="inlineStr">
        <is>
          <t>Uncategorized</t>
        </is>
      </c>
      <c r="E83" s="1" t="n">
        <v>727</v>
      </c>
      <c r="F83" t="n">
        <v>8</v>
      </c>
      <c r="G83" t="n">
        <v>0</v>
      </c>
      <c r="H83" t="n">
        <v>40</v>
      </c>
      <c r="I83" t="n">
        <v>0</v>
      </c>
      <c r="J83" t="n">
        <v>0</v>
      </c>
      <c r="K83">
        <f>IF(H83-I83-J83&gt;0,H83-I83-J83,0)</f>
        <v/>
      </c>
      <c r="L83" s="1">
        <f>IFERROR(I83*E83,0)</f>
        <v/>
      </c>
      <c r="M83" s="1">
        <f>IFERROR(K83*E83,0)</f>
        <v/>
      </c>
    </row>
    <row r="84">
      <c r="A84" t="inlineStr">
        <is>
          <t>2012X25MM.</t>
        </is>
      </c>
      <c r="B84" t="inlineStr">
        <is>
          <t>TAPER LOCK BUSH METRIC 2012 25MM FENNER</t>
        </is>
      </c>
      <c r="C84" t="inlineStr">
        <is>
          <t>Bearing Man Group</t>
        </is>
      </c>
      <c r="D84" t="inlineStr">
        <is>
          <t>Uncategorized</t>
        </is>
      </c>
      <c r="E84" s="1" t="n">
        <v>100.65</v>
      </c>
      <c r="F84" t="n">
        <v>1</v>
      </c>
      <c r="G84" t="n">
        <v>0</v>
      </c>
      <c r="H84" t="n">
        <v>2</v>
      </c>
      <c r="I84" t="n">
        <v>0</v>
      </c>
      <c r="J84" t="n">
        <v>0</v>
      </c>
      <c r="K84">
        <f>IF(H84-I84-J84&gt;0,H84-I84-J84,0)</f>
        <v/>
      </c>
      <c r="L84" s="1">
        <f>IFERROR(I84*E84,0)</f>
        <v/>
      </c>
      <c r="M84" s="1">
        <f>IFERROR(K84*E84,0)</f>
        <v/>
      </c>
    </row>
    <row r="85">
      <c r="A85" t="inlineStr">
        <is>
          <t>2012X38MM</t>
        </is>
      </c>
      <c r="B85" t="inlineStr">
        <is>
          <t>TAPER LOCK BUSH METRIC 2012 38MM FENNER</t>
        </is>
      </c>
      <c r="C85" t="inlineStr">
        <is>
          <t>Bearing Man Group</t>
        </is>
      </c>
      <c r="D85" t="inlineStr">
        <is>
          <t>Uncategorized</t>
        </is>
      </c>
      <c r="E85" s="1" t="n">
        <v>102.04</v>
      </c>
      <c r="F85" t="n">
        <v>1</v>
      </c>
      <c r="G85" t="n">
        <v>0</v>
      </c>
      <c r="H85" t="n">
        <v>3</v>
      </c>
      <c r="I85" t="n">
        <v>0</v>
      </c>
      <c r="J85" t="n">
        <v>0</v>
      </c>
      <c r="K85">
        <f>IF(H85-I85-J85&gt;0,H85-I85-J85,0)</f>
        <v/>
      </c>
      <c r="L85" s="1">
        <f>IFERROR(I85*E85,0)</f>
        <v/>
      </c>
      <c r="M85" s="1">
        <f>IFERROR(K85*E85,0)</f>
        <v/>
      </c>
    </row>
    <row r="86">
      <c r="A86" t="inlineStr">
        <is>
          <t>214165</t>
        </is>
      </c>
      <c r="B86" t="inlineStr">
        <is>
          <t>M10X25X2 FLAT WASHER Z/BLUE</t>
        </is>
      </c>
      <c r="C86" t="inlineStr">
        <is>
          <t>M&amp;D SPECIALISED FASTENERS (PTY) LTD</t>
        </is>
      </c>
      <c r="D86" t="inlineStr">
        <is>
          <t>Uncategorized</t>
        </is>
      </c>
      <c r="E86" s="1" t="n">
        <v>0.5</v>
      </c>
      <c r="F86" t="n">
        <v>50</v>
      </c>
      <c r="G86" t="n">
        <v>0</v>
      </c>
      <c r="H86" t="n">
        <v>250</v>
      </c>
      <c r="I86" t="n">
        <v>0</v>
      </c>
      <c r="J86" t="n">
        <v>0</v>
      </c>
      <c r="K86">
        <f>IF(H86-I86-J86&gt;0,H86-I86-J86,0)</f>
        <v/>
      </c>
      <c r="L86" s="1">
        <f>IFERROR(I86*E86,0)</f>
        <v/>
      </c>
      <c r="M86" s="1">
        <f>IFERROR(K86*E86,0)</f>
        <v/>
      </c>
    </row>
    <row r="87">
      <c r="A87" t="inlineStr">
        <is>
          <t>214899</t>
        </is>
      </c>
      <c r="B87" t="inlineStr">
        <is>
          <t>M12X30X3 FLAT WASHER Z/BLUE</t>
        </is>
      </c>
      <c r="C87" t="inlineStr">
        <is>
          <t>M&amp;D SPECIALISED FASTENERS (PTY) LTD</t>
        </is>
      </c>
      <c r="D87" t="inlineStr">
        <is>
          <t>Uncategorized</t>
        </is>
      </c>
      <c r="E87" s="1" t="n">
        <v>0.8</v>
      </c>
      <c r="F87" t="n">
        <v>50</v>
      </c>
      <c r="G87" t="n">
        <v>0</v>
      </c>
      <c r="H87" t="n">
        <v>250</v>
      </c>
      <c r="I87" t="n">
        <v>0</v>
      </c>
      <c r="J87" t="n">
        <v>0</v>
      </c>
      <c r="K87">
        <f>IF(H87-I87-J87&gt;0,H87-I87-J87,0)</f>
        <v/>
      </c>
      <c r="L87" s="1">
        <f>IFERROR(I87*E87,0)</f>
        <v/>
      </c>
      <c r="M87" s="1">
        <f>IFERROR(K87*E87,0)</f>
        <v/>
      </c>
    </row>
    <row r="88">
      <c r="A88" t="inlineStr">
        <is>
          <t>220025</t>
        </is>
      </c>
      <c r="B88" t="inlineStr">
        <is>
          <t>M8 . 4*20*3 FLAT WASHER Z/BLUE</t>
        </is>
      </c>
      <c r="C88" t="inlineStr">
        <is>
          <t>M&amp;D SPECIALISED FASTENERS (PTY) LTD</t>
        </is>
      </c>
      <c r="D88" t="inlineStr">
        <is>
          <t>Uncategorized</t>
        </is>
      </c>
      <c r="E88" s="1" t="n">
        <v>1.8</v>
      </c>
      <c r="F88" t="n">
        <v>50</v>
      </c>
      <c r="G88" t="n">
        <v>0</v>
      </c>
      <c r="H88" t="n">
        <v>250</v>
      </c>
      <c r="I88" t="n">
        <v>0</v>
      </c>
      <c r="J88" t="n">
        <v>0</v>
      </c>
      <c r="K88">
        <f>IF(H88-I88-J88&gt;0,H88-I88-J88,0)</f>
        <v/>
      </c>
      <c r="L88" s="1">
        <f>IFERROR(I88*E88,0)</f>
        <v/>
      </c>
      <c r="M88" s="1">
        <f>IFERROR(K88*E88,0)</f>
        <v/>
      </c>
    </row>
    <row r="89">
      <c r="A89" t="inlineStr">
        <is>
          <t>221331</t>
        </is>
      </c>
      <c r="B89" t="inlineStr">
        <is>
          <t>M150/6 Spare Motor</t>
        </is>
      </c>
      <c r="C89" t="inlineStr"/>
      <c r="D89" t="inlineStr">
        <is>
          <t>Uncategorized</t>
        </is>
      </c>
      <c r="E89" s="1" t="n">
        <v>0</v>
      </c>
      <c r="F89" t="n">
        <v>1</v>
      </c>
      <c r="G89" t="n">
        <v>0</v>
      </c>
      <c r="H89" t="n">
        <v>2</v>
      </c>
      <c r="I89" t="n">
        <v>0</v>
      </c>
      <c r="J89" t="n">
        <v>0</v>
      </c>
      <c r="K89">
        <f>IF(H89-I89-J89&gt;0,H89-I89-J89,0)</f>
        <v/>
      </c>
      <c r="L89" s="1">
        <f>IFERROR(I89*E89,0)</f>
        <v/>
      </c>
      <c r="M89" s="1">
        <f>IFERROR(K89*E89,0)</f>
        <v/>
      </c>
    </row>
    <row r="90">
      <c r="A90" t="inlineStr">
        <is>
          <t>22M16X150</t>
        </is>
      </c>
      <c r="B90" t="inlineStr">
        <is>
          <t>M16 X 150 HT Setscrews</t>
        </is>
      </c>
      <c r="C90" t="inlineStr">
        <is>
          <t>MADAN Engineering cc</t>
        </is>
      </c>
      <c r="D90" t="inlineStr">
        <is>
          <t>Uncategorized</t>
        </is>
      </c>
      <c r="E90" s="1" t="n">
        <v>26</v>
      </c>
      <c r="F90" t="n">
        <v>6</v>
      </c>
      <c r="G90" t="n">
        <v>0</v>
      </c>
      <c r="H90" t="n">
        <v>22</v>
      </c>
      <c r="I90" t="n">
        <v>0</v>
      </c>
      <c r="J90" t="n">
        <v>0</v>
      </c>
      <c r="K90">
        <f>IF(H90-I90-J90&gt;0,H90-I90-J90,0)</f>
        <v/>
      </c>
      <c r="L90" s="1">
        <f>IFERROR(I90*E90,0)</f>
        <v/>
      </c>
      <c r="M90" s="1">
        <f>IFERROR(K90*E90,0)</f>
        <v/>
      </c>
    </row>
    <row r="91">
      <c r="A91" t="inlineStr">
        <is>
          <t>235829</t>
        </is>
      </c>
      <c r="B91" t="inlineStr">
        <is>
          <t>M16*120 HT HEX BOLT Z/BLUE</t>
        </is>
      </c>
      <c r="C91" t="inlineStr">
        <is>
          <t>M&amp;D SPECIALISED FASTENERS (PTY) LTD</t>
        </is>
      </c>
      <c r="D91" t="inlineStr">
        <is>
          <t>Uncategorized</t>
        </is>
      </c>
      <c r="E91" s="1" t="n">
        <v>16</v>
      </c>
      <c r="F91" t="n">
        <v>2</v>
      </c>
      <c r="G91" t="n">
        <v>0</v>
      </c>
      <c r="H91" t="n">
        <v>10</v>
      </c>
      <c r="I91" t="n">
        <v>0</v>
      </c>
      <c r="J91" t="n">
        <v>0</v>
      </c>
      <c r="K91">
        <f>IF(H91-I91-J91&gt;0,H91-I91-J91,0)</f>
        <v/>
      </c>
      <c r="L91" s="1">
        <f>IFERROR(I91*E91,0)</f>
        <v/>
      </c>
      <c r="M91" s="1">
        <f>IFERROR(K91*E91,0)</f>
        <v/>
      </c>
    </row>
    <row r="92">
      <c r="A92" t="inlineStr">
        <is>
          <t>237756</t>
        </is>
      </c>
      <c r="B92" t="inlineStr">
        <is>
          <t>M10*16 HT HEX SET SCREW Z/BLUE</t>
        </is>
      </c>
      <c r="C92" t="inlineStr">
        <is>
          <t>M&amp;D SPECIALISED FASTENERS (PTY) LTD</t>
        </is>
      </c>
      <c r="D92" t="inlineStr">
        <is>
          <t>Uncategorized</t>
        </is>
      </c>
      <c r="E92" s="1" t="n">
        <v>1.8</v>
      </c>
      <c r="F92" t="n">
        <v>9</v>
      </c>
      <c r="G92" t="n">
        <v>0</v>
      </c>
      <c r="H92" t="n">
        <v>45</v>
      </c>
      <c r="I92" t="n">
        <v>0</v>
      </c>
      <c r="J92" t="n">
        <v>0</v>
      </c>
      <c r="K92">
        <f>IF(H92-I92-J92&gt;0,H92-I92-J92,0)</f>
        <v/>
      </c>
      <c r="L92" s="1">
        <f>IFERROR(I92*E92,0)</f>
        <v/>
      </c>
      <c r="M92" s="1">
        <f>IFERROR(K92*E92,0)</f>
        <v/>
      </c>
    </row>
    <row r="93">
      <c r="A93" t="inlineStr">
        <is>
          <t>237939</t>
        </is>
      </c>
      <c r="B93" t="inlineStr">
        <is>
          <t>M12*20 HT HEX SET SCREW Z/BLUE 12X20 933 8.8 ZB</t>
        </is>
      </c>
      <c r="C93" t="inlineStr">
        <is>
          <t>M&amp;D SPECIALISED FASTENERS (PTY) LTD</t>
        </is>
      </c>
      <c r="D93" t="inlineStr">
        <is>
          <t>Uncategorized</t>
        </is>
      </c>
      <c r="E93" s="1" t="n">
        <v>3</v>
      </c>
      <c r="F93" t="n">
        <v>80</v>
      </c>
      <c r="G93" t="n">
        <v>0</v>
      </c>
      <c r="H93" t="n">
        <v>400</v>
      </c>
      <c r="I93" t="n">
        <v>0</v>
      </c>
      <c r="J93" t="n">
        <v>0</v>
      </c>
      <c r="K93">
        <f>IF(H93-I93-J93&gt;0,H93-I93-J93,0)</f>
        <v/>
      </c>
      <c r="L93" s="1">
        <f>IFERROR(I93*E93,0)</f>
        <v/>
      </c>
      <c r="M93" s="1">
        <f>IFERROR(K93*E93,0)</f>
        <v/>
      </c>
    </row>
    <row r="94">
      <c r="A94" t="inlineStr">
        <is>
          <t>238028</t>
        </is>
      </c>
      <c r="B94" t="inlineStr">
        <is>
          <t>M12*60 HT HEX SET SCREW Z/BLUE</t>
        </is>
      </c>
      <c r="C94" t="inlineStr">
        <is>
          <t>M&amp;D SPECIALISED FASTENERS (PTY) LTD</t>
        </is>
      </c>
      <c r="D94" t="inlineStr">
        <is>
          <t>Uncategorized</t>
        </is>
      </c>
      <c r="E94" s="1" t="n">
        <v>4.4</v>
      </c>
      <c r="F94" t="n">
        <v>7</v>
      </c>
      <c r="G94" t="n">
        <v>0</v>
      </c>
      <c r="H94" t="n">
        <v>36</v>
      </c>
      <c r="I94" t="n">
        <v>0</v>
      </c>
      <c r="J94" t="n">
        <v>0</v>
      </c>
      <c r="K94">
        <f>IF(H94-I94-J94&gt;0,H94-I94-J94,0)</f>
        <v/>
      </c>
      <c r="L94" s="1">
        <f>IFERROR(I94*E94,0)</f>
        <v/>
      </c>
      <c r="M94" s="1">
        <f>IFERROR(K94*E94,0)</f>
        <v/>
      </c>
    </row>
    <row r="95">
      <c r="A95" t="inlineStr">
        <is>
          <t>238062</t>
        </is>
      </c>
      <c r="B95" t="inlineStr">
        <is>
          <t>M12*90 HT HEX SET SCREW Z/BLUE</t>
        </is>
      </c>
      <c r="C95" t="inlineStr">
        <is>
          <t>M&amp;D SPECIALISED FASTENERS (PTY) LTD</t>
        </is>
      </c>
      <c r="D95" t="inlineStr">
        <is>
          <t>Uncategorized</t>
        </is>
      </c>
      <c r="E95" s="1" t="n">
        <v>5.9</v>
      </c>
      <c r="F95" t="n">
        <v>7</v>
      </c>
      <c r="G95" t="n">
        <v>0</v>
      </c>
      <c r="H95" t="n">
        <v>35</v>
      </c>
      <c r="I95" t="n">
        <v>0</v>
      </c>
      <c r="J95" t="n">
        <v>0</v>
      </c>
      <c r="K95">
        <f>IF(H95-I95-J95&gt;0,H95-I95-J95,0)</f>
        <v/>
      </c>
      <c r="L95" s="1">
        <f>IFERROR(I95*E95,0)</f>
        <v/>
      </c>
      <c r="M95" s="1">
        <f>IFERROR(K95*E95,0)</f>
        <v/>
      </c>
    </row>
    <row r="96">
      <c r="A96" t="inlineStr">
        <is>
          <t>238152</t>
        </is>
      </c>
      <c r="B96" t="inlineStr">
        <is>
          <t>M16*100 HT HEX SET SCREW Z/BLUE</t>
        </is>
      </c>
      <c r="C96" t="inlineStr">
        <is>
          <t>M&amp;D SPECIALISED FASTENERS (PTY) LTD</t>
        </is>
      </c>
      <c r="D96" t="inlineStr">
        <is>
          <t>Uncategorized</t>
        </is>
      </c>
      <c r="E96" s="1" t="n">
        <v>12.5</v>
      </c>
      <c r="F96" t="n">
        <v>5</v>
      </c>
      <c r="G96" t="n">
        <v>0</v>
      </c>
      <c r="H96" t="n">
        <v>25</v>
      </c>
      <c r="I96" t="n">
        <v>0</v>
      </c>
      <c r="J96" t="n">
        <v>0</v>
      </c>
      <c r="K96">
        <f>IF(H96-I96-J96&gt;0,H96-I96-J96,0)</f>
        <v/>
      </c>
      <c r="L96" s="1">
        <f>IFERROR(I96*E96,0)</f>
        <v/>
      </c>
      <c r="M96" s="1">
        <f>IFERROR(K96*E96,0)</f>
        <v/>
      </c>
    </row>
    <row r="97">
      <c r="A97" t="inlineStr">
        <is>
          <t>238166</t>
        </is>
      </c>
      <c r="B97" t="inlineStr">
        <is>
          <t>M16*120 HT HEX SET SCREW Z/BLUE</t>
        </is>
      </c>
      <c r="C97" t="inlineStr">
        <is>
          <t>M&amp;D SPECIALISED FASTENERS (PTY) LTD</t>
        </is>
      </c>
      <c r="D97" t="inlineStr">
        <is>
          <t>Uncategorized</t>
        </is>
      </c>
      <c r="E97" s="1" t="n">
        <v>18</v>
      </c>
      <c r="F97" t="n">
        <v>17</v>
      </c>
      <c r="G97" t="n">
        <v>0</v>
      </c>
      <c r="H97" t="n">
        <v>84</v>
      </c>
      <c r="I97" t="n">
        <v>0</v>
      </c>
      <c r="J97" t="n">
        <v>0</v>
      </c>
      <c r="K97">
        <f>IF(H97-I97-J97&gt;0,H97-I97-J97,0)</f>
        <v/>
      </c>
      <c r="L97" s="1">
        <f>IFERROR(I97*E97,0)</f>
        <v/>
      </c>
      <c r="M97" s="1">
        <f>IFERROR(K97*E97,0)</f>
        <v/>
      </c>
    </row>
    <row r="98">
      <c r="A98" t="inlineStr">
        <is>
          <t>238185</t>
        </is>
      </c>
      <c r="B98" t="inlineStr">
        <is>
          <t>M16*150 HT HEX SET SCREW ZINC BLUE</t>
        </is>
      </c>
      <c r="C98" t="inlineStr">
        <is>
          <t>M&amp;D SPECIALISED FASTENERS (PTY) LTD</t>
        </is>
      </c>
      <c r="D98" t="inlineStr">
        <is>
          <t>Uncategorized</t>
        </is>
      </c>
      <c r="E98" s="1" t="n">
        <v>20</v>
      </c>
      <c r="F98" t="n">
        <v>30</v>
      </c>
      <c r="G98" t="n">
        <v>0</v>
      </c>
      <c r="H98" t="n">
        <v>150</v>
      </c>
      <c r="I98" t="n">
        <v>0</v>
      </c>
      <c r="J98" t="n">
        <v>0</v>
      </c>
      <c r="K98">
        <f>IF(H98-I98-J98&gt;0,H98-I98-J98,0)</f>
        <v/>
      </c>
      <c r="L98" s="1">
        <f>IFERROR(I98*E98,0)</f>
        <v/>
      </c>
      <c r="M98" s="1">
        <f>IFERROR(K98*E98,0)</f>
        <v/>
      </c>
    </row>
    <row r="99">
      <c r="A99" t="inlineStr">
        <is>
          <t>238307</t>
        </is>
      </c>
      <c r="B99" t="inlineStr">
        <is>
          <t>M16*80 HT HEX SET SCREW Z/BLUE</t>
        </is>
      </c>
      <c r="C99" t="inlineStr">
        <is>
          <t>M&amp;D SPECIALISED FASTENERS (PTY) LTD</t>
        </is>
      </c>
      <c r="D99" t="inlineStr">
        <is>
          <t>Uncategorized</t>
        </is>
      </c>
      <c r="E99" s="1" t="n">
        <v>11</v>
      </c>
      <c r="F99" t="n">
        <v>14</v>
      </c>
      <c r="G99" t="n">
        <v>0</v>
      </c>
      <c r="H99" t="n">
        <v>54</v>
      </c>
      <c r="I99" t="n">
        <v>0</v>
      </c>
      <c r="J99" t="n">
        <v>0</v>
      </c>
      <c r="K99">
        <f>IF(H99-I99-J99&gt;0,H99-I99-J99,0)</f>
        <v/>
      </c>
      <c r="L99" s="1">
        <f>IFERROR(I99*E99,0)</f>
        <v/>
      </c>
      <c r="M99" s="1">
        <f>IFERROR(K99*E99,0)</f>
        <v/>
      </c>
    </row>
    <row r="100">
      <c r="A100" t="inlineStr">
        <is>
          <t>239044</t>
        </is>
      </c>
      <c r="B100" t="inlineStr">
        <is>
          <t>M5*16 HT HEX SET SCREW Z/BLUE</t>
        </is>
      </c>
      <c r="C100" t="inlineStr">
        <is>
          <t>M&amp;D SPECIALISED FASTENERS (PTY) LTD</t>
        </is>
      </c>
      <c r="D100" t="inlineStr">
        <is>
          <t>Uncategorized</t>
        </is>
      </c>
      <c r="E100" s="1" t="n">
        <v>0.4</v>
      </c>
      <c r="F100" t="n">
        <v>100</v>
      </c>
      <c r="G100" t="n">
        <v>0</v>
      </c>
      <c r="H100" t="n">
        <v>500</v>
      </c>
      <c r="I100" t="n">
        <v>0</v>
      </c>
      <c r="J100" t="n">
        <v>0</v>
      </c>
      <c r="K100">
        <f>IF(H100-I100-J100&gt;0,H100-I100-J100,0)</f>
        <v/>
      </c>
      <c r="L100" s="1">
        <f>IFERROR(I100*E100,0)</f>
        <v/>
      </c>
      <c r="M100" s="1">
        <f>IFERROR(K100*E100,0)</f>
        <v/>
      </c>
    </row>
    <row r="101">
      <c r="A101" t="inlineStr">
        <is>
          <t>239281</t>
        </is>
      </c>
      <c r="B101" t="inlineStr">
        <is>
          <t>M8*16 HT SET SCREW Z/BLUE</t>
        </is>
      </c>
      <c r="C101" t="inlineStr">
        <is>
          <t>M&amp;D SPECIALISED FASTENERS (PTY) LTD</t>
        </is>
      </c>
      <c r="D101" t="inlineStr">
        <is>
          <t>Uncategorized</t>
        </is>
      </c>
      <c r="E101" s="1" t="n">
        <v>0.9</v>
      </c>
      <c r="F101" t="n">
        <v>80</v>
      </c>
      <c r="G101" t="n">
        <v>0</v>
      </c>
      <c r="H101" t="n">
        <v>400</v>
      </c>
      <c r="I101" t="n">
        <v>0</v>
      </c>
      <c r="J101" t="n">
        <v>0</v>
      </c>
      <c r="K101">
        <f>IF(H101-I101-J101&gt;0,H101-I101-J101,0)</f>
        <v/>
      </c>
      <c r="L101" s="1">
        <f>IFERROR(I101*E101,0)</f>
        <v/>
      </c>
      <c r="M101" s="1">
        <f>IFERROR(K101*E101,0)</f>
        <v/>
      </c>
    </row>
    <row r="102">
      <c r="A102" t="inlineStr">
        <is>
          <t>241419</t>
        </is>
      </c>
      <c r="B102" t="inlineStr">
        <is>
          <t>M10 (10.5X20X2) DIN 125 FLAT WASHER S/S 304 - A2</t>
        </is>
      </c>
      <c r="C102" t="inlineStr">
        <is>
          <t>M&amp;D SPECIALISED FASTENERS (PTY) LTD</t>
        </is>
      </c>
      <c r="D102" t="inlineStr">
        <is>
          <t>Uncategorized</t>
        </is>
      </c>
      <c r="E102" s="1" t="n">
        <v>0.4</v>
      </c>
      <c r="F102" t="n">
        <v>60</v>
      </c>
      <c r="G102" t="n">
        <v>0</v>
      </c>
      <c r="H102" t="n">
        <v>300</v>
      </c>
      <c r="I102" t="n">
        <v>0</v>
      </c>
      <c r="J102" t="n">
        <v>0</v>
      </c>
      <c r="K102">
        <f>IF(H102-I102-J102&gt;0,H102-I102-J102,0)</f>
        <v/>
      </c>
      <c r="L102" s="1">
        <f>IFERROR(I102*E102,0)</f>
        <v/>
      </c>
      <c r="M102" s="1">
        <f>IFERROR(K102*E102,0)</f>
        <v/>
      </c>
    </row>
    <row r="103">
      <c r="A103" t="inlineStr">
        <is>
          <t>241421</t>
        </is>
      </c>
      <c r="B103" t="inlineStr">
        <is>
          <t>M16 (17X30X3) FLAT WASHER DIN 125A S/S 304 - A2</t>
        </is>
      </c>
      <c r="C103" t="inlineStr">
        <is>
          <t>M&amp;D SPECIALISED FASTENERS (PTY) LTD</t>
        </is>
      </c>
      <c r="D103" t="inlineStr">
        <is>
          <t>Uncategorized</t>
        </is>
      </c>
      <c r="E103" s="1" t="n">
        <v>1.3</v>
      </c>
      <c r="F103" t="n">
        <v>140</v>
      </c>
      <c r="G103" t="n">
        <v>0</v>
      </c>
      <c r="H103" t="n">
        <v>700</v>
      </c>
      <c r="I103" t="n">
        <v>0</v>
      </c>
      <c r="J103" t="n">
        <v>0</v>
      </c>
      <c r="K103">
        <f>IF(H103-I103-J103&gt;0,H103-I103-J103,0)</f>
        <v/>
      </c>
      <c r="L103" s="1">
        <f>IFERROR(I103*E103,0)</f>
        <v/>
      </c>
      <c r="M103" s="1">
        <f>IFERROR(K103*E103,0)</f>
        <v/>
      </c>
    </row>
    <row r="104">
      <c r="A104" t="inlineStr">
        <is>
          <t>241440</t>
        </is>
      </c>
      <c r="B104" t="inlineStr">
        <is>
          <t>M5 FLAT WASHER DIN 125A S/S 304 - A2 -(5.3i/d X 10o/d X 1thk)</t>
        </is>
      </c>
      <c r="C104" t="inlineStr">
        <is>
          <t>M&amp;D SPECIALISED FASTENERS (PTY) LTD</t>
        </is>
      </c>
      <c r="D104" t="inlineStr">
        <is>
          <t>Uncategorized</t>
        </is>
      </c>
      <c r="E104" s="1" t="n">
        <v>0.06</v>
      </c>
      <c r="F104" t="n">
        <v>60</v>
      </c>
      <c r="G104" t="n">
        <v>0</v>
      </c>
      <c r="H104" t="n">
        <v>300</v>
      </c>
      <c r="I104" t="n">
        <v>0</v>
      </c>
      <c r="J104" t="n">
        <v>0</v>
      </c>
      <c r="K104">
        <f>IF(H104-I104-J104&gt;0,H104-I104-J104,0)</f>
        <v/>
      </c>
      <c r="L104" s="1">
        <f>IFERROR(I104*E104,0)</f>
        <v/>
      </c>
      <c r="M104" s="1">
        <f>IFERROR(K104*E104,0)</f>
        <v/>
      </c>
    </row>
    <row r="105">
      <c r="A105" t="inlineStr">
        <is>
          <t>241442</t>
        </is>
      </c>
      <c r="B105" t="inlineStr">
        <is>
          <t>M6 FLAT WASHER DIN 125A S/S 304 - A2 - (6.4X12.5X1.6)</t>
        </is>
      </c>
      <c r="C105" t="inlineStr">
        <is>
          <t>M&amp;D SPECIALISED FASTENERS (PTY) LTD</t>
        </is>
      </c>
      <c r="D105" t="inlineStr">
        <is>
          <t>Uncategorized</t>
        </is>
      </c>
      <c r="E105" s="1" t="n">
        <v>0.15</v>
      </c>
      <c r="F105" t="n">
        <v>60</v>
      </c>
      <c r="G105" t="n">
        <v>0</v>
      </c>
      <c r="H105" t="n">
        <v>300</v>
      </c>
      <c r="I105" t="n">
        <v>0</v>
      </c>
      <c r="J105" t="n">
        <v>0</v>
      </c>
      <c r="K105">
        <f>IF(H105-I105-J105&gt;0,H105-I105-J105,0)</f>
        <v/>
      </c>
      <c r="L105" s="1">
        <f>IFERROR(I105*E105,0)</f>
        <v/>
      </c>
      <c r="M105" s="1">
        <f>IFERROR(K105*E105,0)</f>
        <v/>
      </c>
    </row>
    <row r="106">
      <c r="A106" t="inlineStr">
        <is>
          <t>244896</t>
        </is>
      </c>
      <c r="B106" t="inlineStr">
        <is>
          <t>M10*25 HEX SET SCREW S/S 304 - A2</t>
        </is>
      </c>
      <c r="C106" t="inlineStr">
        <is>
          <t>M&amp;D SPECIALISED FASTENERS (PTY) LTD</t>
        </is>
      </c>
      <c r="D106" t="inlineStr">
        <is>
          <t>Uncategorized</t>
        </is>
      </c>
      <c r="E106" s="1" t="n">
        <v>3</v>
      </c>
      <c r="F106" t="n">
        <v>60</v>
      </c>
      <c r="G106" t="n">
        <v>0</v>
      </c>
      <c r="H106" t="n">
        <v>300</v>
      </c>
      <c r="I106" t="n">
        <v>0</v>
      </c>
      <c r="J106" t="n">
        <v>0</v>
      </c>
      <c r="K106">
        <f>IF(H106-I106-J106&gt;0,H106-I106-J106,0)</f>
        <v/>
      </c>
      <c r="L106" s="1">
        <f>IFERROR(I106*E106,0)</f>
        <v/>
      </c>
      <c r="M106" s="1">
        <f>IFERROR(K106*E106,0)</f>
        <v/>
      </c>
    </row>
    <row r="107">
      <c r="A107" t="inlineStr">
        <is>
          <t>244949</t>
        </is>
      </c>
      <c r="B107" t="inlineStr">
        <is>
          <t>M12*25 HEX SET SCREW S/S A2 - 304</t>
        </is>
      </c>
      <c r="C107" t="inlineStr">
        <is>
          <t>M&amp;D SPECIALISED FASTENERS (PTY) LTD</t>
        </is>
      </c>
      <c r="D107" t="inlineStr">
        <is>
          <t>Uncategorized</t>
        </is>
      </c>
      <c r="E107" s="1" t="n">
        <v>4.5</v>
      </c>
      <c r="F107" t="n">
        <v>60</v>
      </c>
      <c r="G107" t="n">
        <v>0</v>
      </c>
      <c r="H107" t="n">
        <v>300</v>
      </c>
      <c r="I107" t="n">
        <v>0</v>
      </c>
      <c r="J107" t="n">
        <v>0</v>
      </c>
      <c r="K107">
        <f>IF(H107-I107-J107&gt;0,H107-I107-J107,0)</f>
        <v/>
      </c>
      <c r="L107" s="1">
        <f>IFERROR(I107*E107,0)</f>
        <v/>
      </c>
      <c r="M107" s="1">
        <f>IFERROR(K107*E107,0)</f>
        <v/>
      </c>
    </row>
    <row r="108">
      <c r="A108" t="inlineStr">
        <is>
          <t>244999</t>
        </is>
      </c>
      <c r="B108" t="inlineStr">
        <is>
          <t>M16X120 A2 HEX SET SCREW</t>
        </is>
      </c>
      <c r="C108" t="inlineStr">
        <is>
          <t>M&amp;D SPECIALISED FASTENERS (PTY) LTD</t>
        </is>
      </c>
      <c r="D108" t="inlineStr">
        <is>
          <t>Uncategorized</t>
        </is>
      </c>
      <c r="E108" s="1" t="n">
        <v>45</v>
      </c>
      <c r="F108" t="n">
        <v>40</v>
      </c>
      <c r="G108" t="n">
        <v>0</v>
      </c>
      <c r="H108" t="n">
        <v>200</v>
      </c>
      <c r="I108" t="n">
        <v>0</v>
      </c>
      <c r="J108" t="n">
        <v>0</v>
      </c>
      <c r="K108">
        <f>IF(H108-I108-J108&gt;0,H108-I108-J108,0)</f>
        <v/>
      </c>
      <c r="L108" s="1">
        <f>IFERROR(I108*E108,0)</f>
        <v/>
      </c>
      <c r="M108" s="1">
        <f>IFERROR(K108*E108,0)</f>
        <v/>
      </c>
    </row>
    <row r="109">
      <c r="A109" t="inlineStr">
        <is>
          <t>245022</t>
        </is>
      </c>
      <c r="B109" t="inlineStr">
        <is>
          <t>M16*60 HEX SET SCREW S/S A2 - 304</t>
        </is>
      </c>
      <c r="C109" t="inlineStr">
        <is>
          <t>M&amp;D SPECIALISED FASTENERS (PTY) LTD</t>
        </is>
      </c>
      <c r="D109" t="inlineStr">
        <is>
          <t>Uncategorized</t>
        </is>
      </c>
      <c r="E109" s="1" t="n">
        <v>15</v>
      </c>
      <c r="F109" t="n">
        <v>4</v>
      </c>
      <c r="G109" t="n">
        <v>0</v>
      </c>
      <c r="H109" t="n">
        <v>20</v>
      </c>
      <c r="I109" t="n">
        <v>0</v>
      </c>
      <c r="J109" t="n">
        <v>0</v>
      </c>
      <c r="K109">
        <f>IF(H109-I109-J109&gt;0,H109-I109-J109,0)</f>
        <v/>
      </c>
      <c r="L109" s="1">
        <f>IFERROR(I109*E109,0)</f>
        <v/>
      </c>
      <c r="M109" s="1">
        <f>IFERROR(K109*E109,0)</f>
        <v/>
      </c>
    </row>
    <row r="110">
      <c r="A110" t="inlineStr">
        <is>
          <t>245035</t>
        </is>
      </c>
      <c r="B110" t="inlineStr">
        <is>
          <t>M16*90 A2 HEX SET SCREW</t>
        </is>
      </c>
      <c r="C110" t="inlineStr">
        <is>
          <t>M&amp;D SPECIALISED FASTENERS (PTY) LTD</t>
        </is>
      </c>
      <c r="D110" t="inlineStr">
        <is>
          <t>Uncategorized</t>
        </is>
      </c>
      <c r="E110" s="1" t="n">
        <v>20</v>
      </c>
      <c r="F110" t="n">
        <v>4</v>
      </c>
      <c r="G110" t="n">
        <v>0</v>
      </c>
      <c r="H110" t="n">
        <v>20</v>
      </c>
      <c r="I110" t="n">
        <v>0</v>
      </c>
      <c r="J110" t="n">
        <v>0</v>
      </c>
      <c r="K110">
        <f>IF(H110-I110-J110&gt;0,H110-I110-J110,0)</f>
        <v/>
      </c>
      <c r="L110" s="1">
        <f>IFERROR(I110*E110,0)</f>
        <v/>
      </c>
      <c r="M110" s="1">
        <f>IFERROR(K110*E110,0)</f>
        <v/>
      </c>
    </row>
    <row r="111">
      <c r="A111" t="inlineStr">
        <is>
          <t>245328</t>
        </is>
      </c>
      <c r="B111" t="inlineStr">
        <is>
          <t>M12 HEX NUT S/S 304 - A2</t>
        </is>
      </c>
      <c r="C111" t="inlineStr">
        <is>
          <t>M&amp;D SPECIALISED FASTENERS (PTY) LTD</t>
        </is>
      </c>
      <c r="D111" t="inlineStr">
        <is>
          <t>Uncategorized</t>
        </is>
      </c>
      <c r="E111" s="1" t="n">
        <v>1.8</v>
      </c>
      <c r="F111" t="n">
        <v>72</v>
      </c>
      <c r="G111" t="n">
        <v>0</v>
      </c>
      <c r="H111" t="n">
        <v>360</v>
      </c>
      <c r="I111" t="n">
        <v>0</v>
      </c>
      <c r="J111" t="n">
        <v>0</v>
      </c>
      <c r="K111">
        <f>IF(H111-I111-J111&gt;0,H111-I111-J111,0)</f>
        <v/>
      </c>
      <c r="L111" s="1">
        <f>IFERROR(I111*E111,0)</f>
        <v/>
      </c>
      <c r="M111" s="1">
        <f>IFERROR(K111*E111,0)</f>
        <v/>
      </c>
    </row>
    <row r="112">
      <c r="A112" t="inlineStr">
        <is>
          <t>245333</t>
        </is>
      </c>
      <c r="B112" t="inlineStr">
        <is>
          <t>M16 HEX NUT S/S A2 304</t>
        </is>
      </c>
      <c r="C112" t="inlineStr">
        <is>
          <t>M&amp;D SPECIALISED FASTENERS (PTY) LTD</t>
        </is>
      </c>
      <c r="D112" t="inlineStr">
        <is>
          <t>Uncategorized</t>
        </is>
      </c>
      <c r="E112" s="1" t="n">
        <v>3.5</v>
      </c>
      <c r="F112" t="n">
        <v>120</v>
      </c>
      <c r="G112" t="n">
        <v>0</v>
      </c>
      <c r="H112" t="n">
        <v>600</v>
      </c>
      <c r="I112" t="n">
        <v>0</v>
      </c>
      <c r="J112" t="n">
        <v>0</v>
      </c>
      <c r="K112">
        <f>IF(H112-I112-J112&gt;0,H112-I112-J112,0)</f>
        <v/>
      </c>
      <c r="L112" s="1">
        <f>IFERROR(I112*E112,0)</f>
        <v/>
      </c>
      <c r="M112" s="1">
        <f>IFERROR(K112*E112,0)</f>
        <v/>
      </c>
    </row>
    <row r="113">
      <c r="A113" t="inlineStr">
        <is>
          <t>245388</t>
        </is>
      </c>
      <c r="B113" t="inlineStr">
        <is>
          <t>M6 HEX NUT S/S 304 - A2</t>
        </is>
      </c>
      <c r="C113" t="inlineStr">
        <is>
          <t>M&amp;D SPECIALISED FASTENERS (PTY) LTD</t>
        </is>
      </c>
      <c r="D113" t="inlineStr">
        <is>
          <t>Uncategorized</t>
        </is>
      </c>
      <c r="E113" s="1" t="n">
        <v>0.3</v>
      </c>
      <c r="F113" t="n">
        <v>150</v>
      </c>
      <c r="G113" t="n">
        <v>0</v>
      </c>
      <c r="H113" t="n">
        <v>750</v>
      </c>
      <c r="I113" t="n">
        <v>0</v>
      </c>
      <c r="J113" t="n">
        <v>0</v>
      </c>
      <c r="K113">
        <f>IF(H113-I113-J113&gt;0,H113-I113-J113,0)</f>
        <v/>
      </c>
      <c r="L113" s="1">
        <f>IFERROR(I113*E113,0)</f>
        <v/>
      </c>
      <c r="M113" s="1">
        <f>IFERROR(K113*E113,0)</f>
        <v/>
      </c>
    </row>
    <row r="114">
      <c r="A114" t="inlineStr">
        <is>
          <t>250/355 WC</t>
        </is>
      </c>
      <c r="B114" t="inlineStr">
        <is>
          <t>Wall Cowl Galvanized</t>
        </is>
      </c>
      <c r="C114" t="inlineStr">
        <is>
          <t>Attenu-Tec HVAC Parts</t>
        </is>
      </c>
      <c r="D114" t="inlineStr">
        <is>
          <t>Uncategorized</t>
        </is>
      </c>
      <c r="E114" s="1" t="n">
        <v>653</v>
      </c>
      <c r="F114" t="n">
        <v>2</v>
      </c>
      <c r="G114" t="n">
        <v>0</v>
      </c>
      <c r="H114" t="n">
        <v>8</v>
      </c>
      <c r="I114" t="n">
        <v>0</v>
      </c>
      <c r="J114" t="n">
        <v>0</v>
      </c>
      <c r="K114">
        <f>IF(H114-I114-J114&gt;0,H114-I114-J114,0)</f>
        <v/>
      </c>
      <c r="L114" s="1">
        <f>IFERROR(I114*E114,0)</f>
        <v/>
      </c>
      <c r="M114" s="1">
        <f>IFERROR(K114*E114,0)</f>
        <v/>
      </c>
    </row>
    <row r="115">
      <c r="A115" t="inlineStr">
        <is>
          <t>25001</t>
        </is>
      </c>
      <c r="B115" t="inlineStr">
        <is>
          <t>PRA BLANKING PLUG FLP Exd 20mm</t>
        </is>
      </c>
      <c r="C115" t="inlineStr">
        <is>
          <t>Pratley (Pty) Ltd</t>
        </is>
      </c>
      <c r="D115" t="inlineStr">
        <is>
          <t>Uncategorized</t>
        </is>
      </c>
      <c r="E115" s="1" t="n">
        <v>54.56</v>
      </c>
      <c r="F115" t="n">
        <v>1</v>
      </c>
      <c r="G115" t="n">
        <v>0</v>
      </c>
      <c r="H115" t="n">
        <v>5</v>
      </c>
      <c r="I115" t="n">
        <v>0</v>
      </c>
      <c r="J115" t="n">
        <v>0</v>
      </c>
      <c r="K115">
        <f>IF(H115-I115-J115&gt;0,H115-I115-J115,0)</f>
        <v/>
      </c>
      <c r="L115" s="1">
        <f>IFERROR(I115*E115,0)</f>
        <v/>
      </c>
      <c r="M115" s="1">
        <f>IFERROR(K115*E115,0)</f>
        <v/>
      </c>
    </row>
    <row r="116">
      <c r="A116" t="inlineStr">
        <is>
          <t>250LS</t>
        </is>
      </c>
      <c r="B116" t="inlineStr">
        <is>
          <t>Louvre Shutter</t>
        </is>
      </c>
      <c r="C116" t="inlineStr"/>
      <c r="D116" t="inlineStr">
        <is>
          <t>Uncategorized</t>
        </is>
      </c>
      <c r="E116" s="1" t="n">
        <v>0</v>
      </c>
      <c r="F116" t="n">
        <v>1</v>
      </c>
      <c r="G116" t="n">
        <v>0</v>
      </c>
      <c r="H116" t="n">
        <v>2</v>
      </c>
      <c r="I116" t="n">
        <v>0</v>
      </c>
      <c r="J116" t="n">
        <v>0</v>
      </c>
      <c r="K116">
        <f>IF(H116-I116-J116&gt;0,H116-I116-J116,0)</f>
        <v/>
      </c>
      <c r="L116" s="1">
        <f>IFERROR(I116*E116,0)</f>
        <v/>
      </c>
      <c r="M116" s="1">
        <f>IFERROR(K116*E116,0)</f>
        <v/>
      </c>
    </row>
    <row r="117">
      <c r="A117" t="inlineStr">
        <is>
          <t>250T1200</t>
        </is>
      </c>
      <c r="B117" t="inlineStr">
        <is>
          <t>250 Diam Tube Silencer 1200L</t>
        </is>
      </c>
      <c r="C117" t="inlineStr">
        <is>
          <t>Attenu-Tec</t>
        </is>
      </c>
      <c r="D117" t="inlineStr">
        <is>
          <t>Uncategorized</t>
        </is>
      </c>
      <c r="E117" s="1" t="n">
        <v>818</v>
      </c>
      <c r="F117" t="n">
        <v>2</v>
      </c>
      <c r="G117" t="n">
        <v>0</v>
      </c>
      <c r="H117" t="n">
        <v>8</v>
      </c>
      <c r="I117" t="n">
        <v>0</v>
      </c>
      <c r="J117" t="n">
        <v>0</v>
      </c>
      <c r="K117">
        <f>IF(H117-I117-J117&gt;0,H117-I117-J117,0)</f>
        <v/>
      </c>
      <c r="L117" s="1">
        <f>IFERROR(I117*E117,0)</f>
        <v/>
      </c>
      <c r="M117" s="1">
        <f>IFERROR(K117*E117,0)</f>
        <v/>
      </c>
    </row>
    <row r="118">
      <c r="A118" t="inlineStr">
        <is>
          <t>2517X25MM.</t>
        </is>
      </c>
      <c r="B118" t="inlineStr">
        <is>
          <t>TAPER LOCK BUSH METRIC 2517 25MM FENNER</t>
        </is>
      </c>
      <c r="C118" t="inlineStr">
        <is>
          <t>Bearing Man Group</t>
        </is>
      </c>
      <c r="D118" t="inlineStr">
        <is>
          <t>Uncategorized</t>
        </is>
      </c>
      <c r="E118" s="1" t="n">
        <v>159.27</v>
      </c>
      <c r="F118" t="n">
        <v>10</v>
      </c>
      <c r="G118" t="n">
        <v>0</v>
      </c>
      <c r="H118" t="n">
        <v>20</v>
      </c>
      <c r="I118" t="n">
        <v>0</v>
      </c>
      <c r="J118" t="n">
        <v>0</v>
      </c>
      <c r="K118">
        <f>IF(H118-I118-J118&gt;0,H118-I118-J118,0)</f>
        <v/>
      </c>
      <c r="L118" s="1">
        <f>IFERROR(I118*E118,0)</f>
        <v/>
      </c>
      <c r="M118" s="1">
        <f>IFERROR(K118*E118,0)</f>
        <v/>
      </c>
    </row>
    <row r="119">
      <c r="A119" t="inlineStr">
        <is>
          <t>2517X28MM</t>
        </is>
      </c>
      <c r="B119" t="inlineStr">
        <is>
          <t>TAPER LOCK BUSH METRIC 2517 28MM FENNER</t>
        </is>
      </c>
      <c r="C119" t="inlineStr">
        <is>
          <t>Bearing Man Group</t>
        </is>
      </c>
      <c r="D119" t="inlineStr">
        <is>
          <t>Uncategorized</t>
        </is>
      </c>
      <c r="E119" s="1" t="n">
        <v>154.81</v>
      </c>
      <c r="F119" t="n">
        <v>1</v>
      </c>
      <c r="G119" t="n">
        <v>0</v>
      </c>
      <c r="H119" t="n">
        <v>2</v>
      </c>
      <c r="I119" t="n">
        <v>0</v>
      </c>
      <c r="J119" t="n">
        <v>0</v>
      </c>
      <c r="K119">
        <f>IF(H119-I119-J119&gt;0,H119-I119-J119,0)</f>
        <v/>
      </c>
      <c r="L119" s="1">
        <f>IFERROR(I119*E119,0)</f>
        <v/>
      </c>
      <c r="M119" s="1">
        <f>IFERROR(K119*E119,0)</f>
        <v/>
      </c>
    </row>
    <row r="120">
      <c r="A120" t="inlineStr">
        <is>
          <t>2517X35MM</t>
        </is>
      </c>
      <c r="B120" t="inlineStr">
        <is>
          <t>TAPER LOCK BUSH METRIC 2517 35MM FENNER</t>
        </is>
      </c>
      <c r="C120" t="inlineStr">
        <is>
          <t>Bearing Man Group</t>
        </is>
      </c>
      <c r="D120" t="inlineStr">
        <is>
          <t>Uncategorized</t>
        </is>
      </c>
      <c r="E120" s="1" t="n">
        <v>170.11</v>
      </c>
      <c r="F120" t="n">
        <v>1</v>
      </c>
      <c r="G120" t="n">
        <v>0</v>
      </c>
      <c r="H120" t="n">
        <v>5</v>
      </c>
      <c r="I120" t="n">
        <v>0</v>
      </c>
      <c r="J120" t="n">
        <v>0</v>
      </c>
      <c r="K120">
        <f>IF(H120-I120-J120&gt;0,H120-I120-J120,0)</f>
        <v/>
      </c>
      <c r="L120" s="1">
        <f>IFERROR(I120*E120,0)</f>
        <v/>
      </c>
      <c r="M120" s="1">
        <f>IFERROR(K120*E120,0)</f>
        <v/>
      </c>
    </row>
    <row r="121">
      <c r="A121" t="inlineStr">
        <is>
          <t>257799</t>
        </is>
      </c>
      <c r="B121" t="inlineStr">
        <is>
          <t>M10 DIN 934 GRADE 8.8 HEX NUT - Satinless Steel</t>
        </is>
      </c>
      <c r="C121" t="inlineStr">
        <is>
          <t>M&amp;D SPECIALISED FASTENERS (PTY) LTD</t>
        </is>
      </c>
      <c r="D121" t="inlineStr">
        <is>
          <t>Uncategorized</t>
        </is>
      </c>
      <c r="E121" s="1" t="n">
        <v>1.5</v>
      </c>
      <c r="F121" t="n">
        <v>60</v>
      </c>
      <c r="G121" t="n">
        <v>0</v>
      </c>
      <c r="H121" t="n">
        <v>300</v>
      </c>
      <c r="I121" t="n">
        <v>0</v>
      </c>
      <c r="J121" t="n">
        <v>0</v>
      </c>
      <c r="K121">
        <f>IF(H121-I121-J121&gt;0,H121-I121-J121,0)</f>
        <v/>
      </c>
      <c r="L121" s="1">
        <f>IFERROR(I121*E121,0)</f>
        <v/>
      </c>
      <c r="M121" s="1">
        <f>IFERROR(K121*E121,0)</f>
        <v/>
      </c>
    </row>
    <row r="122">
      <c r="A122" t="inlineStr">
        <is>
          <t>257855</t>
        </is>
      </c>
      <c r="B122" t="inlineStr">
        <is>
          <t>M16 GR8 HEX NUT Z/BLUE</t>
        </is>
      </c>
      <c r="C122" t="inlineStr">
        <is>
          <t>M&amp;D SPECIALISED FASTENERS (PTY) LTD</t>
        </is>
      </c>
      <c r="D122" t="inlineStr">
        <is>
          <t>Uncategorized</t>
        </is>
      </c>
      <c r="E122" s="1" t="n">
        <v>1.88</v>
      </c>
      <c r="F122" t="n">
        <v>34</v>
      </c>
      <c r="G122" t="n">
        <v>0</v>
      </c>
      <c r="H122" t="n">
        <v>170</v>
      </c>
      <c r="I122" t="n">
        <v>0</v>
      </c>
      <c r="J122" t="n">
        <v>0</v>
      </c>
      <c r="K122">
        <f>IF(H122-I122-J122&gt;0,H122-I122-J122,0)</f>
        <v/>
      </c>
      <c r="L122" s="1">
        <f>IFERROR(I122*E122,0)</f>
        <v/>
      </c>
      <c r="M122" s="1">
        <f>IFERROR(K122*E122,0)</f>
        <v/>
      </c>
    </row>
    <row r="123">
      <c r="A123" t="inlineStr">
        <is>
          <t>258032</t>
        </is>
      </c>
      <c r="B123" t="inlineStr">
        <is>
          <t>M5 HT HEX NUT Z/BLUE</t>
        </is>
      </c>
      <c r="C123" t="inlineStr">
        <is>
          <t>M&amp;D SPECIALISED FASTENERS (PTY) LTD</t>
        </is>
      </c>
      <c r="D123" t="inlineStr">
        <is>
          <t>Uncategorized</t>
        </is>
      </c>
      <c r="E123" s="1" t="n">
        <v>0.15</v>
      </c>
      <c r="F123" t="n">
        <v>100</v>
      </c>
      <c r="G123" t="n">
        <v>0</v>
      </c>
      <c r="H123" t="n">
        <v>500</v>
      </c>
      <c r="I123" t="n">
        <v>0</v>
      </c>
      <c r="J123" t="n">
        <v>0</v>
      </c>
      <c r="K123">
        <f>IF(H123-I123-J123&gt;0,H123-I123-J123,0)</f>
        <v/>
      </c>
      <c r="L123" s="1">
        <f>IFERROR(I123*E123,0)</f>
        <v/>
      </c>
      <c r="M123" s="1">
        <f>IFERROR(K123*E123,0)</f>
        <v/>
      </c>
    </row>
    <row r="124">
      <c r="A124" t="inlineStr">
        <is>
          <t>258205</t>
        </is>
      </c>
      <c r="B124" t="inlineStr">
        <is>
          <t>M12 HT NYLOCK NUT</t>
        </is>
      </c>
      <c r="C124" t="inlineStr">
        <is>
          <t>M&amp;D SPECIALISED FASTENERS (PTY) LTD</t>
        </is>
      </c>
      <c r="D124" t="inlineStr">
        <is>
          <t>Uncategorized</t>
        </is>
      </c>
      <c r="E124" s="1" t="n">
        <v>0.9</v>
      </c>
      <c r="F124" t="n">
        <v>20</v>
      </c>
      <c r="G124" t="n">
        <v>0</v>
      </c>
      <c r="H124" t="n">
        <v>100</v>
      </c>
      <c r="I124" t="n">
        <v>0</v>
      </c>
      <c r="J124" t="n">
        <v>0</v>
      </c>
      <c r="K124">
        <f>IF(H124-I124-J124&gt;0,H124-I124-J124,0)</f>
        <v/>
      </c>
      <c r="L124" s="1">
        <f>IFERROR(I124*E124,0)</f>
        <v/>
      </c>
      <c r="M124" s="1">
        <f>IFERROR(K124*E124,0)</f>
        <v/>
      </c>
    </row>
    <row r="125">
      <c r="A125" t="inlineStr">
        <is>
          <t>258306</t>
        </is>
      </c>
      <c r="B125" t="inlineStr">
        <is>
          <t>M6 HT NYLOCK NUT</t>
        </is>
      </c>
      <c r="C125" t="inlineStr">
        <is>
          <t>M&amp;D SPECIALISED FASTENERS (PTY) LTD</t>
        </is>
      </c>
      <c r="D125" t="inlineStr">
        <is>
          <t>Uncategorized</t>
        </is>
      </c>
      <c r="E125" s="1" t="n">
        <v>0.2</v>
      </c>
      <c r="F125" t="n">
        <v>15</v>
      </c>
      <c r="G125" t="n">
        <v>0</v>
      </c>
      <c r="H125" t="n">
        <v>74</v>
      </c>
      <c r="I125" t="n">
        <v>0</v>
      </c>
      <c r="J125" t="n">
        <v>0</v>
      </c>
      <c r="K125">
        <f>IF(H125-I125-J125&gt;0,H125-I125-J125,0)</f>
        <v/>
      </c>
      <c r="L125" s="1">
        <f>IFERROR(I125*E125,0)</f>
        <v/>
      </c>
      <c r="M125" s="1">
        <f>IFERROR(K125*E125,0)</f>
        <v/>
      </c>
    </row>
    <row r="126">
      <c r="A126" t="inlineStr">
        <is>
          <t>26-29</t>
        </is>
      </c>
      <c r="B126" t="inlineStr">
        <is>
          <t>4MM RED RING LUGS</t>
        </is>
      </c>
      <c r="C126" t="inlineStr">
        <is>
          <t>Atlantic Lighting &amp; Electrical distributors</t>
        </is>
      </c>
      <c r="D126" t="inlineStr">
        <is>
          <t>Uncategorized</t>
        </is>
      </c>
      <c r="E126" s="1" t="n">
        <v>83.34</v>
      </c>
      <c r="F126" t="n">
        <v>2</v>
      </c>
      <c r="G126" t="n">
        <v>0</v>
      </c>
      <c r="H126" t="n">
        <v>10</v>
      </c>
      <c r="I126" t="n">
        <v>0</v>
      </c>
      <c r="J126" t="n">
        <v>0</v>
      </c>
      <c r="K126">
        <f>IF(H126-I126-J126&gt;0,H126-I126-J126,0)</f>
        <v/>
      </c>
      <c r="L126" s="1">
        <f>IFERROR(I126*E126,0)</f>
        <v/>
      </c>
      <c r="M126" s="1">
        <f>IFERROR(K126*E126,0)</f>
        <v/>
      </c>
    </row>
    <row r="127">
      <c r="A127" t="inlineStr">
        <is>
          <t>26-30</t>
        </is>
      </c>
      <c r="B127" t="inlineStr">
        <is>
          <t>5MM RED RING LUGS</t>
        </is>
      </c>
      <c r="C127" t="inlineStr">
        <is>
          <t>Atlantic Lighting &amp; Electrical distributors</t>
        </is>
      </c>
      <c r="D127" t="inlineStr">
        <is>
          <t>Uncategorized</t>
        </is>
      </c>
      <c r="E127" s="1" t="n">
        <v>86.31</v>
      </c>
      <c r="F127" t="n">
        <v>2</v>
      </c>
      <c r="G127" t="n">
        <v>0</v>
      </c>
      <c r="H127" t="n">
        <v>10</v>
      </c>
      <c r="I127" t="n">
        <v>0</v>
      </c>
      <c r="J127" t="n">
        <v>0</v>
      </c>
      <c r="K127">
        <f>IF(H127-I127-J127&gt;0,H127-I127-J127,0)</f>
        <v/>
      </c>
      <c r="L127" s="1">
        <f>IFERROR(I127*E127,0)</f>
        <v/>
      </c>
      <c r="M127" s="1">
        <f>IFERROR(K127*E127,0)</f>
        <v/>
      </c>
    </row>
    <row r="128">
      <c r="A128" t="inlineStr">
        <is>
          <t>267215</t>
        </is>
      </c>
      <c r="B128" t="inlineStr">
        <is>
          <t>M12 HEX NUT ZINC BLUE</t>
        </is>
      </c>
      <c r="C128" t="inlineStr">
        <is>
          <t>M&amp;D SPECIALISED FASTENERS (PTY) LTD</t>
        </is>
      </c>
      <c r="D128" t="inlineStr">
        <is>
          <t>Uncategorized</t>
        </is>
      </c>
      <c r="E128" s="1" t="n">
        <v>1</v>
      </c>
      <c r="F128" t="n">
        <v>23</v>
      </c>
      <c r="G128" t="n">
        <v>0</v>
      </c>
      <c r="H128" t="n">
        <v>114</v>
      </c>
      <c r="I128" t="n">
        <v>0</v>
      </c>
      <c r="J128" t="n">
        <v>0</v>
      </c>
      <c r="K128">
        <f>IF(H128-I128-J128&gt;0,H128-I128-J128,0)</f>
        <v/>
      </c>
      <c r="L128" s="1">
        <f>IFERROR(I128*E128,0)</f>
        <v/>
      </c>
      <c r="M128" s="1">
        <f>IFERROR(K128*E128,0)</f>
        <v/>
      </c>
    </row>
    <row r="129">
      <c r="A129" t="inlineStr">
        <is>
          <t>3 MM PLT</t>
        </is>
      </c>
      <c r="B129" t="inlineStr">
        <is>
          <t>Bending</t>
        </is>
      </c>
      <c r="C129" t="inlineStr">
        <is>
          <t>Kart Shop TA Ultimate Laser Cutting</t>
        </is>
      </c>
      <c r="D129" t="inlineStr">
        <is>
          <t>Uncategorized</t>
        </is>
      </c>
      <c r="E129" s="1" t="n">
        <v>5</v>
      </c>
      <c r="F129" t="n">
        <v>112</v>
      </c>
      <c r="G129" t="n">
        <v>0</v>
      </c>
      <c r="H129" t="n">
        <v>432</v>
      </c>
      <c r="I129" t="n">
        <v>0</v>
      </c>
      <c r="J129" t="n">
        <v>0</v>
      </c>
      <c r="K129">
        <f>IF(H129-I129-J129&gt;0,H129-I129-J129,0)</f>
        <v/>
      </c>
      <c r="L129" s="1">
        <f>IFERROR(I129*E129,0)</f>
        <v/>
      </c>
      <c r="M129" s="1">
        <f>IFERROR(K129*E129,0)</f>
        <v/>
      </c>
    </row>
    <row r="130">
      <c r="A130" t="inlineStr">
        <is>
          <t>3000x1500x3mm</t>
        </is>
      </c>
      <c r="B130" t="inlineStr">
        <is>
          <t>HR Sheet CQ 3000x1500x3mm</t>
        </is>
      </c>
      <c r="C130" t="inlineStr">
        <is>
          <t>NJR STEEL - ALRODE (PTY) LTD</t>
        </is>
      </c>
      <c r="D130" t="inlineStr">
        <is>
          <t>Uncategorized</t>
        </is>
      </c>
      <c r="E130" s="1" t="n">
        <v>1536.76</v>
      </c>
      <c r="F130" t="n">
        <v>1</v>
      </c>
      <c r="G130" t="n">
        <v>0</v>
      </c>
      <c r="H130" t="n">
        <v>5</v>
      </c>
      <c r="I130" t="n">
        <v>0</v>
      </c>
      <c r="J130" t="n">
        <v>0</v>
      </c>
      <c r="K130">
        <f>IF(H130-I130-J130&gt;0,H130-I130-J130,0)</f>
        <v/>
      </c>
      <c r="L130" s="1">
        <f>IFERROR(I130*E130,0)</f>
        <v/>
      </c>
      <c r="M130" s="1">
        <f>IFERROR(K130*E130,0)</f>
        <v/>
      </c>
    </row>
    <row r="131">
      <c r="A131" t="inlineStr">
        <is>
          <t>300WL</t>
        </is>
      </c>
      <c r="B131" t="inlineStr">
        <is>
          <t>Weather Louvre</t>
        </is>
      </c>
      <c r="C131" t="inlineStr"/>
      <c r="D131" t="inlineStr">
        <is>
          <t>Uncategorized</t>
        </is>
      </c>
      <c r="E131" s="1" t="n">
        <v>0</v>
      </c>
      <c r="F131" t="n">
        <v>1</v>
      </c>
      <c r="G131" t="n">
        <v>0</v>
      </c>
      <c r="H131" t="n">
        <v>2</v>
      </c>
      <c r="I131" t="n">
        <v>0</v>
      </c>
      <c r="J131" t="n">
        <v>0</v>
      </c>
      <c r="K131">
        <f>IF(H131-I131-J131&gt;0,H131-I131-J131,0)</f>
        <v/>
      </c>
      <c r="L131" s="1">
        <f>IFERROR(I131*E131,0)</f>
        <v/>
      </c>
      <c r="M131" s="1">
        <f>IFERROR(K131*E131,0)</f>
        <v/>
      </c>
    </row>
    <row r="132">
      <c r="A132" t="inlineStr">
        <is>
          <t>315 LS</t>
        </is>
      </c>
      <c r="B132" t="inlineStr">
        <is>
          <t>Louvre Shutter</t>
        </is>
      </c>
      <c r="C132" t="inlineStr"/>
      <c r="D132" t="inlineStr">
        <is>
          <t>Uncategorized</t>
        </is>
      </c>
      <c r="E132" s="1" t="n">
        <v>0</v>
      </c>
      <c r="F132" t="n">
        <v>1</v>
      </c>
      <c r="G132" t="n">
        <v>0</v>
      </c>
      <c r="H132" t="n">
        <v>2</v>
      </c>
      <c r="I132" t="n">
        <v>0</v>
      </c>
      <c r="J132" t="n">
        <v>0</v>
      </c>
      <c r="K132">
        <f>IF(H132-I132-J132&gt;0,H132-I132-J132,0)</f>
        <v/>
      </c>
      <c r="L132" s="1">
        <f>IFERROR(I132*E132,0)</f>
        <v/>
      </c>
      <c r="M132" s="1">
        <f>IFERROR(K132*E132,0)</f>
        <v/>
      </c>
    </row>
    <row r="133">
      <c r="A133" t="inlineStr">
        <is>
          <t>315MBP01</t>
        </is>
      </c>
      <c r="B133" t="inlineStr">
        <is>
          <t>1-0350-240-P01 - 315 Motor Bracket</t>
        </is>
      </c>
      <c r="C133" t="inlineStr">
        <is>
          <t>Mafilisti Trading and Projects (Pty) Ltd</t>
        </is>
      </c>
      <c r="D133" t="inlineStr">
        <is>
          <t>Uncategorized</t>
        </is>
      </c>
      <c r="E133" s="1" t="n">
        <v>28.55</v>
      </c>
      <c r="F133" t="n">
        <v>10</v>
      </c>
      <c r="G133" t="n">
        <v>0</v>
      </c>
      <c r="H133" t="n">
        <v>48</v>
      </c>
      <c r="I133" t="n">
        <v>0</v>
      </c>
      <c r="J133" t="n">
        <v>0</v>
      </c>
      <c r="K133">
        <f>IF(H133-I133-J133&gt;0,H133-I133-J133,0)</f>
        <v/>
      </c>
      <c r="L133" s="1">
        <f>IFERROR(I133*E133,0)</f>
        <v/>
      </c>
      <c r="M133" s="1">
        <f>IFERROR(K133*E133,0)</f>
        <v/>
      </c>
    </row>
    <row r="134">
      <c r="A134" t="inlineStr">
        <is>
          <t>343FM</t>
        </is>
      </c>
      <c r="B134" t="inlineStr">
        <is>
          <t>3kW 4P 380V Foot Mount Motor</t>
        </is>
      </c>
      <c r="C134" t="inlineStr">
        <is>
          <t>ACTOM</t>
        </is>
      </c>
      <c r="D134" t="inlineStr">
        <is>
          <t>Uncategorized</t>
        </is>
      </c>
      <c r="E134" s="1" t="n">
        <v>3406</v>
      </c>
      <c r="F134" t="n">
        <v>6</v>
      </c>
      <c r="G134" t="n">
        <v>0</v>
      </c>
      <c r="H134" t="n">
        <v>18</v>
      </c>
      <c r="I134" t="n">
        <v>0</v>
      </c>
      <c r="J134" t="n">
        <v>0</v>
      </c>
      <c r="K134">
        <f>IF(H134-I134-J134&gt;0,H134-I134-J134,0)</f>
        <v/>
      </c>
      <c r="L134" s="1">
        <f>IFERROR(I134*E134,0)</f>
        <v/>
      </c>
      <c r="M134" s="1">
        <f>IFERROR(K134*E134,0)</f>
        <v/>
      </c>
    </row>
    <row r="135">
      <c r="A135" t="inlineStr">
        <is>
          <t>350 LV</t>
        </is>
      </c>
      <c r="B135" t="inlineStr">
        <is>
          <t>Louvre Shutter</t>
        </is>
      </c>
      <c r="C135" t="inlineStr"/>
      <c r="D135" t="inlineStr">
        <is>
          <t>Uncategorized</t>
        </is>
      </c>
      <c r="E135" s="1" t="n">
        <v>0</v>
      </c>
      <c r="F135" t="n">
        <v>1</v>
      </c>
      <c r="G135" t="n">
        <v>0</v>
      </c>
      <c r="H135" t="n">
        <v>4</v>
      </c>
      <c r="I135" t="n">
        <v>0</v>
      </c>
      <c r="J135" t="n">
        <v>0</v>
      </c>
      <c r="K135">
        <f>IF(H135-I135-J135&gt;0,H135-I135-J135,0)</f>
        <v/>
      </c>
      <c r="L135" s="1">
        <f>IFERROR(I135*E135,0)</f>
        <v/>
      </c>
      <c r="M135" s="1">
        <f>IFERROR(K135*E135,0)</f>
        <v/>
      </c>
    </row>
    <row r="136">
      <c r="A136" t="inlineStr">
        <is>
          <t>363PM</t>
        </is>
      </c>
      <c r="B136" t="inlineStr">
        <is>
          <t>3kW 6P 380V Pad Mount Motor</t>
        </is>
      </c>
      <c r="C136" t="inlineStr"/>
      <c r="D136" t="inlineStr">
        <is>
          <t>Uncategorized</t>
        </is>
      </c>
      <c r="E136" s="1" t="n">
        <v>0</v>
      </c>
      <c r="F136" t="n">
        <v>1</v>
      </c>
      <c r="G136" t="n">
        <v>0</v>
      </c>
      <c r="H136" t="n">
        <v>2</v>
      </c>
      <c r="I136" t="n">
        <v>0</v>
      </c>
      <c r="J136" t="n">
        <v>0</v>
      </c>
      <c r="K136">
        <f>IF(H136-I136-J136&gt;0,H136-I136-J136,0)</f>
        <v/>
      </c>
      <c r="L136" s="1">
        <f>IFERROR(I136*E136,0)</f>
        <v/>
      </c>
      <c r="M136" s="1">
        <f>IFERROR(K136*E136,0)</f>
        <v/>
      </c>
    </row>
    <row r="137">
      <c r="A137" t="inlineStr">
        <is>
          <t>3mm gal plt</t>
        </is>
      </c>
      <c r="B137" t="inlineStr">
        <is>
          <t>Program 1 - program 1</t>
        </is>
      </c>
      <c r="C137" t="inlineStr">
        <is>
          <t>Kart Shop TA Ultimate Laser Cutting</t>
        </is>
      </c>
      <c r="D137" t="inlineStr">
        <is>
          <t>Uncategorized</t>
        </is>
      </c>
      <c r="E137" s="1" t="n">
        <v>0</v>
      </c>
      <c r="F137" t="n">
        <v>2</v>
      </c>
      <c r="G137" t="n">
        <v>0</v>
      </c>
      <c r="H137" t="n">
        <v>10</v>
      </c>
      <c r="I137" t="n">
        <v>0</v>
      </c>
      <c r="J137" t="n">
        <v>0</v>
      </c>
      <c r="K137">
        <f>IF(H137-I137-J137&gt;0,H137-I137-J137,0)</f>
        <v/>
      </c>
      <c r="L137" s="1">
        <f>IFERROR(I137*E137,0)</f>
        <v/>
      </c>
      <c r="M137" s="1">
        <f>IFERROR(K137*E137,0)</f>
        <v/>
      </c>
    </row>
    <row r="138">
      <c r="A138" t="inlineStr">
        <is>
          <t>3mm galv plt</t>
        </is>
      </c>
      <c r="B138" t="inlineStr">
        <is>
          <t>Bracket - Bracket</t>
        </is>
      </c>
      <c r="C138" t="inlineStr">
        <is>
          <t>Kart Shop TA Ultimate Laser Cutting</t>
        </is>
      </c>
      <c r="D138" t="inlineStr">
        <is>
          <t>Uncategorized</t>
        </is>
      </c>
      <c r="E138" s="1" t="n">
        <v>0</v>
      </c>
      <c r="F138" t="n">
        <v>1</v>
      </c>
      <c r="G138" t="n">
        <v>0</v>
      </c>
      <c r="H138" t="n">
        <v>5</v>
      </c>
      <c r="I138" t="n">
        <v>0</v>
      </c>
      <c r="J138" t="n">
        <v>0</v>
      </c>
      <c r="K138">
        <f>IF(H138-I138-J138&gt;0,H138-I138-J138,0)</f>
        <v/>
      </c>
      <c r="L138" s="1">
        <f>IFERROR(I138*E138,0)</f>
        <v/>
      </c>
      <c r="M138" s="1">
        <f>IFERROR(K138*E138,0)</f>
        <v/>
      </c>
    </row>
    <row r="139">
      <c r="A139" t="inlineStr">
        <is>
          <t>3mm plt</t>
        </is>
      </c>
      <c r="B139" t="inlineStr">
        <is>
          <t>program 2 - Program 2</t>
        </is>
      </c>
      <c r="C139" t="inlineStr">
        <is>
          <t>Kart Shop TA Ultimate Laser Cutting</t>
        </is>
      </c>
      <c r="D139" t="inlineStr">
        <is>
          <t>Uncategorized</t>
        </is>
      </c>
      <c r="E139" s="1" t="n">
        <v>0</v>
      </c>
      <c r="F139" t="n">
        <v>2</v>
      </c>
      <c r="G139" t="n">
        <v>0</v>
      </c>
      <c r="H139" t="n">
        <v>10</v>
      </c>
      <c r="I139" t="n">
        <v>0</v>
      </c>
      <c r="J139" t="n">
        <v>0</v>
      </c>
      <c r="K139">
        <f>IF(H139-I139-J139&gt;0,H139-I139-J139,0)</f>
        <v/>
      </c>
      <c r="L139" s="1">
        <f>IFERROR(I139*E139,0)</f>
        <v/>
      </c>
      <c r="M139" s="1">
        <f>IFERROR(K139*E139,0)</f>
        <v/>
      </c>
    </row>
    <row r="140">
      <c r="A140" t="inlineStr">
        <is>
          <t>4 kW 2P 112M</t>
        </is>
      </c>
      <c r="B140" t="inlineStr">
        <is>
          <t>3Ph 380-400-415 Standard Efficiency IC418 - TEAO - B30L(D)</t>
        </is>
      </c>
      <c r="C140" t="inlineStr">
        <is>
          <t>WEG South Africa</t>
        </is>
      </c>
      <c r="D140" t="inlineStr">
        <is>
          <t>Uncategorized</t>
        </is>
      </c>
      <c r="E140" s="1" t="n">
        <v>4071</v>
      </c>
      <c r="F140" t="n">
        <v>2</v>
      </c>
      <c r="G140" t="n">
        <v>0</v>
      </c>
      <c r="H140" t="n">
        <v>4</v>
      </c>
      <c r="I140" t="n">
        <v>0</v>
      </c>
      <c r="J140" t="n">
        <v>0</v>
      </c>
      <c r="K140">
        <f>IF(H140-I140-J140&gt;0,H140-I140-J140,0)</f>
        <v/>
      </c>
      <c r="L140" s="1">
        <f>IFERROR(I140*E140,0)</f>
        <v/>
      </c>
      <c r="M140" s="1">
        <f>IFERROR(K140*E140,0)</f>
        <v/>
      </c>
    </row>
    <row r="141">
      <c r="A141" t="inlineStr">
        <is>
          <t>400053</t>
        </is>
      </c>
      <c r="B141" t="inlineStr">
        <is>
          <t>25A TIP HOLDER M6</t>
        </is>
      </c>
      <c r="C141" t="inlineStr">
        <is>
          <t>INTROWELD CC</t>
        </is>
      </c>
      <c r="D141" t="inlineStr">
        <is>
          <t>Uncategorized</t>
        </is>
      </c>
      <c r="E141" s="1" t="n">
        <v>15</v>
      </c>
      <c r="F141" t="n">
        <v>10</v>
      </c>
      <c r="G141" t="n">
        <v>0</v>
      </c>
      <c r="H141" t="n">
        <v>50</v>
      </c>
      <c r="I141" t="n">
        <v>0</v>
      </c>
      <c r="J141" t="n">
        <v>0</v>
      </c>
      <c r="K141">
        <f>IF(H141-I141-J141&gt;0,H141-I141-J141,0)</f>
        <v/>
      </c>
      <c r="L141" s="1">
        <f>IFERROR(I141*E141,0)</f>
        <v/>
      </c>
      <c r="M141" s="1">
        <f>IFERROR(K141*E141,0)</f>
        <v/>
      </c>
    </row>
    <row r="142">
      <c r="A142" t="inlineStr">
        <is>
          <t>400080</t>
        </is>
      </c>
      <c r="B142" t="inlineStr">
        <is>
          <t>TB 250 SHROUD</t>
        </is>
      </c>
      <c r="C142" t="inlineStr">
        <is>
          <t>INTROWELD CC</t>
        </is>
      </c>
      <c r="D142" t="inlineStr">
        <is>
          <t>Uncategorized</t>
        </is>
      </c>
      <c r="E142" s="1" t="n">
        <v>29.65</v>
      </c>
      <c r="F142" t="n">
        <v>10</v>
      </c>
      <c r="G142" t="n">
        <v>0</v>
      </c>
      <c r="H142" t="n">
        <v>50</v>
      </c>
      <c r="I142" t="n">
        <v>0</v>
      </c>
      <c r="J142" t="n">
        <v>0</v>
      </c>
      <c r="K142">
        <f>IF(H142-I142-J142&gt;0,H142-I142-J142,0)</f>
        <v/>
      </c>
      <c r="L142" s="1">
        <f>IFERROR(I142*E142,0)</f>
        <v/>
      </c>
      <c r="M142" s="1">
        <f>IFERROR(K142*E142,0)</f>
        <v/>
      </c>
    </row>
    <row r="143">
      <c r="A143" t="inlineStr">
        <is>
          <t>400184</t>
        </is>
      </c>
      <c r="B143" t="inlineStr">
        <is>
          <t>LINER 1.00MM AND 1.2MM 4 METRE</t>
        </is>
      </c>
      <c r="C143" t="inlineStr">
        <is>
          <t>INTROWELD CC</t>
        </is>
      </c>
      <c r="D143" t="inlineStr">
        <is>
          <t>Uncategorized</t>
        </is>
      </c>
      <c r="E143" s="1" t="n">
        <v>95</v>
      </c>
      <c r="F143" t="n">
        <v>2</v>
      </c>
      <c r="G143" t="n">
        <v>0</v>
      </c>
      <c r="H143" t="n">
        <v>10</v>
      </c>
      <c r="I143" t="n">
        <v>0</v>
      </c>
      <c r="J143" t="n">
        <v>0</v>
      </c>
      <c r="K143">
        <f>IF(H143-I143-J143&gt;0,H143-I143-J143,0)</f>
        <v/>
      </c>
      <c r="L143" s="1">
        <f>IFERROR(I143*E143,0)</f>
        <v/>
      </c>
      <c r="M143" s="1">
        <f>IFERROR(K143*E143,0)</f>
        <v/>
      </c>
    </row>
    <row r="144">
      <c r="A144" t="inlineStr">
        <is>
          <t>400238</t>
        </is>
      </c>
      <c r="B144" t="inlineStr">
        <is>
          <t>CONTACT TIP BNZ STYLE M6 1.0MM</t>
        </is>
      </c>
      <c r="C144" t="inlineStr">
        <is>
          <t>INTROWELD CC</t>
        </is>
      </c>
      <c r="D144" t="inlineStr">
        <is>
          <t>Uncategorized</t>
        </is>
      </c>
      <c r="E144" s="1" t="n">
        <v>13.67</v>
      </c>
      <c r="F144" t="n">
        <v>10</v>
      </c>
      <c r="G144" t="n">
        <v>0</v>
      </c>
      <c r="H144" t="n">
        <v>50</v>
      </c>
      <c r="I144" t="n">
        <v>0</v>
      </c>
      <c r="J144" t="n">
        <v>0</v>
      </c>
      <c r="K144">
        <f>IF(H144-I144-J144&gt;0,H144-I144-J144,0)</f>
        <v/>
      </c>
      <c r="L144" s="1">
        <f>IFERROR(I144*E144,0)</f>
        <v/>
      </c>
      <c r="M144" s="1">
        <f>IFERROR(K144*E144,0)</f>
        <v/>
      </c>
    </row>
    <row r="145">
      <c r="A145" t="inlineStr">
        <is>
          <t>400MBP02</t>
        </is>
      </c>
      <c r="B145" t="inlineStr">
        <is>
          <t>1-0350-240 P02 - 400 Motor Bracket</t>
        </is>
      </c>
      <c r="C145" t="inlineStr">
        <is>
          <t>Kart Shop TA Ultimate Laser Cutting</t>
        </is>
      </c>
      <c r="D145" t="inlineStr">
        <is>
          <t>Uncategorized</t>
        </is>
      </c>
      <c r="E145" s="1" t="n">
        <v>26.34</v>
      </c>
      <c r="F145" t="n">
        <v>8</v>
      </c>
      <c r="G145" t="n">
        <v>0</v>
      </c>
      <c r="H145" t="n">
        <v>40</v>
      </c>
      <c r="I145" t="n">
        <v>0</v>
      </c>
      <c r="J145" t="n">
        <v>0</v>
      </c>
      <c r="K145">
        <f>IF(H145-I145-J145&gt;0,H145-I145-J145,0)</f>
        <v/>
      </c>
      <c r="L145" s="1">
        <f>IFERROR(I145*E145,0)</f>
        <v/>
      </c>
      <c r="M145" s="1">
        <f>IFERROR(K145*E145,0)</f>
        <v/>
      </c>
    </row>
    <row r="146">
      <c r="A146" t="inlineStr">
        <is>
          <t>400SC</t>
        </is>
      </c>
      <c r="B146" t="inlineStr">
        <is>
          <t>400 Diam Side Screen</t>
        </is>
      </c>
      <c r="C146" t="inlineStr">
        <is>
          <t>Luft Industries Natal (Pty) Ltd</t>
        </is>
      </c>
      <c r="D146" t="inlineStr">
        <is>
          <t>Uncategorized</t>
        </is>
      </c>
      <c r="E146" s="1" t="n">
        <v>291.5</v>
      </c>
      <c r="F146" t="n">
        <v>1</v>
      </c>
      <c r="G146" t="n">
        <v>0</v>
      </c>
      <c r="H146" t="n">
        <v>2</v>
      </c>
      <c r="I146" t="n">
        <v>0</v>
      </c>
      <c r="J146" t="n">
        <v>0</v>
      </c>
      <c r="K146">
        <f>IF(H146-I146-J146&gt;0,H146-I146-J146,0)</f>
        <v/>
      </c>
      <c r="L146" s="1">
        <f>IFERROR(I146*E146,0)</f>
        <v/>
      </c>
      <c r="M146" s="1">
        <f>IFERROR(K146*E146,0)</f>
        <v/>
      </c>
    </row>
    <row r="147">
      <c r="A147" t="inlineStr">
        <is>
          <t>400WL</t>
        </is>
      </c>
      <c r="B147" t="inlineStr">
        <is>
          <t>Weather Louvre</t>
        </is>
      </c>
      <c r="C147" t="inlineStr"/>
      <c r="D147" t="inlineStr">
        <is>
          <t>Uncategorized</t>
        </is>
      </c>
      <c r="E147" s="1" t="n">
        <v>0</v>
      </c>
      <c r="F147" t="n">
        <v>1</v>
      </c>
      <c r="G147" t="n">
        <v>0</v>
      </c>
      <c r="H147" t="n">
        <v>5</v>
      </c>
      <c r="I147" t="n">
        <v>0</v>
      </c>
      <c r="J147" t="n">
        <v>0</v>
      </c>
      <c r="K147">
        <f>IF(H147-I147-J147&gt;0,H147-I147-J147,0)</f>
        <v/>
      </c>
      <c r="L147" s="1">
        <f>IFERROR(I147*E147,0)</f>
        <v/>
      </c>
      <c r="M147" s="1">
        <f>IFERROR(K147*E147,0)</f>
        <v/>
      </c>
    </row>
    <row r="148">
      <c r="A148" t="inlineStr">
        <is>
          <t>40322</t>
        </is>
      </c>
      <c r="B148" t="inlineStr">
        <is>
          <t>E 354 M ATEX II 2G/D h T3/125 X Gb/Db</t>
        </is>
      </c>
      <c r="C148" t="inlineStr">
        <is>
          <t>Vortice Elettrosociali SpA</t>
        </is>
      </c>
      <c r="D148" t="inlineStr">
        <is>
          <t>Uncategorized</t>
        </is>
      </c>
      <c r="E148" s="1" t="n">
        <v>7245.65</v>
      </c>
      <c r="F148" t="n">
        <v>1</v>
      </c>
      <c r="G148" t="n">
        <v>0</v>
      </c>
      <c r="H148" t="n">
        <v>3</v>
      </c>
      <c r="I148" t="n">
        <v>0</v>
      </c>
      <c r="J148" t="n">
        <v>0</v>
      </c>
      <c r="K148">
        <f>IF(H148-I148-J148&gt;0,H148-I148-J148,0)</f>
        <v/>
      </c>
      <c r="L148" s="1">
        <f>IFERROR(I148*E148,0)</f>
        <v/>
      </c>
      <c r="M148" s="1">
        <f>IFERROR(K148*E148,0)</f>
        <v/>
      </c>
    </row>
    <row r="149">
      <c r="A149" t="inlineStr">
        <is>
          <t>40324</t>
        </is>
      </c>
      <c r="B149" t="inlineStr">
        <is>
          <t>E 454 M ATEX II 2G/D h T3/125 X Gb/Db</t>
        </is>
      </c>
      <c r="C149" t="inlineStr">
        <is>
          <t>Vortice Elettrosociali SpA</t>
        </is>
      </c>
      <c r="D149" t="inlineStr">
        <is>
          <t>Uncategorized</t>
        </is>
      </c>
      <c r="E149" s="1" t="n">
        <v>7797.41</v>
      </c>
      <c r="F149" t="n">
        <v>1</v>
      </c>
      <c r="G149" t="n">
        <v>0</v>
      </c>
      <c r="H149" t="n">
        <v>3</v>
      </c>
      <c r="I149" t="n">
        <v>0</v>
      </c>
      <c r="J149" t="n">
        <v>0</v>
      </c>
      <c r="K149">
        <f>IF(H149-I149-J149&gt;0,H149-I149-J149,0)</f>
        <v/>
      </c>
      <c r="L149" s="1">
        <f>IFERROR(I149*E149,0)</f>
        <v/>
      </c>
      <c r="M149" s="1">
        <f>IFERROR(K149*E149,0)</f>
        <v/>
      </c>
    </row>
    <row r="150">
      <c r="A150" t="inlineStr">
        <is>
          <t>40329</t>
        </is>
      </c>
      <c r="B150" t="inlineStr">
        <is>
          <t>E 454 T ATEX II 2G/D h T3/125 X Gb/Db</t>
        </is>
      </c>
      <c r="C150" t="inlineStr">
        <is>
          <t>Vortice Elettrosociali SpA</t>
        </is>
      </c>
      <c r="D150" t="inlineStr">
        <is>
          <t>Uncategorized</t>
        </is>
      </c>
      <c r="E150" s="1" t="n">
        <v>7098.6</v>
      </c>
      <c r="F150" t="n">
        <v>3</v>
      </c>
      <c r="G150" t="n">
        <v>0</v>
      </c>
      <c r="H150" t="n">
        <v>7</v>
      </c>
      <c r="I150" t="n">
        <v>0</v>
      </c>
      <c r="J150" t="n">
        <v>0</v>
      </c>
      <c r="K150">
        <f>IF(H150-I150-J150&gt;0,H150-I150-J150,0)</f>
        <v/>
      </c>
      <c r="L150" s="1">
        <f>IFERROR(I150*E150,0)</f>
        <v/>
      </c>
      <c r="M150" s="1">
        <f>IFERROR(K150*E150,0)</f>
        <v/>
      </c>
    </row>
    <row r="151">
      <c r="A151" t="inlineStr">
        <is>
          <t>42116</t>
        </is>
      </c>
      <c r="B151" t="inlineStr">
        <is>
          <t>BD 12/12 T6 1.1KW 251520160</t>
        </is>
      </c>
      <c r="C151" t="inlineStr">
        <is>
          <t>Vortice Elettrosociali SpA</t>
        </is>
      </c>
      <c r="D151" t="inlineStr">
        <is>
          <t>Uncategorized</t>
        </is>
      </c>
      <c r="E151" s="1" t="n">
        <v>4363.48</v>
      </c>
      <c r="F151" t="n">
        <v>1</v>
      </c>
      <c r="G151" t="n">
        <v>0</v>
      </c>
      <c r="H151" t="n">
        <v>3</v>
      </c>
      <c r="I151" t="n">
        <v>0</v>
      </c>
      <c r="J151" t="n">
        <v>0</v>
      </c>
      <c r="K151">
        <f>IF(H151-I151-J151&gt;0,H151-I151-J151,0)</f>
        <v/>
      </c>
      <c r="L151" s="1">
        <f>IFERROR(I151*E151,0)</f>
        <v/>
      </c>
      <c r="M151" s="1">
        <f>IFERROR(K151*E151,0)</f>
        <v/>
      </c>
    </row>
    <row r="152">
      <c r="A152" t="inlineStr">
        <is>
          <t>44.13.0010</t>
        </is>
      </c>
      <c r="B152" t="inlineStr">
        <is>
          <t>Round Terminal Block</t>
        </is>
      </c>
      <c r="C152" t="inlineStr">
        <is>
          <t>ACTOM</t>
        </is>
      </c>
      <c r="D152" t="inlineStr">
        <is>
          <t>Uncategorized</t>
        </is>
      </c>
      <c r="E152" s="1" t="n">
        <v>39</v>
      </c>
      <c r="F152" t="n">
        <v>40</v>
      </c>
      <c r="G152" t="n">
        <v>0</v>
      </c>
      <c r="H152" t="n">
        <v>140</v>
      </c>
      <c r="I152" t="n">
        <v>0</v>
      </c>
      <c r="J152" t="n">
        <v>0</v>
      </c>
      <c r="K152">
        <f>IF(H152-I152-J152&gt;0,H152-I152-J152,0)</f>
        <v/>
      </c>
      <c r="L152" s="1">
        <f>IFERROR(I152*E152,0)</f>
        <v/>
      </c>
      <c r="M152" s="1">
        <f>IFERROR(K152*E152,0)</f>
        <v/>
      </c>
    </row>
    <row r="153">
      <c r="A153" t="inlineStr">
        <is>
          <t>443FM</t>
        </is>
      </c>
      <c r="B153" t="inlineStr">
        <is>
          <t>4KW 4 D112 ALU Foot 400V IE1 SN:</t>
        </is>
      </c>
      <c r="C153" t="inlineStr">
        <is>
          <t>Electromote (Pty) Ltd</t>
        </is>
      </c>
      <c r="D153" t="inlineStr">
        <is>
          <t>Uncategorized</t>
        </is>
      </c>
      <c r="E153" s="1" t="n">
        <v>3845.58</v>
      </c>
      <c r="F153" t="n">
        <v>1</v>
      </c>
      <c r="G153" t="n">
        <v>0</v>
      </c>
      <c r="H153" t="n">
        <v>2</v>
      </c>
      <c r="I153" t="n">
        <v>0</v>
      </c>
      <c r="J153" t="n">
        <v>0</v>
      </c>
      <c r="K153">
        <f>IF(H153-I153-J153&gt;0,H153-I153-J153,0)</f>
        <v/>
      </c>
      <c r="L153" s="1">
        <f>IFERROR(I153*E153,0)</f>
        <v/>
      </c>
      <c r="M153" s="1">
        <f>IFERROR(K153*E153,0)</f>
        <v/>
      </c>
    </row>
    <row r="154">
      <c r="A154" t="inlineStr">
        <is>
          <t>46000</t>
        </is>
      </c>
      <c r="B154" t="inlineStr">
        <is>
          <t>PRA GLAND FLP Exde BRASS CPR N0S M20</t>
        </is>
      </c>
      <c r="C154" t="inlineStr">
        <is>
          <t>Pratley (Pty) Ltd</t>
        </is>
      </c>
      <c r="D154" t="inlineStr">
        <is>
          <t>Uncategorized</t>
        </is>
      </c>
      <c r="E154" s="1" t="n">
        <v>196.3</v>
      </c>
      <c r="F154" t="n">
        <v>1</v>
      </c>
      <c r="G154" t="n">
        <v>0</v>
      </c>
      <c r="H154" t="n">
        <v>2</v>
      </c>
      <c r="I154" t="n">
        <v>0</v>
      </c>
      <c r="J154" t="n">
        <v>0</v>
      </c>
      <c r="K154">
        <f>IF(H154-I154-J154&gt;0,H154-I154-J154,0)</f>
        <v/>
      </c>
      <c r="L154" s="1">
        <f>IFERROR(I154*E154,0)</f>
        <v/>
      </c>
      <c r="M154" s="1">
        <f>IFERROR(K154*E154,0)</f>
        <v/>
      </c>
    </row>
    <row r="155">
      <c r="A155" t="inlineStr">
        <is>
          <t>49111090</t>
        </is>
      </c>
      <c r="B155" t="inlineStr">
        <is>
          <t>CATALOGO</t>
        </is>
      </c>
      <c r="C155" t="inlineStr">
        <is>
          <t>SODECA</t>
        </is>
      </c>
      <c r="D155" t="inlineStr">
        <is>
          <t>Uncategorized</t>
        </is>
      </c>
      <c r="E155" s="1" t="n">
        <v>453.03</v>
      </c>
      <c r="F155" t="n">
        <v>2</v>
      </c>
      <c r="G155" t="n">
        <v>0</v>
      </c>
      <c r="H155" t="n">
        <v>4</v>
      </c>
      <c r="I155" t="n">
        <v>0</v>
      </c>
      <c r="J155" t="n">
        <v>0</v>
      </c>
      <c r="K155">
        <f>IF(H155-I155-J155&gt;0,H155-I155-J155,0)</f>
        <v/>
      </c>
      <c r="L155" s="1">
        <f>IFERROR(I155*E155,0)</f>
        <v/>
      </c>
      <c r="M155" s="1">
        <f>IFERROR(K155*E155,0)</f>
        <v/>
      </c>
    </row>
    <row r="156">
      <c r="A156" t="inlineStr">
        <is>
          <t>4mm plt</t>
        </is>
      </c>
      <c r="B156" t="inlineStr">
        <is>
          <t>1000 Flanges Special request</t>
        </is>
      </c>
      <c r="C156" t="inlineStr">
        <is>
          <t>Kart Shop TA Ultimate Laser Cutting</t>
        </is>
      </c>
      <c r="D156" t="inlineStr">
        <is>
          <t>Uncategorized</t>
        </is>
      </c>
      <c r="E156" s="1" t="n">
        <v>2796.67</v>
      </c>
      <c r="F156" t="n">
        <v>1</v>
      </c>
      <c r="G156" t="n">
        <v>0</v>
      </c>
      <c r="H156" t="n">
        <v>2</v>
      </c>
      <c r="I156" t="n">
        <v>0</v>
      </c>
      <c r="J156" t="n">
        <v>0</v>
      </c>
      <c r="K156">
        <f>IF(H156-I156-J156&gt;0,H156-I156-J156,0)</f>
        <v/>
      </c>
      <c r="L156" s="1">
        <f>IFERROR(I156*E156,0)</f>
        <v/>
      </c>
      <c r="M156" s="1">
        <f>IFERROR(K156*E156,0)</f>
        <v/>
      </c>
    </row>
    <row r="157">
      <c r="A157" t="inlineStr">
        <is>
          <t>5.523FM</t>
        </is>
      </c>
      <c r="B157" t="inlineStr">
        <is>
          <t>5.5KW 2P 400V FOOT MOUNT MOTOR</t>
        </is>
      </c>
      <c r="C157" t="inlineStr">
        <is>
          <t>WEG South Africa</t>
        </is>
      </c>
      <c r="D157" t="inlineStr">
        <is>
          <t>Uncategorized</t>
        </is>
      </c>
      <c r="E157" s="1" t="n">
        <v>4393.13</v>
      </c>
      <c r="F157" t="n">
        <v>2</v>
      </c>
      <c r="G157" t="n">
        <v>0</v>
      </c>
      <c r="H157" t="n">
        <v>8</v>
      </c>
      <c r="I157" t="n">
        <v>0</v>
      </c>
      <c r="J157" t="n">
        <v>0</v>
      </c>
      <c r="K157">
        <f>IF(H157-I157-J157&gt;0,H157-I157-J157,0)</f>
        <v/>
      </c>
      <c r="L157" s="1">
        <f>IFERROR(I157*E157,0)</f>
        <v/>
      </c>
      <c r="M157" s="1">
        <f>IFERROR(K157*E157,0)</f>
        <v/>
      </c>
    </row>
    <row r="158">
      <c r="A158" t="inlineStr">
        <is>
          <t>500 SC</t>
        </is>
      </c>
      <c r="B158" t="inlineStr">
        <is>
          <t>500 Diam Side Screen (HOT DEEP GALV)</t>
        </is>
      </c>
      <c r="C158" t="inlineStr">
        <is>
          <t>Heinmor Wire Products CC</t>
        </is>
      </c>
      <c r="D158" t="inlineStr">
        <is>
          <t>Uncategorized</t>
        </is>
      </c>
      <c r="E158" s="1" t="n">
        <v>281</v>
      </c>
      <c r="F158" t="n">
        <v>4</v>
      </c>
      <c r="G158" t="n">
        <v>0</v>
      </c>
      <c r="H158" t="n">
        <v>20</v>
      </c>
      <c r="I158" t="n">
        <v>0</v>
      </c>
      <c r="J158" t="n">
        <v>0</v>
      </c>
      <c r="K158">
        <f>IF(H158-I158-J158&gt;0,H158-I158-J158,0)</f>
        <v/>
      </c>
      <c r="L158" s="1">
        <f>IFERROR(I158*E158,0)</f>
        <v/>
      </c>
      <c r="M158" s="1">
        <f>IFERROR(K158*E158,0)</f>
        <v/>
      </c>
    </row>
    <row r="159">
      <c r="A159" t="inlineStr">
        <is>
          <t>500IM</t>
        </is>
      </c>
      <c r="B159" t="inlineStr">
        <is>
          <t>Spare Impeller</t>
        </is>
      </c>
      <c r="C159" t="inlineStr">
        <is>
          <t>Centrifab (Pty) Ltd</t>
        </is>
      </c>
      <c r="D159" t="inlineStr">
        <is>
          <t>Uncategorized</t>
        </is>
      </c>
      <c r="E159" s="1" t="n">
        <v>1630</v>
      </c>
      <c r="F159" t="n">
        <v>5</v>
      </c>
      <c r="G159" t="n">
        <v>0</v>
      </c>
      <c r="H159" t="n">
        <v>11</v>
      </c>
      <c r="I159" t="n">
        <v>0</v>
      </c>
      <c r="J159" t="n">
        <v>0</v>
      </c>
      <c r="K159">
        <f>IF(H159-I159-J159&gt;0,H159-I159-J159,0)</f>
        <v/>
      </c>
      <c r="L159" s="1">
        <f>IFERROR(I159*E159,0)</f>
        <v/>
      </c>
      <c r="M159" s="1">
        <f>IFERROR(K159*E159,0)</f>
        <v/>
      </c>
    </row>
    <row r="160">
      <c r="A160" t="inlineStr">
        <is>
          <t>500MBP03</t>
        </is>
      </c>
      <c r="B160" t="inlineStr">
        <is>
          <t>1-0350-240 P03 - 500 Motor Bracket</t>
        </is>
      </c>
      <c r="C160" t="inlineStr">
        <is>
          <t>Kart Shop TA Ultimate Laser Cutting</t>
        </is>
      </c>
      <c r="D160" t="inlineStr">
        <is>
          <t>Uncategorized</t>
        </is>
      </c>
      <c r="E160" s="1" t="n">
        <v>24.7</v>
      </c>
      <c r="F160" t="n">
        <v>6</v>
      </c>
      <c r="G160" t="n">
        <v>0</v>
      </c>
      <c r="H160" t="n">
        <v>31</v>
      </c>
      <c r="I160" t="n">
        <v>0</v>
      </c>
      <c r="J160" t="n">
        <v>0</v>
      </c>
      <c r="K160">
        <f>IF(H160-I160-J160&gt;0,H160-I160-J160,0)</f>
        <v/>
      </c>
      <c r="L160" s="1">
        <f>IFERROR(I160*E160,0)</f>
        <v/>
      </c>
      <c r="M160" s="1">
        <f>IFERROR(K160*E160,0)</f>
        <v/>
      </c>
    </row>
    <row r="161">
      <c r="A161" t="inlineStr">
        <is>
          <t>500SC-</t>
        </is>
      </c>
      <c r="B161" t="inlineStr">
        <is>
          <t>Screen</t>
        </is>
      </c>
      <c r="C161" t="inlineStr">
        <is>
          <t>Heinmor Wire Products CC</t>
        </is>
      </c>
      <c r="D161" t="inlineStr">
        <is>
          <t>Uncategorized</t>
        </is>
      </c>
      <c r="E161" s="1" t="n">
        <v>309</v>
      </c>
      <c r="F161" t="n">
        <v>2</v>
      </c>
      <c r="G161" t="n">
        <v>0</v>
      </c>
      <c r="H161" t="n">
        <v>8</v>
      </c>
      <c r="I161" t="n">
        <v>0</v>
      </c>
      <c r="J161" t="n">
        <v>0</v>
      </c>
      <c r="K161">
        <f>IF(H161-I161-J161&gt;0,H161-I161-J161,0)</f>
        <v/>
      </c>
      <c r="L161" s="1">
        <f>IFERROR(I161*E161,0)</f>
        <v/>
      </c>
      <c r="M161" s="1">
        <f>IFERROR(K161*E161,0)</f>
        <v/>
      </c>
    </row>
    <row r="162">
      <c r="A162" t="inlineStr">
        <is>
          <t>500mm Zinc</t>
        </is>
      </c>
      <c r="B162" t="inlineStr">
        <is>
          <t>- Zinc Filter Clips</t>
        </is>
      </c>
      <c r="C162" t="inlineStr">
        <is>
          <t>Airventfil (Pty) Ltd</t>
        </is>
      </c>
      <c r="D162" t="inlineStr">
        <is>
          <t>Uncategorized</t>
        </is>
      </c>
      <c r="E162" s="1" t="n">
        <v>0</v>
      </c>
      <c r="F162" t="n">
        <v>24</v>
      </c>
      <c r="G162" t="n">
        <v>0</v>
      </c>
      <c r="H162" t="n">
        <v>120</v>
      </c>
      <c r="I162" t="n">
        <v>0</v>
      </c>
      <c r="J162" t="n">
        <v>0</v>
      </c>
      <c r="K162">
        <f>IF(H162-I162-J162&gt;0,H162-I162-J162,0)</f>
        <v/>
      </c>
      <c r="L162" s="1">
        <f>IFERROR(I162*E162,0)</f>
        <v/>
      </c>
      <c r="M162" s="1">
        <f>IFERROR(K162*E162,0)</f>
        <v/>
      </c>
    </row>
    <row r="163">
      <c r="A163" t="inlineStr">
        <is>
          <t>51070</t>
        </is>
      </c>
      <c r="B163" t="inlineStr">
        <is>
          <t>PRA REDUCER FLP Ex d/e 32M-25F</t>
        </is>
      </c>
      <c r="C163" t="inlineStr">
        <is>
          <t>Pratley (Pty) Ltd</t>
        </is>
      </c>
      <c r="D163" t="inlineStr">
        <is>
          <t>Uncategorized</t>
        </is>
      </c>
      <c r="E163" s="1" t="n">
        <v>124.88</v>
      </c>
      <c r="F163" t="n">
        <v>2</v>
      </c>
      <c r="G163" t="n">
        <v>0</v>
      </c>
      <c r="H163" t="n">
        <v>10</v>
      </c>
      <c r="I163" t="n">
        <v>0</v>
      </c>
      <c r="J163" t="n">
        <v>0</v>
      </c>
      <c r="K163">
        <f>IF(H163-I163-J163&gt;0,H163-I163-J163,0)</f>
        <v/>
      </c>
      <c r="L163" s="1">
        <f>IFERROR(I163*E163,0)</f>
        <v/>
      </c>
      <c r="M163" s="1">
        <f>IFERROR(K163*E163,0)</f>
        <v/>
      </c>
    </row>
    <row r="164">
      <c r="A164" t="inlineStr">
        <is>
          <t>549CFUG</t>
        </is>
      </c>
      <c r="B164" t="inlineStr">
        <is>
          <t>B - 549 Diam Counter Flange Ungalvanised - Buffalo</t>
        </is>
      </c>
      <c r="C164" t="inlineStr">
        <is>
          <t>ULTIMATENG (PTY) LTD</t>
        </is>
      </c>
      <c r="D164" t="inlineStr">
        <is>
          <t>Uncategorized</t>
        </is>
      </c>
      <c r="E164" s="1" t="n">
        <v>0</v>
      </c>
      <c r="F164" t="n">
        <v>6</v>
      </c>
      <c r="G164" t="n">
        <v>0</v>
      </c>
      <c r="H164" t="n">
        <v>30</v>
      </c>
      <c r="I164" t="n">
        <v>0</v>
      </c>
      <c r="J164" t="n">
        <v>0</v>
      </c>
      <c r="K164">
        <f>IF(H164-I164-J164&gt;0,H164-I164-J164,0)</f>
        <v/>
      </c>
      <c r="L164" s="1">
        <f>IFERROR(I164*E164,0)</f>
        <v/>
      </c>
      <c r="M164" s="1">
        <f>IFERROR(K164*E164,0)</f>
        <v/>
      </c>
    </row>
    <row r="165">
      <c r="A165" t="inlineStr">
        <is>
          <t>560 20.D.8</t>
        </is>
      </c>
      <c r="B165" t="inlineStr">
        <is>
          <t>Spare Impeller</t>
        </is>
      </c>
      <c r="C165" t="inlineStr">
        <is>
          <t>Luft Industries Natal (Pty) Ltd</t>
        </is>
      </c>
      <c r="D165" t="inlineStr">
        <is>
          <t>Uncategorized</t>
        </is>
      </c>
      <c r="E165" s="1" t="n">
        <v>1751.25</v>
      </c>
      <c r="F165" t="n">
        <v>1</v>
      </c>
      <c r="G165" t="n">
        <v>0</v>
      </c>
      <c r="H165" t="n">
        <v>2</v>
      </c>
      <c r="I165" t="n">
        <v>0</v>
      </c>
      <c r="J165" t="n">
        <v>0</v>
      </c>
      <c r="K165">
        <f>IF(H165-I165-J165&gt;0,H165-I165-J165,0)</f>
        <v/>
      </c>
      <c r="L165" s="1">
        <f>IFERROR(I165*E165,0)</f>
        <v/>
      </c>
      <c r="M165" s="1">
        <f>IFERROR(K165*E165,0)</f>
        <v/>
      </c>
    </row>
    <row r="166">
      <c r="A166" t="inlineStr">
        <is>
          <t>560 FB</t>
        </is>
      </c>
      <c r="B166" t="inlineStr">
        <is>
          <t>Filter Box</t>
        </is>
      </c>
      <c r="C166" t="inlineStr"/>
      <c r="D166" t="inlineStr">
        <is>
          <t>Uncategorized</t>
        </is>
      </c>
      <c r="E166" s="1" t="n">
        <v>0</v>
      </c>
      <c r="F166" t="n">
        <v>2</v>
      </c>
      <c r="G166" t="n">
        <v>0</v>
      </c>
      <c r="H166" t="n">
        <v>8</v>
      </c>
      <c r="I166" t="n">
        <v>0</v>
      </c>
      <c r="J166" t="n">
        <v>0</v>
      </c>
      <c r="K166">
        <f>IF(H166-I166-J166&gt;0,H166-I166-J166,0)</f>
        <v/>
      </c>
      <c r="L166" s="1">
        <f>IFERROR(I166*E166,0)</f>
        <v/>
      </c>
      <c r="M166" s="1">
        <f>IFERROR(K166*E166,0)</f>
        <v/>
      </c>
    </row>
    <row r="167">
      <c r="A167" t="inlineStr">
        <is>
          <t>560/150/10 SI</t>
        </is>
      </c>
      <c r="B167" t="inlineStr">
        <is>
          <t>Spare Impeller (560mm 'B' 150A10AR 19mm 080Frame Deg 21 DEG - FM3181)</t>
        </is>
      </c>
      <c r="C167" t="inlineStr">
        <is>
          <t>Luft Industries Natal (Pty) Ltd</t>
        </is>
      </c>
      <c r="D167" t="inlineStr">
        <is>
          <t>Uncategorized</t>
        </is>
      </c>
      <c r="E167" s="1" t="n">
        <v>1766.25</v>
      </c>
      <c r="F167" t="n">
        <v>1</v>
      </c>
      <c r="G167" t="n">
        <v>0</v>
      </c>
      <c r="H167" t="n">
        <v>3</v>
      </c>
      <c r="I167" t="n">
        <v>0</v>
      </c>
      <c r="J167" t="n">
        <v>0</v>
      </c>
      <c r="K167">
        <f>IF(H167-I167-J167&gt;0,H167-I167-J167,0)</f>
        <v/>
      </c>
      <c r="L167" s="1">
        <f>IFERROR(I167*E167,0)</f>
        <v/>
      </c>
      <c r="M167" s="1">
        <f>IFERROR(K167*E167,0)</f>
        <v/>
      </c>
    </row>
    <row r="168">
      <c r="A168" t="inlineStr">
        <is>
          <t>560IMP</t>
        </is>
      </c>
      <c r="B168" t="inlineStr">
        <is>
          <t>Impeller 560/250/14 Aluminum - 20 deg pitch, Form B, 24mm Bore</t>
        </is>
      </c>
      <c r="C168" t="inlineStr">
        <is>
          <t>Luft Industries Natal (Pty) Ltd</t>
        </is>
      </c>
      <c r="D168" t="inlineStr">
        <is>
          <t>Uncategorized</t>
        </is>
      </c>
      <c r="E168" s="1" t="n">
        <v>2428</v>
      </c>
      <c r="F168" t="n">
        <v>1</v>
      </c>
      <c r="G168" t="n">
        <v>0</v>
      </c>
      <c r="H168" t="n">
        <v>2</v>
      </c>
      <c r="I168" t="n">
        <v>0</v>
      </c>
      <c r="J168" t="n">
        <v>0</v>
      </c>
      <c r="K168">
        <f>IF(H168-I168-J168&gt;0,H168-I168-J168,0)</f>
        <v/>
      </c>
      <c r="L168" s="1">
        <f>IFERROR(I168*E168,0)</f>
        <v/>
      </c>
      <c r="M168" s="1">
        <f>IFERROR(K168*E168,0)</f>
        <v/>
      </c>
    </row>
    <row r="169">
      <c r="A169" t="inlineStr">
        <is>
          <t>560MBP04</t>
        </is>
      </c>
      <c r="B169" t="inlineStr">
        <is>
          <t>1-0350-240 P04 - 560 Motor Bracket</t>
        </is>
      </c>
      <c r="C169" t="inlineStr">
        <is>
          <t>Kart Shop TA Ultimate Laser Cutting</t>
        </is>
      </c>
      <c r="D169" t="inlineStr">
        <is>
          <t>Uncategorized</t>
        </is>
      </c>
      <c r="E169" s="1" t="n">
        <v>26.38</v>
      </c>
      <c r="F169" t="n">
        <v>6</v>
      </c>
      <c r="G169" t="n">
        <v>0</v>
      </c>
      <c r="H169" t="n">
        <v>32</v>
      </c>
      <c r="I169" t="n">
        <v>0</v>
      </c>
      <c r="J169" t="n">
        <v>0</v>
      </c>
      <c r="K169">
        <f>IF(H169-I169-J169&gt;0,H169-I169-J169,0)</f>
        <v/>
      </c>
      <c r="L169" s="1">
        <f>IFERROR(I169*E169,0)</f>
        <v/>
      </c>
      <c r="M169" s="1">
        <f>IFERROR(K169*E169,0)</f>
        <v/>
      </c>
    </row>
    <row r="170">
      <c r="A170" t="inlineStr">
        <is>
          <t>560SC</t>
        </is>
      </c>
      <c r="B170" t="inlineStr">
        <is>
          <t>Screen</t>
        </is>
      </c>
      <c r="C170" t="inlineStr">
        <is>
          <t>Heinmor Wire Products CC</t>
        </is>
      </c>
      <c r="D170" t="inlineStr">
        <is>
          <t>Uncategorized</t>
        </is>
      </c>
      <c r="E170" s="1" t="n">
        <v>386</v>
      </c>
      <c r="F170" t="n">
        <v>1</v>
      </c>
      <c r="G170" t="n">
        <v>0</v>
      </c>
      <c r="H170" t="n">
        <v>2</v>
      </c>
      <c r="I170" t="n">
        <v>0</v>
      </c>
      <c r="J170" t="n">
        <v>0</v>
      </c>
      <c r="K170">
        <f>IF(H170-I170-J170&gt;0,H170-I170-J170,0)</f>
        <v/>
      </c>
      <c r="L170" s="1">
        <f>IFERROR(I170*E170,0)</f>
        <v/>
      </c>
      <c r="M170" s="1">
        <f>IFERROR(K170*E170,0)</f>
        <v/>
      </c>
    </row>
    <row r="171">
      <c r="A171" t="inlineStr">
        <is>
          <t>600 X 600</t>
        </is>
      </c>
      <c r="B171" t="inlineStr">
        <is>
          <t>Sand Trap Air Louver</t>
        </is>
      </c>
      <c r="C171" t="inlineStr"/>
      <c r="D171" t="inlineStr">
        <is>
          <t>Uncategorized</t>
        </is>
      </c>
      <c r="E171" s="1" t="n">
        <v>0</v>
      </c>
      <c r="F171" t="n">
        <v>1</v>
      </c>
      <c r="G171" t="n">
        <v>0</v>
      </c>
      <c r="H171" t="n">
        <v>2</v>
      </c>
      <c r="I171" t="n">
        <v>0</v>
      </c>
      <c r="J171" t="n">
        <v>0</v>
      </c>
      <c r="K171">
        <f>IF(H171-I171-J171&gt;0,H171-I171-J171,0)</f>
        <v/>
      </c>
      <c r="L171" s="1">
        <f>IFERROR(I171*E171,0)</f>
        <v/>
      </c>
      <c r="M171" s="1">
        <f>IFERROR(K171*E171,0)</f>
        <v/>
      </c>
    </row>
    <row r="172">
      <c r="A172" t="inlineStr">
        <is>
          <t>600/150</t>
        </is>
      </c>
      <c r="B172" t="inlineStr">
        <is>
          <t>150NB T600 RINGS CUT IN ORDER TO MACHINE FLANGES</t>
        </is>
      </c>
      <c r="C172" t="inlineStr">
        <is>
          <t>Malcolm Arnot CC ( Linkflex)</t>
        </is>
      </c>
      <c r="D172" t="inlineStr">
        <is>
          <t>Uncategorized</t>
        </is>
      </c>
      <c r="E172" s="1" t="n">
        <v>407.5</v>
      </c>
      <c r="F172" t="n">
        <v>3</v>
      </c>
      <c r="G172" t="n">
        <v>0</v>
      </c>
      <c r="H172" t="n">
        <v>15</v>
      </c>
      <c r="I172" t="n">
        <v>0</v>
      </c>
      <c r="J172" t="n">
        <v>0</v>
      </c>
      <c r="K172">
        <f>IF(H172-I172-J172&gt;0,H172-I172-J172,0)</f>
        <v/>
      </c>
      <c r="L172" s="1">
        <f>IFERROR(I172*E172,0)</f>
        <v/>
      </c>
      <c r="M172" s="1">
        <f>IFERROR(K172*E172,0)</f>
        <v/>
      </c>
    </row>
    <row r="173">
      <c r="A173" t="inlineStr">
        <is>
          <t>600WC</t>
        </is>
      </c>
      <c r="B173" t="inlineStr">
        <is>
          <t>Wall Cowl &amp; Screen</t>
        </is>
      </c>
      <c r="C173" t="inlineStr"/>
      <c r="D173" t="inlineStr">
        <is>
          <t>Uncategorized</t>
        </is>
      </c>
      <c r="E173" s="1" t="n">
        <v>0</v>
      </c>
      <c r="F173" t="n">
        <v>1</v>
      </c>
      <c r="G173" t="n">
        <v>0</v>
      </c>
      <c r="H173" t="n">
        <v>2</v>
      </c>
      <c r="I173" t="n">
        <v>0</v>
      </c>
      <c r="J173" t="n">
        <v>0</v>
      </c>
      <c r="K173">
        <f>IF(H173-I173-J173&gt;0,H173-I173-J173,0)</f>
        <v/>
      </c>
      <c r="L173" s="1">
        <f>IFERROR(I173*E173,0)</f>
        <v/>
      </c>
      <c r="M173" s="1">
        <f>IFERROR(K173*E173,0)</f>
        <v/>
      </c>
    </row>
    <row r="174">
      <c r="A174" t="inlineStr">
        <is>
          <t>600WL</t>
        </is>
      </c>
      <c r="B174" t="inlineStr">
        <is>
          <t>Weather Louvre</t>
        </is>
      </c>
      <c r="C174" t="inlineStr"/>
      <c r="D174" t="inlineStr">
        <is>
          <t>Uncategorized</t>
        </is>
      </c>
      <c r="E174" s="1" t="n">
        <v>0</v>
      </c>
      <c r="F174" t="n">
        <v>2</v>
      </c>
      <c r="G174" t="n">
        <v>0</v>
      </c>
      <c r="H174" t="n">
        <v>8</v>
      </c>
      <c r="I174" t="n">
        <v>0</v>
      </c>
      <c r="J174" t="n">
        <v>0</v>
      </c>
      <c r="K174">
        <f>IF(H174-I174-J174&gt;0,H174-I174-J174,0)</f>
        <v/>
      </c>
      <c r="L174" s="1">
        <f>IFERROR(I174*E174,0)</f>
        <v/>
      </c>
      <c r="M174" s="1">
        <f>IFERROR(K174*E174,0)</f>
        <v/>
      </c>
    </row>
    <row r="175">
      <c r="A175" t="inlineStr">
        <is>
          <t>630.20.D.4</t>
        </is>
      </c>
      <c r="B175" t="inlineStr">
        <is>
          <t>Spare Impeller</t>
        </is>
      </c>
      <c r="C175" t="inlineStr">
        <is>
          <t>Centrifab (Pty) Ltd</t>
        </is>
      </c>
      <c r="D175" t="inlineStr">
        <is>
          <t>Uncategorized</t>
        </is>
      </c>
      <c r="E175" s="1" t="n">
        <v>2200</v>
      </c>
      <c r="F175" t="n">
        <v>1</v>
      </c>
      <c r="G175" t="n">
        <v>0</v>
      </c>
      <c r="H175" t="n">
        <v>2</v>
      </c>
      <c r="I175" t="n">
        <v>0</v>
      </c>
      <c r="J175" t="n">
        <v>0</v>
      </c>
      <c r="K175">
        <f>IF(H175-I175-J175&gt;0,H175-I175-J175,0)</f>
        <v/>
      </c>
      <c r="L175" s="1">
        <f>IFERROR(I175*E175,0)</f>
        <v/>
      </c>
      <c r="M175" s="1">
        <f>IFERROR(K175*E175,0)</f>
        <v/>
      </c>
    </row>
    <row r="176">
      <c r="A176" t="inlineStr">
        <is>
          <t>630/150/10 SI</t>
        </is>
      </c>
      <c r="B176" t="inlineStr">
        <is>
          <t>Spare Impeller (0630mm 'B' 150A10AR 24mm 090Frame Deg 35 DEG - FM3180)</t>
        </is>
      </c>
      <c r="C176" t="inlineStr">
        <is>
          <t>Luft Industries Natal (Pty) Ltd</t>
        </is>
      </c>
      <c r="D176" t="inlineStr">
        <is>
          <t>Uncategorized</t>
        </is>
      </c>
      <c r="E176" s="1" t="n">
        <v>1766.25</v>
      </c>
      <c r="F176" t="n">
        <v>1</v>
      </c>
      <c r="G176" t="n">
        <v>0</v>
      </c>
      <c r="H176" t="n">
        <v>3</v>
      </c>
      <c r="I176" t="n">
        <v>0</v>
      </c>
      <c r="J176" t="n">
        <v>0</v>
      </c>
      <c r="K176">
        <f>IF(H176-I176-J176&gt;0,H176-I176-J176,0)</f>
        <v/>
      </c>
      <c r="L176" s="1">
        <f>IFERROR(I176*E176,0)</f>
        <v/>
      </c>
      <c r="M176" s="1">
        <f>IFERROR(K176*E176,0)</f>
        <v/>
      </c>
    </row>
    <row r="177">
      <c r="A177" t="inlineStr">
        <is>
          <t>630/150/5 SI</t>
        </is>
      </c>
      <c r="B177" t="inlineStr">
        <is>
          <t>Spare Impeller</t>
        </is>
      </c>
      <c r="C177" t="inlineStr">
        <is>
          <t>Luft Industries Natal (Pty) Ltd</t>
        </is>
      </c>
      <c r="D177" t="inlineStr">
        <is>
          <t>Uncategorized</t>
        </is>
      </c>
      <c r="E177" s="1" t="n">
        <v>1382.5</v>
      </c>
      <c r="F177" t="n">
        <v>1</v>
      </c>
      <c r="G177" t="n">
        <v>0</v>
      </c>
      <c r="H177" t="n">
        <v>3</v>
      </c>
      <c r="I177" t="n">
        <v>0</v>
      </c>
      <c r="J177" t="n">
        <v>0</v>
      </c>
      <c r="K177">
        <f>IF(H177-I177-J177&gt;0,H177-I177-J177,0)</f>
        <v/>
      </c>
      <c r="L177" s="1">
        <f>IFERROR(I177*E177,0)</f>
        <v/>
      </c>
      <c r="M177" s="1">
        <f>IFERROR(K177*E177,0)</f>
        <v/>
      </c>
    </row>
    <row r="178">
      <c r="A178" t="inlineStr">
        <is>
          <t>630/250/7SI</t>
        </is>
      </c>
      <c r="B178" t="inlineStr">
        <is>
          <t>Spare Impeller</t>
        </is>
      </c>
      <c r="C178" t="inlineStr">
        <is>
          <t>Luft Industries Natal (Pty) Ltd</t>
        </is>
      </c>
      <c r="D178" t="inlineStr">
        <is>
          <t>Uncategorized</t>
        </is>
      </c>
      <c r="E178" s="1" t="n">
        <v>1837.5</v>
      </c>
      <c r="F178" t="n">
        <v>1</v>
      </c>
      <c r="G178" t="n">
        <v>0</v>
      </c>
      <c r="H178" t="n">
        <v>2</v>
      </c>
      <c r="I178" t="n">
        <v>0</v>
      </c>
      <c r="J178" t="n">
        <v>0</v>
      </c>
      <c r="K178">
        <f>IF(H178-I178-J178&gt;0,H178-I178-J178,0)</f>
        <v/>
      </c>
      <c r="L178" s="1">
        <f>IFERROR(I178*E178,0)</f>
        <v/>
      </c>
      <c r="M178" s="1">
        <f>IFERROR(K178*E178,0)</f>
        <v/>
      </c>
    </row>
    <row r="179">
      <c r="A179" t="inlineStr">
        <is>
          <t>630/3/6</t>
        </is>
      </c>
      <c r="B179" t="inlineStr">
        <is>
          <t>UV 630/3/6 c/w 1.5 kW 6 Pole 380V</t>
        </is>
      </c>
      <c r="C179" t="inlineStr">
        <is>
          <t>Air Speration</t>
        </is>
      </c>
      <c r="D179" t="inlineStr">
        <is>
          <t>Uncategorized</t>
        </is>
      </c>
      <c r="E179" s="1" t="n">
        <v>10527.25</v>
      </c>
      <c r="F179" t="n">
        <v>6</v>
      </c>
      <c r="G179" t="n">
        <v>0</v>
      </c>
      <c r="H179" t="n">
        <v>14</v>
      </c>
      <c r="I179" t="n">
        <v>0</v>
      </c>
      <c r="J179" t="n">
        <v>0</v>
      </c>
      <c r="K179">
        <f>IF(H179-I179-J179&gt;0,H179-I179-J179,0)</f>
        <v/>
      </c>
      <c r="L179" s="1">
        <f>IFERROR(I179*E179,0)</f>
        <v/>
      </c>
      <c r="M179" s="1">
        <f>IFERROR(K179*E179,0)</f>
        <v/>
      </c>
    </row>
    <row r="180">
      <c r="A180" t="inlineStr">
        <is>
          <t>630HD</t>
        </is>
      </c>
      <c r="B180" t="inlineStr">
        <is>
          <t>630mm Horizontal Discharge Unit with flange and mesh</t>
        </is>
      </c>
      <c r="C180" t="inlineStr">
        <is>
          <t>Attenu-Tec HVAC Parts</t>
        </is>
      </c>
      <c r="D180" t="inlineStr">
        <is>
          <t>Uncategorized</t>
        </is>
      </c>
      <c r="E180" s="1" t="n">
        <v>1203</v>
      </c>
      <c r="F180" t="n">
        <v>1</v>
      </c>
      <c r="G180" t="n">
        <v>0</v>
      </c>
      <c r="H180" t="n">
        <v>2</v>
      </c>
      <c r="I180" t="n">
        <v>0</v>
      </c>
      <c r="J180" t="n">
        <v>0</v>
      </c>
      <c r="K180">
        <f>IF(H180-I180-J180&gt;0,H180-I180-J180,0)</f>
        <v/>
      </c>
      <c r="L180" s="1">
        <f>IFERROR(I180*E180,0)</f>
        <v/>
      </c>
      <c r="M180" s="1">
        <f>IFERROR(K180*E180,0)</f>
        <v/>
      </c>
    </row>
    <row r="181">
      <c r="A181" t="inlineStr">
        <is>
          <t>630MBP05</t>
        </is>
      </c>
      <c r="B181" t="inlineStr">
        <is>
          <t>1-0350-240 P05 - 630 Motor Bracket</t>
        </is>
      </c>
      <c r="C181" t="inlineStr">
        <is>
          <t>Kart Shop TA Ultimate Laser Cutting</t>
        </is>
      </c>
      <c r="D181" t="inlineStr">
        <is>
          <t>Uncategorized</t>
        </is>
      </c>
      <c r="E181" s="1" t="n">
        <v>39.82</v>
      </c>
      <c r="F181" t="n">
        <v>6</v>
      </c>
      <c r="G181" t="n">
        <v>0</v>
      </c>
      <c r="H181" t="n">
        <v>29</v>
      </c>
      <c r="I181" t="n">
        <v>0</v>
      </c>
      <c r="J181" t="n">
        <v>0</v>
      </c>
      <c r="K181">
        <f>IF(H181-I181-J181&gt;0,H181-I181-J181,0)</f>
        <v/>
      </c>
      <c r="L181" s="1">
        <f>IFERROR(I181*E181,0)</f>
        <v/>
      </c>
      <c r="M181" s="1">
        <f>IFERROR(K181*E181,0)</f>
        <v/>
      </c>
    </row>
    <row r="182">
      <c r="A182" t="inlineStr">
        <is>
          <t>630SC</t>
        </is>
      </c>
      <c r="B182" t="inlineStr">
        <is>
          <t>Screen</t>
        </is>
      </c>
      <c r="C182" t="inlineStr">
        <is>
          <t>Heinmor Wire Products CC</t>
        </is>
      </c>
      <c r="D182" t="inlineStr">
        <is>
          <t>Uncategorized</t>
        </is>
      </c>
      <c r="E182" s="1" t="n">
        <v>455</v>
      </c>
      <c r="F182" t="n">
        <v>1</v>
      </c>
      <c r="G182" t="n">
        <v>0</v>
      </c>
      <c r="H182" t="n">
        <v>2</v>
      </c>
      <c r="I182" t="n">
        <v>0</v>
      </c>
      <c r="J182" t="n">
        <v>0</v>
      </c>
      <c r="K182">
        <f>IF(H182-I182-J182&gt;0,H182-I182-J182,0)</f>
        <v/>
      </c>
      <c r="L182" s="1">
        <f>IFERROR(I182*E182,0)</f>
        <v/>
      </c>
      <c r="M182" s="1">
        <f>IFERROR(K182*E182,0)</f>
        <v/>
      </c>
    </row>
    <row r="183">
      <c r="A183" t="inlineStr">
        <is>
          <t>630WC</t>
        </is>
      </c>
      <c r="B183" t="inlineStr">
        <is>
          <t>Wall Cowl &amp; Screen</t>
        </is>
      </c>
      <c r="C183" t="inlineStr">
        <is>
          <t>Attenu-Tec HVAC Parts</t>
        </is>
      </c>
      <c r="D183" t="inlineStr">
        <is>
          <t>Uncategorized</t>
        </is>
      </c>
      <c r="E183" s="1" t="n">
        <v>1110</v>
      </c>
      <c r="F183" t="n">
        <v>2</v>
      </c>
      <c r="G183" t="n">
        <v>0</v>
      </c>
      <c r="H183" t="n">
        <v>4</v>
      </c>
      <c r="I183" t="n">
        <v>0</v>
      </c>
      <c r="J183" t="n">
        <v>0</v>
      </c>
      <c r="K183">
        <f>IF(H183-I183-J183&gt;0,H183-I183-J183,0)</f>
        <v/>
      </c>
      <c r="L183" s="1">
        <f>IFERROR(I183*E183,0)</f>
        <v/>
      </c>
      <c r="M183" s="1">
        <f>IFERROR(K183*E183,0)</f>
        <v/>
      </c>
    </row>
    <row r="184">
      <c r="A184" t="inlineStr">
        <is>
          <t>6M02149B</t>
        </is>
      </c>
      <c r="B184" t="inlineStr">
        <is>
          <t>DDM 10/10 3F 6P 550W</t>
        </is>
      </c>
      <c r="C184" t="inlineStr">
        <is>
          <t>Regal Beloit Italy S.p.A - Nicotra .</t>
        </is>
      </c>
      <c r="D184" t="inlineStr">
        <is>
          <t>Uncategorized</t>
        </is>
      </c>
      <c r="E184" s="1" t="n">
        <v>5313.2</v>
      </c>
      <c r="F184" t="n">
        <v>3</v>
      </c>
      <c r="G184" t="n">
        <v>0</v>
      </c>
      <c r="H184" t="n">
        <v>9</v>
      </c>
      <c r="I184" t="n">
        <v>0</v>
      </c>
      <c r="J184" t="n">
        <v>0</v>
      </c>
      <c r="K184">
        <f>IF(H184-I184-J184&gt;0,H184-I184-J184,0)</f>
        <v/>
      </c>
      <c r="L184" s="1">
        <f>IFERROR(I184*E184,0)</f>
        <v/>
      </c>
      <c r="M184" s="1">
        <f>IFERROR(K184*E184,0)</f>
        <v/>
      </c>
    </row>
    <row r="185">
      <c r="A185" t="inlineStr">
        <is>
          <t>6N02R9</t>
        </is>
      </c>
      <c r="B185" t="inlineStr">
        <is>
          <t>DDM 9/9 - 6N02R9 - 550W 4P 220V-1Ph</t>
        </is>
      </c>
      <c r="C185" t="inlineStr"/>
      <c r="D185" t="inlineStr">
        <is>
          <t>Uncategorized</t>
        </is>
      </c>
      <c r="E185" s="1" t="n">
        <v>0</v>
      </c>
      <c r="F185" t="n">
        <v>2</v>
      </c>
      <c r="G185" t="n">
        <v>0</v>
      </c>
      <c r="H185" t="n">
        <v>10</v>
      </c>
      <c r="I185" t="n">
        <v>0</v>
      </c>
      <c r="J185" t="n">
        <v>0</v>
      </c>
      <c r="K185">
        <f>IF(H185-I185-J185&gt;0,H185-I185-J185,0)</f>
        <v/>
      </c>
      <c r="L185" s="1">
        <f>IFERROR(I185*E185,0)</f>
        <v/>
      </c>
      <c r="M185" s="1">
        <f>IFERROR(K185*E185,0)</f>
        <v/>
      </c>
    </row>
    <row r="186">
      <c r="A186" t="inlineStr">
        <is>
          <t>6N02XF</t>
        </is>
      </c>
      <c r="B186" t="inlineStr">
        <is>
          <t>DDM 10/10 E6G2503 1F 4P 1V</t>
        </is>
      </c>
      <c r="C186" t="inlineStr">
        <is>
          <t>Regal Beloit Italy S.p.A - Nicotra .</t>
        </is>
      </c>
      <c r="D186" t="inlineStr">
        <is>
          <t>Uncategorized</t>
        </is>
      </c>
      <c r="E186" s="1" t="n">
        <v>3763.11</v>
      </c>
      <c r="F186" t="n">
        <v>9</v>
      </c>
      <c r="G186" t="n">
        <v>0</v>
      </c>
      <c r="H186" t="n">
        <v>29</v>
      </c>
      <c r="I186" t="n">
        <v>0</v>
      </c>
      <c r="J186" t="n">
        <v>0</v>
      </c>
      <c r="K186">
        <f>IF(H186-I186-J186&gt;0,H186-I186-J186,0)</f>
        <v/>
      </c>
      <c r="L186" s="1">
        <f>IFERROR(I186*E186,0)</f>
        <v/>
      </c>
      <c r="M186" s="1">
        <f>IFERROR(K186*E186,0)</f>
        <v/>
      </c>
    </row>
    <row r="187">
      <c r="A187" t="inlineStr">
        <is>
          <t>6X4 HOT RUBBER CBK</t>
        </is>
      </c>
      <c r="B187" t="inlineStr">
        <is>
          <t>6X4 HOT RUBBER CBK</t>
        </is>
      </c>
      <c r="C187" t="inlineStr">
        <is>
          <t>ABNER ELECTRICAL WHOLESALERS (PTY) LTD</t>
        </is>
      </c>
      <c r="D187" t="inlineStr">
        <is>
          <t>Uncategorized</t>
        </is>
      </c>
      <c r="E187" s="1" t="n">
        <v>92.5</v>
      </c>
      <c r="F187" t="n">
        <v>5</v>
      </c>
      <c r="G187" t="n">
        <v>0</v>
      </c>
      <c r="H187" t="n">
        <v>25</v>
      </c>
      <c r="I187" t="n">
        <v>0</v>
      </c>
      <c r="J187" t="n">
        <v>0</v>
      </c>
      <c r="K187">
        <f>IF(H187-I187-J187&gt;0,H187-I187-J187,0)</f>
        <v/>
      </c>
      <c r="L187" s="1">
        <f>IFERROR(I187*E187,0)</f>
        <v/>
      </c>
      <c r="M187" s="1">
        <f>IFERROR(K187*E187,0)</f>
        <v/>
      </c>
    </row>
    <row r="188">
      <c r="A188" t="inlineStr">
        <is>
          <t>6mmEW</t>
        </is>
      </c>
      <c r="B188" t="inlineStr">
        <is>
          <t>End Washer - 43mm OD and 6mm ID - Plated</t>
        </is>
      </c>
      <c r="C188" t="inlineStr">
        <is>
          <t>Mafilisti Trading and Projects (Pty) Ltd</t>
        </is>
      </c>
      <c r="D188" t="inlineStr">
        <is>
          <t>Uncategorized</t>
        </is>
      </c>
      <c r="E188" s="1" t="n">
        <v>14</v>
      </c>
      <c r="F188" t="n">
        <v>8</v>
      </c>
      <c r="G188" t="n">
        <v>0</v>
      </c>
      <c r="H188" t="n">
        <v>40</v>
      </c>
      <c r="I188" t="n">
        <v>0</v>
      </c>
      <c r="J188" t="n">
        <v>0</v>
      </c>
      <c r="K188">
        <f>IF(H188-I188-J188&gt;0,H188-I188-J188,0)</f>
        <v/>
      </c>
      <c r="L188" s="1">
        <f>IFERROR(I188*E188,0)</f>
        <v/>
      </c>
      <c r="M188" s="1">
        <f>IFERROR(K188*E188,0)</f>
        <v/>
      </c>
    </row>
    <row r="189">
      <c r="A189" t="inlineStr">
        <is>
          <t>7.52FM</t>
        </is>
      </c>
      <c r="B189" t="inlineStr">
        <is>
          <t>7.5KW 2P 400V FOOT</t>
        </is>
      </c>
      <c r="C189" t="inlineStr">
        <is>
          <t>ACTOM</t>
        </is>
      </c>
      <c r="D189" t="inlineStr">
        <is>
          <t>Uncategorized</t>
        </is>
      </c>
      <c r="E189" s="1" t="n">
        <v>5648</v>
      </c>
      <c r="F189" t="n">
        <v>2</v>
      </c>
      <c r="G189" t="n">
        <v>0</v>
      </c>
      <c r="H189" t="n">
        <v>4</v>
      </c>
      <c r="I189" t="n">
        <v>0</v>
      </c>
      <c r="J189" t="n">
        <v>0</v>
      </c>
      <c r="K189">
        <f>IF(H189-I189-J189&gt;0,H189-I189-J189,0)</f>
        <v/>
      </c>
      <c r="L189" s="1">
        <f>IFERROR(I189*E189,0)</f>
        <v/>
      </c>
      <c r="M189" s="1">
        <f>IFERROR(K189*E189,0)</f>
        <v/>
      </c>
    </row>
    <row r="190">
      <c r="A190" t="inlineStr">
        <is>
          <t>7.543FM</t>
        </is>
      </c>
      <c r="B190" t="inlineStr">
        <is>
          <t>7.5kW 4P 400V B3 Alum QL3 Foot Mount</t>
        </is>
      </c>
      <c r="C190" t="inlineStr">
        <is>
          <t>ACTOM</t>
        </is>
      </c>
      <c r="D190" t="inlineStr">
        <is>
          <t>Uncategorized</t>
        </is>
      </c>
      <c r="E190" s="1" t="n">
        <v>5973</v>
      </c>
      <c r="F190" t="n">
        <v>1</v>
      </c>
      <c r="G190" t="n">
        <v>0</v>
      </c>
      <c r="H190" t="n">
        <v>3</v>
      </c>
      <c r="I190" t="n">
        <v>0</v>
      </c>
      <c r="J190" t="n">
        <v>0</v>
      </c>
      <c r="K190">
        <f>IF(H190-I190-J190&gt;0,H190-I190-J190,0)</f>
        <v/>
      </c>
      <c r="L190" s="1">
        <f>IFERROR(I190*E190,0)</f>
        <v/>
      </c>
      <c r="M190" s="1">
        <f>IFERROR(K190*E190,0)</f>
        <v/>
      </c>
    </row>
    <row r="191">
      <c r="A191" t="inlineStr">
        <is>
          <t>7.5kW</t>
        </is>
      </c>
      <c r="B191" t="inlineStr">
        <is>
          <t>4Pole 380V IE1 B3 Cast Iron Foot Mount</t>
        </is>
      </c>
      <c r="C191" t="inlineStr">
        <is>
          <t>ACTOM</t>
        </is>
      </c>
      <c r="D191" t="inlineStr">
        <is>
          <t>Uncategorized</t>
        </is>
      </c>
      <c r="E191" s="1" t="n">
        <v>6176</v>
      </c>
      <c r="F191" t="n">
        <v>1</v>
      </c>
      <c r="G191" t="n">
        <v>0</v>
      </c>
      <c r="H191" t="n">
        <v>3</v>
      </c>
      <c r="I191" t="n">
        <v>0</v>
      </c>
      <c r="J191" t="n">
        <v>0</v>
      </c>
      <c r="K191">
        <f>IF(H191-I191-J191&gt;0,H191-I191-J191,0)</f>
        <v/>
      </c>
      <c r="L191" s="1">
        <f>IFERROR(I191*E191,0)</f>
        <v/>
      </c>
      <c r="M191" s="1">
        <f>IFERROR(K191*E191,0)</f>
        <v/>
      </c>
    </row>
    <row r="192">
      <c r="A192" t="inlineStr">
        <is>
          <t>71 FR 13.8</t>
        </is>
      </c>
      <c r="B192" t="inlineStr">
        <is>
          <t>71 Motor frame - 13.8 mm OD spacer</t>
        </is>
      </c>
      <c r="C192" t="inlineStr">
        <is>
          <t>Hulmak Engineering cc</t>
        </is>
      </c>
      <c r="D192" t="inlineStr">
        <is>
          <t>Uncategorized</t>
        </is>
      </c>
      <c r="E192" s="1" t="n">
        <v>30</v>
      </c>
      <c r="F192" t="n">
        <v>8</v>
      </c>
      <c r="G192" t="n">
        <v>0</v>
      </c>
      <c r="H192" t="n">
        <v>42</v>
      </c>
      <c r="I192" t="n">
        <v>0</v>
      </c>
      <c r="J192" t="n">
        <v>0</v>
      </c>
      <c r="K192">
        <f>IF(H192-I192-J192&gt;0,H192-I192-J192,0)</f>
        <v/>
      </c>
      <c r="L192" s="1">
        <f>IFERROR(I192*E192,0)</f>
        <v/>
      </c>
      <c r="M192" s="1">
        <f>IFERROR(K192*E192,0)</f>
        <v/>
      </c>
    </row>
    <row r="193">
      <c r="A193" t="inlineStr">
        <is>
          <t>710 B</t>
        </is>
      </c>
      <c r="B193" t="inlineStr">
        <is>
          <t>Blades</t>
        </is>
      </c>
      <c r="C193" t="inlineStr">
        <is>
          <t>Centrifab (Pty) Ltd</t>
        </is>
      </c>
      <c r="D193" t="inlineStr">
        <is>
          <t>Uncategorized</t>
        </is>
      </c>
      <c r="E193" s="1" t="n">
        <v>310</v>
      </c>
      <c r="F193" t="n">
        <v>40</v>
      </c>
      <c r="G193" t="n">
        <v>0</v>
      </c>
      <c r="H193" t="n">
        <v>200</v>
      </c>
      <c r="I193" t="n">
        <v>0</v>
      </c>
      <c r="J193" t="n">
        <v>0</v>
      </c>
      <c r="K193">
        <f>IF(H193-I193-J193&gt;0,H193-I193-J193,0)</f>
        <v/>
      </c>
      <c r="L193" s="1">
        <f>IFERROR(I193*E193,0)</f>
        <v/>
      </c>
      <c r="M193" s="1">
        <f>IFERROR(K193*E193,0)</f>
        <v/>
      </c>
    </row>
    <row r="194">
      <c r="A194" t="inlineStr">
        <is>
          <t>710 SI</t>
        </is>
      </c>
      <c r="B194" t="inlineStr">
        <is>
          <t>Spare Impeller</t>
        </is>
      </c>
      <c r="C194" t="inlineStr">
        <is>
          <t>Luft Industries Natal (Pty) Ltd</t>
        </is>
      </c>
      <c r="D194" t="inlineStr">
        <is>
          <t>Uncategorized</t>
        </is>
      </c>
      <c r="E194" s="1" t="n">
        <v>2681.25</v>
      </c>
      <c r="F194" t="n">
        <v>1</v>
      </c>
      <c r="G194" t="n">
        <v>0</v>
      </c>
      <c r="H194" t="n">
        <v>5</v>
      </c>
      <c r="I194" t="n">
        <v>0</v>
      </c>
      <c r="J194" t="n">
        <v>0</v>
      </c>
      <c r="K194">
        <f>IF(H194-I194-J194&gt;0,H194-I194-J194,0)</f>
        <v/>
      </c>
      <c r="L194" s="1">
        <f>IFERROR(I194*E194,0)</f>
        <v/>
      </c>
      <c r="M194" s="1">
        <f>IFERROR(K194*E194,0)</f>
        <v/>
      </c>
    </row>
    <row r="195">
      <c r="A195" t="inlineStr">
        <is>
          <t>710/150/10 SI</t>
        </is>
      </c>
      <c r="B195" t="inlineStr">
        <is>
          <t>Spare Impeller (710mm 'B' 150A10AR 28mm 100Frame 37 DEG - FM3173</t>
        </is>
      </c>
      <c r="C195" t="inlineStr">
        <is>
          <t>Luft Industries Natal (Pty) Ltd</t>
        </is>
      </c>
      <c r="D195" t="inlineStr">
        <is>
          <t>Uncategorized</t>
        </is>
      </c>
      <c r="E195" s="1" t="n">
        <v>1522.65</v>
      </c>
      <c r="F195" t="n">
        <v>4</v>
      </c>
      <c r="G195" t="n">
        <v>0</v>
      </c>
      <c r="H195" t="n">
        <v>14</v>
      </c>
      <c r="I195" t="n">
        <v>0</v>
      </c>
      <c r="J195" t="n">
        <v>0</v>
      </c>
      <c r="K195">
        <f>IF(H195-I195-J195&gt;0,H195-I195-J195,0)</f>
        <v/>
      </c>
      <c r="L195" s="1">
        <f>IFERROR(I195*E195,0)</f>
        <v/>
      </c>
      <c r="M195" s="1">
        <f>IFERROR(K195*E195,0)</f>
        <v/>
      </c>
    </row>
    <row r="196">
      <c r="A196" t="inlineStr">
        <is>
          <t>710MBP06</t>
        </is>
      </c>
      <c r="B196" t="inlineStr">
        <is>
          <t>1-0350-240 P06 - 710 Motor Bracket</t>
        </is>
      </c>
      <c r="C196" t="inlineStr">
        <is>
          <t>Intervent-Universal (Pty) Ltd</t>
        </is>
      </c>
      <c r="D196" t="inlineStr">
        <is>
          <t>Uncategorized</t>
        </is>
      </c>
      <c r="E196" s="1" t="n">
        <v>47.37</v>
      </c>
      <c r="F196" t="n">
        <v>3</v>
      </c>
      <c r="G196" t="n">
        <v>0</v>
      </c>
      <c r="H196" t="n">
        <v>16</v>
      </c>
      <c r="I196" t="n">
        <v>0</v>
      </c>
      <c r="J196" t="n">
        <v>0</v>
      </c>
      <c r="K196">
        <f>IF(H196-I196-J196&gt;0,H196-I196-J196,0)</f>
        <v/>
      </c>
      <c r="L196" s="1">
        <f>IFERROR(I196*E196,0)</f>
        <v/>
      </c>
      <c r="M196" s="1">
        <f>IFERROR(K196*E196,0)</f>
        <v/>
      </c>
    </row>
    <row r="197">
      <c r="A197" t="inlineStr">
        <is>
          <t>710SC</t>
        </is>
      </c>
      <c r="B197" t="inlineStr">
        <is>
          <t>Side Screen</t>
        </is>
      </c>
      <c r="C197" t="inlineStr">
        <is>
          <t>Heinmor Wire Products CC</t>
        </is>
      </c>
      <c r="D197" t="inlineStr">
        <is>
          <t>Uncategorized</t>
        </is>
      </c>
      <c r="E197" s="1" t="n">
        <v>546.5</v>
      </c>
      <c r="F197" t="n">
        <v>1</v>
      </c>
      <c r="G197" t="n">
        <v>0</v>
      </c>
      <c r="H197" t="n">
        <v>4</v>
      </c>
      <c r="I197" t="n">
        <v>0</v>
      </c>
      <c r="J197" t="n">
        <v>0</v>
      </c>
      <c r="K197">
        <f>IF(H197-I197-J197&gt;0,H197-I197-J197,0)</f>
        <v/>
      </c>
      <c r="L197" s="1">
        <f>IFERROR(I197*E197,0)</f>
        <v/>
      </c>
      <c r="M197" s="1">
        <f>IFERROR(K197*E197,0)</f>
        <v/>
      </c>
    </row>
    <row r="198">
      <c r="A198" t="inlineStr">
        <is>
          <t>710WC</t>
        </is>
      </c>
      <c r="B198" t="inlineStr">
        <is>
          <t>Wall Cowl &amp; Screen</t>
        </is>
      </c>
      <c r="C198" t="inlineStr">
        <is>
          <t>Attenu-Tec HVAC Parts</t>
        </is>
      </c>
      <c r="D198" t="inlineStr">
        <is>
          <t>Uncategorized</t>
        </is>
      </c>
      <c r="E198" s="1" t="n">
        <v>1110</v>
      </c>
      <c r="F198" t="n">
        <v>11</v>
      </c>
      <c r="G198" t="n">
        <v>0</v>
      </c>
      <c r="H198" t="n">
        <v>23</v>
      </c>
      <c r="I198" t="n">
        <v>0</v>
      </c>
      <c r="J198" t="n">
        <v>0</v>
      </c>
      <c r="K198">
        <f>IF(H198-I198-J198&gt;0,H198-I198-J198,0)</f>
        <v/>
      </c>
      <c r="L198" s="1">
        <f>IFERROR(I198*E198,0)</f>
        <v/>
      </c>
      <c r="M198" s="1">
        <f>IFERROR(K198*E198,0)</f>
        <v/>
      </c>
    </row>
    <row r="199">
      <c r="A199" t="inlineStr">
        <is>
          <t>71848</t>
        </is>
      </c>
      <c r="B199" t="inlineStr">
        <is>
          <t>PRA REDUCER STD BRASS 40M - 25F</t>
        </is>
      </c>
      <c r="C199" t="inlineStr">
        <is>
          <t>Pratley (Pty) Ltd</t>
        </is>
      </c>
      <c r="D199" t="inlineStr">
        <is>
          <t>Uncategorized</t>
        </is>
      </c>
      <c r="E199" s="1" t="n">
        <v>112.71</v>
      </c>
      <c r="F199" t="n">
        <v>2</v>
      </c>
      <c r="G199" t="n">
        <v>0</v>
      </c>
      <c r="H199" t="n">
        <v>10</v>
      </c>
      <c r="I199" t="n">
        <v>0</v>
      </c>
      <c r="J199" t="n">
        <v>0</v>
      </c>
      <c r="K199">
        <f>IF(H199-I199-J199&gt;0,H199-I199-J199,0)</f>
        <v/>
      </c>
      <c r="L199" s="1">
        <f>IFERROR(I199*E199,0)</f>
        <v/>
      </c>
      <c r="M199" s="1">
        <f>IFERROR(K199*E199,0)</f>
        <v/>
      </c>
    </row>
    <row r="200">
      <c r="A200" t="inlineStr">
        <is>
          <t>73-18</t>
        </is>
      </c>
      <c r="B200" t="inlineStr">
        <is>
          <t>YCI607A HELLEMON T : RED HANDLE WIRE STRIPPER</t>
        </is>
      </c>
      <c r="C200" t="inlineStr">
        <is>
          <t>Atlantic Lighting &amp; Electrical distributors</t>
        </is>
      </c>
      <c r="D200" t="inlineStr">
        <is>
          <t>Uncategorized</t>
        </is>
      </c>
      <c r="E200" s="1" t="n">
        <v>238.5</v>
      </c>
      <c r="F200" t="n">
        <v>1</v>
      </c>
      <c r="G200" t="n">
        <v>0</v>
      </c>
      <c r="H200" t="n">
        <v>2</v>
      </c>
      <c r="I200" t="n">
        <v>0</v>
      </c>
      <c r="J200" t="n">
        <v>0</v>
      </c>
      <c r="K200">
        <f>IF(H200-I200-J200&gt;0,H200-I200-J200,0)</f>
        <v/>
      </c>
      <c r="L200" s="1">
        <f>IFERROR(I200*E200,0)</f>
        <v/>
      </c>
      <c r="M200" s="1">
        <f>IFERROR(K200*E200,0)</f>
        <v/>
      </c>
    </row>
    <row r="201">
      <c r="A201" t="inlineStr">
        <is>
          <t>73-191</t>
        </is>
      </c>
      <c r="B201" t="inlineStr">
        <is>
          <t>HYAC5 CRIMP TOOL B : BOOTLACE CRIMPER</t>
        </is>
      </c>
      <c r="C201" t="inlineStr">
        <is>
          <t>Atlantic Lighting &amp; Electrical distributors</t>
        </is>
      </c>
      <c r="D201" t="inlineStr">
        <is>
          <t>Uncategorized</t>
        </is>
      </c>
      <c r="E201" s="1" t="n">
        <v>973.3200000000001</v>
      </c>
      <c r="F201" t="n">
        <v>1</v>
      </c>
      <c r="G201" t="n">
        <v>0</v>
      </c>
      <c r="H201" t="n">
        <v>2</v>
      </c>
      <c r="I201" t="n">
        <v>0</v>
      </c>
      <c r="J201" t="n">
        <v>0</v>
      </c>
      <c r="K201">
        <f>IF(H201-I201-J201&gt;0,H201-I201-J201,0)</f>
        <v/>
      </c>
      <c r="L201" s="1">
        <f>IFERROR(I201*E201,0)</f>
        <v/>
      </c>
      <c r="M201" s="1">
        <f>IFERROR(K201*E201,0)</f>
        <v/>
      </c>
    </row>
    <row r="202">
      <c r="A202" t="inlineStr">
        <is>
          <t>734SSC</t>
        </is>
      </c>
      <c r="B202" t="inlineStr">
        <is>
          <t>734 Special Screen - Hot Dip Galvinised</t>
        </is>
      </c>
      <c r="C202" t="inlineStr">
        <is>
          <t>Heinmor Wire Products CC</t>
        </is>
      </c>
      <c r="D202" t="inlineStr">
        <is>
          <t>Uncategorized</t>
        </is>
      </c>
      <c r="E202" s="1" t="n">
        <v>541</v>
      </c>
      <c r="F202" t="n">
        <v>1</v>
      </c>
      <c r="G202" t="n">
        <v>0</v>
      </c>
      <c r="H202" t="n">
        <v>2</v>
      </c>
      <c r="I202" t="n">
        <v>0</v>
      </c>
      <c r="J202" t="n">
        <v>0</v>
      </c>
      <c r="K202">
        <f>IF(H202-I202-J202&gt;0,H202-I202-J202,0)</f>
        <v/>
      </c>
      <c r="L202" s="1">
        <f>IFERROR(I202*E202,0)</f>
        <v/>
      </c>
      <c r="M202" s="1">
        <f>IFERROR(K202*E202,0)</f>
        <v/>
      </c>
    </row>
    <row r="203">
      <c r="A203" t="inlineStr">
        <is>
          <t>762Assembly</t>
        </is>
      </c>
      <c r="B203" t="inlineStr">
        <is>
          <t>762 Assembly, and Miscellaneous</t>
        </is>
      </c>
      <c r="C203" t="inlineStr"/>
      <c r="D203" t="inlineStr">
        <is>
          <t>Uncategorized</t>
        </is>
      </c>
      <c r="E203" s="1" t="n">
        <v>0</v>
      </c>
      <c r="F203" t="n">
        <v>1</v>
      </c>
      <c r="G203" t="n">
        <v>0</v>
      </c>
      <c r="H203" t="n">
        <v>5</v>
      </c>
      <c r="I203" t="n">
        <v>0</v>
      </c>
      <c r="J203" t="n">
        <v>0</v>
      </c>
      <c r="K203">
        <f>IF(H203-I203-J203&gt;0,H203-I203-J203,0)</f>
        <v/>
      </c>
      <c r="L203" s="1">
        <f>IFERROR(I203*E203,0)</f>
        <v/>
      </c>
      <c r="M203" s="1">
        <f>IFERROR(K203*E203,0)</f>
        <v/>
      </c>
    </row>
    <row r="204">
      <c r="A204" t="inlineStr">
        <is>
          <t>762Flame</t>
        </is>
      </c>
      <c r="B204" t="inlineStr">
        <is>
          <t>762 Flameproof Track</t>
        </is>
      </c>
      <c r="C204" t="inlineStr"/>
      <c r="D204" t="inlineStr">
        <is>
          <t>Uncategorized</t>
        </is>
      </c>
      <c r="E204" s="1" t="n">
        <v>0</v>
      </c>
      <c r="F204" t="n">
        <v>1</v>
      </c>
      <c r="G204" t="n">
        <v>0</v>
      </c>
      <c r="H204" t="n">
        <v>5</v>
      </c>
      <c r="I204" t="n">
        <v>0</v>
      </c>
      <c r="J204" t="n">
        <v>0</v>
      </c>
      <c r="K204">
        <f>IF(H204-I204-J204&gt;0,H204-I204-J204,0)</f>
        <v/>
      </c>
      <c r="L204" s="1">
        <f>IFERROR(I204*E204,0)</f>
        <v/>
      </c>
      <c r="M204" s="1">
        <f>IFERROR(K204*E204,0)</f>
        <v/>
      </c>
    </row>
    <row r="205">
      <c r="A205" t="inlineStr">
        <is>
          <t>762Grille</t>
        </is>
      </c>
      <c r="B205" t="inlineStr">
        <is>
          <t>762 Grille</t>
        </is>
      </c>
      <c r="C205" t="inlineStr"/>
      <c r="D205" t="inlineStr">
        <is>
          <t>Uncategorized</t>
        </is>
      </c>
      <c r="E205" s="1" t="n">
        <v>0</v>
      </c>
      <c r="F205" t="n">
        <v>2</v>
      </c>
      <c r="G205" t="n">
        <v>0</v>
      </c>
      <c r="H205" t="n">
        <v>10</v>
      </c>
      <c r="I205" t="n">
        <v>0</v>
      </c>
      <c r="J205" t="n">
        <v>0</v>
      </c>
      <c r="K205">
        <f>IF(H205-I205-J205&gt;0,H205-I205-J205,0)</f>
        <v/>
      </c>
      <c r="L205" s="1">
        <f>IFERROR(I205*E205,0)</f>
        <v/>
      </c>
      <c r="M205" s="1">
        <f>IFERROR(K205*E205,0)</f>
        <v/>
      </c>
    </row>
    <row r="206">
      <c r="A206" t="inlineStr">
        <is>
          <t>762IMP</t>
        </is>
      </c>
      <c r="B206" t="inlineStr">
        <is>
          <t>762 Impeller</t>
        </is>
      </c>
      <c r="C206" t="inlineStr"/>
      <c r="D206" t="inlineStr">
        <is>
          <t>Uncategorized</t>
        </is>
      </c>
      <c r="E206" s="1" t="n">
        <v>0</v>
      </c>
      <c r="F206" t="n">
        <v>1</v>
      </c>
      <c r="G206" t="n">
        <v>0</v>
      </c>
      <c r="H206" t="n">
        <v>5</v>
      </c>
      <c r="I206" t="n">
        <v>0</v>
      </c>
      <c r="J206" t="n">
        <v>0</v>
      </c>
      <c r="K206">
        <f>IF(H206-I206-J206&gt;0,H206-I206-J206,0)</f>
        <v/>
      </c>
      <c r="L206" s="1">
        <f>IFERROR(I206*E206,0)</f>
        <v/>
      </c>
      <c r="M206" s="1">
        <f>IFERROR(K206*E206,0)</f>
        <v/>
      </c>
    </row>
    <row r="207">
      <c r="A207" t="inlineStr">
        <is>
          <t>762Silenced- Motor</t>
        </is>
      </c>
      <c r="B207" t="inlineStr">
        <is>
          <t>762 Silenced Motor Barrel</t>
        </is>
      </c>
      <c r="C207" t="inlineStr"/>
      <c r="D207" t="inlineStr">
        <is>
          <t>Uncategorized</t>
        </is>
      </c>
      <c r="E207" s="1" t="n">
        <v>0</v>
      </c>
      <c r="F207" t="n">
        <v>1</v>
      </c>
      <c r="G207" t="n">
        <v>0</v>
      </c>
      <c r="H207" t="n">
        <v>5</v>
      </c>
      <c r="I207" t="n">
        <v>0</v>
      </c>
      <c r="J207" t="n">
        <v>0</v>
      </c>
      <c r="K207">
        <f>IF(H207-I207-J207&gt;0,H207-I207-J207,0)</f>
        <v/>
      </c>
      <c r="L207" s="1">
        <f>IFERROR(I207*E207,0)</f>
        <v/>
      </c>
      <c r="M207" s="1">
        <f>IFERROR(K207*E207,0)</f>
        <v/>
      </c>
    </row>
    <row r="208">
      <c r="A208" t="inlineStr">
        <is>
          <t>762Silenced-Stator</t>
        </is>
      </c>
      <c r="B208" t="inlineStr">
        <is>
          <t>762 Silenced Stator Barrel c/w Stator</t>
        </is>
      </c>
      <c r="C208" t="inlineStr"/>
      <c r="D208" t="inlineStr">
        <is>
          <t>Uncategorized</t>
        </is>
      </c>
      <c r="E208" s="1" t="n">
        <v>0</v>
      </c>
      <c r="F208" t="n">
        <v>1</v>
      </c>
      <c r="G208" t="n">
        <v>0</v>
      </c>
      <c r="H208" t="n">
        <v>5</v>
      </c>
      <c r="I208" t="n">
        <v>0</v>
      </c>
      <c r="J208" t="n">
        <v>0</v>
      </c>
      <c r="K208">
        <f>IF(H208-I208-J208&gt;0,H208-I208-J208,0)</f>
        <v/>
      </c>
      <c r="L208" s="1">
        <f>IFERROR(I208*E208,0)</f>
        <v/>
      </c>
      <c r="M208" s="1">
        <f>IFERROR(K208*E208,0)</f>
        <v/>
      </c>
    </row>
    <row r="209">
      <c r="A209" t="inlineStr">
        <is>
          <t>7mmEW</t>
        </is>
      </c>
      <c r="B209" t="inlineStr">
        <is>
          <t>End Washer - 43mm OD and 7mm ID - Plated</t>
        </is>
      </c>
      <c r="C209" t="inlineStr">
        <is>
          <t>Mafilisti Trading and Projects (Pty) Ltd</t>
        </is>
      </c>
      <c r="D209" t="inlineStr">
        <is>
          <t>Uncategorized</t>
        </is>
      </c>
      <c r="E209" s="1" t="n">
        <v>14</v>
      </c>
      <c r="F209" t="n">
        <v>7</v>
      </c>
      <c r="G209" t="n">
        <v>0</v>
      </c>
      <c r="H209" t="n">
        <v>35</v>
      </c>
      <c r="I209" t="n">
        <v>0</v>
      </c>
      <c r="J209" t="n">
        <v>0</v>
      </c>
      <c r="K209">
        <f>IF(H209-I209-J209&gt;0,H209-I209-J209,0)</f>
        <v/>
      </c>
      <c r="L209" s="1">
        <f>IFERROR(I209*E209,0)</f>
        <v/>
      </c>
      <c r="M209" s="1">
        <f>IFERROR(K209*E209,0)</f>
        <v/>
      </c>
    </row>
    <row r="210">
      <c r="A210" t="inlineStr">
        <is>
          <t>8-188</t>
        </is>
      </c>
      <c r="B210" t="inlineStr">
        <is>
          <t>CABTYRE - 4MM X 4C CABTYRE CUT PE</t>
        </is>
      </c>
      <c r="C210" t="inlineStr">
        <is>
          <t>Alpha Electrical</t>
        </is>
      </c>
      <c r="D210" t="inlineStr">
        <is>
          <t>Uncategorized</t>
        </is>
      </c>
      <c r="E210" s="1" t="n">
        <v>80</v>
      </c>
      <c r="F210" t="n">
        <v>5</v>
      </c>
      <c r="G210" t="n">
        <v>0</v>
      </c>
      <c r="H210" t="n">
        <v>25</v>
      </c>
      <c r="I210" t="n">
        <v>0</v>
      </c>
      <c r="J210" t="n">
        <v>0</v>
      </c>
      <c r="K210">
        <f>IF(H210-I210-J210&gt;0,H210-I210-J210,0)</f>
        <v/>
      </c>
      <c r="L210" s="1">
        <f>IFERROR(I210*E210,0)</f>
        <v/>
      </c>
      <c r="M210" s="1">
        <f>IFERROR(K210*E210,0)</f>
        <v/>
      </c>
    </row>
    <row r="211">
      <c r="A211" t="inlineStr">
        <is>
          <t>80 FR 18.8</t>
        </is>
      </c>
      <c r="B211" t="inlineStr">
        <is>
          <t>80 Motor Frame - 18.8 mm OD Spacer</t>
        </is>
      </c>
      <c r="C211" t="inlineStr">
        <is>
          <t>Hulmak Engineering cc</t>
        </is>
      </c>
      <c r="D211" t="inlineStr">
        <is>
          <t>Uncategorized</t>
        </is>
      </c>
      <c r="E211" s="1" t="n">
        <v>30</v>
      </c>
      <c r="F211" t="n">
        <v>7</v>
      </c>
      <c r="G211" t="n">
        <v>0</v>
      </c>
      <c r="H211" t="n">
        <v>35</v>
      </c>
      <c r="I211" t="n">
        <v>0</v>
      </c>
      <c r="J211" t="n">
        <v>0</v>
      </c>
      <c r="K211">
        <f>IF(H211-I211-J211&gt;0,H211-I211-J211,0)</f>
        <v/>
      </c>
      <c r="L211" s="1">
        <f>IFERROR(I211*E211,0)</f>
        <v/>
      </c>
      <c r="M211" s="1">
        <f>IFERROR(K211*E211,0)</f>
        <v/>
      </c>
    </row>
    <row r="212">
      <c r="A212" t="inlineStr">
        <is>
          <t>800/150/10 SI</t>
        </is>
      </c>
      <c r="B212" t="inlineStr">
        <is>
          <t>Spare Impeller (800mm 'B' 150A10AR 28mm 100Frame 27 DEG - FM3176)</t>
        </is>
      </c>
      <c r="C212" t="inlineStr">
        <is>
          <t>Luft Industries Natal (Pty) Ltd</t>
        </is>
      </c>
      <c r="D212" t="inlineStr">
        <is>
          <t>Uncategorized</t>
        </is>
      </c>
      <c r="E212" s="1" t="n">
        <v>1901.25</v>
      </c>
      <c r="F212" t="n">
        <v>1</v>
      </c>
      <c r="G212" t="n">
        <v>0</v>
      </c>
      <c r="H212" t="n">
        <v>3</v>
      </c>
      <c r="I212" t="n">
        <v>0</v>
      </c>
      <c r="J212" t="n">
        <v>0</v>
      </c>
      <c r="K212">
        <f>IF(H212-I212-J212&gt;0,H212-I212-J212,0)</f>
        <v/>
      </c>
      <c r="L212" s="1">
        <f>IFERROR(I212*E212,0)</f>
        <v/>
      </c>
      <c r="M212" s="1">
        <f>IFERROR(K212*E212,0)</f>
        <v/>
      </c>
    </row>
    <row r="213">
      <c r="A213" t="inlineStr">
        <is>
          <t>8005LSW03000300</t>
        </is>
      </c>
      <c r="B213" t="inlineStr">
        <is>
          <t>Grille LS 0300x0300 White for fans 200-250-300</t>
        </is>
      </c>
      <c r="C213" t="inlineStr">
        <is>
          <t>Luft Industries Natal (Pty) Ltd</t>
        </is>
      </c>
      <c r="D213" t="inlineStr">
        <is>
          <t>Uncategorized</t>
        </is>
      </c>
      <c r="E213" s="1" t="n">
        <v>607.14</v>
      </c>
      <c r="F213" t="n">
        <v>2</v>
      </c>
      <c r="G213" t="n">
        <v>0</v>
      </c>
      <c r="H213" t="n">
        <v>6</v>
      </c>
      <c r="I213" t="n">
        <v>0</v>
      </c>
      <c r="J213" t="n">
        <v>0</v>
      </c>
      <c r="K213">
        <f>IF(H213-I213-J213&gt;0,H213-I213-J213,0)</f>
        <v/>
      </c>
      <c r="L213" s="1">
        <f>IFERROR(I213*E213,0)</f>
        <v/>
      </c>
      <c r="M213" s="1">
        <f>IFERROR(K213*E213,0)</f>
        <v/>
      </c>
    </row>
    <row r="214">
      <c r="A214" t="inlineStr">
        <is>
          <t>800IC</t>
        </is>
      </c>
      <c r="B214" t="inlineStr">
        <is>
          <t>Inlet Cone</t>
        </is>
      </c>
      <c r="C214" t="inlineStr">
        <is>
          <t>Attenu-Tec HVAC Parts</t>
        </is>
      </c>
      <c r="D214" t="inlineStr">
        <is>
          <t>Uncategorized</t>
        </is>
      </c>
      <c r="E214" s="1" t="n">
        <v>1014</v>
      </c>
      <c r="F214" t="n">
        <v>2</v>
      </c>
      <c r="G214" t="n">
        <v>0</v>
      </c>
      <c r="H214" t="n">
        <v>10</v>
      </c>
      <c r="I214" t="n">
        <v>0</v>
      </c>
      <c r="J214" t="n">
        <v>0</v>
      </c>
      <c r="K214">
        <f>IF(H214-I214-J214&gt;0,H214-I214-J214,0)</f>
        <v/>
      </c>
      <c r="L214" s="1">
        <f>IFERROR(I214*E214,0)</f>
        <v/>
      </c>
      <c r="M214" s="1">
        <f>IFERROR(K214*E214,0)</f>
        <v/>
      </c>
    </row>
    <row r="215">
      <c r="A215" t="inlineStr">
        <is>
          <t>800IMP</t>
        </is>
      </c>
      <c r="B215" t="inlineStr">
        <is>
          <t>Spare Impeller</t>
        </is>
      </c>
      <c r="C215" t="inlineStr">
        <is>
          <t>Phoenix Fans &amp; Engineering</t>
        </is>
      </c>
      <c r="D215" t="inlineStr">
        <is>
          <t>Uncategorized</t>
        </is>
      </c>
      <c r="E215" s="1" t="n">
        <v>0</v>
      </c>
      <c r="F215" t="n">
        <v>1</v>
      </c>
      <c r="G215" t="n">
        <v>0</v>
      </c>
      <c r="H215" t="n">
        <v>3</v>
      </c>
      <c r="I215" t="n">
        <v>0</v>
      </c>
      <c r="J215" t="n">
        <v>0</v>
      </c>
      <c r="K215">
        <f>IF(H215-I215-J215&gt;0,H215-I215-J215,0)</f>
        <v/>
      </c>
      <c r="L215" s="1">
        <f>IFERROR(I215*E215,0)</f>
        <v/>
      </c>
      <c r="M215" s="1">
        <f>IFERROR(K215*E215,0)</f>
        <v/>
      </c>
    </row>
    <row r="216">
      <c r="A216" t="inlineStr">
        <is>
          <t>800MBP07</t>
        </is>
      </c>
      <c r="B216" t="inlineStr">
        <is>
          <t>1-0350-240 P07 - 800 Motor Bracket</t>
        </is>
      </c>
      <c r="C216" t="inlineStr">
        <is>
          <t>Kart Shop TA Ultimate Laser Cutting</t>
        </is>
      </c>
      <c r="D216" t="inlineStr">
        <is>
          <t>Uncategorized</t>
        </is>
      </c>
      <c r="E216" s="1" t="n">
        <v>28.72</v>
      </c>
      <c r="F216" t="n">
        <v>3</v>
      </c>
      <c r="G216" t="n">
        <v>0</v>
      </c>
      <c r="H216" t="n">
        <v>15</v>
      </c>
      <c r="I216" t="n">
        <v>0</v>
      </c>
      <c r="J216" t="n">
        <v>0</v>
      </c>
      <c r="K216">
        <f>IF(H216-I216-J216&gt;0,H216-I216-J216,0)</f>
        <v/>
      </c>
      <c r="L216" s="1">
        <f>IFERROR(I216*E216,0)</f>
        <v/>
      </c>
      <c r="M216" s="1">
        <f>IFERROR(K216*E216,0)</f>
        <v/>
      </c>
    </row>
    <row r="217">
      <c r="A217" t="inlineStr">
        <is>
          <t>800S</t>
        </is>
      </c>
      <c r="B217" t="inlineStr">
        <is>
          <t>800mm dia Fan Guard - Hot Dip Galvanised</t>
        </is>
      </c>
      <c r="C217" t="inlineStr">
        <is>
          <t>Heinmor Wire Products CC</t>
        </is>
      </c>
      <c r="D217" t="inlineStr">
        <is>
          <t>Uncategorized</t>
        </is>
      </c>
      <c r="E217" s="1" t="n">
        <v>686.4</v>
      </c>
      <c r="F217" t="n">
        <v>2</v>
      </c>
      <c r="G217" t="n">
        <v>0</v>
      </c>
      <c r="H217" t="n">
        <v>8</v>
      </c>
      <c r="I217" t="n">
        <v>0</v>
      </c>
      <c r="J217" t="n">
        <v>0</v>
      </c>
      <c r="K217">
        <f>IF(H217-I217-J217&gt;0,H217-I217-J217,0)</f>
        <v/>
      </c>
      <c r="L217" s="1">
        <f>IFERROR(I217*E217,0)</f>
        <v/>
      </c>
      <c r="M217" s="1">
        <f>IFERROR(K217*E217,0)</f>
        <v/>
      </c>
    </row>
    <row r="218">
      <c r="A218" t="inlineStr">
        <is>
          <t>800SC</t>
        </is>
      </c>
      <c r="B218" t="inlineStr">
        <is>
          <t>Screen</t>
        </is>
      </c>
      <c r="C218" t="inlineStr">
        <is>
          <t>Systemair (Pty) Ltd</t>
        </is>
      </c>
      <c r="D218" t="inlineStr">
        <is>
          <t>Uncategorized</t>
        </is>
      </c>
      <c r="E218" s="1" t="n">
        <v>1092.5</v>
      </c>
      <c r="F218" t="n">
        <v>3</v>
      </c>
      <c r="G218" t="n">
        <v>0</v>
      </c>
      <c r="H218" t="n">
        <v>15</v>
      </c>
      <c r="I218" t="n">
        <v>0</v>
      </c>
      <c r="J218" t="n">
        <v>0</v>
      </c>
      <c r="K218">
        <f>IF(H218-I218-J218&gt;0,H218-I218-J218,0)</f>
        <v/>
      </c>
      <c r="L218" s="1">
        <f>IFERROR(I218*E218,0)</f>
        <v/>
      </c>
      <c r="M218" s="1">
        <f>IFERROR(K218*E218,0)</f>
        <v/>
      </c>
    </row>
    <row r="219">
      <c r="A219" t="inlineStr">
        <is>
          <t>800WC</t>
        </is>
      </c>
      <c r="B219" t="inlineStr">
        <is>
          <t>800 Wall Cowl Galvanized</t>
        </is>
      </c>
      <c r="C219" t="inlineStr">
        <is>
          <t>Attenu-Tec HVAC Parts</t>
        </is>
      </c>
      <c r="D219" t="inlineStr">
        <is>
          <t>Uncategorized</t>
        </is>
      </c>
      <c r="E219" s="1" t="n">
        <v>1598</v>
      </c>
      <c r="F219" t="n">
        <v>1</v>
      </c>
      <c r="G219" t="n">
        <v>0</v>
      </c>
      <c r="H219" t="n">
        <v>5</v>
      </c>
      <c r="I219" t="n">
        <v>0</v>
      </c>
      <c r="J219" t="n">
        <v>0</v>
      </c>
      <c r="K219">
        <f>IF(H219-I219-J219&gt;0,H219-I219-J219,0)</f>
        <v/>
      </c>
      <c r="L219" s="1">
        <f>IFERROR(I219*E219,0)</f>
        <v/>
      </c>
      <c r="M219" s="1">
        <f>IFERROR(K219*E219,0)</f>
        <v/>
      </c>
    </row>
    <row r="220">
      <c r="A220" t="inlineStr">
        <is>
          <t>8220000263</t>
        </is>
      </c>
      <c r="B220" t="inlineStr">
        <is>
          <t>8UFAFCAP - Capacitor</t>
        </is>
      </c>
      <c r="C220" t="inlineStr">
        <is>
          <t>Ebmpapst</t>
        </is>
      </c>
      <c r="D220" t="inlineStr">
        <is>
          <t>Uncategorized</t>
        </is>
      </c>
      <c r="E220" s="1" t="n">
        <v>50.22</v>
      </c>
      <c r="F220" t="n">
        <v>6</v>
      </c>
      <c r="G220" t="n">
        <v>0</v>
      </c>
      <c r="H220" t="n">
        <v>30</v>
      </c>
      <c r="I220" t="n">
        <v>0</v>
      </c>
      <c r="J220" t="n">
        <v>0</v>
      </c>
      <c r="K220">
        <f>IF(H220-I220-J220&gt;0,H220-I220-J220,0)</f>
        <v/>
      </c>
      <c r="L220" s="1">
        <f>IFERROR(I220*E220,0)</f>
        <v/>
      </c>
      <c r="M220" s="1">
        <f>IFERROR(K220*E220,0)</f>
        <v/>
      </c>
    </row>
    <row r="221">
      <c r="A221" t="inlineStr">
        <is>
          <t>85X3SPA</t>
        </is>
      </c>
      <c r="B221" t="inlineStr">
        <is>
          <t>PULLEY FRICTION BELT V-WEDGE 3 GROOVE SPA 1210 TAPER 85MM FENNER</t>
        </is>
      </c>
      <c r="C221" t="inlineStr">
        <is>
          <t>Bearing Man Group</t>
        </is>
      </c>
      <c r="D221" t="inlineStr">
        <is>
          <t>Uncategorized</t>
        </is>
      </c>
      <c r="E221" s="1" t="n">
        <v>174.26</v>
      </c>
      <c r="F221" t="n">
        <v>1</v>
      </c>
      <c r="G221" t="n">
        <v>0</v>
      </c>
      <c r="H221" t="n">
        <v>5</v>
      </c>
      <c r="I221" t="n">
        <v>0</v>
      </c>
      <c r="J221" t="n">
        <v>0</v>
      </c>
      <c r="K221">
        <f>IF(H221-I221-J221&gt;0,H221-I221-J221,0)</f>
        <v/>
      </c>
      <c r="L221" s="1">
        <f>IFERROR(I221*E221,0)</f>
        <v/>
      </c>
      <c r="M221" s="1">
        <f>IFERROR(K221*E221,0)</f>
        <v/>
      </c>
    </row>
    <row r="222">
      <c r="A222" t="inlineStr">
        <is>
          <t>9.243PM</t>
        </is>
      </c>
      <c r="B222" t="inlineStr">
        <is>
          <t>9.2kW 4P 380V Pad Mount Motor</t>
        </is>
      </c>
      <c r="C222" t="inlineStr">
        <is>
          <t>ACTOM</t>
        </is>
      </c>
      <c r="D222" t="inlineStr">
        <is>
          <t>Uncategorized</t>
        </is>
      </c>
      <c r="E222" s="1" t="n">
        <v>7076</v>
      </c>
      <c r="F222" t="n">
        <v>2</v>
      </c>
      <c r="G222" t="n">
        <v>0</v>
      </c>
      <c r="H222" t="n">
        <v>4</v>
      </c>
      <c r="I222" t="n">
        <v>0</v>
      </c>
      <c r="J222" t="n">
        <v>0</v>
      </c>
      <c r="K222">
        <f>IF(H222-I222-J222&gt;0,H222-I222-J222,0)</f>
        <v/>
      </c>
      <c r="L222" s="1">
        <f>IFERROR(I222*E222,0)</f>
        <v/>
      </c>
      <c r="M222" s="1">
        <f>IFERROR(K222*E222,0)</f>
        <v/>
      </c>
    </row>
    <row r="223">
      <c r="A223" t="inlineStr">
        <is>
          <t>90 FR 23.8</t>
        </is>
      </c>
      <c r="B223" t="inlineStr">
        <is>
          <t>90 Motor Frame - 23.8 mm OD Spacer</t>
        </is>
      </c>
      <c r="C223" t="inlineStr">
        <is>
          <t>Hulmak Engineering cc</t>
        </is>
      </c>
      <c r="D223" t="inlineStr">
        <is>
          <t>Uncategorized</t>
        </is>
      </c>
      <c r="E223" s="1" t="n">
        <v>30</v>
      </c>
      <c r="F223" t="n">
        <v>12</v>
      </c>
      <c r="G223" t="n">
        <v>0</v>
      </c>
      <c r="H223" t="n">
        <v>62</v>
      </c>
      <c r="I223" t="n">
        <v>0</v>
      </c>
      <c r="J223" t="n">
        <v>0</v>
      </c>
      <c r="K223">
        <f>IF(H223-I223-J223&gt;0,H223-I223-J223,0)</f>
        <v/>
      </c>
      <c r="L223" s="1">
        <f>IFERROR(I223*E223,0)</f>
        <v/>
      </c>
      <c r="M223" s="1">
        <f>IFERROR(K223*E223,0)</f>
        <v/>
      </c>
    </row>
    <row r="224">
      <c r="A224" t="inlineStr">
        <is>
          <t>9000007</t>
        </is>
      </c>
      <c r="B224" t="inlineStr">
        <is>
          <t>EXTENDED WARRANTY</t>
        </is>
      </c>
      <c r="C224" t="inlineStr">
        <is>
          <t>SODECA</t>
        </is>
      </c>
      <c r="D224" t="inlineStr">
        <is>
          <t>Uncategorized</t>
        </is>
      </c>
      <c r="E224" s="1" t="n">
        <v>1482.96</v>
      </c>
      <c r="F224" t="n">
        <v>2</v>
      </c>
      <c r="G224" t="n">
        <v>0</v>
      </c>
      <c r="H224" t="n">
        <v>4</v>
      </c>
      <c r="I224" t="n">
        <v>0</v>
      </c>
      <c r="J224" t="n">
        <v>0</v>
      </c>
      <c r="K224">
        <f>IF(H224-I224-J224&gt;0,H224-I224-J224,0)</f>
        <v/>
      </c>
      <c r="L224" s="1">
        <f>IFERROR(I224*E224,0)</f>
        <v/>
      </c>
      <c r="M224" s="1">
        <f>IFERROR(K224*E224,0)</f>
        <v/>
      </c>
    </row>
    <row r="225">
      <c r="A225" t="inlineStr">
        <is>
          <t>900Impeller</t>
        </is>
      </c>
      <c r="B225" t="inlineStr">
        <is>
          <t>Majax-2 900.32.E.8 Spare Impeller</t>
        </is>
      </c>
      <c r="C225" t="inlineStr">
        <is>
          <t>Air Speration</t>
        </is>
      </c>
      <c r="D225" t="inlineStr">
        <is>
          <t>Uncategorized</t>
        </is>
      </c>
      <c r="E225" s="1" t="n">
        <v>2911.14</v>
      </c>
      <c r="F225" t="n">
        <v>1</v>
      </c>
      <c r="G225" t="n">
        <v>0</v>
      </c>
      <c r="H225" t="n">
        <v>2</v>
      </c>
      <c r="I225" t="n">
        <v>0</v>
      </c>
      <c r="J225" t="n">
        <v>0</v>
      </c>
      <c r="K225">
        <f>IF(H225-I225-J225&gt;0,H225-I225-J225,0)</f>
        <v/>
      </c>
      <c r="L225" s="1">
        <f>IFERROR(I225*E225,0)</f>
        <v/>
      </c>
      <c r="M225" s="1">
        <f>IFERROR(K225*E225,0)</f>
        <v/>
      </c>
    </row>
    <row r="226">
      <c r="A226" t="inlineStr">
        <is>
          <t>900MBP08</t>
        </is>
      </c>
      <c r="B226" t="inlineStr">
        <is>
          <t>1-0350-240 P08 - 900 Motor Bracket</t>
        </is>
      </c>
      <c r="C226" t="inlineStr">
        <is>
          <t>Kart Shop TA Ultimate Laser Cutting</t>
        </is>
      </c>
      <c r="D226" t="inlineStr">
        <is>
          <t>Uncategorized</t>
        </is>
      </c>
      <c r="E226" s="1" t="n">
        <v>43.84</v>
      </c>
      <c r="F226" t="n">
        <v>1</v>
      </c>
      <c r="G226" t="n">
        <v>0</v>
      </c>
      <c r="H226" t="n">
        <v>5</v>
      </c>
      <c r="I226" t="n">
        <v>0</v>
      </c>
      <c r="J226" t="n">
        <v>0</v>
      </c>
      <c r="K226">
        <f>IF(H226-I226-J226&gt;0,H226-I226-J226,0)</f>
        <v/>
      </c>
      <c r="L226" s="1">
        <f>IFERROR(I226*E226,0)</f>
        <v/>
      </c>
      <c r="M226" s="1">
        <f>IFERROR(K226*E226,0)</f>
        <v/>
      </c>
    </row>
    <row r="227">
      <c r="A227" t="inlineStr">
        <is>
          <t>900SC</t>
        </is>
      </c>
      <c r="B227" t="inlineStr">
        <is>
          <t>Screen</t>
        </is>
      </c>
      <c r="C227" t="inlineStr">
        <is>
          <t>Centrifab (Pty) Ltd</t>
        </is>
      </c>
      <c r="D227" t="inlineStr">
        <is>
          <t>Uncategorized</t>
        </is>
      </c>
      <c r="E227" s="1" t="n">
        <v>1002.78</v>
      </c>
      <c r="F227" t="n">
        <v>1</v>
      </c>
      <c r="G227" t="n">
        <v>0</v>
      </c>
      <c r="H227" t="n">
        <v>3</v>
      </c>
      <c r="I227" t="n">
        <v>0</v>
      </c>
      <c r="J227" t="n">
        <v>0</v>
      </c>
      <c r="K227">
        <f>IF(H227-I227-J227&gt;0,H227-I227-J227,0)</f>
        <v/>
      </c>
      <c r="L227" s="1">
        <f>IFERROR(I227*E227,0)</f>
        <v/>
      </c>
      <c r="M227" s="1">
        <f>IFERROR(K227*E227,0)</f>
        <v/>
      </c>
    </row>
    <row r="228">
      <c r="A228" t="inlineStr">
        <is>
          <t>90X2SPZ</t>
        </is>
      </c>
      <c r="B228" t="inlineStr">
        <is>
          <t>Pulley Friction Belt V-wedge 2 Groo</t>
        </is>
      </c>
      <c r="C228" t="inlineStr">
        <is>
          <t>Bearing Man Group</t>
        </is>
      </c>
      <c r="D228" t="inlineStr">
        <is>
          <t>Uncategorized</t>
        </is>
      </c>
      <c r="E228" s="1" t="n">
        <v>134.3</v>
      </c>
      <c r="F228" t="n">
        <v>2</v>
      </c>
      <c r="G228" t="n">
        <v>0</v>
      </c>
      <c r="H228" t="n">
        <v>10</v>
      </c>
      <c r="I228" t="n">
        <v>0</v>
      </c>
      <c r="J228" t="n">
        <v>0</v>
      </c>
      <c r="K228">
        <f>IF(H228-I228-J228&gt;0,H228-I228-J228,0)</f>
        <v/>
      </c>
      <c r="L228" s="1">
        <f>IFERROR(I228*E228,0)</f>
        <v/>
      </c>
      <c r="M228" s="1">
        <f>IFERROR(K228*E228,0)</f>
        <v/>
      </c>
    </row>
    <row r="229">
      <c r="A229" t="inlineStr">
        <is>
          <t>90X3SPA</t>
        </is>
      </c>
      <c r="B229" t="inlineStr">
        <is>
          <t>PULLEY FRICTION BELT V-WEDGE 3 GROOVE SPA 1610 TAPER 90MM FENNER</t>
        </is>
      </c>
      <c r="C229" t="inlineStr">
        <is>
          <t>Bearing Man Group</t>
        </is>
      </c>
      <c r="D229" t="inlineStr">
        <is>
          <t>Uncategorized</t>
        </is>
      </c>
      <c r="E229" s="1" t="n">
        <v>186.29</v>
      </c>
      <c r="F229" t="n">
        <v>1</v>
      </c>
      <c r="G229" t="n">
        <v>0</v>
      </c>
      <c r="H229" t="n">
        <v>5</v>
      </c>
      <c r="I229" t="n">
        <v>0</v>
      </c>
      <c r="J229" t="n">
        <v>0</v>
      </c>
      <c r="K229">
        <f>IF(H229-I229-J229&gt;0,H229-I229-J229,0)</f>
        <v/>
      </c>
      <c r="L229" s="1">
        <f>IFERROR(I229*E229,0)</f>
        <v/>
      </c>
      <c r="M229" s="1">
        <f>IFERROR(K229*E229,0)</f>
        <v/>
      </c>
    </row>
    <row r="230">
      <c r="A230" t="inlineStr">
        <is>
          <t>950x600x1200</t>
        </is>
      </c>
      <c r="B230" t="inlineStr">
        <is>
          <t>950 x 600 x 1200mm Silencer</t>
        </is>
      </c>
      <c r="C230" t="inlineStr"/>
      <c r="D230" t="inlineStr">
        <is>
          <t>Uncategorized</t>
        </is>
      </c>
      <c r="E230" s="1" t="n">
        <v>0</v>
      </c>
      <c r="F230" t="n">
        <v>1</v>
      </c>
      <c r="G230" t="n">
        <v>0</v>
      </c>
      <c r="H230" t="n">
        <v>2</v>
      </c>
      <c r="I230" t="n">
        <v>0</v>
      </c>
      <c r="J230" t="n">
        <v>0</v>
      </c>
      <c r="K230">
        <f>IF(H230-I230-J230&gt;0,H230-I230-J230,0)</f>
        <v/>
      </c>
      <c r="L230" s="1">
        <f>IFERROR(I230*E230,0)</f>
        <v/>
      </c>
      <c r="M230" s="1">
        <f>IFERROR(K230*E230,0)</f>
        <v/>
      </c>
    </row>
    <row r="231">
      <c r="A231" t="inlineStr">
        <is>
          <t>95X3SPA</t>
        </is>
      </c>
      <c r="B231" t="inlineStr">
        <is>
          <t>PULLEY FRICTION BELT V-WEDGE 3 GROOVE SPA 1610 TAPER 95MM FENNER</t>
        </is>
      </c>
      <c r="C231" t="inlineStr">
        <is>
          <t>Bearing Man Group</t>
        </is>
      </c>
      <c r="D231" t="inlineStr">
        <is>
          <t>Uncategorized</t>
        </is>
      </c>
      <c r="E231" s="1" t="n">
        <v>223.66</v>
      </c>
      <c r="F231" t="n">
        <v>1</v>
      </c>
      <c r="G231" t="n">
        <v>0</v>
      </c>
      <c r="H231" t="n">
        <v>2</v>
      </c>
      <c r="I231" t="n">
        <v>0</v>
      </c>
      <c r="J231" t="n">
        <v>0</v>
      </c>
      <c r="K231">
        <f>IF(H231-I231-J231&gt;0,H231-I231-J231,0)</f>
        <v/>
      </c>
      <c r="L231" s="1">
        <f>IFERROR(I231*E231,0)</f>
        <v/>
      </c>
      <c r="M231" s="1">
        <f>IFERROR(K231*E231,0)</f>
        <v/>
      </c>
    </row>
    <row r="232">
      <c r="A232" t="inlineStr">
        <is>
          <t>97-32</t>
        </is>
      </c>
      <c r="B232" t="inlineStr">
        <is>
          <t>PG-16 GLANDS : PG16 POLYMER CABLE GLAND GREY</t>
        </is>
      </c>
      <c r="C232" t="inlineStr">
        <is>
          <t>Atlantic Lighting &amp; Electrical distributors</t>
        </is>
      </c>
      <c r="D232" t="inlineStr">
        <is>
          <t>Uncategorized</t>
        </is>
      </c>
      <c r="E232" s="1" t="n">
        <v>5.42</v>
      </c>
      <c r="F232" t="n">
        <v>38</v>
      </c>
      <c r="G232" t="n">
        <v>0</v>
      </c>
      <c r="H232" t="n">
        <v>188</v>
      </c>
      <c r="I232" t="n">
        <v>0</v>
      </c>
      <c r="J232" t="n">
        <v>0</v>
      </c>
      <c r="K232">
        <f>IF(H232-I232-J232&gt;0,H232-I232-J232,0)</f>
        <v/>
      </c>
      <c r="L232" s="1">
        <f>IFERROR(I232*E232,0)</f>
        <v/>
      </c>
      <c r="M232" s="1">
        <f>IFERROR(K232*E232,0)</f>
        <v/>
      </c>
    </row>
    <row r="233">
      <c r="A233" t="inlineStr">
        <is>
          <t>99050-EMB-20-R40</t>
        </is>
      </c>
      <c r="B233" t="inlineStr">
        <is>
          <t>EMBROIDERY R40 R40</t>
        </is>
      </c>
      <c r="C233" t="inlineStr">
        <is>
          <t>Workwear Depot (Pty)Ltd</t>
        </is>
      </c>
      <c r="D233" t="inlineStr">
        <is>
          <t>Uncategorized</t>
        </is>
      </c>
      <c r="E233" s="1" t="n">
        <v>34.78</v>
      </c>
      <c r="F233" t="n">
        <v>7</v>
      </c>
      <c r="G233" t="n">
        <v>0</v>
      </c>
      <c r="H233" t="n">
        <v>35</v>
      </c>
      <c r="I233" t="n">
        <v>0</v>
      </c>
      <c r="J233" t="n">
        <v>0</v>
      </c>
      <c r="K233">
        <f>IF(H233-I233-J233&gt;0,H233-I233-J233,0)</f>
        <v/>
      </c>
      <c r="L233" s="1">
        <f>IFERROR(I233*E233,0)</f>
        <v/>
      </c>
      <c r="M233" s="1">
        <f>IFERROR(K233*E233,0)</f>
        <v/>
      </c>
    </row>
    <row r="234">
      <c r="A234" t="inlineStr">
        <is>
          <t>A)</t>
        </is>
      </c>
      <c r="B234" t="inlineStr">
        <is>
          <t>LDP/400/6/15/B/19mm - 0.75kW 2P</t>
        </is>
      </c>
      <c r="C234" t="inlineStr">
        <is>
          <t>CFW Fans (Pty) Ltd</t>
        </is>
      </c>
      <c r="D234" t="inlineStr">
        <is>
          <t>Uncategorized</t>
        </is>
      </c>
      <c r="E234" s="1" t="n">
        <v>1308</v>
      </c>
      <c r="F234" t="n">
        <v>2</v>
      </c>
      <c r="G234" t="n">
        <v>0</v>
      </c>
      <c r="H234" t="n">
        <v>8</v>
      </c>
      <c r="I234" t="n">
        <v>0</v>
      </c>
      <c r="J234" t="n">
        <v>0</v>
      </c>
      <c r="K234">
        <f>IF(H234-I234-J234&gt;0,H234-I234-J234,0)</f>
        <v/>
      </c>
      <c r="L234" s="1">
        <f>IFERROR(I234*E234,0)</f>
        <v/>
      </c>
      <c r="M234" s="1">
        <f>IFERROR(K234*E234,0)</f>
        <v/>
      </c>
    </row>
    <row r="235">
      <c r="A235" t="inlineStr">
        <is>
          <t>A/01</t>
        </is>
      </c>
      <c r="B235" t="inlineStr">
        <is>
          <t>Volume Control Damper &amp; Quad 100mm</t>
        </is>
      </c>
      <c r="C235" t="inlineStr"/>
      <c r="D235" t="inlineStr">
        <is>
          <t>Uncategorized</t>
        </is>
      </c>
      <c r="E235" s="1" t="n">
        <v>0</v>
      </c>
      <c r="F235" t="n">
        <v>12</v>
      </c>
      <c r="G235" t="n">
        <v>0</v>
      </c>
      <c r="H235" t="n">
        <v>60</v>
      </c>
      <c r="I235" t="n">
        <v>0</v>
      </c>
      <c r="J235" t="n">
        <v>0</v>
      </c>
      <c r="K235">
        <f>IF(H235-I235-J235&gt;0,H235-I235-J235,0)</f>
        <v/>
      </c>
      <c r="L235" s="1">
        <f>IFERROR(I235*E235,0)</f>
        <v/>
      </c>
      <c r="M235" s="1">
        <f>IFERROR(K235*E235,0)</f>
        <v/>
      </c>
    </row>
    <row r="236">
      <c r="A236" t="inlineStr">
        <is>
          <t>A/02</t>
        </is>
      </c>
      <c r="B236" t="inlineStr">
        <is>
          <t>Fire Damper c/w Link &amp; Quad 100mm</t>
        </is>
      </c>
      <c r="C236" t="inlineStr"/>
      <c r="D236" t="inlineStr">
        <is>
          <t>Uncategorized</t>
        </is>
      </c>
      <c r="E236" s="1" t="n">
        <v>0</v>
      </c>
      <c r="F236" t="n">
        <v>12</v>
      </c>
      <c r="G236" t="n">
        <v>0</v>
      </c>
      <c r="H236" t="n">
        <v>58</v>
      </c>
      <c r="I236" t="n">
        <v>0</v>
      </c>
      <c r="J236" t="n">
        <v>0</v>
      </c>
      <c r="K236">
        <f>IF(H236-I236-J236&gt;0,H236-I236-J236,0)</f>
        <v/>
      </c>
      <c r="L236" s="1">
        <f>IFERROR(I236*E236,0)</f>
        <v/>
      </c>
      <c r="M236" s="1">
        <f>IFERROR(K236*E236,0)</f>
        <v/>
      </c>
    </row>
    <row r="237">
      <c r="A237" t="inlineStr">
        <is>
          <t>ADF-PVT30</t>
        </is>
      </c>
      <c r="B237" t="inlineStr">
        <is>
          <t>PVT 30</t>
        </is>
      </c>
      <c r="C237" t="inlineStr">
        <is>
          <t>AF Fans CC</t>
        </is>
      </c>
      <c r="D237" t="inlineStr">
        <is>
          <t>Uncategorized</t>
        </is>
      </c>
      <c r="E237" s="1" t="n">
        <v>2560</v>
      </c>
      <c r="F237" t="n">
        <v>1</v>
      </c>
      <c r="G237" t="n">
        <v>0</v>
      </c>
      <c r="H237" t="n">
        <v>2</v>
      </c>
      <c r="I237" t="n">
        <v>0</v>
      </c>
      <c r="J237" t="n">
        <v>0</v>
      </c>
      <c r="K237">
        <f>IF(H237-I237-J237&gt;0,H237-I237-J237,0)</f>
        <v/>
      </c>
      <c r="L237" s="1">
        <f>IFERROR(I237*E237,0)</f>
        <v/>
      </c>
      <c r="M237" s="1">
        <f>IFERROR(K237*E237,0)</f>
        <v/>
      </c>
    </row>
    <row r="238">
      <c r="A238" t="inlineStr">
        <is>
          <t>ADF-PVT30-DUCT</t>
        </is>
      </c>
      <c r="B238" t="inlineStr">
        <is>
          <t>Spiral Flex PVC ducting, 5m Length, 300mm Diameter</t>
        </is>
      </c>
      <c r="C238" t="inlineStr">
        <is>
          <t>AF Fans CC</t>
        </is>
      </c>
      <c r="D238" t="inlineStr">
        <is>
          <t>Uncategorized</t>
        </is>
      </c>
      <c r="E238" s="1" t="n">
        <v>960</v>
      </c>
      <c r="F238" t="n">
        <v>1</v>
      </c>
      <c r="G238" t="n">
        <v>0</v>
      </c>
      <c r="H238" t="n">
        <v>5</v>
      </c>
      <c r="I238" t="n">
        <v>0</v>
      </c>
      <c r="J238" t="n">
        <v>0</v>
      </c>
      <c r="K238">
        <f>IF(H238-I238-J238&gt;0,H238-I238-J238,0)</f>
        <v/>
      </c>
      <c r="L238" s="1">
        <f>IFERROR(I238*E238,0)</f>
        <v/>
      </c>
      <c r="M238" s="1">
        <f>IFERROR(K238*E238,0)</f>
        <v/>
      </c>
    </row>
    <row r="239">
      <c r="A239" t="inlineStr">
        <is>
          <t>ADRA-</t>
        </is>
      </c>
      <c r="B239" t="inlineStr">
        <is>
          <t>RA 1200(W)*600(H) NS PCW</t>
        </is>
      </c>
      <c r="C239" t="inlineStr">
        <is>
          <t>Advantage Air Africa Pty Ltd</t>
        </is>
      </c>
      <c r="D239" t="inlineStr">
        <is>
          <t>Uncategorized</t>
        </is>
      </c>
      <c r="E239" s="1" t="n">
        <v>183.23</v>
      </c>
      <c r="F239" t="n">
        <v>100</v>
      </c>
      <c r="G239" t="n">
        <v>0</v>
      </c>
      <c r="H239" t="n">
        <v>500</v>
      </c>
      <c r="I239" t="n">
        <v>0</v>
      </c>
      <c r="J239" t="n">
        <v>0</v>
      </c>
      <c r="K239">
        <f>IF(H239-I239-J239&gt;0,H239-I239-J239,0)</f>
        <v/>
      </c>
      <c r="L239" s="1">
        <f>IFERROR(I239*E239,0)</f>
        <v/>
      </c>
      <c r="M239" s="1">
        <f>IFERROR(K239*E239,0)</f>
        <v/>
      </c>
    </row>
    <row r="240">
      <c r="A240" t="inlineStr">
        <is>
          <t>ADSD</t>
        </is>
      </c>
      <c r="B240" t="inlineStr">
        <is>
          <t>SINGLE DEFLECTION GRILLE 625(W)*625(H) OVER FLANGE NATURAL</t>
        </is>
      </c>
      <c r="C240" t="inlineStr">
        <is>
          <t>Advantage Air Africa Pty Ltd</t>
        </is>
      </c>
      <c r="D240" t="inlineStr">
        <is>
          <t>Uncategorized</t>
        </is>
      </c>
      <c r="E240" s="1" t="n">
        <v>776.58</v>
      </c>
      <c r="F240" t="n">
        <v>2</v>
      </c>
      <c r="G240" t="n">
        <v>0</v>
      </c>
      <c r="H240" t="n">
        <v>12</v>
      </c>
      <c r="I240" t="n">
        <v>0</v>
      </c>
      <c r="J240" t="n">
        <v>0</v>
      </c>
      <c r="K240">
        <f>IF(H240-I240-J240&gt;0,H240-I240-J240,0)</f>
        <v/>
      </c>
      <c r="L240" s="1">
        <f>IFERROR(I240*E240,0)</f>
        <v/>
      </c>
      <c r="M240" s="1">
        <f>IFERROR(K240*E240,0)</f>
        <v/>
      </c>
    </row>
    <row r="241">
      <c r="A241" t="inlineStr">
        <is>
          <t>ADWL.</t>
        </is>
      </c>
      <c r="B241" t="inlineStr">
        <is>
          <t>WEATHER LOUVRE 520(W)*520(H) OPENING SIZE NATURALLY ANOD</t>
        </is>
      </c>
      <c r="C241" t="inlineStr">
        <is>
          <t>Advantage Air Africa Pty Ltd</t>
        </is>
      </c>
      <c r="D241" t="inlineStr">
        <is>
          <t>Uncategorized</t>
        </is>
      </c>
      <c r="E241" s="1" t="n">
        <v>785.66</v>
      </c>
      <c r="F241" t="n">
        <v>4</v>
      </c>
      <c r="G241" t="n">
        <v>0</v>
      </c>
      <c r="H241" t="n">
        <v>18</v>
      </c>
      <c r="I241" t="n">
        <v>0</v>
      </c>
      <c r="J241" t="n">
        <v>0</v>
      </c>
      <c r="K241">
        <f>IF(H241-I241-J241&gt;0,H241-I241-J241,0)</f>
        <v/>
      </c>
      <c r="L241" s="1">
        <f>IFERROR(I241*E241,0)</f>
        <v/>
      </c>
      <c r="M241" s="1">
        <f>IFERROR(K241*E241,0)</f>
        <v/>
      </c>
    </row>
    <row r="242">
      <c r="A242" t="inlineStr">
        <is>
          <t>AF4.0X4+EWHSL</t>
        </is>
      </c>
      <c r="B242" t="inlineStr">
        <is>
          <t>ALFIX 4.0MM2 4 CORE+E S/LENGHT</t>
        </is>
      </c>
      <c r="C242" t="inlineStr">
        <is>
          <t>Alvern Cables (Pty) Ltd</t>
        </is>
      </c>
      <c r="D242" t="inlineStr">
        <is>
          <t>Uncategorized</t>
        </is>
      </c>
      <c r="E242" s="1" t="n">
        <v>47.06</v>
      </c>
      <c r="F242" t="n">
        <v>50</v>
      </c>
      <c r="G242" t="n">
        <v>0</v>
      </c>
      <c r="H242" t="n">
        <v>250</v>
      </c>
      <c r="I242" t="n">
        <v>0</v>
      </c>
      <c r="J242" t="n">
        <v>0</v>
      </c>
      <c r="K242">
        <f>IF(H242-I242-J242&gt;0,H242-I242-J242,0)</f>
        <v/>
      </c>
      <c r="L242" s="1">
        <f>IFERROR(I242*E242,0)</f>
        <v/>
      </c>
      <c r="M242" s="1">
        <f>IFERROR(K242*E242,0)</f>
        <v/>
      </c>
    </row>
    <row r="243">
      <c r="A243" t="inlineStr">
        <is>
          <t>AT</t>
        </is>
      </c>
      <c r="B243" t="inlineStr">
        <is>
          <t>3001 ALU FOIL TAPE 48mm X 50m (30 micron)</t>
        </is>
      </c>
      <c r="C243" t="inlineStr">
        <is>
          <t>Advantage Air Africa Pty Ltd</t>
        </is>
      </c>
      <c r="D243" t="inlineStr">
        <is>
          <t>Uncategorized</t>
        </is>
      </c>
      <c r="E243" s="1" t="n">
        <v>80.5</v>
      </c>
      <c r="F243" t="n">
        <v>2</v>
      </c>
      <c r="G243" t="n">
        <v>0</v>
      </c>
      <c r="H243" t="n">
        <v>8</v>
      </c>
      <c r="I243" t="n">
        <v>0</v>
      </c>
      <c r="J243" t="n">
        <v>0</v>
      </c>
      <c r="K243">
        <f>IF(H243-I243-J243&gt;0,H243-I243-J243,0)</f>
        <v/>
      </c>
      <c r="L243" s="1">
        <f>IFERROR(I243*E243,0)</f>
        <v/>
      </c>
      <c r="M243" s="1">
        <f>IFERROR(K243*E243,0)</f>
        <v/>
      </c>
    </row>
    <row r="244">
      <c r="A244" t="inlineStr">
        <is>
          <t>ATT/01</t>
        </is>
      </c>
      <c r="B244" t="inlineStr">
        <is>
          <t>Attenuator 200x600mm</t>
        </is>
      </c>
      <c r="C244" t="inlineStr"/>
      <c r="D244" t="inlineStr">
        <is>
          <t>Uncategorized</t>
        </is>
      </c>
      <c r="E244" s="1" t="n">
        <v>813.27</v>
      </c>
      <c r="F244" t="n">
        <v>1</v>
      </c>
      <c r="G244" t="n">
        <v>0</v>
      </c>
      <c r="H244" t="n">
        <v>5</v>
      </c>
      <c r="I244" t="n">
        <v>0</v>
      </c>
      <c r="J244" t="n">
        <v>0</v>
      </c>
      <c r="K244">
        <f>IF(H244-I244-J244&gt;0,H244-I244-J244,0)</f>
        <v/>
      </c>
      <c r="L244" s="1">
        <f>IFERROR(I244*E244,0)</f>
        <v/>
      </c>
      <c r="M244" s="1">
        <f>IFERROR(K244*E244,0)</f>
        <v/>
      </c>
    </row>
    <row r="245">
      <c r="A245" t="inlineStr">
        <is>
          <t>AVMs-</t>
        </is>
      </c>
      <c r="B245" t="inlineStr">
        <is>
          <t>Anti-Vibration Rubber Mounts</t>
        </is>
      </c>
      <c r="C245" t="inlineStr">
        <is>
          <t>Seal 'N Devices (Pty) Ltd</t>
        </is>
      </c>
      <c r="D245" t="inlineStr">
        <is>
          <t>Uncategorized</t>
        </is>
      </c>
      <c r="E245" s="1" t="n">
        <v>53.46</v>
      </c>
      <c r="F245" t="n">
        <v>14</v>
      </c>
      <c r="G245" t="n">
        <v>0</v>
      </c>
      <c r="H245" t="n">
        <v>72</v>
      </c>
      <c r="I245" t="n">
        <v>0</v>
      </c>
      <c r="J245" t="n">
        <v>0</v>
      </c>
      <c r="K245">
        <f>IF(H245-I245-J245&gt;0,H245-I245-J245,0)</f>
        <v/>
      </c>
      <c r="L245" s="1">
        <f>IFERROR(I245*E245,0)</f>
        <v/>
      </c>
      <c r="M245" s="1">
        <f>IFERROR(K245*E245,0)</f>
        <v/>
      </c>
    </row>
    <row r="246">
      <c r="A246" t="inlineStr">
        <is>
          <t>AWSL/1/ 600X600)P/0/P1/</t>
        </is>
      </c>
      <c r="B246" t="inlineStr">
        <is>
          <t>600 X 600</t>
        </is>
      </c>
      <c r="C246" t="inlineStr">
        <is>
          <t>TROX South Africa (Pty) Ltd</t>
        </is>
      </c>
      <c r="D246" t="inlineStr">
        <is>
          <t>Uncategorized</t>
        </is>
      </c>
      <c r="E246" s="1" t="n">
        <v>2479</v>
      </c>
      <c r="F246" t="n">
        <v>1</v>
      </c>
      <c r="G246" t="n">
        <v>0</v>
      </c>
      <c r="H246" t="n">
        <v>3</v>
      </c>
      <c r="I246" t="n">
        <v>0</v>
      </c>
      <c r="J246" t="n">
        <v>0</v>
      </c>
      <c r="K246">
        <f>IF(H246-I246-J246&gt;0,H246-I246-J246,0)</f>
        <v/>
      </c>
      <c r="L246" s="1">
        <f>IFERROR(I246*E246,0)</f>
        <v/>
      </c>
      <c r="M246" s="1">
        <f>IFERROR(K246*E246,0)</f>
        <v/>
      </c>
    </row>
    <row r="247">
      <c r="A247" t="inlineStr">
        <is>
          <t>Accounting</t>
        </is>
      </c>
      <c r="B247" t="inlineStr">
        <is>
          <t>Subscription (Accounting)</t>
        </is>
      </c>
      <c r="C247" t="inlineStr">
        <is>
          <t>Sage South Africa (Pty) Ltd</t>
        </is>
      </c>
      <c r="D247" t="inlineStr">
        <is>
          <t>Uncategorized</t>
        </is>
      </c>
      <c r="E247" s="1" t="n">
        <v>7252.17</v>
      </c>
      <c r="F247" t="n">
        <v>1</v>
      </c>
      <c r="G247" t="n">
        <v>0</v>
      </c>
      <c r="H247" t="n">
        <v>2</v>
      </c>
      <c r="I247" t="n">
        <v>0</v>
      </c>
      <c r="J247" t="n">
        <v>0</v>
      </c>
      <c r="K247">
        <f>IF(H247-I247-J247&gt;0,H247-I247-J247,0)</f>
        <v/>
      </c>
      <c r="L247" s="1">
        <f>IFERROR(I247*E247,0)</f>
        <v/>
      </c>
      <c r="M247" s="1">
        <f>IFERROR(K247*E247,0)</f>
        <v/>
      </c>
    </row>
    <row r="248">
      <c r="A248" t="inlineStr">
        <is>
          <t>Additional Costs</t>
        </is>
      </c>
      <c r="B248" t="inlineStr">
        <is>
          <t>Material Cutting Cost</t>
        </is>
      </c>
      <c r="C248" t="inlineStr"/>
      <c r="D248" t="inlineStr">
        <is>
          <t>Uncategorized</t>
        </is>
      </c>
      <c r="E248" s="1" t="n">
        <v>0</v>
      </c>
      <c r="F248" t="n">
        <v>3</v>
      </c>
      <c r="G248" t="n">
        <v>0</v>
      </c>
      <c r="H248" t="n">
        <v>15</v>
      </c>
      <c r="I248" t="n">
        <v>0</v>
      </c>
      <c r="J248" t="n">
        <v>0</v>
      </c>
      <c r="K248">
        <f>IF(H248-I248-J248&gt;0,H248-I248-J248,0)</f>
        <v/>
      </c>
      <c r="L248" s="1">
        <f>IFERROR(I248*E248,0)</f>
        <v/>
      </c>
      <c r="M248" s="1">
        <f>IFERROR(K248*E248,0)</f>
        <v/>
      </c>
    </row>
    <row r="249">
      <c r="A249" t="inlineStr">
        <is>
          <t>Airfreight</t>
        </is>
      </c>
      <c r="B249" t="inlineStr">
        <is>
          <t>- Dar Es Salaam</t>
        </is>
      </c>
      <c r="C249" t="inlineStr">
        <is>
          <t>Kayites</t>
        </is>
      </c>
      <c r="D249" t="inlineStr">
        <is>
          <t>Uncategorized</t>
        </is>
      </c>
      <c r="E249" s="1" t="n">
        <v>0</v>
      </c>
      <c r="F249" t="n">
        <v>1</v>
      </c>
      <c r="G249" t="n">
        <v>0</v>
      </c>
      <c r="H249" t="n">
        <v>3</v>
      </c>
      <c r="I249" t="n">
        <v>0</v>
      </c>
      <c r="J249" t="n">
        <v>0</v>
      </c>
      <c r="K249">
        <f>IF(H249-I249-J249&gt;0,H249-I249-J249,0)</f>
        <v/>
      </c>
      <c r="L249" s="1">
        <f>IFERROR(I249*E249,0)</f>
        <v/>
      </c>
      <c r="M249" s="1">
        <f>IFERROR(K249*E249,0)</f>
        <v/>
      </c>
    </row>
    <row r="250">
      <c r="A250" t="inlineStr">
        <is>
          <t>Airmax PB</t>
        </is>
      </c>
      <c r="B250" t="inlineStr">
        <is>
          <t>Airmax Poles &amp; Brackets</t>
        </is>
      </c>
      <c r="C250" t="inlineStr">
        <is>
          <t>Mafilisti Trading and Projects (Pty) Ltd</t>
        </is>
      </c>
      <c r="D250" t="inlineStr">
        <is>
          <t>Uncategorized</t>
        </is>
      </c>
      <c r="E250" s="1" t="n">
        <v>112</v>
      </c>
      <c r="F250" t="n">
        <v>60</v>
      </c>
      <c r="G250" t="n">
        <v>0</v>
      </c>
      <c r="H250" t="n">
        <v>260</v>
      </c>
      <c r="I250" t="n">
        <v>0</v>
      </c>
      <c r="J250" t="n">
        <v>0</v>
      </c>
      <c r="K250">
        <f>IF(H250-I250-J250&gt;0,H250-I250-J250,0)</f>
        <v/>
      </c>
      <c r="L250" s="1">
        <f>IFERROR(I250*E250,0)</f>
        <v/>
      </c>
      <c r="M250" s="1">
        <f>IFERROR(K250*E250,0)</f>
        <v/>
      </c>
    </row>
    <row r="251">
      <c r="A251" t="inlineStr">
        <is>
          <t>Airmax-2.650.W.</t>
        </is>
      </c>
      <c r="B251" t="inlineStr">
        <is>
          <t>Airmax-2.650.W - Wall Fan - 187 Watts - 230/1/50 - Twin Blade - Black (Pull Cord)</t>
        </is>
      </c>
      <c r="C251" t="inlineStr"/>
      <c r="D251" t="inlineStr">
        <is>
          <t>Uncategorized</t>
        </is>
      </c>
      <c r="E251" s="1" t="n">
        <v>0</v>
      </c>
      <c r="F251" t="n">
        <v>1</v>
      </c>
      <c r="G251" t="n">
        <v>0</v>
      </c>
      <c r="H251" t="n">
        <v>4</v>
      </c>
      <c r="I251" t="n">
        <v>0</v>
      </c>
      <c r="J251" t="n">
        <v>0</v>
      </c>
      <c r="K251">
        <f>IF(H251-I251-J251&gt;0,H251-I251-J251,0)</f>
        <v/>
      </c>
      <c r="L251" s="1">
        <f>IFERROR(I251*E251,0)</f>
        <v/>
      </c>
      <c r="M251" s="1">
        <f>IFERROR(K251*E251,0)</f>
        <v/>
      </c>
    </row>
    <row r="252">
      <c r="A252" t="inlineStr">
        <is>
          <t>Assembly</t>
        </is>
      </c>
      <c r="B252" t="inlineStr">
        <is>
          <t>Building Casing &amp; Impeller</t>
        </is>
      </c>
      <c r="C252" t="inlineStr"/>
      <c r="D252" t="inlineStr">
        <is>
          <t>Uncategorized</t>
        </is>
      </c>
      <c r="E252" s="1" t="n">
        <v>0</v>
      </c>
      <c r="F252" t="n">
        <v>1</v>
      </c>
      <c r="G252" t="n">
        <v>0</v>
      </c>
      <c r="H252" t="n">
        <v>2</v>
      </c>
      <c r="I252" t="n">
        <v>0</v>
      </c>
      <c r="J252" t="n">
        <v>0</v>
      </c>
      <c r="K252">
        <f>IF(H252-I252-J252&gt;0,H252-I252-J252,0)</f>
        <v/>
      </c>
      <c r="L252" s="1">
        <f>IFERROR(I252*E252,0)</f>
        <v/>
      </c>
      <c r="M252" s="1">
        <f>IFERROR(K252*E252,0)</f>
        <v/>
      </c>
    </row>
    <row r="253">
      <c r="A253" t="inlineStr">
        <is>
          <t>B)</t>
        </is>
      </c>
      <c r="B253" t="inlineStr">
        <is>
          <t>LDP/315/6/10/B/14mm - 0.55kW 2P</t>
        </is>
      </c>
      <c r="C253" t="inlineStr">
        <is>
          <t>CFW Fans (Pty) Ltd</t>
        </is>
      </c>
      <c r="D253" t="inlineStr">
        <is>
          <t>Uncategorized</t>
        </is>
      </c>
      <c r="E253" s="1" t="n">
        <v>29.97</v>
      </c>
      <c r="F253" t="n">
        <v>7</v>
      </c>
      <c r="G253" t="n">
        <v>0</v>
      </c>
      <c r="H253" t="n">
        <v>29</v>
      </c>
      <c r="I253" t="n">
        <v>0</v>
      </c>
      <c r="J253" t="n">
        <v>0</v>
      </c>
      <c r="K253">
        <f>IF(H253-I253-J253&gt;0,H253-I253-J253,0)</f>
        <v/>
      </c>
      <c r="L253" s="1">
        <f>IFERROR(I253*E253,0)</f>
        <v/>
      </c>
      <c r="M253" s="1">
        <f>IFERROR(K253*E253,0)</f>
        <v/>
      </c>
    </row>
    <row r="254">
      <c r="A254" t="inlineStr">
        <is>
          <t>B-124-FAN1</t>
        </is>
      </c>
      <c r="B254" t="inlineStr">
        <is>
          <t>HTMV-125-4T/9-40 400/690V.IE3 -60Hz - Roof Top Exhaust Fan</t>
        </is>
      </c>
      <c r="C254" t="inlineStr"/>
      <c r="D254" t="inlineStr">
        <is>
          <t>Uncategorized</t>
        </is>
      </c>
      <c r="E254" s="1" t="n">
        <v>0</v>
      </c>
      <c r="F254" t="n">
        <v>2</v>
      </c>
      <c r="G254" t="n">
        <v>0</v>
      </c>
      <c r="H254" t="n">
        <v>10</v>
      </c>
      <c r="I254" t="n">
        <v>0</v>
      </c>
      <c r="J254" t="n">
        <v>0</v>
      </c>
      <c r="K254">
        <f>IF(H254-I254-J254&gt;0,H254-I254-J254,0)</f>
        <v/>
      </c>
      <c r="L254" s="1">
        <f>IFERROR(I254*E254,0)</f>
        <v/>
      </c>
      <c r="M254" s="1">
        <f>IFERROR(K254*E254,0)</f>
        <v/>
      </c>
    </row>
    <row r="255">
      <c r="A255" t="inlineStr">
        <is>
          <t>B-135-FAN1</t>
        </is>
      </c>
      <c r="B255" t="inlineStr">
        <is>
          <t>TORRETTE TR-A 450 T4 2.2KW ATEX Zone 1 - Explosion Proof Roof Top Centrifugal Exhaust Fan</t>
        </is>
      </c>
      <c r="C255" t="inlineStr"/>
      <c r="D255" t="inlineStr">
        <is>
          <t>Uncategorized</t>
        </is>
      </c>
      <c r="E255" s="1" t="n">
        <v>0</v>
      </c>
      <c r="F255" t="n">
        <v>2</v>
      </c>
      <c r="G255" t="n">
        <v>0</v>
      </c>
      <c r="H255" t="n">
        <v>10</v>
      </c>
      <c r="I255" t="n">
        <v>0</v>
      </c>
      <c r="J255" t="n">
        <v>0</v>
      </c>
      <c r="K255">
        <f>IF(H255-I255-J255&gt;0,H255-I255-J255,0)</f>
        <v/>
      </c>
      <c r="L255" s="1">
        <f>IFERROR(I255*E255,0)</f>
        <v/>
      </c>
      <c r="M255" s="1">
        <f>IFERROR(K255*E255,0)</f>
        <v/>
      </c>
    </row>
    <row r="256">
      <c r="A256" t="inlineStr">
        <is>
          <t>B-135-FAN2</t>
        </is>
      </c>
      <c r="B256" t="inlineStr">
        <is>
          <t>TORRETTE TR-A 500 T4 3KW ATEX Zone 1 - Explosion Proof Roof Top Centrifugal Exhaust Fan</t>
        </is>
      </c>
      <c r="C256" t="inlineStr"/>
      <c r="D256" t="inlineStr">
        <is>
          <t>Uncategorized</t>
        </is>
      </c>
      <c r="E256" s="1" t="n">
        <v>0</v>
      </c>
      <c r="F256" t="n">
        <v>1</v>
      </c>
      <c r="G256" t="n">
        <v>0</v>
      </c>
      <c r="H256" t="n">
        <v>2</v>
      </c>
      <c r="I256" t="n">
        <v>0</v>
      </c>
      <c r="J256" t="n">
        <v>0</v>
      </c>
      <c r="K256">
        <f>IF(H256-I256-J256&gt;0,H256-I256-J256,0)</f>
        <v/>
      </c>
      <c r="L256" s="1">
        <f>IFERROR(I256*E256,0)</f>
        <v/>
      </c>
      <c r="M256" s="1">
        <f>IFERROR(K256*E256,0)</f>
        <v/>
      </c>
    </row>
    <row r="257">
      <c r="A257" t="inlineStr">
        <is>
          <t>B-135-FAN3</t>
        </is>
      </c>
      <c r="B257" t="inlineStr">
        <is>
          <t>TORRETTE TR-A 400 T4 1.1KW ATEX Zone 1 - Explosion Proof Roof Top Centrifugal Exhaust Fan</t>
        </is>
      </c>
      <c r="C257" t="inlineStr"/>
      <c r="D257" t="inlineStr">
        <is>
          <t>Uncategorized</t>
        </is>
      </c>
      <c r="E257" s="1" t="n">
        <v>0</v>
      </c>
      <c r="F257" t="n">
        <v>1</v>
      </c>
      <c r="G257" t="n">
        <v>0</v>
      </c>
      <c r="H257" t="n">
        <v>5</v>
      </c>
      <c r="I257" t="n">
        <v>0</v>
      </c>
      <c r="J257" t="n">
        <v>0</v>
      </c>
      <c r="K257">
        <f>IF(H257-I257-J257&gt;0,H257-I257-J257,0)</f>
        <v/>
      </c>
      <c r="L257" s="1">
        <f>IFERROR(I257*E257,0)</f>
        <v/>
      </c>
      <c r="M257" s="1">
        <f>IFERROR(K257*E257,0)</f>
        <v/>
      </c>
    </row>
    <row r="258">
      <c r="A258" t="inlineStr">
        <is>
          <t>B-135-FAN4</t>
        </is>
      </c>
      <c r="B258" t="inlineStr">
        <is>
          <t>TORRETTE TRK-AR 500 T4 3KW - Roof Top Centrifugal Exhaust Fan</t>
        </is>
      </c>
      <c r="C258" t="inlineStr"/>
      <c r="D258" t="inlineStr">
        <is>
          <t>Uncategorized</t>
        </is>
      </c>
      <c r="E258" s="1" t="n">
        <v>0</v>
      </c>
      <c r="F258" t="n">
        <v>1</v>
      </c>
      <c r="G258" t="n">
        <v>0</v>
      </c>
      <c r="H258" t="n">
        <v>2</v>
      </c>
      <c r="I258" t="n">
        <v>0</v>
      </c>
      <c r="J258" t="n">
        <v>0</v>
      </c>
      <c r="K258">
        <f>IF(H258-I258-J258&gt;0,H258-I258-J258,0)</f>
        <v/>
      </c>
      <c r="L258" s="1">
        <f>IFERROR(I258*E258,0)</f>
        <v/>
      </c>
      <c r="M258" s="1">
        <f>IFERROR(K258*E258,0)</f>
        <v/>
      </c>
    </row>
    <row r="259">
      <c r="A259" t="inlineStr">
        <is>
          <t>B-135-FAN5</t>
        </is>
      </c>
      <c r="B259" t="inlineStr">
        <is>
          <t>TORRETTE TR-A 500 T4 3KW ATEX Zone 1 - Explosion Proof Roof Top Centrifugal Exhaust Fan</t>
        </is>
      </c>
      <c r="C259" t="inlineStr"/>
      <c r="D259" t="inlineStr">
        <is>
          <t>Uncategorized</t>
        </is>
      </c>
      <c r="E259" s="1" t="n">
        <v>0</v>
      </c>
      <c r="F259" t="n">
        <v>1</v>
      </c>
      <c r="G259" t="n">
        <v>0</v>
      </c>
      <c r="H259" t="n">
        <v>5</v>
      </c>
      <c r="I259" t="n">
        <v>0</v>
      </c>
      <c r="J259" t="n">
        <v>0</v>
      </c>
      <c r="K259">
        <f>IF(H259-I259-J259&gt;0,H259-I259-J259,0)</f>
        <v/>
      </c>
      <c r="L259" s="1">
        <f>IFERROR(I259*E259,0)</f>
        <v/>
      </c>
      <c r="M259" s="1">
        <f>IFERROR(K259*E259,0)</f>
        <v/>
      </c>
    </row>
    <row r="260">
      <c r="A260" t="inlineStr">
        <is>
          <t>B-135-FAN6</t>
        </is>
      </c>
      <c r="B260" t="inlineStr">
        <is>
          <t>VORTICENT CMS 35/14 T4 4KW - Wall Mountex Centrifugal Exhaust Fan</t>
        </is>
      </c>
      <c r="C260" t="inlineStr"/>
      <c r="D260" t="inlineStr">
        <is>
          <t>Uncategorized</t>
        </is>
      </c>
      <c r="E260" s="1" t="n">
        <v>0</v>
      </c>
      <c r="F260" t="n">
        <v>1</v>
      </c>
      <c r="G260" t="n">
        <v>0</v>
      </c>
      <c r="H260" t="n">
        <v>2</v>
      </c>
      <c r="I260" t="n">
        <v>0</v>
      </c>
      <c r="J260" t="n">
        <v>0</v>
      </c>
      <c r="K260">
        <f>IF(H260-I260-J260&gt;0,H260-I260-J260,0)</f>
        <v/>
      </c>
      <c r="L260" s="1">
        <f>IFERROR(I260*E260,0)</f>
        <v/>
      </c>
      <c r="M260" s="1">
        <f>IFERROR(K260*E260,0)</f>
        <v/>
      </c>
    </row>
    <row r="261">
      <c r="A261" t="inlineStr">
        <is>
          <t>B-135-FAN7</t>
        </is>
      </c>
      <c r="B261" t="inlineStr">
        <is>
          <t>VORTICENT CMS 25/10 T4 0.75KW - Wall Mounted Centrifugal Exhaust Fan</t>
        </is>
      </c>
      <c r="C261" t="inlineStr"/>
      <c r="D261" t="inlineStr">
        <is>
          <t>Uncategorized</t>
        </is>
      </c>
      <c r="E261" s="1" t="n">
        <v>0</v>
      </c>
      <c r="F261" t="n">
        <v>1</v>
      </c>
      <c r="G261" t="n">
        <v>0</v>
      </c>
      <c r="H261" t="n">
        <v>2</v>
      </c>
      <c r="I261" t="n">
        <v>0</v>
      </c>
      <c r="J261" t="n">
        <v>0</v>
      </c>
      <c r="K261">
        <f>IF(H261-I261-J261&gt;0,H261-I261-J261,0)</f>
        <v/>
      </c>
      <c r="L261" s="1">
        <f>IFERROR(I261*E261,0)</f>
        <v/>
      </c>
      <c r="M261" s="1">
        <f>IFERROR(K261*E261,0)</f>
        <v/>
      </c>
    </row>
    <row r="262">
      <c r="A262" t="inlineStr">
        <is>
          <t>B-135-FAN8</t>
        </is>
      </c>
      <c r="B262" t="inlineStr">
        <is>
          <t>ENKEL QBK 190 EC - Cassette Type Exhaust Fan</t>
        </is>
      </c>
      <c r="C262" t="inlineStr"/>
      <c r="D262" t="inlineStr">
        <is>
          <t>Uncategorized</t>
        </is>
      </c>
      <c r="E262" s="1" t="n">
        <v>0</v>
      </c>
      <c r="F262" t="n">
        <v>1</v>
      </c>
      <c r="G262" t="n">
        <v>0</v>
      </c>
      <c r="H262" t="n">
        <v>2</v>
      </c>
      <c r="I262" t="n">
        <v>0</v>
      </c>
      <c r="J262" t="n">
        <v>0</v>
      </c>
      <c r="K262">
        <f>IF(H262-I262-J262&gt;0,H262-I262-J262,0)</f>
        <v/>
      </c>
      <c r="L262" s="1">
        <f>IFERROR(I262*E262,0)</f>
        <v/>
      </c>
      <c r="M262" s="1">
        <f>IFERROR(K262*E262,0)</f>
        <v/>
      </c>
    </row>
    <row r="263">
      <c r="A263" t="inlineStr">
        <is>
          <t>B-91-FAN1</t>
        </is>
      </c>
      <c r="B263" t="inlineStr">
        <is>
          <t>TORRETTE TR-A 710 T6 4KW ATEX Zone 1 - Explosion Proof Roof Top Centrifugal Exhaust Fan</t>
        </is>
      </c>
      <c r="C263" t="inlineStr"/>
      <c r="D263" t="inlineStr">
        <is>
          <t>Uncategorized</t>
        </is>
      </c>
      <c r="E263" s="1" t="n">
        <v>0</v>
      </c>
      <c r="F263" t="n">
        <v>1</v>
      </c>
      <c r="G263" t="n">
        <v>0</v>
      </c>
      <c r="H263" t="n">
        <v>2</v>
      </c>
      <c r="I263" t="n">
        <v>0</v>
      </c>
      <c r="J263" t="n">
        <v>0</v>
      </c>
      <c r="K263">
        <f>IF(H263-I263-J263&gt;0,H263-I263-J263,0)</f>
        <v/>
      </c>
      <c r="L263" s="1">
        <f>IFERROR(I263*E263,0)</f>
        <v/>
      </c>
      <c r="M263" s="1">
        <f>IFERROR(K263*E263,0)</f>
        <v/>
      </c>
    </row>
    <row r="264">
      <c r="A264" t="inlineStr">
        <is>
          <t>B-91-FAN2</t>
        </is>
      </c>
      <c r="B264" t="inlineStr">
        <is>
          <t>HC-63-4T/H/ATEX/2G Ex db 230/400V - 60Hz - Explosion Proof Wall Mounted Centrifugal Exhaust Fan</t>
        </is>
      </c>
      <c r="C264" t="inlineStr"/>
      <c r="D264" t="inlineStr">
        <is>
          <t>Uncategorized</t>
        </is>
      </c>
      <c r="E264" s="1" t="n">
        <v>0</v>
      </c>
      <c r="F264" t="n">
        <v>1</v>
      </c>
      <c r="G264" t="n">
        <v>0</v>
      </c>
      <c r="H264" t="n">
        <v>5</v>
      </c>
      <c r="I264" t="n">
        <v>0</v>
      </c>
      <c r="J264" t="n">
        <v>0</v>
      </c>
      <c r="K264">
        <f>IF(H264-I264-J264&gt;0,H264-I264-J264,0)</f>
        <v/>
      </c>
      <c r="L264" s="1">
        <f>IFERROR(I264*E264,0)</f>
        <v/>
      </c>
      <c r="M264" s="1">
        <f>IFERROR(K264*E264,0)</f>
        <v/>
      </c>
    </row>
    <row r="265">
      <c r="A265" t="inlineStr">
        <is>
          <t>B-91-FAN3</t>
        </is>
      </c>
      <c r="B265" t="inlineStr">
        <is>
          <t>TORRETTE TR-A 500 T4 3KW ATEX Zone 1 - Explosion Proof Roof Top Exhaust Fan</t>
        </is>
      </c>
      <c r="C265" t="inlineStr"/>
      <c r="D265" t="inlineStr">
        <is>
          <t>Uncategorized</t>
        </is>
      </c>
      <c r="E265" s="1" t="n">
        <v>0</v>
      </c>
      <c r="F265" t="n">
        <v>1</v>
      </c>
      <c r="G265" t="n">
        <v>0</v>
      </c>
      <c r="H265" t="n">
        <v>5</v>
      </c>
      <c r="I265" t="n">
        <v>0</v>
      </c>
      <c r="J265" t="n">
        <v>0</v>
      </c>
      <c r="K265">
        <f>IF(H265-I265-J265&gt;0,H265-I265-J265,0)</f>
        <v/>
      </c>
      <c r="L265" s="1">
        <f>IFERROR(I265*E265,0)</f>
        <v/>
      </c>
      <c r="M265" s="1">
        <f>IFERROR(K265*E265,0)</f>
        <v/>
      </c>
    </row>
    <row r="266">
      <c r="A266" t="inlineStr">
        <is>
          <t>B-91-FAN4</t>
        </is>
      </c>
      <c r="B266" t="inlineStr">
        <is>
          <t>HTMV-90-4T-7.5/ATEX/2G Ex db 400/690V - Explosion Proof Roof Top Exhaust Fan</t>
        </is>
      </c>
      <c r="C266" t="inlineStr"/>
      <c r="D266" t="inlineStr">
        <is>
          <t>Uncategorized</t>
        </is>
      </c>
      <c r="E266" s="1" t="n">
        <v>0</v>
      </c>
      <c r="F266" t="n">
        <v>1</v>
      </c>
      <c r="G266" t="n">
        <v>0</v>
      </c>
      <c r="H266" t="n">
        <v>2</v>
      </c>
      <c r="I266" t="n">
        <v>0</v>
      </c>
      <c r="J266" t="n">
        <v>0</v>
      </c>
      <c r="K266">
        <f>IF(H266-I266-J266&gt;0,H266-I266-J266,0)</f>
        <v/>
      </c>
      <c r="L266" s="1">
        <f>IFERROR(I266*E266,0)</f>
        <v/>
      </c>
      <c r="M266" s="1">
        <f>IFERROR(K266*E266,0)</f>
        <v/>
      </c>
    </row>
    <row r="267">
      <c r="A267" t="inlineStr">
        <is>
          <t>B-91-FAN5</t>
        </is>
      </c>
      <c r="B267" t="inlineStr">
        <is>
          <t>TORRETTE TRS 310 EC - Roof Top Exhaust Fan</t>
        </is>
      </c>
      <c r="C267" t="inlineStr"/>
      <c r="D267" t="inlineStr">
        <is>
          <t>Uncategorized</t>
        </is>
      </c>
      <c r="E267" s="1" t="n">
        <v>0</v>
      </c>
      <c r="F267" t="n">
        <v>1</v>
      </c>
      <c r="G267" t="n">
        <v>0</v>
      </c>
      <c r="H267" t="n">
        <v>2</v>
      </c>
      <c r="I267" t="n">
        <v>0</v>
      </c>
      <c r="J267" t="n">
        <v>0</v>
      </c>
      <c r="K267">
        <f>IF(H267-I267-J267&gt;0,H267-I267-J267,0)</f>
        <v/>
      </c>
      <c r="L267" s="1">
        <f>IFERROR(I267*E267,0)</f>
        <v/>
      </c>
      <c r="M267" s="1">
        <f>IFERROR(K267*E267,0)</f>
        <v/>
      </c>
    </row>
    <row r="268">
      <c r="A268" t="inlineStr">
        <is>
          <t>B-91-FAN6</t>
        </is>
      </c>
      <c r="B268" t="inlineStr">
        <is>
          <t>TORRETTE TRS 250 EC - Roof Top Exhaust Fan</t>
        </is>
      </c>
      <c r="C268" t="inlineStr"/>
      <c r="D268" t="inlineStr">
        <is>
          <t>Uncategorized</t>
        </is>
      </c>
      <c r="E268" s="1" t="n">
        <v>0</v>
      </c>
      <c r="F268" t="n">
        <v>1</v>
      </c>
      <c r="G268" t="n">
        <v>0</v>
      </c>
      <c r="H268" t="n">
        <v>2</v>
      </c>
      <c r="I268" t="n">
        <v>0</v>
      </c>
      <c r="J268" t="n">
        <v>0</v>
      </c>
      <c r="K268">
        <f>IF(H268-I268-J268&gt;0,H268-I268-J268,0)</f>
        <v/>
      </c>
      <c r="L268" s="1">
        <f>IFERROR(I268*E268,0)</f>
        <v/>
      </c>
      <c r="M268" s="1">
        <f>IFERROR(K268*E268,0)</f>
        <v/>
      </c>
    </row>
    <row r="269">
      <c r="A269" t="inlineStr">
        <is>
          <t>B-91-FAN7</t>
        </is>
      </c>
      <c r="B269" t="inlineStr">
        <is>
          <t>Lineo 200 - Inline Exhaust Fan</t>
        </is>
      </c>
      <c r="C269" t="inlineStr">
        <is>
          <t>Luck and King</t>
        </is>
      </c>
      <c r="D269" t="inlineStr">
        <is>
          <t>Uncategorized</t>
        </is>
      </c>
      <c r="E269" s="1" t="n">
        <v>490</v>
      </c>
      <c r="F269" t="n">
        <v>1</v>
      </c>
      <c r="G269" t="n">
        <v>0</v>
      </c>
      <c r="H269" t="n">
        <v>2</v>
      </c>
      <c r="I269" t="n">
        <v>0</v>
      </c>
      <c r="J269" t="n">
        <v>0</v>
      </c>
      <c r="K269">
        <f>IF(H269-I269-J269&gt;0,H269-I269-J269,0)</f>
        <v/>
      </c>
      <c r="L269" s="1">
        <f>IFERROR(I269*E269,0)</f>
        <v/>
      </c>
      <c r="M269" s="1">
        <f>IFERROR(K269*E269,0)</f>
        <v/>
      </c>
    </row>
    <row r="270">
      <c r="A270" t="inlineStr">
        <is>
          <t>B/01</t>
        </is>
      </c>
      <c r="B270" t="inlineStr">
        <is>
          <t>Volume Control Damper &amp; Quad 150mm</t>
        </is>
      </c>
      <c r="C270" t="inlineStr"/>
      <c r="D270" t="inlineStr">
        <is>
          <t>Uncategorized</t>
        </is>
      </c>
      <c r="E270" s="1" t="n">
        <v>0</v>
      </c>
      <c r="F270" t="n">
        <v>4</v>
      </c>
      <c r="G270" t="n">
        <v>0</v>
      </c>
      <c r="H270" t="n">
        <v>22</v>
      </c>
      <c r="I270" t="n">
        <v>0</v>
      </c>
      <c r="J270" t="n">
        <v>0</v>
      </c>
      <c r="K270">
        <f>IF(H270-I270-J270&gt;0,H270-I270-J270,0)</f>
        <v/>
      </c>
      <c r="L270" s="1">
        <f>IFERROR(I270*E270,0)</f>
        <v/>
      </c>
      <c r="M270" s="1">
        <f>IFERROR(K270*E270,0)</f>
        <v/>
      </c>
    </row>
    <row r="271">
      <c r="A271" t="inlineStr">
        <is>
          <t>B/02</t>
        </is>
      </c>
      <c r="B271" t="inlineStr">
        <is>
          <t>Fire Damper c/w Link &amp; Quad 150mm</t>
        </is>
      </c>
      <c r="C271" t="inlineStr"/>
      <c r="D271" t="inlineStr">
        <is>
          <t>Uncategorized</t>
        </is>
      </c>
      <c r="E271" s="1" t="n">
        <v>0</v>
      </c>
      <c r="F271" t="n">
        <v>3</v>
      </c>
      <c r="G271" t="n">
        <v>0</v>
      </c>
      <c r="H271" t="n">
        <v>15</v>
      </c>
      <c r="I271" t="n">
        <v>0</v>
      </c>
      <c r="J271" t="n">
        <v>0</v>
      </c>
      <c r="K271">
        <f>IF(H271-I271-J271&gt;0,H271-I271-J271,0)</f>
        <v/>
      </c>
      <c r="L271" s="1">
        <f>IFERROR(I271*E271,0)</f>
        <v/>
      </c>
      <c r="M271" s="1">
        <f>IFERROR(K271*E271,0)</f>
        <v/>
      </c>
    </row>
    <row r="272">
      <c r="A272" t="inlineStr">
        <is>
          <t>B3</t>
        </is>
      </c>
      <c r="B272" t="inlineStr">
        <is>
          <t>IA Certification (Imported Equipment). Document Review and IA Certification Transfer Based on ATEX</t>
        </is>
      </c>
      <c r="C272" t="inlineStr">
        <is>
          <t>MEGATON SYSTEMS (PTY) LTD. T/A MTEX LABORATORIES</t>
        </is>
      </c>
      <c r="D272" t="inlineStr">
        <is>
          <t>Uncategorized</t>
        </is>
      </c>
      <c r="E272" s="1" t="n">
        <v>3473.5</v>
      </c>
      <c r="F272" t="n">
        <v>1</v>
      </c>
      <c r="G272" t="n">
        <v>0</v>
      </c>
      <c r="H272" t="n">
        <v>2</v>
      </c>
      <c r="I272" t="n">
        <v>0</v>
      </c>
      <c r="J272" t="n">
        <v>0</v>
      </c>
      <c r="K272">
        <f>IF(H272-I272-J272&gt;0,H272-I272-J272,0)</f>
        <v/>
      </c>
      <c r="L272" s="1">
        <f>IFERROR(I272*E272,0)</f>
        <v/>
      </c>
      <c r="M272" s="1">
        <f>IFERROR(K272*E272,0)</f>
        <v/>
      </c>
    </row>
    <row r="273">
      <c r="A273" t="inlineStr">
        <is>
          <t>BBC19X10/14T</t>
        </is>
      </c>
      <c r="B273" t="inlineStr">
        <is>
          <t>BANDSAW BIMETAL M42 19x10/14T (2.480x1)</t>
        </is>
      </c>
      <c r="C273" t="inlineStr">
        <is>
          <t>SPARES 2000 CC t/a SHARP-RITE</t>
        </is>
      </c>
      <c r="D273" t="inlineStr">
        <is>
          <t>Uncategorized</t>
        </is>
      </c>
      <c r="E273" s="1" t="n">
        <v>210</v>
      </c>
      <c r="F273" t="n">
        <v>1</v>
      </c>
      <c r="G273" t="n">
        <v>0</v>
      </c>
      <c r="H273" t="n">
        <v>2</v>
      </c>
      <c r="I273" t="n">
        <v>0</v>
      </c>
      <c r="J273" t="n">
        <v>0</v>
      </c>
      <c r="K273">
        <f>IF(H273-I273-J273&gt;0,H273-I273-J273,0)</f>
        <v/>
      </c>
      <c r="L273" s="1">
        <f>IFERROR(I273*E273,0)</f>
        <v/>
      </c>
      <c r="M273" s="1">
        <f>IFERROR(K273*E273,0)</f>
        <v/>
      </c>
    </row>
    <row r="274">
      <c r="A274" t="inlineStr">
        <is>
          <t>BBC19X10/14T-2</t>
        </is>
      </c>
      <c r="B274" t="inlineStr">
        <is>
          <t>BANDSAW BIMETAL M42 19x10/14T (3.050x1)</t>
        </is>
      </c>
      <c r="C274" t="inlineStr">
        <is>
          <t>SPARES 2000 CC t/a SHARP-RITE</t>
        </is>
      </c>
      <c r="D274" t="inlineStr">
        <is>
          <t>Uncategorized</t>
        </is>
      </c>
      <c r="E274" s="1" t="n">
        <v>210</v>
      </c>
      <c r="F274" t="n">
        <v>3</v>
      </c>
      <c r="G274" t="n">
        <v>0</v>
      </c>
      <c r="H274" t="n">
        <v>10</v>
      </c>
      <c r="I274" t="n">
        <v>0</v>
      </c>
      <c r="J274" t="n">
        <v>0</v>
      </c>
      <c r="K274">
        <f>IF(H274-I274-J274&gt;0,H274-I274-J274,0)</f>
        <v/>
      </c>
      <c r="L274" s="1">
        <f>IFERROR(I274*E274,0)</f>
        <v/>
      </c>
      <c r="M274" s="1">
        <f>IFERROR(K274*E274,0)</f>
        <v/>
      </c>
    </row>
    <row r="275">
      <c r="A275" t="inlineStr">
        <is>
          <t>BBF19X10/14DOM</t>
        </is>
      </c>
      <c r="B275" t="inlineStr">
        <is>
          <t>BANDSAW BIMETAL M42 19x10/14T (2.480x1)</t>
        </is>
      </c>
      <c r="C275" t="inlineStr">
        <is>
          <t>SPARES 2000 CC t/a SHARP-RITE</t>
        </is>
      </c>
      <c r="D275" t="inlineStr">
        <is>
          <t>Uncategorized</t>
        </is>
      </c>
      <c r="E275" s="1" t="n">
        <v>210</v>
      </c>
      <c r="F275" t="n">
        <v>2</v>
      </c>
      <c r="G275" t="n">
        <v>0</v>
      </c>
      <c r="H275" t="n">
        <v>12</v>
      </c>
      <c r="I275" t="n">
        <v>0</v>
      </c>
      <c r="J275" t="n">
        <v>0</v>
      </c>
      <c r="K275">
        <f>IF(H275-I275-J275&gt;0,H275-I275-J275,0)</f>
        <v/>
      </c>
      <c r="L275" s="1">
        <f>IFERROR(I275*E275,0)</f>
        <v/>
      </c>
      <c r="M275" s="1">
        <f>IFERROR(K275*E275,0)</f>
        <v/>
      </c>
    </row>
    <row r="276">
      <c r="A276" t="inlineStr">
        <is>
          <t>BBF27X8/12T</t>
        </is>
      </c>
      <c r="B276" t="inlineStr">
        <is>
          <t>BANDSAW BIMETAL M42 8/12T (2.480X1)</t>
        </is>
      </c>
      <c r="C276" t="inlineStr">
        <is>
          <t>SPARES 2000 CC t/a SHARP-RITE</t>
        </is>
      </c>
      <c r="D276" t="inlineStr">
        <is>
          <t>Uncategorized</t>
        </is>
      </c>
      <c r="E276" s="1" t="n">
        <v>219.14</v>
      </c>
      <c r="F276" t="n">
        <v>2</v>
      </c>
      <c r="G276" t="n">
        <v>0</v>
      </c>
      <c r="H276" t="n">
        <v>7</v>
      </c>
      <c r="I276" t="n">
        <v>0</v>
      </c>
      <c r="J276" t="n">
        <v>0</v>
      </c>
      <c r="K276">
        <f>IF(H276-I276-J276&gt;0,H276-I276-J276,0)</f>
        <v/>
      </c>
      <c r="L276" s="1">
        <f>IFERROR(I276*E276,0)</f>
        <v/>
      </c>
      <c r="M276" s="1">
        <f>IFERROR(K276*E276,0)</f>
        <v/>
      </c>
    </row>
    <row r="277">
      <c r="A277" t="inlineStr">
        <is>
          <t>BCC 15</t>
        </is>
      </c>
      <c r="B277" t="inlineStr">
        <is>
          <t>BCC 15/0.75kW arrangement 1A class 2 c/w 4kW 4Pole 525v fan Spped 3057rpm</t>
        </is>
      </c>
      <c r="C277" t="inlineStr"/>
      <c r="D277" t="inlineStr">
        <is>
          <t>Uncategorized</t>
        </is>
      </c>
      <c r="E277" s="1" t="n">
        <v>0</v>
      </c>
      <c r="F277" t="n">
        <v>1</v>
      </c>
      <c r="G277" t="n">
        <v>0</v>
      </c>
      <c r="H277" t="n">
        <v>2</v>
      </c>
      <c r="I277" t="n">
        <v>0</v>
      </c>
      <c r="J277" t="n">
        <v>0</v>
      </c>
      <c r="K277">
        <f>IF(H277-I277-J277&gt;0,H277-I277-J277,0)</f>
        <v/>
      </c>
      <c r="L277" s="1">
        <f>IFERROR(I277*E277,0)</f>
        <v/>
      </c>
      <c r="M277" s="1">
        <f>IFERROR(K277*E277,0)</f>
        <v/>
      </c>
    </row>
    <row r="278">
      <c r="A278" t="inlineStr">
        <is>
          <t>BCC 21/01 Class1 (2A) Belt Driven</t>
        </is>
      </c>
      <c r="B278" t="inlineStr">
        <is>
          <t>c/w 5.5 kW 4 Pole 380V (IP66)</t>
        </is>
      </c>
      <c r="C278" t="inlineStr">
        <is>
          <t>CFW Fans (Pty) Ltd</t>
        </is>
      </c>
      <c r="D278" t="inlineStr">
        <is>
          <t>Uncategorized</t>
        </is>
      </c>
      <c r="E278" s="1" t="n">
        <v>43708</v>
      </c>
      <c r="F278" t="n">
        <v>1</v>
      </c>
      <c r="G278" t="n">
        <v>0</v>
      </c>
      <c r="H278" t="n">
        <v>3</v>
      </c>
      <c r="I278" t="n">
        <v>0</v>
      </c>
      <c r="J278" t="n">
        <v>0</v>
      </c>
      <c r="K278">
        <f>IF(H278-I278-J278&gt;0,H278-I278-J278,0)</f>
        <v/>
      </c>
      <c r="L278" s="1">
        <f>IFERROR(I278*E278,0)</f>
        <v/>
      </c>
      <c r="M278" s="1">
        <f>IFERROR(K278*E278,0)</f>
        <v/>
      </c>
    </row>
    <row r="279">
      <c r="A279" t="inlineStr">
        <is>
          <t>BCC 39</t>
        </is>
      </c>
      <c r="B279" t="inlineStr">
        <is>
          <t>BCC 39/0.99 SISW c/w 75Kw 4P 400V Motor</t>
        </is>
      </c>
      <c r="C279" t="inlineStr">
        <is>
          <t>CFW Fans (Pty) Ltd</t>
        </is>
      </c>
      <c r="D279" t="inlineStr">
        <is>
          <t>Uncategorized</t>
        </is>
      </c>
      <c r="E279" s="1" t="n">
        <v>212333</v>
      </c>
      <c r="F279" t="n">
        <v>1</v>
      </c>
      <c r="G279" t="n">
        <v>0</v>
      </c>
      <c r="H279" t="n">
        <v>3</v>
      </c>
      <c r="I279" t="n">
        <v>0</v>
      </c>
      <c r="J279" t="n">
        <v>0</v>
      </c>
      <c r="K279">
        <f>IF(H279-I279-J279&gt;0,H279-I279-J279,0)</f>
        <v/>
      </c>
      <c r="L279" s="1">
        <f>IFERROR(I279*E279,0)</f>
        <v/>
      </c>
      <c r="M279" s="1">
        <f>IFERROR(K279*E279,0)</f>
        <v/>
      </c>
    </row>
    <row r="280">
      <c r="A280" t="inlineStr">
        <is>
          <t>BCC-2 500/1.0</t>
        </is>
      </c>
      <c r="B280" t="inlineStr">
        <is>
          <t>4A c/w 7.5 kW 4 Pole 380V</t>
        </is>
      </c>
      <c r="C280" t="inlineStr">
        <is>
          <t>Centrifab (Pty) Ltd</t>
        </is>
      </c>
      <c r="D280" t="inlineStr">
        <is>
          <t>Uncategorized</t>
        </is>
      </c>
      <c r="E280" s="1" t="n">
        <v>31900</v>
      </c>
      <c r="F280" t="n">
        <v>1</v>
      </c>
      <c r="G280" t="n">
        <v>0</v>
      </c>
      <c r="H280" t="n">
        <v>5</v>
      </c>
      <c r="I280" t="n">
        <v>0</v>
      </c>
      <c r="J280" t="n">
        <v>0</v>
      </c>
      <c r="K280">
        <f>IF(H280-I280-J280&gt;0,H280-I280-J280,0)</f>
        <v/>
      </c>
      <c r="L280" s="1">
        <f>IFERROR(I280*E280,0)</f>
        <v/>
      </c>
      <c r="M280" s="1">
        <f>IFERROR(K280*E280,0)</f>
        <v/>
      </c>
    </row>
    <row r="281">
      <c r="A281" t="inlineStr">
        <is>
          <t>BCC15-J61923</t>
        </is>
      </c>
      <c r="B281" t="inlineStr">
        <is>
          <t>BCC 15/0.75 CL2 Ar 1A c/w 4.0kw 4P 525V - J61923</t>
        </is>
      </c>
      <c r="C281" t="inlineStr">
        <is>
          <t>Centrifab (Pty) Ltd</t>
        </is>
      </c>
      <c r="D281" t="inlineStr">
        <is>
          <t>Uncategorized</t>
        </is>
      </c>
      <c r="E281" s="1" t="n">
        <v>53900</v>
      </c>
      <c r="F281" t="n">
        <v>1</v>
      </c>
      <c r="G281" t="n">
        <v>0</v>
      </c>
      <c r="H281" t="n">
        <v>3</v>
      </c>
      <c r="I281" t="n">
        <v>0</v>
      </c>
      <c r="J281" t="n">
        <v>0</v>
      </c>
      <c r="K281">
        <f>IF(H281-I281-J281&gt;0,H281-I281-J281,0)</f>
        <v/>
      </c>
      <c r="L281" s="1">
        <f>IFERROR(I281*E281,0)</f>
        <v/>
      </c>
      <c r="M281" s="1">
        <f>IFERROR(K281*E281,0)</f>
        <v/>
      </c>
    </row>
    <row r="282">
      <c r="A282" t="inlineStr">
        <is>
          <t>BDB-280 CM</t>
        </is>
      </c>
      <c r="B282" t="inlineStr">
        <is>
          <t>BCC DIDW CENTRIFUGAL FAN</t>
        </is>
      </c>
      <c r="C282" t="inlineStr">
        <is>
          <t>Air Movement Supplies</t>
        </is>
      </c>
      <c r="D282" t="inlineStr">
        <is>
          <t>Uncategorized</t>
        </is>
      </c>
      <c r="E282" s="1" t="n">
        <v>6267</v>
      </c>
      <c r="F282" t="n">
        <v>1</v>
      </c>
      <c r="G282" t="n">
        <v>0</v>
      </c>
      <c r="H282" t="n">
        <v>3</v>
      </c>
      <c r="I282" t="n">
        <v>0</v>
      </c>
      <c r="J282" t="n">
        <v>0</v>
      </c>
      <c r="K282">
        <f>IF(H282-I282-J282&gt;0,H282-I282-J282,0)</f>
        <v/>
      </c>
      <c r="L282" s="1">
        <f>IFERROR(I282*E282,0)</f>
        <v/>
      </c>
      <c r="M282" s="1">
        <f>IFERROR(K282*E282,0)</f>
        <v/>
      </c>
    </row>
    <row r="283">
      <c r="A283" t="inlineStr">
        <is>
          <t>BF50L1.51HS</t>
        </is>
      </c>
      <c r="B283" t="inlineStr">
        <is>
          <t>Box fan 1250mm LOUV 220v 01.50kW S/S</t>
        </is>
      </c>
      <c r="C283" t="inlineStr">
        <is>
          <t>Luft Industries Natal (Pty) Ltd</t>
        </is>
      </c>
      <c r="D283" t="inlineStr">
        <is>
          <t>Uncategorized</t>
        </is>
      </c>
      <c r="E283" s="1" t="n">
        <v>3636.07</v>
      </c>
      <c r="F283" t="n">
        <v>4</v>
      </c>
      <c r="G283" t="n">
        <v>0</v>
      </c>
      <c r="H283" t="n">
        <v>18</v>
      </c>
      <c r="I283" t="n">
        <v>0</v>
      </c>
      <c r="J283" t="n">
        <v>0</v>
      </c>
      <c r="K283">
        <f>IF(H283-I283-J283&gt;0,H283-I283-J283,0)</f>
        <v/>
      </c>
      <c r="L283" s="1">
        <f>IFERROR(I283*E283,0)</f>
        <v/>
      </c>
      <c r="M283" s="1">
        <f>IFERROR(K283*E283,0)</f>
        <v/>
      </c>
    </row>
    <row r="284">
      <c r="A284" t="inlineStr">
        <is>
          <t>BP01</t>
        </is>
      </c>
      <c r="B284" t="inlineStr">
        <is>
          <t>PLASTIC BUCKLES 12MM - (1000)</t>
        </is>
      </c>
      <c r="C284" t="inlineStr">
        <is>
          <t>Advantage Air Africa Pty Ltd</t>
        </is>
      </c>
      <c r="D284" t="inlineStr">
        <is>
          <t>Uncategorized</t>
        </is>
      </c>
      <c r="E284" s="1" t="n">
        <v>230.1</v>
      </c>
      <c r="F284" t="n">
        <v>1</v>
      </c>
      <c r="G284" t="n">
        <v>0</v>
      </c>
      <c r="H284" t="n">
        <v>2</v>
      </c>
      <c r="I284" t="n">
        <v>0</v>
      </c>
      <c r="J284" t="n">
        <v>0</v>
      </c>
      <c r="K284">
        <f>IF(H284-I284-J284&gt;0,H284-I284-J284,0)</f>
        <v/>
      </c>
      <c r="L284" s="1">
        <f>IFERROR(I284*E284,0)</f>
        <v/>
      </c>
      <c r="M284" s="1">
        <f>IFERROR(K284*E284,0)</f>
        <v/>
      </c>
    </row>
    <row r="285">
      <c r="A285" t="inlineStr">
        <is>
          <t>Balance Impeller</t>
        </is>
      </c>
      <c r="B285" t="inlineStr">
        <is>
          <t>Impeller Balancing 2.5kg 4p</t>
        </is>
      </c>
      <c r="C285" t="inlineStr">
        <is>
          <t>ISO BALANCING</t>
        </is>
      </c>
      <c r="D285" t="inlineStr">
        <is>
          <t>Uncategorized</t>
        </is>
      </c>
      <c r="E285" s="1" t="n">
        <v>643.45</v>
      </c>
      <c r="F285" t="n">
        <v>2</v>
      </c>
      <c r="G285" t="n">
        <v>0</v>
      </c>
      <c r="H285" t="n">
        <v>9</v>
      </c>
      <c r="I285" t="n">
        <v>0</v>
      </c>
      <c r="J285" t="n">
        <v>0</v>
      </c>
      <c r="K285">
        <f>IF(H285-I285-J285&gt;0,H285-I285-J285,0)</f>
        <v/>
      </c>
      <c r="L285" s="1">
        <f>IFERROR(I285*E285,0)</f>
        <v/>
      </c>
      <c r="M285" s="1">
        <f>IFERROR(K285*E285,0)</f>
        <v/>
      </c>
    </row>
    <row r="286">
      <c r="A286" t="inlineStr">
        <is>
          <t>Bellax 630</t>
        </is>
      </c>
      <c r="B286" t="inlineStr">
        <is>
          <t>Bellax 630 20.D 8- c/w1.5kw 4P 220V</t>
        </is>
      </c>
      <c r="C286" t="inlineStr">
        <is>
          <t>Centrifab (Pty) Ltd</t>
        </is>
      </c>
      <c r="D286" t="inlineStr">
        <is>
          <t>Uncategorized</t>
        </is>
      </c>
      <c r="E286" s="1" t="n">
        <v>7868</v>
      </c>
      <c r="F286" t="n">
        <v>1</v>
      </c>
      <c r="G286" t="n">
        <v>0</v>
      </c>
      <c r="H286" t="n">
        <v>3</v>
      </c>
      <c r="I286" t="n">
        <v>0</v>
      </c>
      <c r="J286" t="n">
        <v>0</v>
      </c>
      <c r="K286">
        <f>IF(H286-I286-J286&gt;0,H286-I286-J286,0)</f>
        <v/>
      </c>
      <c r="L286" s="1">
        <f>IFERROR(I286*E286,0)</f>
        <v/>
      </c>
      <c r="M286" s="1">
        <f>IFERROR(K286*E286,0)</f>
        <v/>
      </c>
    </row>
    <row r="287">
      <c r="A287" t="inlineStr">
        <is>
          <t>Bellax 800</t>
        </is>
      </c>
      <c r="B287" t="inlineStr">
        <is>
          <t>Bellax 800 32-E-8 c/w 1.5kW 6Pole Motor</t>
        </is>
      </c>
      <c r="C287" t="inlineStr">
        <is>
          <t>Centrifab (Pty) Ltd</t>
        </is>
      </c>
      <c r="D287" t="inlineStr">
        <is>
          <t>Uncategorized</t>
        </is>
      </c>
      <c r="E287" s="1" t="n">
        <v>16392</v>
      </c>
      <c r="F287" t="n">
        <v>1</v>
      </c>
      <c r="G287" t="n">
        <v>0</v>
      </c>
      <c r="H287" t="n">
        <v>3</v>
      </c>
      <c r="I287" t="n">
        <v>0</v>
      </c>
      <c r="J287" t="n">
        <v>0</v>
      </c>
      <c r="K287">
        <f>IF(H287-I287-J287&gt;0,H287-I287-J287,0)</f>
        <v/>
      </c>
      <c r="L287" s="1">
        <f>IFERROR(I287*E287,0)</f>
        <v/>
      </c>
      <c r="M287" s="1">
        <f>IFERROR(K287*E287,0)</f>
        <v/>
      </c>
    </row>
    <row r="288">
      <c r="A288" t="inlineStr">
        <is>
          <t>Bellax500</t>
        </is>
      </c>
      <c r="B288" t="inlineStr">
        <is>
          <t>Bellax 500 - 20 - C - 8 c/w 2,2KW 2P 220V</t>
        </is>
      </c>
      <c r="C288" t="inlineStr">
        <is>
          <t>Air Speration</t>
        </is>
      </c>
      <c r="D288" t="inlineStr">
        <is>
          <t>Uncategorized</t>
        </is>
      </c>
      <c r="E288" s="1" t="n">
        <v>8453.75</v>
      </c>
      <c r="F288" t="n">
        <v>1</v>
      </c>
      <c r="G288" t="n">
        <v>0</v>
      </c>
      <c r="H288" t="n">
        <v>2</v>
      </c>
      <c r="I288" t="n">
        <v>0</v>
      </c>
      <c r="J288" t="n">
        <v>0</v>
      </c>
      <c r="K288">
        <f>IF(H288-I288-J288&gt;0,H288-I288-J288,0)</f>
        <v/>
      </c>
      <c r="L288" s="1">
        <f>IFERROR(I288*E288,0)</f>
        <v/>
      </c>
      <c r="M288" s="1">
        <f>IFERROR(K288*E288,0)</f>
        <v/>
      </c>
    </row>
    <row r="289">
      <c r="A289" t="inlineStr">
        <is>
          <t>Bend System</t>
        </is>
      </c>
      <c r="B289" t="inlineStr">
        <is>
          <t>MULTI BEND SYSTEM 50 R</t>
        </is>
      </c>
      <c r="C289" t="inlineStr">
        <is>
          <t>Strongman Metal Tools CC</t>
        </is>
      </c>
      <c r="D289" t="inlineStr">
        <is>
          <t>Uncategorized</t>
        </is>
      </c>
      <c r="E289" s="1" t="n">
        <v>9999</v>
      </c>
      <c r="F289" t="n">
        <v>1</v>
      </c>
      <c r="G289" t="n">
        <v>0</v>
      </c>
      <c r="H289" t="n">
        <v>2</v>
      </c>
      <c r="I289" t="n">
        <v>0</v>
      </c>
      <c r="J289" t="n">
        <v>0</v>
      </c>
      <c r="K289">
        <f>IF(H289-I289-J289&gt;0,H289-I289-J289,0)</f>
        <v/>
      </c>
      <c r="L289" s="1">
        <f>IFERROR(I289*E289,0)</f>
        <v/>
      </c>
      <c r="M289" s="1">
        <f>IFERROR(K289*E289,0)</f>
        <v/>
      </c>
    </row>
    <row r="290">
      <c r="A290" t="inlineStr">
        <is>
          <t>Bending</t>
        </is>
      </c>
      <c r="B290" t="inlineStr">
        <is>
          <t>in house bending</t>
        </is>
      </c>
      <c r="C290" t="inlineStr">
        <is>
          <t>Kart Shop TA Ultimate Laser Cutting</t>
        </is>
      </c>
      <c r="D290" t="inlineStr">
        <is>
          <t>Uncategorized</t>
        </is>
      </c>
      <c r="E290" s="1" t="n">
        <v>5.6</v>
      </c>
      <c r="F290" t="n">
        <v>72</v>
      </c>
      <c r="G290" t="n">
        <v>0</v>
      </c>
      <c r="H290" t="n">
        <v>360</v>
      </c>
      <c r="I290" t="n">
        <v>0</v>
      </c>
      <c r="J290" t="n">
        <v>0</v>
      </c>
      <c r="K290">
        <f>IF(H290-I290-J290&gt;0,H290-I290-J290,0)</f>
        <v/>
      </c>
      <c r="L290" s="1">
        <f>IFERROR(I290*E290,0)</f>
        <v/>
      </c>
      <c r="M290" s="1">
        <f>IFERROR(K290*E290,0)</f>
        <v/>
      </c>
    </row>
    <row r="291">
      <c r="A291" t="inlineStr">
        <is>
          <t>C4324</t>
        </is>
      </c>
      <c r="B291" t="inlineStr">
        <is>
          <t>2.0MX1.5MX3.MM KLINGERSIL C4324</t>
        </is>
      </c>
      <c r="C291" t="inlineStr">
        <is>
          <t>Klinger Mzansi (Pty) Ltd</t>
        </is>
      </c>
      <c r="D291" t="inlineStr">
        <is>
          <t>Uncategorized</t>
        </is>
      </c>
      <c r="E291" s="1" t="n">
        <v>2195.15</v>
      </c>
      <c r="F291" t="n">
        <v>1</v>
      </c>
      <c r="G291" t="n">
        <v>0</v>
      </c>
      <c r="H291" t="n">
        <v>2</v>
      </c>
      <c r="I291" t="n">
        <v>0</v>
      </c>
      <c r="J291" t="n">
        <v>0</v>
      </c>
      <c r="K291">
        <f>IF(H291-I291-J291&gt;0,H291-I291-J291,0)</f>
        <v/>
      </c>
      <c r="L291" s="1">
        <f>IFERROR(I291*E291,0)</f>
        <v/>
      </c>
      <c r="M291" s="1">
        <f>IFERROR(K291*E291,0)</f>
        <v/>
      </c>
    </row>
    <row r="292">
      <c r="A292" t="inlineStr">
        <is>
          <t>CA/Line/EC</t>
        </is>
      </c>
      <c r="B292" t="inlineStr">
        <is>
          <t>31 50/60HZ</t>
        </is>
      </c>
      <c r="C292" t="inlineStr"/>
      <c r="D292" t="inlineStr">
        <is>
          <t>Uncategorized</t>
        </is>
      </c>
      <c r="E292" s="1" t="n">
        <v>0</v>
      </c>
      <c r="F292" t="n">
        <v>1</v>
      </c>
      <c r="G292" t="n">
        <v>0</v>
      </c>
      <c r="H292" t="n">
        <v>2</v>
      </c>
      <c r="I292" t="n">
        <v>0</v>
      </c>
      <c r="J292" t="n">
        <v>0</v>
      </c>
      <c r="K292">
        <f>IF(H292-I292-J292&gt;0,H292-I292-J292,0)</f>
        <v/>
      </c>
      <c r="L292" s="1">
        <f>IFERROR(I292*E292,0)</f>
        <v/>
      </c>
      <c r="M292" s="1">
        <f>IFERROR(K292*E292,0)</f>
        <v/>
      </c>
    </row>
    <row r="293">
      <c r="A293" t="inlineStr">
        <is>
          <t>CANCOLSPIG150</t>
        </is>
      </c>
      <c r="B293" t="inlineStr">
        <is>
          <t>CANCOLLAR SPIGOT 150 DIA</t>
        </is>
      </c>
      <c r="C293" t="inlineStr">
        <is>
          <t>Advantage Air Africa Pty Ltd</t>
        </is>
      </c>
      <c r="D293" t="inlineStr">
        <is>
          <t>Uncategorized</t>
        </is>
      </c>
      <c r="E293" s="1" t="n">
        <v>111.3</v>
      </c>
      <c r="F293" t="n">
        <v>100</v>
      </c>
      <c r="G293" t="n">
        <v>0</v>
      </c>
      <c r="H293" t="n">
        <v>500</v>
      </c>
      <c r="I293" t="n">
        <v>0</v>
      </c>
      <c r="J293" t="n">
        <v>0</v>
      </c>
      <c r="K293">
        <f>IF(H293-I293-J293&gt;0,H293-I293-J293,0)</f>
        <v/>
      </c>
      <c r="L293" s="1">
        <f>IFERROR(I293*E293,0)</f>
        <v/>
      </c>
      <c r="M293" s="1">
        <f>IFERROR(K293*E293,0)</f>
        <v/>
      </c>
    </row>
    <row r="294">
      <c r="A294" t="inlineStr">
        <is>
          <t>CCTV</t>
        </is>
      </c>
      <c r="B294" t="inlineStr">
        <is>
          <t>Camera Replacement</t>
        </is>
      </c>
      <c r="C294" t="inlineStr">
        <is>
          <t>AXEGROUP</t>
        </is>
      </c>
      <c r="D294" t="inlineStr">
        <is>
          <t>Uncategorized</t>
        </is>
      </c>
      <c r="E294" s="1" t="n">
        <v>1750</v>
      </c>
      <c r="F294" t="n">
        <v>1</v>
      </c>
      <c r="G294" t="n">
        <v>0</v>
      </c>
      <c r="H294" t="n">
        <v>2</v>
      </c>
      <c r="I294" t="n">
        <v>0</v>
      </c>
      <c r="J294" t="n">
        <v>0</v>
      </c>
      <c r="K294">
        <f>IF(H294-I294-J294&gt;0,H294-I294-J294,0)</f>
        <v/>
      </c>
      <c r="L294" s="1">
        <f>IFERROR(I294*E294,0)</f>
        <v/>
      </c>
      <c r="M294" s="1">
        <f>IFERROR(K294*E294,0)</f>
        <v/>
      </c>
    </row>
    <row r="295">
      <c r="A295" t="inlineStr">
        <is>
          <t>CE 250</t>
        </is>
      </c>
      <c r="B295" t="inlineStr">
        <is>
          <t>CE 250</t>
        </is>
      </c>
      <c r="C295" t="inlineStr">
        <is>
          <t>Luft Industries Natal (Pty) Ltd</t>
        </is>
      </c>
      <c r="D295" t="inlineStr">
        <is>
          <t>Uncategorized</t>
        </is>
      </c>
      <c r="E295" s="1" t="n">
        <v>0</v>
      </c>
      <c r="F295" t="n">
        <v>2</v>
      </c>
      <c r="G295" t="n">
        <v>0</v>
      </c>
      <c r="H295" t="n">
        <v>11</v>
      </c>
      <c r="I295" t="n">
        <v>0</v>
      </c>
      <c r="J295" t="n">
        <v>0</v>
      </c>
      <c r="K295">
        <f>IF(H295-I295-J295&gt;0,H295-I295-J295,0)</f>
        <v/>
      </c>
      <c r="L295" s="1">
        <f>IFERROR(I295*E295,0)</f>
        <v/>
      </c>
      <c r="M295" s="1">
        <f>IFERROR(K295*E295,0)</f>
        <v/>
      </c>
    </row>
    <row r="296">
      <c r="A296" t="inlineStr">
        <is>
          <t>CE200</t>
        </is>
      </c>
      <c r="B296" t="inlineStr">
        <is>
          <t>CE200</t>
        </is>
      </c>
      <c r="C296" t="inlineStr"/>
      <c r="D296" t="inlineStr">
        <is>
          <t>Uncategorized</t>
        </is>
      </c>
      <c r="E296" s="1" t="n">
        <v>0</v>
      </c>
      <c r="F296" t="n">
        <v>1</v>
      </c>
      <c r="G296" t="n">
        <v>0</v>
      </c>
      <c r="H296" t="n">
        <v>2</v>
      </c>
      <c r="I296" t="n">
        <v>0</v>
      </c>
      <c r="J296" t="n">
        <v>0</v>
      </c>
      <c r="K296">
        <f>IF(H296-I296-J296&gt;0,H296-I296-J296,0)</f>
        <v/>
      </c>
      <c r="L296" s="1">
        <f>IFERROR(I296*E296,0)</f>
        <v/>
      </c>
      <c r="M296" s="1">
        <f>IFERROR(K296*E296,0)</f>
        <v/>
      </c>
    </row>
    <row r="297">
      <c r="A297" t="inlineStr">
        <is>
          <t>CF/01</t>
        </is>
      </c>
      <c r="B297" t="inlineStr">
        <is>
          <t>LCF 56 - 1440rpm - 4 Speed 220V</t>
        </is>
      </c>
      <c r="C297" t="inlineStr"/>
      <c r="D297" t="inlineStr">
        <is>
          <t>Uncategorized</t>
        </is>
      </c>
      <c r="E297" s="1" t="n">
        <v>0</v>
      </c>
      <c r="F297" t="n">
        <v>2</v>
      </c>
      <c r="G297" t="n">
        <v>0</v>
      </c>
      <c r="H297" t="n">
        <v>10</v>
      </c>
      <c r="I297" t="n">
        <v>0</v>
      </c>
      <c r="J297" t="n">
        <v>0</v>
      </c>
      <c r="K297">
        <f>IF(H297-I297-J297&gt;0,H297-I297-J297,0)</f>
        <v/>
      </c>
      <c r="L297" s="1">
        <f>IFERROR(I297*E297,0)</f>
        <v/>
      </c>
      <c r="M297" s="1">
        <f>IFERROR(K297*E297,0)</f>
        <v/>
      </c>
    </row>
    <row r="298">
      <c r="A298" t="inlineStr">
        <is>
          <t>CJ77J-DNM12-104-02-M</t>
        </is>
      </c>
      <c r="B298" t="inlineStr">
        <is>
          <t>DENIM WORK JACKET INDIGO M</t>
        </is>
      </c>
      <c r="C298" t="inlineStr">
        <is>
          <t>Workwear Depot (Pty)Ltd</t>
        </is>
      </c>
      <c r="D298" t="inlineStr">
        <is>
          <t>Uncategorized</t>
        </is>
      </c>
      <c r="E298" s="1" t="n">
        <v>406.11</v>
      </c>
      <c r="F298" t="n">
        <v>1</v>
      </c>
      <c r="G298" t="n">
        <v>0</v>
      </c>
      <c r="H298" t="n">
        <v>5</v>
      </c>
      <c r="I298" t="n">
        <v>0</v>
      </c>
      <c r="J298" t="n">
        <v>0</v>
      </c>
      <c r="K298">
        <f>IF(H298-I298-J298&gt;0,H298-I298-J298,0)</f>
        <v/>
      </c>
      <c r="L298" s="1">
        <f>IFERROR(I298*E298,0)</f>
        <v/>
      </c>
      <c r="M298" s="1">
        <f>IFERROR(K298*E298,0)</f>
        <v/>
      </c>
    </row>
    <row r="299">
      <c r="A299" t="inlineStr">
        <is>
          <t>CJ77J-DNM12-104-03-L</t>
        </is>
      </c>
      <c r="B299" t="inlineStr">
        <is>
          <t>DENIM WORK JACKET INDIGO L</t>
        </is>
      </c>
      <c r="C299" t="inlineStr">
        <is>
          <t>Workwear Depot (Pty)Ltd</t>
        </is>
      </c>
      <c r="D299" t="inlineStr">
        <is>
          <t>Uncategorized</t>
        </is>
      </c>
      <c r="E299" s="1" t="n">
        <v>406.11</v>
      </c>
      <c r="F299" t="n">
        <v>1</v>
      </c>
      <c r="G299" t="n">
        <v>0</v>
      </c>
      <c r="H299" t="n">
        <v>5</v>
      </c>
      <c r="I299" t="n">
        <v>0</v>
      </c>
      <c r="J299" t="n">
        <v>0</v>
      </c>
      <c r="K299">
        <f>IF(H299-I299-J299&gt;0,H299-I299-J299,0)</f>
        <v/>
      </c>
      <c r="L299" s="1">
        <f>IFERROR(I299*E299,0)</f>
        <v/>
      </c>
      <c r="M299" s="1">
        <f>IFERROR(K299*E299,0)</f>
        <v/>
      </c>
    </row>
    <row r="300">
      <c r="A300" t="inlineStr">
        <is>
          <t>CJ77J-NAVBOT-101-01-S</t>
        </is>
      </c>
      <c r="B300" t="inlineStr">
        <is>
          <t>VERSATEX TWO-TONE WORK JACKET NAVY/BOTTLE S</t>
        </is>
      </c>
      <c r="C300" t="inlineStr">
        <is>
          <t>Workwear Depot (Pty)Ltd</t>
        </is>
      </c>
      <c r="D300" t="inlineStr">
        <is>
          <t>Uncategorized</t>
        </is>
      </c>
      <c r="E300" s="1" t="n">
        <v>303.48</v>
      </c>
      <c r="F300" t="n">
        <v>1</v>
      </c>
      <c r="G300" t="n">
        <v>0</v>
      </c>
      <c r="H300" t="n">
        <v>2</v>
      </c>
      <c r="I300" t="n">
        <v>0</v>
      </c>
      <c r="J300" t="n">
        <v>0</v>
      </c>
      <c r="K300">
        <f>IF(H300-I300-J300&gt;0,H300-I300-J300,0)</f>
        <v/>
      </c>
      <c r="L300" s="1">
        <f>IFERROR(I300*E300,0)</f>
        <v/>
      </c>
      <c r="M300" s="1">
        <f>IFERROR(K300*E300,0)</f>
        <v/>
      </c>
    </row>
    <row r="301">
      <c r="A301" t="inlineStr">
        <is>
          <t>CJ77J-NAVBOT-101-02-M</t>
        </is>
      </c>
      <c r="B301" t="inlineStr">
        <is>
          <t>VERSATEX TWO-TONE WORK JACKET NAVY/BOTTLE M</t>
        </is>
      </c>
      <c r="C301" t="inlineStr">
        <is>
          <t>Workwear Depot (Pty)Ltd</t>
        </is>
      </c>
      <c r="D301" t="inlineStr">
        <is>
          <t>Uncategorized</t>
        </is>
      </c>
      <c r="E301" s="1" t="n">
        <v>303.48</v>
      </c>
      <c r="F301" t="n">
        <v>1</v>
      </c>
      <c r="G301" t="n">
        <v>0</v>
      </c>
      <c r="H301" t="n">
        <v>2</v>
      </c>
      <c r="I301" t="n">
        <v>0</v>
      </c>
      <c r="J301" t="n">
        <v>0</v>
      </c>
      <c r="K301">
        <f>IF(H301-I301-J301&gt;0,H301-I301-J301,0)</f>
        <v/>
      </c>
      <c r="L301" s="1">
        <f>IFERROR(I301*E301,0)</f>
        <v/>
      </c>
      <c r="M301" s="1">
        <f>IFERROR(K301*E301,0)</f>
        <v/>
      </c>
    </row>
    <row r="302">
      <c r="A302" t="inlineStr">
        <is>
          <t>CJ77J-NAVBOT-101-04-XL</t>
        </is>
      </c>
      <c r="B302" t="inlineStr">
        <is>
          <t>VERSATEX TWO-TONE WORK JACKET NAVY/BOTTLE XL</t>
        </is>
      </c>
      <c r="C302" t="inlineStr">
        <is>
          <t>Workwear Depot (Pty)Ltd</t>
        </is>
      </c>
      <c r="D302" t="inlineStr">
        <is>
          <t>Uncategorized</t>
        </is>
      </c>
      <c r="E302" s="1" t="n">
        <v>303.48</v>
      </c>
      <c r="F302" t="n">
        <v>1</v>
      </c>
      <c r="G302" t="n">
        <v>0</v>
      </c>
      <c r="H302" t="n">
        <v>5</v>
      </c>
      <c r="I302" t="n">
        <v>0</v>
      </c>
      <c r="J302" t="n">
        <v>0</v>
      </c>
      <c r="K302">
        <f>IF(H302-I302-J302&gt;0,H302-I302-J302,0)</f>
        <v/>
      </c>
      <c r="L302" s="1">
        <f>IFERROR(I302*E302,0)</f>
        <v/>
      </c>
      <c r="M302" s="1">
        <f>IFERROR(K302*E302,0)</f>
        <v/>
      </c>
    </row>
    <row r="303">
      <c r="A303" t="inlineStr">
        <is>
          <t>CLIPS003</t>
        </is>
      </c>
      <c r="B303" t="inlineStr">
        <is>
          <t>75mm Galv Filter Clip</t>
        </is>
      </c>
      <c r="C303" t="inlineStr">
        <is>
          <t>Filtermac Design ( Pty) Ltd</t>
        </is>
      </c>
      <c r="D303" t="inlineStr">
        <is>
          <t>Uncategorized</t>
        </is>
      </c>
      <c r="E303" s="1" t="n">
        <v>37</v>
      </c>
      <c r="F303" t="n">
        <v>51</v>
      </c>
      <c r="G303" t="n">
        <v>0</v>
      </c>
      <c r="H303" t="n">
        <v>179</v>
      </c>
      <c r="I303" t="n">
        <v>0</v>
      </c>
      <c r="J303" t="n">
        <v>0</v>
      </c>
      <c r="K303">
        <f>IF(H303-I303-J303&gt;0,H303-I303-J303,0)</f>
        <v/>
      </c>
      <c r="L303" s="1">
        <f>IFERROR(I303*E303,0)</f>
        <v/>
      </c>
      <c r="M303" s="1">
        <f>IFERROR(K303*E303,0)</f>
        <v/>
      </c>
    </row>
    <row r="304">
      <c r="A304" t="inlineStr">
        <is>
          <t>CMV400</t>
        </is>
      </c>
      <c r="B304" t="inlineStr">
        <is>
          <t>CMVpro 400 P4 PPs Casing &amp; impeller RD 90 Fan c/w 5.5kw 4P 380V</t>
        </is>
      </c>
      <c r="C304" t="inlineStr">
        <is>
          <t>Polimatrix SA (Pty) Ltd</t>
        </is>
      </c>
      <c r="D304" t="inlineStr">
        <is>
          <t>Uncategorized</t>
        </is>
      </c>
      <c r="E304" s="1" t="n">
        <v>61919.67</v>
      </c>
      <c r="F304" t="n">
        <v>1</v>
      </c>
      <c r="G304" t="n">
        <v>0</v>
      </c>
      <c r="H304" t="n">
        <v>3</v>
      </c>
      <c r="I304" t="n">
        <v>0</v>
      </c>
      <c r="J304" t="n">
        <v>0</v>
      </c>
      <c r="K304">
        <f>IF(H304-I304-J304&gt;0,H304-I304-J304,0)</f>
        <v/>
      </c>
      <c r="L304" s="1">
        <f>IFERROR(I304*E304,0)</f>
        <v/>
      </c>
      <c r="M304" s="1">
        <f>IFERROR(K304*E304,0)</f>
        <v/>
      </c>
    </row>
    <row r="305">
      <c r="A305" t="inlineStr">
        <is>
          <t>CN4PC-SS-DAS</t>
        </is>
      </c>
      <c r="B305" t="inlineStr">
        <is>
          <t>Screws &amp; Springs for Combination Set Dasqua</t>
        </is>
      </c>
      <c r="C305" t="inlineStr">
        <is>
          <t>SPARES 2000 CC t/a SHARP-RITE</t>
        </is>
      </c>
      <c r="D305" t="inlineStr">
        <is>
          <t>Uncategorized</t>
        </is>
      </c>
      <c r="E305" s="1" t="n">
        <v>115</v>
      </c>
      <c r="F305" t="n">
        <v>2</v>
      </c>
      <c r="G305" t="n">
        <v>0</v>
      </c>
      <c r="H305" t="n">
        <v>6</v>
      </c>
      <c r="I305" t="n">
        <v>0</v>
      </c>
      <c r="J305" t="n">
        <v>0</v>
      </c>
      <c r="K305">
        <f>IF(H305-I305-J305&gt;0,H305-I305-J305,0)</f>
        <v/>
      </c>
      <c r="L305" s="1">
        <f>IFERROR(I305*E305,0)</f>
        <v/>
      </c>
      <c r="M305" s="1">
        <f>IFERROR(K305*E305,0)</f>
        <v/>
      </c>
    </row>
    <row r="306">
      <c r="A306" t="inlineStr">
        <is>
          <t>COUNCIL BILLINGG</t>
        </is>
      </c>
      <c r="B306" t="inlineStr">
        <is>
          <t>February Council Billing</t>
        </is>
      </c>
      <c r="C306" t="inlineStr">
        <is>
          <t>Stand 231 Alrode South CC</t>
        </is>
      </c>
      <c r="D306" t="inlineStr">
        <is>
          <t>Uncategorized</t>
        </is>
      </c>
      <c r="E306" s="1" t="n">
        <v>1405.09</v>
      </c>
      <c r="F306" t="n">
        <v>1</v>
      </c>
      <c r="G306" t="n">
        <v>0</v>
      </c>
      <c r="H306" t="n">
        <v>2</v>
      </c>
      <c r="I306" t="n">
        <v>0</v>
      </c>
      <c r="J306" t="n">
        <v>0</v>
      </c>
      <c r="K306">
        <f>IF(H306-I306-J306&gt;0,H306-I306-J306,0)</f>
        <v/>
      </c>
      <c r="L306" s="1">
        <f>IFERROR(I306*E306,0)</f>
        <v/>
      </c>
      <c r="M306" s="1">
        <f>IFERROR(K306*E306,0)</f>
        <v/>
      </c>
    </row>
    <row r="307">
      <c r="A307" t="inlineStr">
        <is>
          <t>CP77P-DESMBO-201-00-28</t>
        </is>
      </c>
      <c r="B307" t="inlineStr">
        <is>
          <t>VERSATEX WORK TROUSERS BOTTLE 28</t>
        </is>
      </c>
      <c r="C307" t="inlineStr">
        <is>
          <t>Workwear Depot (Pty)Ltd</t>
        </is>
      </c>
      <c r="D307" t="inlineStr">
        <is>
          <t>Uncategorized</t>
        </is>
      </c>
      <c r="E307" s="1" t="n">
        <v>260</v>
      </c>
      <c r="F307" t="n">
        <v>1</v>
      </c>
      <c r="G307" t="n">
        <v>0</v>
      </c>
      <c r="H307" t="n">
        <v>2</v>
      </c>
      <c r="I307" t="n">
        <v>0</v>
      </c>
      <c r="J307" t="n">
        <v>0</v>
      </c>
      <c r="K307">
        <f>IF(H307-I307-J307&gt;0,H307-I307-J307,0)</f>
        <v/>
      </c>
      <c r="L307" s="1">
        <f>IFERROR(I307*E307,0)</f>
        <v/>
      </c>
      <c r="M307" s="1">
        <f>IFERROR(K307*E307,0)</f>
        <v/>
      </c>
    </row>
    <row r="308">
      <c r="A308" t="inlineStr">
        <is>
          <t>CP77P-DESMBO-201-00-32</t>
        </is>
      </c>
      <c r="B308" t="inlineStr">
        <is>
          <t>VERSATEX WORK TROUSERS BOTTLE 32</t>
        </is>
      </c>
      <c r="C308" t="inlineStr">
        <is>
          <t>Workwear Depot (Pty)Ltd</t>
        </is>
      </c>
      <c r="D308" t="inlineStr">
        <is>
          <t>Uncategorized</t>
        </is>
      </c>
      <c r="E308" s="1" t="n">
        <v>260</v>
      </c>
      <c r="F308" t="n">
        <v>1</v>
      </c>
      <c r="G308" t="n">
        <v>0</v>
      </c>
      <c r="H308" t="n">
        <v>2</v>
      </c>
      <c r="I308" t="n">
        <v>0</v>
      </c>
      <c r="J308" t="n">
        <v>0</v>
      </c>
      <c r="K308">
        <f>IF(H308-I308-J308&gt;0,H308-I308-J308,0)</f>
        <v/>
      </c>
      <c r="L308" s="1">
        <f>IFERROR(I308*E308,0)</f>
        <v/>
      </c>
      <c r="M308" s="1">
        <f>IFERROR(K308*E308,0)</f>
        <v/>
      </c>
    </row>
    <row r="309">
      <c r="A309" t="inlineStr">
        <is>
          <t>CP77P-DESMBO-201-00-44</t>
        </is>
      </c>
      <c r="B309" t="inlineStr">
        <is>
          <t>VERSATEX WORK TROUSERS BOTTLE 44</t>
        </is>
      </c>
      <c r="C309" t="inlineStr">
        <is>
          <t>Workwear Depot (Pty)Ltd</t>
        </is>
      </c>
      <c r="D309" t="inlineStr">
        <is>
          <t>Uncategorized</t>
        </is>
      </c>
      <c r="E309" s="1" t="n">
        <v>260</v>
      </c>
      <c r="F309" t="n">
        <v>1</v>
      </c>
      <c r="G309" t="n">
        <v>0</v>
      </c>
      <c r="H309" t="n">
        <v>5</v>
      </c>
      <c r="I309" t="n">
        <v>0</v>
      </c>
      <c r="J309" t="n">
        <v>0</v>
      </c>
      <c r="K309">
        <f>IF(H309-I309-J309&gt;0,H309-I309-J309,0)</f>
        <v/>
      </c>
      <c r="L309" s="1">
        <f>IFERROR(I309*E309,0)</f>
        <v/>
      </c>
      <c r="M309" s="1">
        <f>IFERROR(K309*E309,0)</f>
        <v/>
      </c>
    </row>
    <row r="310">
      <c r="A310" t="inlineStr">
        <is>
          <t>CP77P-DNM12-104-00-32</t>
        </is>
      </c>
      <c r="B310" t="inlineStr">
        <is>
          <t>DENIM WORK TROUSERS INDIGO 32</t>
        </is>
      </c>
      <c r="C310" t="inlineStr">
        <is>
          <t>Workwear Depot (Pty)Ltd</t>
        </is>
      </c>
      <c r="D310" t="inlineStr">
        <is>
          <t>Uncategorized</t>
        </is>
      </c>
      <c r="E310" s="1" t="n">
        <v>372.2</v>
      </c>
      <c r="F310" t="n">
        <v>1</v>
      </c>
      <c r="G310" t="n">
        <v>0</v>
      </c>
      <c r="H310" t="n">
        <v>5</v>
      </c>
      <c r="I310" t="n">
        <v>0</v>
      </c>
      <c r="J310" t="n">
        <v>0</v>
      </c>
      <c r="K310">
        <f>IF(H310-I310-J310&gt;0,H310-I310-J310,0)</f>
        <v/>
      </c>
      <c r="L310" s="1">
        <f>IFERROR(I310*E310,0)</f>
        <v/>
      </c>
      <c r="M310" s="1">
        <f>IFERROR(K310*E310,0)</f>
        <v/>
      </c>
    </row>
    <row r="311">
      <c r="A311" t="inlineStr">
        <is>
          <t>CSH1000x1.5</t>
        </is>
      </c>
      <c r="B311" t="inlineStr">
        <is>
          <t>Copper Sheet (2000x1000x1.5mm)</t>
        </is>
      </c>
      <c r="C311" t="inlineStr">
        <is>
          <t>Gold Circle Metals</t>
        </is>
      </c>
      <c r="D311" t="inlineStr">
        <is>
          <t>Uncategorized</t>
        </is>
      </c>
      <c r="E311" s="1" t="n">
        <v>11250</v>
      </c>
      <c r="F311" t="n">
        <v>1</v>
      </c>
      <c r="G311" t="n">
        <v>0</v>
      </c>
      <c r="H311" t="n">
        <v>2</v>
      </c>
      <c r="I311" t="n">
        <v>0</v>
      </c>
      <c r="J311" t="n">
        <v>0</v>
      </c>
      <c r="K311">
        <f>IF(H311-I311-J311&gt;0,H311-I311-J311,0)</f>
        <v/>
      </c>
      <c r="L311" s="1">
        <f>IFERROR(I311*E311,0)</f>
        <v/>
      </c>
      <c r="M311" s="1">
        <f>IFERROR(K311*E311,0)</f>
        <v/>
      </c>
    </row>
    <row r="312">
      <c r="A312" t="inlineStr">
        <is>
          <t>CT1.50X4BK</t>
        </is>
      </c>
      <c r="B312" t="inlineStr">
        <is>
          <t>CABTYRE 1,5MM2 4 CORE BLACK</t>
        </is>
      </c>
      <c r="C312" t="inlineStr">
        <is>
          <t>Alvern Cables (Pty) Ltd</t>
        </is>
      </c>
      <c r="D312" t="inlineStr">
        <is>
          <t>Uncategorized</t>
        </is>
      </c>
      <c r="E312" s="1" t="n">
        <v>17.45</v>
      </c>
      <c r="F312" t="n">
        <v>50</v>
      </c>
      <c r="G312" t="n">
        <v>0</v>
      </c>
      <c r="H312" t="n">
        <v>250</v>
      </c>
      <c r="I312" t="n">
        <v>0</v>
      </c>
      <c r="J312" t="n">
        <v>0</v>
      </c>
      <c r="K312">
        <f>IF(H312-I312-J312&gt;0,H312-I312-J312,0)</f>
        <v/>
      </c>
      <c r="L312" s="1">
        <f>IFERROR(I312*E312,0)</f>
        <v/>
      </c>
      <c r="M312" s="1">
        <f>IFERROR(K312*E312,0)</f>
        <v/>
      </c>
    </row>
    <row r="313">
      <c r="A313" t="inlineStr">
        <is>
          <t>CT2.50X4BK</t>
        </is>
      </c>
      <c r="B313" t="inlineStr">
        <is>
          <t>CABTYRE 2,5MM2 4 CORE - BLACK</t>
        </is>
      </c>
      <c r="C313" t="inlineStr">
        <is>
          <t>Alvern Cables (Pty) Ltd</t>
        </is>
      </c>
      <c r="D313" t="inlineStr">
        <is>
          <t>Uncategorized</t>
        </is>
      </c>
      <c r="E313" s="1" t="n">
        <v>27.96</v>
      </c>
      <c r="F313" t="n">
        <v>50</v>
      </c>
      <c r="G313" t="n">
        <v>0</v>
      </c>
      <c r="H313" t="n">
        <v>250</v>
      </c>
      <c r="I313" t="n">
        <v>0</v>
      </c>
      <c r="J313" t="n">
        <v>0</v>
      </c>
      <c r="K313">
        <f>IF(H313-I313-J313&gt;0,H313-I313-J313,0)</f>
        <v/>
      </c>
      <c r="L313" s="1">
        <f>IFERROR(I313*E313,0)</f>
        <v/>
      </c>
      <c r="M313" s="1">
        <f>IFERROR(K313*E313,0)</f>
        <v/>
      </c>
    </row>
    <row r="314">
      <c r="A314" t="inlineStr">
        <is>
          <t>CTA/01</t>
        </is>
      </c>
      <c r="B314" t="inlineStr">
        <is>
          <t>Attenuator 150x600mm</t>
        </is>
      </c>
      <c r="C314" t="inlineStr"/>
      <c r="D314" t="inlineStr">
        <is>
          <t>Uncategorized</t>
        </is>
      </c>
      <c r="E314" s="1" t="n">
        <v>0</v>
      </c>
      <c r="F314" t="n">
        <v>1</v>
      </c>
      <c r="G314" t="n">
        <v>0</v>
      </c>
      <c r="H314" t="n">
        <v>5</v>
      </c>
      <c r="I314" t="n">
        <v>0</v>
      </c>
      <c r="J314" t="n">
        <v>0</v>
      </c>
      <c r="K314">
        <f>IF(H314-I314-J314&gt;0,H314-I314-J314,0)</f>
        <v/>
      </c>
      <c r="L314" s="1">
        <f>IFERROR(I314*E314,0)</f>
        <v/>
      </c>
      <c r="M314" s="1">
        <f>IFERROR(K314*E314,0)</f>
        <v/>
      </c>
    </row>
    <row r="315">
      <c r="A315" t="inlineStr">
        <is>
          <t>CTA/02</t>
        </is>
      </c>
      <c r="B315" t="inlineStr">
        <is>
          <t>Attenuator 150x600mm</t>
        </is>
      </c>
      <c r="C315" t="inlineStr"/>
      <c r="D315" t="inlineStr">
        <is>
          <t>Uncategorized</t>
        </is>
      </c>
      <c r="E315" s="1" t="n">
        <v>0</v>
      </c>
      <c r="F315" t="n">
        <v>1</v>
      </c>
      <c r="G315" t="n">
        <v>0</v>
      </c>
      <c r="H315" t="n">
        <v>2</v>
      </c>
      <c r="I315" t="n">
        <v>0</v>
      </c>
      <c r="J315" t="n">
        <v>0</v>
      </c>
      <c r="K315">
        <f>IF(H315-I315-J315&gt;0,H315-I315-J315,0)</f>
        <v/>
      </c>
      <c r="L315" s="1">
        <f>IFERROR(I315*E315,0)</f>
        <v/>
      </c>
      <c r="M315" s="1">
        <f>IFERROR(K315*E315,0)</f>
        <v/>
      </c>
    </row>
    <row r="316">
      <c r="A316" t="inlineStr">
        <is>
          <t>CZ315C</t>
        </is>
      </c>
      <c r="B316" t="inlineStr">
        <is>
          <t>Neoprene Clamp 315</t>
        </is>
      </c>
      <c r="C316" t="inlineStr"/>
      <c r="D316" t="inlineStr">
        <is>
          <t>Uncategorized</t>
        </is>
      </c>
      <c r="E316" s="1" t="n">
        <v>0</v>
      </c>
      <c r="F316" t="n">
        <v>4</v>
      </c>
      <c r="G316" t="n">
        <v>0</v>
      </c>
      <c r="H316" t="n">
        <v>20</v>
      </c>
      <c r="I316" t="n">
        <v>0</v>
      </c>
      <c r="J316" t="n">
        <v>0</v>
      </c>
      <c r="K316">
        <f>IF(H316-I316-J316&gt;0,H316-I316-J316,0)</f>
        <v/>
      </c>
      <c r="L316" s="1">
        <f>IFERROR(I316*E316,0)</f>
        <v/>
      </c>
      <c r="M316" s="1">
        <f>IFERROR(K316*E316,0)</f>
        <v/>
      </c>
    </row>
    <row r="317">
      <c r="A317" t="inlineStr">
        <is>
          <t>Centrifugal Fan</t>
        </is>
      </c>
      <c r="B317" t="inlineStr">
        <is>
          <t>280 CM BCC DIDW CENTRIFUGAL FAN</t>
        </is>
      </c>
      <c r="C317" t="inlineStr"/>
      <c r="D317" t="inlineStr">
        <is>
          <t>Uncategorized</t>
        </is>
      </c>
      <c r="E317" s="1" t="n">
        <v>0</v>
      </c>
      <c r="F317" t="n">
        <v>1</v>
      </c>
      <c r="G317" t="n">
        <v>0</v>
      </c>
      <c r="H317" t="n">
        <v>2</v>
      </c>
      <c r="I317" t="n">
        <v>0</v>
      </c>
      <c r="J317" t="n">
        <v>0</v>
      </c>
      <c r="K317">
        <f>IF(H317-I317-J317&gt;0,H317-I317-J317,0)</f>
        <v/>
      </c>
      <c r="L317" s="1">
        <f>IFERROR(I317*E317,0)</f>
        <v/>
      </c>
      <c r="M317" s="1">
        <f>IFERROR(K317*E317,0)</f>
        <v/>
      </c>
    </row>
    <row r="318">
      <c r="A318" t="inlineStr">
        <is>
          <t>Company Car</t>
        </is>
      </c>
      <c r="B318" t="inlineStr">
        <is>
          <t>Mahindra 1.2T MX2 A/T</t>
        </is>
      </c>
      <c r="C318" t="inlineStr">
        <is>
          <t>Egoli Auto (Pty) Ltd t/a Mahindra JHB South</t>
        </is>
      </c>
      <c r="D318" t="inlineStr">
        <is>
          <t>Uncategorized</t>
        </is>
      </c>
      <c r="E318" s="1" t="n">
        <v>273229.14</v>
      </c>
      <c r="F318" t="n">
        <v>1</v>
      </c>
      <c r="G318" t="n">
        <v>0</v>
      </c>
      <c r="H318" t="n">
        <v>5</v>
      </c>
      <c r="I318" t="n">
        <v>0</v>
      </c>
      <c r="J318" t="n">
        <v>0</v>
      </c>
      <c r="K318">
        <f>IF(H318-I318-J318&gt;0,H318-I318-J318,0)</f>
        <v/>
      </c>
      <c r="L318" s="1">
        <f>IFERROR(I318*E318,0)</f>
        <v/>
      </c>
      <c r="M318" s="1">
        <f>IFERROR(K318*E318,0)</f>
        <v/>
      </c>
    </row>
    <row r="319">
      <c r="A319" t="inlineStr">
        <is>
          <t>Compile</t>
        </is>
      </c>
      <c r="B319" t="inlineStr">
        <is>
          <t>Report</t>
        </is>
      </c>
      <c r="C319" t="inlineStr">
        <is>
          <t>TDCM Engineering cc</t>
        </is>
      </c>
      <c r="D319" t="inlineStr">
        <is>
          <t>Uncategorized</t>
        </is>
      </c>
      <c r="E319" s="1" t="n">
        <v>940.5</v>
      </c>
      <c r="F319" t="n">
        <v>9</v>
      </c>
      <c r="G319" t="n">
        <v>0</v>
      </c>
      <c r="H319" t="n">
        <v>25</v>
      </c>
      <c r="I319" t="n">
        <v>0</v>
      </c>
      <c r="J319" t="n">
        <v>0</v>
      </c>
      <c r="K319">
        <f>IF(H319-I319-J319&gt;0,H319-I319-J319,0)</f>
        <v/>
      </c>
      <c r="L319" s="1">
        <f>IFERROR(I319*E319,0)</f>
        <v/>
      </c>
      <c r="M319" s="1">
        <f>IFERROR(K319*E319,0)</f>
        <v/>
      </c>
    </row>
    <row r="320">
      <c r="A320" t="inlineStr">
        <is>
          <t>Counter-Flanges</t>
        </is>
      </c>
      <c r="B320" t="inlineStr">
        <is>
          <t>DDM 10/10</t>
        </is>
      </c>
      <c r="C320" t="inlineStr">
        <is>
          <t>Attenu-Tec HVAC Parts</t>
        </is>
      </c>
      <c r="D320" t="inlineStr">
        <is>
          <t>Uncategorized</t>
        </is>
      </c>
      <c r="E320" s="1" t="n">
        <v>97</v>
      </c>
      <c r="F320" t="n">
        <v>2</v>
      </c>
      <c r="G320" t="n">
        <v>0</v>
      </c>
      <c r="H320" t="n">
        <v>5</v>
      </c>
      <c r="I320" t="n">
        <v>0</v>
      </c>
      <c r="J320" t="n">
        <v>0</v>
      </c>
      <c r="K320">
        <f>IF(H320-I320-J320&gt;0,H320-I320-J320,0)</f>
        <v/>
      </c>
      <c r="L320" s="1">
        <f>IFERROR(I320*E320,0)</f>
        <v/>
      </c>
      <c r="M320" s="1">
        <f>IFERROR(K320*E320,0)</f>
        <v/>
      </c>
    </row>
    <row r="321">
      <c r="A321" t="inlineStr">
        <is>
          <t>Crates</t>
        </is>
      </c>
      <c r="B321" t="inlineStr">
        <is>
          <t>Wooden crates</t>
        </is>
      </c>
      <c r="C321" t="inlineStr">
        <is>
          <t>Air Speration</t>
        </is>
      </c>
      <c r="D321" t="inlineStr">
        <is>
          <t>Uncategorized</t>
        </is>
      </c>
      <c r="E321" s="1" t="n">
        <v>800</v>
      </c>
      <c r="F321" t="n">
        <v>7</v>
      </c>
      <c r="G321" t="n">
        <v>0</v>
      </c>
      <c r="H321" t="n">
        <v>19</v>
      </c>
      <c r="I321" t="n">
        <v>0</v>
      </c>
      <c r="J321" t="n">
        <v>0</v>
      </c>
      <c r="K321">
        <f>IF(H321-I321-J321&gt;0,H321-I321-J321,0)</f>
        <v/>
      </c>
      <c r="L321" s="1">
        <f>IFERROR(I321*E321,0)</f>
        <v/>
      </c>
      <c r="M321" s="1">
        <f>IFERROR(K321*E321,0)</f>
        <v/>
      </c>
    </row>
    <row r="322">
      <c r="A322" t="inlineStr">
        <is>
          <t>D)</t>
        </is>
      </c>
      <c r="B322" t="inlineStr">
        <is>
          <t>Casings - 315mm Casing to Suit Above</t>
        </is>
      </c>
      <c r="C322" t="inlineStr">
        <is>
          <t>CFW Fans (Pty) Ltd</t>
        </is>
      </c>
      <c r="D322" t="inlineStr">
        <is>
          <t>Uncategorized</t>
        </is>
      </c>
      <c r="E322" s="1" t="n">
        <v>95.45999999999999</v>
      </c>
      <c r="F322" t="n">
        <v>1</v>
      </c>
      <c r="G322" t="n">
        <v>0</v>
      </c>
      <c r="H322" t="n">
        <v>4</v>
      </c>
      <c r="I322" t="n">
        <v>0</v>
      </c>
      <c r="J322" t="n">
        <v>0</v>
      </c>
      <c r="K322">
        <f>IF(H322-I322-J322&gt;0,H322-I322-J322,0)</f>
        <v/>
      </c>
      <c r="L322" s="1">
        <f>IFERROR(I322*E322,0)</f>
        <v/>
      </c>
      <c r="M322" s="1">
        <f>IFERROR(K322*E322,0)</f>
        <v/>
      </c>
    </row>
    <row r="323">
      <c r="A323" t="inlineStr">
        <is>
          <t>D100000</t>
        </is>
      </c>
      <c r="B323" t="inlineStr">
        <is>
          <t>UV250/1/6/F</t>
        </is>
      </c>
      <c r="C323" t="inlineStr">
        <is>
          <t>Centrifab (Pty) Ltd</t>
        </is>
      </c>
      <c r="D323" t="inlineStr">
        <is>
          <t>Uncategorized</t>
        </is>
      </c>
      <c r="E323" s="1" t="n">
        <v>3446.25</v>
      </c>
      <c r="F323" t="n">
        <v>8</v>
      </c>
      <c r="G323" t="n">
        <v>0</v>
      </c>
      <c r="H323" t="n">
        <v>40</v>
      </c>
      <c r="I323" t="n">
        <v>0</v>
      </c>
      <c r="J323" t="n">
        <v>0</v>
      </c>
      <c r="K323">
        <f>IF(H323-I323-J323&gt;0,H323-I323-J323,0)</f>
        <v/>
      </c>
      <c r="L323" s="1">
        <f>IFERROR(I323*E323,0)</f>
        <v/>
      </c>
      <c r="M323" s="1">
        <f>IFERROR(K323*E323,0)</f>
        <v/>
      </c>
    </row>
    <row r="324">
      <c r="A324" t="inlineStr">
        <is>
          <t>D100073</t>
        </is>
      </c>
      <c r="B324" t="inlineStr">
        <is>
          <t>CE250BB</t>
        </is>
      </c>
      <c r="C324" t="inlineStr"/>
      <c r="D324" t="inlineStr">
        <is>
          <t>Uncategorized</t>
        </is>
      </c>
      <c r="E324" s="1" t="n">
        <v>0</v>
      </c>
      <c r="F324" t="n">
        <v>1</v>
      </c>
      <c r="G324" t="n">
        <v>0</v>
      </c>
      <c r="H324" t="n">
        <v>4</v>
      </c>
      <c r="I324" t="n">
        <v>0</v>
      </c>
      <c r="J324" t="n">
        <v>0</v>
      </c>
      <c r="K324">
        <f>IF(H324-I324-J324&gt;0,H324-I324-J324,0)</f>
        <v/>
      </c>
      <c r="L324" s="1">
        <f>IFERROR(I324*E324,0)</f>
        <v/>
      </c>
      <c r="M324" s="1">
        <f>IFERROR(K324*E324,0)</f>
        <v/>
      </c>
    </row>
    <row r="325">
      <c r="A325" t="inlineStr">
        <is>
          <t>D10075</t>
        </is>
      </c>
      <c r="B325" t="inlineStr">
        <is>
          <t>Lineo 125 Kit</t>
        </is>
      </c>
      <c r="C325" t="inlineStr"/>
      <c r="D325" t="inlineStr">
        <is>
          <t>Uncategorized</t>
        </is>
      </c>
      <c r="E325" s="1" t="n">
        <v>0</v>
      </c>
      <c r="F325" t="n">
        <v>2</v>
      </c>
      <c r="G325" t="n">
        <v>0</v>
      </c>
      <c r="H325" t="n">
        <v>8</v>
      </c>
      <c r="I325" t="n">
        <v>0</v>
      </c>
      <c r="J325" t="n">
        <v>0</v>
      </c>
      <c r="K325">
        <f>IF(H325-I325-J325&gt;0,H325-I325-J325,0)</f>
        <v/>
      </c>
      <c r="L325" s="1">
        <f>IFERROR(I325*E325,0)</f>
        <v/>
      </c>
      <c r="M325" s="1">
        <f>IFERROR(K325*E325,0)</f>
        <v/>
      </c>
    </row>
    <row r="326">
      <c r="A326" t="inlineStr">
        <is>
          <t>D4E180</t>
        </is>
      </c>
      <c r="B326" t="inlineStr">
        <is>
          <t>CA02-02 50/60Hz 230V</t>
        </is>
      </c>
      <c r="C326" t="inlineStr">
        <is>
          <t>Ebmpapst</t>
        </is>
      </c>
      <c r="D326" t="inlineStr">
        <is>
          <t>Uncategorized</t>
        </is>
      </c>
      <c r="E326" s="1" t="n">
        <v>6032.72</v>
      </c>
      <c r="F326" t="n">
        <v>1</v>
      </c>
      <c r="G326" t="n">
        <v>0</v>
      </c>
      <c r="H326" t="n">
        <v>2</v>
      </c>
      <c r="I326" t="n">
        <v>0</v>
      </c>
      <c r="J326" t="n">
        <v>0</v>
      </c>
      <c r="K326">
        <f>IF(H326-I326-J326&gt;0,H326-I326-J326,0)</f>
        <v/>
      </c>
      <c r="L326" s="1">
        <f>IFERROR(I326*E326,0)</f>
        <v/>
      </c>
      <c r="M326" s="1">
        <f>IFERROR(K326*E326,0)</f>
        <v/>
      </c>
    </row>
    <row r="327">
      <c r="A327" t="inlineStr">
        <is>
          <t>DMP</t>
        </is>
      </c>
      <c r="B327" t="inlineStr">
        <is>
          <t>VCDQK - VC DAMPER WITH QUADRANT KIT 150*150</t>
        </is>
      </c>
      <c r="C327" t="inlineStr">
        <is>
          <t>Advantage Air Africa Pty Ltd</t>
        </is>
      </c>
      <c r="D327" t="inlineStr">
        <is>
          <t>Uncategorized</t>
        </is>
      </c>
      <c r="E327" s="1" t="n">
        <v>0</v>
      </c>
      <c r="F327" t="n">
        <v>65</v>
      </c>
      <c r="G327" t="n">
        <v>0</v>
      </c>
      <c r="H327" t="n">
        <v>325</v>
      </c>
      <c r="I327" t="n">
        <v>0</v>
      </c>
      <c r="J327" t="n">
        <v>0</v>
      </c>
      <c r="K327">
        <f>IF(H327-I327-J327&gt;0,H327-I327-J327,0)</f>
        <v/>
      </c>
      <c r="L327" s="1">
        <f>IFERROR(I327*E327,0)</f>
        <v/>
      </c>
      <c r="M327" s="1">
        <f>IFERROR(K327*E327,0)</f>
        <v/>
      </c>
    </row>
    <row r="328">
      <c r="A328" t="inlineStr">
        <is>
          <t>DRILL BIT</t>
        </is>
      </c>
      <c r="B328" t="inlineStr">
        <is>
          <t>3MM - Drill bit 3mm HSS</t>
        </is>
      </c>
      <c r="C328" t="inlineStr">
        <is>
          <t>SPARES 2000 CC t/a SHARP-RITE</t>
        </is>
      </c>
      <c r="D328" t="inlineStr">
        <is>
          <t>Uncategorized</t>
        </is>
      </c>
      <c r="E328" s="1" t="n">
        <v>0</v>
      </c>
      <c r="F328" t="n">
        <v>22</v>
      </c>
      <c r="G328" t="n">
        <v>0</v>
      </c>
      <c r="H328" t="n">
        <v>108</v>
      </c>
      <c r="I328" t="n">
        <v>0</v>
      </c>
      <c r="J328" t="n">
        <v>0</v>
      </c>
      <c r="K328">
        <f>IF(H328-I328-J328&gt;0,H328-I328-J328,0)</f>
        <v/>
      </c>
      <c r="L328" s="1">
        <f>IFERROR(I328*E328,0)</f>
        <v/>
      </c>
      <c r="M328" s="1">
        <f>IFERROR(K328*E328,0)</f>
        <v/>
      </c>
    </row>
    <row r="329">
      <c r="A329" t="inlineStr">
        <is>
          <t>DTG/01</t>
        </is>
      </c>
      <c r="B329" t="inlineStr">
        <is>
          <t>DRG 300x150 Mill c/w Powder Coating</t>
        </is>
      </c>
      <c r="C329" t="inlineStr"/>
      <c r="D329" t="inlineStr">
        <is>
          <t>Uncategorized</t>
        </is>
      </c>
      <c r="E329" s="1" t="n">
        <v>0</v>
      </c>
      <c r="F329" t="n">
        <v>3</v>
      </c>
      <c r="G329" t="n">
        <v>0</v>
      </c>
      <c r="H329" t="n">
        <v>15</v>
      </c>
      <c r="I329" t="n">
        <v>0</v>
      </c>
      <c r="J329" t="n">
        <v>0</v>
      </c>
      <c r="K329">
        <f>IF(H329-I329-J329&gt;0,H329-I329-J329,0)</f>
        <v/>
      </c>
      <c r="L329" s="1">
        <f>IFERROR(I329*E329,0)</f>
        <v/>
      </c>
      <c r="M329" s="1">
        <f>IFERROR(K329*E329,0)</f>
        <v/>
      </c>
    </row>
    <row r="330">
      <c r="A330" t="inlineStr">
        <is>
          <t>Delivery</t>
        </is>
      </c>
      <c r="B330" t="inlineStr">
        <is>
          <t>- Delivery</t>
        </is>
      </c>
      <c r="C330" t="inlineStr">
        <is>
          <t>D3 Express (PTY) Ltd</t>
        </is>
      </c>
      <c r="D330" t="inlineStr">
        <is>
          <t>Uncategorized</t>
        </is>
      </c>
      <c r="E330" s="1" t="n">
        <v>0</v>
      </c>
      <c r="F330" t="n">
        <v>1</v>
      </c>
      <c r="G330" t="n">
        <v>0</v>
      </c>
      <c r="H330" t="n">
        <v>4</v>
      </c>
      <c r="I330" t="n">
        <v>0</v>
      </c>
      <c r="J330" t="n">
        <v>0</v>
      </c>
      <c r="K330">
        <f>IF(H330-I330-J330&gt;0,H330-I330-J330,0)</f>
        <v/>
      </c>
      <c r="L330" s="1">
        <f>IFERROR(I330*E330,0)</f>
        <v/>
      </c>
      <c r="M330" s="1">
        <f>IFERROR(K330*E330,0)</f>
        <v/>
      </c>
    </row>
    <row r="331">
      <c r="A331" t="inlineStr">
        <is>
          <t>Duct</t>
        </is>
      </c>
      <c r="B331" t="inlineStr">
        <is>
          <t>10 Meter Spiral Flexible Ducting</t>
        </is>
      </c>
      <c r="C331" t="inlineStr">
        <is>
          <t>AF Fans CC</t>
        </is>
      </c>
      <c r="D331" t="inlineStr">
        <is>
          <t>Uncategorized</t>
        </is>
      </c>
      <c r="E331" s="1" t="n">
        <v>169.4</v>
      </c>
      <c r="F331" t="n">
        <v>1</v>
      </c>
      <c r="G331" t="n">
        <v>0</v>
      </c>
      <c r="H331" t="n">
        <v>2</v>
      </c>
      <c r="I331" t="n">
        <v>0</v>
      </c>
      <c r="J331" t="n">
        <v>0</v>
      </c>
      <c r="K331">
        <f>IF(H331-I331-J331&gt;0,H331-I331-J331,0)</f>
        <v/>
      </c>
      <c r="L331" s="1">
        <f>IFERROR(I331*E331,0)</f>
        <v/>
      </c>
      <c r="M331" s="1">
        <f>IFERROR(K331*E331,0)</f>
        <v/>
      </c>
    </row>
    <row r="332">
      <c r="A332" t="inlineStr">
        <is>
          <t>E)</t>
        </is>
      </c>
      <c r="B332" t="inlineStr">
        <is>
          <t>Brackets - sets motor mounting brackets (threaded rod)</t>
        </is>
      </c>
      <c r="C332" t="inlineStr">
        <is>
          <t>CFW Fans (Pty) Ltd</t>
        </is>
      </c>
      <c r="D332" t="inlineStr">
        <is>
          <t>Uncategorized</t>
        </is>
      </c>
      <c r="E332" s="1" t="n">
        <v>172</v>
      </c>
      <c r="F332" t="n">
        <v>2</v>
      </c>
      <c r="G332" t="n">
        <v>0</v>
      </c>
      <c r="H332" t="n">
        <v>8</v>
      </c>
      <c r="I332" t="n">
        <v>0</v>
      </c>
      <c r="J332" t="n">
        <v>0</v>
      </c>
      <c r="K332">
        <f>IF(H332-I332-J332&gt;0,H332-I332-J332,0)</f>
        <v/>
      </c>
      <c r="L332" s="1">
        <f>IFERROR(I332*E332,0)</f>
        <v/>
      </c>
      <c r="M332" s="1">
        <f>IFERROR(K332*E332,0)</f>
        <v/>
      </c>
    </row>
    <row r="333">
      <c r="A333" t="inlineStr">
        <is>
          <t>E01-FAN1</t>
        </is>
      </c>
      <c r="B333" t="inlineStr">
        <is>
          <t>Torrette TR-A 450 T4 2.2KW ATEX ZONE 1 - Explosion Proof Roof Top Exhaust Fan</t>
        </is>
      </c>
      <c r="C333" t="inlineStr"/>
      <c r="D333" t="inlineStr">
        <is>
          <t>Uncategorized</t>
        </is>
      </c>
      <c r="E333" s="1" t="n">
        <v>0</v>
      </c>
      <c r="F333" t="n">
        <v>1</v>
      </c>
      <c r="G333" t="n">
        <v>0</v>
      </c>
      <c r="H333" t="n">
        <v>5</v>
      </c>
      <c r="I333" t="n">
        <v>0</v>
      </c>
      <c r="J333" t="n">
        <v>0</v>
      </c>
      <c r="K333">
        <f>IF(H333-I333-J333&gt;0,H333-I333-J333,0)</f>
        <v/>
      </c>
      <c r="L333" s="1">
        <f>IFERROR(I333*E333,0)</f>
        <v/>
      </c>
      <c r="M333" s="1">
        <f>IFERROR(K333*E333,0)</f>
        <v/>
      </c>
    </row>
    <row r="334">
      <c r="A334" t="inlineStr">
        <is>
          <t>E01-FAN2</t>
        </is>
      </c>
      <c r="B334" t="inlineStr">
        <is>
          <t>TORRETTE TR-A 355 T4 0.55KW ATEX Zone 1 - Explosion Proof Roof Top Exhaust Fan</t>
        </is>
      </c>
      <c r="C334" t="inlineStr"/>
      <c r="D334" t="inlineStr">
        <is>
          <t>Uncategorized</t>
        </is>
      </c>
      <c r="E334" s="1" t="n">
        <v>0</v>
      </c>
      <c r="F334" t="n">
        <v>1</v>
      </c>
      <c r="G334" t="n">
        <v>0</v>
      </c>
      <c r="H334" t="n">
        <v>5</v>
      </c>
      <c r="I334" t="n">
        <v>0</v>
      </c>
      <c r="J334" t="n">
        <v>0</v>
      </c>
      <c r="K334">
        <f>IF(H334-I334-J334&gt;0,H334-I334-J334,0)</f>
        <v/>
      </c>
      <c r="L334" s="1">
        <f>IFERROR(I334*E334,0)</f>
        <v/>
      </c>
      <c r="M334" s="1">
        <f>IFERROR(K334*E334,0)</f>
        <v/>
      </c>
    </row>
    <row r="335">
      <c r="A335" t="inlineStr">
        <is>
          <t>E01-FAN3</t>
        </is>
      </c>
      <c r="B335" t="inlineStr">
        <is>
          <t>ENKEL QBK 190 EC - Cassette Type Exhaust Fan</t>
        </is>
      </c>
      <c r="C335" t="inlineStr"/>
      <c r="D335" t="inlineStr">
        <is>
          <t>Uncategorized</t>
        </is>
      </c>
      <c r="E335" s="1" t="n">
        <v>0</v>
      </c>
      <c r="F335" t="n">
        <v>1</v>
      </c>
      <c r="G335" t="n">
        <v>0</v>
      </c>
      <c r="H335" t="n">
        <v>2</v>
      </c>
      <c r="I335" t="n">
        <v>0</v>
      </c>
      <c r="J335" t="n">
        <v>0</v>
      </c>
      <c r="K335">
        <f>IF(H335-I335-J335&gt;0,H335-I335-J335,0)</f>
        <v/>
      </c>
      <c r="L335" s="1">
        <f>IFERROR(I335*E335,0)</f>
        <v/>
      </c>
      <c r="M335" s="1">
        <f>IFERROR(K335*E335,0)</f>
        <v/>
      </c>
    </row>
    <row r="336">
      <c r="A336" t="inlineStr">
        <is>
          <t>E01-FAN4</t>
        </is>
      </c>
      <c r="B336" t="inlineStr">
        <is>
          <t>CA 150 MD E RF - Roof Top Exhaust Fan</t>
        </is>
      </c>
      <c r="C336" t="inlineStr"/>
      <c r="D336" t="inlineStr">
        <is>
          <t>Uncategorized</t>
        </is>
      </c>
      <c r="E336" s="1" t="n">
        <v>0</v>
      </c>
      <c r="F336" t="n">
        <v>1</v>
      </c>
      <c r="G336" t="n">
        <v>0</v>
      </c>
      <c r="H336" t="n">
        <v>5</v>
      </c>
      <c r="I336" t="n">
        <v>0</v>
      </c>
      <c r="J336" t="n">
        <v>0</v>
      </c>
      <c r="K336">
        <f>IF(H336-I336-J336&gt;0,H336-I336-J336,0)</f>
        <v/>
      </c>
      <c r="L336" s="1">
        <f>IFERROR(I336*E336,0)</f>
        <v/>
      </c>
      <c r="M336" s="1">
        <f>IFERROR(K336*E336,0)</f>
        <v/>
      </c>
    </row>
    <row r="337">
      <c r="A337" t="inlineStr">
        <is>
          <t>E01-FAN5</t>
        </is>
      </c>
      <c r="B337" t="inlineStr">
        <is>
          <t>A-E 354 T - Wall Mounted Exhaust Fan</t>
        </is>
      </c>
      <c r="C337" t="inlineStr"/>
      <c r="D337" t="inlineStr">
        <is>
          <t>Uncategorized</t>
        </is>
      </c>
      <c r="E337" s="1" t="n">
        <v>0</v>
      </c>
      <c r="F337" t="n">
        <v>1</v>
      </c>
      <c r="G337" t="n">
        <v>0</v>
      </c>
      <c r="H337" t="n">
        <v>2</v>
      </c>
      <c r="I337" t="n">
        <v>0</v>
      </c>
      <c r="J337" t="n">
        <v>0</v>
      </c>
      <c r="K337">
        <f>IF(H337-I337-J337&gt;0,H337-I337-J337,0)</f>
        <v/>
      </c>
      <c r="L337" s="1">
        <f>IFERROR(I337*E337,0)</f>
        <v/>
      </c>
      <c r="M337" s="1">
        <f>IFERROR(K337*E337,0)</f>
        <v/>
      </c>
    </row>
    <row r="338">
      <c r="A338" t="inlineStr">
        <is>
          <t>E01-FAN6</t>
        </is>
      </c>
      <c r="B338" t="inlineStr">
        <is>
          <t>A-E 304 T - Wall Mounted Exhaust Fan</t>
        </is>
      </c>
      <c r="C338" t="inlineStr"/>
      <c r="D338" t="inlineStr">
        <is>
          <t>Uncategorized</t>
        </is>
      </c>
      <c r="E338" s="1" t="n">
        <v>0</v>
      </c>
      <c r="F338" t="n">
        <v>1</v>
      </c>
      <c r="G338" t="n">
        <v>0</v>
      </c>
      <c r="H338" t="n">
        <v>2</v>
      </c>
      <c r="I338" t="n">
        <v>0</v>
      </c>
      <c r="J338" t="n">
        <v>0</v>
      </c>
      <c r="K338">
        <f>IF(H338-I338-J338&gt;0,H338-I338-J338,0)</f>
        <v/>
      </c>
      <c r="L338" s="1">
        <f>IFERROR(I338*E338,0)</f>
        <v/>
      </c>
      <c r="M338" s="1">
        <f>IFERROR(K338*E338,0)</f>
        <v/>
      </c>
    </row>
    <row r="339">
      <c r="A339" t="inlineStr">
        <is>
          <t>E1006999</t>
        </is>
      </c>
      <c r="B339" t="inlineStr">
        <is>
          <t>BD-140 / INOX 316 - Inlet Transition</t>
        </is>
      </c>
      <c r="C339" t="inlineStr">
        <is>
          <t>SODECA</t>
        </is>
      </c>
      <c r="D339" t="inlineStr">
        <is>
          <t>Uncategorized</t>
        </is>
      </c>
      <c r="E339" s="1" t="n">
        <v>793.0700000000001</v>
      </c>
      <c r="F339" t="n">
        <v>4</v>
      </c>
      <c r="G339" t="n">
        <v>0</v>
      </c>
      <c r="H339" t="n">
        <v>8</v>
      </c>
      <c r="I339" t="n">
        <v>0</v>
      </c>
      <c r="J339" t="n">
        <v>0</v>
      </c>
      <c r="K339">
        <f>IF(H339-I339-J339&gt;0,H339-I339-J339,0)</f>
        <v/>
      </c>
      <c r="L339" s="1">
        <f>IFERROR(I339*E339,0)</f>
        <v/>
      </c>
      <c r="M339" s="1">
        <f>IFERROR(K339*E339,0)</f>
        <v/>
      </c>
    </row>
    <row r="340">
      <c r="A340" t="inlineStr">
        <is>
          <t>E1012489</t>
        </is>
      </c>
      <c r="B340" t="inlineStr">
        <is>
          <t>CMP-514-2T UL/CSA 480V. 60Hz</t>
        </is>
      </c>
      <c r="C340" t="inlineStr">
        <is>
          <t>SODECA</t>
        </is>
      </c>
      <c r="D340" t="inlineStr">
        <is>
          <t>Uncategorized</t>
        </is>
      </c>
      <c r="E340" s="1" t="n">
        <v>14037.31</v>
      </c>
      <c r="F340" t="n">
        <v>4</v>
      </c>
      <c r="G340" t="n">
        <v>0</v>
      </c>
      <c r="H340" t="n">
        <v>8</v>
      </c>
      <c r="I340" t="n">
        <v>0</v>
      </c>
      <c r="J340" t="n">
        <v>0</v>
      </c>
      <c r="K340">
        <f>IF(H340-I340-J340&gt;0,H340-I340-J340,0)</f>
        <v/>
      </c>
      <c r="L340" s="1">
        <f>IFERROR(I340*E340,0)</f>
        <v/>
      </c>
      <c r="M340" s="1">
        <f>IFERROR(K340*E340,0)</f>
        <v/>
      </c>
    </row>
    <row r="341">
      <c r="A341" t="inlineStr">
        <is>
          <t>E1350433</t>
        </is>
      </c>
      <c r="B341" t="inlineStr">
        <is>
          <t>HCT/EC-45-2T-2 400V. 50/60Hz. IE5</t>
        </is>
      </c>
      <c r="C341" t="inlineStr">
        <is>
          <t>SODECA</t>
        </is>
      </c>
      <c r="D341" t="inlineStr">
        <is>
          <t>Uncategorized</t>
        </is>
      </c>
      <c r="E341" s="1" t="n">
        <v>20527.39</v>
      </c>
      <c r="F341" t="n">
        <v>1</v>
      </c>
      <c r="G341" t="n">
        <v>0</v>
      </c>
      <c r="H341" t="n">
        <v>3</v>
      </c>
      <c r="I341" t="n">
        <v>0</v>
      </c>
      <c r="J341" t="n">
        <v>0</v>
      </c>
      <c r="K341">
        <f>IF(H341-I341-J341&gt;0,H341-I341-J341,0)</f>
        <v/>
      </c>
      <c r="L341" s="1">
        <f>IFERROR(I341*E341,0)</f>
        <v/>
      </c>
      <c r="M341" s="1">
        <f>IFERROR(K341*E341,0)</f>
        <v/>
      </c>
    </row>
    <row r="342">
      <c r="A342" t="inlineStr">
        <is>
          <t>EAF 06.</t>
        </is>
      </c>
      <c r="B342" t="inlineStr">
        <is>
          <t>3040 l/s @ 300Pa (Set 710 Blades to 20 Degree)</t>
        </is>
      </c>
      <c r="C342" t="inlineStr"/>
      <c r="D342" t="inlineStr">
        <is>
          <t>Uncategorized</t>
        </is>
      </c>
      <c r="E342" s="1" t="n">
        <v>0</v>
      </c>
      <c r="F342" t="n">
        <v>1</v>
      </c>
      <c r="G342" t="n">
        <v>0</v>
      </c>
      <c r="H342" t="n">
        <v>2</v>
      </c>
      <c r="I342" t="n">
        <v>0</v>
      </c>
      <c r="J342" t="n">
        <v>0</v>
      </c>
      <c r="K342">
        <f>IF(H342-I342-J342&gt;0,H342-I342-J342,0)</f>
        <v/>
      </c>
      <c r="L342" s="1">
        <f>IFERROR(I342*E342,0)</f>
        <v/>
      </c>
      <c r="M342" s="1">
        <f>IFERROR(K342*E342,0)</f>
        <v/>
      </c>
    </row>
    <row r="343">
      <c r="A343" t="inlineStr">
        <is>
          <t>ECO100220</t>
        </is>
      </c>
      <c r="B343" t="inlineStr">
        <is>
          <t>Bubble Wrap - 1250mm x 100mm</t>
        </is>
      </c>
      <c r="C343" t="inlineStr">
        <is>
          <t>Econopak CC</t>
        </is>
      </c>
      <c r="D343" t="inlineStr">
        <is>
          <t>Uncategorized</t>
        </is>
      </c>
      <c r="E343" s="1" t="n">
        <v>291.06</v>
      </c>
      <c r="F343" t="n">
        <v>2</v>
      </c>
      <c r="G343" t="n">
        <v>0</v>
      </c>
      <c r="H343" t="n">
        <v>10</v>
      </c>
      <c r="I343" t="n">
        <v>0</v>
      </c>
      <c r="J343" t="n">
        <v>0</v>
      </c>
      <c r="K343">
        <f>IF(H343-I343-J343&gt;0,H343-I343-J343,0)</f>
        <v/>
      </c>
      <c r="L343" s="1">
        <f>IFERROR(I343*E343,0)</f>
        <v/>
      </c>
      <c r="M343" s="1">
        <f>IFERROR(K343*E343,0)</f>
        <v/>
      </c>
    </row>
    <row r="344">
      <c r="A344" t="inlineStr">
        <is>
          <t>EG/01</t>
        </is>
      </c>
      <c r="B344" t="inlineStr">
        <is>
          <t>Disc Valve</t>
        </is>
      </c>
      <c r="C344" t="inlineStr"/>
      <c r="D344" t="inlineStr">
        <is>
          <t>Uncategorized</t>
        </is>
      </c>
      <c r="E344" s="1" t="n">
        <v>0</v>
      </c>
      <c r="F344" t="n">
        <v>20</v>
      </c>
      <c r="G344" t="n">
        <v>0</v>
      </c>
      <c r="H344" t="n">
        <v>100</v>
      </c>
      <c r="I344" t="n">
        <v>0</v>
      </c>
      <c r="J344" t="n">
        <v>0</v>
      </c>
      <c r="K344">
        <f>IF(H344-I344-J344&gt;0,H344-I344-J344,0)</f>
        <v/>
      </c>
      <c r="L344" s="1">
        <f>IFERROR(I344*E344,0)</f>
        <v/>
      </c>
      <c r="M344" s="1">
        <f>IFERROR(K344*E344,0)</f>
        <v/>
      </c>
    </row>
    <row r="345">
      <c r="A345" t="inlineStr">
        <is>
          <t>EG/02</t>
        </is>
      </c>
      <c r="B345" t="inlineStr">
        <is>
          <t>4 way Ceiling Diffuser</t>
        </is>
      </c>
      <c r="C345" t="inlineStr"/>
      <c r="D345" t="inlineStr">
        <is>
          <t>Uncategorized</t>
        </is>
      </c>
      <c r="E345" s="1" t="n">
        <v>0</v>
      </c>
      <c r="F345" t="n">
        <v>1</v>
      </c>
      <c r="G345" t="n">
        <v>0</v>
      </c>
      <c r="H345" t="n">
        <v>2</v>
      </c>
      <c r="I345" t="n">
        <v>0</v>
      </c>
      <c r="J345" t="n">
        <v>0</v>
      </c>
      <c r="K345">
        <f>IF(H345-I345-J345&gt;0,H345-I345-J345,0)</f>
        <v/>
      </c>
      <c r="L345" s="1">
        <f>IFERROR(I345*E345,0)</f>
        <v/>
      </c>
      <c r="M345" s="1">
        <f>IFERROR(K345*E345,0)</f>
        <v/>
      </c>
    </row>
    <row r="346">
      <c r="A346" t="inlineStr">
        <is>
          <t>EML2303033</t>
        </is>
      </c>
      <c r="B346" t="inlineStr">
        <is>
          <t>5.5kw 4P 400V/690V B3T 132S IE1 Motor</t>
        </is>
      </c>
      <c r="C346" t="inlineStr">
        <is>
          <t>WEG South Africa</t>
        </is>
      </c>
      <c r="D346" t="inlineStr">
        <is>
          <t>Uncategorized</t>
        </is>
      </c>
      <c r="E346" s="1" t="n">
        <v>4555.65</v>
      </c>
      <c r="F346" t="n">
        <v>1</v>
      </c>
      <c r="G346" t="n">
        <v>0</v>
      </c>
      <c r="H346" t="n">
        <v>3</v>
      </c>
      <c r="I346" t="n">
        <v>0</v>
      </c>
      <c r="J346" t="n">
        <v>0</v>
      </c>
      <c r="K346">
        <f>IF(H346-I346-J346&gt;0,H346-I346-J346,0)</f>
        <v/>
      </c>
      <c r="L346" s="1">
        <f>IFERROR(I346*E346,0)</f>
        <v/>
      </c>
      <c r="M346" s="1">
        <f>IFERROR(K346*E346,0)</f>
        <v/>
      </c>
    </row>
    <row r="347">
      <c r="A347" t="inlineStr">
        <is>
          <t>EUA1152MM</t>
        </is>
      </c>
      <c r="B347" t="inlineStr">
        <is>
          <t>Eurotherm A1 152mm - 10M</t>
        </is>
      </c>
      <c r="C347" t="inlineStr">
        <is>
          <t>HVAC DISTRIBUTORS (PTY) LTD</t>
        </is>
      </c>
      <c r="D347" t="inlineStr">
        <is>
          <t>Uncategorized</t>
        </is>
      </c>
      <c r="E347" s="1" t="n">
        <v>305</v>
      </c>
      <c r="F347" t="n">
        <v>12</v>
      </c>
      <c r="G347" t="n">
        <v>0</v>
      </c>
      <c r="H347" t="n">
        <v>60</v>
      </c>
      <c r="I347" t="n">
        <v>0</v>
      </c>
      <c r="J347" t="n">
        <v>0</v>
      </c>
      <c r="K347">
        <f>IF(H347-I347-J347&gt;0,H347-I347-J347,0)</f>
        <v/>
      </c>
      <c r="L347" s="1">
        <f>IFERROR(I347*E347,0)</f>
        <v/>
      </c>
      <c r="M347" s="1">
        <f>IFERROR(K347*E347,0)</f>
        <v/>
      </c>
    </row>
    <row r="348">
      <c r="A348" t="inlineStr">
        <is>
          <t>EVC-JH168</t>
        </is>
      </c>
      <c r="B348" t="inlineStr">
        <is>
          <t>Evaporative Air Cooler: 220V, 380W, 3 Speed, 8000m3/hr, 80Pa</t>
        </is>
      </c>
      <c r="C348" t="inlineStr">
        <is>
          <t>AF Fans CC</t>
        </is>
      </c>
      <c r="D348" t="inlineStr">
        <is>
          <t>Uncategorized</t>
        </is>
      </c>
      <c r="E348" s="1" t="n">
        <v>9480</v>
      </c>
      <c r="F348" t="n">
        <v>2</v>
      </c>
      <c r="G348" t="n">
        <v>0</v>
      </c>
      <c r="H348" t="n">
        <v>10</v>
      </c>
      <c r="I348" t="n">
        <v>0</v>
      </c>
      <c r="J348" t="n">
        <v>0</v>
      </c>
      <c r="K348">
        <f>IF(H348-I348-J348&gt;0,H348-I348-J348,0)</f>
        <v/>
      </c>
      <c r="L348" s="1">
        <f>IFERROR(I348*E348,0)</f>
        <v/>
      </c>
      <c r="M348" s="1">
        <f>IFERROR(K348*E348,0)</f>
        <v/>
      </c>
    </row>
    <row r="349">
      <c r="A349" t="inlineStr">
        <is>
          <t>EVM100</t>
        </is>
      </c>
      <c r="B349" t="inlineStr">
        <is>
          <t>100MM METAL EXTRACT VALVE</t>
        </is>
      </c>
      <c r="C349" t="inlineStr">
        <is>
          <t>Advantage Air Africa Pty Ltd</t>
        </is>
      </c>
      <c r="D349" t="inlineStr">
        <is>
          <t>Uncategorized</t>
        </is>
      </c>
      <c r="E349" s="1" t="n">
        <v>75.59999999999999</v>
      </c>
      <c r="F349" t="n">
        <v>29</v>
      </c>
      <c r="G349" t="n">
        <v>0</v>
      </c>
      <c r="H349" t="n">
        <v>65</v>
      </c>
      <c r="I349" t="n">
        <v>0</v>
      </c>
      <c r="J349" t="n">
        <v>0</v>
      </c>
      <c r="K349">
        <f>IF(H349-I349-J349&gt;0,H349-I349-J349,0)</f>
        <v/>
      </c>
      <c r="L349" s="1">
        <f>IFERROR(I349*E349,0)</f>
        <v/>
      </c>
      <c r="M349" s="1">
        <f>IFERROR(K349*E349,0)</f>
        <v/>
      </c>
    </row>
    <row r="350">
      <c r="A350" t="inlineStr">
        <is>
          <t>Evaporative Air Cooler</t>
        </is>
      </c>
      <c r="B350" t="inlineStr">
        <is>
          <t>380W, 230V, 800m3/hr, 75lt - 3 Speed</t>
        </is>
      </c>
      <c r="C350" t="inlineStr"/>
      <c r="D350" t="inlineStr">
        <is>
          <t>Uncategorized</t>
        </is>
      </c>
      <c r="E350" s="1" t="n">
        <v>0</v>
      </c>
      <c r="F350" t="n">
        <v>2</v>
      </c>
      <c r="G350" t="n">
        <v>0</v>
      </c>
      <c r="H350" t="n">
        <v>10</v>
      </c>
      <c r="I350" t="n">
        <v>0</v>
      </c>
      <c r="J350" t="n">
        <v>0</v>
      </c>
      <c r="K350">
        <f>IF(H350-I350-J350&gt;0,H350-I350-J350,0)</f>
        <v/>
      </c>
      <c r="L350" s="1">
        <f>IFERROR(I350*E350,0)</f>
        <v/>
      </c>
      <c r="M350" s="1">
        <f>IFERROR(K350*E350,0)</f>
        <v/>
      </c>
    </row>
    <row r="351">
      <c r="A351" t="inlineStr">
        <is>
          <t>F)</t>
        </is>
      </c>
      <c r="B351" t="inlineStr">
        <is>
          <t>Brackets - set motor mounting bracket (threaded rod)</t>
        </is>
      </c>
      <c r="C351" t="inlineStr">
        <is>
          <t>CFW Fans (Pty) Ltd</t>
        </is>
      </c>
      <c r="D351" t="inlineStr">
        <is>
          <t>Uncategorized</t>
        </is>
      </c>
      <c r="E351" s="1" t="n">
        <v>172</v>
      </c>
      <c r="F351" t="n">
        <v>1</v>
      </c>
      <c r="G351" t="n">
        <v>0</v>
      </c>
      <c r="H351" t="n">
        <v>3</v>
      </c>
      <c r="I351" t="n">
        <v>0</v>
      </c>
      <c r="J351" t="n">
        <v>0</v>
      </c>
      <c r="K351">
        <f>IF(H351-I351-J351&gt;0,H351-I351-J351,0)</f>
        <v/>
      </c>
      <c r="L351" s="1">
        <f>IFERROR(I351*E351,0)</f>
        <v/>
      </c>
      <c r="M351" s="1">
        <f>IFERROR(K351*E351,0)</f>
        <v/>
      </c>
    </row>
    <row r="352">
      <c r="A352" t="inlineStr">
        <is>
          <t>FAN QCP</t>
        </is>
      </c>
      <c r="B352" t="inlineStr">
        <is>
          <t>Data Book</t>
        </is>
      </c>
      <c r="C352" t="inlineStr"/>
      <c r="D352" t="inlineStr">
        <is>
          <t>Uncategorized</t>
        </is>
      </c>
      <c r="E352" s="1" t="n">
        <v>0</v>
      </c>
      <c r="F352" t="n">
        <v>1</v>
      </c>
      <c r="G352" t="n">
        <v>0</v>
      </c>
      <c r="H352" t="n">
        <v>2</v>
      </c>
      <c r="I352" t="n">
        <v>0</v>
      </c>
      <c r="J352" t="n">
        <v>0</v>
      </c>
      <c r="K352">
        <f>IF(H352-I352-J352&gt;0,H352-I352-J352,0)</f>
        <v/>
      </c>
      <c r="L352" s="1">
        <f>IFERROR(I352*E352,0)</f>
        <v/>
      </c>
      <c r="M352" s="1">
        <f>IFERROR(K352*E352,0)</f>
        <v/>
      </c>
    </row>
    <row r="353">
      <c r="A353" t="inlineStr">
        <is>
          <t>FB</t>
        </is>
      </c>
      <c r="B353" t="inlineStr">
        <is>
          <t>Filter box, wall sleeve and flashing</t>
        </is>
      </c>
      <c r="C353" t="inlineStr">
        <is>
          <t>Intervent-Universal (Pty) Ltd</t>
        </is>
      </c>
      <c r="D353" t="inlineStr">
        <is>
          <t>Uncategorized</t>
        </is>
      </c>
      <c r="E353" s="1" t="n">
        <v>785</v>
      </c>
      <c r="F353" t="n">
        <v>3</v>
      </c>
      <c r="G353" t="n">
        <v>0</v>
      </c>
      <c r="H353" t="n">
        <v>9</v>
      </c>
      <c r="I353" t="n">
        <v>0</v>
      </c>
      <c r="J353" t="n">
        <v>0</v>
      </c>
      <c r="K353">
        <f>IF(H353-I353-J353&gt;0,H353-I353-J353,0)</f>
        <v/>
      </c>
      <c r="L353" s="1">
        <f>IFERROR(I353*E353,0)</f>
        <v/>
      </c>
      <c r="M353" s="1">
        <f>IFERROR(K353*E353,0)</f>
        <v/>
      </c>
    </row>
    <row r="354">
      <c r="A354" t="inlineStr">
        <is>
          <t>FBar-50x8mm-6M</t>
        </is>
      </c>
      <c r="B354" t="inlineStr">
        <is>
          <t>Flat Bar CQ 50x8mm 6M</t>
        </is>
      </c>
      <c r="C354" t="inlineStr">
        <is>
          <t>NJR STEEL - ALRODE (PTY) LTD</t>
        </is>
      </c>
      <c r="D354" t="inlineStr">
        <is>
          <t>Uncategorized</t>
        </is>
      </c>
      <c r="E354" s="1" t="n">
        <v>276.43</v>
      </c>
      <c r="F354" t="n">
        <v>1</v>
      </c>
      <c r="G354" t="n">
        <v>0</v>
      </c>
      <c r="H354" t="n">
        <v>5</v>
      </c>
      <c r="I354" t="n">
        <v>0</v>
      </c>
      <c r="J354" t="n">
        <v>0</v>
      </c>
      <c r="K354">
        <f>IF(H354-I354-J354&gt;0,H354-I354-J354,0)</f>
        <v/>
      </c>
      <c r="L354" s="1">
        <f>IFERROR(I354*E354,0)</f>
        <v/>
      </c>
      <c r="M354" s="1">
        <f>IFERROR(K354*E354,0)</f>
        <v/>
      </c>
    </row>
    <row r="355">
      <c r="A355" t="inlineStr">
        <is>
          <t>FILTERSS</t>
        </is>
      </c>
      <c r="B355" t="inlineStr">
        <is>
          <t>RIGID POC FILTERS</t>
        </is>
      </c>
      <c r="C355" t="inlineStr"/>
      <c r="D355" t="inlineStr">
        <is>
          <t>Uncategorized</t>
        </is>
      </c>
      <c r="E355" s="1" t="n">
        <v>0</v>
      </c>
      <c r="F355" t="n">
        <v>1</v>
      </c>
      <c r="G355" t="n">
        <v>0</v>
      </c>
      <c r="H355" t="n">
        <v>2</v>
      </c>
      <c r="I355" t="n">
        <v>0</v>
      </c>
      <c r="J355" t="n">
        <v>0</v>
      </c>
      <c r="K355">
        <f>IF(H355-I355-J355&gt;0,H355-I355-J355,0)</f>
        <v/>
      </c>
      <c r="L355" s="1">
        <f>IFERROR(I355*E355,0)</f>
        <v/>
      </c>
      <c r="M355" s="1">
        <f>IFERROR(K355*E355,0)</f>
        <v/>
      </c>
    </row>
    <row r="356">
      <c r="A356" t="inlineStr">
        <is>
          <t>FLAT WASHER</t>
        </is>
      </c>
      <c r="B356" t="inlineStr">
        <is>
          <t>M6 ZB - M6 (6.4 X12X1.6) FLAT WASHER DIN 125A ZINC BLUE</t>
        </is>
      </c>
      <c r="C356" t="inlineStr">
        <is>
          <t>M&amp;D SPECIALISED FASTENERS (PTY) LTD</t>
        </is>
      </c>
      <c r="D356" t="inlineStr">
        <is>
          <t>Uncategorized</t>
        </is>
      </c>
      <c r="E356" s="1" t="n">
        <v>0</v>
      </c>
      <c r="F356" t="n">
        <v>136</v>
      </c>
      <c r="G356" t="n">
        <v>0</v>
      </c>
      <c r="H356" t="n">
        <v>679</v>
      </c>
      <c r="I356" t="n">
        <v>0</v>
      </c>
      <c r="J356" t="n">
        <v>0</v>
      </c>
      <c r="K356">
        <f>IF(H356-I356-J356&gt;0,H356-I356-J356,0)</f>
        <v/>
      </c>
      <c r="L356" s="1">
        <f>IFERROR(I356*E356,0)</f>
        <v/>
      </c>
      <c r="M356" s="1">
        <f>IFERROR(K356*E356,0)</f>
        <v/>
      </c>
    </row>
    <row r="357">
      <c r="A357" t="inlineStr">
        <is>
          <t>FM</t>
        </is>
      </c>
      <c r="B357" t="inlineStr">
        <is>
          <t>004 - 2940 rpm SANS 60079-15</t>
        </is>
      </c>
      <c r="C357" t="inlineStr">
        <is>
          <t>Rhenus Logistics (Pty) Ltd</t>
        </is>
      </c>
      <c r="D357" t="inlineStr">
        <is>
          <t>Uncategorized</t>
        </is>
      </c>
      <c r="E357" s="1" t="n">
        <v>0</v>
      </c>
      <c r="F357" t="n">
        <v>5</v>
      </c>
      <c r="G357" t="n">
        <v>0</v>
      </c>
      <c r="H357" t="n">
        <v>15</v>
      </c>
      <c r="I357" t="n">
        <v>0</v>
      </c>
      <c r="J357" t="n">
        <v>0</v>
      </c>
      <c r="K357">
        <f>IF(H357-I357-J357&gt;0,H357-I357-J357,0)</f>
        <v/>
      </c>
      <c r="L357" s="1">
        <f>IFERROR(I357*E357,0)</f>
        <v/>
      </c>
      <c r="M357" s="1">
        <f>IFERROR(K357*E357,0)</f>
        <v/>
      </c>
    </row>
    <row r="358">
      <c r="A358" t="inlineStr">
        <is>
          <t>FM- 003</t>
        </is>
      </c>
      <c r="B358" t="inlineStr">
        <is>
          <t>7.5kW Stator Rewind to 525V</t>
        </is>
      </c>
      <c r="C358" t="inlineStr">
        <is>
          <t>Luck and King</t>
        </is>
      </c>
      <c r="D358" t="inlineStr">
        <is>
          <t>Uncategorized</t>
        </is>
      </c>
      <c r="E358" s="1" t="n">
        <v>5122.46</v>
      </c>
      <c r="F358" t="n">
        <v>3</v>
      </c>
      <c r="G358" t="n">
        <v>0</v>
      </c>
      <c r="H358" t="n">
        <v>7</v>
      </c>
      <c r="I358" t="n">
        <v>0</v>
      </c>
      <c r="J358" t="n">
        <v>0</v>
      </c>
      <c r="K358">
        <f>IF(H358-I358-J358&gt;0,H358-I358-J358,0)</f>
        <v/>
      </c>
      <c r="L358" s="1">
        <f>IFERROR(I358*E358,0)</f>
        <v/>
      </c>
      <c r="M358" s="1">
        <f>IFERROR(K358*E358,0)</f>
        <v/>
      </c>
    </row>
    <row r="359">
      <c r="A359" t="inlineStr">
        <is>
          <t>FR500A-4T-4.0G/5.5P-H</t>
        </is>
      </c>
      <c r="B359" t="inlineStr">
        <is>
          <t>4.0KW 380V 9.5A</t>
        </is>
      </c>
      <c r="C359" t="inlineStr">
        <is>
          <t>Drive Dynamics (Pty) Ltd</t>
        </is>
      </c>
      <c r="D359" t="inlineStr">
        <is>
          <t>Uncategorized</t>
        </is>
      </c>
      <c r="E359" s="1" t="n">
        <v>4900</v>
      </c>
      <c r="F359" t="n">
        <v>1</v>
      </c>
      <c r="G359" t="n">
        <v>0</v>
      </c>
      <c r="H359" t="n">
        <v>2</v>
      </c>
      <c r="I359" t="n">
        <v>0</v>
      </c>
      <c r="J359" t="n">
        <v>0</v>
      </c>
      <c r="K359">
        <f>IF(H359-I359-J359&gt;0,H359-I359-J359,0)</f>
        <v/>
      </c>
      <c r="L359" s="1">
        <f>IFERROR(I359*E359,0)</f>
        <v/>
      </c>
      <c r="M359" s="1">
        <f>IFERROR(K359*E359,0)</f>
        <v/>
      </c>
    </row>
    <row r="360">
      <c r="A360" t="inlineStr">
        <is>
          <t>FRK-25</t>
        </is>
      </c>
      <c r="B360" t="inlineStr">
        <is>
          <t>DUCT WRAP 10m X 1200 X 25 X 23 FRK (silver)</t>
        </is>
      </c>
      <c r="C360" t="inlineStr">
        <is>
          <t>Advantage Air Africa Pty Ltd</t>
        </is>
      </c>
      <c r="D360" t="inlineStr">
        <is>
          <t>Uncategorized</t>
        </is>
      </c>
      <c r="E360" s="1" t="n">
        <v>645</v>
      </c>
      <c r="F360" t="n">
        <v>2</v>
      </c>
      <c r="G360" t="n">
        <v>0</v>
      </c>
      <c r="H360" t="n">
        <v>8</v>
      </c>
      <c r="I360" t="n">
        <v>0</v>
      </c>
      <c r="J360" t="n">
        <v>0</v>
      </c>
      <c r="K360">
        <f>IF(H360-I360-J360&gt;0,H360-I360-J360,0)</f>
        <v/>
      </c>
      <c r="L360" s="1">
        <f>IFERROR(I360*E360,0)</f>
        <v/>
      </c>
      <c r="M360" s="1">
        <f>IFERROR(K360*E360,0)</f>
        <v/>
      </c>
    </row>
    <row r="361">
      <c r="A361" t="inlineStr">
        <is>
          <t>FS C.25A</t>
        </is>
      </c>
      <c r="B361" t="inlineStr">
        <is>
          <t>Fan Speed Controller</t>
        </is>
      </c>
      <c r="C361" t="inlineStr"/>
      <c r="D361" t="inlineStr">
        <is>
          <t>Uncategorized</t>
        </is>
      </c>
      <c r="E361" s="1" t="n">
        <v>0</v>
      </c>
      <c r="F361" t="n">
        <v>2</v>
      </c>
      <c r="G361" t="n">
        <v>0</v>
      </c>
      <c r="H361" t="n">
        <v>11</v>
      </c>
      <c r="I361" t="n">
        <v>0</v>
      </c>
      <c r="J361" t="n">
        <v>0</v>
      </c>
      <c r="K361">
        <f>IF(H361-I361-J361&gt;0,H361-I361-J361,0)</f>
        <v/>
      </c>
      <c r="L361" s="1">
        <f>IFERROR(I361*E361,0)</f>
        <v/>
      </c>
      <c r="M361" s="1">
        <f>IFERROR(K361*E361,0)</f>
        <v/>
      </c>
    </row>
    <row r="362">
      <c r="A362" t="inlineStr">
        <is>
          <t>FT8003004</t>
        </is>
      </c>
      <c r="B362" t="inlineStr">
        <is>
          <t>Fumax 800.32.E.8.300.4.3 c/w 3 kW 4 Pole 380V</t>
        </is>
      </c>
      <c r="C362" t="inlineStr">
        <is>
          <t>Centrifab (Pty) Ltd</t>
        </is>
      </c>
      <c r="D362" t="inlineStr">
        <is>
          <t>Uncategorized</t>
        </is>
      </c>
      <c r="E362" s="1" t="n">
        <v>22673.9</v>
      </c>
      <c r="F362" t="n">
        <v>1</v>
      </c>
      <c r="G362" t="n">
        <v>0</v>
      </c>
      <c r="H362" t="n">
        <v>3</v>
      </c>
      <c r="I362" t="n">
        <v>0</v>
      </c>
      <c r="J362" t="n">
        <v>0</v>
      </c>
      <c r="K362">
        <f>IF(H362-I362-J362&gt;0,H362-I362-J362,0)</f>
        <v/>
      </c>
      <c r="L362" s="1">
        <f>IFERROR(I362*E362,0)</f>
        <v/>
      </c>
      <c r="M362" s="1">
        <f>IFERROR(K362*E362,0)</f>
        <v/>
      </c>
    </row>
    <row r="363">
      <c r="A363" t="inlineStr">
        <is>
          <t>FUMAX105X105</t>
        </is>
      </c>
      <c r="B363" t="inlineStr">
        <is>
          <t>UV print onto alu plates (105mm x105mm) block cut</t>
        </is>
      </c>
      <c r="C363" t="inlineStr">
        <is>
          <t>HC Soekoe CC</t>
        </is>
      </c>
      <c r="D363" t="inlineStr">
        <is>
          <t>Uncategorized</t>
        </is>
      </c>
      <c r="E363" s="1" t="n">
        <v>8.039999999999999</v>
      </c>
      <c r="F363" t="n">
        <v>25</v>
      </c>
      <c r="G363" t="n">
        <v>0</v>
      </c>
      <c r="H363" t="n">
        <v>125</v>
      </c>
      <c r="I363" t="n">
        <v>0</v>
      </c>
      <c r="J363" t="n">
        <v>0</v>
      </c>
      <c r="K363">
        <f>IF(H363-I363-J363&gt;0,H363-I363-J363,0)</f>
        <v/>
      </c>
      <c r="L363" s="1">
        <f>IFERROR(I363*E363,0)</f>
        <v/>
      </c>
      <c r="M363" s="1">
        <f>IFERROR(K363*E363,0)</f>
        <v/>
      </c>
    </row>
    <row r="364">
      <c r="A364" t="inlineStr">
        <is>
          <t>FUMAX40X65</t>
        </is>
      </c>
      <c r="B364" t="inlineStr">
        <is>
          <t>UV print onto alu plates (40mm x65mm) block cut</t>
        </is>
      </c>
      <c r="C364" t="inlineStr">
        <is>
          <t>HC Soekoe CC</t>
        </is>
      </c>
      <c r="D364" t="inlineStr">
        <is>
          <t>Uncategorized</t>
        </is>
      </c>
      <c r="E364" s="1" t="n">
        <v>4.77</v>
      </c>
      <c r="F364" t="n">
        <v>25</v>
      </c>
      <c r="G364" t="n">
        <v>0</v>
      </c>
      <c r="H364" t="n">
        <v>125</v>
      </c>
      <c r="I364" t="n">
        <v>0</v>
      </c>
      <c r="J364" t="n">
        <v>0</v>
      </c>
      <c r="K364">
        <f>IF(H364-I364-J364&gt;0,H364-I364-J364,0)</f>
        <v/>
      </c>
      <c r="L364" s="1">
        <f>IFERROR(I364*E364,0)</f>
        <v/>
      </c>
      <c r="M364" s="1">
        <f>IFERROR(K364*E364,0)</f>
        <v/>
      </c>
    </row>
    <row r="365">
      <c r="A365" t="inlineStr">
        <is>
          <t>Fan Screen</t>
        </is>
      </c>
      <c r="B365" t="inlineStr">
        <is>
          <t>500mm Dia</t>
        </is>
      </c>
      <c r="C365" t="inlineStr"/>
      <c r="D365" t="inlineStr">
        <is>
          <t>Uncategorized</t>
        </is>
      </c>
      <c r="E365" s="1" t="n">
        <v>0</v>
      </c>
      <c r="F365" t="n">
        <v>1</v>
      </c>
      <c r="G365" t="n">
        <v>0</v>
      </c>
      <c r="H365" t="n">
        <v>2</v>
      </c>
      <c r="I365" t="n">
        <v>0</v>
      </c>
      <c r="J365" t="n">
        <v>0</v>
      </c>
      <c r="K365">
        <f>IF(H365-I365-J365&gt;0,H365-I365-J365,0)</f>
        <v/>
      </c>
      <c r="L365" s="1">
        <f>IFERROR(I365*E365,0)</f>
        <v/>
      </c>
      <c r="M365" s="1">
        <f>IFERROR(K365*E365,0)</f>
        <v/>
      </c>
    </row>
    <row r="366">
      <c r="A366" t="inlineStr">
        <is>
          <t>Fan Testing</t>
        </is>
      </c>
      <c r="B366" t="inlineStr">
        <is>
          <t>Service Engineer x1</t>
        </is>
      </c>
      <c r="C366" t="inlineStr">
        <is>
          <t>TDCM Engineering cc</t>
        </is>
      </c>
      <c r="D366" t="inlineStr">
        <is>
          <t>Uncategorized</t>
        </is>
      </c>
      <c r="E366" s="1" t="n">
        <v>940.5</v>
      </c>
      <c r="F366" t="n">
        <v>9</v>
      </c>
      <c r="G366" t="n">
        <v>0</v>
      </c>
      <c r="H366" t="n">
        <v>25</v>
      </c>
      <c r="I366" t="n">
        <v>0</v>
      </c>
      <c r="J366" t="n">
        <v>0</v>
      </c>
      <c r="K366">
        <f>IF(H366-I366-J366&gt;0,H366-I366-J366,0)</f>
        <v/>
      </c>
      <c r="L366" s="1">
        <f>IFERROR(I366*E366,0)</f>
        <v/>
      </c>
      <c r="M366" s="1">
        <f>IFERROR(K366*E366,0)</f>
        <v/>
      </c>
    </row>
    <row r="367">
      <c r="A367" t="inlineStr">
        <is>
          <t>Fumax 1000.32.F.8.1100.4.3</t>
        </is>
      </c>
      <c r="B367" t="inlineStr">
        <is>
          <t>c/w 11 kW 4 Pole 380 V Motor</t>
        </is>
      </c>
      <c r="C367" t="inlineStr"/>
      <c r="D367" t="inlineStr">
        <is>
          <t>Uncategorized</t>
        </is>
      </c>
      <c r="E367" s="1" t="n">
        <v>0</v>
      </c>
      <c r="F367" t="n">
        <v>7</v>
      </c>
      <c r="G367" t="n">
        <v>0</v>
      </c>
      <c r="H367" t="n">
        <v>35</v>
      </c>
      <c r="I367" t="n">
        <v>0</v>
      </c>
      <c r="J367" t="n">
        <v>0</v>
      </c>
      <c r="K367">
        <f>IF(H367-I367-J367&gt;0,H367-I367-J367,0)</f>
        <v/>
      </c>
      <c r="L367" s="1">
        <f>IFERROR(I367*E367,0)</f>
        <v/>
      </c>
      <c r="M367" s="1">
        <f>IFERROR(K367*E367,0)</f>
        <v/>
      </c>
    </row>
    <row r="368">
      <c r="A368" t="inlineStr">
        <is>
          <t>Fumax 1000.32.F.8.1850.4.3</t>
        </is>
      </c>
      <c r="B368" t="inlineStr">
        <is>
          <t>c/w 18.5 kW 4 Pole 400 V Motor</t>
        </is>
      </c>
      <c r="C368" t="inlineStr">
        <is>
          <t>Air Speration</t>
        </is>
      </c>
      <c r="D368" t="inlineStr">
        <is>
          <t>Uncategorized</t>
        </is>
      </c>
      <c r="E368" s="1" t="n">
        <v>48642</v>
      </c>
      <c r="F368" t="n">
        <v>2</v>
      </c>
      <c r="G368" t="n">
        <v>0</v>
      </c>
      <c r="H368" t="n">
        <v>4</v>
      </c>
      <c r="I368" t="n">
        <v>0</v>
      </c>
      <c r="J368" t="n">
        <v>0</v>
      </c>
      <c r="K368">
        <f>IF(H368-I368-J368&gt;0,H368-I368-J368,0)</f>
        <v/>
      </c>
      <c r="L368" s="1">
        <f>IFERROR(I368*E368,0)</f>
        <v/>
      </c>
      <c r="M368" s="1">
        <f>IFERROR(K368*E368,0)</f>
        <v/>
      </c>
    </row>
    <row r="369">
      <c r="A369" t="inlineStr">
        <is>
          <t>Fumax 10007504</t>
        </is>
      </c>
      <c r="B369" t="inlineStr">
        <is>
          <t>1000 32.F.8 c/w 7.5kW 4 Pole 380V</t>
        </is>
      </c>
      <c r="C369" t="inlineStr">
        <is>
          <t>Centrifab (Pty) Ltd</t>
        </is>
      </c>
      <c r="D369" t="inlineStr">
        <is>
          <t>Uncategorized</t>
        </is>
      </c>
      <c r="E369" s="1" t="n">
        <v>26270</v>
      </c>
      <c r="F369" t="n">
        <v>10</v>
      </c>
      <c r="G369" t="n">
        <v>0</v>
      </c>
      <c r="H369" t="n">
        <v>26</v>
      </c>
      <c r="I369" t="n">
        <v>0</v>
      </c>
      <c r="J369" t="n">
        <v>3</v>
      </c>
      <c r="K369">
        <f>IF(H369-I369-J369&gt;0,H369-I369-J369,0)</f>
        <v/>
      </c>
      <c r="L369" s="1">
        <f>IFERROR(I369*E369,0)</f>
        <v/>
      </c>
      <c r="M369" s="1">
        <f>IFERROR(K369*E369,0)</f>
        <v/>
      </c>
    </row>
    <row r="370">
      <c r="A370" t="inlineStr">
        <is>
          <t>Fumax 560</t>
        </is>
      </c>
      <c r="B370" t="inlineStr">
        <is>
          <t>Fumax 560.20.D.8 C/W 3KW 2P 380V</t>
        </is>
      </c>
      <c r="C370" t="inlineStr">
        <is>
          <t>Centrifab (Pty) Ltd</t>
        </is>
      </c>
      <c r="D370" t="inlineStr">
        <is>
          <t>Uncategorized</t>
        </is>
      </c>
      <c r="E370" s="1" t="n">
        <v>14394</v>
      </c>
      <c r="F370" t="n">
        <v>1</v>
      </c>
      <c r="G370" t="n">
        <v>0</v>
      </c>
      <c r="H370" t="n">
        <v>3</v>
      </c>
      <c r="I370" t="n">
        <v>0</v>
      </c>
      <c r="J370" t="n">
        <v>0</v>
      </c>
      <c r="K370">
        <f>IF(H370-I370-J370&gt;0,H370-I370-J370,0)</f>
        <v/>
      </c>
      <c r="L370" s="1">
        <f>IFERROR(I370*E370,0)</f>
        <v/>
      </c>
      <c r="M370" s="1">
        <f>IFERROR(K370*E370,0)</f>
        <v/>
      </c>
    </row>
    <row r="371">
      <c r="A371" t="inlineStr">
        <is>
          <t>Fumax 630</t>
        </is>
      </c>
      <c r="B371" t="inlineStr">
        <is>
          <t>Fumax 630</t>
        </is>
      </c>
      <c r="C371" t="inlineStr">
        <is>
          <t>Centrifab (Pty) Ltd</t>
        </is>
      </c>
      <c r="D371" t="inlineStr">
        <is>
          <t>Uncategorized</t>
        </is>
      </c>
      <c r="E371" s="1" t="n">
        <v>9248</v>
      </c>
      <c r="F371" t="n">
        <v>1</v>
      </c>
      <c r="G371" t="n">
        <v>0</v>
      </c>
      <c r="H371" t="n">
        <v>4</v>
      </c>
      <c r="I371" t="n">
        <v>0</v>
      </c>
      <c r="J371" t="n">
        <v>0</v>
      </c>
      <c r="K371">
        <f>IF(H371-I371-J371&gt;0,H371-I371-J371,0)</f>
        <v/>
      </c>
      <c r="L371" s="1">
        <f>IFERROR(I371*E371,0)</f>
        <v/>
      </c>
      <c r="M371" s="1">
        <f>IFERROR(K371*E371,0)</f>
        <v/>
      </c>
    </row>
    <row r="372">
      <c r="A372" t="inlineStr">
        <is>
          <t>Fumax 710.20.D.8.0220.4.3</t>
        </is>
      </c>
      <c r="B372" t="inlineStr">
        <is>
          <t>c/w 2.2 kW 4 Pole 380 V Motor</t>
        </is>
      </c>
      <c r="C372" t="inlineStr">
        <is>
          <t>Centrifab (Pty) Ltd</t>
        </is>
      </c>
      <c r="D372" t="inlineStr">
        <is>
          <t>Uncategorized</t>
        </is>
      </c>
      <c r="E372" s="1" t="n">
        <v>12391</v>
      </c>
      <c r="F372" t="n">
        <v>2</v>
      </c>
      <c r="G372" t="n">
        <v>0</v>
      </c>
      <c r="H372" t="n">
        <v>4</v>
      </c>
      <c r="I372" t="n">
        <v>0</v>
      </c>
      <c r="J372" t="n">
        <v>0</v>
      </c>
      <c r="K372">
        <f>IF(H372-I372-J372&gt;0,H372-I372-J372,0)</f>
        <v/>
      </c>
      <c r="L372" s="1">
        <f>IFERROR(I372*E372,0)</f>
        <v/>
      </c>
      <c r="M372" s="1">
        <f>IFERROR(K372*E372,0)</f>
        <v/>
      </c>
    </row>
    <row r="373">
      <c r="A373" t="inlineStr">
        <is>
          <t>Fumax 800.32.E.8.0400.4.3</t>
        </is>
      </c>
      <c r="B373" t="inlineStr">
        <is>
          <t>c/w 4 kW 4 Pole 380 V Motor</t>
        </is>
      </c>
      <c r="C373" t="inlineStr">
        <is>
          <t>Centrifab (Pty) Ltd</t>
        </is>
      </c>
      <c r="D373" t="inlineStr">
        <is>
          <t>Uncategorized</t>
        </is>
      </c>
      <c r="E373" s="1" t="n">
        <v>21973</v>
      </c>
      <c r="F373" t="n">
        <v>1</v>
      </c>
      <c r="G373" t="n">
        <v>0</v>
      </c>
      <c r="H373" t="n">
        <v>3</v>
      </c>
      <c r="I373" t="n">
        <v>0</v>
      </c>
      <c r="J373" t="n">
        <v>0</v>
      </c>
      <c r="K373">
        <f>IF(H373-I373-J373&gt;0,H373-I373-J373,0)</f>
        <v/>
      </c>
      <c r="L373" s="1">
        <f>IFERROR(I373*E373,0)</f>
        <v/>
      </c>
      <c r="M373" s="1">
        <f>IFERROR(K373*E373,0)</f>
        <v/>
      </c>
    </row>
    <row r="374">
      <c r="A374" t="inlineStr">
        <is>
          <t>Fumax 8004004</t>
        </is>
      </c>
      <c r="B374" t="inlineStr">
        <is>
          <t>800 32.F.8 c/w 4 kW 4 Pole 380V</t>
        </is>
      </c>
      <c r="C374" t="inlineStr">
        <is>
          <t>Centrifab (Pty) Ltd</t>
        </is>
      </c>
      <c r="D374" t="inlineStr">
        <is>
          <t>Uncategorized</t>
        </is>
      </c>
      <c r="E374" s="1" t="n">
        <v>17220</v>
      </c>
      <c r="F374" t="n">
        <v>7</v>
      </c>
      <c r="G374" t="n">
        <v>0</v>
      </c>
      <c r="H374" t="n">
        <v>15</v>
      </c>
      <c r="I374" t="n">
        <v>0</v>
      </c>
      <c r="J374" t="n">
        <v>0</v>
      </c>
      <c r="K374">
        <f>IF(H374-I374-J374&gt;0,H374-I374-J374,0)</f>
        <v/>
      </c>
      <c r="L374" s="1">
        <f>IFERROR(I374*E374,0)</f>
        <v/>
      </c>
      <c r="M374" s="1">
        <f>IFERROR(K374*E374,0)</f>
        <v/>
      </c>
    </row>
    <row r="375">
      <c r="A375" t="inlineStr">
        <is>
          <t>Fumax 900.20.E.8.0550.4.3</t>
        </is>
      </c>
      <c r="B375" t="inlineStr">
        <is>
          <t>c/w 5.5 kW 4 Pole 380 V</t>
        </is>
      </c>
      <c r="C375" t="inlineStr">
        <is>
          <t>Centrifab (Pty) Ltd</t>
        </is>
      </c>
      <c r="D375" t="inlineStr">
        <is>
          <t>Uncategorized</t>
        </is>
      </c>
      <c r="E375" s="1" t="n">
        <v>21973</v>
      </c>
      <c r="F375" t="n">
        <v>8</v>
      </c>
      <c r="G375" t="n">
        <v>0</v>
      </c>
      <c r="H375" t="n">
        <v>22</v>
      </c>
      <c r="I375" t="n">
        <v>0</v>
      </c>
      <c r="J375" t="n">
        <v>0</v>
      </c>
      <c r="K375">
        <f>IF(H375-I375-J375&gt;0,H375-I375-J375,0)</f>
        <v/>
      </c>
      <c r="L375" s="1">
        <f>IFERROR(I375*E375,0)</f>
        <v/>
      </c>
      <c r="M375" s="1">
        <f>IFERROR(K375*E375,0)</f>
        <v/>
      </c>
    </row>
    <row r="376">
      <c r="A376" t="inlineStr">
        <is>
          <t>Fumax 900.20.E.8.0750.4.3</t>
        </is>
      </c>
      <c r="B376" t="inlineStr">
        <is>
          <t>c/w 7.7 kW 4 Pole 380 V Motor</t>
        </is>
      </c>
      <c r="C376" t="inlineStr">
        <is>
          <t>Centrifab (Pty) Ltd</t>
        </is>
      </c>
      <c r="D376" t="inlineStr">
        <is>
          <t>Uncategorized</t>
        </is>
      </c>
      <c r="E376" s="1" t="n">
        <v>21973</v>
      </c>
      <c r="F376" t="n">
        <v>6</v>
      </c>
      <c r="G376" t="n">
        <v>0</v>
      </c>
      <c r="H376" t="n">
        <v>16</v>
      </c>
      <c r="I376" t="n">
        <v>0</v>
      </c>
      <c r="J376" t="n">
        <v>0</v>
      </c>
      <c r="K376">
        <f>IF(H376-I376-J376&gt;0,H376-I376-J376,0)</f>
        <v/>
      </c>
      <c r="L376" s="1">
        <f>IFERROR(I376*E376,0)</f>
        <v/>
      </c>
      <c r="M376" s="1">
        <f>IFERROR(K376*E376,0)</f>
        <v/>
      </c>
    </row>
    <row r="377">
      <c r="A377" t="inlineStr">
        <is>
          <t>Fumax400</t>
        </is>
      </c>
      <c r="B377" t="inlineStr">
        <is>
          <t>Fumax 4000.15.B.4 C/W 1.5KW 2P 380V</t>
        </is>
      </c>
      <c r="C377" t="inlineStr">
        <is>
          <t>Centrifab (Pty) Ltd</t>
        </is>
      </c>
      <c r="D377" t="inlineStr">
        <is>
          <t>Uncategorized</t>
        </is>
      </c>
      <c r="E377" s="1" t="n">
        <v>9462.959999999999</v>
      </c>
      <c r="F377" t="n">
        <v>8</v>
      </c>
      <c r="G377" t="n">
        <v>0</v>
      </c>
      <c r="H377" t="n">
        <v>18</v>
      </c>
      <c r="I377" t="n">
        <v>0</v>
      </c>
      <c r="J377" t="n">
        <v>0</v>
      </c>
      <c r="K377">
        <f>IF(H377-I377-J377&gt;0,H377-I377-J377,0)</f>
        <v/>
      </c>
      <c r="L377" s="1">
        <f>IFERROR(I377*E377,0)</f>
        <v/>
      </c>
      <c r="M377" s="1">
        <f>IFERROR(K377*E377,0)</f>
        <v/>
      </c>
    </row>
    <row r="378">
      <c r="A378" t="inlineStr">
        <is>
          <t>G023</t>
        </is>
      </c>
      <c r="B378" t="inlineStr">
        <is>
          <t>GLOVES 2.5 GREEN WRIST</t>
        </is>
      </c>
      <c r="C378" t="inlineStr">
        <is>
          <t>INTROWELD CC</t>
        </is>
      </c>
      <c r="D378" t="inlineStr">
        <is>
          <t>Uncategorized</t>
        </is>
      </c>
      <c r="E378" s="1" t="n">
        <v>48</v>
      </c>
      <c r="F378" t="n">
        <v>2</v>
      </c>
      <c r="G378" t="n">
        <v>0</v>
      </c>
      <c r="H378" t="n">
        <v>10</v>
      </c>
      <c r="I378" t="n">
        <v>0</v>
      </c>
      <c r="J378" t="n">
        <v>0</v>
      </c>
      <c r="K378">
        <f>IF(H378-I378-J378&gt;0,H378-I378-J378,0)</f>
        <v/>
      </c>
      <c r="L378" s="1">
        <f>IFERROR(I378*E378,0)</f>
        <v/>
      </c>
      <c r="M378" s="1">
        <f>IFERROR(K378*E378,0)</f>
        <v/>
      </c>
    </row>
    <row r="379">
      <c r="A379" t="inlineStr">
        <is>
          <t>G2E180EH0301</t>
        </is>
      </c>
      <c r="B379" t="inlineStr">
        <is>
          <t>220V SI Centrifugal Fan</t>
        </is>
      </c>
      <c r="C379" t="inlineStr">
        <is>
          <t>Ebmpapst</t>
        </is>
      </c>
      <c r="D379" t="inlineStr">
        <is>
          <t>Uncategorized</t>
        </is>
      </c>
      <c r="E379" s="1" t="n">
        <v>5110.49</v>
      </c>
      <c r="F379" t="n">
        <v>6</v>
      </c>
      <c r="G379" t="n">
        <v>0</v>
      </c>
      <c r="H379" t="n">
        <v>30</v>
      </c>
      <c r="I379" t="n">
        <v>0</v>
      </c>
      <c r="J379" t="n">
        <v>0</v>
      </c>
      <c r="K379">
        <f>IF(H379-I379-J379&gt;0,H379-I379-J379,0)</f>
        <v/>
      </c>
      <c r="L379" s="1">
        <f>IFERROR(I379*E379,0)</f>
        <v/>
      </c>
      <c r="M379" s="1">
        <f>IFERROR(K379*E379,0)</f>
        <v/>
      </c>
    </row>
    <row r="380">
      <c r="A380" t="inlineStr">
        <is>
          <t>GALV-TERMINAL CAP</t>
        </is>
      </c>
      <c r="B380" t="inlineStr">
        <is>
          <t>TERMINAL CAP</t>
        </is>
      </c>
      <c r="C380" t="inlineStr">
        <is>
          <t>GALVAGLOW (PTY) LTD</t>
        </is>
      </c>
      <c r="D380" t="inlineStr">
        <is>
          <t>Uncategorized</t>
        </is>
      </c>
      <c r="E380" s="1" t="n">
        <v>0</v>
      </c>
      <c r="F380" t="n">
        <v>16</v>
      </c>
      <c r="G380" t="n">
        <v>0</v>
      </c>
      <c r="H380" t="n">
        <v>80</v>
      </c>
      <c r="I380" t="n">
        <v>0</v>
      </c>
      <c r="J380" t="n">
        <v>0</v>
      </c>
      <c r="K380">
        <f>IF(H380-I380-J380&gt;0,H380-I380-J380,0)</f>
        <v/>
      </c>
      <c r="L380" s="1">
        <f>IFERROR(I380*E380,0)</f>
        <v/>
      </c>
      <c r="M380" s="1">
        <f>IFERROR(K380*E380,0)</f>
        <v/>
      </c>
    </row>
    <row r="381">
      <c r="A381" t="inlineStr">
        <is>
          <t>GALVANISING</t>
        </is>
      </c>
      <c r="B381" t="inlineStr">
        <is>
          <t>Galvanizing General 11 X FAN CASING</t>
        </is>
      </c>
      <c r="C381" t="inlineStr">
        <is>
          <t>GALVAGLOW (PTY) LTD</t>
        </is>
      </c>
      <c r="D381" t="inlineStr">
        <is>
          <t>Uncategorized</t>
        </is>
      </c>
      <c r="E381" s="1" t="n">
        <v>13.04</v>
      </c>
      <c r="F381" t="n">
        <v>290</v>
      </c>
      <c r="G381" t="n">
        <v>0</v>
      </c>
      <c r="H381" t="n">
        <v>1452</v>
      </c>
      <c r="I381" t="n">
        <v>0</v>
      </c>
      <c r="J381" t="n">
        <v>0</v>
      </c>
      <c r="K381">
        <f>IF(H381-I381-J381&gt;0,H381-I381-J381,0)</f>
        <v/>
      </c>
      <c r="L381" s="1">
        <f>IFERROR(I381*E381,0)</f>
        <v/>
      </c>
      <c r="M381" s="1">
        <f>IFERROR(K381*E381,0)</f>
        <v/>
      </c>
    </row>
    <row r="382">
      <c r="A382" t="inlineStr">
        <is>
          <t>GAS001</t>
        </is>
      </c>
      <c r="B382" t="inlineStr">
        <is>
          <t>Rolls Gasketing</t>
        </is>
      </c>
      <c r="C382" t="inlineStr">
        <is>
          <t>Filtermac Design ( Pty) Ltd</t>
        </is>
      </c>
      <c r="D382" t="inlineStr">
        <is>
          <t>Uncategorized</t>
        </is>
      </c>
      <c r="E382" s="1" t="n">
        <v>73</v>
      </c>
      <c r="F382" t="n">
        <v>3</v>
      </c>
      <c r="G382" t="n">
        <v>0</v>
      </c>
      <c r="H382" t="n">
        <v>11</v>
      </c>
      <c r="I382" t="n">
        <v>0</v>
      </c>
      <c r="J382" t="n">
        <v>0</v>
      </c>
      <c r="K382">
        <f>IF(H382-I382-J382&gt;0,H382-I382-J382,0)</f>
        <v/>
      </c>
      <c r="L382" s="1">
        <f>IFERROR(I382*E382,0)</f>
        <v/>
      </c>
      <c r="M382" s="1">
        <f>IFERROR(K382*E382,0)</f>
        <v/>
      </c>
    </row>
    <row r="383">
      <c r="A383" t="inlineStr">
        <is>
          <t>GL5</t>
        </is>
      </c>
      <c r="B383" t="inlineStr">
        <is>
          <t>380V Extraction &amp; Ventilation 380V, 0.55kW 1430rpm 7000m3/hr</t>
        </is>
      </c>
      <c r="C383" t="inlineStr">
        <is>
          <t>Bluetech Fans (Pty) Ltd</t>
        </is>
      </c>
      <c r="D383" t="inlineStr">
        <is>
          <t>Uncategorized</t>
        </is>
      </c>
      <c r="E383" s="1" t="n">
        <v>735</v>
      </c>
      <c r="F383" t="n">
        <v>3</v>
      </c>
      <c r="G383" t="n">
        <v>0</v>
      </c>
      <c r="H383" t="n">
        <v>7</v>
      </c>
      <c r="I383" t="n">
        <v>0</v>
      </c>
      <c r="J383" t="n">
        <v>0</v>
      </c>
      <c r="K383">
        <f>IF(H383-I383-J383&gt;0,H383-I383-J383,0)</f>
        <v/>
      </c>
      <c r="L383" s="1">
        <f>IFERROR(I383*E383,0)</f>
        <v/>
      </c>
      <c r="M383" s="1">
        <f>IFERROR(K383*E383,0)</f>
        <v/>
      </c>
    </row>
    <row r="384">
      <c r="A384" t="inlineStr">
        <is>
          <t>GLF12.5</t>
        </is>
      </c>
      <c r="B384" t="inlineStr">
        <is>
          <t>Box, NO MOTOR</t>
        </is>
      </c>
      <c r="C384" t="inlineStr">
        <is>
          <t>AF Fans CC</t>
        </is>
      </c>
      <c r="D384" t="inlineStr">
        <is>
          <t>Uncategorized</t>
        </is>
      </c>
      <c r="E384" s="1" t="n">
        <v>3280</v>
      </c>
      <c r="F384" t="n">
        <v>1</v>
      </c>
      <c r="G384" t="n">
        <v>0</v>
      </c>
      <c r="H384" t="n">
        <v>6</v>
      </c>
      <c r="I384" t="n">
        <v>0</v>
      </c>
      <c r="J384" t="n">
        <v>0</v>
      </c>
      <c r="K384">
        <f>IF(H384-I384-J384&gt;0,H384-I384-J384,0)</f>
        <v/>
      </c>
      <c r="L384" s="1">
        <f>IFERROR(I384*E384,0)</f>
        <v/>
      </c>
      <c r="M384" s="1">
        <f>IFERROR(K384*E384,0)</f>
        <v/>
      </c>
    </row>
    <row r="385">
      <c r="A385" t="inlineStr">
        <is>
          <t>GLF7</t>
        </is>
      </c>
      <c r="B385" t="inlineStr">
        <is>
          <t>c/w 0.45kW 960RPM 380V Motor</t>
        </is>
      </c>
      <c r="C385" t="inlineStr">
        <is>
          <t>Bluetech Fans (Pty) Ltd</t>
        </is>
      </c>
      <c r="D385" t="inlineStr">
        <is>
          <t>Uncategorized</t>
        </is>
      </c>
      <c r="E385" s="1" t="n">
        <v>1064.25</v>
      </c>
      <c r="F385" t="n">
        <v>2</v>
      </c>
      <c r="G385" t="n">
        <v>0</v>
      </c>
      <c r="H385" t="n">
        <v>6</v>
      </c>
      <c r="I385" t="n">
        <v>0</v>
      </c>
      <c r="J385" t="n">
        <v>0</v>
      </c>
      <c r="K385">
        <f>IF(H385-I385-J385&gt;0,H385-I385-J385,0)</f>
        <v/>
      </c>
      <c r="L385" s="1">
        <f>IFERROR(I385*E385,0)</f>
        <v/>
      </c>
      <c r="M385" s="1">
        <f>IFERROR(K385*E385,0)</f>
        <v/>
      </c>
    </row>
    <row r="386">
      <c r="A386" t="inlineStr">
        <is>
          <t>GRM300</t>
        </is>
      </c>
      <c r="B386" t="inlineStr">
        <is>
          <t>Shutter PVC Gravity for 200mmFan S/Frame</t>
        </is>
      </c>
      <c r="C386" t="inlineStr">
        <is>
          <t>Luft Industries Natal (Pty) Ltd</t>
        </is>
      </c>
      <c r="D386" t="inlineStr">
        <is>
          <t>Uncategorized</t>
        </is>
      </c>
      <c r="E386" s="1" t="n">
        <v>450.75</v>
      </c>
      <c r="F386" t="n">
        <v>1</v>
      </c>
      <c r="G386" t="n">
        <v>0</v>
      </c>
      <c r="H386" t="n">
        <v>5</v>
      </c>
      <c r="I386" t="n">
        <v>0</v>
      </c>
      <c r="J386" t="n">
        <v>0</v>
      </c>
      <c r="K386">
        <f>IF(H386-I386-J386&gt;0,H386-I386-J386,0)</f>
        <v/>
      </c>
      <c r="L386" s="1">
        <f>IFERROR(I386*E386,0)</f>
        <v/>
      </c>
      <c r="M386" s="1">
        <f>IFERROR(K386*E386,0)</f>
        <v/>
      </c>
    </row>
    <row r="387">
      <c r="A387" t="inlineStr">
        <is>
          <t>GRM350.</t>
        </is>
      </c>
      <c r="B387" t="inlineStr">
        <is>
          <t>Shutter PVC Gravity for 250mmFan S/Frame</t>
        </is>
      </c>
      <c r="C387" t="inlineStr">
        <is>
          <t>Luft Industries Natal (Pty) Ltd</t>
        </is>
      </c>
      <c r="D387" t="inlineStr">
        <is>
          <t>Uncategorized</t>
        </is>
      </c>
      <c r="E387" s="1" t="n">
        <v>536.8</v>
      </c>
      <c r="F387" t="n">
        <v>2</v>
      </c>
      <c r="G387" t="n">
        <v>0</v>
      </c>
      <c r="H387" t="n">
        <v>8</v>
      </c>
      <c r="I387" t="n">
        <v>0</v>
      </c>
      <c r="J387" t="n">
        <v>0</v>
      </c>
      <c r="K387">
        <f>IF(H387-I387-J387&gt;0,H387-I387-J387,0)</f>
        <v/>
      </c>
      <c r="L387" s="1">
        <f>IFERROR(I387*E387,0)</f>
        <v/>
      </c>
      <c r="M387" s="1">
        <f>IFERROR(K387*E387,0)</f>
        <v/>
      </c>
    </row>
    <row r="388">
      <c r="A388" t="inlineStr">
        <is>
          <t>GRM535</t>
        </is>
      </c>
      <c r="B388" t="inlineStr">
        <is>
          <t>Shutter PVC Gravity for 400mmFan S/Frame</t>
        </is>
      </c>
      <c r="C388" t="inlineStr">
        <is>
          <t>Luft Industries Natal (Pty) Ltd</t>
        </is>
      </c>
      <c r="D388" t="inlineStr">
        <is>
          <t>Uncategorized</t>
        </is>
      </c>
      <c r="E388" s="1" t="n">
        <v>708</v>
      </c>
      <c r="F388" t="n">
        <v>1</v>
      </c>
      <c r="G388" t="n">
        <v>0</v>
      </c>
      <c r="H388" t="n">
        <v>2</v>
      </c>
      <c r="I388" t="n">
        <v>0</v>
      </c>
      <c r="J388" t="n">
        <v>0</v>
      </c>
      <c r="K388">
        <f>IF(H388-I388-J388&gt;0,H388-I388-J388,0)</f>
        <v/>
      </c>
      <c r="L388" s="1">
        <f>IFERROR(I388*E388,0)</f>
        <v/>
      </c>
      <c r="M388" s="1">
        <f>IFERROR(K388*E388,0)</f>
        <v/>
      </c>
    </row>
    <row r="389">
      <c r="A389" t="inlineStr">
        <is>
          <t>Grub Screw</t>
        </is>
      </c>
      <c r="B389" t="inlineStr">
        <is>
          <t>4mm - 4mm Grub Screw</t>
        </is>
      </c>
      <c r="C389" t="inlineStr">
        <is>
          <t>M&amp;D SPECIALISED FASTENERS (PTY) LTD</t>
        </is>
      </c>
      <c r="D389" t="inlineStr">
        <is>
          <t>Uncategorized</t>
        </is>
      </c>
      <c r="E389" s="1" t="n">
        <v>0</v>
      </c>
      <c r="F389" t="n">
        <v>5</v>
      </c>
      <c r="G389" t="n">
        <v>0</v>
      </c>
      <c r="H389" t="n">
        <v>25</v>
      </c>
      <c r="I389" t="n">
        <v>0</v>
      </c>
      <c r="J389" t="n">
        <v>0</v>
      </c>
      <c r="K389">
        <f>IF(H389-I389-J389&gt;0,H389-I389-J389,0)</f>
        <v/>
      </c>
      <c r="L389" s="1">
        <f>IFERROR(I389*E389,0)</f>
        <v/>
      </c>
      <c r="M389" s="1">
        <f>IFERROR(K389*E389,0)</f>
        <v/>
      </c>
    </row>
    <row r="390">
      <c r="A390" t="inlineStr">
        <is>
          <t>H20102</t>
        </is>
      </c>
      <c r="B390" t="inlineStr">
        <is>
          <t>WEATHER SEAL 6mm*25mm*5mt BLACK FOAM</t>
        </is>
      </c>
      <c r="C390" t="inlineStr">
        <is>
          <t>Securadeal</t>
        </is>
      </c>
      <c r="D390" t="inlineStr">
        <is>
          <t>Uncategorized</t>
        </is>
      </c>
      <c r="E390" s="1" t="n">
        <v>29.87</v>
      </c>
      <c r="F390" t="n">
        <v>4</v>
      </c>
      <c r="G390" t="n">
        <v>0</v>
      </c>
      <c r="H390" t="n">
        <v>20</v>
      </c>
      <c r="I390" t="n">
        <v>0</v>
      </c>
      <c r="J390" t="n">
        <v>0</v>
      </c>
      <c r="K390">
        <f>IF(H390-I390-J390&gt;0,H390-I390-J390,0)</f>
        <v/>
      </c>
      <c r="L390" s="1">
        <f>IFERROR(I390*E390,0)</f>
        <v/>
      </c>
      <c r="M390" s="1">
        <f>IFERROR(K390*E390,0)</f>
        <v/>
      </c>
    </row>
    <row r="391">
      <c r="A391" t="inlineStr">
        <is>
          <t>HANDLING FEE.</t>
        </is>
      </c>
      <c r="B391" t="inlineStr">
        <is>
          <t>GOODS RETURNED HANDLING FEE - CHARGED AT 15%</t>
        </is>
      </c>
      <c r="C391" t="inlineStr"/>
      <c r="D391" t="inlineStr">
        <is>
          <t>Uncategorized</t>
        </is>
      </c>
      <c r="E391" s="1" t="n">
        <v>2672.7</v>
      </c>
      <c r="F391" t="n">
        <v>3</v>
      </c>
      <c r="G391" t="n">
        <v>0</v>
      </c>
      <c r="H391" t="n">
        <v>14</v>
      </c>
      <c r="I391" t="n">
        <v>0</v>
      </c>
      <c r="J391" t="n">
        <v>0</v>
      </c>
      <c r="K391">
        <f>IF(H391-I391-J391&gt;0,H391-I391-J391,0)</f>
        <v/>
      </c>
      <c r="L391" s="1">
        <f>IFERROR(I391*E391,0)</f>
        <v/>
      </c>
      <c r="M391" s="1">
        <f>IFERROR(K391*E391,0)</f>
        <v/>
      </c>
    </row>
    <row r="392">
      <c r="A392" t="inlineStr">
        <is>
          <t>HCT/EC</t>
        </is>
      </c>
      <c r="B392" t="inlineStr">
        <is>
          <t>45-2T-2 400V 50/60HZ IE5</t>
        </is>
      </c>
      <c r="C392" t="inlineStr"/>
      <c r="D392" t="inlineStr">
        <is>
          <t>Uncategorized</t>
        </is>
      </c>
      <c r="E392" s="1" t="n">
        <v>0</v>
      </c>
      <c r="F392" t="n">
        <v>1</v>
      </c>
      <c r="G392" t="n">
        <v>0</v>
      </c>
      <c r="H392" t="n">
        <v>2</v>
      </c>
      <c r="I392" t="n">
        <v>0</v>
      </c>
      <c r="J392" t="n">
        <v>0</v>
      </c>
      <c r="K392">
        <f>IF(H392-I392-J392&gt;0,H392-I392-J392,0)</f>
        <v/>
      </c>
      <c r="L392" s="1">
        <f>IFERROR(I392*E392,0)</f>
        <v/>
      </c>
      <c r="M392" s="1">
        <f>IFERROR(K392*E392,0)</f>
        <v/>
      </c>
    </row>
    <row r="393">
      <c r="A393" t="inlineStr">
        <is>
          <t>HDA 9/9</t>
        </is>
      </c>
      <c r="B393" t="inlineStr">
        <is>
          <t>Crop to 959mm - 42mm Bore</t>
        </is>
      </c>
      <c r="C393" t="inlineStr">
        <is>
          <t>CFW Fans (Pty) Ltd</t>
        </is>
      </c>
      <c r="D393" t="inlineStr">
        <is>
          <t>Uncategorized</t>
        </is>
      </c>
      <c r="E393" s="1" t="n">
        <v>7022</v>
      </c>
      <c r="F393" t="n">
        <v>1</v>
      </c>
      <c r="G393" t="n">
        <v>0</v>
      </c>
      <c r="H393" t="n">
        <v>5</v>
      </c>
      <c r="I393" t="n">
        <v>0</v>
      </c>
      <c r="J393" t="n">
        <v>0</v>
      </c>
      <c r="K393">
        <f>IF(H393-I393-J393&gt;0,H393-I393-J393,0)</f>
        <v/>
      </c>
      <c r="L393" s="1">
        <f>IFERROR(I393*E393,0)</f>
        <v/>
      </c>
      <c r="M393" s="1">
        <f>IFERROR(K393*E393,0)</f>
        <v/>
      </c>
    </row>
    <row r="394">
      <c r="A394" t="inlineStr">
        <is>
          <t>HDA1250</t>
        </is>
      </c>
      <c r="B394" t="inlineStr">
        <is>
          <t>HDA 1250 , 9Bladed , axial flow impeller</t>
        </is>
      </c>
      <c r="C394" t="inlineStr">
        <is>
          <t>CFW Fans (Pty) Ltd</t>
        </is>
      </c>
      <c r="D394" t="inlineStr">
        <is>
          <t>Uncategorized</t>
        </is>
      </c>
      <c r="E394" s="1" t="n">
        <v>7532.2</v>
      </c>
      <c r="F394" t="n">
        <v>1</v>
      </c>
      <c r="G394" t="n">
        <v>0</v>
      </c>
      <c r="H394" t="n">
        <v>2</v>
      </c>
      <c r="I394" t="n">
        <v>0</v>
      </c>
      <c r="J394" t="n">
        <v>0</v>
      </c>
      <c r="K394">
        <f>IF(H394-I394-J394&gt;0,H394-I394-J394,0)</f>
        <v/>
      </c>
      <c r="L394" s="1">
        <f>IFERROR(I394*E394,0)</f>
        <v/>
      </c>
      <c r="M394" s="1">
        <f>IFERROR(K394*E394,0)</f>
        <v/>
      </c>
    </row>
    <row r="395">
      <c r="A395" t="inlineStr">
        <is>
          <t>HEP.25.2TH</t>
        </is>
      </c>
      <c r="B395" t="inlineStr">
        <is>
          <t>HEP.25.2T/H</t>
        </is>
      </c>
      <c r="C395" t="inlineStr">
        <is>
          <t>SODECA</t>
        </is>
      </c>
      <c r="D395" t="inlineStr">
        <is>
          <t>Uncategorized</t>
        </is>
      </c>
      <c r="E395" s="1" t="n">
        <v>3171.49</v>
      </c>
      <c r="F395" t="n">
        <v>5</v>
      </c>
      <c r="G395" t="n">
        <v>0</v>
      </c>
      <c r="H395" t="n">
        <v>9</v>
      </c>
      <c r="I395" t="n">
        <v>0</v>
      </c>
      <c r="J395" t="n">
        <v>0</v>
      </c>
      <c r="K395">
        <f>IF(H395-I395-J395&gt;0,H395-I395-J395,0)</f>
        <v/>
      </c>
      <c r="L395" s="1">
        <f>IFERROR(I395*E395,0)</f>
        <v/>
      </c>
      <c r="M395" s="1">
        <f>IFERROR(K395*E395,0)</f>
        <v/>
      </c>
    </row>
    <row r="396">
      <c r="A396" t="inlineStr">
        <is>
          <t>HF002</t>
        </is>
      </c>
      <c r="B396" t="inlineStr">
        <is>
          <t>Galvanised Holding Frame 610x610x55</t>
        </is>
      </c>
      <c r="C396" t="inlineStr">
        <is>
          <t>Filtermac Design ( Pty) Ltd</t>
        </is>
      </c>
      <c r="D396" t="inlineStr">
        <is>
          <t>Uncategorized</t>
        </is>
      </c>
      <c r="E396" s="1" t="n">
        <v>198</v>
      </c>
      <c r="F396" t="n">
        <v>13</v>
      </c>
      <c r="G396" t="n">
        <v>0</v>
      </c>
      <c r="H396" t="n">
        <v>45</v>
      </c>
      <c r="I396" t="n">
        <v>0</v>
      </c>
      <c r="J396" t="n">
        <v>0</v>
      </c>
      <c r="K396">
        <f>IF(H396-I396-J396&gt;0,H396-I396-J396,0)</f>
        <v/>
      </c>
      <c r="L396" s="1">
        <f>IFERROR(I396*E396,0)</f>
        <v/>
      </c>
      <c r="M396" s="1">
        <f>IFERROR(K396*E396,0)</f>
        <v/>
      </c>
    </row>
    <row r="397">
      <c r="A397" t="inlineStr">
        <is>
          <t>HIGH H</t>
        </is>
      </c>
      <c r="B397" t="inlineStr">
        <is>
          <t>HIGH HEAT 5LT SILVER</t>
        </is>
      </c>
      <c r="C397" t="inlineStr">
        <is>
          <t>MG AUTO PAINT (PTY) LTD</t>
        </is>
      </c>
      <c r="D397" t="inlineStr">
        <is>
          <t>Uncategorized</t>
        </is>
      </c>
      <c r="E397" s="1" t="n">
        <v>347.83</v>
      </c>
      <c r="F397" t="n">
        <v>1</v>
      </c>
      <c r="G397" t="n">
        <v>0</v>
      </c>
      <c r="H397" t="n">
        <v>2</v>
      </c>
      <c r="I397" t="n">
        <v>0</v>
      </c>
      <c r="J397" t="n">
        <v>0</v>
      </c>
      <c r="K397">
        <f>IF(H397-I397-J397&gt;0,H397-I397-J397,0)</f>
        <v/>
      </c>
      <c r="L397" s="1">
        <f>IFERROR(I397*E397,0)</f>
        <v/>
      </c>
      <c r="M397" s="1">
        <f>IFERROR(K397*E397,0)</f>
        <v/>
      </c>
    </row>
    <row r="398">
      <c r="A398" t="inlineStr">
        <is>
          <t>HJBM-Plus</t>
        </is>
      </c>
      <c r="B398" t="inlineStr">
        <is>
          <t>50-T-4 c/w 0.55KW 1400rpm 380V</t>
        </is>
      </c>
      <c r="C398" t="inlineStr"/>
      <c r="D398" t="inlineStr">
        <is>
          <t>Uncategorized</t>
        </is>
      </c>
      <c r="E398" s="1" t="n">
        <v>0</v>
      </c>
      <c r="F398" t="n">
        <v>1</v>
      </c>
      <c r="G398" t="n">
        <v>0</v>
      </c>
      <c r="H398" t="n">
        <v>2</v>
      </c>
      <c r="I398" t="n">
        <v>0</v>
      </c>
      <c r="J398" t="n">
        <v>0</v>
      </c>
      <c r="K398">
        <f>IF(H398-I398-J398&gt;0,H398-I398-J398,0)</f>
        <v/>
      </c>
      <c r="L398" s="1">
        <f>IFERROR(I398*E398,0)</f>
        <v/>
      </c>
      <c r="M398" s="1">
        <f>IFERROR(K398*E398,0)</f>
        <v/>
      </c>
    </row>
    <row r="399">
      <c r="A399" t="inlineStr">
        <is>
          <t>HJBM.PLUS.45.T4</t>
        </is>
      </c>
      <c r="B399" t="inlineStr">
        <is>
          <t>0.55kw</t>
        </is>
      </c>
      <c r="C399" t="inlineStr">
        <is>
          <t>Vortice Elettrosociali SpA</t>
        </is>
      </c>
      <c r="D399" t="inlineStr">
        <is>
          <t>Uncategorized</t>
        </is>
      </c>
      <c r="E399" s="1" t="n">
        <v>6153.01</v>
      </c>
      <c r="F399" t="n">
        <v>1</v>
      </c>
      <c r="G399" t="n">
        <v>0</v>
      </c>
      <c r="H399" t="n">
        <v>2</v>
      </c>
      <c r="I399" t="n">
        <v>0</v>
      </c>
      <c r="J399" t="n">
        <v>0</v>
      </c>
      <c r="K399">
        <f>IF(H399-I399-J399&gt;0,H399-I399-J399,0)</f>
        <v/>
      </c>
      <c r="L399" s="1">
        <f>IFERROR(I399*E399,0)</f>
        <v/>
      </c>
      <c r="M399" s="1">
        <f>IFERROR(K399*E399,0)</f>
        <v/>
      </c>
    </row>
    <row r="400">
      <c r="A400" t="inlineStr">
        <is>
          <t>HPLV710152</t>
        </is>
      </c>
      <c r="B400" t="inlineStr">
        <is>
          <t>HPLV 710/1.0 SISW Ar 6A c/w 15Kw 2P 400V</t>
        </is>
      </c>
      <c r="C400" t="inlineStr">
        <is>
          <t>Centrifab (Pty) Ltd</t>
        </is>
      </c>
      <c r="D400" t="inlineStr">
        <is>
          <t>Uncategorized</t>
        </is>
      </c>
      <c r="E400" s="1" t="n">
        <v>28000</v>
      </c>
      <c r="F400" t="n">
        <v>6</v>
      </c>
      <c r="G400" t="n">
        <v>0</v>
      </c>
      <c r="H400" t="n">
        <v>12</v>
      </c>
      <c r="I400" t="n">
        <v>0</v>
      </c>
      <c r="J400" t="n">
        <v>0</v>
      </c>
      <c r="K400">
        <f>IF(H400-I400-J400&gt;0,H400-I400-J400,0)</f>
        <v/>
      </c>
      <c r="L400" s="1">
        <f>IFERROR(I400*E400,0)</f>
        <v/>
      </c>
      <c r="M400" s="1">
        <f>IFERROR(K400*E400,0)</f>
        <v/>
      </c>
    </row>
    <row r="401">
      <c r="A401" t="inlineStr">
        <is>
          <t>HV 12.5</t>
        </is>
      </c>
      <c r="B401" t="inlineStr">
        <is>
          <t>HV1250 c/w 1.1Kw 450 rpm 380V</t>
        </is>
      </c>
      <c r="C401" t="inlineStr">
        <is>
          <t>AF Fans CC</t>
        </is>
      </c>
      <c r="D401" t="inlineStr">
        <is>
          <t>Uncategorized</t>
        </is>
      </c>
      <c r="E401" s="1" t="n">
        <v>6515.6</v>
      </c>
      <c r="F401" t="n">
        <v>1</v>
      </c>
      <c r="G401" t="n">
        <v>0</v>
      </c>
      <c r="H401" t="n">
        <v>4</v>
      </c>
      <c r="I401" t="n">
        <v>0</v>
      </c>
      <c r="J401" t="n">
        <v>0</v>
      </c>
      <c r="K401">
        <f>IF(H401-I401-J401&gt;0,H401-I401-J401,0)</f>
        <v/>
      </c>
      <c r="L401" s="1">
        <f>IFERROR(I401*E401,0)</f>
        <v/>
      </c>
      <c r="M401" s="1">
        <f>IFERROR(K401*E401,0)</f>
        <v/>
      </c>
    </row>
    <row r="402">
      <c r="A402" t="inlineStr">
        <is>
          <t>HV-7</t>
        </is>
      </c>
      <c r="B402" t="inlineStr">
        <is>
          <t>HV 7 c/w 0.45kW 6Pole</t>
        </is>
      </c>
      <c r="C402" t="inlineStr">
        <is>
          <t>AF Fans CC</t>
        </is>
      </c>
      <c r="D402" t="inlineStr">
        <is>
          <t>Uncategorized</t>
        </is>
      </c>
      <c r="E402" s="1" t="n">
        <v>3799.6</v>
      </c>
      <c r="F402" t="n">
        <v>1</v>
      </c>
      <c r="G402" t="n">
        <v>0</v>
      </c>
      <c r="H402" t="n">
        <v>2</v>
      </c>
      <c r="I402" t="n">
        <v>0</v>
      </c>
      <c r="J402" t="n">
        <v>0</v>
      </c>
      <c r="K402">
        <f>IF(H402-I402-J402&gt;0,H402-I402-J402,0)</f>
        <v/>
      </c>
      <c r="L402" s="1">
        <f>IFERROR(I402*E402,0)</f>
        <v/>
      </c>
      <c r="M402" s="1">
        <f>IFERROR(K402*E402,0)</f>
        <v/>
      </c>
    </row>
    <row r="403">
      <c r="A403" t="inlineStr">
        <is>
          <t>HV5380V</t>
        </is>
      </c>
      <c r="B403" t="inlineStr">
        <is>
          <t>HV5 c/w 0.55kw 380V</t>
        </is>
      </c>
      <c r="C403" t="inlineStr">
        <is>
          <t>Bluetech Fans (Pty) Ltd</t>
        </is>
      </c>
      <c r="D403" t="inlineStr">
        <is>
          <t>Uncategorized</t>
        </is>
      </c>
      <c r="E403" s="1" t="n">
        <v>5395.5</v>
      </c>
      <c r="F403" t="n">
        <v>1</v>
      </c>
      <c r="G403" t="n">
        <v>0</v>
      </c>
      <c r="H403" t="n">
        <v>2</v>
      </c>
      <c r="I403" t="n">
        <v>0</v>
      </c>
      <c r="J403" t="n">
        <v>0</v>
      </c>
      <c r="K403">
        <f>IF(H403-I403-J403&gt;0,H403-I403-J403,0)</f>
        <v/>
      </c>
      <c r="L403" s="1">
        <f>IFERROR(I403*E403,0)</f>
        <v/>
      </c>
      <c r="M403" s="1">
        <f>IFERROR(K403*E403,0)</f>
        <v/>
      </c>
    </row>
    <row r="404">
      <c r="A404" t="inlineStr">
        <is>
          <t>HV7T</t>
        </is>
      </c>
      <c r="B404" t="inlineStr">
        <is>
          <t>HV 7 c/w 0.45kw 6P 380v</t>
        </is>
      </c>
      <c r="C404" t="inlineStr">
        <is>
          <t>AF Fans CC</t>
        </is>
      </c>
      <c r="D404" t="inlineStr">
        <is>
          <t>Uncategorized</t>
        </is>
      </c>
      <c r="E404" s="1" t="n">
        <v>3799.6</v>
      </c>
      <c r="F404" t="n">
        <v>1</v>
      </c>
      <c r="G404" t="n">
        <v>0</v>
      </c>
      <c r="H404" t="n">
        <v>2</v>
      </c>
      <c r="I404" t="n">
        <v>0</v>
      </c>
      <c r="J404" t="n">
        <v>0</v>
      </c>
      <c r="K404">
        <f>IF(H404-I404-J404&gt;0,H404-I404-J404,0)</f>
        <v/>
      </c>
      <c r="L404" s="1">
        <f>IFERROR(I404*E404,0)</f>
        <v/>
      </c>
      <c r="M404" s="1">
        <f>IFERROR(K404*E404,0)</f>
        <v/>
      </c>
    </row>
    <row r="405">
      <c r="A405" t="inlineStr">
        <is>
          <t>HV9.5 Fan</t>
        </is>
      </c>
      <c r="B405" t="inlineStr">
        <is>
          <t>HV 9.5 - 220V 0.55KW</t>
        </is>
      </c>
      <c r="C405" t="inlineStr">
        <is>
          <t>Luft Industries Natal (Pty) Ltd</t>
        </is>
      </c>
      <c r="D405" t="inlineStr">
        <is>
          <t>Uncategorized</t>
        </is>
      </c>
      <c r="E405" s="1" t="n">
        <v>6021</v>
      </c>
      <c r="F405" t="n">
        <v>1</v>
      </c>
      <c r="G405" t="n">
        <v>0</v>
      </c>
      <c r="H405" t="n">
        <v>3</v>
      </c>
      <c r="I405" t="n">
        <v>0</v>
      </c>
      <c r="J405" t="n">
        <v>0</v>
      </c>
      <c r="K405">
        <f>IF(H405-I405-J405&gt;0,H405-I405-J405,0)</f>
        <v/>
      </c>
      <c r="L405" s="1">
        <f>IFERROR(I405*E405,0)</f>
        <v/>
      </c>
      <c r="M405" s="1">
        <f>IFERROR(K405*E405,0)</f>
        <v/>
      </c>
    </row>
    <row r="406">
      <c r="A406" t="inlineStr">
        <is>
          <t>HVF</t>
        </is>
      </c>
      <c r="B406" t="inlineStr">
        <is>
          <t>105L-6</t>
        </is>
      </c>
      <c r="C406" t="inlineStr">
        <is>
          <t>AF Fans CC</t>
        </is>
      </c>
      <c r="D406" t="inlineStr">
        <is>
          <t>Uncategorized</t>
        </is>
      </c>
      <c r="E406" s="1" t="n">
        <v>0</v>
      </c>
      <c r="F406" t="n">
        <v>1</v>
      </c>
      <c r="G406" t="n">
        <v>0</v>
      </c>
      <c r="H406" t="n">
        <v>2</v>
      </c>
      <c r="I406" t="n">
        <v>0</v>
      </c>
      <c r="J406" t="n">
        <v>0</v>
      </c>
      <c r="K406">
        <f>IF(H406-I406-J406&gt;0,H406-I406-J406,0)</f>
        <v/>
      </c>
      <c r="L406" s="1">
        <f>IFERROR(I406*E406,0)</f>
        <v/>
      </c>
      <c r="M406" s="1">
        <f>IFERROR(K406*E406,0)</f>
        <v/>
      </c>
    </row>
    <row r="407">
      <c r="A407" t="inlineStr">
        <is>
          <t>HVJ2</t>
        </is>
      </c>
      <c r="B407" t="inlineStr">
        <is>
          <t>HVJ2</t>
        </is>
      </c>
      <c r="C407" t="inlineStr"/>
      <c r="D407" t="inlineStr">
        <is>
          <t>Uncategorized</t>
        </is>
      </c>
      <c r="E407" s="1" t="n">
        <v>0</v>
      </c>
      <c r="F407" t="n">
        <v>3</v>
      </c>
      <c r="G407" t="n">
        <v>0</v>
      </c>
      <c r="H407" t="n">
        <v>15</v>
      </c>
      <c r="I407" t="n">
        <v>0</v>
      </c>
      <c r="J407" t="n">
        <v>0</v>
      </c>
      <c r="K407">
        <f>IF(H407-I407-J407&gt;0,H407-I407-J407,0)</f>
        <v/>
      </c>
      <c r="L407" s="1">
        <f>IFERROR(I407*E407,0)</f>
        <v/>
      </c>
      <c r="M407" s="1">
        <f>IFERROR(K407*E407,0)</f>
        <v/>
      </c>
    </row>
    <row r="408">
      <c r="A408" t="inlineStr">
        <is>
          <t>HVMotor 380V</t>
        </is>
      </c>
      <c r="B408" t="inlineStr">
        <is>
          <t>HV 1250 - 380V Motor</t>
        </is>
      </c>
      <c r="C408" t="inlineStr">
        <is>
          <t>Luft Industries Natal (Pty) Ltd</t>
        </is>
      </c>
      <c r="D408" t="inlineStr">
        <is>
          <t>Uncategorized</t>
        </is>
      </c>
      <c r="E408" s="1" t="n">
        <v>1447.5</v>
      </c>
      <c r="F408" t="n">
        <v>4</v>
      </c>
      <c r="G408" t="n">
        <v>0</v>
      </c>
      <c r="H408" t="n">
        <v>14</v>
      </c>
      <c r="I408" t="n">
        <v>0</v>
      </c>
      <c r="J408" t="n">
        <v>0</v>
      </c>
      <c r="K408">
        <f>IF(H408-I408-J408&gt;0,H408-I408-J408,0)</f>
        <v/>
      </c>
      <c r="L408" s="1">
        <f>IFERROR(I408*E408,0)</f>
        <v/>
      </c>
      <c r="M408" s="1">
        <f>IFERROR(K408*E408,0)</f>
        <v/>
      </c>
    </row>
    <row r="409">
      <c r="A409" t="inlineStr">
        <is>
          <t>HWP100/001</t>
        </is>
      </c>
      <c r="B409" t="inlineStr">
        <is>
          <t>500mm Dia Fan Guard 3mm Spiral, 4mm Support, Mild Steel, Uncoated</t>
        </is>
      </c>
      <c r="C409" t="inlineStr">
        <is>
          <t>Heinmor Wire Products CC</t>
        </is>
      </c>
      <c r="D409" t="inlineStr">
        <is>
          <t>Uncategorized</t>
        </is>
      </c>
      <c r="E409" s="1" t="n">
        <v>433.36</v>
      </c>
      <c r="F409" t="n">
        <v>1</v>
      </c>
      <c r="G409" t="n">
        <v>0</v>
      </c>
      <c r="H409" t="n">
        <v>2</v>
      </c>
      <c r="I409" t="n">
        <v>0</v>
      </c>
      <c r="J409" t="n">
        <v>0</v>
      </c>
      <c r="K409">
        <f>IF(H409-I409-J409&gt;0,H409-I409-J409,0)</f>
        <v/>
      </c>
      <c r="L409" s="1">
        <f>IFERROR(I409*E409,0)</f>
        <v/>
      </c>
      <c r="M409" s="1">
        <f>IFERROR(K409*E409,0)</f>
        <v/>
      </c>
    </row>
    <row r="410">
      <c r="A410" t="inlineStr">
        <is>
          <t>HWP100/001-</t>
        </is>
      </c>
      <c r="B410" t="inlineStr">
        <is>
          <t>800mm Dia Fan Guard</t>
        </is>
      </c>
      <c r="C410" t="inlineStr">
        <is>
          <t>Heinmor Wire Products CC</t>
        </is>
      </c>
      <c r="D410" t="inlineStr">
        <is>
          <t>Uncategorized</t>
        </is>
      </c>
      <c r="E410" s="1" t="n">
        <v>516.8</v>
      </c>
      <c r="F410" t="n">
        <v>1</v>
      </c>
      <c r="G410" t="n">
        <v>0</v>
      </c>
      <c r="H410" t="n">
        <v>2</v>
      </c>
      <c r="I410" t="n">
        <v>0</v>
      </c>
      <c r="J410" t="n">
        <v>1</v>
      </c>
      <c r="K410">
        <f>IF(H410-I410-J410&gt;0,H410-I410-J410,0)</f>
        <v/>
      </c>
      <c r="L410" s="1">
        <f>IFERROR(I410*E410,0)</f>
        <v/>
      </c>
      <c r="M410" s="1">
        <f>IFERROR(K410*E410,0)</f>
        <v/>
      </c>
    </row>
    <row r="411">
      <c r="A411" t="inlineStr">
        <is>
          <t>ID75/180OD</t>
        </is>
      </c>
      <c r="B411" t="inlineStr">
        <is>
          <t>Cooling Spinner - 75mm ID - 180 OD</t>
        </is>
      </c>
      <c r="C411" t="inlineStr">
        <is>
          <t>Centrifab (Pty) Ltd</t>
        </is>
      </c>
      <c r="D411" t="inlineStr">
        <is>
          <t>Uncategorized</t>
        </is>
      </c>
      <c r="E411" s="1" t="n">
        <v>850</v>
      </c>
      <c r="F411" t="n">
        <v>1</v>
      </c>
      <c r="G411" t="n">
        <v>0</v>
      </c>
      <c r="H411" t="n">
        <v>2</v>
      </c>
      <c r="I411" t="n">
        <v>0</v>
      </c>
      <c r="J411" t="n">
        <v>0</v>
      </c>
      <c r="K411">
        <f>IF(H411-I411-J411&gt;0,H411-I411-J411,0)</f>
        <v/>
      </c>
      <c r="L411" s="1">
        <f>IFERROR(I411*E411,0)</f>
        <v/>
      </c>
      <c r="M411" s="1">
        <f>IFERROR(K411*E411,0)</f>
        <v/>
      </c>
    </row>
    <row r="412">
      <c r="A412" t="inlineStr">
        <is>
          <t>IM-CF</t>
        </is>
      </c>
      <c r="B412" t="inlineStr">
        <is>
          <t>Light duty Impeller</t>
        </is>
      </c>
      <c r="C412" t="inlineStr"/>
      <c r="D412" t="inlineStr">
        <is>
          <t>Uncategorized</t>
        </is>
      </c>
      <c r="E412" s="1" t="n">
        <v>0</v>
      </c>
      <c r="F412" t="n">
        <v>1</v>
      </c>
      <c r="G412" t="n">
        <v>0</v>
      </c>
      <c r="H412" t="n">
        <v>2</v>
      </c>
      <c r="I412" t="n">
        <v>0</v>
      </c>
      <c r="J412" t="n">
        <v>0</v>
      </c>
      <c r="K412">
        <f>IF(H412-I412-J412&gt;0,H412-I412-J412,0)</f>
        <v/>
      </c>
      <c r="L412" s="1">
        <f>IFERROR(I412*E412,0)</f>
        <v/>
      </c>
      <c r="M412" s="1">
        <f>IFERROR(K412*E412,0)</f>
        <v/>
      </c>
    </row>
    <row r="413">
      <c r="A413" t="inlineStr">
        <is>
          <t>IMP0315B150A05PR14071</t>
        </is>
      </c>
      <c r="B413" t="inlineStr">
        <is>
          <t>Impeller 0315mm 'B' 150A05PR 14mm 071Frame Deg00 -10 DEG</t>
        </is>
      </c>
      <c r="C413" t="inlineStr">
        <is>
          <t>Luft Industries Natal (Pty) Ltd</t>
        </is>
      </c>
      <c r="D413" t="inlineStr">
        <is>
          <t>Uncategorized</t>
        </is>
      </c>
      <c r="E413" s="1" t="n">
        <v>782.25</v>
      </c>
      <c r="F413" t="n">
        <v>1</v>
      </c>
      <c r="G413" t="n">
        <v>0</v>
      </c>
      <c r="H413" t="n">
        <v>2</v>
      </c>
      <c r="I413" t="n">
        <v>0</v>
      </c>
      <c r="J413" t="n">
        <v>0</v>
      </c>
      <c r="K413">
        <f>IF(H413-I413-J413&gt;0,H413-I413-J413,0)</f>
        <v/>
      </c>
      <c r="L413" s="1">
        <f>IFERROR(I413*E413,0)</f>
        <v/>
      </c>
      <c r="M413" s="1">
        <f>IFERROR(K413*E413,0)</f>
        <v/>
      </c>
    </row>
    <row r="414">
      <c r="A414" t="inlineStr">
        <is>
          <t>IMP0315B150A10AR14071</t>
        </is>
      </c>
      <c r="B414" t="inlineStr">
        <is>
          <t>Impeller 0315mm 'B' 150A10AR 14mm 071Frame Deg00 -26 DEG</t>
        </is>
      </c>
      <c r="C414" t="inlineStr">
        <is>
          <t>Luft Industries Natal (Pty) Ltd</t>
        </is>
      </c>
      <c r="D414" t="inlineStr">
        <is>
          <t>Uncategorized</t>
        </is>
      </c>
      <c r="E414" s="1" t="n">
        <v>1571.25</v>
      </c>
      <c r="F414" t="n">
        <v>1</v>
      </c>
      <c r="G414" t="n">
        <v>0</v>
      </c>
      <c r="H414" t="n">
        <v>5</v>
      </c>
      <c r="I414" t="n">
        <v>0</v>
      </c>
      <c r="J414" t="n">
        <v>0</v>
      </c>
      <c r="K414">
        <f>IF(H414-I414-J414&gt;0,H414-I414-J414,0)</f>
        <v/>
      </c>
      <c r="L414" s="1">
        <f>IFERROR(I414*E414,0)</f>
        <v/>
      </c>
      <c r="M414" s="1">
        <f>IFERROR(K414*E414,0)</f>
        <v/>
      </c>
    </row>
    <row r="415">
      <c r="A415" t="inlineStr">
        <is>
          <t>IMP0315B150A10PR14071</t>
        </is>
      </c>
      <c r="B415" t="inlineStr">
        <is>
          <t>Impeller 0315mm 'B' 150A10PR 14mm 071Frame Deg00 21 DEG</t>
        </is>
      </c>
      <c r="C415" t="inlineStr">
        <is>
          <t>Luft Industries Natal (Pty) Ltd</t>
        </is>
      </c>
      <c r="D415" t="inlineStr">
        <is>
          <t>Uncategorized</t>
        </is>
      </c>
      <c r="E415" s="1" t="n">
        <v>1164.75</v>
      </c>
      <c r="F415" t="n">
        <v>1</v>
      </c>
      <c r="G415" t="n">
        <v>0</v>
      </c>
      <c r="H415" t="n">
        <v>3</v>
      </c>
      <c r="I415" t="n">
        <v>0</v>
      </c>
      <c r="J415" t="n">
        <v>0</v>
      </c>
      <c r="K415">
        <f>IF(H415-I415-J415&gt;0,H415-I415-J415,0)</f>
        <v/>
      </c>
      <c r="L415" s="1">
        <f>IFERROR(I415*E415,0)</f>
        <v/>
      </c>
      <c r="M415" s="1">
        <f>IFERROR(K415*E415,0)</f>
        <v/>
      </c>
    </row>
    <row r="416">
      <c r="A416" t="inlineStr">
        <is>
          <t>IMP0400B150A05PR14071</t>
        </is>
      </c>
      <c r="B416" t="inlineStr">
        <is>
          <t>Impeller 0400mm 'B' 150A05PR 14mm 071Frame Deg00 - 10 DEG</t>
        </is>
      </c>
      <c r="C416" t="inlineStr">
        <is>
          <t>Luft Industries Natal (Pty) Ltd</t>
        </is>
      </c>
      <c r="D416" t="inlineStr">
        <is>
          <t>Uncategorized</t>
        </is>
      </c>
      <c r="E416" s="1" t="n">
        <v>782.25</v>
      </c>
      <c r="F416" t="n">
        <v>1</v>
      </c>
      <c r="G416" t="n">
        <v>0</v>
      </c>
      <c r="H416" t="n">
        <v>2</v>
      </c>
      <c r="I416" t="n">
        <v>0</v>
      </c>
      <c r="J416" t="n">
        <v>0</v>
      </c>
      <c r="K416">
        <f>IF(H416-I416-J416&gt;0,H416-I416-J416,0)</f>
        <v/>
      </c>
      <c r="L416" s="1">
        <f>IFERROR(I416*E416,0)</f>
        <v/>
      </c>
      <c r="M416" s="1">
        <f>IFERROR(K416*E416,0)</f>
        <v/>
      </c>
    </row>
    <row r="417">
      <c r="A417" t="inlineStr">
        <is>
          <t>IMP0400B150A05PR19080</t>
        </is>
      </c>
      <c r="B417" t="inlineStr">
        <is>
          <t>Impeller 0400mm 'B' 150A05PR 19mm 080Frame - 23Deg</t>
        </is>
      </c>
      <c r="C417" t="inlineStr">
        <is>
          <t>Luft Industries Natal (Pty) Ltd</t>
        </is>
      </c>
      <c r="D417" t="inlineStr">
        <is>
          <t>Uncategorized</t>
        </is>
      </c>
      <c r="E417" s="1" t="n">
        <v>858.75</v>
      </c>
      <c r="F417" t="n">
        <v>2</v>
      </c>
      <c r="G417" t="n">
        <v>0</v>
      </c>
      <c r="H417" t="n">
        <v>12</v>
      </c>
      <c r="I417" t="n">
        <v>0</v>
      </c>
      <c r="J417" t="n">
        <v>0</v>
      </c>
      <c r="K417">
        <f>IF(H417-I417-J417&gt;0,H417-I417-J417,0)</f>
        <v/>
      </c>
      <c r="L417" s="1">
        <f>IFERROR(I417*E417,0)</f>
        <v/>
      </c>
      <c r="M417" s="1">
        <f>IFERROR(K417*E417,0)</f>
        <v/>
      </c>
    </row>
    <row r="418">
      <c r="A418" t="inlineStr">
        <is>
          <t>IMP0400B150A05PR24090</t>
        </is>
      </c>
      <c r="B418" t="inlineStr">
        <is>
          <t>Impeller 0400mm 'B' 150A05PR 24mm 090Frame - 29Deg</t>
        </is>
      </c>
      <c r="C418" t="inlineStr">
        <is>
          <t>Luft Industries Natal (Pty) Ltd</t>
        </is>
      </c>
      <c r="D418" t="inlineStr">
        <is>
          <t>Uncategorized</t>
        </is>
      </c>
      <c r="E418" s="1" t="n">
        <v>782.25</v>
      </c>
      <c r="F418" t="n">
        <v>1</v>
      </c>
      <c r="G418" t="n">
        <v>0</v>
      </c>
      <c r="H418" t="n">
        <v>2</v>
      </c>
      <c r="I418" t="n">
        <v>0</v>
      </c>
      <c r="J418" t="n">
        <v>0</v>
      </c>
      <c r="K418">
        <f>IF(H418-I418-J418&gt;0,H418-I418-J418,0)</f>
        <v/>
      </c>
      <c r="L418" s="1">
        <f>IFERROR(I418*E418,0)</f>
        <v/>
      </c>
      <c r="M418" s="1">
        <f>IFERROR(K418*E418,0)</f>
        <v/>
      </c>
    </row>
    <row r="419">
      <c r="A419" t="inlineStr">
        <is>
          <t>IMP0400B150A10PR14071</t>
        </is>
      </c>
      <c r="B419" t="inlineStr">
        <is>
          <t>Impeller 0400mm 'B' 150A10PR 14mm 071Frame Deg00 19 DEG</t>
        </is>
      </c>
      <c r="C419" t="inlineStr">
        <is>
          <t>Luft Industries Natal (Pty) Ltd</t>
        </is>
      </c>
      <c r="D419" t="inlineStr">
        <is>
          <t>Uncategorized</t>
        </is>
      </c>
      <c r="E419" s="1" t="n">
        <v>1164.75</v>
      </c>
      <c r="F419" t="n">
        <v>1</v>
      </c>
      <c r="G419" t="n">
        <v>0</v>
      </c>
      <c r="H419" t="n">
        <v>3</v>
      </c>
      <c r="I419" t="n">
        <v>0</v>
      </c>
      <c r="J419" t="n">
        <v>0</v>
      </c>
      <c r="K419">
        <f>IF(H419-I419-J419&gt;0,H419-I419-J419,0)</f>
        <v/>
      </c>
      <c r="L419" s="1">
        <f>IFERROR(I419*E419,0)</f>
        <v/>
      </c>
      <c r="M419" s="1">
        <f>IFERROR(K419*E419,0)</f>
        <v/>
      </c>
    </row>
    <row r="420">
      <c r="A420" t="inlineStr">
        <is>
          <t>IMP0500B150A05AR19080</t>
        </is>
      </c>
      <c r="B420" t="inlineStr">
        <is>
          <t>Impeller 0500mm 'B' 150A05AR 19mm 080Frame Deg00 - 10 DEG</t>
        </is>
      </c>
      <c r="C420" t="inlineStr">
        <is>
          <t>Luft Industries Natal (Pty) Ltd</t>
        </is>
      </c>
      <c r="D420" t="inlineStr">
        <is>
          <t>Uncategorized</t>
        </is>
      </c>
      <c r="E420" s="1" t="n">
        <v>985.5</v>
      </c>
      <c r="F420" t="n">
        <v>1</v>
      </c>
      <c r="G420" t="n">
        <v>0</v>
      </c>
      <c r="H420" t="n">
        <v>2</v>
      </c>
      <c r="I420" t="n">
        <v>0</v>
      </c>
      <c r="J420" t="n">
        <v>0</v>
      </c>
      <c r="K420">
        <f>IF(H420-I420-J420&gt;0,H420-I420-J420,0)</f>
        <v/>
      </c>
      <c r="L420" s="1">
        <f>IFERROR(I420*E420,0)</f>
        <v/>
      </c>
      <c r="M420" s="1">
        <f>IFERROR(K420*E420,0)</f>
        <v/>
      </c>
    </row>
    <row r="421">
      <c r="A421" t="inlineStr">
        <is>
          <t>IMP0500B150A05AR24090</t>
        </is>
      </c>
      <c r="B421" t="inlineStr">
        <is>
          <t>Impeller 0500mm 'B' 150A05AR 24mm 090Frame Deg00 -14 DEG</t>
        </is>
      </c>
      <c r="C421" t="inlineStr">
        <is>
          <t>Luft Industries Natal (Pty) Ltd</t>
        </is>
      </c>
      <c r="D421" t="inlineStr">
        <is>
          <t>Uncategorized</t>
        </is>
      </c>
      <c r="E421" s="1" t="n">
        <v>985.5</v>
      </c>
      <c r="F421" t="n">
        <v>1</v>
      </c>
      <c r="G421" t="n">
        <v>0</v>
      </c>
      <c r="H421" t="n">
        <v>2</v>
      </c>
      <c r="I421" t="n">
        <v>0</v>
      </c>
      <c r="J421" t="n">
        <v>0</v>
      </c>
      <c r="K421">
        <f>IF(H421-I421-J421&gt;0,H421-I421-J421,0)</f>
        <v/>
      </c>
      <c r="L421" s="1">
        <f>IFERROR(I421*E421,0)</f>
        <v/>
      </c>
      <c r="M421" s="1">
        <f>IFERROR(K421*E421,0)</f>
        <v/>
      </c>
    </row>
    <row r="422">
      <c r="A422" t="inlineStr">
        <is>
          <t>IMP0500B150A05PR14071</t>
        </is>
      </c>
      <c r="B422" t="inlineStr">
        <is>
          <t>Impeller 0500mm 'B' 150A05PR 14mm 071Frame Deg00 -17 DEG</t>
        </is>
      </c>
      <c r="C422" t="inlineStr">
        <is>
          <t>Luft Industries Natal (Pty) Ltd</t>
        </is>
      </c>
      <c r="D422" t="inlineStr">
        <is>
          <t>Uncategorized</t>
        </is>
      </c>
      <c r="E422" s="1" t="n">
        <v>782.25</v>
      </c>
      <c r="F422" t="n">
        <v>1</v>
      </c>
      <c r="G422" t="n">
        <v>0</v>
      </c>
      <c r="H422" t="n">
        <v>2</v>
      </c>
      <c r="I422" t="n">
        <v>0</v>
      </c>
      <c r="J422" t="n">
        <v>0</v>
      </c>
      <c r="K422">
        <f>IF(H422-I422-J422&gt;0,H422-I422-J422,0)</f>
        <v/>
      </c>
      <c r="L422" s="1">
        <f>IFERROR(I422*E422,0)</f>
        <v/>
      </c>
      <c r="M422" s="1">
        <f>IFERROR(K422*E422,0)</f>
        <v/>
      </c>
    </row>
    <row r="423">
      <c r="A423" t="inlineStr">
        <is>
          <t>IMP0500B150A10AR14071</t>
        </is>
      </c>
      <c r="B423" t="inlineStr">
        <is>
          <t>Impeller 0500mm 'B' 150A10AR 14mm 071Frame Deg00 -10 DEG</t>
        </is>
      </c>
      <c r="C423" t="inlineStr">
        <is>
          <t>Luft Industries Natal (Pty) Ltd</t>
        </is>
      </c>
      <c r="D423" t="inlineStr">
        <is>
          <t>Uncategorized</t>
        </is>
      </c>
      <c r="E423" s="1" t="n">
        <v>1571.25</v>
      </c>
      <c r="F423" t="n">
        <v>1</v>
      </c>
      <c r="G423" t="n">
        <v>0</v>
      </c>
      <c r="H423" t="n">
        <v>2</v>
      </c>
      <c r="I423" t="n">
        <v>0</v>
      </c>
      <c r="J423" t="n">
        <v>0</v>
      </c>
      <c r="K423">
        <f>IF(H423-I423-J423&gt;0,H423-I423-J423,0)</f>
        <v/>
      </c>
      <c r="L423" s="1">
        <f>IFERROR(I423*E423,0)</f>
        <v/>
      </c>
      <c r="M423" s="1">
        <f>IFERROR(K423*E423,0)</f>
        <v/>
      </c>
    </row>
    <row r="424">
      <c r="A424" t="inlineStr">
        <is>
          <t>IMP0500B150A10AR19071</t>
        </is>
      </c>
      <c r="B424" t="inlineStr">
        <is>
          <t>Impeller 0500mm 'B' 150A10AR 19mm 071Frame Deg00 -28 DEG</t>
        </is>
      </c>
      <c r="C424" t="inlineStr">
        <is>
          <t>Luft Industries Natal (Pty) Ltd</t>
        </is>
      </c>
      <c r="D424" t="inlineStr">
        <is>
          <t>Uncategorized</t>
        </is>
      </c>
      <c r="E424" s="1" t="n">
        <v>1361.75</v>
      </c>
      <c r="F424" t="n">
        <v>1</v>
      </c>
      <c r="G424" t="n">
        <v>0</v>
      </c>
      <c r="H424" t="n">
        <v>2</v>
      </c>
      <c r="I424" t="n">
        <v>0</v>
      </c>
      <c r="J424" t="n">
        <v>0</v>
      </c>
      <c r="K424">
        <f>IF(H424-I424-J424&gt;0,H424-I424-J424,0)</f>
        <v/>
      </c>
      <c r="L424" s="1">
        <f>IFERROR(I424*E424,0)</f>
        <v/>
      </c>
      <c r="M424" s="1">
        <f>IFERROR(K424*E424,0)</f>
        <v/>
      </c>
    </row>
    <row r="425">
      <c r="A425" t="inlineStr">
        <is>
          <t>IMP0500B150A10AR24090</t>
        </is>
      </c>
      <c r="B425" t="inlineStr">
        <is>
          <t>Impeller 0500mm 'B' 150A10AR 24mm 090Frame Deg16</t>
        </is>
      </c>
      <c r="C425" t="inlineStr">
        <is>
          <t>Luft Industries Natal (Pty) Ltd</t>
        </is>
      </c>
      <c r="D425" t="inlineStr">
        <is>
          <t>Uncategorized</t>
        </is>
      </c>
      <c r="E425" s="1" t="n">
        <v>1571.25</v>
      </c>
      <c r="F425" t="n">
        <v>1</v>
      </c>
      <c r="G425" t="n">
        <v>0</v>
      </c>
      <c r="H425" t="n">
        <v>3</v>
      </c>
      <c r="I425" t="n">
        <v>0</v>
      </c>
      <c r="J425" t="n">
        <v>0</v>
      </c>
      <c r="K425">
        <f>IF(H425-I425-J425&gt;0,H425-I425-J425,0)</f>
        <v/>
      </c>
      <c r="L425" s="1">
        <f>IFERROR(I425*E425,0)</f>
        <v/>
      </c>
      <c r="M425" s="1">
        <f>IFERROR(K425*E425,0)</f>
        <v/>
      </c>
    </row>
    <row r="426">
      <c r="A426" t="inlineStr">
        <is>
          <t>IMP0500B150A10AR24090.</t>
        </is>
      </c>
      <c r="B426" t="inlineStr">
        <is>
          <t>Impeller 0500mm 'B' 150A10AR 24mm 090Fram 16deg</t>
        </is>
      </c>
      <c r="C426" t="inlineStr">
        <is>
          <t>Luft Industries Natal (Pty) Ltd</t>
        </is>
      </c>
      <c r="D426" t="inlineStr">
        <is>
          <t>Uncategorized</t>
        </is>
      </c>
      <c r="E426" s="1" t="n">
        <v>1571.25</v>
      </c>
      <c r="F426" t="n">
        <v>1</v>
      </c>
      <c r="G426" t="n">
        <v>0</v>
      </c>
      <c r="H426" t="n">
        <v>2</v>
      </c>
      <c r="I426" t="n">
        <v>0</v>
      </c>
      <c r="J426" t="n">
        <v>0</v>
      </c>
      <c r="K426">
        <f>IF(H426-I426-J426&gt;0,H426-I426-J426,0)</f>
        <v/>
      </c>
      <c r="L426" s="1">
        <f>IFERROR(I426*E426,0)</f>
        <v/>
      </c>
      <c r="M426" s="1">
        <f>IFERROR(K426*E426,0)</f>
        <v/>
      </c>
    </row>
    <row r="427">
      <c r="A427" t="inlineStr">
        <is>
          <t>IMP0500B150A10AR28100</t>
        </is>
      </c>
      <c r="B427" t="inlineStr">
        <is>
          <t>Impeller 0500mm 'B' 150A10AR 28mm 100Frame Deg00 -25 DEG</t>
        </is>
      </c>
      <c r="C427" t="inlineStr">
        <is>
          <t>Luft Industries Natal (Pty) Ltd</t>
        </is>
      </c>
      <c r="D427" t="inlineStr">
        <is>
          <t>Uncategorized</t>
        </is>
      </c>
      <c r="E427" s="1" t="n">
        <v>1403.65</v>
      </c>
      <c r="F427" t="n">
        <v>1</v>
      </c>
      <c r="G427" t="n">
        <v>0</v>
      </c>
      <c r="H427" t="n">
        <v>2</v>
      </c>
      <c r="I427" t="n">
        <v>0</v>
      </c>
      <c r="J427" t="n">
        <v>0</v>
      </c>
      <c r="K427">
        <f>IF(H427-I427-J427&gt;0,H427-I427-J427,0)</f>
        <v/>
      </c>
      <c r="L427" s="1">
        <f>IFERROR(I427*E427,0)</f>
        <v/>
      </c>
      <c r="M427" s="1">
        <f>IFERROR(K427*E427,0)</f>
        <v/>
      </c>
    </row>
    <row r="428">
      <c r="A428" t="inlineStr">
        <is>
          <t>IMP0500B150A10PR14071</t>
        </is>
      </c>
      <c r="B428" t="inlineStr">
        <is>
          <t>Impeller 0500mm 'B' 150A10PR 14mm 071Frame Deg00 - 18 DEG</t>
        </is>
      </c>
      <c r="C428" t="inlineStr">
        <is>
          <t>Luft Industries Natal (Pty) Ltd</t>
        </is>
      </c>
      <c r="D428" t="inlineStr">
        <is>
          <t>Uncategorized</t>
        </is>
      </c>
      <c r="E428" s="1" t="n">
        <v>1087.1</v>
      </c>
      <c r="F428" t="n">
        <v>1</v>
      </c>
      <c r="G428" t="n">
        <v>0</v>
      </c>
      <c r="H428" t="n">
        <v>2</v>
      </c>
      <c r="I428" t="n">
        <v>0</v>
      </c>
      <c r="J428" t="n">
        <v>0</v>
      </c>
      <c r="K428">
        <f>IF(H428-I428-J428&gt;0,H428-I428-J428,0)</f>
        <v/>
      </c>
      <c r="L428" s="1">
        <f>IFERROR(I428*E428,0)</f>
        <v/>
      </c>
      <c r="M428" s="1">
        <f>IFERROR(K428*E428,0)</f>
        <v/>
      </c>
    </row>
    <row r="429">
      <c r="A429" t="inlineStr">
        <is>
          <t>IMP0500B150A10PR140711</t>
        </is>
      </c>
      <c r="B429" t="inlineStr">
        <is>
          <t>Impeller 0500mm 'B' 150A10PR 14mm 071Frame Deg00 - 12 DEG</t>
        </is>
      </c>
      <c r="C429" t="inlineStr">
        <is>
          <t>Luft Industries Natal (Pty) Ltd</t>
        </is>
      </c>
      <c r="D429" t="inlineStr">
        <is>
          <t>Uncategorized</t>
        </is>
      </c>
      <c r="E429" s="1" t="n">
        <v>1164.75</v>
      </c>
      <c r="F429" t="n">
        <v>1</v>
      </c>
      <c r="G429" t="n">
        <v>0</v>
      </c>
      <c r="H429" t="n">
        <v>5</v>
      </c>
      <c r="I429" t="n">
        <v>0</v>
      </c>
      <c r="J429" t="n">
        <v>0</v>
      </c>
      <c r="K429">
        <f>IF(H429-I429-J429&gt;0,H429-I429-J429,0)</f>
        <v/>
      </c>
      <c r="L429" s="1">
        <f>IFERROR(I429*E429,0)</f>
        <v/>
      </c>
      <c r="M429" s="1">
        <f>IFERROR(K429*E429,0)</f>
        <v/>
      </c>
    </row>
    <row r="430">
      <c r="A430" t="inlineStr">
        <is>
          <t>IMP0560B150A05AR14071</t>
        </is>
      </c>
      <c r="B430" t="inlineStr">
        <is>
          <t>Impeller 0560mm 'B' 150A05AR 14mm 071Frame Deg00 - 20 DEG</t>
        </is>
      </c>
      <c r="C430" t="inlineStr">
        <is>
          <t>Luft Industries Natal (Pty) Ltd</t>
        </is>
      </c>
      <c r="D430" t="inlineStr">
        <is>
          <t>Uncategorized</t>
        </is>
      </c>
      <c r="E430" s="1" t="n">
        <v>1076.25</v>
      </c>
      <c r="F430" t="n">
        <v>1</v>
      </c>
      <c r="G430" t="n">
        <v>0</v>
      </c>
      <c r="H430" t="n">
        <v>2</v>
      </c>
      <c r="I430" t="n">
        <v>0</v>
      </c>
      <c r="J430" t="n">
        <v>0</v>
      </c>
      <c r="K430">
        <f>IF(H430-I430-J430&gt;0,H430-I430-J430,0)</f>
        <v/>
      </c>
      <c r="L430" s="1">
        <f>IFERROR(I430*E430,0)</f>
        <v/>
      </c>
      <c r="M430" s="1">
        <f>IFERROR(K430*E430,0)</f>
        <v/>
      </c>
    </row>
    <row r="431">
      <c r="A431" t="inlineStr">
        <is>
          <t>IMP0560B150A05AR28100</t>
        </is>
      </c>
      <c r="B431" t="inlineStr">
        <is>
          <t>Impeller 0560mm 'B' 150A05AR 28mm 100Frame Deg00 - 22 DEG</t>
        </is>
      </c>
      <c r="C431" t="inlineStr">
        <is>
          <t>Luft Industries Natal (Pty) Ltd</t>
        </is>
      </c>
      <c r="D431" t="inlineStr">
        <is>
          <t>Uncategorized</t>
        </is>
      </c>
      <c r="E431" s="1" t="n">
        <v>1076.25</v>
      </c>
      <c r="F431" t="n">
        <v>1</v>
      </c>
      <c r="G431" t="n">
        <v>0</v>
      </c>
      <c r="H431" t="n">
        <v>5</v>
      </c>
      <c r="I431" t="n">
        <v>0</v>
      </c>
      <c r="J431" t="n">
        <v>0</v>
      </c>
      <c r="K431">
        <f>IF(H431-I431-J431&gt;0,H431-I431-J431,0)</f>
        <v/>
      </c>
      <c r="L431" s="1">
        <f>IFERROR(I431*E431,0)</f>
        <v/>
      </c>
      <c r="M431" s="1">
        <f>IFERROR(K431*E431,0)</f>
        <v/>
      </c>
    </row>
    <row r="432">
      <c r="A432" t="inlineStr">
        <is>
          <t>IMP0560B150A05PR14071</t>
        </is>
      </c>
      <c r="B432" t="inlineStr">
        <is>
          <t>Impeller 0560mm 'B' 150A05PR 14mm 071Frame Deg00 20 DEG</t>
        </is>
      </c>
      <c r="C432" t="inlineStr">
        <is>
          <t>Luft Industries Natal (Pty) Ltd</t>
        </is>
      </c>
      <c r="D432" t="inlineStr">
        <is>
          <t>Uncategorized</t>
        </is>
      </c>
      <c r="E432" s="1" t="n">
        <v>782.25</v>
      </c>
      <c r="F432" t="n">
        <v>1</v>
      </c>
      <c r="G432" t="n">
        <v>0</v>
      </c>
      <c r="H432" t="n">
        <v>3</v>
      </c>
      <c r="I432" t="n">
        <v>0</v>
      </c>
      <c r="J432" t="n">
        <v>0</v>
      </c>
      <c r="K432">
        <f>IF(H432-I432-J432&gt;0,H432-I432-J432,0)</f>
        <v/>
      </c>
      <c r="L432" s="1">
        <f>IFERROR(I432*E432,0)</f>
        <v/>
      </c>
      <c r="M432" s="1">
        <f>IFERROR(K432*E432,0)</f>
        <v/>
      </c>
    </row>
    <row r="433">
      <c r="A433" t="inlineStr">
        <is>
          <t>IMP0560B150A10AR14071</t>
        </is>
      </c>
      <c r="B433" t="inlineStr">
        <is>
          <t>Impeller 0560mm 'B' 150A10AR 14mm 071Frame Deg00 10 DEG FM3517</t>
        </is>
      </c>
      <c r="C433" t="inlineStr">
        <is>
          <t>Luft Industries Natal (Pty) Ltd</t>
        </is>
      </c>
      <c r="D433" t="inlineStr">
        <is>
          <t>Uncategorized</t>
        </is>
      </c>
      <c r="E433" s="1" t="n">
        <v>1517.75</v>
      </c>
      <c r="F433" t="n">
        <v>1</v>
      </c>
      <c r="G433" t="n">
        <v>0</v>
      </c>
      <c r="H433" t="n">
        <v>2</v>
      </c>
      <c r="I433" t="n">
        <v>0</v>
      </c>
      <c r="J433" t="n">
        <v>0</v>
      </c>
      <c r="K433">
        <f>IF(H433-I433-J433&gt;0,H433-I433-J433,0)</f>
        <v/>
      </c>
      <c r="L433" s="1">
        <f>IFERROR(I433*E433,0)</f>
        <v/>
      </c>
      <c r="M433" s="1">
        <f>IFERROR(K433*E433,0)</f>
        <v/>
      </c>
    </row>
    <row r="434">
      <c r="A434" t="inlineStr">
        <is>
          <t>IMP0560B150A10AR19080</t>
        </is>
      </c>
      <c r="B434" t="inlineStr">
        <is>
          <t>Impeller 0560mm 'B' 150A10AR 19mm 080Frame Deg00 - 15 DEG</t>
        </is>
      </c>
      <c r="C434" t="inlineStr">
        <is>
          <t>Luft Industries Natal (Pty) Ltd</t>
        </is>
      </c>
      <c r="D434" t="inlineStr">
        <is>
          <t>Uncategorized</t>
        </is>
      </c>
      <c r="E434" s="1" t="n">
        <v>1634.5</v>
      </c>
      <c r="F434" t="n">
        <v>2</v>
      </c>
      <c r="G434" t="n">
        <v>0</v>
      </c>
      <c r="H434" t="n">
        <v>11</v>
      </c>
      <c r="I434" t="n">
        <v>0</v>
      </c>
      <c r="J434" t="n">
        <v>0</v>
      </c>
      <c r="K434">
        <f>IF(H434-I434-J434&gt;0,H434-I434-J434,0)</f>
        <v/>
      </c>
      <c r="L434" s="1">
        <f>IFERROR(I434*E434,0)</f>
        <v/>
      </c>
      <c r="M434" s="1">
        <f>IFERROR(K434*E434,0)</f>
        <v/>
      </c>
    </row>
    <row r="435">
      <c r="A435" t="inlineStr">
        <is>
          <t>IMP0560B150A10AR19080.</t>
        </is>
      </c>
      <c r="B435" t="inlineStr">
        <is>
          <t>Impeller 0560mm 'B' 150A10AR 19mm 080Frame Deg00 - 20 DEG</t>
        </is>
      </c>
      <c r="C435" t="inlineStr">
        <is>
          <t>Luft Industries Natal (Pty) Ltd</t>
        </is>
      </c>
      <c r="D435" t="inlineStr">
        <is>
          <t>Uncategorized</t>
        </is>
      </c>
      <c r="E435" s="1" t="n">
        <v>1634.5</v>
      </c>
      <c r="F435" t="n">
        <v>1</v>
      </c>
      <c r="G435" t="n">
        <v>0</v>
      </c>
      <c r="H435" t="n">
        <v>2</v>
      </c>
      <c r="I435" t="n">
        <v>0</v>
      </c>
      <c r="J435" t="n">
        <v>0</v>
      </c>
      <c r="K435">
        <f>IF(H435-I435-J435&gt;0,H435-I435-J435,0)</f>
        <v/>
      </c>
      <c r="L435" s="1">
        <f>IFERROR(I435*E435,0)</f>
        <v/>
      </c>
      <c r="M435" s="1">
        <f>IFERROR(K435*E435,0)</f>
        <v/>
      </c>
    </row>
    <row r="436">
      <c r="A436" t="inlineStr">
        <is>
          <t>IMP0560B150A10AR19080..</t>
        </is>
      </c>
      <c r="B436" t="inlineStr">
        <is>
          <t>Impeller 0560mm 'B' 150A10AR 19mm 080Frame Deg00 - 12 DEG</t>
        </is>
      </c>
      <c r="C436" t="inlineStr">
        <is>
          <t>Luft Industries Natal (Pty) Ltd</t>
        </is>
      </c>
      <c r="D436" t="inlineStr">
        <is>
          <t>Uncategorized</t>
        </is>
      </c>
      <c r="E436" s="1" t="n">
        <v>1751.25</v>
      </c>
      <c r="F436" t="n">
        <v>1</v>
      </c>
      <c r="G436" t="n">
        <v>0</v>
      </c>
      <c r="H436" t="n">
        <v>5</v>
      </c>
      <c r="I436" t="n">
        <v>0</v>
      </c>
      <c r="J436" t="n">
        <v>0</v>
      </c>
      <c r="K436">
        <f>IF(H436-I436-J436&gt;0,H436-I436-J436,0)</f>
        <v/>
      </c>
      <c r="L436" s="1">
        <f>IFERROR(I436*E436,0)</f>
        <v/>
      </c>
      <c r="M436" s="1">
        <f>IFERROR(K436*E436,0)</f>
        <v/>
      </c>
    </row>
    <row r="437">
      <c r="A437" t="inlineStr">
        <is>
          <t>IMP0560B150A10AR19080...</t>
        </is>
      </c>
      <c r="B437" t="inlineStr">
        <is>
          <t>Impeller 0560mm 'B' 150A10AR 19mm 080Frame Deg00 13 DEG FM3516</t>
        </is>
      </c>
      <c r="C437" t="inlineStr">
        <is>
          <t>Luft Industries Natal (Pty) Ltd</t>
        </is>
      </c>
      <c r="D437" t="inlineStr">
        <is>
          <t>Uncategorized</t>
        </is>
      </c>
      <c r="E437" s="1" t="n">
        <v>1517.75</v>
      </c>
      <c r="F437" t="n">
        <v>1</v>
      </c>
      <c r="G437" t="n">
        <v>0</v>
      </c>
      <c r="H437" t="n">
        <v>2</v>
      </c>
      <c r="I437" t="n">
        <v>0</v>
      </c>
      <c r="J437" t="n">
        <v>0</v>
      </c>
      <c r="K437">
        <f>IF(H437-I437-J437&gt;0,H437-I437-J437,0)</f>
        <v/>
      </c>
      <c r="L437" s="1">
        <f>IFERROR(I437*E437,0)</f>
        <v/>
      </c>
      <c r="M437" s="1">
        <f>IFERROR(K437*E437,0)</f>
        <v/>
      </c>
    </row>
    <row r="438">
      <c r="A438" t="inlineStr">
        <is>
          <t>IMP0560B150A10AR24090</t>
        </is>
      </c>
      <c r="B438" t="inlineStr">
        <is>
          <t>Impeller 0560mm 'B' 150A10AR 24mm 090Frame Deg00 - 33 DEG</t>
        </is>
      </c>
      <c r="C438" t="inlineStr">
        <is>
          <t>Luft Industries Natal (Pty) Ltd</t>
        </is>
      </c>
      <c r="D438" t="inlineStr">
        <is>
          <t>Uncategorized</t>
        </is>
      </c>
      <c r="E438" s="1" t="n">
        <v>1751.25</v>
      </c>
      <c r="F438" t="n">
        <v>1</v>
      </c>
      <c r="G438" t="n">
        <v>0</v>
      </c>
      <c r="H438" t="n">
        <v>2</v>
      </c>
      <c r="I438" t="n">
        <v>0</v>
      </c>
      <c r="J438" t="n">
        <v>0</v>
      </c>
      <c r="K438">
        <f>IF(H438-I438-J438&gt;0,H438-I438-J438,0)</f>
        <v/>
      </c>
      <c r="L438" s="1">
        <f>IFERROR(I438*E438,0)</f>
        <v/>
      </c>
      <c r="M438" s="1">
        <f>IFERROR(K438*E438,0)</f>
        <v/>
      </c>
    </row>
    <row r="439">
      <c r="A439" t="inlineStr">
        <is>
          <t>IMP0560B150A10AR24090.</t>
        </is>
      </c>
      <c r="B439" t="inlineStr">
        <is>
          <t>Impeller 0560mm 'B' 150A10AR 24mm 090Frame Deg00 - 28 DEG</t>
        </is>
      </c>
      <c r="C439" t="inlineStr">
        <is>
          <t>Luft Industries Natal (Pty) Ltd</t>
        </is>
      </c>
      <c r="D439" t="inlineStr">
        <is>
          <t>Uncategorized</t>
        </is>
      </c>
      <c r="E439" s="1" t="n">
        <v>1751.25</v>
      </c>
      <c r="F439" t="n">
        <v>1</v>
      </c>
      <c r="G439" t="n">
        <v>0</v>
      </c>
      <c r="H439" t="n">
        <v>5</v>
      </c>
      <c r="I439" t="n">
        <v>0</v>
      </c>
      <c r="J439" t="n">
        <v>0</v>
      </c>
      <c r="K439">
        <f>IF(H439-I439-J439&gt;0,H439-I439-J439,0)</f>
        <v/>
      </c>
      <c r="L439" s="1">
        <f>IFERROR(I439*E439,0)</f>
        <v/>
      </c>
      <c r="M439" s="1">
        <f>IFERROR(K439*E439,0)</f>
        <v/>
      </c>
    </row>
    <row r="440">
      <c r="A440" t="inlineStr">
        <is>
          <t>IMP0560B150A10PR14071</t>
        </is>
      </c>
      <c r="B440" t="inlineStr">
        <is>
          <t>Impeller 0560mm 'B' 150A10PR 14mm 071Frame</t>
        </is>
      </c>
      <c r="C440" t="inlineStr">
        <is>
          <t>Luft Industries Natal (Pty) Ltd</t>
        </is>
      </c>
      <c r="D440" t="inlineStr">
        <is>
          <t>Uncategorized</t>
        </is>
      </c>
      <c r="E440" s="1" t="n">
        <v>1009.45</v>
      </c>
      <c r="F440" t="n">
        <v>1</v>
      </c>
      <c r="G440" t="n">
        <v>0</v>
      </c>
      <c r="H440" t="n">
        <v>2</v>
      </c>
      <c r="I440" t="n">
        <v>0</v>
      </c>
      <c r="J440" t="n">
        <v>0</v>
      </c>
      <c r="K440">
        <f>IF(H440-I440-J440&gt;0,H440-I440-J440,0)</f>
        <v/>
      </c>
      <c r="L440" s="1">
        <f>IFERROR(I440*E440,0)</f>
        <v/>
      </c>
      <c r="M440" s="1">
        <f>IFERROR(K440*E440,0)</f>
        <v/>
      </c>
    </row>
    <row r="441">
      <c r="A441" t="inlineStr">
        <is>
          <t>IMP0560B150A10PR19080</t>
        </is>
      </c>
      <c r="B441" t="inlineStr">
        <is>
          <t>Impeller 0560mm 'B' 150A10PR 19mm 080Frame Deg00 - 11 DEG</t>
        </is>
      </c>
      <c r="C441" t="inlineStr">
        <is>
          <t>Luft Industries Natal (Pty) Ltd</t>
        </is>
      </c>
      <c r="D441" t="inlineStr">
        <is>
          <t>Uncategorized</t>
        </is>
      </c>
      <c r="E441" s="1" t="n">
        <v>1164.75</v>
      </c>
      <c r="F441" t="n">
        <v>1</v>
      </c>
      <c r="G441" t="n">
        <v>0</v>
      </c>
      <c r="H441" t="n">
        <v>2</v>
      </c>
      <c r="I441" t="n">
        <v>0</v>
      </c>
      <c r="J441" t="n">
        <v>0</v>
      </c>
      <c r="K441">
        <f>IF(H441-I441-J441&gt;0,H441-I441-J441,0)</f>
        <v/>
      </c>
      <c r="L441" s="1">
        <f>IFERROR(I441*E441,0)</f>
        <v/>
      </c>
      <c r="M441" s="1">
        <f>IFERROR(K441*E441,0)</f>
        <v/>
      </c>
    </row>
    <row r="442">
      <c r="A442" t="inlineStr">
        <is>
          <t>IMP0560B250A14AR19080</t>
        </is>
      </c>
      <c r="B442" t="inlineStr">
        <is>
          <t>Impeller 0560mm 'B' 250A14AR19mm 080Frame</t>
        </is>
      </c>
      <c r="C442" t="inlineStr">
        <is>
          <t>Luft Industries Natal (Pty) Ltd</t>
        </is>
      </c>
      <c r="D442" t="inlineStr">
        <is>
          <t>Uncategorized</t>
        </is>
      </c>
      <c r="E442" s="1" t="n">
        <v>2104.7</v>
      </c>
      <c r="F442" t="n">
        <v>1</v>
      </c>
      <c r="G442" t="n">
        <v>0</v>
      </c>
      <c r="H442" t="n">
        <v>2</v>
      </c>
      <c r="I442" t="n">
        <v>0</v>
      </c>
      <c r="J442" t="n">
        <v>0</v>
      </c>
      <c r="K442">
        <f>IF(H442-I442-J442&gt;0,H442-I442-J442,0)</f>
        <v/>
      </c>
      <c r="L442" s="1">
        <f>IFERROR(I442*E442,0)</f>
        <v/>
      </c>
      <c r="M442" s="1">
        <f>IFERROR(K442*E442,0)</f>
        <v/>
      </c>
    </row>
    <row r="443">
      <c r="A443" t="inlineStr">
        <is>
          <t>IMP0560B250A14PR24090</t>
        </is>
      </c>
      <c r="B443" t="inlineStr">
        <is>
          <t>Impeller 0560mm 'B' 250A14PR 24mm 090Frame</t>
        </is>
      </c>
      <c r="C443" t="inlineStr">
        <is>
          <t>Luft Industries Natal (Pty) Ltd</t>
        </is>
      </c>
      <c r="D443" t="inlineStr">
        <is>
          <t>Uncategorized</t>
        </is>
      </c>
      <c r="E443" s="1" t="n">
        <v>1860</v>
      </c>
      <c r="F443" t="n">
        <v>1</v>
      </c>
      <c r="G443" t="n">
        <v>0</v>
      </c>
      <c r="H443" t="n">
        <v>5</v>
      </c>
      <c r="I443" t="n">
        <v>0</v>
      </c>
      <c r="J443" t="n">
        <v>0</v>
      </c>
      <c r="K443">
        <f>IF(H443-I443-J443&gt;0,H443-I443-J443,0)</f>
        <v/>
      </c>
      <c r="L443" s="1">
        <f>IFERROR(I443*E443,0)</f>
        <v/>
      </c>
      <c r="M443" s="1">
        <f>IFERROR(K443*E443,0)</f>
        <v/>
      </c>
    </row>
    <row r="444">
      <c r="A444" t="inlineStr">
        <is>
          <t>IMP0630B150A10AR24090</t>
        </is>
      </c>
      <c r="B444" t="inlineStr">
        <is>
          <t>Impeller 0630mm 'B' 150A10AR 24mm 090Frame Deg00 -27 DEG</t>
        </is>
      </c>
      <c r="C444" t="inlineStr">
        <is>
          <t>Luft Industries Natal (Pty) Ltd</t>
        </is>
      </c>
      <c r="D444" t="inlineStr">
        <is>
          <t>Uncategorized</t>
        </is>
      </c>
      <c r="E444" s="1" t="n">
        <v>1611.15</v>
      </c>
      <c r="F444" t="n">
        <v>1</v>
      </c>
      <c r="G444" t="n">
        <v>0</v>
      </c>
      <c r="H444" t="n">
        <v>2</v>
      </c>
      <c r="I444" t="n">
        <v>0</v>
      </c>
      <c r="J444" t="n">
        <v>0</v>
      </c>
      <c r="K444">
        <f>IF(H444-I444-J444&gt;0,H444-I444-J444,0)</f>
        <v/>
      </c>
      <c r="L444" s="1">
        <f>IFERROR(I444*E444,0)</f>
        <v/>
      </c>
      <c r="M444" s="1">
        <f>IFERROR(K444*E444,0)</f>
        <v/>
      </c>
    </row>
    <row r="445">
      <c r="A445" t="inlineStr">
        <is>
          <t>IMP0630B250A14AR24090</t>
        </is>
      </c>
      <c r="B445" t="inlineStr">
        <is>
          <t>Impeller 0630mm 'B' 250A14AR 24mm 090Frame</t>
        </is>
      </c>
      <c r="C445" t="inlineStr">
        <is>
          <t>Luft Industries Natal (Pty) Ltd</t>
        </is>
      </c>
      <c r="D445" t="inlineStr">
        <is>
          <t>Uncategorized</t>
        </is>
      </c>
      <c r="E445" s="1" t="n">
        <v>2086.5</v>
      </c>
      <c r="F445" t="n">
        <v>2</v>
      </c>
      <c r="G445" t="n">
        <v>0</v>
      </c>
      <c r="H445" t="n">
        <v>8</v>
      </c>
      <c r="I445" t="n">
        <v>0</v>
      </c>
      <c r="J445" t="n">
        <v>0</v>
      </c>
      <c r="K445">
        <f>IF(H445-I445-J445&gt;0,H445-I445-J445,0)</f>
        <v/>
      </c>
      <c r="L445" s="1">
        <f>IFERROR(I445*E445,0)</f>
        <v/>
      </c>
      <c r="M445" s="1">
        <f>IFERROR(K445*E445,0)</f>
        <v/>
      </c>
    </row>
    <row r="446">
      <c r="A446" t="inlineStr">
        <is>
          <t>IMP0630B250A14AR28100</t>
        </is>
      </c>
      <c r="B446" t="inlineStr">
        <is>
          <t>Impeller 0630mm 'B' 250A14AR 28mm 100Frame</t>
        </is>
      </c>
      <c r="C446" t="inlineStr">
        <is>
          <t>Luft Industries Natal (Pty) Ltd</t>
        </is>
      </c>
      <c r="D446" t="inlineStr">
        <is>
          <t>Uncategorized</t>
        </is>
      </c>
      <c r="E446" s="1" t="n">
        <v>2442.91</v>
      </c>
      <c r="F446" t="n">
        <v>1</v>
      </c>
      <c r="G446" t="n">
        <v>0</v>
      </c>
      <c r="H446" t="n">
        <v>4</v>
      </c>
      <c r="I446" t="n">
        <v>0</v>
      </c>
      <c r="J446" t="n">
        <v>0</v>
      </c>
      <c r="K446">
        <f>IF(H446-I446-J446&gt;0,H446-I446-J446,0)</f>
        <v/>
      </c>
      <c r="L446" s="1">
        <f>IFERROR(I446*E446,0)</f>
        <v/>
      </c>
      <c r="M446" s="1">
        <f>IFERROR(K446*E446,0)</f>
        <v/>
      </c>
    </row>
    <row r="447">
      <c r="A447" t="inlineStr">
        <is>
          <t>IMP0630B250A14PR28100</t>
        </is>
      </c>
      <c r="B447" t="inlineStr">
        <is>
          <t>Impeller 0630mm 'B' 250A14PR 28mm 100Frame Deg00 - 30 DEG</t>
        </is>
      </c>
      <c r="C447" t="inlineStr">
        <is>
          <t>Luft Industries Natal (Pty) Ltd</t>
        </is>
      </c>
      <c r="D447" t="inlineStr">
        <is>
          <t>Uncategorized</t>
        </is>
      </c>
      <c r="E447" s="1" t="n">
        <v>1860</v>
      </c>
      <c r="F447" t="n">
        <v>1</v>
      </c>
      <c r="G447" t="n">
        <v>0</v>
      </c>
      <c r="H447" t="n">
        <v>2</v>
      </c>
      <c r="I447" t="n">
        <v>0</v>
      </c>
      <c r="J447" t="n">
        <v>0</v>
      </c>
      <c r="K447">
        <f>IF(H447-I447-J447&gt;0,H447-I447-J447,0)</f>
        <v/>
      </c>
      <c r="L447" s="1">
        <f>IFERROR(I447*E447,0)</f>
        <v/>
      </c>
      <c r="M447" s="1">
        <f>IFERROR(K447*E447,0)</f>
        <v/>
      </c>
    </row>
    <row r="448">
      <c r="A448" t="inlineStr">
        <is>
          <t>IMP0710A150A10AR28100</t>
        </is>
      </c>
      <c r="B448" t="inlineStr">
        <is>
          <t>Impeller 0710mm 'A' 150A10AR 28mm 100Frame Deg00 - 38 DEG</t>
        </is>
      </c>
      <c r="C448" t="inlineStr">
        <is>
          <t>Luft Industries Natal (Pty) Ltd</t>
        </is>
      </c>
      <c r="D448" t="inlineStr">
        <is>
          <t>Uncategorized</t>
        </is>
      </c>
      <c r="E448" s="1" t="n">
        <v>1576.12</v>
      </c>
      <c r="F448" t="n">
        <v>1</v>
      </c>
      <c r="G448" t="n">
        <v>0</v>
      </c>
      <c r="H448" t="n">
        <v>2</v>
      </c>
      <c r="I448" t="n">
        <v>0</v>
      </c>
      <c r="J448" t="n">
        <v>0</v>
      </c>
      <c r="K448">
        <f>IF(H448-I448-J448&gt;0,H448-I448-J448,0)</f>
        <v/>
      </c>
      <c r="L448" s="1">
        <f>IFERROR(I448*E448,0)</f>
        <v/>
      </c>
      <c r="M448" s="1">
        <f>IFERROR(K448*E448,0)</f>
        <v/>
      </c>
    </row>
    <row r="449">
      <c r="A449" t="inlineStr">
        <is>
          <t>IMP0710B150A05AR28100</t>
        </is>
      </c>
      <c r="B449" t="inlineStr">
        <is>
          <t>Impeller 0710mm 'B' 150A05AR 28mm 100Frame Deg00 - 35 DEG</t>
        </is>
      </c>
      <c r="C449" t="inlineStr">
        <is>
          <t>Luft Industries Natal (Pty) Ltd</t>
        </is>
      </c>
      <c r="D449" t="inlineStr">
        <is>
          <t>Uncategorized</t>
        </is>
      </c>
      <c r="E449" s="1" t="n">
        <v>1076.25</v>
      </c>
      <c r="F449" t="n">
        <v>2</v>
      </c>
      <c r="G449" t="n">
        <v>0</v>
      </c>
      <c r="H449" t="n">
        <v>8</v>
      </c>
      <c r="I449" t="n">
        <v>0</v>
      </c>
      <c r="J449" t="n">
        <v>0</v>
      </c>
      <c r="K449">
        <f>IF(H449-I449-J449&gt;0,H449-I449-J449,0)</f>
        <v/>
      </c>
      <c r="L449" s="1">
        <f>IFERROR(I449*E449,0)</f>
        <v/>
      </c>
      <c r="M449" s="1">
        <f>IFERROR(K449*E449,0)</f>
        <v/>
      </c>
    </row>
    <row r="450">
      <c r="A450" t="inlineStr">
        <is>
          <t>IMP0710B150A05PR24090</t>
        </is>
      </c>
      <c r="B450" t="inlineStr">
        <is>
          <t>Impeller 0710mm 'B' 150A05PR 24mm 090Frame Deg00 -21 DEG</t>
        </is>
      </c>
      <c r="C450" t="inlineStr">
        <is>
          <t>Luft Industries Natal (Pty) Ltd</t>
        </is>
      </c>
      <c r="D450" t="inlineStr">
        <is>
          <t>Uncategorized</t>
        </is>
      </c>
      <c r="E450" s="1" t="n">
        <v>782.25</v>
      </c>
      <c r="F450" t="n">
        <v>2</v>
      </c>
      <c r="G450" t="n">
        <v>0</v>
      </c>
      <c r="H450" t="n">
        <v>8</v>
      </c>
      <c r="I450" t="n">
        <v>0</v>
      </c>
      <c r="J450" t="n">
        <v>0</v>
      </c>
      <c r="K450">
        <f>IF(H450-I450-J450&gt;0,H450-I450-J450,0)</f>
        <v/>
      </c>
      <c r="L450" s="1">
        <f>IFERROR(I450*E450,0)</f>
        <v/>
      </c>
      <c r="M450" s="1">
        <f>IFERROR(K450*E450,0)</f>
        <v/>
      </c>
    </row>
    <row r="451">
      <c r="A451" t="inlineStr">
        <is>
          <t>IMP0710B150A10AR28100</t>
        </is>
      </c>
      <c r="B451" t="inlineStr">
        <is>
          <t>Impeller 0710mm 'B' 150A10AR 28mm 100Frame Deg00 - 33 DEG</t>
        </is>
      </c>
      <c r="C451" t="inlineStr">
        <is>
          <t>Luft Industries Natal (Pty) Ltd</t>
        </is>
      </c>
      <c r="D451" t="inlineStr">
        <is>
          <t>Uncategorized</t>
        </is>
      </c>
      <c r="E451" s="1" t="n">
        <v>1751.25</v>
      </c>
      <c r="F451" t="n">
        <v>1</v>
      </c>
      <c r="G451" t="n">
        <v>0</v>
      </c>
      <c r="H451" t="n">
        <v>5</v>
      </c>
      <c r="I451" t="n">
        <v>0</v>
      </c>
      <c r="J451" t="n">
        <v>0</v>
      </c>
      <c r="K451">
        <f>IF(H451-I451-J451&gt;0,H451-I451-J451,0)</f>
        <v/>
      </c>
      <c r="L451" s="1">
        <f>IFERROR(I451*E451,0)</f>
        <v/>
      </c>
      <c r="M451" s="1">
        <f>IFERROR(K451*E451,0)</f>
        <v/>
      </c>
    </row>
    <row r="452">
      <c r="A452" t="inlineStr">
        <is>
          <t>IMP0710B150A10AR28100.</t>
        </is>
      </c>
      <c r="B452" t="inlineStr">
        <is>
          <t>Impeller 0710mm 'B' 150A10AR 28mm 100Frame Deg00 - 38 DEG</t>
        </is>
      </c>
      <c r="C452" t="inlineStr">
        <is>
          <t>Luft Industries Natal (Pty) Ltd</t>
        </is>
      </c>
      <c r="D452" t="inlineStr">
        <is>
          <t>Uncategorized</t>
        </is>
      </c>
      <c r="E452" s="1" t="n">
        <v>1751.25</v>
      </c>
      <c r="F452" t="n">
        <v>1</v>
      </c>
      <c r="G452" t="n">
        <v>0</v>
      </c>
      <c r="H452" t="n">
        <v>5</v>
      </c>
      <c r="I452" t="n">
        <v>0</v>
      </c>
      <c r="J452" t="n">
        <v>0</v>
      </c>
      <c r="K452">
        <f>IF(H452-I452-J452&gt;0,H452-I452-J452,0)</f>
        <v/>
      </c>
      <c r="L452" s="1">
        <f>IFERROR(I452*E452,0)</f>
        <v/>
      </c>
      <c r="M452" s="1">
        <f>IFERROR(K452*E452,0)</f>
        <v/>
      </c>
    </row>
    <row r="453">
      <c r="A453" t="inlineStr">
        <is>
          <t>IMP0710B250A07PR240903</t>
        </is>
      </c>
      <c r="B453" t="inlineStr">
        <is>
          <t>Impeller 0710mm 'B' 250A07PR 24mm 090Frame Deg00 -24 DEG</t>
        </is>
      </c>
      <c r="C453" t="inlineStr">
        <is>
          <t>Luft Industries Natal (Pty) Ltd</t>
        </is>
      </c>
      <c r="D453" t="inlineStr">
        <is>
          <t>Uncategorized</t>
        </is>
      </c>
      <c r="E453" s="1" t="n">
        <v>1324.5</v>
      </c>
      <c r="F453" t="n">
        <v>1</v>
      </c>
      <c r="G453" t="n">
        <v>0</v>
      </c>
      <c r="H453" t="n">
        <v>2</v>
      </c>
      <c r="I453" t="n">
        <v>0</v>
      </c>
      <c r="J453" t="n">
        <v>0</v>
      </c>
      <c r="K453">
        <f>IF(H453-I453-J453&gt;0,H453-I453-J453,0)</f>
        <v/>
      </c>
      <c r="L453" s="1">
        <f>IFERROR(I453*E453,0)</f>
        <v/>
      </c>
      <c r="M453" s="1">
        <f>IFERROR(K453*E453,0)</f>
        <v/>
      </c>
    </row>
    <row r="454">
      <c r="A454" t="inlineStr">
        <is>
          <t>IMP0710B250A14AR28100</t>
        </is>
      </c>
      <c r="B454" t="inlineStr">
        <is>
          <t>Impeller 0710mm 'B' 250A14AR 28mm 100Frame</t>
        </is>
      </c>
      <c r="C454" t="inlineStr">
        <is>
          <t>Luft Industries Natal (Pty) Ltd</t>
        </is>
      </c>
      <c r="D454" t="inlineStr">
        <is>
          <t>Uncategorized</t>
        </is>
      </c>
      <c r="E454" s="1" t="n">
        <v>2145.82</v>
      </c>
      <c r="F454" t="n">
        <v>1</v>
      </c>
      <c r="G454" t="n">
        <v>0</v>
      </c>
      <c r="H454" t="n">
        <v>4</v>
      </c>
      <c r="I454" t="n">
        <v>0</v>
      </c>
      <c r="J454" t="n">
        <v>0</v>
      </c>
      <c r="K454">
        <f>IF(H454-I454-J454&gt;0,H454-I454-J454,0)</f>
        <v/>
      </c>
      <c r="L454" s="1">
        <f>IFERROR(I454*E454,0)</f>
        <v/>
      </c>
      <c r="M454" s="1">
        <f>IFERROR(K454*E454,0)</f>
        <v/>
      </c>
    </row>
    <row r="455">
      <c r="A455" t="inlineStr">
        <is>
          <t>IMP0710B250A14PR24090</t>
        </is>
      </c>
      <c r="B455" t="inlineStr">
        <is>
          <t>Impeller 0710mm 'B' 250A14PR 24mm 090Frame</t>
        </is>
      </c>
      <c r="C455" t="inlineStr">
        <is>
          <t>Luft Industries Natal (Pty) Ltd</t>
        </is>
      </c>
      <c r="D455" t="inlineStr">
        <is>
          <t>Uncategorized</t>
        </is>
      </c>
      <c r="E455" s="1" t="n">
        <v>1736</v>
      </c>
      <c r="F455" t="n">
        <v>1</v>
      </c>
      <c r="G455" t="n">
        <v>0</v>
      </c>
      <c r="H455" t="n">
        <v>5</v>
      </c>
      <c r="I455" t="n">
        <v>0</v>
      </c>
      <c r="J455" t="n">
        <v>0</v>
      </c>
      <c r="K455">
        <f>IF(H455-I455-J455&gt;0,H455-I455-J455,0)</f>
        <v/>
      </c>
      <c r="L455" s="1">
        <f>IFERROR(I455*E455,0)</f>
        <v/>
      </c>
      <c r="M455" s="1">
        <f>IFERROR(K455*E455,0)</f>
        <v/>
      </c>
    </row>
    <row r="456">
      <c r="A456" t="inlineStr">
        <is>
          <t>IMP0800B150A10AR28100</t>
        </is>
      </c>
      <c r="B456" t="inlineStr">
        <is>
          <t>Impeller 0800mm 'B' 150A10AR 28mm 100Frame Deg00 - 25 DEG</t>
        </is>
      </c>
      <c r="C456" t="inlineStr">
        <is>
          <t>Luft Industries Natal (Pty) Ltd</t>
        </is>
      </c>
      <c r="D456" t="inlineStr">
        <is>
          <t>Uncategorized</t>
        </is>
      </c>
      <c r="E456" s="1" t="n">
        <v>1664.65</v>
      </c>
      <c r="F456" t="n">
        <v>1</v>
      </c>
      <c r="G456" t="n">
        <v>0</v>
      </c>
      <c r="H456" t="n">
        <v>4</v>
      </c>
      <c r="I456" t="n">
        <v>0</v>
      </c>
      <c r="J456" t="n">
        <v>0</v>
      </c>
      <c r="K456">
        <f>IF(H456-I456-J456&gt;0,H456-I456-J456,0)</f>
        <v/>
      </c>
      <c r="L456" s="1">
        <f>IFERROR(I456*E456,0)</f>
        <v/>
      </c>
      <c r="M456" s="1">
        <f>IFERROR(K456*E456,0)</f>
        <v/>
      </c>
    </row>
    <row r="457">
      <c r="A457" t="inlineStr">
        <is>
          <t>IMP0800B150A10AR28100.</t>
        </is>
      </c>
      <c r="B457" t="inlineStr">
        <is>
          <t>Impeller 0800mm 'B' 150A10AR 28mm 100Frame Deg00 -14 DEG</t>
        </is>
      </c>
      <c r="C457" t="inlineStr">
        <is>
          <t>Luft Industries Natal (Pty) Ltd</t>
        </is>
      </c>
      <c r="D457" t="inlineStr">
        <is>
          <t>Uncategorized</t>
        </is>
      </c>
      <c r="E457" s="1" t="n">
        <v>1732.25</v>
      </c>
      <c r="F457" t="n">
        <v>1</v>
      </c>
      <c r="G457" t="n">
        <v>0</v>
      </c>
      <c r="H457" t="n">
        <v>2</v>
      </c>
      <c r="I457" t="n">
        <v>0</v>
      </c>
      <c r="J457" t="n">
        <v>0</v>
      </c>
      <c r="K457">
        <f>IF(H457-I457-J457&gt;0,H457-I457-J457,0)</f>
        <v/>
      </c>
      <c r="L457" s="1">
        <f>IFERROR(I457*E457,0)</f>
        <v/>
      </c>
      <c r="M457" s="1">
        <f>IFERROR(K457*E457,0)</f>
        <v/>
      </c>
    </row>
    <row r="458">
      <c r="A458" t="inlineStr">
        <is>
          <t>IMP0800B150A10PR28100</t>
        </is>
      </c>
      <c r="B458" t="inlineStr">
        <is>
          <t>Impeller 0800mm 'B' 150A10PR 28mm 100Frame Deg 25</t>
        </is>
      </c>
      <c r="C458" t="inlineStr">
        <is>
          <t>Luft Industries Natal (Pty) Ltd</t>
        </is>
      </c>
      <c r="D458" t="inlineStr">
        <is>
          <t>Uncategorized</t>
        </is>
      </c>
      <c r="E458" s="1" t="n">
        <v>1753.95</v>
      </c>
      <c r="F458" t="n">
        <v>2</v>
      </c>
      <c r="G458" t="n">
        <v>0</v>
      </c>
      <c r="H458" t="n">
        <v>12</v>
      </c>
      <c r="I458" t="n">
        <v>0</v>
      </c>
      <c r="J458" t="n">
        <v>0</v>
      </c>
      <c r="K458">
        <f>IF(H458-I458-J458&gt;0,H458-I458-J458,0)</f>
        <v/>
      </c>
      <c r="L458" s="1">
        <f>IFERROR(I458*E458,0)</f>
        <v/>
      </c>
      <c r="M458" s="1">
        <f>IFERROR(K458*E458,0)</f>
        <v/>
      </c>
    </row>
    <row r="459">
      <c r="A459" t="inlineStr">
        <is>
          <t>IMP0800B250A14AR28100</t>
        </is>
      </c>
      <c r="B459" t="inlineStr">
        <is>
          <t>Impeller 0800mm 'B' 250A14AR 28mm 100Frame</t>
        </is>
      </c>
      <c r="C459" t="inlineStr">
        <is>
          <t>Luft Industries Natal (Pty) Ltd</t>
        </is>
      </c>
      <c r="D459" t="inlineStr">
        <is>
          <t>Uncategorized</t>
        </is>
      </c>
      <c r="E459" s="1" t="n">
        <v>1612</v>
      </c>
      <c r="F459" t="n">
        <v>1</v>
      </c>
      <c r="G459" t="n">
        <v>0</v>
      </c>
      <c r="H459" t="n">
        <v>2</v>
      </c>
      <c r="I459" t="n">
        <v>0</v>
      </c>
      <c r="J459" t="n">
        <v>0</v>
      </c>
      <c r="K459">
        <f>IF(H459-I459-J459&gt;0,H459-I459-J459,0)</f>
        <v/>
      </c>
      <c r="L459" s="1">
        <f>IFERROR(I459*E459,0)</f>
        <v/>
      </c>
      <c r="M459" s="1">
        <f>IFERROR(K459*E459,0)</f>
        <v/>
      </c>
    </row>
    <row r="460">
      <c r="A460" t="inlineStr">
        <is>
          <t>IMP0800B250A14AR38132</t>
        </is>
      </c>
      <c r="B460" t="inlineStr">
        <is>
          <t>Impeller 0800mm 'B' 250A14AR 38mm 132Frame Deg00 - 35 DEG</t>
        </is>
      </c>
      <c r="C460" t="inlineStr">
        <is>
          <t>Luft Industries Natal (Pty) Ltd</t>
        </is>
      </c>
      <c r="D460" t="inlineStr">
        <is>
          <t>Uncategorized</t>
        </is>
      </c>
      <c r="E460" s="1" t="n">
        <v>2562</v>
      </c>
      <c r="F460" t="n">
        <v>4</v>
      </c>
      <c r="G460" t="n">
        <v>0</v>
      </c>
      <c r="H460" t="n">
        <v>22</v>
      </c>
      <c r="I460" t="n">
        <v>0</v>
      </c>
      <c r="J460" t="n">
        <v>0</v>
      </c>
      <c r="K460">
        <f>IF(H460-I460-J460&gt;0,H460-I460-J460,0)</f>
        <v/>
      </c>
      <c r="L460" s="1">
        <f>IFERROR(I460*E460,0)</f>
        <v/>
      </c>
      <c r="M460" s="1">
        <f>IFERROR(K460*E460,0)</f>
        <v/>
      </c>
    </row>
    <row r="461">
      <c r="A461" t="inlineStr">
        <is>
          <t>IMP0900B250A14AR28</t>
        </is>
      </c>
      <c r="B461" t="inlineStr">
        <is>
          <t>900/250/14 13 deg pitch 28mm bore form B Aluminium Blades</t>
        </is>
      </c>
      <c r="C461" t="inlineStr">
        <is>
          <t>Luft Industries Natal (Pty) Ltd</t>
        </is>
      </c>
      <c r="D461" t="inlineStr">
        <is>
          <t>Uncategorized</t>
        </is>
      </c>
      <c r="E461" s="1" t="n">
        <v>2505.75</v>
      </c>
      <c r="F461" t="n">
        <v>1</v>
      </c>
      <c r="G461" t="n">
        <v>0</v>
      </c>
      <c r="H461" t="n">
        <v>2</v>
      </c>
      <c r="I461" t="n">
        <v>0</v>
      </c>
      <c r="J461" t="n">
        <v>0</v>
      </c>
      <c r="K461">
        <f>IF(H461-I461-J461&gt;0,H461-I461-J461,0)</f>
        <v/>
      </c>
      <c r="L461" s="1">
        <f>IFERROR(I461*E461,0)</f>
        <v/>
      </c>
      <c r="M461" s="1">
        <f>IFERROR(K461*E461,0)</f>
        <v/>
      </c>
    </row>
    <row r="462">
      <c r="A462" t="inlineStr">
        <is>
          <t>IMP0900B250A14AR38</t>
        </is>
      </c>
      <c r="B462" t="inlineStr">
        <is>
          <t>900/250/14 15 deg pitch 38mm bore form B Aluminium Blades</t>
        </is>
      </c>
      <c r="C462" t="inlineStr">
        <is>
          <t>Luft Industries Natal (Pty) Ltd</t>
        </is>
      </c>
      <c r="D462" t="inlineStr">
        <is>
          <t>Uncategorized</t>
        </is>
      </c>
      <c r="E462" s="1" t="n">
        <v>2594.15</v>
      </c>
      <c r="F462" t="n">
        <v>1</v>
      </c>
      <c r="G462" t="n">
        <v>0</v>
      </c>
      <c r="H462" t="n">
        <v>2</v>
      </c>
      <c r="I462" t="n">
        <v>0</v>
      </c>
      <c r="J462" t="n">
        <v>0</v>
      </c>
      <c r="K462">
        <f>IF(H462-I462-J462&gt;0,H462-I462-J462,0)</f>
        <v/>
      </c>
      <c r="L462" s="1">
        <f>IFERROR(I462*E462,0)</f>
        <v/>
      </c>
      <c r="M462" s="1">
        <f>IFERROR(K462*E462,0)</f>
        <v/>
      </c>
    </row>
    <row r="463">
      <c r="A463" t="inlineStr">
        <is>
          <t>IMP1000B250A14AR38132</t>
        </is>
      </c>
      <c r="B463" t="inlineStr">
        <is>
          <t>Impeller 1000mm 'B' 250A14AR 38mm 132Frame Deg00 - 25 DEG</t>
        </is>
      </c>
      <c r="C463" t="inlineStr">
        <is>
          <t>Luft Industries Natal (Pty) Ltd</t>
        </is>
      </c>
      <c r="D463" t="inlineStr">
        <is>
          <t>Uncategorized</t>
        </is>
      </c>
      <c r="E463" s="1" t="n">
        <v>2993.25</v>
      </c>
      <c r="F463" t="n">
        <v>1</v>
      </c>
      <c r="G463" t="n">
        <v>0</v>
      </c>
      <c r="H463" t="n">
        <v>2</v>
      </c>
      <c r="I463" t="n">
        <v>0</v>
      </c>
      <c r="J463" t="n">
        <v>0</v>
      </c>
      <c r="K463">
        <f>IF(H463-I463-J463&gt;0,H463-I463-J463,0)</f>
        <v/>
      </c>
      <c r="L463" s="1">
        <f>IFERROR(I463*E463,0)</f>
        <v/>
      </c>
      <c r="M463" s="1">
        <f>IFERROR(K463*E463,0)</f>
        <v/>
      </c>
    </row>
    <row r="464">
      <c r="A464" t="inlineStr">
        <is>
          <t>IMP315LDA</t>
        </is>
      </c>
      <c r="B464" t="inlineStr">
        <is>
          <t>315diam LDA Impeller</t>
        </is>
      </c>
      <c r="C464" t="inlineStr">
        <is>
          <t>CFW Fans (Pty) Ltd</t>
        </is>
      </c>
      <c r="D464" t="inlineStr">
        <is>
          <t>Uncategorized</t>
        </is>
      </c>
      <c r="E464" s="1" t="n">
        <v>1249</v>
      </c>
      <c r="F464" t="n">
        <v>1</v>
      </c>
      <c r="G464" t="n">
        <v>0</v>
      </c>
      <c r="H464" t="n">
        <v>3</v>
      </c>
      <c r="I464" t="n">
        <v>0</v>
      </c>
      <c r="J464" t="n">
        <v>0</v>
      </c>
      <c r="K464">
        <f>IF(H464-I464-J464&gt;0,H464-I464-J464,0)</f>
        <v/>
      </c>
      <c r="L464" s="1">
        <f>IFERROR(I464*E464,0)</f>
        <v/>
      </c>
      <c r="M464" s="1">
        <f>IFERROR(K464*E464,0)</f>
        <v/>
      </c>
    </row>
    <row r="465">
      <c r="A465" t="inlineStr">
        <is>
          <t>IMP400LDA</t>
        </is>
      </c>
      <c r="B465" t="inlineStr">
        <is>
          <t>400diam LDA Impeller</t>
        </is>
      </c>
      <c r="C465" t="inlineStr">
        <is>
          <t>CFW Fans (Pty) Ltd</t>
        </is>
      </c>
      <c r="D465" t="inlineStr">
        <is>
          <t>Uncategorized</t>
        </is>
      </c>
      <c r="E465" s="1" t="n">
        <v>1249</v>
      </c>
      <c r="F465" t="n">
        <v>1</v>
      </c>
      <c r="G465" t="n">
        <v>0</v>
      </c>
      <c r="H465" t="n">
        <v>3</v>
      </c>
      <c r="I465" t="n">
        <v>0</v>
      </c>
      <c r="J465" t="n">
        <v>0</v>
      </c>
      <c r="K465">
        <f>IF(H465-I465-J465&gt;0,H465-I465-J465,0)</f>
        <v/>
      </c>
      <c r="L465" s="1">
        <f>IFERROR(I465*E465,0)</f>
        <v/>
      </c>
      <c r="M465" s="1">
        <f>IFERROR(K465*E465,0)</f>
        <v/>
      </c>
    </row>
    <row r="466">
      <c r="A466" t="inlineStr">
        <is>
          <t>IMP400LDP</t>
        </is>
      </c>
      <c r="B466" t="inlineStr">
        <is>
          <t>400diam LDP Impeller</t>
        </is>
      </c>
      <c r="C466" t="inlineStr">
        <is>
          <t>CFW Fans (Pty) Ltd</t>
        </is>
      </c>
      <c r="D466" t="inlineStr">
        <is>
          <t>Uncategorized</t>
        </is>
      </c>
      <c r="E466" s="1" t="n">
        <v>3706.67</v>
      </c>
      <c r="F466" t="n">
        <v>1</v>
      </c>
      <c r="G466" t="n">
        <v>0</v>
      </c>
      <c r="H466" t="n">
        <v>3</v>
      </c>
      <c r="I466" t="n">
        <v>0</v>
      </c>
      <c r="J466" t="n">
        <v>0</v>
      </c>
      <c r="K466">
        <f>IF(H466-I466-J466&gt;0,H466-I466-J466,0)</f>
        <v/>
      </c>
      <c r="L466" s="1">
        <f>IFERROR(I466*E466,0)</f>
        <v/>
      </c>
      <c r="M466" s="1">
        <f>IFERROR(K466*E466,0)</f>
        <v/>
      </c>
    </row>
    <row r="467">
      <c r="A467" t="inlineStr">
        <is>
          <t>IMP560LDP</t>
        </is>
      </c>
      <c r="B467" t="inlineStr">
        <is>
          <t>LDP 560/250/12/1440-Form B - 15 degrees</t>
        </is>
      </c>
      <c r="C467" t="inlineStr">
        <is>
          <t>CFW Fans (Pty) Ltd</t>
        </is>
      </c>
      <c r="D467" t="inlineStr">
        <is>
          <t>Uncategorized</t>
        </is>
      </c>
      <c r="E467" s="1" t="n">
        <v>2287.33</v>
      </c>
      <c r="F467" t="n">
        <v>1</v>
      </c>
      <c r="G467" t="n">
        <v>0</v>
      </c>
      <c r="H467" t="n">
        <v>3</v>
      </c>
      <c r="I467" t="n">
        <v>0</v>
      </c>
      <c r="J467" t="n">
        <v>0</v>
      </c>
      <c r="K467">
        <f>IF(H467-I467-J467&gt;0,H467-I467-J467,0)</f>
        <v/>
      </c>
      <c r="L467" s="1">
        <f>IFERROR(I467*E467,0)</f>
        <v/>
      </c>
      <c r="M467" s="1">
        <f>IFERROR(K467*E467,0)</f>
        <v/>
      </c>
    </row>
    <row r="468">
      <c r="A468" t="inlineStr">
        <is>
          <t>IMP800LDA</t>
        </is>
      </c>
      <c r="B468" t="inlineStr">
        <is>
          <t>LDA 800-9-A16</t>
        </is>
      </c>
      <c r="C468" t="inlineStr">
        <is>
          <t>CFW Fans (Pty) Ltd</t>
        </is>
      </c>
      <c r="D468" t="inlineStr">
        <is>
          <t>Uncategorized</t>
        </is>
      </c>
      <c r="E468" s="1" t="n">
        <v>1249</v>
      </c>
      <c r="F468" t="n">
        <v>1</v>
      </c>
      <c r="G468" t="n">
        <v>0</v>
      </c>
      <c r="H468" t="n">
        <v>3</v>
      </c>
      <c r="I468" t="n">
        <v>0</v>
      </c>
      <c r="J468" t="n">
        <v>0</v>
      </c>
      <c r="K468">
        <f>IF(H468-I468-J468&gt;0,H468-I468-J468,0)</f>
        <v/>
      </c>
      <c r="L468" s="1">
        <f>IFERROR(I468*E468,0)</f>
        <v/>
      </c>
      <c r="M468" s="1">
        <f>IFERROR(K468*E468,0)</f>
        <v/>
      </c>
    </row>
    <row r="469">
      <c r="A469" t="inlineStr">
        <is>
          <t>INLET-CONE</t>
        </is>
      </c>
      <c r="B469" t="inlineStr">
        <is>
          <t>18 Inch Inlet Cone</t>
        </is>
      </c>
      <c r="C469" t="inlineStr">
        <is>
          <t>CFW Fans (Pty) Ltd</t>
        </is>
      </c>
      <c r="D469" t="inlineStr">
        <is>
          <t>Uncategorized</t>
        </is>
      </c>
      <c r="E469" s="1" t="n">
        <v>1600</v>
      </c>
      <c r="F469" t="n">
        <v>1</v>
      </c>
      <c r="G469" t="n">
        <v>0</v>
      </c>
      <c r="H469" t="n">
        <v>6</v>
      </c>
      <c r="I469" t="n">
        <v>0</v>
      </c>
      <c r="J469" t="n">
        <v>0</v>
      </c>
      <c r="K469">
        <f>IF(H469-I469-J469&gt;0,H469-I469-J469,0)</f>
        <v/>
      </c>
      <c r="L469" s="1">
        <f>IFERROR(I469*E469,0)</f>
        <v/>
      </c>
      <c r="M469" s="1">
        <f>IFERROR(K469*E469,0)</f>
        <v/>
      </c>
    </row>
    <row r="470">
      <c r="A470" t="inlineStr">
        <is>
          <t>Imepeller 560mm 'B' 250A14AR</t>
        </is>
      </c>
      <c r="B470" t="inlineStr">
        <is>
          <t>19mm 080Frame 15DEG</t>
        </is>
      </c>
      <c r="C470" t="inlineStr">
        <is>
          <t>Luft Industries Natal (Pty) Ltd</t>
        </is>
      </c>
      <c r="D470" t="inlineStr">
        <is>
          <t>Uncategorized</t>
        </is>
      </c>
      <c r="E470" s="1" t="n">
        <v>2104.7</v>
      </c>
      <c r="F470" t="n">
        <v>2</v>
      </c>
      <c r="G470" t="n">
        <v>0</v>
      </c>
      <c r="H470" t="n">
        <v>8</v>
      </c>
      <c r="I470" t="n">
        <v>0</v>
      </c>
      <c r="J470" t="n">
        <v>0</v>
      </c>
      <c r="K470">
        <f>IF(H470-I470-J470&gt;0,H470-I470-J470,0)</f>
        <v/>
      </c>
      <c r="L470" s="1">
        <f>IFERROR(I470*E470,0)</f>
        <v/>
      </c>
      <c r="M470" s="1">
        <f>IFERROR(K470*E470,0)</f>
        <v/>
      </c>
    </row>
    <row r="471">
      <c r="A471" t="inlineStr">
        <is>
          <t>Imp BI</t>
        </is>
      </c>
      <c r="B471" t="inlineStr">
        <is>
          <t>Set pitch, Crop &amp; Balance impeller</t>
        </is>
      </c>
      <c r="C471" t="inlineStr">
        <is>
          <t>Centrifab (Pty) Ltd</t>
        </is>
      </c>
      <c r="D471" t="inlineStr">
        <is>
          <t>Uncategorized</t>
        </is>
      </c>
      <c r="E471" s="1" t="n">
        <v>7509.5</v>
      </c>
      <c r="F471" t="n">
        <v>1</v>
      </c>
      <c r="G471" t="n">
        <v>0</v>
      </c>
      <c r="H471" t="n">
        <v>2</v>
      </c>
      <c r="I471" t="n">
        <v>0</v>
      </c>
      <c r="J471" t="n">
        <v>0</v>
      </c>
      <c r="K471">
        <f>IF(H471-I471-J471&gt;0,H471-I471-J471,0)</f>
        <v/>
      </c>
      <c r="L471" s="1">
        <f>IFERROR(I471*E471,0)</f>
        <v/>
      </c>
      <c r="M471" s="1">
        <f>IFERROR(K471*E471,0)</f>
        <v/>
      </c>
    </row>
    <row r="472">
      <c r="A472" t="inlineStr">
        <is>
          <t>Impeller 0710mm 'B' 150A10AR</t>
        </is>
      </c>
      <c r="B472" t="inlineStr">
        <is>
          <t>24mm 090Frame 13 DEG</t>
        </is>
      </c>
      <c r="C472" t="inlineStr">
        <is>
          <t>Luft Industries Natal (Pty) Ltd</t>
        </is>
      </c>
      <c r="D472" t="inlineStr">
        <is>
          <t>Uncategorized</t>
        </is>
      </c>
      <c r="E472" s="1" t="n">
        <v>1517.75</v>
      </c>
      <c r="F472" t="n">
        <v>1</v>
      </c>
      <c r="G472" t="n">
        <v>0</v>
      </c>
      <c r="H472" t="n">
        <v>2</v>
      </c>
      <c r="I472" t="n">
        <v>0</v>
      </c>
      <c r="J472" t="n">
        <v>0</v>
      </c>
      <c r="K472">
        <f>IF(H472-I472-J472&gt;0,H472-I472-J472,0)</f>
        <v/>
      </c>
      <c r="L472" s="1">
        <f>IFERROR(I472*E472,0)</f>
        <v/>
      </c>
      <c r="M472" s="1">
        <f>IFERROR(K472*E472,0)</f>
        <v/>
      </c>
    </row>
    <row r="473">
      <c r="A473" t="inlineStr">
        <is>
          <t>Impeller 0710mm 'B' 250A14AR</t>
        </is>
      </c>
      <c r="B473" t="inlineStr">
        <is>
          <t>24mm 090 Frame 10 DEG</t>
        </is>
      </c>
      <c r="C473" t="inlineStr">
        <is>
          <t>Luft Industries Natal (Pty) Ltd</t>
        </is>
      </c>
      <c r="D473" t="inlineStr">
        <is>
          <t>Uncategorized</t>
        </is>
      </c>
      <c r="E473" s="1" t="n">
        <v>2323.75</v>
      </c>
      <c r="F473" t="n">
        <v>2</v>
      </c>
      <c r="G473" t="n">
        <v>0</v>
      </c>
      <c r="H473" t="n">
        <v>8</v>
      </c>
      <c r="I473" t="n">
        <v>0</v>
      </c>
      <c r="J473" t="n">
        <v>0</v>
      </c>
      <c r="K473">
        <f>IF(H473-I473-J473&gt;0,H473-I473-J473,0)</f>
        <v/>
      </c>
      <c r="L473" s="1">
        <f>IFERROR(I473*E473,0)</f>
        <v/>
      </c>
      <c r="M473" s="1">
        <f>IFERROR(K473*E473,0)</f>
        <v/>
      </c>
    </row>
    <row r="474">
      <c r="A474" t="inlineStr">
        <is>
          <t>Impeller 560mm 'B' 150A10AR</t>
        </is>
      </c>
      <c r="B474" t="inlineStr">
        <is>
          <t>14mm 071Frame 12DEG</t>
        </is>
      </c>
      <c r="C474" t="inlineStr">
        <is>
          <t>Luft Industries Natal (Pty) Ltd</t>
        </is>
      </c>
      <c r="D474" t="inlineStr">
        <is>
          <t>Uncategorized</t>
        </is>
      </c>
      <c r="E474" s="1" t="n">
        <v>1517.75</v>
      </c>
      <c r="F474" t="n">
        <v>2</v>
      </c>
      <c r="G474" t="n">
        <v>0</v>
      </c>
      <c r="H474" t="n">
        <v>8</v>
      </c>
      <c r="I474" t="n">
        <v>0</v>
      </c>
      <c r="J474" t="n">
        <v>0</v>
      </c>
      <c r="K474">
        <f>IF(H474-I474-J474&gt;0,H474-I474-J474,0)</f>
        <v/>
      </c>
      <c r="L474" s="1">
        <f>IFERROR(I474*E474,0)</f>
        <v/>
      </c>
      <c r="M474" s="1">
        <f>IFERROR(K474*E474,0)</f>
        <v/>
      </c>
    </row>
    <row r="475">
      <c r="A475" t="inlineStr">
        <is>
          <t>Impeller 630mm 'B' 150A10AR</t>
        </is>
      </c>
      <c r="B475" t="inlineStr">
        <is>
          <t>24mm 090Frame 15DEG</t>
        </is>
      </c>
      <c r="C475" t="inlineStr">
        <is>
          <t>Luft Industries Natal (Pty) Ltd</t>
        </is>
      </c>
      <c r="D475" t="inlineStr">
        <is>
          <t>Uncategorized</t>
        </is>
      </c>
      <c r="E475" s="1" t="n">
        <v>1517.75</v>
      </c>
      <c r="F475" t="n">
        <v>1</v>
      </c>
      <c r="G475" t="n">
        <v>0</v>
      </c>
      <c r="H475" t="n">
        <v>5</v>
      </c>
      <c r="I475" t="n">
        <v>0</v>
      </c>
      <c r="J475" t="n">
        <v>0</v>
      </c>
      <c r="K475">
        <f>IF(H475-I475-J475&gt;0,H475-I475-J475,0)</f>
        <v/>
      </c>
      <c r="L475" s="1">
        <f>IFERROR(I475*E475,0)</f>
        <v/>
      </c>
      <c r="M475" s="1">
        <f>IFERROR(K475*E475,0)</f>
        <v/>
      </c>
    </row>
    <row r="476">
      <c r="A476" t="inlineStr">
        <is>
          <t>Impeller 630mm 'B' 250A14AR</t>
        </is>
      </c>
      <c r="B476" t="inlineStr">
        <is>
          <t>24mm 090Frame 15 DEG</t>
        </is>
      </c>
      <c r="C476" t="inlineStr">
        <is>
          <t>Luft Industries Natal (Pty) Ltd</t>
        </is>
      </c>
      <c r="D476" t="inlineStr">
        <is>
          <t>Uncategorized</t>
        </is>
      </c>
      <c r="E476" s="1" t="n">
        <v>2323.75</v>
      </c>
      <c r="F476" t="n">
        <v>1</v>
      </c>
      <c r="G476" t="n">
        <v>0</v>
      </c>
      <c r="H476" t="n">
        <v>2</v>
      </c>
      <c r="I476" t="n">
        <v>0</v>
      </c>
      <c r="J476" t="n">
        <v>0</v>
      </c>
      <c r="K476">
        <f>IF(H476-I476-J476&gt;0,H476-I476-J476,0)</f>
        <v/>
      </c>
      <c r="L476" s="1">
        <f>IFERROR(I476*E476,0)</f>
        <v/>
      </c>
      <c r="M476" s="1">
        <f>IFERROR(K476*E476,0)</f>
        <v/>
      </c>
    </row>
    <row r="477">
      <c r="A477" t="inlineStr">
        <is>
          <t>Impeller 710mm 'B' 250A14R</t>
        </is>
      </c>
      <c r="B477" t="inlineStr">
        <is>
          <t>24mm 090Frame 12 DEG</t>
        </is>
      </c>
      <c r="C477" t="inlineStr">
        <is>
          <t>Luft Industries Natal (Pty) Ltd</t>
        </is>
      </c>
      <c r="D477" t="inlineStr">
        <is>
          <t>Uncategorized</t>
        </is>
      </c>
      <c r="E477" s="1" t="n">
        <v>2323.75</v>
      </c>
      <c r="F477" t="n">
        <v>1</v>
      </c>
      <c r="G477" t="n">
        <v>0</v>
      </c>
      <c r="H477" t="n">
        <v>2</v>
      </c>
      <c r="I477" t="n">
        <v>0</v>
      </c>
      <c r="J477" t="n">
        <v>0</v>
      </c>
      <c r="K477">
        <f>IF(H477-I477-J477&gt;0,H477-I477-J477,0)</f>
        <v/>
      </c>
      <c r="L477" s="1">
        <f>IFERROR(I477*E477,0)</f>
        <v/>
      </c>
      <c r="M477" s="1">
        <f>IFERROR(K477*E477,0)</f>
        <v/>
      </c>
    </row>
    <row r="478">
      <c r="A478" t="inlineStr">
        <is>
          <t>Impeller Plate Mount Fans</t>
        </is>
      </c>
      <c r="B478" t="inlineStr">
        <is>
          <t>Spare Impeller</t>
        </is>
      </c>
      <c r="C478" t="inlineStr"/>
      <c r="D478" t="inlineStr">
        <is>
          <t>Uncategorized</t>
        </is>
      </c>
      <c r="E478" s="1" t="n">
        <v>0</v>
      </c>
      <c r="F478" t="n">
        <v>1</v>
      </c>
      <c r="G478" t="n">
        <v>0</v>
      </c>
      <c r="H478" t="n">
        <v>2</v>
      </c>
      <c r="I478" t="n">
        <v>0</v>
      </c>
      <c r="J478" t="n">
        <v>0</v>
      </c>
      <c r="K478">
        <f>IF(H478-I478-J478&gt;0,H478-I478-J478,0)</f>
        <v/>
      </c>
      <c r="L478" s="1">
        <f>IFERROR(I478*E478,0)</f>
        <v/>
      </c>
      <c r="M478" s="1">
        <f>IFERROR(K478*E478,0)</f>
        <v/>
      </c>
    </row>
    <row r="479">
      <c r="A479" t="inlineStr">
        <is>
          <t>Impeller shaft</t>
        </is>
      </c>
      <c r="B479" t="inlineStr">
        <is>
          <t>Impeller shaft+2 keys. Stainless Steel</t>
        </is>
      </c>
      <c r="C479" t="inlineStr">
        <is>
          <t>Hulmak Engineering cc</t>
        </is>
      </c>
      <c r="D479" t="inlineStr">
        <is>
          <t>Uncategorized</t>
        </is>
      </c>
      <c r="E479" s="1" t="n">
        <v>600</v>
      </c>
      <c r="F479" t="n">
        <v>1</v>
      </c>
      <c r="G479" t="n">
        <v>0</v>
      </c>
      <c r="H479" t="n">
        <v>5</v>
      </c>
      <c r="I479" t="n">
        <v>0</v>
      </c>
      <c r="J479" t="n">
        <v>0</v>
      </c>
      <c r="K479">
        <f>IF(H479-I479-J479&gt;0,H479-I479-J479,0)</f>
        <v/>
      </c>
      <c r="L479" s="1">
        <f>IFERROR(I479*E479,0)</f>
        <v/>
      </c>
      <c r="M479" s="1">
        <f>IFERROR(K479*E479,0)</f>
        <v/>
      </c>
    </row>
    <row r="480">
      <c r="A480" t="inlineStr">
        <is>
          <t>Induced Draft Plan</t>
        </is>
      </c>
      <c r="B480" t="inlineStr">
        <is>
          <t>INSPECTION TEST PALN (ITP)</t>
        </is>
      </c>
      <c r="C480" t="inlineStr">
        <is>
          <t>SODECA</t>
        </is>
      </c>
      <c r="D480" t="inlineStr">
        <is>
          <t>Uncategorized</t>
        </is>
      </c>
      <c r="E480" s="1" t="n">
        <v>2955.79</v>
      </c>
      <c r="F480" t="n">
        <v>3</v>
      </c>
      <c r="G480" t="n">
        <v>0</v>
      </c>
      <c r="H480" t="n">
        <v>5</v>
      </c>
      <c r="I480" t="n">
        <v>0</v>
      </c>
      <c r="J480" t="n">
        <v>0</v>
      </c>
      <c r="K480">
        <f>IF(H480-I480-J480&gt;0,H480-I480-J480,0)</f>
        <v/>
      </c>
      <c r="L480" s="1">
        <f>IFERROR(I480*E480,0)</f>
        <v/>
      </c>
      <c r="M480" s="1">
        <f>IFERROR(K480*E480,0)</f>
        <v/>
      </c>
    </row>
    <row r="481">
      <c r="A481" t="inlineStr">
        <is>
          <t>Installation</t>
        </is>
      </c>
      <c r="B481" t="inlineStr">
        <is>
          <t>Attenuators</t>
        </is>
      </c>
      <c r="C481" t="inlineStr">
        <is>
          <t>Fresh Air Projects (Pty) Ltd</t>
        </is>
      </c>
      <c r="D481" t="inlineStr">
        <is>
          <t>Uncategorized</t>
        </is>
      </c>
      <c r="E481" s="1" t="n">
        <v>9478.26</v>
      </c>
      <c r="F481" t="n">
        <v>1</v>
      </c>
      <c r="G481" t="n">
        <v>0</v>
      </c>
      <c r="H481" t="n">
        <v>2</v>
      </c>
      <c r="I481" t="n">
        <v>0</v>
      </c>
      <c r="J481" t="n">
        <v>0</v>
      </c>
      <c r="K481">
        <f>IF(H481-I481-J481&gt;0,H481-I481-J481,0)</f>
        <v/>
      </c>
      <c r="L481" s="1">
        <f>IFERROR(I481*E481,0)</f>
        <v/>
      </c>
      <c r="M481" s="1">
        <f>IFERROR(K481*E481,0)</f>
        <v/>
      </c>
    </row>
    <row r="482">
      <c r="A482" t="inlineStr">
        <is>
          <t>J70889 FAN</t>
        </is>
      </c>
      <c r="B482" t="inlineStr">
        <is>
          <t>BCC-2 900/1.0 SISW c/w 7.5Kw 4P 380V</t>
        </is>
      </c>
      <c r="C482" t="inlineStr">
        <is>
          <t>Centrifab (Pty) Ltd</t>
        </is>
      </c>
      <c r="D482" t="inlineStr">
        <is>
          <t>Uncategorized</t>
        </is>
      </c>
      <c r="E482" s="1" t="n">
        <v>74600</v>
      </c>
      <c r="F482" t="n">
        <v>1</v>
      </c>
      <c r="G482" t="n">
        <v>0</v>
      </c>
      <c r="H482" t="n">
        <v>3</v>
      </c>
      <c r="I482" t="n">
        <v>0</v>
      </c>
      <c r="J482" t="n">
        <v>0</v>
      </c>
      <c r="K482">
        <f>IF(H482-I482-J482&gt;0,H482-I482-J482,0)</f>
        <v/>
      </c>
      <c r="L482" s="1">
        <f>IFERROR(I482*E482,0)</f>
        <v/>
      </c>
      <c r="M482" s="1">
        <f>IFERROR(K482*E482,0)</f>
        <v/>
      </c>
    </row>
    <row r="483">
      <c r="A483" t="inlineStr">
        <is>
          <t>J96202-BCC-2315</t>
        </is>
      </c>
      <c r="B483" t="inlineStr">
        <is>
          <t>BCC-2 315 Class 1 AR 4A DIDW excl motor</t>
        </is>
      </c>
      <c r="C483" t="inlineStr">
        <is>
          <t>Centrifab (Pty) Ltd</t>
        </is>
      </c>
      <c r="D483" t="inlineStr">
        <is>
          <t>Uncategorized</t>
        </is>
      </c>
      <c r="E483" s="1" t="n">
        <v>23613.33</v>
      </c>
      <c r="F483" t="n">
        <v>1</v>
      </c>
      <c r="G483" t="n">
        <v>0</v>
      </c>
      <c r="H483" t="n">
        <v>3</v>
      </c>
      <c r="I483" t="n">
        <v>0</v>
      </c>
      <c r="J483" t="n">
        <v>0</v>
      </c>
      <c r="K483">
        <f>IF(H483-I483-J483&gt;0,H483-I483-J483,0)</f>
        <v/>
      </c>
      <c r="L483" s="1">
        <f>IFERROR(I483*E483,0)</f>
        <v/>
      </c>
      <c r="M483" s="1">
        <f>IFERROR(K483*E483,0)</f>
        <v/>
      </c>
    </row>
    <row r="484">
      <c r="A484" t="inlineStr">
        <is>
          <t>JB1948</t>
        </is>
      </c>
      <c r="B484" t="inlineStr">
        <is>
          <t>HPLV 630/0.71 c/w 4.0kw 2890rpm 525V Motor</t>
        </is>
      </c>
      <c r="C484" t="inlineStr">
        <is>
          <t>Centrifab (Pty) Ltd</t>
        </is>
      </c>
      <c r="D484" t="inlineStr">
        <is>
          <t>Uncategorized</t>
        </is>
      </c>
      <c r="E484" s="1" t="n">
        <v>4750</v>
      </c>
      <c r="F484" t="n">
        <v>1</v>
      </c>
      <c r="G484" t="n">
        <v>0</v>
      </c>
      <c r="H484" t="n">
        <v>3</v>
      </c>
      <c r="I484" t="n">
        <v>0</v>
      </c>
      <c r="J484" t="n">
        <v>0</v>
      </c>
      <c r="K484">
        <f>IF(H484-I484-J484&gt;0,H484-I484-J484,0)</f>
        <v/>
      </c>
      <c r="L484" s="1">
        <f>IFERROR(I484*E484,0)</f>
        <v/>
      </c>
      <c r="M484" s="1">
        <f>IFERROR(K484*E484,0)</f>
        <v/>
      </c>
    </row>
    <row r="485">
      <c r="A485" t="inlineStr">
        <is>
          <t>JC6202</t>
        </is>
      </c>
      <c r="B485" t="inlineStr">
        <is>
          <t>BCC-2 Class 1 DI2DW c/w 2,2kW 4P 400V - 2522RPM</t>
        </is>
      </c>
      <c r="C485" t="inlineStr"/>
      <c r="D485" t="inlineStr">
        <is>
          <t>Uncategorized</t>
        </is>
      </c>
      <c r="E485" s="1" t="n">
        <v>0</v>
      </c>
      <c r="F485" t="n">
        <v>1</v>
      </c>
      <c r="G485" t="n">
        <v>0</v>
      </c>
      <c r="H485" t="n">
        <v>2</v>
      </c>
      <c r="I485" t="n">
        <v>0</v>
      </c>
      <c r="J485" t="n">
        <v>0</v>
      </c>
      <c r="K485">
        <f>IF(H485-I485-J485&gt;0,H485-I485-J485,0)</f>
        <v/>
      </c>
      <c r="L485" s="1">
        <f>IFERROR(I485*E485,0)</f>
        <v/>
      </c>
      <c r="M485" s="1">
        <f>IFERROR(K485*E485,0)</f>
        <v/>
      </c>
    </row>
    <row r="486">
      <c r="A486" t="inlineStr">
        <is>
          <t>JN2002-GNTBOOT-500-00-06</t>
        </is>
      </c>
      <c r="B486" t="inlineStr">
        <is>
          <t>GRANITE CHELSEA BOOTS BLACK 6</t>
        </is>
      </c>
      <c r="C486" t="inlineStr">
        <is>
          <t>Workwear Depot (Pty)Ltd</t>
        </is>
      </c>
      <c r="D486" t="inlineStr">
        <is>
          <t>Uncategorized</t>
        </is>
      </c>
      <c r="E486" s="1" t="n">
        <v>931.76</v>
      </c>
      <c r="F486" t="n">
        <v>1</v>
      </c>
      <c r="G486" t="n">
        <v>0</v>
      </c>
      <c r="H486" t="n">
        <v>2</v>
      </c>
      <c r="I486" t="n">
        <v>0</v>
      </c>
      <c r="J486" t="n">
        <v>0</v>
      </c>
      <c r="K486">
        <f>IF(H486-I486-J486&gt;0,H486-I486-J486,0)</f>
        <v/>
      </c>
      <c r="L486" s="1">
        <f>IFERROR(I486*E486,0)</f>
        <v/>
      </c>
      <c r="M486" s="1">
        <f>IFERROR(K486*E486,0)</f>
        <v/>
      </c>
    </row>
    <row r="487">
      <c r="A487" t="inlineStr">
        <is>
          <t>JN2002-GNTBOOT-500-00-07</t>
        </is>
      </c>
      <c r="B487" t="inlineStr">
        <is>
          <t>GRANITE CHELSEA BOOTS BLACK 7</t>
        </is>
      </c>
      <c r="C487" t="inlineStr">
        <is>
          <t>Workwear Depot (Pty)Ltd</t>
        </is>
      </c>
      <c r="D487" t="inlineStr">
        <is>
          <t>Uncategorized</t>
        </is>
      </c>
      <c r="E487" s="1" t="n">
        <v>931.76</v>
      </c>
      <c r="F487" t="n">
        <v>1</v>
      </c>
      <c r="G487" t="n">
        <v>0</v>
      </c>
      <c r="H487" t="n">
        <v>2</v>
      </c>
      <c r="I487" t="n">
        <v>0</v>
      </c>
      <c r="J487" t="n">
        <v>0</v>
      </c>
      <c r="K487">
        <f>IF(H487-I487-J487&gt;0,H487-I487-J487,0)</f>
        <v/>
      </c>
      <c r="L487" s="1">
        <f>IFERROR(I487*E487,0)</f>
        <v/>
      </c>
      <c r="M487" s="1">
        <f>IFERROR(K487*E487,0)</f>
        <v/>
      </c>
    </row>
    <row r="488">
      <c r="A488" t="inlineStr">
        <is>
          <t>JTPOLY-6398B-600-03-M</t>
        </is>
      </c>
      <c r="B488" t="inlineStr">
        <is>
          <t>WORK T BLACK M</t>
        </is>
      </c>
      <c r="C488" t="inlineStr">
        <is>
          <t>Workwear Depot (Pty)Ltd</t>
        </is>
      </c>
      <c r="D488" t="inlineStr">
        <is>
          <t>Uncategorized</t>
        </is>
      </c>
      <c r="E488" s="1" t="n">
        <v>194.15</v>
      </c>
      <c r="F488" t="n">
        <v>1</v>
      </c>
      <c r="G488" t="n">
        <v>0</v>
      </c>
      <c r="H488" t="n">
        <v>5</v>
      </c>
      <c r="I488" t="n">
        <v>0</v>
      </c>
      <c r="J488" t="n">
        <v>0</v>
      </c>
      <c r="K488">
        <f>IF(H488-I488-J488&gt;0,H488-I488-J488,0)</f>
        <v/>
      </c>
      <c r="L488" s="1">
        <f>IFERROR(I488*E488,0)</f>
        <v/>
      </c>
      <c r="M488" s="1">
        <f>IFERROR(K488*E488,0)</f>
        <v/>
      </c>
    </row>
    <row r="489">
      <c r="A489" t="inlineStr">
        <is>
          <t>KAT 15/15 C2</t>
        </is>
      </c>
      <c r="B489" t="inlineStr">
        <is>
          <t>TWIN BARE FAN 380/380 CW FCC</t>
        </is>
      </c>
      <c r="C489" t="inlineStr">
        <is>
          <t>Air Movement Supplies</t>
        </is>
      </c>
      <c r="D489" t="inlineStr">
        <is>
          <t>Uncategorized</t>
        </is>
      </c>
      <c r="E489" s="1" t="n">
        <v>10899</v>
      </c>
      <c r="F489" t="n">
        <v>1</v>
      </c>
      <c r="G489" t="n">
        <v>0</v>
      </c>
      <c r="H489" t="n">
        <v>2</v>
      </c>
      <c r="I489" t="n">
        <v>0</v>
      </c>
      <c r="J489" t="n">
        <v>0</v>
      </c>
      <c r="K489">
        <f>IF(H489-I489-J489&gt;0,H489-I489-J489,0)</f>
        <v/>
      </c>
      <c r="L489" s="1">
        <f>IFERROR(I489*E489,0)</f>
        <v/>
      </c>
      <c r="M489" s="1">
        <f>IFERROR(K489*E489,0)</f>
        <v/>
      </c>
    </row>
    <row r="490">
      <c r="A490" t="inlineStr">
        <is>
          <t>KDD 12/12-6-1</t>
        </is>
      </c>
      <c r="B490" t="inlineStr">
        <is>
          <t>FAN KDD 12/12 517W 6P-1 3SY</t>
        </is>
      </c>
      <c r="C490" t="inlineStr">
        <is>
          <t>Air Movement Supplies</t>
        </is>
      </c>
      <c r="D490" t="inlineStr">
        <is>
          <t>Uncategorized</t>
        </is>
      </c>
      <c r="E490" s="1" t="n">
        <v>6088</v>
      </c>
      <c r="F490" t="n">
        <v>5</v>
      </c>
      <c r="G490" t="n">
        <v>0</v>
      </c>
      <c r="H490" t="n">
        <v>25</v>
      </c>
      <c r="I490" t="n">
        <v>0</v>
      </c>
      <c r="J490" t="n">
        <v>0</v>
      </c>
      <c r="K490">
        <f>IF(H490-I490-J490&gt;0,H490-I490-J490,0)</f>
        <v/>
      </c>
      <c r="L490" s="1">
        <f>IFERROR(I490*E490,0)</f>
        <v/>
      </c>
      <c r="M490" s="1">
        <f>IFERROR(K490*E490,0)</f>
        <v/>
      </c>
    </row>
    <row r="491">
      <c r="A491" t="inlineStr">
        <is>
          <t>KHA50</t>
        </is>
      </c>
      <c r="B491" t="inlineStr">
        <is>
          <t>Speed Controller</t>
        </is>
      </c>
      <c r="C491" t="inlineStr"/>
      <c r="D491" t="inlineStr">
        <is>
          <t>Uncategorized</t>
        </is>
      </c>
      <c r="E491" s="1" t="n">
        <v>0</v>
      </c>
      <c r="F491" t="n">
        <v>2</v>
      </c>
      <c r="G491" t="n">
        <v>0</v>
      </c>
      <c r="H491" t="n">
        <v>10</v>
      </c>
      <c r="I491" t="n">
        <v>0</v>
      </c>
      <c r="J491" t="n">
        <v>0</v>
      </c>
      <c r="K491">
        <f>IF(H491-I491-J491&gt;0,H491-I491-J491,0)</f>
        <v/>
      </c>
      <c r="L491" s="1">
        <f>IFERROR(I491*E491,0)</f>
        <v/>
      </c>
      <c r="M491" s="1">
        <f>IFERROR(K491*E491,0)</f>
        <v/>
      </c>
    </row>
    <row r="492">
      <c r="A492" t="inlineStr">
        <is>
          <t>KSB 150</t>
        </is>
      </c>
      <c r="B492" t="inlineStr">
        <is>
          <t>INLINE SILENT FAN</t>
        </is>
      </c>
      <c r="C492" t="inlineStr"/>
      <c r="D492" t="inlineStr">
        <is>
          <t>Uncategorized</t>
        </is>
      </c>
      <c r="E492" s="1" t="n">
        <v>0</v>
      </c>
      <c r="F492" t="n">
        <v>3</v>
      </c>
      <c r="G492" t="n">
        <v>0</v>
      </c>
      <c r="H492" t="n">
        <v>15</v>
      </c>
      <c r="I492" t="n">
        <v>0</v>
      </c>
      <c r="J492" t="n">
        <v>0</v>
      </c>
      <c r="K492">
        <f>IF(H492-I492-J492&gt;0,H492-I492-J492,0)</f>
        <v/>
      </c>
      <c r="L492" s="1">
        <f>IFERROR(I492*E492,0)</f>
        <v/>
      </c>
      <c r="M492" s="1">
        <f>IFERROR(K492*E492,0)</f>
        <v/>
      </c>
    </row>
    <row r="493">
      <c r="A493" t="inlineStr">
        <is>
          <t>KUL</t>
        </is>
      </c>
      <c r="B493" t="inlineStr">
        <is>
          <t>1/200 X 200 back draft damper</t>
        </is>
      </c>
      <c r="C493" t="inlineStr">
        <is>
          <t>TROX South Africa (Pty) Ltd</t>
        </is>
      </c>
      <c r="D493" t="inlineStr">
        <is>
          <t>Uncategorized</t>
        </is>
      </c>
      <c r="E493" s="1" t="n">
        <v>900</v>
      </c>
      <c r="F493" t="n">
        <v>15</v>
      </c>
      <c r="G493" t="n">
        <v>0</v>
      </c>
      <c r="H493" t="n">
        <v>75</v>
      </c>
      <c r="I493" t="n">
        <v>0</v>
      </c>
      <c r="J493" t="n">
        <v>0</v>
      </c>
      <c r="K493">
        <f>IF(H493-I493-J493&gt;0,H493-I493-J493,0)</f>
        <v/>
      </c>
      <c r="L493" s="1">
        <f>IFERROR(I493*E493,0)</f>
        <v/>
      </c>
      <c r="M493" s="1">
        <f>IFERROR(K493*E493,0)</f>
        <v/>
      </c>
    </row>
    <row r="494">
      <c r="A494" t="inlineStr">
        <is>
          <t>Keep-plate5mmOD</t>
        </is>
      </c>
      <c r="B494" t="inlineStr">
        <is>
          <t>Keep Plate 5mm OD. 42mm, ID. 6mm</t>
        </is>
      </c>
      <c r="C494" t="inlineStr">
        <is>
          <t>Attenu-Tec HVAC Parts</t>
        </is>
      </c>
      <c r="D494" t="inlineStr">
        <is>
          <t>Uncategorized</t>
        </is>
      </c>
      <c r="E494" s="1" t="n">
        <v>4.73</v>
      </c>
      <c r="F494" t="n">
        <v>126</v>
      </c>
      <c r="G494" t="n">
        <v>0</v>
      </c>
      <c r="H494" t="n">
        <v>630</v>
      </c>
      <c r="I494" t="n">
        <v>0</v>
      </c>
      <c r="J494" t="n">
        <v>0</v>
      </c>
      <c r="K494">
        <f>IF(H494-I494-J494&gt;0,H494-I494-J494,0)</f>
        <v/>
      </c>
      <c r="L494" s="1">
        <f>IFERROR(I494*E494,0)</f>
        <v/>
      </c>
      <c r="M494" s="1">
        <f>IFERROR(K494*E494,0)</f>
        <v/>
      </c>
    </row>
    <row r="495">
      <c r="A495" t="inlineStr">
        <is>
          <t>L20300630</t>
        </is>
      </c>
      <c r="B495" t="inlineStr">
        <is>
          <t>24 - 630mm Louvre Shutter Size 756 X 756</t>
        </is>
      </c>
      <c r="C495" t="inlineStr"/>
      <c r="D495" t="inlineStr">
        <is>
          <t>Uncategorized</t>
        </is>
      </c>
      <c r="E495" s="1" t="n">
        <v>0</v>
      </c>
      <c r="F495" t="n">
        <v>1</v>
      </c>
      <c r="G495" t="n">
        <v>0</v>
      </c>
      <c r="H495" t="n">
        <v>2</v>
      </c>
      <c r="I495" t="n">
        <v>0</v>
      </c>
      <c r="J495" t="n">
        <v>0</v>
      </c>
      <c r="K495">
        <f>IF(H495-I495-J495&gt;0,H495-I495-J495,0)</f>
        <v/>
      </c>
      <c r="L495" s="1">
        <f>IFERROR(I495*E495,0)</f>
        <v/>
      </c>
      <c r="M495" s="1">
        <f>IFERROR(K495*E495,0)</f>
        <v/>
      </c>
    </row>
    <row r="496">
      <c r="A496" t="inlineStr">
        <is>
          <t>LASER CUTTING-255</t>
        </is>
      </c>
      <c r="B496" t="inlineStr">
        <is>
          <t>255 x 298 x 5mm</t>
        </is>
      </c>
      <c r="C496" t="inlineStr">
        <is>
          <t>ULTIMATENG (PTY) LTD</t>
        </is>
      </c>
      <c r="D496" t="inlineStr">
        <is>
          <t>Uncategorized</t>
        </is>
      </c>
      <c r="E496" s="1" t="n">
        <v>81.98999999999999</v>
      </c>
      <c r="F496" t="n">
        <v>1</v>
      </c>
      <c r="G496" t="n">
        <v>0</v>
      </c>
      <c r="H496" t="n">
        <v>5</v>
      </c>
      <c r="I496" t="n">
        <v>0</v>
      </c>
      <c r="J496" t="n">
        <v>0</v>
      </c>
      <c r="K496">
        <f>IF(H496-I496-J496&gt;0,H496-I496-J496,0)</f>
        <v/>
      </c>
      <c r="L496" s="1">
        <f>IFERROR(I496*E496,0)</f>
        <v/>
      </c>
      <c r="M496" s="1">
        <f>IFERROR(K496*E496,0)</f>
        <v/>
      </c>
    </row>
    <row r="497">
      <c r="A497" t="inlineStr">
        <is>
          <t>LCE 250</t>
        </is>
      </c>
      <c r="B497" t="inlineStr">
        <is>
          <t>Extractor Ceiling Fan 250mm 220v</t>
        </is>
      </c>
      <c r="C497" t="inlineStr">
        <is>
          <t>Luft Industries Natal (Pty) Ltd</t>
        </is>
      </c>
      <c r="D497" t="inlineStr">
        <is>
          <t>Uncategorized</t>
        </is>
      </c>
      <c r="E497" s="1" t="n">
        <v>344</v>
      </c>
      <c r="F497" t="n">
        <v>3</v>
      </c>
      <c r="G497" t="n">
        <v>0</v>
      </c>
      <c r="H497" t="n">
        <v>11</v>
      </c>
      <c r="I497" t="n">
        <v>0</v>
      </c>
      <c r="J497" t="n">
        <v>0</v>
      </c>
      <c r="K497">
        <f>IF(H497-I497-J497&gt;0,H497-I497-J497,0)</f>
        <v/>
      </c>
      <c r="L497" s="1">
        <f>IFERROR(I497*E497,0)</f>
        <v/>
      </c>
      <c r="M497" s="1">
        <f>IFERROR(K497*E497,0)</f>
        <v/>
      </c>
    </row>
    <row r="498">
      <c r="A498" t="inlineStr">
        <is>
          <t>LDP 560/250/12/1440/</t>
        </is>
      </c>
      <c r="B498" t="inlineStr">
        <is>
          <t>Form B - Blade Angle 15 Deg</t>
        </is>
      </c>
      <c r="C498" t="inlineStr">
        <is>
          <t>CFW Fans (Pty) Ltd</t>
        </is>
      </c>
      <c r="D498" t="inlineStr">
        <is>
          <t>Uncategorized</t>
        </is>
      </c>
      <c r="E498" s="1" t="n">
        <v>1729</v>
      </c>
      <c r="F498" t="n">
        <v>2</v>
      </c>
      <c r="G498" t="n">
        <v>0</v>
      </c>
      <c r="H498" t="n">
        <v>8</v>
      </c>
      <c r="I498" t="n">
        <v>0</v>
      </c>
      <c r="J498" t="n">
        <v>0</v>
      </c>
      <c r="K498">
        <f>IF(H498-I498-J498&gt;0,H498-I498-J498,0)</f>
        <v/>
      </c>
      <c r="L498" s="1">
        <f>IFERROR(I498*E498,0)</f>
        <v/>
      </c>
      <c r="M498" s="1">
        <f>IFERROR(K498*E498,0)</f>
        <v/>
      </c>
    </row>
    <row r="499">
      <c r="A499" t="inlineStr">
        <is>
          <t>LEGESSS-COT135-100-03-M</t>
        </is>
      </c>
      <c r="B499" t="inlineStr">
        <is>
          <t>LEGENDARY SHORT SLEEVE SHIRT BLUE M</t>
        </is>
      </c>
      <c r="C499" t="inlineStr">
        <is>
          <t>Workwear Depot (Pty)Ltd</t>
        </is>
      </c>
      <c r="D499" t="inlineStr">
        <is>
          <t>Uncategorized</t>
        </is>
      </c>
      <c r="E499" s="1" t="n">
        <v>520.87</v>
      </c>
      <c r="F499" t="n">
        <v>1</v>
      </c>
      <c r="G499" t="n">
        <v>0</v>
      </c>
      <c r="H499" t="n">
        <v>2</v>
      </c>
      <c r="I499" t="n">
        <v>0</v>
      </c>
      <c r="J499" t="n">
        <v>0</v>
      </c>
      <c r="K499">
        <f>IF(H499-I499-J499&gt;0,H499-I499-J499,0)</f>
        <v/>
      </c>
      <c r="L499" s="1">
        <f>IFERROR(I499*E499,0)</f>
        <v/>
      </c>
      <c r="M499" s="1">
        <f>IFERROR(K499*E499,0)</f>
        <v/>
      </c>
    </row>
    <row r="500">
      <c r="A500" t="inlineStr">
        <is>
          <t>LEGESSS-COT135-101-03-M</t>
        </is>
      </c>
      <c r="B500" t="inlineStr">
        <is>
          <t>LEGENDARY SHORT SLEEVE SHIRT NAVY M</t>
        </is>
      </c>
      <c r="C500" t="inlineStr">
        <is>
          <t>Workwear Depot (Pty)Ltd</t>
        </is>
      </c>
      <c r="D500" t="inlineStr">
        <is>
          <t>Uncategorized</t>
        </is>
      </c>
      <c r="E500" s="1" t="n">
        <v>520.87</v>
      </c>
      <c r="F500" t="n">
        <v>2</v>
      </c>
      <c r="G500" t="n">
        <v>0</v>
      </c>
      <c r="H500" t="n">
        <v>8</v>
      </c>
      <c r="I500" t="n">
        <v>0</v>
      </c>
      <c r="J500" t="n">
        <v>0</v>
      </c>
      <c r="K500">
        <f>IF(H500-I500-J500&gt;0,H500-I500-J500,0)</f>
        <v/>
      </c>
      <c r="L500" s="1">
        <f>IFERROR(I500*E500,0)</f>
        <v/>
      </c>
      <c r="M500" s="1">
        <f>IFERROR(K500*E500,0)</f>
        <v/>
      </c>
    </row>
    <row r="501">
      <c r="A501" t="inlineStr">
        <is>
          <t>LEGESSS-COT135-914-04-L</t>
        </is>
      </c>
      <c r="B501" t="inlineStr">
        <is>
          <t>LEGENDARY SHORT SLEEVE SHIRT FATIGUE L</t>
        </is>
      </c>
      <c r="C501" t="inlineStr">
        <is>
          <t>Workwear Depot (Pty)Ltd</t>
        </is>
      </c>
      <c r="D501" t="inlineStr">
        <is>
          <t>Uncategorized</t>
        </is>
      </c>
      <c r="E501" s="1" t="n">
        <v>520.87</v>
      </c>
      <c r="F501" t="n">
        <v>1</v>
      </c>
      <c r="G501" t="n">
        <v>0</v>
      </c>
      <c r="H501" t="n">
        <v>2</v>
      </c>
      <c r="I501" t="n">
        <v>0</v>
      </c>
      <c r="J501" t="n">
        <v>0</v>
      </c>
      <c r="K501">
        <f>IF(H501-I501-J501&gt;0,H501-I501-J501,0)</f>
        <v/>
      </c>
      <c r="L501" s="1">
        <f>IFERROR(I501*E501,0)</f>
        <v/>
      </c>
      <c r="M501" s="1">
        <f>IFERROR(K501*E501,0)</f>
        <v/>
      </c>
    </row>
    <row r="502">
      <c r="A502" t="inlineStr">
        <is>
          <t>LEGESSS-MCNAST-M45-03-M</t>
        </is>
      </c>
      <c r="B502" t="inlineStr">
        <is>
          <t>LEGENDARY TWO-TONE SHORT SLEEVE SHIRT - NAVY/STONE M</t>
        </is>
      </c>
      <c r="C502" t="inlineStr">
        <is>
          <t>Workwear Depot (Pty)Ltd</t>
        </is>
      </c>
      <c r="D502" t="inlineStr">
        <is>
          <t>Uncategorized</t>
        </is>
      </c>
      <c r="E502" s="1" t="n">
        <v>520.87</v>
      </c>
      <c r="F502" t="n">
        <v>2</v>
      </c>
      <c r="G502" t="n">
        <v>0</v>
      </c>
      <c r="H502" t="n">
        <v>10</v>
      </c>
      <c r="I502" t="n">
        <v>0</v>
      </c>
      <c r="J502" t="n">
        <v>0</v>
      </c>
      <c r="K502">
        <f>IF(H502-I502-J502&gt;0,H502-I502-J502,0)</f>
        <v/>
      </c>
      <c r="L502" s="1">
        <f>IFERROR(I502*E502,0)</f>
        <v/>
      </c>
      <c r="M502" s="1">
        <f>IFERROR(K502*E502,0)</f>
        <v/>
      </c>
    </row>
    <row r="503">
      <c r="A503" t="inlineStr">
        <is>
          <t>LEGESSS-MCNAST-M45-04-L</t>
        </is>
      </c>
      <c r="B503" t="inlineStr">
        <is>
          <t>LEGENDARY TWO-TONE SHORT SLEEVE SHIRT NAVY/STONE L</t>
        </is>
      </c>
      <c r="C503" t="inlineStr">
        <is>
          <t>Workwear Depot (Pty)Ltd</t>
        </is>
      </c>
      <c r="D503" t="inlineStr">
        <is>
          <t>Uncategorized</t>
        </is>
      </c>
      <c r="E503" s="1" t="n">
        <v>520.87</v>
      </c>
      <c r="F503" t="n">
        <v>1</v>
      </c>
      <c r="G503" t="n">
        <v>0</v>
      </c>
      <c r="H503" t="n">
        <v>2</v>
      </c>
      <c r="I503" t="n">
        <v>0</v>
      </c>
      <c r="J503" t="n">
        <v>0</v>
      </c>
      <c r="K503">
        <f>IF(H503-I503-J503&gt;0,H503-I503-J503,0)</f>
        <v/>
      </c>
      <c r="L503" s="1">
        <f>IFERROR(I503*E503,0)</f>
        <v/>
      </c>
      <c r="M503" s="1">
        <f>IFERROR(K503*E503,0)</f>
        <v/>
      </c>
    </row>
    <row r="504">
      <c r="A504" t="inlineStr">
        <is>
          <t>LT10-3SPD</t>
        </is>
      </c>
      <c r="B504" t="inlineStr">
        <is>
          <t>LT10 - 3-Step Speed Controller 10Amp</t>
        </is>
      </c>
      <c r="C504" t="inlineStr"/>
      <c r="D504" t="inlineStr">
        <is>
          <t>Uncategorized</t>
        </is>
      </c>
      <c r="E504" s="1" t="n">
        <v>0</v>
      </c>
      <c r="F504" t="n">
        <v>1</v>
      </c>
      <c r="G504" t="n">
        <v>0</v>
      </c>
      <c r="H504" t="n">
        <v>2</v>
      </c>
      <c r="I504" t="n">
        <v>0</v>
      </c>
      <c r="J504" t="n">
        <v>0</v>
      </c>
      <c r="K504">
        <f>IF(H504-I504-J504&gt;0,H504-I504-J504,0)</f>
        <v/>
      </c>
      <c r="L504" s="1">
        <f>IFERROR(I504*E504,0)</f>
        <v/>
      </c>
      <c r="M504" s="1">
        <f>IFERROR(K504*E504,0)</f>
        <v/>
      </c>
    </row>
    <row r="505">
      <c r="A505" t="inlineStr">
        <is>
          <t>Labour.</t>
        </is>
      </c>
      <c r="B505" t="inlineStr">
        <is>
          <t>Repair Dasqua 1012-2010-A COMBINATION SET SQUARE</t>
        </is>
      </c>
      <c r="C505" t="inlineStr">
        <is>
          <t>SPARES 2000 CC t/a SHARP-RITE</t>
        </is>
      </c>
      <c r="D505" t="inlineStr">
        <is>
          <t>Uncategorized</t>
        </is>
      </c>
      <c r="E505" s="1" t="n">
        <v>2025</v>
      </c>
      <c r="F505" t="n">
        <v>1</v>
      </c>
      <c r="G505" t="n">
        <v>0</v>
      </c>
      <c r="H505" t="n">
        <v>2</v>
      </c>
      <c r="I505" t="n">
        <v>0</v>
      </c>
      <c r="J505" t="n">
        <v>0</v>
      </c>
      <c r="K505">
        <f>IF(H505-I505-J505&gt;0,H505-I505-J505,0)</f>
        <v/>
      </c>
      <c r="L505" s="1">
        <f>IFERROR(I505*E505,0)</f>
        <v/>
      </c>
      <c r="M505" s="1">
        <f>IFERROR(K505*E505,0)</f>
        <v/>
      </c>
    </row>
    <row r="506">
      <c r="A506" t="inlineStr">
        <is>
          <t>Laptop</t>
        </is>
      </c>
      <c r="B506" t="inlineStr">
        <is>
          <t>Lenovo AMD RYZEN 7 (i7) 7730U 2.0GHz -8GB ram 512GB 15.6 ich FHD battery 3 Cell</t>
        </is>
      </c>
      <c r="C506" t="inlineStr">
        <is>
          <t>AXEGROUP</t>
        </is>
      </c>
      <c r="D506" t="inlineStr">
        <is>
          <t>Uncategorized</t>
        </is>
      </c>
      <c r="E506" s="1" t="n">
        <v>11999</v>
      </c>
      <c r="F506" t="n">
        <v>1</v>
      </c>
      <c r="G506" t="n">
        <v>0</v>
      </c>
      <c r="H506" t="n">
        <v>2</v>
      </c>
      <c r="I506" t="n">
        <v>0</v>
      </c>
      <c r="J506" t="n">
        <v>0</v>
      </c>
      <c r="K506">
        <f>IF(H506-I506-J506&gt;0,H506-I506-J506,0)</f>
        <v/>
      </c>
      <c r="L506" s="1">
        <f>IFERROR(I506*E506,0)</f>
        <v/>
      </c>
      <c r="M506" s="1">
        <f>IFERROR(K506*E506,0)</f>
        <v/>
      </c>
    </row>
    <row r="507">
      <c r="A507" t="inlineStr">
        <is>
          <t>Laser Cutting-B</t>
        </is>
      </c>
      <c r="B507" t="inlineStr">
        <is>
          <t>Program Buffalo</t>
        </is>
      </c>
      <c r="C507" t="inlineStr">
        <is>
          <t>ULTIMATENG (PTY) LTD</t>
        </is>
      </c>
      <c r="D507" t="inlineStr">
        <is>
          <t>Uncategorized</t>
        </is>
      </c>
      <c r="E507" s="1" t="n">
        <v>3230</v>
      </c>
      <c r="F507" t="n">
        <v>2</v>
      </c>
      <c r="G507" t="n">
        <v>0</v>
      </c>
      <c r="H507" t="n">
        <v>8</v>
      </c>
      <c r="I507" t="n">
        <v>0</v>
      </c>
      <c r="J507" t="n">
        <v>0</v>
      </c>
      <c r="K507">
        <f>IF(H507-I507-J507&gt;0,H507-I507-J507,0)</f>
        <v/>
      </c>
      <c r="L507" s="1">
        <f>IFERROR(I507*E507,0)</f>
        <v/>
      </c>
      <c r="M507" s="1">
        <f>IFERROR(K507*E507,0)</f>
        <v/>
      </c>
    </row>
    <row r="508">
      <c r="A508" t="inlineStr">
        <is>
          <t>M10 DIN 934 GRADE 8.8 HEX NUT Z/BLUE 10 934 GR8 ZB</t>
        </is>
      </c>
      <c r="B508" t="inlineStr">
        <is>
          <t>M10 DIN 934 GRADE 8.8 HEX NUT Z/BLUE 10 934 GR8 ZB</t>
        </is>
      </c>
      <c r="C508" t="inlineStr">
        <is>
          <t>M&amp;D SPECIALISED FASTENERS (PTY) LTD</t>
        </is>
      </c>
      <c r="D508" t="inlineStr">
        <is>
          <t>Uncategorized</t>
        </is>
      </c>
      <c r="E508" s="1" t="n">
        <v>0.65</v>
      </c>
      <c r="F508" t="n">
        <v>43</v>
      </c>
      <c r="G508" t="n">
        <v>0</v>
      </c>
      <c r="H508" t="n">
        <v>214</v>
      </c>
      <c r="I508" t="n">
        <v>0</v>
      </c>
      <c r="J508" t="n">
        <v>0</v>
      </c>
      <c r="K508">
        <f>IF(H508-I508-J508&gt;0,H508-I508-J508,0)</f>
        <v/>
      </c>
      <c r="L508" s="1">
        <f>IFERROR(I508*E508,0)</f>
        <v/>
      </c>
      <c r="M508" s="1">
        <f>IFERROR(K508*E508,0)</f>
        <v/>
      </c>
    </row>
    <row r="509">
      <c r="A509" t="inlineStr">
        <is>
          <t>M10 FLAT WASHER (10 .5i/dx20o/dxthk) S/S A2</t>
        </is>
      </c>
      <c r="B509" t="inlineStr">
        <is>
          <t>M10 Flat Washer S/S A2</t>
        </is>
      </c>
      <c r="C509" t="inlineStr">
        <is>
          <t>M&amp;D SPECIALISED FASTENERS (PTY) LTD</t>
        </is>
      </c>
      <c r="D509" t="inlineStr">
        <is>
          <t>Uncategorized</t>
        </is>
      </c>
      <c r="E509" s="1" t="n">
        <v>0.4</v>
      </c>
      <c r="F509" t="n">
        <v>144</v>
      </c>
      <c r="G509" t="n">
        <v>0</v>
      </c>
      <c r="H509" t="n">
        <v>504</v>
      </c>
      <c r="I509" t="n">
        <v>0</v>
      </c>
      <c r="J509" t="n">
        <v>0</v>
      </c>
      <c r="K509">
        <f>IF(H509-I509-J509&gt;0,H509-I509-J509,0)</f>
        <v/>
      </c>
      <c r="L509" s="1">
        <f>IFERROR(I509*E509,0)</f>
        <v/>
      </c>
      <c r="M509" s="1">
        <f>IFERROR(K509*E509,0)</f>
        <v/>
      </c>
    </row>
    <row r="510">
      <c r="A510" t="inlineStr">
        <is>
          <t>M10 Nylock Nut</t>
        </is>
      </c>
      <c r="B510" t="inlineStr">
        <is>
          <t>M10 Nylock Nut Zinc Blue(Silver)</t>
        </is>
      </c>
      <c r="C510" t="inlineStr">
        <is>
          <t>M&amp;D SPECIALISED FASTENERS (PTY) LTD</t>
        </is>
      </c>
      <c r="D510" t="inlineStr">
        <is>
          <t>Uncategorized</t>
        </is>
      </c>
      <c r="E510" s="1" t="n">
        <v>1.1</v>
      </c>
      <c r="F510" t="n">
        <v>87</v>
      </c>
      <c r="G510" t="n">
        <v>0</v>
      </c>
      <c r="H510" t="n">
        <v>377</v>
      </c>
      <c r="I510" t="n">
        <v>0</v>
      </c>
      <c r="J510" t="n">
        <v>0</v>
      </c>
      <c r="K510">
        <f>IF(H510-I510-J510&gt;0,H510-I510-J510,0)</f>
        <v/>
      </c>
      <c r="L510" s="1">
        <f>IFERROR(I510*E510,0)</f>
        <v/>
      </c>
      <c r="M510" s="1">
        <f>IFERROR(K510*E510,0)</f>
        <v/>
      </c>
    </row>
    <row r="511">
      <c r="A511" t="inlineStr">
        <is>
          <t>M10*1 M/S THREADED ROD Z/BLUE 10X1 975 ZB</t>
        </is>
      </c>
      <c r="B511" t="inlineStr">
        <is>
          <t>M10*1 M/S THREADED ROD Z/BLUE 10X1 975 ZB</t>
        </is>
      </c>
      <c r="C511" t="inlineStr">
        <is>
          <t>M&amp;D SPECIALISED FASTENERS (PTY) LTD</t>
        </is>
      </c>
      <c r="D511" t="inlineStr">
        <is>
          <t>Uncategorized</t>
        </is>
      </c>
      <c r="E511" s="1" t="n">
        <v>20</v>
      </c>
      <c r="F511" t="n">
        <v>6</v>
      </c>
      <c r="G511" t="n">
        <v>0</v>
      </c>
      <c r="H511" t="n">
        <v>22</v>
      </c>
      <c r="I511" t="n">
        <v>0</v>
      </c>
      <c r="J511" t="n">
        <v>0</v>
      </c>
      <c r="K511">
        <f>IF(H511-I511-J511&gt;0,H511-I511-J511,0)</f>
        <v/>
      </c>
      <c r="L511" s="1">
        <f>IFERROR(I511*E511,0)</f>
        <v/>
      </c>
      <c r="M511" s="1">
        <f>IFERROR(K511*E511,0)</f>
        <v/>
      </c>
    </row>
    <row r="512">
      <c r="A512" t="inlineStr">
        <is>
          <t>M10*16</t>
        </is>
      </c>
      <c r="B512" t="inlineStr">
        <is>
          <t>M10*16 HT HEX SET SCREW</t>
        </is>
      </c>
      <c r="C512" t="inlineStr">
        <is>
          <t>M&amp;D SPECIALISED FASTENERS (PTY) LTD</t>
        </is>
      </c>
      <c r="D512" t="inlineStr">
        <is>
          <t>Uncategorized</t>
        </is>
      </c>
      <c r="E512" s="1" t="n">
        <v>1.88</v>
      </c>
      <c r="F512" t="n">
        <v>52</v>
      </c>
      <c r="G512" t="n">
        <v>0</v>
      </c>
      <c r="H512" t="n">
        <v>259</v>
      </c>
      <c r="I512" t="n">
        <v>0</v>
      </c>
      <c r="J512" t="n">
        <v>0</v>
      </c>
      <c r="K512">
        <f>IF(H512-I512-J512&gt;0,H512-I512-J512,0)</f>
        <v/>
      </c>
      <c r="L512" s="1">
        <f>IFERROR(I512*E512,0)</f>
        <v/>
      </c>
      <c r="M512" s="1">
        <f>IFERROR(K512*E512,0)</f>
        <v/>
      </c>
    </row>
    <row r="513">
      <c r="A513" t="inlineStr">
        <is>
          <t>M10*25 HT HEX SET SCREW Z/BLUE 10X25 933 8.8 ZB</t>
        </is>
      </c>
      <c r="B513" t="inlineStr">
        <is>
          <t>M10*25 HT HEX SET SCREW Z/BLUE 10X25 933 8.8 ZB</t>
        </is>
      </c>
      <c r="C513" t="inlineStr">
        <is>
          <t>M&amp;D SPECIALISED FASTENERS (PTY) LTD</t>
        </is>
      </c>
      <c r="D513" t="inlineStr">
        <is>
          <t>Uncategorized</t>
        </is>
      </c>
      <c r="E513" s="1" t="n">
        <v>1.8</v>
      </c>
      <c r="F513" t="n">
        <v>36</v>
      </c>
      <c r="G513" t="n">
        <v>0</v>
      </c>
      <c r="H513" t="n">
        <v>181</v>
      </c>
      <c r="I513" t="n">
        <v>0</v>
      </c>
      <c r="J513" t="n">
        <v>0</v>
      </c>
      <c r="K513">
        <f>IF(H513-I513-J513&gt;0,H513-I513-J513,0)</f>
        <v/>
      </c>
      <c r="L513" s="1">
        <f>IFERROR(I513*E513,0)</f>
        <v/>
      </c>
      <c r="M513" s="1">
        <f>IFERROR(K513*E513,0)</f>
        <v/>
      </c>
    </row>
    <row r="514">
      <c r="A514" t="inlineStr">
        <is>
          <t>M10X25</t>
        </is>
      </c>
      <c r="B514" t="inlineStr">
        <is>
          <t>HEX SET SCREW - S/S 304 - A2</t>
        </is>
      </c>
      <c r="C514" t="inlineStr">
        <is>
          <t>M&amp;D SPECIALISED FASTENERS (PTY) LTD</t>
        </is>
      </c>
      <c r="D514" t="inlineStr">
        <is>
          <t>Uncategorized</t>
        </is>
      </c>
      <c r="E514" s="1" t="n">
        <v>2.25</v>
      </c>
      <c r="F514" t="n">
        <v>80</v>
      </c>
      <c r="G514" t="n">
        <v>0</v>
      </c>
      <c r="H514" t="n">
        <v>400</v>
      </c>
      <c r="I514" t="n">
        <v>0</v>
      </c>
      <c r="J514" t="n">
        <v>0</v>
      </c>
      <c r="K514">
        <f>IF(H514-I514-J514&gt;0,H514-I514-J514,0)</f>
        <v/>
      </c>
      <c r="L514" s="1">
        <f>IFERROR(I514*E514,0)</f>
        <v/>
      </c>
      <c r="M514" s="1">
        <f>IFERROR(K514*E514,0)</f>
        <v/>
      </c>
    </row>
    <row r="515">
      <c r="A515" t="inlineStr">
        <is>
          <t>M10X25X2 FLAT WASHER Z/BLUE 10X25X2 OLD ZB</t>
        </is>
      </c>
      <c r="B515" t="inlineStr">
        <is>
          <t>M10X25X2 FLAT WASHER Z/BLUE 10X25X2 OLD ZB</t>
        </is>
      </c>
      <c r="C515" t="inlineStr">
        <is>
          <t>M&amp;D SPECIALISED FASTENERS (PTY) LTD</t>
        </is>
      </c>
      <c r="D515" t="inlineStr">
        <is>
          <t>Uncategorized</t>
        </is>
      </c>
      <c r="E515" s="1" t="n">
        <v>0.5</v>
      </c>
      <c r="F515" t="n">
        <v>109</v>
      </c>
      <c r="G515" t="n">
        <v>0</v>
      </c>
      <c r="H515" t="n">
        <v>544</v>
      </c>
      <c r="I515" t="n">
        <v>0</v>
      </c>
      <c r="J515" t="n">
        <v>0</v>
      </c>
      <c r="K515">
        <f>IF(H515-I515-J515&gt;0,H515-I515-J515,0)</f>
        <v/>
      </c>
      <c r="L515" s="1">
        <f>IFERROR(I515*E515,0)</f>
        <v/>
      </c>
      <c r="M515" s="1">
        <f>IFERROR(K515*E515,0)</f>
        <v/>
      </c>
    </row>
    <row r="516">
      <c r="A516" t="inlineStr">
        <is>
          <t>M10X35</t>
        </is>
      </c>
      <c r="B516" t="inlineStr">
        <is>
          <t>Hex Bolts zinc Blue(Silver)</t>
        </is>
      </c>
      <c r="C516" t="inlineStr">
        <is>
          <t>M&amp;D SPECIALISED FASTENERS (PTY) LTD</t>
        </is>
      </c>
      <c r="D516" t="inlineStr">
        <is>
          <t>Uncategorized</t>
        </is>
      </c>
      <c r="E516" s="1" t="n">
        <v>1.8</v>
      </c>
      <c r="F516" t="n">
        <v>22</v>
      </c>
      <c r="G516" t="n">
        <v>0</v>
      </c>
      <c r="H516" t="n">
        <v>112</v>
      </c>
      <c r="I516" t="n">
        <v>0</v>
      </c>
      <c r="J516" t="n">
        <v>0</v>
      </c>
      <c r="K516">
        <f>IF(H516-I516-J516&gt;0,H516-I516-J516,0)</f>
        <v/>
      </c>
      <c r="L516" s="1">
        <f>IFERROR(I516*E516,0)</f>
        <v/>
      </c>
      <c r="M516" s="1">
        <f>IFERROR(K516*E516,0)</f>
        <v/>
      </c>
    </row>
    <row r="517">
      <c r="A517" t="inlineStr">
        <is>
          <t>M10X45</t>
        </is>
      </c>
      <c r="B517" t="inlineStr">
        <is>
          <t>M10X45 HT HEX SET SCREWS</t>
        </is>
      </c>
      <c r="C517" t="inlineStr">
        <is>
          <t>M&amp;D SPECIALISED FASTENERS (PTY) LTD</t>
        </is>
      </c>
      <c r="D517" t="inlineStr">
        <is>
          <t>Uncategorized</t>
        </is>
      </c>
      <c r="E517" s="1" t="n">
        <v>4.33</v>
      </c>
      <c r="F517" t="n">
        <v>25</v>
      </c>
      <c r="G517" t="n">
        <v>0</v>
      </c>
      <c r="H517" t="n">
        <v>125</v>
      </c>
      <c r="I517" t="n">
        <v>0</v>
      </c>
      <c r="J517" t="n">
        <v>0</v>
      </c>
      <c r="K517">
        <f>IF(H517-I517-J517&gt;0,H517-I517-J517,0)</f>
        <v/>
      </c>
      <c r="L517" s="1">
        <f>IFERROR(I517*E517,0)</f>
        <v/>
      </c>
      <c r="M517" s="1">
        <f>IFERROR(K517*E517,0)</f>
        <v/>
      </c>
    </row>
    <row r="518">
      <c r="A518" t="inlineStr">
        <is>
          <t>M10X65</t>
        </is>
      </c>
      <c r="B518" t="inlineStr">
        <is>
          <t>M10X65 HT HEX SET SCREWS</t>
        </is>
      </c>
      <c r="C518" t="inlineStr">
        <is>
          <t>M&amp;D SPECIALISED FASTENERS (PTY) LTD</t>
        </is>
      </c>
      <c r="D518" t="inlineStr">
        <is>
          <t>Uncategorized</t>
        </is>
      </c>
      <c r="E518" s="1" t="n">
        <v>4</v>
      </c>
      <c r="F518" t="n">
        <v>8</v>
      </c>
      <c r="G518" t="n">
        <v>0</v>
      </c>
      <c r="H518" t="n">
        <v>36</v>
      </c>
      <c r="I518" t="n">
        <v>0</v>
      </c>
      <c r="J518" t="n">
        <v>0</v>
      </c>
      <c r="K518">
        <f>IF(H518-I518-J518&gt;0,H518-I518-J518,0)</f>
        <v/>
      </c>
      <c r="L518" s="1">
        <f>IFERROR(I518*E518,0)</f>
        <v/>
      </c>
      <c r="M518" s="1">
        <f>IFERROR(K518*E518,0)</f>
        <v/>
      </c>
    </row>
    <row r="519">
      <c r="A519" t="inlineStr">
        <is>
          <t>M12</t>
        </is>
      </c>
      <c r="B519" t="inlineStr">
        <is>
          <t>HEX NUT ZINC BLUE</t>
        </is>
      </c>
      <c r="C519" t="inlineStr">
        <is>
          <t>M&amp;D SPECIALISED FASTENERS (PTY) LTD</t>
        </is>
      </c>
      <c r="D519" t="inlineStr">
        <is>
          <t>Uncategorized</t>
        </is>
      </c>
      <c r="E519" s="1" t="n">
        <v>1.12</v>
      </c>
      <c r="F519" t="n">
        <v>100</v>
      </c>
      <c r="G519" t="n">
        <v>0</v>
      </c>
      <c r="H519" t="n">
        <v>500</v>
      </c>
      <c r="I519" t="n">
        <v>0</v>
      </c>
      <c r="J519" t="n">
        <v>0</v>
      </c>
      <c r="K519">
        <f>IF(H519-I519-J519&gt;0,H519-I519-J519,0)</f>
        <v/>
      </c>
      <c r="L519" s="1">
        <f>IFERROR(I519*E519,0)</f>
        <v/>
      </c>
      <c r="M519" s="1">
        <f>IFERROR(K519*E519,0)</f>
        <v/>
      </c>
    </row>
    <row r="520">
      <c r="A520" t="inlineStr">
        <is>
          <t>M12*20 HT HEX SET SCREW Z/BLUE 12X20 933 8.8 ZB</t>
        </is>
      </c>
      <c r="B520" t="inlineStr">
        <is>
          <t>M12*20 HT HEX SET SCREW Z/BLUE 12X20 933 8.8 ZB</t>
        </is>
      </c>
      <c r="C520" t="inlineStr">
        <is>
          <t>M&amp;D SPECIALISED FASTENERS (PTY) LTD</t>
        </is>
      </c>
      <c r="D520" t="inlineStr">
        <is>
          <t>Uncategorized</t>
        </is>
      </c>
      <c r="E520" s="1" t="n">
        <v>3</v>
      </c>
      <c r="F520" t="n">
        <v>48</v>
      </c>
      <c r="G520" t="n">
        <v>0</v>
      </c>
      <c r="H520" t="n">
        <v>208</v>
      </c>
      <c r="I520" t="n">
        <v>0</v>
      </c>
      <c r="J520" t="n">
        <v>0</v>
      </c>
      <c r="K520">
        <f>IF(H520-I520-J520&gt;0,H520-I520-J520,0)</f>
        <v/>
      </c>
      <c r="L520" s="1">
        <f>IFERROR(I520*E520,0)</f>
        <v/>
      </c>
      <c r="M520" s="1">
        <f>IFERROR(K520*E520,0)</f>
        <v/>
      </c>
    </row>
    <row r="521">
      <c r="A521" t="inlineStr">
        <is>
          <t>M12*40</t>
        </is>
      </c>
      <c r="B521" t="inlineStr">
        <is>
          <t>M12*40 HT HEX NUT Z/BLUE</t>
        </is>
      </c>
      <c r="C521" t="inlineStr">
        <is>
          <t>M&amp;D SPECIALISED FASTENERS (PTY) LTD</t>
        </is>
      </c>
      <c r="D521" t="inlineStr">
        <is>
          <t>Uncategorized</t>
        </is>
      </c>
      <c r="E521" s="1" t="n">
        <v>4.92</v>
      </c>
      <c r="F521" t="n">
        <v>87</v>
      </c>
      <c r="G521" t="n">
        <v>0</v>
      </c>
      <c r="H521" t="n">
        <v>434</v>
      </c>
      <c r="I521" t="n">
        <v>0</v>
      </c>
      <c r="J521" t="n">
        <v>0</v>
      </c>
      <c r="K521">
        <f>IF(H521-I521-J521&gt;0,H521-I521-J521,0)</f>
        <v/>
      </c>
      <c r="L521" s="1">
        <f>IFERROR(I521*E521,0)</f>
        <v/>
      </c>
      <c r="M521" s="1">
        <f>IFERROR(K521*E521,0)</f>
        <v/>
      </c>
    </row>
    <row r="522">
      <c r="A522" t="inlineStr">
        <is>
          <t>M12*60</t>
        </is>
      </c>
      <c r="B522" t="inlineStr">
        <is>
          <t>M12X60 HT HEX SET SCREW Z/BLUE -Silver</t>
        </is>
      </c>
      <c r="C522" t="inlineStr">
        <is>
          <t>M&amp;D SPECIALISED FASTENERS (PTY) LTD</t>
        </is>
      </c>
      <c r="D522" t="inlineStr">
        <is>
          <t>Uncategorized</t>
        </is>
      </c>
      <c r="E522" s="1" t="n">
        <v>4.97</v>
      </c>
      <c r="F522" t="n">
        <v>64</v>
      </c>
      <c r="G522" t="n">
        <v>0</v>
      </c>
      <c r="H522" t="n">
        <v>318</v>
      </c>
      <c r="I522" t="n">
        <v>0</v>
      </c>
      <c r="J522" t="n">
        <v>0</v>
      </c>
      <c r="K522">
        <f>IF(H522-I522-J522&gt;0,H522-I522-J522,0)</f>
        <v/>
      </c>
      <c r="L522" s="1">
        <f>IFERROR(I522*E522,0)</f>
        <v/>
      </c>
      <c r="M522" s="1">
        <f>IFERROR(K522*E522,0)</f>
        <v/>
      </c>
    </row>
    <row r="523">
      <c r="A523" t="inlineStr">
        <is>
          <t>M12*90</t>
        </is>
      </c>
      <c r="B523" t="inlineStr">
        <is>
          <t>HEX SET SCREW</t>
        </is>
      </c>
      <c r="C523" t="inlineStr">
        <is>
          <t>M&amp;D SPECIALISED FASTENERS (PTY) LTD</t>
        </is>
      </c>
      <c r="D523" t="inlineStr">
        <is>
          <t>Uncategorized</t>
        </is>
      </c>
      <c r="E523" s="1" t="n">
        <v>6.42</v>
      </c>
      <c r="F523" t="n">
        <v>43</v>
      </c>
      <c r="G523" t="n">
        <v>0</v>
      </c>
      <c r="H523" t="n">
        <v>214</v>
      </c>
      <c r="I523" t="n">
        <v>0</v>
      </c>
      <c r="J523" t="n">
        <v>0</v>
      </c>
      <c r="K523">
        <f>IF(H523-I523-J523&gt;0,H523-I523-J523,0)</f>
        <v/>
      </c>
      <c r="L523" s="1">
        <f>IFERROR(I523*E523,0)</f>
        <v/>
      </c>
      <c r="M523" s="1">
        <f>IFERROR(K523*E523,0)</f>
        <v/>
      </c>
    </row>
    <row r="524">
      <c r="A524" t="inlineStr">
        <is>
          <t>M12X16</t>
        </is>
      </c>
      <c r="B524" t="inlineStr">
        <is>
          <t>M12X16 HT HEX SET SCREWS</t>
        </is>
      </c>
      <c r="C524" t="inlineStr">
        <is>
          <t>M&amp;D SPECIALISED FASTENERS (PTY) LTD</t>
        </is>
      </c>
      <c r="D524" t="inlineStr">
        <is>
          <t>Uncategorized</t>
        </is>
      </c>
      <c r="E524" s="1" t="n">
        <v>6.16</v>
      </c>
      <c r="F524" t="n">
        <v>72</v>
      </c>
      <c r="G524" t="n">
        <v>0</v>
      </c>
      <c r="H524" t="n">
        <v>358</v>
      </c>
      <c r="I524" t="n">
        <v>0</v>
      </c>
      <c r="J524" t="n">
        <v>0</v>
      </c>
      <c r="K524">
        <f>IF(H524-I524-J524&gt;0,H524-I524-J524,0)</f>
        <v/>
      </c>
      <c r="L524" s="1">
        <f>IFERROR(I524*E524,0)</f>
        <v/>
      </c>
      <c r="M524" s="1">
        <f>IFERROR(K524*E524,0)</f>
        <v/>
      </c>
    </row>
    <row r="525">
      <c r="A525" t="inlineStr">
        <is>
          <t>M12X25</t>
        </is>
      </c>
      <c r="B525" t="inlineStr">
        <is>
          <t>M12*25 HT HEX SET SCREW Z/BLUE 12X25 933 8.8 ZB</t>
        </is>
      </c>
      <c r="C525" t="inlineStr">
        <is>
          <t>M&amp;D SPECIALISED FASTENERS (PTY) LTD</t>
        </is>
      </c>
      <c r="D525" t="inlineStr">
        <is>
          <t>Uncategorized</t>
        </is>
      </c>
      <c r="E525" s="1" t="n">
        <v>3</v>
      </c>
      <c r="F525" t="n">
        <v>56</v>
      </c>
      <c r="G525" t="n">
        <v>0</v>
      </c>
      <c r="H525" t="n">
        <v>282</v>
      </c>
      <c r="I525" t="n">
        <v>0</v>
      </c>
      <c r="J525" t="n">
        <v>0</v>
      </c>
      <c r="K525">
        <f>IF(H525-I525-J525&gt;0,H525-I525-J525,0)</f>
        <v/>
      </c>
      <c r="L525" s="1">
        <f>IFERROR(I525*E525,0)</f>
        <v/>
      </c>
      <c r="M525" s="1">
        <f>IFERROR(K525*E525,0)</f>
        <v/>
      </c>
    </row>
    <row r="526">
      <c r="A526" t="inlineStr">
        <is>
          <t>M12X30X3 FLAT WASHER Z/BLUE 12X30X3 OLD ZB</t>
        </is>
      </c>
      <c r="B526" t="inlineStr">
        <is>
          <t>M12X30X3 FLAT WASHER Z/BLUE 12X30X3 OLD ZB</t>
        </is>
      </c>
      <c r="C526" t="inlineStr">
        <is>
          <t>M&amp;D SPECIALISED FASTENERS (PTY) LTD</t>
        </is>
      </c>
      <c r="D526" t="inlineStr">
        <is>
          <t>Uncategorized</t>
        </is>
      </c>
      <c r="E526" s="1" t="n">
        <v>0.85</v>
      </c>
      <c r="F526" t="n">
        <v>124</v>
      </c>
      <c r="G526" t="n">
        <v>0</v>
      </c>
      <c r="H526" t="n">
        <v>620</v>
      </c>
      <c r="I526" t="n">
        <v>0</v>
      </c>
      <c r="J526" t="n">
        <v>0</v>
      </c>
      <c r="K526">
        <f>IF(H526-I526-J526&gt;0,H526-I526-J526,0)</f>
        <v/>
      </c>
      <c r="L526" s="1">
        <f>IFERROR(I526*E526,0)</f>
        <v/>
      </c>
      <c r="M526" s="1">
        <f>IFERROR(K526*E526,0)</f>
        <v/>
      </c>
    </row>
    <row r="527">
      <c r="A527" t="inlineStr">
        <is>
          <t>M12X35</t>
        </is>
      </c>
      <c r="B527" t="inlineStr">
        <is>
          <t>M12X35 HT Hex Set Screws</t>
        </is>
      </c>
      <c r="C527" t="inlineStr">
        <is>
          <t>M&amp;D SPECIALISED FASTENERS (PTY) LTD</t>
        </is>
      </c>
      <c r="D527" t="inlineStr">
        <is>
          <t>Uncategorized</t>
        </is>
      </c>
      <c r="E527" s="1" t="n">
        <v>3</v>
      </c>
      <c r="F527" t="n">
        <v>24</v>
      </c>
      <c r="G527" t="n">
        <v>0</v>
      </c>
      <c r="H527" t="n">
        <v>122</v>
      </c>
      <c r="I527" t="n">
        <v>0</v>
      </c>
      <c r="J527" t="n">
        <v>0</v>
      </c>
      <c r="K527">
        <f>IF(H527-I527-J527&gt;0,H527-I527-J527,0)</f>
        <v/>
      </c>
      <c r="L527" s="1">
        <f>IFERROR(I527*E527,0)</f>
        <v/>
      </c>
      <c r="M527" s="1">
        <f>IFERROR(K527*E527,0)</f>
        <v/>
      </c>
    </row>
    <row r="528">
      <c r="A528" t="inlineStr">
        <is>
          <t>M14 FLAT WASHER DIN 125A ZINC BLUE (15i / d X 28o/d X 2.5thk) 14 125A ZB</t>
        </is>
      </c>
      <c r="B528" t="inlineStr">
        <is>
          <t>M14 FLAT WASHER DIN 125A ZINC BLUE (15i / d X 28o/d X 2.5thk) 14 125A ZB</t>
        </is>
      </c>
      <c r="C528" t="inlineStr">
        <is>
          <t>M&amp;D SPECIALISED FASTENERS (PTY) LTD</t>
        </is>
      </c>
      <c r="D528" t="inlineStr">
        <is>
          <t>Uncategorized</t>
        </is>
      </c>
      <c r="E528" s="1" t="n">
        <v>0.6</v>
      </c>
      <c r="F528" t="n">
        <v>15</v>
      </c>
      <c r="G528" t="n">
        <v>0</v>
      </c>
      <c r="H528" t="n">
        <v>75</v>
      </c>
      <c r="I528" t="n">
        <v>0</v>
      </c>
      <c r="J528" t="n">
        <v>0</v>
      </c>
      <c r="K528">
        <f>IF(H528-I528-J528&gt;0,H528-I528-J528,0)</f>
        <v/>
      </c>
      <c r="L528" s="1">
        <f>IFERROR(I528*E528,0)</f>
        <v/>
      </c>
      <c r="M528" s="1">
        <f>IFERROR(K528*E528,0)</f>
        <v/>
      </c>
    </row>
    <row r="529">
      <c r="A529" t="inlineStr">
        <is>
          <t>M14 HT NYLOCK NUT 14 985 GR8</t>
        </is>
      </c>
      <c r="B529" t="inlineStr">
        <is>
          <t>M14 HT NYLOCK NUT 14 985 GR8</t>
        </is>
      </c>
      <c r="C529" t="inlineStr">
        <is>
          <t>M&amp;D SPECIALISED FASTENERS (PTY) LTD</t>
        </is>
      </c>
      <c r="D529" t="inlineStr">
        <is>
          <t>Uncategorized</t>
        </is>
      </c>
      <c r="E529" s="1" t="n">
        <v>1.3</v>
      </c>
      <c r="F529" t="n">
        <v>8</v>
      </c>
      <c r="G529" t="n">
        <v>0</v>
      </c>
      <c r="H529" t="n">
        <v>38</v>
      </c>
      <c r="I529" t="n">
        <v>0</v>
      </c>
      <c r="J529" t="n">
        <v>0</v>
      </c>
      <c r="K529">
        <f>IF(H529-I529-J529&gt;0,H529-I529-J529,0)</f>
        <v/>
      </c>
      <c r="L529" s="1">
        <f>IFERROR(I529*E529,0)</f>
        <v/>
      </c>
      <c r="M529" s="1">
        <f>IFERROR(K529*E529,0)</f>
        <v/>
      </c>
    </row>
    <row r="530">
      <c r="A530" t="inlineStr">
        <is>
          <t>M14*50 HT HEX SET SCREW Z/BLUE 14X50 933 8 . 8 ZB</t>
        </is>
      </c>
      <c r="B530" t="inlineStr">
        <is>
          <t>M14*50 HT HEX SET SCREW Z/BLUE 14X50 933 8 . 8 ZB</t>
        </is>
      </c>
      <c r="C530" t="inlineStr">
        <is>
          <t>M&amp;D SPECIALISED FASTENERS (PTY) LTD</t>
        </is>
      </c>
      <c r="D530" t="inlineStr">
        <is>
          <t>Uncategorized</t>
        </is>
      </c>
      <c r="E530" s="1" t="n">
        <v>8</v>
      </c>
      <c r="F530" t="n">
        <v>15</v>
      </c>
      <c r="G530" t="n">
        <v>0</v>
      </c>
      <c r="H530" t="n">
        <v>75</v>
      </c>
      <c r="I530" t="n">
        <v>0</v>
      </c>
      <c r="J530" t="n">
        <v>0</v>
      </c>
      <c r="K530">
        <f>IF(H530-I530-J530&gt;0,H530-I530-J530,0)</f>
        <v/>
      </c>
      <c r="L530" s="1">
        <f>IFERROR(I530*E530,0)</f>
        <v/>
      </c>
      <c r="M530" s="1">
        <f>IFERROR(K530*E530,0)</f>
        <v/>
      </c>
    </row>
    <row r="531">
      <c r="A531" t="inlineStr">
        <is>
          <t>M16 FLAT WASHER DIN (17i/d X 30o/d 3thk) S/S A2</t>
        </is>
      </c>
      <c r="B531" t="inlineStr">
        <is>
          <t>M16 FLAT WASHER DIN (17i/d x 30o/d X 3thk) S/S A2</t>
        </is>
      </c>
      <c r="C531" t="inlineStr">
        <is>
          <t>M&amp;D SPECIALISED FASTENERS (PTY) LTD</t>
        </is>
      </c>
      <c r="D531" t="inlineStr">
        <is>
          <t>Uncategorized</t>
        </is>
      </c>
      <c r="E531" s="1" t="n">
        <v>1.3</v>
      </c>
      <c r="F531" t="n">
        <v>144</v>
      </c>
      <c r="G531" t="n">
        <v>0</v>
      </c>
      <c r="H531" t="n">
        <v>504</v>
      </c>
      <c r="I531" t="n">
        <v>0</v>
      </c>
      <c r="J531" t="n">
        <v>0</v>
      </c>
      <c r="K531">
        <f>IF(H531-I531-J531&gt;0,H531-I531-J531,0)</f>
        <v/>
      </c>
      <c r="L531" s="1">
        <f>IFERROR(I531*E531,0)</f>
        <v/>
      </c>
      <c r="M531" s="1">
        <f>IFERROR(K531*E531,0)</f>
        <v/>
      </c>
    </row>
    <row r="532">
      <c r="A532" t="inlineStr">
        <is>
          <t>M16 GR8 HEX NUT Z/BLUE 16 934 GR8 ZB</t>
        </is>
      </c>
      <c r="B532" t="inlineStr">
        <is>
          <t>M16 GR8 HEX NUT Z/BLUE 16 934 GR8 ZB</t>
        </is>
      </c>
      <c r="C532" t="inlineStr">
        <is>
          <t>M&amp;D SPECIALISED FASTENERS (PTY) LTD</t>
        </is>
      </c>
      <c r="D532" t="inlineStr">
        <is>
          <t>Uncategorized</t>
        </is>
      </c>
      <c r="E532" s="1" t="n">
        <v>2.01</v>
      </c>
      <c r="F532" t="n">
        <v>117</v>
      </c>
      <c r="G532" t="n">
        <v>0</v>
      </c>
      <c r="H532" t="n">
        <v>586</v>
      </c>
      <c r="I532" t="n">
        <v>0</v>
      </c>
      <c r="J532" t="n">
        <v>0</v>
      </c>
      <c r="K532">
        <f>IF(H532-I532-J532&gt;0,H532-I532-J532,0)</f>
        <v/>
      </c>
      <c r="L532" s="1">
        <f>IFERROR(I532*E532,0)</f>
        <v/>
      </c>
      <c r="M532" s="1">
        <f>IFERROR(K532*E532,0)</f>
        <v/>
      </c>
    </row>
    <row r="533">
      <c r="A533" t="inlineStr">
        <is>
          <t>M16 HEX</t>
        </is>
      </c>
      <c r="B533" t="inlineStr">
        <is>
          <t>M16 HEX NUT HOT DIP GALV</t>
        </is>
      </c>
      <c r="C533" t="inlineStr">
        <is>
          <t>M&amp;D SPECIALISED FASTENERS (PTY) LTD</t>
        </is>
      </c>
      <c r="D533" t="inlineStr">
        <is>
          <t>Uncategorized</t>
        </is>
      </c>
      <c r="E533" s="1" t="n">
        <v>2</v>
      </c>
      <c r="F533" t="n">
        <v>2</v>
      </c>
      <c r="G533" t="n">
        <v>0</v>
      </c>
      <c r="H533" t="n">
        <v>10</v>
      </c>
      <c r="I533" t="n">
        <v>0</v>
      </c>
      <c r="J533" t="n">
        <v>0</v>
      </c>
      <c r="K533">
        <f>IF(H533-I533-J533&gt;0,H533-I533-J533,0)</f>
        <v/>
      </c>
      <c r="L533" s="1">
        <f>IFERROR(I533*E533,0)</f>
        <v/>
      </c>
      <c r="M533" s="1">
        <f>IFERROR(K533*E533,0)</f>
        <v/>
      </c>
    </row>
    <row r="534">
      <c r="A534" t="inlineStr">
        <is>
          <t>M16 LOCK NUT</t>
        </is>
      </c>
      <c r="B534" t="inlineStr">
        <is>
          <t>M16 HT LOCK NUT</t>
        </is>
      </c>
      <c r="C534" t="inlineStr">
        <is>
          <t>M&amp;D SPECIALISED FASTENERS (PTY) LTD</t>
        </is>
      </c>
      <c r="D534" t="inlineStr">
        <is>
          <t>Uncategorized</t>
        </is>
      </c>
      <c r="E534" s="1" t="n">
        <v>1.8</v>
      </c>
      <c r="F534" t="n">
        <v>150</v>
      </c>
      <c r="G534" t="n">
        <v>0</v>
      </c>
      <c r="H534" t="n">
        <v>750</v>
      </c>
      <c r="I534" t="n">
        <v>0</v>
      </c>
      <c r="J534" t="n">
        <v>0</v>
      </c>
      <c r="K534">
        <f>IF(H534-I534-J534&gt;0,H534-I534-J534,0)</f>
        <v/>
      </c>
      <c r="L534" s="1">
        <f>IFERROR(I534*E534,0)</f>
        <v/>
      </c>
      <c r="M534" s="1">
        <f>IFERROR(K534*E534,0)</f>
        <v/>
      </c>
    </row>
    <row r="535">
      <c r="A535" t="inlineStr">
        <is>
          <t>M16*1</t>
        </is>
      </c>
      <c r="B535" t="inlineStr">
        <is>
          <t>MM16*1 M/S THREADED ROD Z/BLUE - 16*1 975 ZB</t>
        </is>
      </c>
      <c r="C535" t="inlineStr">
        <is>
          <t>M&amp;D SPECIALISED FASTENERS (PTY) LTD</t>
        </is>
      </c>
      <c r="D535" t="inlineStr">
        <is>
          <t>Uncategorized</t>
        </is>
      </c>
      <c r="E535" s="1" t="n">
        <v>75</v>
      </c>
      <c r="F535" t="n">
        <v>2</v>
      </c>
      <c r="G535" t="n">
        <v>0</v>
      </c>
      <c r="H535" t="n">
        <v>12</v>
      </c>
      <c r="I535" t="n">
        <v>0</v>
      </c>
      <c r="J535" t="n">
        <v>0</v>
      </c>
      <c r="K535">
        <f>IF(H535-I535-J535&gt;0,H535-I535-J535,0)</f>
        <v/>
      </c>
      <c r="L535" s="1">
        <f>IFERROR(I535*E535,0)</f>
        <v/>
      </c>
      <c r="M535" s="1">
        <f>IFERROR(K535*E535,0)</f>
        <v/>
      </c>
    </row>
    <row r="536">
      <c r="A536" t="inlineStr">
        <is>
          <t>M16*110</t>
        </is>
      </c>
      <c r="B536" t="inlineStr">
        <is>
          <t>M16*110 GR8.8 HEX BOLT HOT</t>
        </is>
      </c>
      <c r="C536" t="inlineStr">
        <is>
          <t>M&amp;D SPECIALISED FASTENERS (PTY) LTD</t>
        </is>
      </c>
      <c r="D536" t="inlineStr">
        <is>
          <t>Uncategorized</t>
        </is>
      </c>
      <c r="E536" s="1" t="n">
        <v>20</v>
      </c>
      <c r="F536" t="n">
        <v>2</v>
      </c>
      <c r="G536" t="n">
        <v>0</v>
      </c>
      <c r="H536" t="n">
        <v>10</v>
      </c>
      <c r="I536" t="n">
        <v>0</v>
      </c>
      <c r="J536" t="n">
        <v>0</v>
      </c>
      <c r="K536">
        <f>IF(H536-I536-J536&gt;0,H536-I536-J536,0)</f>
        <v/>
      </c>
      <c r="L536" s="1">
        <f>IFERROR(I536*E536,0)</f>
        <v/>
      </c>
      <c r="M536" s="1">
        <f>IFERROR(K536*E536,0)</f>
        <v/>
      </c>
    </row>
    <row r="537">
      <c r="A537" t="inlineStr">
        <is>
          <t>M16*120 HT HEX SET SCREW</t>
        </is>
      </c>
      <c r="B537" t="inlineStr">
        <is>
          <t>M16*120 HT HEX SET SCREW 16X120 933 8.8</t>
        </is>
      </c>
      <c r="C537" t="inlineStr">
        <is>
          <t>M&amp;D SPECIALISED FASTENERS (PTY) LTD</t>
        </is>
      </c>
      <c r="D537" t="inlineStr">
        <is>
          <t>Uncategorized</t>
        </is>
      </c>
      <c r="E537" s="1" t="n">
        <v>18.05</v>
      </c>
      <c r="F537" t="n">
        <v>36</v>
      </c>
      <c r="G537" t="n">
        <v>0</v>
      </c>
      <c r="H537" t="n">
        <v>181</v>
      </c>
      <c r="I537" t="n">
        <v>0</v>
      </c>
      <c r="J537" t="n">
        <v>0</v>
      </c>
      <c r="K537">
        <f>IF(H537-I537-J537&gt;0,H537-I537-J537,0)</f>
        <v/>
      </c>
      <c r="L537" s="1">
        <f>IFERROR(I537*E537,0)</f>
        <v/>
      </c>
      <c r="M537" s="1">
        <f>IFERROR(K537*E537,0)</f>
        <v/>
      </c>
    </row>
    <row r="538">
      <c r="A538" t="inlineStr">
        <is>
          <t>M16*20</t>
        </is>
      </c>
      <c r="B538" t="inlineStr">
        <is>
          <t>M16*20 Hex Set Screws</t>
        </is>
      </c>
      <c r="C538" t="inlineStr">
        <is>
          <t>M&amp;D SPECIALISED FASTENERS (PTY) LTD</t>
        </is>
      </c>
      <c r="D538" t="inlineStr">
        <is>
          <t>Uncategorized</t>
        </is>
      </c>
      <c r="E538" s="1" t="n">
        <v>7.14</v>
      </c>
      <c r="F538" t="n">
        <v>70</v>
      </c>
      <c r="G538" t="n">
        <v>0</v>
      </c>
      <c r="H538" t="n">
        <v>350</v>
      </c>
      <c r="I538" t="n">
        <v>0</v>
      </c>
      <c r="J538" t="n">
        <v>0</v>
      </c>
      <c r="K538">
        <f>IF(H538-I538-J538&gt;0,H538-I538-J538,0)</f>
        <v/>
      </c>
      <c r="L538" s="1">
        <f>IFERROR(I538*E538,0)</f>
        <v/>
      </c>
      <c r="M538" s="1">
        <f>IFERROR(K538*E538,0)</f>
        <v/>
      </c>
    </row>
    <row r="539">
      <c r="A539" t="inlineStr">
        <is>
          <t>M16*40 HT HEX SET SCREW 8 . 8 Z/BLUE 16X40 933 8 . 8 ZB</t>
        </is>
      </c>
      <c r="B539" t="inlineStr">
        <is>
          <t>M16*40 HT HEX SET SCREW 8 . 8 Z/BLUE 16X40 933 8 . 8 ZB</t>
        </is>
      </c>
      <c r="C539" t="inlineStr">
        <is>
          <t>M&amp;D SPECIALISED FASTENERS (PTY) LTD</t>
        </is>
      </c>
      <c r="D539" t="inlineStr">
        <is>
          <t>Uncategorized</t>
        </is>
      </c>
      <c r="E539" s="1" t="n">
        <v>6</v>
      </c>
      <c r="F539" t="n">
        <v>32</v>
      </c>
      <c r="G539" t="n">
        <v>0</v>
      </c>
      <c r="H539" t="n">
        <v>160</v>
      </c>
      <c r="I539" t="n">
        <v>0</v>
      </c>
      <c r="J539" t="n">
        <v>0</v>
      </c>
      <c r="K539">
        <f>IF(H539-I539-J539&gt;0,H539-I539-J539,0)</f>
        <v/>
      </c>
      <c r="L539" s="1">
        <f>IFERROR(I539*E539,0)</f>
        <v/>
      </c>
      <c r="M539" s="1">
        <f>IFERROR(K539*E539,0)</f>
        <v/>
      </c>
    </row>
    <row r="540">
      <c r="A540" t="inlineStr">
        <is>
          <t>M16X110 HT SET SCREW 16X110 933 8.8</t>
        </is>
      </c>
      <c r="B540" t="inlineStr">
        <is>
          <t>M16X110 HT SET SCREW 16X110 933 8.8</t>
        </is>
      </c>
      <c r="C540" t="inlineStr">
        <is>
          <t>M&amp;D SPECIALISED FASTENERS (PTY) LTD</t>
        </is>
      </c>
      <c r="D540" t="inlineStr">
        <is>
          <t>Uncategorized</t>
        </is>
      </c>
      <c r="E540" s="1" t="n">
        <v>20</v>
      </c>
      <c r="F540" t="n">
        <v>16</v>
      </c>
      <c r="G540" t="n">
        <v>0</v>
      </c>
      <c r="H540" t="n">
        <v>36</v>
      </c>
      <c r="I540" t="n">
        <v>0</v>
      </c>
      <c r="J540" t="n">
        <v>0</v>
      </c>
      <c r="K540">
        <f>IF(H540-I540-J540&gt;0,H540-I540-J540,0)</f>
        <v/>
      </c>
      <c r="L540" s="1">
        <f>IFERROR(I540*E540,0)</f>
        <v/>
      </c>
      <c r="M540" s="1">
        <f>IFERROR(K540*E540,0)</f>
        <v/>
      </c>
    </row>
    <row r="541">
      <c r="A541" t="inlineStr">
        <is>
          <t>M16X130 HT</t>
        </is>
      </c>
      <c r="B541" t="inlineStr">
        <is>
          <t>M16X130 HT SET SCREW MECH</t>
        </is>
      </c>
      <c r="C541" t="inlineStr">
        <is>
          <t>M&amp;D SPECIALISED FASTENERS (PTY) LTD</t>
        </is>
      </c>
      <c r="D541" t="inlineStr">
        <is>
          <t>Uncategorized</t>
        </is>
      </c>
      <c r="E541" s="1" t="n">
        <v>65</v>
      </c>
      <c r="F541" t="n">
        <v>1</v>
      </c>
      <c r="G541" t="n">
        <v>0</v>
      </c>
      <c r="H541" t="n">
        <v>5</v>
      </c>
      <c r="I541" t="n">
        <v>0</v>
      </c>
      <c r="J541" t="n">
        <v>0</v>
      </c>
      <c r="K541">
        <f>IF(H541-I541-J541&gt;0,H541-I541-J541,0)</f>
        <v/>
      </c>
      <c r="L541" s="1">
        <f>IFERROR(I541*E541,0)</f>
        <v/>
      </c>
      <c r="M541" s="1">
        <f>IFERROR(K541*E541,0)</f>
        <v/>
      </c>
    </row>
    <row r="542">
      <c r="A542" t="inlineStr">
        <is>
          <t>M16X90</t>
        </is>
      </c>
      <c r="B542" t="inlineStr">
        <is>
          <t>M16X90 HT HEX SET SCREWS Z/BLUE</t>
        </is>
      </c>
      <c r="C542" t="inlineStr">
        <is>
          <t>M&amp;D SPECIALISED FASTENERS (PTY) LTD</t>
        </is>
      </c>
      <c r="D542" t="inlineStr">
        <is>
          <t>Uncategorized</t>
        </is>
      </c>
      <c r="E542" s="1" t="n">
        <v>12</v>
      </c>
      <c r="F542" t="n">
        <v>150</v>
      </c>
      <c r="G542" t="n">
        <v>0</v>
      </c>
      <c r="H542" t="n">
        <v>750</v>
      </c>
      <c r="I542" t="n">
        <v>0</v>
      </c>
      <c r="J542" t="n">
        <v>0</v>
      </c>
      <c r="K542">
        <f>IF(H542-I542-J542&gt;0,H542-I542-J542,0)</f>
        <v/>
      </c>
      <c r="L542" s="1">
        <f>IFERROR(I542*E542,0)</f>
        <v/>
      </c>
      <c r="M542" s="1">
        <f>IFERROR(K542*E542,0)</f>
        <v/>
      </c>
    </row>
    <row r="543">
      <c r="A543" t="inlineStr">
        <is>
          <t>M20 DIN 580 TESTED EYE BOLT GALV M20EYE OLD</t>
        </is>
      </c>
      <c r="B543" t="inlineStr">
        <is>
          <t>M20 DIN 580 TESTED EYE BOLT GALV M20EYE OLD</t>
        </is>
      </c>
      <c r="C543" t="inlineStr">
        <is>
          <t>M&amp;D SPECIALISED FASTENERS (PTY) LTD</t>
        </is>
      </c>
      <c r="D543" t="inlineStr">
        <is>
          <t>Uncategorized</t>
        </is>
      </c>
      <c r="E543" s="1" t="n">
        <v>43.15</v>
      </c>
      <c r="F543" t="n">
        <v>4</v>
      </c>
      <c r="G543" t="n">
        <v>0</v>
      </c>
      <c r="H543" t="n">
        <v>20</v>
      </c>
      <c r="I543" t="n">
        <v>0</v>
      </c>
      <c r="J543" t="n">
        <v>0</v>
      </c>
      <c r="K543">
        <f>IF(H543-I543-J543&gt;0,H543-I543-J543,0)</f>
        <v/>
      </c>
      <c r="L543" s="1">
        <f>IFERROR(I543*E543,0)</f>
        <v/>
      </c>
      <c r="M543" s="1">
        <f>IFERROR(K543*E543,0)</f>
        <v/>
      </c>
    </row>
    <row r="544">
      <c r="A544" t="inlineStr">
        <is>
          <t>M20*20 GRUB SCREW Z/BLUE 20X20 916 14.9 ZB</t>
        </is>
      </c>
      <c r="B544" t="inlineStr">
        <is>
          <t>M20*20 GRUB SCREW Z/BLUE 20X20 916 14.9 ZB</t>
        </is>
      </c>
      <c r="C544" t="inlineStr">
        <is>
          <t>M&amp;D SPECIALISED FASTENERS (PTY) LTD</t>
        </is>
      </c>
      <c r="D544" t="inlineStr">
        <is>
          <t>Uncategorized</t>
        </is>
      </c>
      <c r="E544" s="1" t="n">
        <v>8</v>
      </c>
      <c r="F544" t="n">
        <v>1</v>
      </c>
      <c r="G544" t="n">
        <v>0</v>
      </c>
      <c r="H544" t="n">
        <v>2</v>
      </c>
      <c r="I544" t="n">
        <v>0</v>
      </c>
      <c r="J544" t="n">
        <v>0</v>
      </c>
      <c r="K544">
        <f>IF(H544-I544-J544&gt;0,H544-I544-J544,0)</f>
        <v/>
      </c>
      <c r="L544" s="1">
        <f>IFERROR(I544*E544,0)</f>
        <v/>
      </c>
      <c r="M544" s="1">
        <f>IFERROR(K544*E544,0)</f>
        <v/>
      </c>
    </row>
    <row r="545">
      <c r="A545" t="inlineStr">
        <is>
          <t>M5 HT NUT Z/BLUE 5 934 GR8 ZB</t>
        </is>
      </c>
      <c r="B545" t="inlineStr">
        <is>
          <t>M5 HT NUT Z/BLUE 5 934 GR8 ZB</t>
        </is>
      </c>
      <c r="C545" t="inlineStr">
        <is>
          <t>M&amp;D SPECIALISED FASTENERS (PTY) LTD</t>
        </is>
      </c>
      <c r="D545" t="inlineStr">
        <is>
          <t>Uncategorized</t>
        </is>
      </c>
      <c r="E545" s="1" t="n">
        <v>0.15</v>
      </c>
      <c r="F545" t="n">
        <v>46</v>
      </c>
      <c r="G545" t="n">
        <v>0</v>
      </c>
      <c r="H545" t="n">
        <v>228</v>
      </c>
      <c r="I545" t="n">
        <v>0</v>
      </c>
      <c r="J545" t="n">
        <v>1000</v>
      </c>
      <c r="K545">
        <f>IF(H545-I545-J545&gt;0,H545-I545-J545,0)</f>
        <v/>
      </c>
      <c r="L545" s="1">
        <f>IFERROR(I545*E545,0)</f>
        <v/>
      </c>
      <c r="M545" s="1">
        <f>IFERROR(K545*E545,0)</f>
        <v/>
      </c>
    </row>
    <row r="546">
      <c r="A546" t="inlineStr">
        <is>
          <t>M5*16 HT HEX SET SCREW Z/BLUE 5X16 933 8.8 ZB</t>
        </is>
      </c>
      <c r="B546" t="inlineStr">
        <is>
          <t>M5*16 HT HEX SET SCREW Z/BLUE 5X16 933 8.8 ZB</t>
        </is>
      </c>
      <c r="C546" t="inlineStr">
        <is>
          <t>M&amp;D SPECIALISED FASTENERS (PTY) LTD</t>
        </is>
      </c>
      <c r="D546" t="inlineStr">
        <is>
          <t>Uncategorized</t>
        </is>
      </c>
      <c r="E546" s="1" t="n">
        <v>0.35</v>
      </c>
      <c r="F546" t="n">
        <v>61</v>
      </c>
      <c r="G546" t="n">
        <v>0</v>
      </c>
      <c r="H546" t="n">
        <v>306</v>
      </c>
      <c r="I546" t="n">
        <v>0</v>
      </c>
      <c r="J546" t="n">
        <v>0</v>
      </c>
      <c r="K546">
        <f>IF(H546-I546-J546&gt;0,H546-I546-J546,0)</f>
        <v/>
      </c>
      <c r="L546" s="1">
        <f>IFERROR(I546*E546,0)</f>
        <v/>
      </c>
      <c r="M546" s="1">
        <f>IFERROR(K546*E546,0)</f>
        <v/>
      </c>
    </row>
    <row r="547">
      <c r="A547" t="inlineStr">
        <is>
          <t>M5*45 HT HEX SET SCREW 5X45 933 8 . 8</t>
        </is>
      </c>
      <c r="B547" t="inlineStr">
        <is>
          <t>M5*45 HT HEX SET SCREW 5X45 933 8 . 8</t>
        </is>
      </c>
      <c r="C547" t="inlineStr">
        <is>
          <t>M&amp;D SPECIALISED FASTENERS (PTY) LTD</t>
        </is>
      </c>
      <c r="D547" t="inlineStr">
        <is>
          <t>Uncategorized</t>
        </is>
      </c>
      <c r="E547" s="1" t="n">
        <v>0.95</v>
      </c>
      <c r="F547" t="n">
        <v>14</v>
      </c>
      <c r="G547" t="n">
        <v>0</v>
      </c>
      <c r="H547" t="n">
        <v>69</v>
      </c>
      <c r="I547" t="n">
        <v>0</v>
      </c>
      <c r="J547" t="n">
        <v>0</v>
      </c>
      <c r="K547">
        <f>IF(H547-I547-J547&gt;0,H547-I547-J547,0)</f>
        <v/>
      </c>
      <c r="L547" s="1">
        <f>IFERROR(I547*E547,0)</f>
        <v/>
      </c>
      <c r="M547" s="1">
        <f>IFERROR(K547*E547,0)</f>
        <v/>
      </c>
    </row>
    <row r="548">
      <c r="A548" t="inlineStr">
        <is>
          <t>M5001-</t>
        </is>
      </c>
      <c r="B548" t="inlineStr">
        <is>
          <t>Majax-2 500 20.C.8 Mancooler c/w 2.2 kW 2P 525V With Start/Stop Box</t>
        </is>
      </c>
      <c r="C548" t="inlineStr">
        <is>
          <t>Air Speration</t>
        </is>
      </c>
      <c r="D548" t="inlineStr">
        <is>
          <t>Uncategorized</t>
        </is>
      </c>
      <c r="E548" s="1" t="n">
        <v>18017.61</v>
      </c>
      <c r="F548" t="n">
        <v>1</v>
      </c>
      <c r="G548" t="n">
        <v>0</v>
      </c>
      <c r="H548" t="n">
        <v>3</v>
      </c>
      <c r="I548" t="n">
        <v>0</v>
      </c>
      <c r="J548" t="n">
        <v>0</v>
      </c>
      <c r="K548">
        <f>IF(H548-I548-J548&gt;0,H548-I548-J548,0)</f>
        <v/>
      </c>
      <c r="L548" s="1">
        <f>IFERROR(I548*E548,0)</f>
        <v/>
      </c>
      <c r="M548" s="1">
        <f>IFERROR(K548*E548,0)</f>
        <v/>
      </c>
    </row>
    <row r="549">
      <c r="A549" t="inlineStr">
        <is>
          <t>M5X16X1.5</t>
        </is>
      </c>
      <c r="B549" t="inlineStr">
        <is>
          <t>HT Flat washer</t>
        </is>
      </c>
      <c r="C549" t="inlineStr">
        <is>
          <t>M&amp;D SPECIALISED FASTENERS (PTY) LTD</t>
        </is>
      </c>
      <c r="D549" t="inlineStr">
        <is>
          <t>Uncategorized</t>
        </is>
      </c>
      <c r="E549" s="1" t="n">
        <v>0.15</v>
      </c>
      <c r="F549" t="n">
        <v>90</v>
      </c>
      <c r="G549" t="n">
        <v>0</v>
      </c>
      <c r="H549" t="n">
        <v>450</v>
      </c>
      <c r="I549" t="n">
        <v>0</v>
      </c>
      <c r="J549" t="n">
        <v>0</v>
      </c>
      <c r="K549">
        <f>IF(H549-I549-J549&gt;0,H549-I549-J549,0)</f>
        <v/>
      </c>
      <c r="L549" s="1">
        <f>IFERROR(I549*E549,0)</f>
        <v/>
      </c>
      <c r="M549" s="1">
        <f>IFERROR(K549*E549,0)</f>
        <v/>
      </c>
    </row>
    <row r="550">
      <c r="A550" t="inlineStr">
        <is>
          <t>M5X25</t>
        </is>
      </c>
      <c r="B550" t="inlineStr">
        <is>
          <t>HEX SET SCREW - S/S 304 - A2</t>
        </is>
      </c>
      <c r="C550" t="inlineStr">
        <is>
          <t>M&amp;D SPECIALISED FASTENERS (PTY) LTD</t>
        </is>
      </c>
      <c r="D550" t="inlineStr">
        <is>
          <t>Uncategorized</t>
        </is>
      </c>
      <c r="E550" s="1" t="n">
        <v>0.9</v>
      </c>
      <c r="F550" t="n">
        <v>120</v>
      </c>
      <c r="G550" t="n">
        <v>0</v>
      </c>
      <c r="H550" t="n">
        <v>600</v>
      </c>
      <c r="I550" t="n">
        <v>0</v>
      </c>
      <c r="J550" t="n">
        <v>0</v>
      </c>
      <c r="K550">
        <f>IF(H550-I550-J550&gt;0,H550-I550-J550,0)</f>
        <v/>
      </c>
      <c r="L550" s="1">
        <f>IFERROR(I550*E550,0)</f>
        <v/>
      </c>
      <c r="M550" s="1">
        <f>IFERROR(K550*E550,0)</f>
        <v/>
      </c>
    </row>
    <row r="551">
      <c r="A551" t="inlineStr">
        <is>
          <t>M6 HT HEX NUT Z/BLUE 6 934 GR8 ZB</t>
        </is>
      </c>
      <c r="B551" t="inlineStr">
        <is>
          <t>M6 HT HEX NUT Z/BLUE 6 934 GR8 ZB</t>
        </is>
      </c>
      <c r="C551" t="inlineStr">
        <is>
          <t>M&amp;D SPECIALISED FASTENERS (PTY) LTD</t>
        </is>
      </c>
      <c r="D551" t="inlineStr">
        <is>
          <t>Uncategorized</t>
        </is>
      </c>
      <c r="E551" s="1" t="n">
        <v>0.12</v>
      </c>
      <c r="F551" t="n">
        <v>22</v>
      </c>
      <c r="G551" t="n">
        <v>0</v>
      </c>
      <c r="H551" t="n">
        <v>111</v>
      </c>
      <c r="I551" t="n">
        <v>0</v>
      </c>
      <c r="J551" t="n">
        <v>0</v>
      </c>
      <c r="K551">
        <f>IF(H551-I551-J551&gt;0,H551-I551-J551,0)</f>
        <v/>
      </c>
      <c r="L551" s="1">
        <f>IFERROR(I551*E551,0)</f>
        <v/>
      </c>
      <c r="M551" s="1">
        <f>IFERROR(K551*E551,0)</f>
        <v/>
      </c>
    </row>
    <row r="552">
      <c r="A552" t="inlineStr">
        <is>
          <t>M6 HT NYLOCK NUT</t>
        </is>
      </c>
      <c r="B552" t="inlineStr">
        <is>
          <t>M6 HT NYLOCK NUT</t>
        </is>
      </c>
      <c r="C552" t="inlineStr">
        <is>
          <t>M&amp;D SPECIALISED FASTENERS (PTY) LTD</t>
        </is>
      </c>
      <c r="D552" t="inlineStr">
        <is>
          <t>Uncategorized</t>
        </is>
      </c>
      <c r="E552" s="1" t="n">
        <v>0.2</v>
      </c>
      <c r="F552" t="n">
        <v>80</v>
      </c>
      <c r="G552" t="n">
        <v>0</v>
      </c>
      <c r="H552" t="n">
        <v>400</v>
      </c>
      <c r="I552" t="n">
        <v>0</v>
      </c>
      <c r="J552" t="n">
        <v>0</v>
      </c>
      <c r="K552">
        <f>IF(H552-I552-J552&gt;0,H552-I552-J552,0)</f>
        <v/>
      </c>
      <c r="L552" s="1">
        <f>IFERROR(I552*E552,0)</f>
        <v/>
      </c>
      <c r="M552" s="1">
        <f>IFERROR(K552*E552,0)</f>
        <v/>
      </c>
    </row>
    <row r="553">
      <c r="A553" t="inlineStr">
        <is>
          <t>M6*16 CSK ALLEN CAP SCREW MECHANICAL YELLOW 6X16 7991 10.9 MY</t>
        </is>
      </c>
      <c r="B553" t="inlineStr">
        <is>
          <t>M6*16 CSK ALLEN CAP SCREW MECHANICAL YELLOW 6X16 7991 10.9 MY</t>
        </is>
      </c>
      <c r="C553" t="inlineStr">
        <is>
          <t>M&amp;D SPECIALISED FASTENERS (PTY) LTD</t>
        </is>
      </c>
      <c r="D553" t="inlineStr">
        <is>
          <t>Uncategorized</t>
        </is>
      </c>
      <c r="E553" s="1" t="n">
        <v>6</v>
      </c>
      <c r="F553" t="n">
        <v>15</v>
      </c>
      <c r="G553" t="n">
        <v>0</v>
      </c>
      <c r="H553" t="n">
        <v>75</v>
      </c>
      <c r="I553" t="n">
        <v>0</v>
      </c>
      <c r="J553" t="n">
        <v>0</v>
      </c>
      <c r="K553">
        <f>IF(H553-I553-J553&gt;0,H553-I553-J553,0)</f>
        <v/>
      </c>
      <c r="L553" s="1">
        <f>IFERROR(I553*E553,0)</f>
        <v/>
      </c>
      <c r="M553" s="1">
        <f>IFERROR(K553*E553,0)</f>
        <v/>
      </c>
    </row>
    <row r="554">
      <c r="A554" t="inlineStr">
        <is>
          <t>M6*16 HT HEX SET SCREW ENVIROPAS 6X16 933 8.8 EN</t>
        </is>
      </c>
      <c r="B554" t="inlineStr">
        <is>
          <t>M6*16 HT HEX SET SCREW ENVIROPAS 6X16 933 8.8 EN</t>
        </is>
      </c>
      <c r="C554" t="inlineStr">
        <is>
          <t>M&amp;D SPECIALISED FASTENERS (PTY) LTD</t>
        </is>
      </c>
      <c r="D554" t="inlineStr">
        <is>
          <t>Uncategorized</t>
        </is>
      </c>
      <c r="E554" s="1" t="n">
        <v>0.59</v>
      </c>
      <c r="F554" t="n">
        <v>28</v>
      </c>
      <c r="G554" t="n">
        <v>0</v>
      </c>
      <c r="H554" t="n">
        <v>140</v>
      </c>
      <c r="I554" t="n">
        <v>0</v>
      </c>
      <c r="J554" t="n">
        <v>0</v>
      </c>
      <c r="K554">
        <f>IF(H554-I554-J554&gt;0,H554-I554-J554,0)</f>
        <v/>
      </c>
      <c r="L554" s="1">
        <f>IFERROR(I554*E554,0)</f>
        <v/>
      </c>
      <c r="M554" s="1">
        <f>IFERROR(K554*E554,0)</f>
        <v/>
      </c>
    </row>
    <row r="555">
      <c r="A555" t="inlineStr">
        <is>
          <t>M6*25</t>
        </is>
      </c>
      <c r="B555" t="inlineStr">
        <is>
          <t>M6*25 HT HEX SET SCREW S/S A2</t>
        </is>
      </c>
      <c r="C555" t="inlineStr">
        <is>
          <t>M&amp;D SPECIALISED FASTENERS (PTY) LTD</t>
        </is>
      </c>
      <c r="D555" t="inlineStr">
        <is>
          <t>Uncategorized</t>
        </is>
      </c>
      <c r="E555" s="1" t="n">
        <v>1</v>
      </c>
      <c r="F555" t="n">
        <v>150</v>
      </c>
      <c r="G555" t="n">
        <v>0</v>
      </c>
      <c r="H555" t="n">
        <v>750</v>
      </c>
      <c r="I555" t="n">
        <v>0</v>
      </c>
      <c r="J555" t="n">
        <v>0</v>
      </c>
      <c r="K555">
        <f>IF(H555-I555-J555&gt;0,H555-I555-J555,0)</f>
        <v/>
      </c>
      <c r="L555" s="1">
        <f>IFERROR(I555*E555,0)</f>
        <v/>
      </c>
      <c r="M555" s="1">
        <f>IFERROR(K555*E555,0)</f>
        <v/>
      </c>
    </row>
    <row r="556">
      <c r="A556" t="inlineStr">
        <is>
          <t>M6*25 HT HEX SET SCREW Z/BLUE</t>
        </is>
      </c>
      <c r="B556" t="inlineStr">
        <is>
          <t>M6*25 HT HEX SET SCREW Z/BLUE</t>
        </is>
      </c>
      <c r="C556" t="inlineStr">
        <is>
          <t>M&amp;D SPECIALISED FASTENERS (PTY) LTD</t>
        </is>
      </c>
      <c r="D556" t="inlineStr">
        <is>
          <t>Uncategorized</t>
        </is>
      </c>
      <c r="E556" s="1" t="n">
        <v>0.65</v>
      </c>
      <c r="F556" t="n">
        <v>90</v>
      </c>
      <c r="G556" t="n">
        <v>0</v>
      </c>
      <c r="H556" t="n">
        <v>452</v>
      </c>
      <c r="I556" t="n">
        <v>0</v>
      </c>
      <c r="J556" t="n">
        <v>0</v>
      </c>
      <c r="K556">
        <f>IF(H556-I556-J556&gt;0,H556-I556-J556,0)</f>
        <v/>
      </c>
      <c r="L556" s="1">
        <f>IFERROR(I556*E556,0)</f>
        <v/>
      </c>
      <c r="M556" s="1">
        <f>IFERROR(K556*E556,0)</f>
        <v/>
      </c>
    </row>
    <row r="557">
      <c r="A557" t="inlineStr">
        <is>
          <t>M6*35 HT SET SCREW Z/BLUE 6X35 933 8.8 ZB</t>
        </is>
      </c>
      <c r="B557" t="inlineStr">
        <is>
          <t>M6*35 HT SET SCREW Z/BLUE 6X35 933 8.8 ZB</t>
        </is>
      </c>
      <c r="C557" t="inlineStr">
        <is>
          <t>M&amp;D SPECIALISED FASTENERS (PTY) LTD</t>
        </is>
      </c>
      <c r="D557" t="inlineStr">
        <is>
          <t>Uncategorized</t>
        </is>
      </c>
      <c r="E557" s="1" t="n">
        <v>0.91</v>
      </c>
      <c r="F557" t="n">
        <v>22</v>
      </c>
      <c r="G557" t="n">
        <v>0</v>
      </c>
      <c r="H557" t="n">
        <v>111</v>
      </c>
      <c r="I557" t="n">
        <v>0</v>
      </c>
      <c r="J557" t="n">
        <v>0</v>
      </c>
      <c r="K557">
        <f>IF(H557-I557-J557&gt;0,H557-I557-J557,0)</f>
        <v/>
      </c>
      <c r="L557" s="1">
        <f>IFERROR(I557*E557,0)</f>
        <v/>
      </c>
      <c r="M557" s="1">
        <f>IFERROR(K557*E557,0)</f>
        <v/>
      </c>
    </row>
    <row r="558">
      <c r="A558" t="inlineStr">
        <is>
          <t>M8 . 4*20*3 FLAT WASHER Z/BLUE 8X20X3 OLD ZB</t>
        </is>
      </c>
      <c r="B558" t="inlineStr">
        <is>
          <t>M8 . 4*20*3 FLAT WASHER Z/BLUE 8X20X3 OLD ZB</t>
        </is>
      </c>
      <c r="C558" t="inlineStr">
        <is>
          <t>M&amp;D SPECIALISED FASTENERS (PTY) LTD</t>
        </is>
      </c>
      <c r="D558" t="inlineStr">
        <is>
          <t>Uncategorized</t>
        </is>
      </c>
      <c r="E558" s="1" t="n">
        <v>1.8</v>
      </c>
      <c r="F558" t="n">
        <v>22</v>
      </c>
      <c r="G558" t="n">
        <v>0</v>
      </c>
      <c r="H558" t="n">
        <v>112</v>
      </c>
      <c r="I558" t="n">
        <v>0</v>
      </c>
      <c r="J558" t="n">
        <v>0</v>
      </c>
      <c r="K558">
        <f>IF(H558-I558-J558&gt;0,H558-I558-J558,0)</f>
        <v/>
      </c>
      <c r="L558" s="1">
        <f>IFERROR(I558*E558,0)</f>
        <v/>
      </c>
      <c r="M558" s="1">
        <f>IFERROR(K558*E558,0)</f>
        <v/>
      </c>
    </row>
    <row r="559">
      <c r="A559" t="inlineStr">
        <is>
          <t>M8 ANCHOR BOLTS</t>
        </is>
      </c>
      <c r="B559" t="inlineStr">
        <is>
          <t>M8 ANCHOR BOLTS</t>
        </is>
      </c>
      <c r="C559" t="inlineStr">
        <is>
          <t>M&amp;D SPECIALISED FASTENERS (PTY) LTD</t>
        </is>
      </c>
      <c r="D559" t="inlineStr">
        <is>
          <t>Uncategorized</t>
        </is>
      </c>
      <c r="E559" s="1" t="n">
        <v>5</v>
      </c>
      <c r="F559" t="n">
        <v>28</v>
      </c>
      <c r="G559" t="n">
        <v>0</v>
      </c>
      <c r="H559" t="n">
        <v>68</v>
      </c>
      <c r="I559" t="n">
        <v>0</v>
      </c>
      <c r="J559" t="n">
        <v>0</v>
      </c>
      <c r="K559">
        <f>IF(H559-I559-J559&gt;0,H559-I559-J559,0)</f>
        <v/>
      </c>
      <c r="L559" s="1">
        <f>IFERROR(I559*E559,0)</f>
        <v/>
      </c>
      <c r="M559" s="1">
        <f>IFERROR(K559*E559,0)</f>
        <v/>
      </c>
    </row>
    <row r="560">
      <c r="A560" t="inlineStr">
        <is>
          <t>M8 FLAT WASHER DIN 125A ZINC BLUE (8 . 4ID*16OD*1.6THICK) 8 125A ZB</t>
        </is>
      </c>
      <c r="B560" t="inlineStr">
        <is>
          <t>M8 FLAT WASHER DIN 125A ZINC BLUE (8 . 4ID*16OD*1.6THICK) 8 125A ZB</t>
        </is>
      </c>
      <c r="C560" t="inlineStr">
        <is>
          <t>M&amp;D SPECIALISED FASTENERS (PTY) LTD</t>
        </is>
      </c>
      <c r="D560" t="inlineStr">
        <is>
          <t>Uncategorized</t>
        </is>
      </c>
      <c r="E560" s="1" t="n">
        <v>0.12</v>
      </c>
      <c r="F560" t="n">
        <v>68</v>
      </c>
      <c r="G560" t="n">
        <v>0</v>
      </c>
      <c r="H560" t="n">
        <v>339</v>
      </c>
      <c r="I560" t="n">
        <v>0</v>
      </c>
      <c r="J560" t="n">
        <v>0</v>
      </c>
      <c r="K560">
        <f>IF(H560-I560-J560&gt;0,H560-I560-J560,0)</f>
        <v/>
      </c>
      <c r="L560" s="1">
        <f>IFERROR(I560*E560,0)</f>
        <v/>
      </c>
      <c r="M560" s="1">
        <f>IFERROR(K560*E560,0)</f>
        <v/>
      </c>
    </row>
    <row r="561">
      <c r="A561" t="inlineStr">
        <is>
          <t>M8 HT NYLOCK NUT 8 985 GR8</t>
        </is>
      </c>
      <c r="B561" t="inlineStr">
        <is>
          <t>M8 HT NYLOCK NUT 8 985 GR8</t>
        </is>
      </c>
      <c r="C561" t="inlineStr">
        <is>
          <t>M&amp;D SPECIALISED FASTENERS (PTY) LTD</t>
        </is>
      </c>
      <c r="D561" t="inlineStr">
        <is>
          <t>Uncategorized</t>
        </is>
      </c>
      <c r="E561" s="1" t="n">
        <v>0.3</v>
      </c>
      <c r="F561" t="n">
        <v>54</v>
      </c>
      <c r="G561" t="n">
        <v>0</v>
      </c>
      <c r="H561" t="n">
        <v>270</v>
      </c>
      <c r="I561" t="n">
        <v>0</v>
      </c>
      <c r="J561" t="n">
        <v>0</v>
      </c>
      <c r="K561">
        <f>IF(H561-I561-J561&gt;0,H561-I561-J561,0)</f>
        <v/>
      </c>
      <c r="L561" s="1">
        <f>IFERROR(I561*E561,0)</f>
        <v/>
      </c>
      <c r="M561" s="1">
        <f>IFERROR(K561*E561,0)</f>
        <v/>
      </c>
    </row>
    <row r="562">
      <c r="A562" t="inlineStr">
        <is>
          <t>M8 NUT</t>
        </is>
      </c>
      <c r="B562" t="inlineStr">
        <is>
          <t>M8 HEX NUT ZINC/BLUE</t>
        </is>
      </c>
      <c r="C562" t="inlineStr">
        <is>
          <t>M&amp;D SPECIALISED FASTENERS (PTY) LTD</t>
        </is>
      </c>
      <c r="D562" t="inlineStr">
        <is>
          <t>Uncategorized</t>
        </is>
      </c>
      <c r="E562" s="1" t="n">
        <v>0.4</v>
      </c>
      <c r="F562" t="n">
        <v>29</v>
      </c>
      <c r="G562" t="n">
        <v>0</v>
      </c>
      <c r="H562" t="n">
        <v>146</v>
      </c>
      <c r="I562" t="n">
        <v>0</v>
      </c>
      <c r="J562" t="n">
        <v>0</v>
      </c>
      <c r="K562">
        <f>IF(H562-I562-J562&gt;0,H562-I562-J562,0)</f>
        <v/>
      </c>
      <c r="L562" s="1">
        <f>IFERROR(I562*E562,0)</f>
        <v/>
      </c>
      <c r="M562" s="1">
        <f>IFERROR(K562*E562,0)</f>
        <v/>
      </c>
    </row>
    <row r="563">
      <c r="A563" t="inlineStr">
        <is>
          <t>M8*16</t>
        </is>
      </c>
      <c r="B563" t="inlineStr">
        <is>
          <t>M8*16 HT SET SCREW S/S A2</t>
        </is>
      </c>
      <c r="C563" t="inlineStr">
        <is>
          <t>M&amp;D SPECIALISED FASTENERS (PTY) LTD</t>
        </is>
      </c>
      <c r="D563" t="inlineStr">
        <is>
          <t>Uncategorized</t>
        </is>
      </c>
      <c r="E563" s="1" t="n">
        <v>1.2</v>
      </c>
      <c r="F563" t="n">
        <v>150</v>
      </c>
      <c r="G563" t="n">
        <v>0</v>
      </c>
      <c r="H563" t="n">
        <v>750</v>
      </c>
      <c r="I563" t="n">
        <v>0</v>
      </c>
      <c r="J563" t="n">
        <v>0</v>
      </c>
      <c r="K563">
        <f>IF(H563-I563-J563&gt;0,H563-I563-J563,0)</f>
        <v/>
      </c>
      <c r="L563" s="1">
        <f>IFERROR(I563*E563,0)</f>
        <v/>
      </c>
      <c r="M563" s="1">
        <f>IFERROR(K563*E563,0)</f>
        <v/>
      </c>
    </row>
    <row r="564">
      <c r="A564" t="inlineStr">
        <is>
          <t>M8*16 HT SET SCREW Z/BLUE</t>
        </is>
      </c>
      <c r="B564" t="inlineStr">
        <is>
          <t>M8*16 HT SET SCREW Z/BLUE</t>
        </is>
      </c>
      <c r="C564" t="inlineStr">
        <is>
          <t>M&amp;D SPECIALISED FASTENERS (PTY) LTD</t>
        </is>
      </c>
      <c r="D564" t="inlineStr">
        <is>
          <t>Uncategorized</t>
        </is>
      </c>
      <c r="E564" s="1" t="n">
        <v>0.93</v>
      </c>
      <c r="F564" t="n">
        <v>43</v>
      </c>
      <c r="G564" t="n">
        <v>0</v>
      </c>
      <c r="H564" t="n">
        <v>214</v>
      </c>
      <c r="I564" t="n">
        <v>0</v>
      </c>
      <c r="J564" t="n">
        <v>0</v>
      </c>
      <c r="K564">
        <f>IF(H564-I564-J564&gt;0,H564-I564-J564,0)</f>
        <v/>
      </c>
      <c r="L564" s="1">
        <f>IFERROR(I564*E564,0)</f>
        <v/>
      </c>
      <c r="M564" s="1">
        <f>IFERROR(K564*E564,0)</f>
        <v/>
      </c>
    </row>
    <row r="565">
      <c r="A565" t="inlineStr">
        <is>
          <t>M8*25 HT HEX 8 . 8 SET SCREW Z/BLUE 8X25 933 8 . 8 ZB</t>
        </is>
      </c>
      <c r="B565" t="inlineStr">
        <is>
          <t>M8*25 HT HEX 8 . 8 SET SCREW Z/BLUE 8X25 933 8 . 8 ZB</t>
        </is>
      </c>
      <c r="C565" t="inlineStr">
        <is>
          <t>M&amp;D SPECIALISED FASTENERS (PTY) LTD</t>
        </is>
      </c>
      <c r="D565" t="inlineStr">
        <is>
          <t>Uncategorized</t>
        </is>
      </c>
      <c r="E565" s="1" t="n">
        <v>1</v>
      </c>
      <c r="F565" t="n">
        <v>24</v>
      </c>
      <c r="G565" t="n">
        <v>0</v>
      </c>
      <c r="H565" t="n">
        <v>119</v>
      </c>
      <c r="I565" t="n">
        <v>0</v>
      </c>
      <c r="J565" t="n">
        <v>0</v>
      </c>
      <c r="K565">
        <f>IF(H565-I565-J565&gt;0,H565-I565-J565,0)</f>
        <v/>
      </c>
      <c r="L565" s="1">
        <f>IFERROR(I565*E565,0)</f>
        <v/>
      </c>
      <c r="M565" s="1">
        <f>IFERROR(K565*E565,0)</f>
        <v/>
      </c>
    </row>
    <row r="566">
      <c r="A566" t="inlineStr">
        <is>
          <t>M8X25</t>
        </is>
      </c>
      <c r="B566" t="inlineStr">
        <is>
          <t>HEX SET SCREW - S/S 304 - A2</t>
        </is>
      </c>
      <c r="C566" t="inlineStr">
        <is>
          <t>M&amp;D SPECIALISED FASTENERS (PTY) LTD</t>
        </is>
      </c>
      <c r="D566" t="inlineStr">
        <is>
          <t>Uncategorized</t>
        </is>
      </c>
      <c r="E566" s="1" t="n">
        <v>1.5</v>
      </c>
      <c r="F566" t="n">
        <v>120</v>
      </c>
      <c r="G566" t="n">
        <v>0</v>
      </c>
      <c r="H566" t="n">
        <v>600</v>
      </c>
      <c r="I566" t="n">
        <v>0</v>
      </c>
      <c r="J566" t="n">
        <v>0</v>
      </c>
      <c r="K566">
        <f>IF(H566-I566-J566&gt;0,H566-I566-J566,0)</f>
        <v/>
      </c>
      <c r="L566" s="1">
        <f>IFERROR(I566*E566,0)</f>
        <v/>
      </c>
      <c r="M566" s="1">
        <f>IFERROR(K566*E566,0)</f>
        <v/>
      </c>
    </row>
    <row r="567">
      <c r="A567" t="inlineStr">
        <is>
          <t>M8X70</t>
        </is>
      </c>
      <c r="B567" t="inlineStr">
        <is>
          <t>M8X70 HT HEX SET SCREWS ZINC/BLUE</t>
        </is>
      </c>
      <c r="C567" t="inlineStr">
        <is>
          <t>M&amp;D SPECIALISED FASTENERS (PTY) LTD</t>
        </is>
      </c>
      <c r="D567" t="inlineStr">
        <is>
          <t>Uncategorized</t>
        </is>
      </c>
      <c r="E567" s="1" t="n">
        <v>2</v>
      </c>
      <c r="F567" t="n">
        <v>65</v>
      </c>
      <c r="G567" t="n">
        <v>0</v>
      </c>
      <c r="H567" t="n">
        <v>325</v>
      </c>
      <c r="I567" t="n">
        <v>0</v>
      </c>
      <c r="J567" t="n">
        <v>0</v>
      </c>
      <c r="K567">
        <f>IF(H567-I567-J567&gt;0,H567-I567-J567,0)</f>
        <v/>
      </c>
      <c r="L567" s="1">
        <f>IFERROR(I567*E567,0)</f>
        <v/>
      </c>
      <c r="M567" s="1">
        <f>IFERROR(K567*E567,0)</f>
        <v/>
      </c>
    </row>
    <row r="568">
      <c r="A568" t="inlineStr">
        <is>
          <t>MANUFACTURE RAW CASINGS</t>
        </is>
      </c>
      <c r="B568" t="inlineStr">
        <is>
          <t>RAW CASING</t>
        </is>
      </c>
      <c r="C568" t="inlineStr">
        <is>
          <t>TS TELEKI T/A VENT SYSTEM AND PROJECTS</t>
        </is>
      </c>
      <c r="D568" t="inlineStr">
        <is>
          <t>Uncategorized</t>
        </is>
      </c>
      <c r="E568" s="1" t="n">
        <v>1609.25</v>
      </c>
      <c r="F568" t="n">
        <v>24</v>
      </c>
      <c r="G568" t="n">
        <v>0</v>
      </c>
      <c r="H568" t="n">
        <v>118</v>
      </c>
      <c r="I568" t="n">
        <v>0</v>
      </c>
      <c r="J568" t="n">
        <v>0</v>
      </c>
      <c r="K568">
        <f>IF(H568-I568-J568&gt;0,H568-I568-J568,0)</f>
        <v/>
      </c>
      <c r="L568" s="1">
        <f>IFERROR(I568*E568,0)</f>
        <v/>
      </c>
      <c r="M568" s="1">
        <f>IFERROR(K568*E568,0)</f>
        <v/>
      </c>
    </row>
    <row r="569">
      <c r="A569" t="inlineStr">
        <is>
          <t>MB315</t>
        </is>
      </c>
      <c r="B569" t="inlineStr">
        <is>
          <t>315diam mounting brackets</t>
        </is>
      </c>
      <c r="C569" t="inlineStr">
        <is>
          <t>CFW Fans (Pty) Ltd</t>
        </is>
      </c>
      <c r="D569" t="inlineStr">
        <is>
          <t>Uncategorized</t>
        </is>
      </c>
      <c r="E569" s="1" t="n">
        <v>172</v>
      </c>
      <c r="F569" t="n">
        <v>2</v>
      </c>
      <c r="G569" t="n">
        <v>0</v>
      </c>
      <c r="H569" t="n">
        <v>6</v>
      </c>
      <c r="I569" t="n">
        <v>0</v>
      </c>
      <c r="J569" t="n">
        <v>0</v>
      </c>
      <c r="K569">
        <f>IF(H569-I569-J569&gt;0,H569-I569-J569,0)</f>
        <v/>
      </c>
      <c r="L569" s="1">
        <f>IFERROR(I569*E569,0)</f>
        <v/>
      </c>
      <c r="M569" s="1">
        <f>IFERROR(K569*E569,0)</f>
        <v/>
      </c>
    </row>
    <row r="570">
      <c r="A570" t="inlineStr">
        <is>
          <t>MB400</t>
        </is>
      </c>
      <c r="B570" t="inlineStr">
        <is>
          <t>400diam mounting brackets</t>
        </is>
      </c>
      <c r="C570" t="inlineStr">
        <is>
          <t>CFW Fans (Pty) Ltd</t>
        </is>
      </c>
      <c r="D570" t="inlineStr">
        <is>
          <t>Uncategorized</t>
        </is>
      </c>
      <c r="E570" s="1" t="n">
        <v>187</v>
      </c>
      <c r="F570" t="n">
        <v>2</v>
      </c>
      <c r="G570" t="n">
        <v>0</v>
      </c>
      <c r="H570" t="n">
        <v>6</v>
      </c>
      <c r="I570" t="n">
        <v>0</v>
      </c>
      <c r="J570" t="n">
        <v>0</v>
      </c>
      <c r="K570">
        <f>IF(H570-I570-J570&gt;0,H570-I570-J570,0)</f>
        <v/>
      </c>
      <c r="L570" s="1">
        <f>IFERROR(I570*E570,0)</f>
        <v/>
      </c>
      <c r="M570" s="1">
        <f>IFERROR(K570*E570,0)</f>
        <v/>
      </c>
    </row>
    <row r="571">
      <c r="A571" t="inlineStr">
        <is>
          <t>MB500</t>
        </is>
      </c>
      <c r="B571" t="inlineStr">
        <is>
          <t>500diam mounting brackets</t>
        </is>
      </c>
      <c r="C571" t="inlineStr">
        <is>
          <t>CFW Fans (Pty) Ltd</t>
        </is>
      </c>
      <c r="D571" t="inlineStr">
        <is>
          <t>Uncategorized</t>
        </is>
      </c>
      <c r="E571" s="1" t="n">
        <v>208</v>
      </c>
      <c r="F571" t="n">
        <v>1</v>
      </c>
      <c r="G571" t="n">
        <v>0</v>
      </c>
      <c r="H571" t="n">
        <v>3</v>
      </c>
      <c r="I571" t="n">
        <v>0</v>
      </c>
      <c r="J571" t="n">
        <v>0</v>
      </c>
      <c r="K571">
        <f>IF(H571-I571-J571&gt;0,H571-I571-J571,0)</f>
        <v/>
      </c>
      <c r="L571" s="1">
        <f>IFERROR(I571*E571,0)</f>
        <v/>
      </c>
      <c r="M571" s="1">
        <f>IFERROR(K571*E571,0)</f>
        <v/>
      </c>
    </row>
    <row r="572">
      <c r="A572" t="inlineStr">
        <is>
          <t>MB560</t>
        </is>
      </c>
      <c r="B572" t="inlineStr">
        <is>
          <t>560diam mounting brackets</t>
        </is>
      </c>
      <c r="C572" t="inlineStr">
        <is>
          <t>CFW Fans (Pty) Ltd</t>
        </is>
      </c>
      <c r="D572" t="inlineStr">
        <is>
          <t>Uncategorized</t>
        </is>
      </c>
      <c r="E572" s="1" t="n">
        <v>223</v>
      </c>
      <c r="F572" t="n">
        <v>1</v>
      </c>
      <c r="G572" t="n">
        <v>0</v>
      </c>
      <c r="H572" t="n">
        <v>3</v>
      </c>
      <c r="I572" t="n">
        <v>0</v>
      </c>
      <c r="J572" t="n">
        <v>0</v>
      </c>
      <c r="K572">
        <f>IF(H572-I572-J572&gt;0,H572-I572-J572,0)</f>
        <v/>
      </c>
      <c r="L572" s="1">
        <f>IFERROR(I572*E572,0)</f>
        <v/>
      </c>
      <c r="M572" s="1">
        <f>IFERROR(K572*E572,0)</f>
        <v/>
      </c>
    </row>
    <row r="573">
      <c r="A573" t="inlineStr">
        <is>
          <t>MB800</t>
        </is>
      </c>
      <c r="B573" t="inlineStr">
        <is>
          <t>800diam mounting brackets</t>
        </is>
      </c>
      <c r="C573" t="inlineStr">
        <is>
          <t>CFW Fans (Pty) Ltd</t>
        </is>
      </c>
      <c r="D573" t="inlineStr">
        <is>
          <t>Uncategorized</t>
        </is>
      </c>
      <c r="E573" s="1" t="n">
        <v>48.78</v>
      </c>
      <c r="F573" t="n">
        <v>1</v>
      </c>
      <c r="G573" t="n">
        <v>0</v>
      </c>
      <c r="H573" t="n">
        <v>3</v>
      </c>
      <c r="I573" t="n">
        <v>0</v>
      </c>
      <c r="J573" t="n">
        <v>0</v>
      </c>
      <c r="K573">
        <f>IF(H573-I573-J573&gt;0,H573-I573-J573,0)</f>
        <v/>
      </c>
      <c r="L573" s="1">
        <f>IFERROR(I573*E573,0)</f>
        <v/>
      </c>
      <c r="M573" s="1">
        <f>IFERROR(K573*E573,0)</f>
        <v/>
      </c>
    </row>
    <row r="574">
      <c r="A574" t="inlineStr">
        <is>
          <t>MJ1500</t>
        </is>
      </c>
      <c r="B574" t="inlineStr">
        <is>
          <t>Majax-1 470 Impeller</t>
        </is>
      </c>
      <c r="C574" t="inlineStr"/>
      <c r="D574" t="inlineStr">
        <is>
          <t>Uncategorized</t>
        </is>
      </c>
      <c r="E574" s="1" t="n">
        <v>0</v>
      </c>
      <c r="F574" t="n">
        <v>1</v>
      </c>
      <c r="G574" t="n">
        <v>0</v>
      </c>
      <c r="H574" t="n">
        <v>5</v>
      </c>
      <c r="I574" t="n">
        <v>0</v>
      </c>
      <c r="J574" t="n">
        <v>0</v>
      </c>
      <c r="K574">
        <f>IF(H574-I574-J574&gt;0,H574-I574-J574,0)</f>
        <v/>
      </c>
      <c r="L574" s="1">
        <f>IFERROR(I574*E574,0)</f>
        <v/>
      </c>
      <c r="M574" s="1">
        <f>IFERROR(K574*E574,0)</f>
        <v/>
      </c>
    </row>
    <row r="575">
      <c r="A575" t="inlineStr">
        <is>
          <t>MR60Hz</t>
        </is>
      </c>
      <c r="B575" t="inlineStr">
        <is>
          <t>Rewind motor to 60Hz incl. SATMOS Treatment</t>
        </is>
      </c>
      <c r="C575" t="inlineStr"/>
      <c r="D575" t="inlineStr">
        <is>
          <t>Uncategorized</t>
        </is>
      </c>
      <c r="E575" s="1" t="n">
        <v>0</v>
      </c>
      <c r="F575" t="n">
        <v>1</v>
      </c>
      <c r="G575" t="n">
        <v>0</v>
      </c>
      <c r="H575" t="n">
        <v>2</v>
      </c>
      <c r="I575" t="n">
        <v>0</v>
      </c>
      <c r="J575" t="n">
        <v>0</v>
      </c>
      <c r="K575">
        <f>IF(H575-I575-J575&gt;0,H575-I575-J575,0)</f>
        <v/>
      </c>
      <c r="L575" s="1">
        <f>IFERROR(I575*E575,0)</f>
        <v/>
      </c>
      <c r="M575" s="1">
        <f>IFERROR(K575*E575,0)</f>
        <v/>
      </c>
    </row>
    <row r="576">
      <c r="A576" t="inlineStr">
        <is>
          <t>MT-PROMIG 250T</t>
        </is>
      </c>
      <c r="B576" t="inlineStr">
        <is>
          <t>PROMIG 250T MACHINE</t>
        </is>
      </c>
      <c r="C576" t="inlineStr">
        <is>
          <t>INTROWELD CC</t>
        </is>
      </c>
      <c r="D576" t="inlineStr">
        <is>
          <t>Uncategorized</t>
        </is>
      </c>
      <c r="E576" s="1" t="n">
        <v>15100</v>
      </c>
      <c r="F576" t="n">
        <v>1</v>
      </c>
      <c r="G576" t="n">
        <v>0</v>
      </c>
      <c r="H576" t="n">
        <v>2</v>
      </c>
      <c r="I576" t="n">
        <v>0</v>
      </c>
      <c r="J576" t="n">
        <v>0</v>
      </c>
      <c r="K576">
        <f>IF(H576-I576-J576&gt;0,H576-I576-J576,0)</f>
        <v/>
      </c>
      <c r="L576" s="1">
        <f>IFERROR(I576*E576,0)</f>
        <v/>
      </c>
      <c r="M576" s="1">
        <f>IFERROR(K576*E576,0)</f>
        <v/>
      </c>
    </row>
    <row r="577">
      <c r="A577" t="inlineStr">
        <is>
          <t>MT4007502</t>
        </is>
      </c>
      <c r="B577" t="inlineStr">
        <is>
          <t>MAJAX 400 c/w 0.75kW 2Pole 380V</t>
        </is>
      </c>
      <c r="C577" t="inlineStr"/>
      <c r="D577" t="inlineStr">
        <is>
          <t>Uncategorized</t>
        </is>
      </c>
      <c r="E577" s="1" t="n">
        <v>0</v>
      </c>
      <c r="F577" t="n">
        <v>1</v>
      </c>
      <c r="G577" t="n">
        <v>0</v>
      </c>
      <c r="H577" t="n">
        <v>5</v>
      </c>
      <c r="I577" t="n">
        <v>0</v>
      </c>
      <c r="J577" t="n">
        <v>0</v>
      </c>
      <c r="K577">
        <f>IF(H577-I577-J577&gt;0,H577-I577-J577,0)</f>
        <v/>
      </c>
      <c r="L577" s="1">
        <f>IFERROR(I577*E577,0)</f>
        <v/>
      </c>
      <c r="M577" s="1">
        <f>IFERROR(K577*E577,0)</f>
        <v/>
      </c>
    </row>
    <row r="578">
      <c r="A578" t="inlineStr">
        <is>
          <t>MT7603004</t>
        </is>
      </c>
      <c r="B578" t="inlineStr">
        <is>
          <t>Majax-2 760-32-E-8 c/w 3.0KW 4P 380V</t>
        </is>
      </c>
      <c r="C578" t="inlineStr"/>
      <c r="D578" t="inlineStr">
        <is>
          <t>Uncategorized</t>
        </is>
      </c>
      <c r="E578" s="1" t="n">
        <v>0</v>
      </c>
      <c r="F578" t="n">
        <v>1</v>
      </c>
      <c r="G578" t="n">
        <v>0</v>
      </c>
      <c r="H578" t="n">
        <v>2</v>
      </c>
      <c r="I578" t="n">
        <v>0</v>
      </c>
      <c r="J578" t="n">
        <v>0</v>
      </c>
      <c r="K578">
        <f>IF(H578-I578-J578&gt;0,H578-I578-J578,0)</f>
        <v/>
      </c>
      <c r="L578" s="1">
        <f>IFERROR(I578*E578,0)</f>
        <v/>
      </c>
      <c r="M578" s="1">
        <f>IFERROR(K578*E578,0)</f>
        <v/>
      </c>
    </row>
    <row r="579">
      <c r="A579" t="inlineStr">
        <is>
          <t>Mild Steel-200x200x1.6mm</t>
        </is>
      </c>
      <c r="B579" t="inlineStr">
        <is>
          <t>Laser-Cut Mild Steel Plate 200x200x1.6mm</t>
        </is>
      </c>
      <c r="C579" t="inlineStr">
        <is>
          <t>Mafilisti Trading and Projects (Pty) Ltd</t>
        </is>
      </c>
      <c r="D579" t="inlineStr">
        <is>
          <t>Uncategorized</t>
        </is>
      </c>
      <c r="E579" s="1" t="n">
        <v>29.5</v>
      </c>
      <c r="F579" t="n">
        <v>4</v>
      </c>
      <c r="G579" t="n">
        <v>0</v>
      </c>
      <c r="H579" t="n">
        <v>20</v>
      </c>
      <c r="I579" t="n">
        <v>0</v>
      </c>
      <c r="J579" t="n">
        <v>0</v>
      </c>
      <c r="K579">
        <f>IF(H579-I579-J579&gt;0,H579-I579-J579,0)</f>
        <v/>
      </c>
      <c r="L579" s="1">
        <f>IFERROR(I579*E579,0)</f>
        <v/>
      </c>
      <c r="M579" s="1">
        <f>IFERROR(K579*E579,0)</f>
        <v/>
      </c>
    </row>
    <row r="580">
      <c r="A580" t="inlineStr">
        <is>
          <t>Mild Steel-310x310x1.6mm</t>
        </is>
      </c>
      <c r="B580" t="inlineStr">
        <is>
          <t>Laser-Cut Mild Steel Plate 310x310x1.6mm</t>
        </is>
      </c>
      <c r="C580" t="inlineStr">
        <is>
          <t>Mafilisti Trading and Projects (Pty) Ltd</t>
        </is>
      </c>
      <c r="D580" t="inlineStr">
        <is>
          <t>Uncategorized</t>
        </is>
      </c>
      <c r="E580" s="1" t="n">
        <v>61.45</v>
      </c>
      <c r="F580" t="n">
        <v>1</v>
      </c>
      <c r="G580" t="n">
        <v>0</v>
      </c>
      <c r="H580" t="n">
        <v>2</v>
      </c>
      <c r="I580" t="n">
        <v>0</v>
      </c>
      <c r="J580" t="n">
        <v>0</v>
      </c>
      <c r="K580">
        <f>IF(H580-I580-J580&gt;0,H580-I580-J580,0)</f>
        <v/>
      </c>
      <c r="L580" s="1">
        <f>IFERROR(I580*E580,0)</f>
        <v/>
      </c>
      <c r="M580" s="1">
        <f>IFERROR(K580*E580,0)</f>
        <v/>
      </c>
    </row>
    <row r="581">
      <c r="A581" t="inlineStr">
        <is>
          <t>Mild Steel-620x620x1.6mm</t>
        </is>
      </c>
      <c r="B581" t="inlineStr">
        <is>
          <t>Laser-Cut Mild Steel Plate 620x620x1.6mm</t>
        </is>
      </c>
      <c r="C581" t="inlineStr">
        <is>
          <t>Mafilisti Trading and Projects (Pty) Ltd</t>
        </is>
      </c>
      <c r="D581" t="inlineStr">
        <is>
          <t>Uncategorized</t>
        </is>
      </c>
      <c r="E581" s="1" t="n">
        <v>224</v>
      </c>
      <c r="F581" t="n">
        <v>1</v>
      </c>
      <c r="G581" t="n">
        <v>0</v>
      </c>
      <c r="H581" t="n">
        <v>2</v>
      </c>
      <c r="I581" t="n">
        <v>0</v>
      </c>
      <c r="J581" t="n">
        <v>0</v>
      </c>
      <c r="K581">
        <f>IF(H581-I581-J581&gt;0,H581-I581-J581,0)</f>
        <v/>
      </c>
      <c r="L581" s="1">
        <f>IFERROR(I581*E581,0)</f>
        <v/>
      </c>
      <c r="M581" s="1">
        <f>IFERROR(K581*E581,0)</f>
        <v/>
      </c>
    </row>
    <row r="582">
      <c r="A582" t="inlineStr">
        <is>
          <t>NAME PLATES</t>
        </is>
      </c>
      <c r="B582" t="inlineStr">
        <is>
          <t>Name plates/ engraving plates</t>
        </is>
      </c>
      <c r="C582" t="inlineStr">
        <is>
          <t>Cuspal Manufacturing &amp; Anodising CC</t>
        </is>
      </c>
      <c r="D582" t="inlineStr">
        <is>
          <t>Uncategorized</t>
        </is>
      </c>
      <c r="E582" s="1" t="n">
        <v>31.55</v>
      </c>
      <c r="F582" t="n">
        <v>20</v>
      </c>
      <c r="G582" t="n">
        <v>0</v>
      </c>
      <c r="H582" t="n">
        <v>98</v>
      </c>
      <c r="I582" t="n">
        <v>0</v>
      </c>
      <c r="J582" t="n">
        <v>0</v>
      </c>
      <c r="K582">
        <f>IF(H582-I582-J582&gt;0,H582-I582-J582,0)</f>
        <v/>
      </c>
      <c r="L582" s="1">
        <f>IFERROR(I582*E582,0)</f>
        <v/>
      </c>
      <c r="M582" s="1">
        <f>IFERROR(K582*E582,0)</f>
        <v/>
      </c>
    </row>
    <row r="583">
      <c r="A583" t="inlineStr">
        <is>
          <t>NITRO PRO</t>
        </is>
      </c>
      <c r="B583" t="inlineStr">
        <is>
          <t>includes PDF Editing (Windows, Mac, iOS), unlimited eSigning, and Customer Support.</t>
        </is>
      </c>
      <c r="C583" t="inlineStr">
        <is>
          <t>Cleverbridge GmbH - NITRO</t>
        </is>
      </c>
      <c r="D583" t="inlineStr">
        <is>
          <t>Uncategorized</t>
        </is>
      </c>
      <c r="E583" s="1" t="n">
        <v>3812.63</v>
      </c>
      <c r="F583" t="n">
        <v>1</v>
      </c>
      <c r="G583" t="n">
        <v>0</v>
      </c>
      <c r="H583" t="n">
        <v>2</v>
      </c>
      <c r="I583" t="n">
        <v>0</v>
      </c>
      <c r="J583" t="n">
        <v>0</v>
      </c>
      <c r="K583">
        <f>IF(H583-I583-J583&gt;0,H583-I583-J583,0)</f>
        <v/>
      </c>
      <c r="L583" s="1">
        <f>IFERROR(I583*E583,0)</f>
        <v/>
      </c>
      <c r="M583" s="1">
        <f>IFERROR(K583*E583,0)</f>
        <v/>
      </c>
    </row>
    <row r="584">
      <c r="A584" t="inlineStr">
        <is>
          <t>NRD</t>
        </is>
      </c>
      <c r="B584" t="inlineStr">
        <is>
          <t>Non Return Discharge Dampers</t>
        </is>
      </c>
      <c r="C584" t="inlineStr">
        <is>
          <t>Air Speration</t>
        </is>
      </c>
      <c r="D584" t="inlineStr">
        <is>
          <t>Uncategorized</t>
        </is>
      </c>
      <c r="E584" s="1" t="n">
        <v>709.45</v>
      </c>
      <c r="F584" t="n">
        <v>1</v>
      </c>
      <c r="G584" t="n">
        <v>0</v>
      </c>
      <c r="H584" t="n">
        <v>2</v>
      </c>
      <c r="I584" t="n">
        <v>0</v>
      </c>
      <c r="J584" t="n">
        <v>0</v>
      </c>
      <c r="K584">
        <f>IF(H584-I584-J584&gt;0,H584-I584-J584,0)</f>
        <v/>
      </c>
      <c r="L584" s="1">
        <f>IFERROR(I584*E584,0)</f>
        <v/>
      </c>
      <c r="M584" s="1">
        <f>IFERROR(K584*E584,0)</f>
        <v/>
      </c>
    </row>
    <row r="585">
      <c r="A585" t="inlineStr">
        <is>
          <t>NS40/610/610/300</t>
        </is>
      </c>
      <c r="B585" t="inlineStr">
        <is>
          <t>HEPA FILTER 4000M3/H</t>
        </is>
      </c>
      <c r="C585" t="inlineStr">
        <is>
          <t>Filta Matix</t>
        </is>
      </c>
      <c r="D585" t="inlineStr">
        <is>
          <t>Uncategorized</t>
        </is>
      </c>
      <c r="E585" s="1" t="n">
        <v>4928</v>
      </c>
      <c r="F585" t="n">
        <v>2</v>
      </c>
      <c r="G585" t="n">
        <v>0</v>
      </c>
      <c r="H585" t="n">
        <v>12</v>
      </c>
      <c r="I585" t="n">
        <v>0</v>
      </c>
      <c r="J585" t="n">
        <v>0</v>
      </c>
      <c r="K585">
        <f>IF(H585-I585-J585&gt;0,H585-I585-J585,0)</f>
        <v/>
      </c>
      <c r="L585" s="1">
        <f>IFERROR(I585*E585,0)</f>
        <v/>
      </c>
      <c r="M585" s="1">
        <f>IFERROR(K585*E585,0)</f>
        <v/>
      </c>
    </row>
    <row r="586">
      <c r="A586" t="inlineStr">
        <is>
          <t>OUTSTANDING BALANCE</t>
        </is>
      </c>
      <c r="B586" t="inlineStr">
        <is>
          <t>Outstanding Balance for industrial Fans</t>
        </is>
      </c>
      <c r="C586" t="inlineStr"/>
      <c r="D586" t="inlineStr">
        <is>
          <t>Uncategorized</t>
        </is>
      </c>
      <c r="E586" s="1" t="n">
        <v>0</v>
      </c>
      <c r="F586" t="n">
        <v>1</v>
      </c>
      <c r="G586" t="n">
        <v>0</v>
      </c>
      <c r="H586" t="n">
        <v>2</v>
      </c>
      <c r="I586" t="n">
        <v>0</v>
      </c>
      <c r="J586" t="n">
        <v>0</v>
      </c>
      <c r="K586">
        <f>IF(H586-I586-J586&gt;0,H586-I586-J586,0)</f>
        <v/>
      </c>
      <c r="L586" s="1">
        <f>IFERROR(I586*E586,0)</f>
        <v/>
      </c>
      <c r="M586" s="1">
        <f>IFERROR(K586*E586,0)</f>
        <v/>
      </c>
    </row>
    <row r="587">
      <c r="A587" t="inlineStr">
        <is>
          <t>PD2</t>
        </is>
      </c>
      <c r="B587" t="inlineStr">
        <is>
          <t>White</t>
        </is>
      </c>
      <c r="C587" t="inlineStr">
        <is>
          <t>Seal 'N Devices (Pty) Ltd</t>
        </is>
      </c>
      <c r="D587" t="inlineStr">
        <is>
          <t>Uncategorized</t>
        </is>
      </c>
      <c r="E587" s="1" t="n">
        <v>58.37</v>
      </c>
      <c r="F587" t="n">
        <v>6</v>
      </c>
      <c r="G587" t="n">
        <v>0</v>
      </c>
      <c r="H587" t="n">
        <v>22</v>
      </c>
      <c r="I587" t="n">
        <v>0</v>
      </c>
      <c r="J587" t="n">
        <v>0</v>
      </c>
      <c r="K587">
        <f>IF(H587-I587-J587&gt;0,H587-I587-J587,0)</f>
        <v/>
      </c>
      <c r="L587" s="1">
        <f>IFERROR(I587*E587,0)</f>
        <v/>
      </c>
      <c r="M587" s="1">
        <f>IFERROR(K587*E587,0)</f>
        <v/>
      </c>
    </row>
    <row r="588">
      <c r="A588" t="inlineStr">
        <is>
          <t>PHPM20B</t>
        </is>
      </c>
      <c r="B588" t="inlineStr">
        <is>
          <t>M20 SCREW-IN BLANKING PLUGS (BLK)</t>
        </is>
      </c>
      <c r="C588" t="inlineStr">
        <is>
          <t>ElectroMechanica (Pty) Ltd</t>
        </is>
      </c>
      <c r="D588" t="inlineStr">
        <is>
          <t>Uncategorized</t>
        </is>
      </c>
      <c r="E588" s="1" t="n">
        <v>6.96</v>
      </c>
      <c r="F588" t="n">
        <v>38</v>
      </c>
      <c r="G588" t="n">
        <v>0</v>
      </c>
      <c r="H588" t="n">
        <v>188</v>
      </c>
      <c r="I588" t="n">
        <v>0</v>
      </c>
      <c r="J588" t="n">
        <v>0</v>
      </c>
      <c r="K588">
        <f>IF(H588-I588-J588&gt;0,H588-I588-J588,0)</f>
        <v/>
      </c>
      <c r="L588" s="1">
        <f>IFERROR(I588*E588,0)</f>
        <v/>
      </c>
      <c r="M588" s="1">
        <f>IFERROR(K588*E588,0)</f>
        <v/>
      </c>
    </row>
    <row r="589">
      <c r="A589" t="inlineStr">
        <is>
          <t>PINE</t>
        </is>
      </c>
      <c r="B589" t="inlineStr">
        <is>
          <t>CRATING 25X114X1.8M</t>
        </is>
      </c>
      <c r="C589" t="inlineStr">
        <is>
          <t>Foresta Timber &amp; Board (Pty) Ltd</t>
        </is>
      </c>
      <c r="D589" t="inlineStr">
        <is>
          <t>Uncategorized</t>
        </is>
      </c>
      <c r="E589" s="1" t="n">
        <v>28.75</v>
      </c>
      <c r="F589" t="n">
        <v>24</v>
      </c>
      <c r="G589" t="n">
        <v>0</v>
      </c>
      <c r="H589" t="n">
        <v>121</v>
      </c>
      <c r="I589" t="n">
        <v>0</v>
      </c>
      <c r="J589" t="n">
        <v>0</v>
      </c>
      <c r="K589">
        <f>IF(H589-I589-J589&gt;0,H589-I589-J589,0)</f>
        <v/>
      </c>
      <c r="L589" s="1">
        <f>IFERROR(I589*E589,0)</f>
        <v/>
      </c>
      <c r="M589" s="1">
        <f>IFERROR(K589*E589,0)</f>
        <v/>
      </c>
    </row>
    <row r="590">
      <c r="A590" t="inlineStr">
        <is>
          <t>PMGB20-13.5</t>
        </is>
      </c>
      <c r="B590" t="inlineStr">
        <is>
          <t>M20 NYLON COMPRESSION GLAND GREY</t>
        </is>
      </c>
      <c r="C590" t="inlineStr">
        <is>
          <t>ElectroMechanica (Pty) Ltd</t>
        </is>
      </c>
      <c r="D590" t="inlineStr">
        <is>
          <t>Uncategorized</t>
        </is>
      </c>
      <c r="E590" s="1" t="n">
        <v>5.22</v>
      </c>
      <c r="F590" t="n">
        <v>400</v>
      </c>
      <c r="G590" t="n">
        <v>0</v>
      </c>
      <c r="H590" t="n">
        <v>2000</v>
      </c>
      <c r="I590" t="n">
        <v>0</v>
      </c>
      <c r="J590" t="n">
        <v>0</v>
      </c>
      <c r="K590">
        <f>IF(H590-I590-J590&gt;0,H590-I590-J590,0)</f>
        <v/>
      </c>
      <c r="L590" s="1">
        <f>IFERROR(I590*E590,0)</f>
        <v/>
      </c>
      <c r="M590" s="1">
        <f>IFERROR(K590*E590,0)</f>
        <v/>
      </c>
    </row>
    <row r="591">
      <c r="A591" t="inlineStr">
        <is>
          <t>PMGB25-18</t>
        </is>
      </c>
      <c r="B591" t="inlineStr">
        <is>
          <t>M25 NYLON COMPRESSION GLAND GREY</t>
        </is>
      </c>
      <c r="C591" t="inlineStr">
        <is>
          <t>ElectroMechanica (Pty) Ltd</t>
        </is>
      </c>
      <c r="D591" t="inlineStr">
        <is>
          <t>Uncategorized</t>
        </is>
      </c>
      <c r="E591" s="1" t="n">
        <v>7.11</v>
      </c>
      <c r="F591" t="n">
        <v>200</v>
      </c>
      <c r="G591" t="n">
        <v>0</v>
      </c>
      <c r="H591" t="n">
        <v>1000</v>
      </c>
      <c r="I591" t="n">
        <v>0</v>
      </c>
      <c r="J591" t="n">
        <v>0</v>
      </c>
      <c r="K591">
        <f>IF(H591-I591-J591&gt;0,H591-I591-J591,0)</f>
        <v/>
      </c>
      <c r="L591" s="1">
        <f>IFERROR(I591*E591,0)</f>
        <v/>
      </c>
      <c r="M591" s="1">
        <f>IFERROR(K591*E591,0)</f>
        <v/>
      </c>
    </row>
    <row r="592">
      <c r="A592" t="inlineStr">
        <is>
          <t>POZI SELF TAPPER</t>
        </is>
      </c>
      <c r="B592" t="inlineStr">
        <is>
          <t>10 - No10 (4 .8mm)x19 PAN/HD POZI SELF TAPPER 10X19 7981</t>
        </is>
      </c>
      <c r="C592" t="inlineStr">
        <is>
          <t>M&amp;D SPECIALISED FASTENERS (PTY) LTD</t>
        </is>
      </c>
      <c r="D592" t="inlineStr">
        <is>
          <t>Uncategorized</t>
        </is>
      </c>
      <c r="E592" s="1" t="n">
        <v>0</v>
      </c>
      <c r="F592" t="n">
        <v>89</v>
      </c>
      <c r="G592" t="n">
        <v>0</v>
      </c>
      <c r="H592" t="n">
        <v>446</v>
      </c>
      <c r="I592" t="n">
        <v>0</v>
      </c>
      <c r="J592" t="n">
        <v>0</v>
      </c>
      <c r="K592">
        <f>IF(H592-I592-J592&gt;0,H592-I592-J592,0)</f>
        <v/>
      </c>
      <c r="L592" s="1">
        <f>IFERROR(I592*E592,0)</f>
        <v/>
      </c>
      <c r="M592" s="1">
        <f>IFERROR(K592*E592,0)</f>
        <v/>
      </c>
    </row>
    <row r="593">
      <c r="A593" t="inlineStr">
        <is>
          <t>PR3mm x 1300mm</t>
        </is>
      </c>
      <c r="B593" t="inlineStr">
        <is>
          <t>New W11F 3mm x 1300mm Plate Roller</t>
        </is>
      </c>
      <c r="C593" t="inlineStr">
        <is>
          <t>Mech Tech Precision (Pty) Ltd</t>
        </is>
      </c>
      <c r="D593" t="inlineStr">
        <is>
          <t>Uncategorized</t>
        </is>
      </c>
      <c r="E593" s="1" t="n">
        <v>77000</v>
      </c>
      <c r="F593" t="n">
        <v>1</v>
      </c>
      <c r="G593" t="n">
        <v>0</v>
      </c>
      <c r="H593" t="n">
        <v>3</v>
      </c>
      <c r="I593" t="n">
        <v>0</v>
      </c>
      <c r="J593" t="n">
        <v>0</v>
      </c>
      <c r="K593">
        <f>IF(H593-I593-J593&gt;0,H593-I593-J593,0)</f>
        <v/>
      </c>
      <c r="L593" s="1">
        <f>IFERROR(I593*E593,0)</f>
        <v/>
      </c>
      <c r="M593" s="1">
        <f>IFERROR(K593*E593,0)</f>
        <v/>
      </c>
    </row>
    <row r="594">
      <c r="A594" t="inlineStr">
        <is>
          <t>PRA GLAND FLP Exde BRASS CPR N*1 M20</t>
        </is>
      </c>
      <c r="B594" t="inlineStr">
        <is>
          <t>PRA GLAND FLP Exde BRASS CPR N*1 M20</t>
        </is>
      </c>
      <c r="C594" t="inlineStr">
        <is>
          <t>Pratley (Pty) Ltd</t>
        </is>
      </c>
      <c r="D594" t="inlineStr">
        <is>
          <t>Uncategorized</t>
        </is>
      </c>
      <c r="E594" s="1" t="n">
        <v>232.8</v>
      </c>
      <c r="F594" t="n">
        <v>2</v>
      </c>
      <c r="G594" t="n">
        <v>0</v>
      </c>
      <c r="H594" t="n">
        <v>10</v>
      </c>
      <c r="I594" t="n">
        <v>0</v>
      </c>
      <c r="J594" t="n">
        <v>0</v>
      </c>
      <c r="K594">
        <f>IF(H594-I594-J594&gt;0,H594-I594-J594,0)</f>
        <v/>
      </c>
      <c r="L594" s="1">
        <f>IFERROR(I594*E594,0)</f>
        <v/>
      </c>
      <c r="M594" s="1">
        <f>IFERROR(K594*E594,0)</f>
        <v/>
      </c>
    </row>
    <row r="595">
      <c r="A595" t="inlineStr">
        <is>
          <t>PRA LOCKNUT BRASS No 0 &amp; 1</t>
        </is>
      </c>
      <c r="B595" t="inlineStr">
        <is>
          <t>M20 - PRA LOCKNUT BRASS No 0 &amp; 1 - M20</t>
        </is>
      </c>
      <c r="C595" t="inlineStr">
        <is>
          <t>Pratley (Pty) Ltd</t>
        </is>
      </c>
      <c r="D595" t="inlineStr">
        <is>
          <t>Uncategorized</t>
        </is>
      </c>
      <c r="E595" s="1" t="n">
        <v>0</v>
      </c>
      <c r="F595" t="n">
        <v>1</v>
      </c>
      <c r="G595" t="n">
        <v>0</v>
      </c>
      <c r="H595" t="n">
        <v>5</v>
      </c>
      <c r="I595" t="n">
        <v>0</v>
      </c>
      <c r="J595" t="n">
        <v>0</v>
      </c>
      <c r="K595">
        <f>IF(H595-I595-J595&gt;0,H595-I595-J595,0)</f>
        <v/>
      </c>
      <c r="L595" s="1">
        <f>IFERROR(I595*E595,0)</f>
        <v/>
      </c>
      <c r="M595" s="1">
        <f>IFERROR(K595*E595,0)</f>
        <v/>
      </c>
    </row>
    <row r="596">
      <c r="A596" t="inlineStr">
        <is>
          <t>PRA LOCKNUT BRASS No 2</t>
        </is>
      </c>
      <c r="B596" t="inlineStr">
        <is>
          <t>M25 - PRA LOCKNUT BRASS No 2 - M25</t>
        </is>
      </c>
      <c r="C596" t="inlineStr">
        <is>
          <t>Pratley (Pty) Ltd</t>
        </is>
      </c>
      <c r="D596" t="inlineStr">
        <is>
          <t>Uncategorized</t>
        </is>
      </c>
      <c r="E596" s="1" t="n">
        <v>0</v>
      </c>
      <c r="F596" t="n">
        <v>1</v>
      </c>
      <c r="G596" t="n">
        <v>0</v>
      </c>
      <c r="H596" t="n">
        <v>5</v>
      </c>
      <c r="I596" t="n">
        <v>0</v>
      </c>
      <c r="J596" t="n">
        <v>0</v>
      </c>
      <c r="K596">
        <f>IF(H596-I596-J596&gt;0,H596-I596-J596,0)</f>
        <v/>
      </c>
      <c r="L596" s="1">
        <f>IFERROR(I596*E596,0)</f>
        <v/>
      </c>
      <c r="M596" s="1">
        <f>IFERROR(K596*E596,0)</f>
        <v/>
      </c>
    </row>
    <row r="597">
      <c r="A597" t="inlineStr">
        <is>
          <t>PRA REDUCER FLP Ex d/e 25M-20F</t>
        </is>
      </c>
      <c r="B597" t="inlineStr">
        <is>
          <t>PRA REDUCER FLP Ex d/e 25M-20F</t>
        </is>
      </c>
      <c r="C597" t="inlineStr">
        <is>
          <t>Pratley (Pty) Ltd</t>
        </is>
      </c>
      <c r="D597" t="inlineStr">
        <is>
          <t>Uncategorized</t>
        </is>
      </c>
      <c r="E597" s="1" t="n">
        <v>81.48999999999999</v>
      </c>
      <c r="F597" t="n">
        <v>1</v>
      </c>
      <c r="G597" t="n">
        <v>0</v>
      </c>
      <c r="H597" t="n">
        <v>5</v>
      </c>
      <c r="I597" t="n">
        <v>0</v>
      </c>
      <c r="J597" t="n">
        <v>0</v>
      </c>
      <c r="K597">
        <f>IF(H597-I597-J597&gt;0,H597-I597-J597,0)</f>
        <v/>
      </c>
      <c r="L597" s="1">
        <f>IFERROR(I597*E597,0)</f>
        <v/>
      </c>
      <c r="M597" s="1">
        <f>IFERROR(K597*E597,0)</f>
        <v/>
      </c>
    </row>
    <row r="598">
      <c r="A598" t="inlineStr">
        <is>
          <t>PROGRAM</t>
        </is>
      </c>
      <c r="B598" t="inlineStr">
        <is>
          <t>Customized Programming Service - Development of web Based Fan Selection Program</t>
        </is>
      </c>
      <c r="C598" t="inlineStr">
        <is>
          <t>Holt Consulting Engineers</t>
        </is>
      </c>
      <c r="D598" t="inlineStr">
        <is>
          <t>Uncategorized</t>
        </is>
      </c>
      <c r="E598" s="1" t="n">
        <v>0</v>
      </c>
      <c r="F598" t="n">
        <v>1</v>
      </c>
      <c r="G598" t="n">
        <v>0</v>
      </c>
      <c r="H598" t="n">
        <v>2</v>
      </c>
      <c r="I598" t="n">
        <v>0</v>
      </c>
      <c r="J598" t="n">
        <v>0</v>
      </c>
      <c r="K598">
        <f>IF(H598-I598-J598&gt;0,H598-I598-J598,0)</f>
        <v/>
      </c>
      <c r="L598" s="1">
        <f>IFERROR(I598*E598,0)</f>
        <v/>
      </c>
      <c r="M598" s="1">
        <f>IFERROR(K598*E598,0)</f>
        <v/>
      </c>
    </row>
    <row r="599">
      <c r="A599" t="inlineStr">
        <is>
          <t>PRPFAN822</t>
        </is>
      </c>
      <c r="B599" t="inlineStr">
        <is>
          <t>FAC30/4 Propeller Fan</t>
        </is>
      </c>
      <c r="C599" t="inlineStr">
        <is>
          <t>CFW Fans (Pty) Ltd</t>
        </is>
      </c>
      <c r="D599" t="inlineStr">
        <is>
          <t>Uncategorized</t>
        </is>
      </c>
      <c r="E599" s="1" t="n">
        <v>1447.5</v>
      </c>
      <c r="F599" t="n">
        <v>1</v>
      </c>
      <c r="G599" t="n">
        <v>0</v>
      </c>
      <c r="H599" t="n">
        <v>3</v>
      </c>
      <c r="I599" t="n">
        <v>0</v>
      </c>
      <c r="J599" t="n">
        <v>0</v>
      </c>
      <c r="K599">
        <f>IF(H599-I599-J599&gt;0,H599-I599-J599,0)</f>
        <v/>
      </c>
      <c r="L599" s="1">
        <f>IFERROR(I599*E599,0)</f>
        <v/>
      </c>
      <c r="M599" s="1">
        <f>IFERROR(K599*E599,0)</f>
        <v/>
      </c>
    </row>
    <row r="600">
      <c r="A600" t="inlineStr">
        <is>
          <t>PVT/30</t>
        </is>
      </c>
      <c r="B600" t="inlineStr">
        <is>
          <t>PVT/30 c/w 380W 2800RPM 220V</t>
        </is>
      </c>
      <c r="C600" t="inlineStr">
        <is>
          <t>Luft Industries Natal (Pty) Ltd</t>
        </is>
      </c>
      <c r="D600" t="inlineStr">
        <is>
          <t>Uncategorized</t>
        </is>
      </c>
      <c r="E600" s="1" t="n">
        <v>537.5</v>
      </c>
      <c r="F600" t="n">
        <v>1</v>
      </c>
      <c r="G600" t="n">
        <v>0</v>
      </c>
      <c r="H600" t="n">
        <v>2</v>
      </c>
      <c r="I600" t="n">
        <v>0</v>
      </c>
      <c r="J600" t="n">
        <v>0</v>
      </c>
      <c r="K600">
        <f>IF(H600-I600-J600&gt;0,H600-I600-J600,0)</f>
        <v/>
      </c>
      <c r="L600" s="1">
        <f>IFERROR(I600*E600,0)</f>
        <v/>
      </c>
      <c r="M600" s="1">
        <f>IFERROR(K600*E600,0)</f>
        <v/>
      </c>
    </row>
    <row r="601">
      <c r="A601" t="inlineStr">
        <is>
          <t>PVT/50</t>
        </is>
      </c>
      <c r="B601" t="inlineStr">
        <is>
          <t>PVT /50 c/w 2.2KkW 2800RPM 220V</t>
        </is>
      </c>
      <c r="C601" t="inlineStr">
        <is>
          <t>Bluetech Fans (Pty) Ltd</t>
        </is>
      </c>
      <c r="D601" t="inlineStr">
        <is>
          <t>Uncategorized</t>
        </is>
      </c>
      <c r="E601" s="1" t="n">
        <v>2965.69</v>
      </c>
      <c r="F601" t="n">
        <v>1</v>
      </c>
      <c r="G601" t="n">
        <v>0</v>
      </c>
      <c r="H601" t="n">
        <v>3</v>
      </c>
      <c r="I601" t="n">
        <v>0</v>
      </c>
      <c r="J601" t="n">
        <v>0</v>
      </c>
      <c r="K601">
        <f>IF(H601-I601-J601&gt;0,H601-I601-J601,0)</f>
        <v/>
      </c>
      <c r="L601" s="1">
        <f>IFERROR(I601*E601,0)</f>
        <v/>
      </c>
      <c r="M601" s="1">
        <f>IFERROR(K601*E601,0)</f>
        <v/>
      </c>
    </row>
    <row r="602">
      <c r="A602" t="inlineStr">
        <is>
          <t>PWT PI150 0R7G3Z</t>
        </is>
      </c>
      <c r="B602" t="inlineStr">
        <is>
          <t>PI150 VSD 0.75KW 380V IP20 BRK</t>
        </is>
      </c>
      <c r="C602" t="inlineStr">
        <is>
          <t>Bearing Man Group</t>
        </is>
      </c>
      <c r="D602" t="inlineStr">
        <is>
          <t>Uncategorized</t>
        </is>
      </c>
      <c r="E602" s="1" t="n">
        <v>3808.9</v>
      </c>
      <c r="F602" t="n">
        <v>1</v>
      </c>
      <c r="G602" t="n">
        <v>0</v>
      </c>
      <c r="H602" t="n">
        <v>5</v>
      </c>
      <c r="I602" t="n">
        <v>0</v>
      </c>
      <c r="J602" t="n">
        <v>0</v>
      </c>
      <c r="K602">
        <f>IF(H602-I602-J602&gt;0,H602-I602-J602,0)</f>
        <v/>
      </c>
      <c r="L602" s="1">
        <f>IFERROR(I602*E602,0)</f>
        <v/>
      </c>
      <c r="M602" s="1">
        <f>IFERROR(K602*E602,0)</f>
        <v/>
      </c>
    </row>
    <row r="603">
      <c r="A603" t="inlineStr">
        <is>
          <t>Partial Payment</t>
        </is>
      </c>
      <c r="B603" t="inlineStr">
        <is>
          <t>Industrial fan - Partial Payment</t>
        </is>
      </c>
      <c r="C603" t="inlineStr"/>
      <c r="D603" t="inlineStr">
        <is>
          <t>Uncategorized</t>
        </is>
      </c>
      <c r="E603" s="1" t="n">
        <v>0</v>
      </c>
      <c r="F603" t="n">
        <v>1</v>
      </c>
      <c r="G603" t="n">
        <v>0</v>
      </c>
      <c r="H603" t="n">
        <v>2</v>
      </c>
      <c r="I603" t="n">
        <v>0</v>
      </c>
      <c r="J603" t="n">
        <v>0</v>
      </c>
      <c r="K603">
        <f>IF(H603-I603-J603&gt;0,H603-I603-J603,0)</f>
        <v/>
      </c>
      <c r="L603" s="1">
        <f>IFERROR(I603*E603,0)</f>
        <v/>
      </c>
      <c r="M603" s="1">
        <f>IFERROR(K603*E603,0)</f>
        <v/>
      </c>
    </row>
    <row r="604">
      <c r="A604" t="inlineStr">
        <is>
          <t>Plasma Cuts</t>
        </is>
      </c>
      <c r="B604" t="inlineStr">
        <is>
          <t>Sheets cut(10), Plates cut(56) &amp; Ends Cut(60)</t>
        </is>
      </c>
      <c r="C604" t="inlineStr">
        <is>
          <t>Intervent-Universal (Pty) Ltd</t>
        </is>
      </c>
      <c r="D604" t="inlineStr">
        <is>
          <t>Uncategorized</t>
        </is>
      </c>
      <c r="E604" s="1" t="n">
        <v>5600</v>
      </c>
      <c r="F604" t="n">
        <v>1</v>
      </c>
      <c r="G604" t="n">
        <v>0</v>
      </c>
      <c r="H604" t="n">
        <v>2</v>
      </c>
      <c r="I604" t="n">
        <v>0</v>
      </c>
      <c r="J604" t="n">
        <v>0</v>
      </c>
      <c r="K604">
        <f>IF(H604-I604-J604&gt;0,H604-I604-J604,0)</f>
        <v/>
      </c>
      <c r="L604" s="1">
        <f>IFERROR(I604*E604,0)</f>
        <v/>
      </c>
      <c r="M604" s="1">
        <f>IFERROR(K604*E604,0)</f>
        <v/>
      </c>
    </row>
    <row r="605">
      <c r="A605" t="inlineStr">
        <is>
          <t>QCP-</t>
        </is>
      </c>
      <c r="B605" t="inlineStr">
        <is>
          <t>Data Book</t>
        </is>
      </c>
      <c r="C605" t="inlineStr"/>
      <c r="D605" t="inlineStr">
        <is>
          <t>Uncategorized</t>
        </is>
      </c>
      <c r="E605" s="1" t="n">
        <v>0</v>
      </c>
      <c r="F605" t="n">
        <v>1</v>
      </c>
      <c r="G605" t="n">
        <v>0</v>
      </c>
      <c r="H605" t="n">
        <v>2</v>
      </c>
      <c r="I605" t="n">
        <v>0</v>
      </c>
      <c r="J605" t="n">
        <v>0</v>
      </c>
      <c r="K605">
        <f>IF(H605-I605-J605&gt;0,H605-I605-J605,0)</f>
        <v/>
      </c>
      <c r="L605" s="1">
        <f>IFERROR(I605*E605,0)</f>
        <v/>
      </c>
      <c r="M605" s="1">
        <f>IFERROR(K605*E605,0)</f>
        <v/>
      </c>
    </row>
    <row r="606">
      <c r="A606" t="inlineStr">
        <is>
          <t>QD GP 5LT</t>
        </is>
      </c>
      <c r="B606" t="inlineStr">
        <is>
          <t>QD GREY PRIMER 5LT</t>
        </is>
      </c>
      <c r="C606" t="inlineStr">
        <is>
          <t>MG AUTO PAINT (PTY) LTD</t>
        </is>
      </c>
      <c r="D606" t="inlineStr">
        <is>
          <t>Uncategorized</t>
        </is>
      </c>
      <c r="E606" s="1" t="n">
        <v>243.48</v>
      </c>
      <c r="F606" t="n">
        <v>1</v>
      </c>
      <c r="G606" t="n">
        <v>0</v>
      </c>
      <c r="H606" t="n">
        <v>2</v>
      </c>
      <c r="I606" t="n">
        <v>0</v>
      </c>
      <c r="J606" t="n">
        <v>0</v>
      </c>
      <c r="K606">
        <f>IF(H606-I606-J606&gt;0,H606-I606-J606,0)</f>
        <v/>
      </c>
      <c r="L606" s="1">
        <f>IFERROR(I606*E606,0)</f>
        <v/>
      </c>
      <c r="M606" s="1">
        <f>IFERROR(K606*E606,0)</f>
        <v/>
      </c>
    </row>
    <row r="607">
      <c r="A607" t="inlineStr">
        <is>
          <t>RA</t>
        </is>
      </c>
      <c r="B607" t="inlineStr">
        <is>
          <t>1500x600x850 long Rectangular Attenuator</t>
        </is>
      </c>
      <c r="C607" t="inlineStr">
        <is>
          <t>Attenu-Tec</t>
        </is>
      </c>
      <c r="D607" t="inlineStr">
        <is>
          <t>Uncategorized</t>
        </is>
      </c>
      <c r="E607" s="1" t="n">
        <v>7907</v>
      </c>
      <c r="F607" t="n">
        <v>7</v>
      </c>
      <c r="G607" t="n">
        <v>0</v>
      </c>
      <c r="H607" t="n">
        <v>19</v>
      </c>
      <c r="I607" t="n">
        <v>0</v>
      </c>
      <c r="J607" t="n">
        <v>0</v>
      </c>
      <c r="K607">
        <f>IF(H607-I607-J607&gt;0,H607-I607-J607,0)</f>
        <v/>
      </c>
      <c r="L607" s="1">
        <f>IFERROR(I607*E607,0)</f>
        <v/>
      </c>
      <c r="M607" s="1">
        <f>IFERROR(K607*E607,0)</f>
        <v/>
      </c>
    </row>
    <row r="608">
      <c r="A608" t="inlineStr">
        <is>
          <t>RECT ATT</t>
        </is>
      </c>
      <c r="B608" t="inlineStr">
        <is>
          <t>1100 X 1100 and 1500mm Long</t>
        </is>
      </c>
      <c r="C608" t="inlineStr">
        <is>
          <t>Attenu-Tec</t>
        </is>
      </c>
      <c r="D608" t="inlineStr">
        <is>
          <t>Uncategorized</t>
        </is>
      </c>
      <c r="E608" s="1" t="n">
        <v>2985</v>
      </c>
      <c r="F608" t="n">
        <v>9</v>
      </c>
      <c r="G608" t="n">
        <v>0</v>
      </c>
      <c r="H608" t="n">
        <v>45</v>
      </c>
      <c r="I608" t="n">
        <v>0</v>
      </c>
      <c r="J608" t="n">
        <v>0</v>
      </c>
      <c r="K608">
        <f>IF(H608-I608-J608&gt;0,H608-I608-J608,0)</f>
        <v/>
      </c>
      <c r="L608" s="1">
        <f>IFERROR(I608*E608,0)</f>
        <v/>
      </c>
      <c r="M608" s="1">
        <f>IFERROR(K608*E608,0)</f>
        <v/>
      </c>
    </row>
    <row r="609">
      <c r="A609" t="inlineStr">
        <is>
          <t>REFURBISHING</t>
        </is>
      </c>
      <c r="B609" t="inlineStr">
        <is>
          <t>FAN REFURBISHMENT</t>
        </is>
      </c>
      <c r="C609" t="inlineStr"/>
      <c r="D609" t="inlineStr">
        <is>
          <t>Uncategorized</t>
        </is>
      </c>
      <c r="E609" s="1" t="n">
        <v>0</v>
      </c>
      <c r="F609" t="n">
        <v>1</v>
      </c>
      <c r="G609" t="n">
        <v>0</v>
      </c>
      <c r="H609" t="n">
        <v>2</v>
      </c>
      <c r="I609" t="n">
        <v>0</v>
      </c>
      <c r="J609" t="n">
        <v>0</v>
      </c>
      <c r="K609">
        <f>IF(H609-I609-J609&gt;0,H609-I609-J609,0)</f>
        <v/>
      </c>
      <c r="L609" s="1">
        <f>IFERROR(I609*E609,0)</f>
        <v/>
      </c>
      <c r="M609" s="1">
        <f>IFERROR(K609*E609,0)</f>
        <v/>
      </c>
    </row>
    <row r="610">
      <c r="A610" t="inlineStr">
        <is>
          <t>RENTAL</t>
        </is>
      </c>
      <c r="B610" t="inlineStr">
        <is>
          <t>RENTAL</t>
        </is>
      </c>
      <c r="C610" t="inlineStr">
        <is>
          <t>Stand 231 Alrode South CC</t>
        </is>
      </c>
      <c r="D610" t="inlineStr">
        <is>
          <t>Uncategorized</t>
        </is>
      </c>
      <c r="E610" s="1" t="n">
        <v>41745.45</v>
      </c>
      <c r="F610" t="n">
        <v>1</v>
      </c>
      <c r="G610" t="n">
        <v>0</v>
      </c>
      <c r="H610" t="n">
        <v>2</v>
      </c>
      <c r="I610" t="n">
        <v>0</v>
      </c>
      <c r="J610" t="n">
        <v>0</v>
      </c>
      <c r="K610">
        <f>IF(H610-I610-J610&gt;0,H610-I610-J610,0)</f>
        <v/>
      </c>
      <c r="L610" s="1">
        <f>IFERROR(I610*E610,0)</f>
        <v/>
      </c>
      <c r="M610" s="1">
        <f>IFERROR(K610*E610,0)</f>
        <v/>
      </c>
    </row>
    <row r="611">
      <c r="A611" t="inlineStr">
        <is>
          <t>RIGM6</t>
        </is>
      </c>
      <c r="B611" t="inlineStr">
        <is>
          <t>RIGID POC FILTERS 600X600X600 M6 6POC</t>
        </is>
      </c>
      <c r="C611" t="inlineStr">
        <is>
          <t>Filtermac Design ( Pty) Ltd</t>
        </is>
      </c>
      <c r="D611" t="inlineStr">
        <is>
          <t>Uncategorized</t>
        </is>
      </c>
      <c r="E611" s="1" t="n">
        <v>1050</v>
      </c>
      <c r="F611" t="n">
        <v>13</v>
      </c>
      <c r="G611" t="n">
        <v>0</v>
      </c>
      <c r="H611" t="n">
        <v>45</v>
      </c>
      <c r="I611" t="n">
        <v>0</v>
      </c>
      <c r="J611" t="n">
        <v>0</v>
      </c>
      <c r="K611">
        <f>IF(H611-I611-J611&gt;0,H611-I611-J611,0)</f>
        <v/>
      </c>
      <c r="L611" s="1">
        <f>IFERROR(I611*E611,0)</f>
        <v/>
      </c>
      <c r="M611" s="1">
        <f>IFERROR(K611*E611,0)</f>
        <v/>
      </c>
    </row>
    <row r="612">
      <c r="A612" t="inlineStr">
        <is>
          <t>RS1-400</t>
        </is>
      </c>
      <c r="B612" t="inlineStr">
        <is>
          <t>Controller 1.8 amp ( Excl.J.Box)</t>
        </is>
      </c>
      <c r="C612" t="inlineStr">
        <is>
          <t>Luft Industries Natal (Pty) Ltd</t>
        </is>
      </c>
      <c r="D612" t="inlineStr">
        <is>
          <t>Uncategorized</t>
        </is>
      </c>
      <c r="E612" s="1" t="n">
        <v>0</v>
      </c>
      <c r="F612" t="n">
        <v>4</v>
      </c>
      <c r="G612" t="n">
        <v>0</v>
      </c>
      <c r="H612" t="n">
        <v>22</v>
      </c>
      <c r="I612" t="n">
        <v>0</v>
      </c>
      <c r="J612" t="n">
        <v>0</v>
      </c>
      <c r="K612">
        <f>IF(H612-I612-J612&gt;0,H612-I612-J612,0)</f>
        <v/>
      </c>
      <c r="L612" s="1">
        <f>IFERROR(I612*E612,0)</f>
        <v/>
      </c>
      <c r="M612" s="1">
        <f>IFERROR(K612*E612,0)</f>
        <v/>
      </c>
    </row>
    <row r="613">
      <c r="A613" t="inlineStr">
        <is>
          <t>RT1.25-4S</t>
        </is>
      </c>
      <c r="B613" t="inlineStr">
        <is>
          <t>Red Ring Terminal 4mm Stud</t>
        </is>
      </c>
      <c r="C613" t="inlineStr">
        <is>
          <t>Cabrical (Pty) Ltd</t>
        </is>
      </c>
      <c r="D613" t="inlineStr">
        <is>
          <t>Uncategorized</t>
        </is>
      </c>
      <c r="E613" s="1" t="n">
        <v>0.63</v>
      </c>
      <c r="F613" t="n">
        <v>200</v>
      </c>
      <c r="G613" t="n">
        <v>0</v>
      </c>
      <c r="H613" t="n">
        <v>1000</v>
      </c>
      <c r="I613" t="n">
        <v>0</v>
      </c>
      <c r="J613" t="n">
        <v>0</v>
      </c>
      <c r="K613">
        <f>IF(H613-I613-J613&gt;0,H613-I613-J613,0)</f>
        <v/>
      </c>
      <c r="L613" s="1">
        <f>IFERROR(I613*E613,0)</f>
        <v/>
      </c>
      <c r="M613" s="1">
        <f>IFERROR(K613*E613,0)</f>
        <v/>
      </c>
    </row>
    <row r="614">
      <c r="A614" t="inlineStr">
        <is>
          <t>RT1.25-5S</t>
        </is>
      </c>
      <c r="B614" t="inlineStr">
        <is>
          <t>Red Ring Terminal 5mm Stud</t>
        </is>
      </c>
      <c r="C614" t="inlineStr">
        <is>
          <t>Cabrical (Pty) Ltd</t>
        </is>
      </c>
      <c r="D614" t="inlineStr">
        <is>
          <t>Uncategorized</t>
        </is>
      </c>
      <c r="E614" s="1" t="n">
        <v>0.7</v>
      </c>
      <c r="F614" t="n">
        <v>200</v>
      </c>
      <c r="G614" t="n">
        <v>0</v>
      </c>
      <c r="H614" t="n">
        <v>1000</v>
      </c>
      <c r="I614" t="n">
        <v>0</v>
      </c>
      <c r="J614" t="n">
        <v>0</v>
      </c>
      <c r="K614">
        <f>IF(H614-I614-J614&gt;0,H614-I614-J614,0)</f>
        <v/>
      </c>
      <c r="L614" s="1">
        <f>IFERROR(I614*E614,0)</f>
        <v/>
      </c>
      <c r="M614" s="1">
        <f>IFERROR(K614*E614,0)</f>
        <v/>
      </c>
    </row>
    <row r="615">
      <c r="A615" t="inlineStr">
        <is>
          <t>RT1.25-6S</t>
        </is>
      </c>
      <c r="B615" t="inlineStr">
        <is>
          <t>Red Ring Terminal 6mm Stud</t>
        </is>
      </c>
      <c r="C615" t="inlineStr">
        <is>
          <t>Cabrical (Pty) Ltd</t>
        </is>
      </c>
      <c r="D615" t="inlineStr">
        <is>
          <t>Uncategorized</t>
        </is>
      </c>
      <c r="E615" s="1" t="n">
        <v>0.91</v>
      </c>
      <c r="F615" t="n">
        <v>200</v>
      </c>
      <c r="G615" t="n">
        <v>0</v>
      </c>
      <c r="H615" t="n">
        <v>1000</v>
      </c>
      <c r="I615" t="n">
        <v>0</v>
      </c>
      <c r="J615" t="n">
        <v>0</v>
      </c>
      <c r="K615">
        <f>IF(H615-I615-J615&gt;0,H615-I615-J615,0)</f>
        <v/>
      </c>
      <c r="L615" s="1">
        <f>IFERROR(I615*E615,0)</f>
        <v/>
      </c>
      <c r="M615" s="1">
        <f>IFERROR(K615*E615,0)</f>
        <v/>
      </c>
    </row>
    <row r="616">
      <c r="A616" t="inlineStr">
        <is>
          <t>RTube-25x1.9-6M</t>
        </is>
      </c>
      <c r="B616" t="inlineStr">
        <is>
          <t>Round Tube 25x1.9-6M</t>
        </is>
      </c>
      <c r="C616" t="inlineStr">
        <is>
          <t>NJR STEEL - ALRODE (PTY) LTD</t>
        </is>
      </c>
      <c r="D616" t="inlineStr">
        <is>
          <t>Uncategorized</t>
        </is>
      </c>
      <c r="E616" s="1" t="n">
        <v>99.25</v>
      </c>
      <c r="F616" t="n">
        <v>1</v>
      </c>
      <c r="G616" t="n">
        <v>0</v>
      </c>
      <c r="H616" t="n">
        <v>2</v>
      </c>
      <c r="I616" t="n">
        <v>0</v>
      </c>
      <c r="J616" t="n">
        <v>0</v>
      </c>
      <c r="K616">
        <f>IF(H616-I616-J616&gt;0,H616-I616-J616,0)</f>
        <v/>
      </c>
      <c r="L616" s="1">
        <f>IFERROR(I616*E616,0)</f>
        <v/>
      </c>
      <c r="M616" s="1">
        <f>IFERROR(K616*E616,0)</f>
        <v/>
      </c>
    </row>
    <row r="617">
      <c r="A617" t="inlineStr">
        <is>
          <t>RTube-32x1.9-6M</t>
        </is>
      </c>
      <c r="B617" t="inlineStr">
        <is>
          <t>Round Tube 32x1.9-6M</t>
        </is>
      </c>
      <c r="C617" t="inlineStr">
        <is>
          <t>NJR STEEL - ALRODE (PTY) LTD</t>
        </is>
      </c>
      <c r="D617" t="inlineStr">
        <is>
          <t>Uncategorized</t>
        </is>
      </c>
      <c r="E617" s="1" t="n">
        <v>129.4</v>
      </c>
      <c r="F617" t="n">
        <v>1</v>
      </c>
      <c r="G617" t="n">
        <v>0</v>
      </c>
      <c r="H617" t="n">
        <v>5</v>
      </c>
      <c r="I617" t="n">
        <v>0</v>
      </c>
      <c r="J617" t="n">
        <v>0</v>
      </c>
      <c r="K617">
        <f>IF(H617-I617-J617&gt;0,H617-I617-J617,0)</f>
        <v/>
      </c>
      <c r="L617" s="1">
        <f>IFERROR(I617*E617,0)</f>
        <v/>
      </c>
      <c r="M617" s="1">
        <f>IFERROR(K617*E617,0)</f>
        <v/>
      </c>
    </row>
    <row r="618">
      <c r="A618" t="inlineStr">
        <is>
          <t>RTube-38x1.9-6M</t>
        </is>
      </c>
      <c r="B618" t="inlineStr">
        <is>
          <t>Round Tube 38x1.9-6M</t>
        </is>
      </c>
      <c r="C618" t="inlineStr">
        <is>
          <t>NJR STEEL - ALRODE (PTY) LTD</t>
        </is>
      </c>
      <c r="D618" t="inlineStr">
        <is>
          <t>Uncategorized</t>
        </is>
      </c>
      <c r="E618" s="1" t="n">
        <v>151.63</v>
      </c>
      <c r="F618" t="n">
        <v>1</v>
      </c>
      <c r="G618" t="n">
        <v>0</v>
      </c>
      <c r="H618" t="n">
        <v>2</v>
      </c>
      <c r="I618" t="n">
        <v>0</v>
      </c>
      <c r="J618" t="n">
        <v>0</v>
      </c>
      <c r="K618">
        <f>IF(H618-I618-J618&gt;0,H618-I618-J618,0)</f>
        <v/>
      </c>
      <c r="L618" s="1">
        <f>IFERROR(I618*E618,0)</f>
        <v/>
      </c>
      <c r="M618" s="1">
        <f>IFERROR(K618*E618,0)</f>
        <v/>
      </c>
    </row>
    <row r="619">
      <c r="A619" t="inlineStr">
        <is>
          <t>RepairCMP</t>
        </is>
      </c>
      <c r="B619" t="inlineStr">
        <is>
          <t>Repair teh casing by replacing the flange to be 3mm thick and re-paint entire casing</t>
        </is>
      </c>
      <c r="C619" t="inlineStr">
        <is>
          <t>Mafilisti Trading and Projects (Pty) Ltd</t>
        </is>
      </c>
      <c r="D619" t="inlineStr">
        <is>
          <t>Uncategorized</t>
        </is>
      </c>
      <c r="E619" s="1" t="n">
        <v>550</v>
      </c>
      <c r="F619" t="n">
        <v>1</v>
      </c>
      <c r="G619" t="n">
        <v>0</v>
      </c>
      <c r="H619" t="n">
        <v>2</v>
      </c>
      <c r="I619" t="n">
        <v>0</v>
      </c>
      <c r="J619" t="n">
        <v>0</v>
      </c>
      <c r="K619">
        <f>IF(H619-I619-J619&gt;0,H619-I619-J619,0)</f>
        <v/>
      </c>
      <c r="L619" s="1">
        <f>IFERROR(I619*E619,0)</f>
        <v/>
      </c>
      <c r="M619" s="1">
        <f>IFERROR(K619*E619,0)</f>
        <v/>
      </c>
    </row>
    <row r="620">
      <c r="A620" t="inlineStr">
        <is>
          <t>Rewind Motors</t>
        </is>
      </c>
      <c r="B620" t="inlineStr">
        <is>
          <t>From 400V to 525V</t>
        </is>
      </c>
      <c r="C620" t="inlineStr">
        <is>
          <t>Luck and King</t>
        </is>
      </c>
      <c r="D620" t="inlineStr">
        <is>
          <t>Uncategorized</t>
        </is>
      </c>
      <c r="E620" s="1" t="n">
        <v>2431.5</v>
      </c>
      <c r="F620" t="n">
        <v>1</v>
      </c>
      <c r="G620" t="n">
        <v>0</v>
      </c>
      <c r="H620" t="n">
        <v>2</v>
      </c>
      <c r="I620" t="n">
        <v>0</v>
      </c>
      <c r="J620" t="n">
        <v>0</v>
      </c>
      <c r="K620">
        <f>IF(H620-I620-J620&gt;0,H620-I620-J620,0)</f>
        <v/>
      </c>
      <c r="L620" s="1">
        <f>IFERROR(I620*E620,0)</f>
        <v/>
      </c>
      <c r="M620" s="1">
        <f>IFERROR(K620*E620,0)</f>
        <v/>
      </c>
    </row>
    <row r="621">
      <c r="A621" t="inlineStr">
        <is>
          <t>Rewind To</t>
        </is>
      </c>
      <c r="B621" t="inlineStr">
        <is>
          <t>525V</t>
        </is>
      </c>
      <c r="C621" t="inlineStr">
        <is>
          <t>Luck and King</t>
        </is>
      </c>
      <c r="D621" t="inlineStr">
        <is>
          <t>Uncategorized</t>
        </is>
      </c>
      <c r="E621" s="1" t="n">
        <v>2193</v>
      </c>
      <c r="F621" t="n">
        <v>1</v>
      </c>
      <c r="G621" t="n">
        <v>0</v>
      </c>
      <c r="H621" t="n">
        <v>3</v>
      </c>
      <c r="I621" t="n">
        <v>0</v>
      </c>
      <c r="J621" t="n">
        <v>0</v>
      </c>
      <c r="K621">
        <f>IF(H621-I621-J621&gt;0,H621-I621-J621,0)</f>
        <v/>
      </c>
      <c r="L621" s="1">
        <f>IFERROR(I621*E621,0)</f>
        <v/>
      </c>
      <c r="M621" s="1">
        <f>IFERROR(K621*E621,0)</f>
        <v/>
      </c>
    </row>
    <row r="622">
      <c r="A622" t="inlineStr">
        <is>
          <t>S-STARMIG-255</t>
        </is>
      </c>
      <c r="B622" t="inlineStr">
        <is>
          <t>SMARTER STAR MIG 255 with Parker torch</t>
        </is>
      </c>
      <c r="C622" t="inlineStr">
        <is>
          <t>INTROWELD CC</t>
        </is>
      </c>
      <c r="D622" t="inlineStr">
        <is>
          <t>Uncategorized</t>
        </is>
      </c>
      <c r="E622" s="1" t="n">
        <v>15100</v>
      </c>
      <c r="F622" t="n">
        <v>1</v>
      </c>
      <c r="G622" t="n">
        <v>0</v>
      </c>
      <c r="H622" t="n">
        <v>2</v>
      </c>
      <c r="I622" t="n">
        <v>0</v>
      </c>
      <c r="J622" t="n">
        <v>0</v>
      </c>
      <c r="K622">
        <f>IF(H622-I622-J622&gt;0,H622-I622-J622,0)</f>
        <v/>
      </c>
      <c r="L622" s="1">
        <f>IFERROR(I622*E622,0)</f>
        <v/>
      </c>
      <c r="M622" s="1">
        <f>IFERROR(K622*E622,0)</f>
        <v/>
      </c>
    </row>
    <row r="623">
      <c r="A623" t="inlineStr">
        <is>
          <t>S/S</t>
        </is>
      </c>
      <c r="B623" t="inlineStr">
        <is>
          <t>Pleated Panel Filter 595 x 595 x 48</t>
        </is>
      </c>
      <c r="C623" t="inlineStr">
        <is>
          <t>Airventfil (Pty) Ltd</t>
        </is>
      </c>
      <c r="D623" t="inlineStr">
        <is>
          <t>Uncategorized</t>
        </is>
      </c>
      <c r="E623" s="1" t="n">
        <v>202.45</v>
      </c>
      <c r="F623" t="n">
        <v>6</v>
      </c>
      <c r="G623" t="n">
        <v>0</v>
      </c>
      <c r="H623" t="n">
        <v>30</v>
      </c>
      <c r="I623" t="n">
        <v>0</v>
      </c>
      <c r="J623" t="n">
        <v>0</v>
      </c>
      <c r="K623">
        <f>IF(H623-I623-J623&gt;0,H623-I623-J623,0)</f>
        <v/>
      </c>
      <c r="L623" s="1">
        <f>IFERROR(I623*E623,0)</f>
        <v/>
      </c>
      <c r="M623" s="1">
        <f>IFERROR(K623*E623,0)</f>
        <v/>
      </c>
    </row>
    <row r="624">
      <c r="A624" t="inlineStr">
        <is>
          <t>S1</t>
        </is>
      </c>
      <c r="B624" t="inlineStr">
        <is>
          <t>Silencers</t>
        </is>
      </c>
      <c r="C624" t="inlineStr"/>
      <c r="D624" t="inlineStr">
        <is>
          <t>Uncategorized</t>
        </is>
      </c>
      <c r="E624" s="1" t="n">
        <v>0</v>
      </c>
      <c r="F624" t="n">
        <v>1</v>
      </c>
      <c r="G624" t="n">
        <v>0</v>
      </c>
      <c r="H624" t="n">
        <v>5</v>
      </c>
      <c r="I624" t="n">
        <v>0</v>
      </c>
      <c r="J624" t="n">
        <v>0</v>
      </c>
      <c r="K624">
        <f>IF(H624-I624-J624&gt;0,H624-I624-J624,0)</f>
        <v/>
      </c>
      <c r="L624" s="1">
        <f>IFERROR(I624*E624,0)</f>
        <v/>
      </c>
      <c r="M624" s="1">
        <f>IFERROR(K624*E624,0)</f>
        <v/>
      </c>
    </row>
    <row r="625">
      <c r="A625" t="inlineStr">
        <is>
          <t>SAV STICKERS</t>
        </is>
      </c>
      <c r="B625" t="inlineStr">
        <is>
          <t>Solvent Printed SAV Stickers - Rounded Corners - (108mm x 88mm)</t>
        </is>
      </c>
      <c r="C625" t="inlineStr">
        <is>
          <t>HC Soekoe CC</t>
        </is>
      </c>
      <c r="D625" t="inlineStr">
        <is>
          <t>Uncategorized</t>
        </is>
      </c>
      <c r="E625" s="1" t="n">
        <v>1.69</v>
      </c>
      <c r="F625" t="n">
        <v>38</v>
      </c>
      <c r="G625" t="n">
        <v>0</v>
      </c>
      <c r="H625" t="n">
        <v>188</v>
      </c>
      <c r="I625" t="n">
        <v>0</v>
      </c>
      <c r="J625" t="n">
        <v>0</v>
      </c>
      <c r="K625">
        <f>IF(H625-I625-J625&gt;0,H625-I625-J625,0)</f>
        <v/>
      </c>
      <c r="L625" s="1">
        <f>IFERROR(I625*E625,0)</f>
        <v/>
      </c>
      <c r="M625" s="1">
        <f>IFERROR(K625*E625,0)</f>
        <v/>
      </c>
    </row>
    <row r="626">
      <c r="A626" t="inlineStr">
        <is>
          <t>SE07MS50+0005</t>
        </is>
      </c>
      <c r="B626" t="inlineStr">
        <is>
          <t>SCL e07-MS MOR IE3 M.E. 4.0-4.8KW - 2 POLI 345-415/200-240V 50Hz - 380-480/220-280V 60Hz. IP55</t>
        </is>
      </c>
      <c r="C626" t="inlineStr">
        <is>
          <t>Effepizeta</t>
        </is>
      </c>
      <c r="D626" t="inlineStr">
        <is>
          <t>Uncategorized</t>
        </is>
      </c>
      <c r="E626" s="1" t="n">
        <v>22683.25</v>
      </c>
      <c r="F626" t="n">
        <v>2</v>
      </c>
      <c r="G626" t="n">
        <v>0</v>
      </c>
      <c r="H626" t="n">
        <v>4</v>
      </c>
      <c r="I626" t="n">
        <v>0</v>
      </c>
      <c r="J626" t="n">
        <v>0</v>
      </c>
      <c r="K626">
        <f>IF(H626-I626-J626&gt;0,H626-I626-J626,0)</f>
        <v/>
      </c>
      <c r="L626" s="1">
        <f>IFERROR(I626*E626,0)</f>
        <v/>
      </c>
      <c r="M626" s="1">
        <f>IFERROR(K626*E626,0)</f>
        <v/>
      </c>
    </row>
    <row r="627">
      <c r="A627" t="inlineStr">
        <is>
          <t>SE07MS50+0012</t>
        </is>
      </c>
      <c r="B627" t="inlineStr">
        <is>
          <t>SCL e07-MS MOR IE3 M.E. 5.5 - 6.5 kW - 2 POLI -600-720/345-415V 50Hz - 660-830/380-480V 60Hz WR</t>
        </is>
      </c>
      <c r="C627" t="inlineStr">
        <is>
          <t>Effepizeta</t>
        </is>
      </c>
      <c r="D627" t="inlineStr">
        <is>
          <t>Uncategorized</t>
        </is>
      </c>
      <c r="E627" s="1" t="n">
        <v>25116.89</v>
      </c>
      <c r="F627" t="n">
        <v>2</v>
      </c>
      <c r="G627" t="n">
        <v>0</v>
      </c>
      <c r="H627" t="n">
        <v>4</v>
      </c>
      <c r="I627" t="n">
        <v>0</v>
      </c>
      <c r="J627" t="n">
        <v>0</v>
      </c>
      <c r="K627">
        <f>IF(H627-I627-J627&gt;0,H627-I627-J627,0)</f>
        <v/>
      </c>
      <c r="L627" s="1">
        <f>IFERROR(I627*E627,0)</f>
        <v/>
      </c>
      <c r="M627" s="1">
        <f>IFERROR(K627*E627,0)</f>
        <v/>
      </c>
    </row>
    <row r="628">
      <c r="A628" t="inlineStr">
        <is>
          <t>SE08MS50+0014</t>
        </is>
      </c>
      <c r="B628" t="inlineStr">
        <is>
          <t>SCL e08-MS MOR - IE3 M.E 7.5KW - 9.0KW - 2 POLI</t>
        </is>
      </c>
      <c r="C628" t="inlineStr">
        <is>
          <t>Effepizeta</t>
        </is>
      </c>
      <c r="D628" t="inlineStr">
        <is>
          <t>Uncategorized</t>
        </is>
      </c>
      <c r="E628" s="1" t="n">
        <v>30493.09</v>
      </c>
      <c r="F628" t="n">
        <v>4</v>
      </c>
      <c r="G628" t="n">
        <v>0</v>
      </c>
      <c r="H628" t="n">
        <v>8</v>
      </c>
      <c r="I628" t="n">
        <v>0</v>
      </c>
      <c r="J628" t="n">
        <v>1</v>
      </c>
      <c r="K628">
        <f>IF(H628-I628-J628&gt;0,H628-I628-J628,0)</f>
        <v/>
      </c>
      <c r="L628" s="1">
        <f>IFERROR(I628*E628,0)</f>
        <v/>
      </c>
      <c r="M628" s="1">
        <f>IFERROR(K628*E628,0)</f>
        <v/>
      </c>
    </row>
    <row r="629">
      <c r="A629" t="inlineStr">
        <is>
          <t>SE08MS55</t>
        </is>
      </c>
      <c r="B629" t="inlineStr">
        <is>
          <t>SCL e08-MS MOR IE3 - M.E. 5.5 kW- 525V -IE3 -IP55 NATURAL FINISH</t>
        </is>
      </c>
      <c r="C629" t="inlineStr">
        <is>
          <t>Effepizeta</t>
        </is>
      </c>
      <c r="D629" t="inlineStr">
        <is>
          <t>Uncategorized</t>
        </is>
      </c>
      <c r="E629" s="1" t="n">
        <v>34813.1</v>
      </c>
      <c r="F629" t="n">
        <v>2</v>
      </c>
      <c r="G629" t="n">
        <v>0</v>
      </c>
      <c r="H629" t="n">
        <v>4</v>
      </c>
      <c r="I629" t="n">
        <v>0</v>
      </c>
      <c r="J629" t="n">
        <v>0</v>
      </c>
      <c r="K629">
        <f>IF(H629-I629-J629&gt;0,H629-I629-J629,0)</f>
        <v/>
      </c>
      <c r="L629" s="1">
        <f>IFERROR(I629*E629,0)</f>
        <v/>
      </c>
      <c r="M629" s="1">
        <f>IFERROR(K629*E629,0)</f>
        <v/>
      </c>
    </row>
    <row r="630">
      <c r="A630" t="inlineStr">
        <is>
          <t>SE10MS50+0005</t>
        </is>
      </c>
      <c r="B630" t="inlineStr">
        <is>
          <t>SCL e10-MS MOR IE3 M.E. 11 - 13 kW - 2 POLI - 380V - IP55 Natural Finish</t>
        </is>
      </c>
      <c r="C630" t="inlineStr">
        <is>
          <t>Effepizeta</t>
        </is>
      </c>
      <c r="D630" t="inlineStr">
        <is>
          <t>Uncategorized</t>
        </is>
      </c>
      <c r="E630" s="1" t="n">
        <v>45412</v>
      </c>
      <c r="F630" t="n">
        <v>2</v>
      </c>
      <c r="G630" t="n">
        <v>0</v>
      </c>
      <c r="H630" t="n">
        <v>4</v>
      </c>
      <c r="I630" t="n">
        <v>0</v>
      </c>
      <c r="J630" t="n">
        <v>1</v>
      </c>
      <c r="K630">
        <f>IF(H630-I630-J630&gt;0,H630-I630-J630,0)</f>
        <v/>
      </c>
      <c r="L630" s="1">
        <f>IFERROR(I630*E630,0)</f>
        <v/>
      </c>
      <c r="M630" s="1">
        <f>IFERROR(K630*E630,0)</f>
        <v/>
      </c>
    </row>
    <row r="631">
      <c r="A631" t="inlineStr">
        <is>
          <t>SE11MS00+0048</t>
        </is>
      </c>
      <c r="B631" t="inlineStr">
        <is>
          <t>SCL e11-MS MOR IE2 M.E. 11 - 13 kW - 2 POLI - 300/525V 50HZ 360/630V 60HZ IE2 - CL. F TROP.</t>
        </is>
      </c>
      <c r="C631" t="inlineStr">
        <is>
          <t>Effepizeta</t>
        </is>
      </c>
      <c r="D631" t="inlineStr">
        <is>
          <t>Uncategorized</t>
        </is>
      </c>
      <c r="E631" s="1" t="n">
        <v>45524.96</v>
      </c>
      <c r="F631" t="n">
        <v>2</v>
      </c>
      <c r="G631" t="n">
        <v>0</v>
      </c>
      <c r="H631" t="n">
        <v>4</v>
      </c>
      <c r="I631" t="n">
        <v>0</v>
      </c>
      <c r="J631" t="n">
        <v>3</v>
      </c>
      <c r="K631">
        <f>IF(H631-I631-J631&gt;0,H631-I631-J631,0)</f>
        <v/>
      </c>
      <c r="L631" s="1">
        <f>IFERROR(I631*E631,0)</f>
        <v/>
      </c>
      <c r="M631" s="1">
        <f>IFERROR(K631*E631,0)</f>
        <v/>
      </c>
    </row>
    <row r="632">
      <c r="A632" t="inlineStr">
        <is>
          <t>SE11TS50+0002</t>
        </is>
      </c>
      <c r="B632" t="inlineStr">
        <is>
          <t>SCL e11-TS MOR IER - M.E 22 - 25.5 kW - 2 POLI - IE3 CL. F TROP. PTO IP55 - NATURAL FINISH</t>
        </is>
      </c>
      <c r="C632" t="inlineStr">
        <is>
          <t>Effepizeta</t>
        </is>
      </c>
      <c r="D632" t="inlineStr">
        <is>
          <t>Uncategorized</t>
        </is>
      </c>
      <c r="E632" s="1" t="n">
        <v>88303.75999999999</v>
      </c>
      <c r="F632" t="n">
        <v>2</v>
      </c>
      <c r="G632" t="n">
        <v>0</v>
      </c>
      <c r="H632" t="n">
        <v>4</v>
      </c>
      <c r="I632" t="n">
        <v>0</v>
      </c>
      <c r="J632" t="n">
        <v>0</v>
      </c>
      <c r="K632">
        <f>IF(H632-I632-J632&gt;0,H632-I632-J632,0)</f>
        <v/>
      </c>
      <c r="L632" s="1">
        <f>IFERROR(I632*E632,0)</f>
        <v/>
      </c>
      <c r="M632" s="1">
        <f>IFERROR(K632*E632,0)</f>
        <v/>
      </c>
    </row>
    <row r="633">
      <c r="A633" t="inlineStr">
        <is>
          <t>SFB04006006</t>
        </is>
      </c>
      <c r="B633" t="inlineStr">
        <is>
          <t>Flat Bar CQ 40x6mm 6 Mtr</t>
        </is>
      </c>
      <c r="C633" t="inlineStr">
        <is>
          <t>NJR STEEL - ALRODE (PTY) LTD</t>
        </is>
      </c>
      <c r="D633" t="inlineStr">
        <is>
          <t>Uncategorized</t>
        </is>
      </c>
      <c r="E633" s="1" t="n">
        <v>175.34</v>
      </c>
      <c r="F633" t="n">
        <v>2</v>
      </c>
      <c r="G633" t="n">
        <v>0</v>
      </c>
      <c r="H633" t="n">
        <v>8</v>
      </c>
      <c r="I633" t="n">
        <v>0</v>
      </c>
      <c r="J633" t="n">
        <v>0</v>
      </c>
      <c r="K633">
        <f>IF(H633-I633-J633&gt;0,H633-I633-J633,0)</f>
        <v/>
      </c>
      <c r="L633" s="1">
        <f>IFERROR(I633*E633,0)</f>
        <v/>
      </c>
      <c r="M633" s="1">
        <f>IFERROR(K633*E633,0)</f>
        <v/>
      </c>
    </row>
    <row r="634">
      <c r="A634" t="inlineStr">
        <is>
          <t>SHPBSW</t>
        </is>
      </c>
      <c r="B634" t="inlineStr">
        <is>
          <t>BANDSAW WELD ONLY BIMETAL</t>
        </is>
      </c>
      <c r="C634" t="inlineStr">
        <is>
          <t>SPARES 2000 CC t/a SHARP-RITE</t>
        </is>
      </c>
      <c r="D634" t="inlineStr">
        <is>
          <t>Uncategorized</t>
        </is>
      </c>
      <c r="E634" s="1" t="n">
        <v>75</v>
      </c>
      <c r="F634" t="n">
        <v>1</v>
      </c>
      <c r="G634" t="n">
        <v>0</v>
      </c>
      <c r="H634" t="n">
        <v>5</v>
      </c>
      <c r="I634" t="n">
        <v>0</v>
      </c>
      <c r="J634" t="n">
        <v>0</v>
      </c>
      <c r="K634">
        <f>IF(H634-I634-J634&gt;0,H634-I634-J634,0)</f>
        <v/>
      </c>
      <c r="L634" s="1">
        <f>IFERROR(I634*E634,0)</f>
        <v/>
      </c>
      <c r="M634" s="1">
        <f>IFERROR(K634*E634,0)</f>
        <v/>
      </c>
    </row>
    <row r="635">
      <c r="A635" t="inlineStr">
        <is>
          <t>SHR03012252450</t>
        </is>
      </c>
      <c r="B635" t="inlineStr">
        <is>
          <t>HR Sheet SAE1008 2450x1225x3</t>
        </is>
      </c>
      <c r="C635" t="inlineStr">
        <is>
          <t>NJR STEEL - ALRODE (PTY) LTD</t>
        </is>
      </c>
      <c r="D635" t="inlineStr">
        <is>
          <t>Uncategorized</t>
        </is>
      </c>
      <c r="E635" s="1" t="n">
        <v>1067.28</v>
      </c>
      <c r="F635" t="n">
        <v>1</v>
      </c>
      <c r="G635" t="n">
        <v>0</v>
      </c>
      <c r="H635" t="n">
        <v>2</v>
      </c>
      <c r="I635" t="n">
        <v>0</v>
      </c>
      <c r="J635" t="n">
        <v>0</v>
      </c>
      <c r="K635">
        <f>IF(H635-I635-J635&gt;0,H635-I635-J635,0)</f>
        <v/>
      </c>
      <c r="L635" s="1">
        <f>IFERROR(I635*E635,0)</f>
        <v/>
      </c>
      <c r="M635" s="1">
        <f>IFERROR(K635*E635,0)</f>
        <v/>
      </c>
    </row>
    <row r="636">
      <c r="A636" t="inlineStr">
        <is>
          <t>SITEW</t>
        </is>
      </c>
      <c r="B636" t="inlineStr">
        <is>
          <t>Site Work - 8 hours</t>
        </is>
      </c>
      <c r="C636" t="inlineStr"/>
      <c r="D636" t="inlineStr">
        <is>
          <t>Uncategorized</t>
        </is>
      </c>
      <c r="E636" s="1" t="n">
        <v>0</v>
      </c>
      <c r="F636" t="n">
        <v>4</v>
      </c>
      <c r="G636" t="n">
        <v>0</v>
      </c>
      <c r="H636" t="n">
        <v>20</v>
      </c>
      <c r="I636" t="n">
        <v>0</v>
      </c>
      <c r="J636" t="n">
        <v>0</v>
      </c>
      <c r="K636">
        <f>IF(H636-I636-J636&gt;0,H636-I636-J636,0)</f>
        <v/>
      </c>
      <c r="L636" s="1">
        <f>IFERROR(I636*E636,0)</f>
        <v/>
      </c>
      <c r="M636" s="1">
        <f>IFERROR(K636*E636,0)</f>
        <v/>
      </c>
    </row>
    <row r="637">
      <c r="A637" t="inlineStr">
        <is>
          <t>SK03MS50+0121</t>
        </is>
      </c>
      <c r="B637" t="inlineStr">
        <is>
          <t>SCL K03-MS MOR IE3 M.E. 0.55 - 0.65 kW 2 POLI345-415/200-240V 50Hz - 380-480/220-280V 60Hz WR</t>
        </is>
      </c>
      <c r="C637" t="inlineStr">
        <is>
          <t>Effepizeta</t>
        </is>
      </c>
      <c r="D637" t="inlineStr">
        <is>
          <t>Uncategorized</t>
        </is>
      </c>
      <c r="E637" s="1" t="n">
        <v>5675.27</v>
      </c>
      <c r="F637" t="n">
        <v>1</v>
      </c>
      <c r="G637" t="n">
        <v>0</v>
      </c>
      <c r="H637" t="n">
        <v>5</v>
      </c>
      <c r="I637" t="n">
        <v>0</v>
      </c>
      <c r="J637" t="n">
        <v>0</v>
      </c>
      <c r="K637">
        <f>IF(H637-I637-J637&gt;0,H637-I637-J637,0)</f>
        <v/>
      </c>
      <c r="L637" s="1">
        <f>IFERROR(I637*E637,0)</f>
        <v/>
      </c>
      <c r="M637" s="1">
        <f>IFERROR(K637*E637,0)</f>
        <v/>
      </c>
    </row>
    <row r="638">
      <c r="A638" t="inlineStr">
        <is>
          <t>SLA2025</t>
        </is>
      </c>
      <c r="B638" t="inlineStr">
        <is>
          <t>Support SLA Mar</t>
        </is>
      </c>
      <c r="C638" t="inlineStr">
        <is>
          <t>AXEGROUP</t>
        </is>
      </c>
      <c r="D638" t="inlineStr">
        <is>
          <t>Uncategorized</t>
        </is>
      </c>
      <c r="E638" s="1" t="n">
        <v>4088.89</v>
      </c>
      <c r="F638" t="n">
        <v>1</v>
      </c>
      <c r="G638" t="n">
        <v>0</v>
      </c>
      <c r="H638" t="n">
        <v>2</v>
      </c>
      <c r="I638" t="n">
        <v>0</v>
      </c>
      <c r="J638" t="n">
        <v>0</v>
      </c>
      <c r="K638">
        <f>IF(H638-I638-J638&gt;0,H638-I638-J638,0)</f>
        <v/>
      </c>
      <c r="L638" s="1">
        <f>IFERROR(I638*E638,0)</f>
        <v/>
      </c>
      <c r="M638" s="1">
        <f>IFERROR(K638*E638,0)</f>
        <v/>
      </c>
    </row>
    <row r="639">
      <c r="A639" t="inlineStr">
        <is>
          <t>SMOKE EXTRACTION FS 160/180</t>
        </is>
      </c>
      <c r="B639" t="inlineStr">
        <is>
          <t>TERMINAL BLOCK 300c</t>
        </is>
      </c>
      <c r="C639" t="inlineStr">
        <is>
          <t>WEG South Africa</t>
        </is>
      </c>
      <c r="D639" t="inlineStr">
        <is>
          <t>Uncategorized</t>
        </is>
      </c>
      <c r="E639" s="1" t="n">
        <v>672</v>
      </c>
      <c r="F639" t="n">
        <v>1</v>
      </c>
      <c r="G639" t="n">
        <v>0</v>
      </c>
      <c r="H639" t="n">
        <v>2</v>
      </c>
      <c r="I639" t="n">
        <v>0</v>
      </c>
      <c r="J639" t="n">
        <v>0</v>
      </c>
      <c r="K639">
        <f>IF(H639-I639-J639&gt;0,H639-I639-J639,0)</f>
        <v/>
      </c>
      <c r="L639" s="1">
        <f>IFERROR(I639*E639,0)</f>
        <v/>
      </c>
      <c r="M639" s="1">
        <f>IFERROR(K639*E639,0)</f>
        <v/>
      </c>
    </row>
    <row r="640">
      <c r="A640" t="inlineStr">
        <is>
          <t>SMR2005</t>
        </is>
      </c>
      <c r="B640" t="inlineStr">
        <is>
          <t>Spring Mount 2 - 750 - White</t>
        </is>
      </c>
      <c r="C640" t="inlineStr">
        <is>
          <t>Seal 'N Devices (Pty) Ltd</t>
        </is>
      </c>
      <c r="D640" t="inlineStr">
        <is>
          <t>Uncategorized</t>
        </is>
      </c>
      <c r="E640" s="1" t="n">
        <v>302.33</v>
      </c>
      <c r="F640" t="n">
        <v>2</v>
      </c>
      <c r="G640" t="n">
        <v>0</v>
      </c>
      <c r="H640" t="n">
        <v>10</v>
      </c>
      <c r="I640" t="n">
        <v>0</v>
      </c>
      <c r="J640" t="n">
        <v>0</v>
      </c>
      <c r="K640">
        <f>IF(H640-I640-J640&gt;0,H640-I640-J640,0)</f>
        <v/>
      </c>
      <c r="L640" s="1">
        <f>IFERROR(I640*E640,0)</f>
        <v/>
      </c>
      <c r="M640" s="1">
        <f>IFERROR(K640*E640,0)</f>
        <v/>
      </c>
    </row>
    <row r="641">
      <c r="A641" t="inlineStr">
        <is>
          <t>SMRH1003</t>
        </is>
      </c>
      <c r="B641" t="inlineStr">
        <is>
          <t>Spring Mount H 1-125Red</t>
        </is>
      </c>
      <c r="C641" t="inlineStr">
        <is>
          <t>Seal 'N Devices (Pty) Ltd</t>
        </is>
      </c>
      <c r="D641" t="inlineStr">
        <is>
          <t>Uncategorized</t>
        </is>
      </c>
      <c r="E641" s="1" t="n">
        <v>186.94</v>
      </c>
      <c r="F641" t="n">
        <v>8</v>
      </c>
      <c r="G641" t="n">
        <v>0</v>
      </c>
      <c r="H641" t="n">
        <v>40</v>
      </c>
      <c r="I641" t="n">
        <v>0</v>
      </c>
      <c r="J641" t="n">
        <v>0</v>
      </c>
      <c r="K641">
        <f>IF(H641-I641-J641&gt;0,H641-I641-J641,0)</f>
        <v/>
      </c>
      <c r="L641" s="1">
        <f>IFERROR(I641*E641,0)</f>
        <v/>
      </c>
      <c r="M641" s="1">
        <f>IFERROR(K641*E641,0)</f>
        <v/>
      </c>
    </row>
    <row r="642">
      <c r="A642" t="inlineStr">
        <is>
          <t>SMRH1004</t>
        </is>
      </c>
      <c r="B642" t="inlineStr">
        <is>
          <t>Spring Mount H 1-200Black</t>
        </is>
      </c>
      <c r="C642" t="inlineStr">
        <is>
          <t>Seal 'N Devices (Pty) Ltd</t>
        </is>
      </c>
      <c r="D642" t="inlineStr">
        <is>
          <t>Uncategorized</t>
        </is>
      </c>
      <c r="E642" s="1" t="n">
        <v>209.64</v>
      </c>
      <c r="F642" t="n">
        <v>24</v>
      </c>
      <c r="G642" t="n">
        <v>0</v>
      </c>
      <c r="H642" t="n">
        <v>120</v>
      </c>
      <c r="I642" t="n">
        <v>0</v>
      </c>
      <c r="J642" t="n">
        <v>0</v>
      </c>
      <c r="K642">
        <f>IF(H642-I642-J642&gt;0,H642-I642-J642,0)</f>
        <v/>
      </c>
      <c r="L642" s="1">
        <f>IFERROR(I642*E642,0)</f>
        <v/>
      </c>
      <c r="M642" s="1">
        <f>IFERROR(K642*E642,0)</f>
        <v/>
      </c>
    </row>
    <row r="643">
      <c r="A643" t="inlineStr">
        <is>
          <t>SMRH1005</t>
        </is>
      </c>
      <c r="B643" t="inlineStr">
        <is>
          <t>Spring Mount H 1-310Yellow</t>
        </is>
      </c>
      <c r="C643" t="inlineStr">
        <is>
          <t>Seal 'N Devices (Pty) Ltd</t>
        </is>
      </c>
      <c r="D643" t="inlineStr">
        <is>
          <t>Uncategorized</t>
        </is>
      </c>
      <c r="E643" s="1" t="n">
        <v>209.64</v>
      </c>
      <c r="F643" t="n">
        <v>4</v>
      </c>
      <c r="G643" t="n">
        <v>0</v>
      </c>
      <c r="H643" t="n">
        <v>20</v>
      </c>
      <c r="I643" t="n">
        <v>0</v>
      </c>
      <c r="J643" t="n">
        <v>0</v>
      </c>
      <c r="K643">
        <f>IF(H643-I643-J643&gt;0,H643-I643-J643,0)</f>
        <v/>
      </c>
      <c r="L643" s="1">
        <f>IFERROR(I643*E643,0)</f>
        <v/>
      </c>
      <c r="M643" s="1">
        <f>IFERROR(K643*E643,0)</f>
        <v/>
      </c>
    </row>
    <row r="644">
      <c r="A644" t="inlineStr">
        <is>
          <t>SMW23030</t>
        </is>
      </c>
      <c r="B644" t="inlineStr">
        <is>
          <t>5.5KW 4P 380V IP55 300 C/2HR WEG SMOKEX PAD W22 MOTOR</t>
        </is>
      </c>
      <c r="C644" t="inlineStr">
        <is>
          <t>WEG South Africa</t>
        </is>
      </c>
      <c r="D644" t="inlineStr">
        <is>
          <t>Uncategorized</t>
        </is>
      </c>
      <c r="E644" s="1" t="n">
        <v>11569</v>
      </c>
      <c r="F644" t="n">
        <v>5</v>
      </c>
      <c r="G644" t="n">
        <v>0</v>
      </c>
      <c r="H644" t="n">
        <v>11</v>
      </c>
      <c r="I644" t="n">
        <v>0</v>
      </c>
      <c r="J644" t="n">
        <v>0</v>
      </c>
      <c r="K644">
        <f>IF(H644-I644-J644&gt;0,H644-I644-J644,0)</f>
        <v/>
      </c>
      <c r="L644" s="1">
        <f>IFERROR(I644*E644,0)</f>
        <v/>
      </c>
      <c r="M644" s="1">
        <f>IFERROR(K644*E644,0)</f>
        <v/>
      </c>
    </row>
    <row r="645">
      <c r="A645" t="inlineStr">
        <is>
          <t>SP</t>
        </is>
      </c>
      <c r="B645" t="inlineStr">
        <is>
          <t>Spark Proofing - SP</t>
        </is>
      </c>
      <c r="C645" t="inlineStr">
        <is>
          <t>Luck and King</t>
        </is>
      </c>
      <c r="D645" t="inlineStr">
        <is>
          <t>Uncategorized</t>
        </is>
      </c>
      <c r="E645" s="1" t="n">
        <v>6116</v>
      </c>
      <c r="F645" t="n">
        <v>1</v>
      </c>
      <c r="G645" t="n">
        <v>0</v>
      </c>
      <c r="H645" t="n">
        <v>3</v>
      </c>
      <c r="I645" t="n">
        <v>0</v>
      </c>
      <c r="J645" t="n">
        <v>0</v>
      </c>
      <c r="K645">
        <f>IF(H645-I645-J645&gt;0,H645-I645-J645,0)</f>
        <v/>
      </c>
      <c r="L645" s="1">
        <f>IFERROR(I645*E645,0)</f>
        <v/>
      </c>
      <c r="M645" s="1">
        <f>IFERROR(K645*E645,0)</f>
        <v/>
      </c>
    </row>
    <row r="646">
      <c r="A646" t="inlineStr">
        <is>
          <t>SQL-GLF12.5-D</t>
        </is>
      </c>
      <c r="B646" t="inlineStr">
        <is>
          <t>Galvanised Industrial Extractor Fan + Grill &amp; Louvers: 1380sq, 220V, 1.1kw, 440rpm, 44000m3/hr</t>
        </is>
      </c>
      <c r="C646" t="inlineStr">
        <is>
          <t>AF Fans CC</t>
        </is>
      </c>
      <c r="D646" t="inlineStr">
        <is>
          <t>Uncategorized</t>
        </is>
      </c>
      <c r="E646" s="1" t="n">
        <v>7173.6</v>
      </c>
      <c r="F646" t="n">
        <v>1</v>
      </c>
      <c r="G646" t="n">
        <v>0</v>
      </c>
      <c r="H646" t="n">
        <v>3</v>
      </c>
      <c r="I646" t="n">
        <v>0</v>
      </c>
      <c r="J646" t="n">
        <v>0</v>
      </c>
      <c r="K646">
        <f>IF(H646-I646-J646&gt;0,H646-I646-J646,0)</f>
        <v/>
      </c>
      <c r="L646" s="1">
        <f>IFERROR(I646*E646,0)</f>
        <v/>
      </c>
      <c r="M646" s="1">
        <f>IFERROR(K646*E646,0)</f>
        <v/>
      </c>
    </row>
    <row r="647">
      <c r="A647" t="inlineStr">
        <is>
          <t>SQL-GLF12.5-GR</t>
        </is>
      </c>
      <c r="B647" t="inlineStr">
        <is>
          <t>GLF Grill: 1380sq.</t>
        </is>
      </c>
      <c r="C647" t="inlineStr">
        <is>
          <t>AF Fans CC</t>
        </is>
      </c>
      <c r="D647" t="inlineStr">
        <is>
          <t>Uncategorized</t>
        </is>
      </c>
      <c r="E647" s="1" t="n">
        <v>0</v>
      </c>
      <c r="F647" t="n">
        <v>1</v>
      </c>
      <c r="G647" t="n">
        <v>0</v>
      </c>
      <c r="H647" t="n">
        <v>3</v>
      </c>
      <c r="I647" t="n">
        <v>0</v>
      </c>
      <c r="J647" t="n">
        <v>0</v>
      </c>
      <c r="K647">
        <f>IF(H647-I647-J647&gt;0,H647-I647-J647,0)</f>
        <v/>
      </c>
      <c r="L647" s="1">
        <f>IFERROR(I647*E647,0)</f>
        <v/>
      </c>
      <c r="M647" s="1">
        <f>IFERROR(K647*E647,0)</f>
        <v/>
      </c>
    </row>
    <row r="648">
      <c r="A648" t="inlineStr">
        <is>
          <t>SQL-GLF9.5-D</t>
        </is>
      </c>
      <c r="B648" t="inlineStr">
        <is>
          <t>GLF 9.5 c/w 0.75kW 220v</t>
        </is>
      </c>
      <c r="C648" t="inlineStr">
        <is>
          <t>AF Fans CC</t>
        </is>
      </c>
      <c r="D648" t="inlineStr">
        <is>
          <t>Uncategorized</t>
        </is>
      </c>
      <c r="E648" s="1" t="n">
        <v>5516</v>
      </c>
      <c r="F648" t="n">
        <v>1</v>
      </c>
      <c r="G648" t="n">
        <v>0</v>
      </c>
      <c r="H648" t="n">
        <v>2</v>
      </c>
      <c r="I648" t="n">
        <v>0</v>
      </c>
      <c r="J648" t="n">
        <v>0</v>
      </c>
      <c r="K648">
        <f>IF(H648-I648-J648&gt;0,H648-I648-J648,0)</f>
        <v/>
      </c>
      <c r="L648" s="1">
        <f>IFERROR(I648*E648,0)</f>
        <v/>
      </c>
      <c r="M648" s="1">
        <f>IFERROR(K648*E648,0)</f>
        <v/>
      </c>
    </row>
    <row r="649">
      <c r="A649" t="inlineStr">
        <is>
          <t>SQL-GR75F</t>
        </is>
      </c>
      <c r="B649" t="inlineStr">
        <is>
          <t>GLF Fan Wheel - Fixed 70mm</t>
        </is>
      </c>
      <c r="C649" t="inlineStr">
        <is>
          <t>AF Fans CC</t>
        </is>
      </c>
      <c r="D649" t="inlineStr">
        <is>
          <t>Uncategorized</t>
        </is>
      </c>
      <c r="E649" s="1" t="n">
        <v>147</v>
      </c>
      <c r="F649" t="n">
        <v>1</v>
      </c>
      <c r="G649" t="n">
        <v>0</v>
      </c>
      <c r="H649" t="n">
        <v>4</v>
      </c>
      <c r="I649" t="n">
        <v>0</v>
      </c>
      <c r="J649" t="n">
        <v>0</v>
      </c>
      <c r="K649">
        <f>IF(H649-I649-J649&gt;0,H649-I649-J649,0)</f>
        <v/>
      </c>
      <c r="L649" s="1">
        <f>IFERROR(I649*E649,0)</f>
        <v/>
      </c>
      <c r="M649" s="1">
        <f>IFERROR(K649*E649,0)</f>
        <v/>
      </c>
    </row>
    <row r="650">
      <c r="A650" t="inlineStr">
        <is>
          <t>SQL-GR75PBR</t>
        </is>
      </c>
      <c r="B650" t="inlineStr">
        <is>
          <t>GLF Fan Wheel - PBK 70mm</t>
        </is>
      </c>
      <c r="C650" t="inlineStr">
        <is>
          <t>AF Fans CC</t>
        </is>
      </c>
      <c r="D650" t="inlineStr">
        <is>
          <t>Uncategorized</t>
        </is>
      </c>
      <c r="E650" s="1" t="n">
        <v>157.5</v>
      </c>
      <c r="F650" t="n">
        <v>1</v>
      </c>
      <c r="G650" t="n">
        <v>0</v>
      </c>
      <c r="H650" t="n">
        <v>4</v>
      </c>
      <c r="I650" t="n">
        <v>0</v>
      </c>
      <c r="J650" t="n">
        <v>0</v>
      </c>
      <c r="K650">
        <f>IF(H650-I650-J650&gt;0,H650-I650-J650,0)</f>
        <v/>
      </c>
      <c r="L650" s="1">
        <f>IFERROR(I650*E650,0)</f>
        <v/>
      </c>
      <c r="M650" s="1">
        <f>IFERROR(K650*E650,0)</f>
        <v/>
      </c>
    </row>
    <row r="651">
      <c r="A651" t="inlineStr">
        <is>
          <t>SR40MD00 + 0006</t>
        </is>
      </c>
      <c r="B651" t="inlineStr">
        <is>
          <t>SCL R40-MD MOR EU M.E 2.2kW - 2 POLI 230-50 V-HZ - MF - CL.F TROP. + PTO - IP55 - PAINTED</t>
        </is>
      </c>
      <c r="C651" t="inlineStr">
        <is>
          <t>Effepizeta</t>
        </is>
      </c>
      <c r="D651" t="inlineStr">
        <is>
          <t>Uncategorized</t>
        </is>
      </c>
      <c r="E651" s="1" t="n">
        <v>20582.19</v>
      </c>
      <c r="F651" t="n">
        <v>2</v>
      </c>
      <c r="G651" t="n">
        <v>0</v>
      </c>
      <c r="H651" t="n">
        <v>4</v>
      </c>
      <c r="I651" t="n">
        <v>0</v>
      </c>
      <c r="J651" t="n">
        <v>0</v>
      </c>
      <c r="K651">
        <f>IF(H651-I651-J651&gt;0,H651-I651-J651,0)</f>
        <v/>
      </c>
      <c r="L651" s="1">
        <f>IFERROR(I651*E651,0)</f>
        <v/>
      </c>
      <c r="M651" s="1">
        <f>IFERROR(K651*E651,0)</f>
        <v/>
      </c>
    </row>
    <row r="652">
      <c r="A652" t="inlineStr">
        <is>
          <t>SSD</t>
        </is>
      </c>
      <c r="B652" t="inlineStr">
        <is>
          <t>New Disk replacement SSD 512gb from invoice AXG0205</t>
        </is>
      </c>
      <c r="C652" t="inlineStr">
        <is>
          <t>AXEGROUP</t>
        </is>
      </c>
      <c r="D652" t="inlineStr">
        <is>
          <t>Uncategorized</t>
        </is>
      </c>
      <c r="E652" s="1" t="n">
        <v>850</v>
      </c>
      <c r="F652" t="n">
        <v>1</v>
      </c>
      <c r="G652" t="n">
        <v>0</v>
      </c>
      <c r="H652" t="n">
        <v>2</v>
      </c>
      <c r="I652" t="n">
        <v>0</v>
      </c>
      <c r="J652" t="n">
        <v>0</v>
      </c>
      <c r="K652">
        <f>IF(H652-I652-J652&gt;0,H652-I652-J652,0)</f>
        <v/>
      </c>
      <c r="L652" s="1">
        <f>IFERROR(I652*E652,0)</f>
        <v/>
      </c>
      <c r="M652" s="1">
        <f>IFERROR(K652*E652,0)</f>
        <v/>
      </c>
    </row>
    <row r="653">
      <c r="A653" t="inlineStr">
        <is>
          <t>ST0.14220</t>
        </is>
      </c>
      <c r="B653" t="inlineStr">
        <is>
          <t>Satmos Treatment 0.1Kw 1430rpm 230V</t>
        </is>
      </c>
      <c r="C653" t="inlineStr">
        <is>
          <t>Luck and King</t>
        </is>
      </c>
      <c r="D653" t="inlineStr">
        <is>
          <t>Uncategorized</t>
        </is>
      </c>
      <c r="E653" s="1" t="n">
        <v>2100</v>
      </c>
      <c r="F653" t="n">
        <v>1</v>
      </c>
      <c r="G653" t="n">
        <v>0</v>
      </c>
      <c r="H653" t="n">
        <v>2</v>
      </c>
      <c r="I653" t="n">
        <v>0</v>
      </c>
      <c r="J653" t="n">
        <v>0</v>
      </c>
      <c r="K653">
        <f>IF(H653-I653-J653&gt;0,H653-I653-J653,0)</f>
        <v/>
      </c>
      <c r="L653" s="1">
        <f>IFERROR(I653*E653,0)</f>
        <v/>
      </c>
      <c r="M653" s="1">
        <f>IFERROR(K653*E653,0)</f>
        <v/>
      </c>
    </row>
    <row r="654">
      <c r="A654" t="inlineStr">
        <is>
          <t>ST0001</t>
        </is>
      </c>
      <c r="B654" t="inlineStr">
        <is>
          <t>760diam/9bladed/28mmbore/30deg/Impeller/FB</t>
        </is>
      </c>
      <c r="C654" t="inlineStr">
        <is>
          <t>Phoenix Fans &amp; Engineering</t>
        </is>
      </c>
      <c r="D654" t="inlineStr">
        <is>
          <t>Uncategorized</t>
        </is>
      </c>
      <c r="E654" s="1" t="n">
        <v>511.44</v>
      </c>
      <c r="F654" t="n">
        <v>1</v>
      </c>
      <c r="G654" t="n">
        <v>0</v>
      </c>
      <c r="H654" t="n">
        <v>4</v>
      </c>
      <c r="I654" t="n">
        <v>0</v>
      </c>
      <c r="J654" t="n">
        <v>0</v>
      </c>
      <c r="K654">
        <f>IF(H654-I654-J654&gt;0,H654-I654-J654,0)</f>
        <v/>
      </c>
      <c r="L654" s="1">
        <f>IFERROR(I654*E654,0)</f>
        <v/>
      </c>
      <c r="M654" s="1">
        <f>IFERROR(K654*E654,0)</f>
        <v/>
      </c>
    </row>
    <row r="655">
      <c r="A655" t="inlineStr">
        <is>
          <t>STOCK GALVANIZING-12 JULY 2024</t>
        </is>
      </c>
      <c r="B655" t="inlineStr">
        <is>
          <t>STOCK GALVANIZING-12 JULY 2024</t>
        </is>
      </c>
      <c r="C655" t="inlineStr">
        <is>
          <t>GALVAGLOW (PTY) LTD</t>
        </is>
      </c>
      <c r="D655" t="inlineStr">
        <is>
          <t>Uncategorized</t>
        </is>
      </c>
      <c r="E655" s="1" t="n">
        <v>13.8</v>
      </c>
      <c r="F655" t="n">
        <v>99</v>
      </c>
      <c r="G655" t="n">
        <v>0</v>
      </c>
      <c r="H655" t="n">
        <v>495</v>
      </c>
      <c r="I655" t="n">
        <v>0</v>
      </c>
      <c r="J655" t="n">
        <v>0</v>
      </c>
      <c r="K655">
        <f>IF(H655-I655-J655&gt;0,H655-I655-J655,0)</f>
        <v/>
      </c>
      <c r="L655" s="1">
        <f>IFERROR(I655*E655,0)</f>
        <v/>
      </c>
      <c r="M655" s="1">
        <f>IFERROR(K655*E655,0)</f>
        <v/>
      </c>
    </row>
    <row r="656">
      <c r="A656" t="inlineStr">
        <is>
          <t>STORAGE1000000</t>
        </is>
      </c>
      <c r="B656" t="inlineStr">
        <is>
          <t>Rental Space to Store Goods</t>
        </is>
      </c>
      <c r="C656" t="inlineStr">
        <is>
          <t>Plant Service &amp; Maintenance (PTY) Ltd</t>
        </is>
      </c>
      <c r="D656" t="inlineStr">
        <is>
          <t>Uncategorized</t>
        </is>
      </c>
      <c r="E656" s="1" t="n">
        <v>2500</v>
      </c>
      <c r="F656" t="n">
        <v>1</v>
      </c>
      <c r="G656" t="n">
        <v>0</v>
      </c>
      <c r="H656" t="n">
        <v>2</v>
      </c>
      <c r="I656" t="n">
        <v>0</v>
      </c>
      <c r="J656" t="n">
        <v>0</v>
      </c>
      <c r="K656">
        <f>IF(H656-I656-J656&gt;0,H656-I656-J656,0)</f>
        <v/>
      </c>
      <c r="L656" s="1">
        <f>IFERROR(I656*E656,0)</f>
        <v/>
      </c>
      <c r="M656" s="1">
        <f>IFERROR(K656*E656,0)</f>
        <v/>
      </c>
    </row>
    <row r="657">
      <c r="A657" t="inlineStr">
        <is>
          <t>SWA02.5X4BKLH</t>
        </is>
      </c>
      <c r="B657" t="inlineStr">
        <is>
          <t>STEEL WIRE ARMOURED 2.5MM X 4</t>
        </is>
      </c>
      <c r="C657" t="inlineStr">
        <is>
          <t>Alvern Cables (Pty) Ltd</t>
        </is>
      </c>
      <c r="D657" t="inlineStr">
        <is>
          <t>Uncategorized</t>
        </is>
      </c>
      <c r="E657" s="1" t="n">
        <v>43.33</v>
      </c>
      <c r="F657" t="n">
        <v>6</v>
      </c>
      <c r="G657" t="n">
        <v>0</v>
      </c>
      <c r="H657" t="n">
        <v>30</v>
      </c>
      <c r="I657" t="n">
        <v>0</v>
      </c>
      <c r="J657" t="n">
        <v>0</v>
      </c>
      <c r="K657">
        <f>IF(H657-I657-J657&gt;0,H657-I657-J657,0)</f>
        <v/>
      </c>
      <c r="L657" s="1">
        <f>IFERROR(I657*E657,0)</f>
        <v/>
      </c>
      <c r="M657" s="1">
        <f>IFERROR(K657*E657,0)</f>
        <v/>
      </c>
    </row>
    <row r="658">
      <c r="A658" t="inlineStr">
        <is>
          <t>Search Engine</t>
        </is>
      </c>
      <c r="B658" t="inlineStr">
        <is>
          <t>Search Engine Optimisation - Pro Package</t>
        </is>
      </c>
      <c r="C658" t="inlineStr">
        <is>
          <t>ONPOINT MEDIA SA</t>
        </is>
      </c>
      <c r="D658" t="inlineStr">
        <is>
          <t>Uncategorized</t>
        </is>
      </c>
      <c r="E658" s="1" t="n">
        <v>8000</v>
      </c>
      <c r="F658" t="n">
        <v>1</v>
      </c>
      <c r="G658" t="n">
        <v>0</v>
      </c>
      <c r="H658" t="n">
        <v>4</v>
      </c>
      <c r="I658" t="n">
        <v>0</v>
      </c>
      <c r="J658" t="n">
        <v>0</v>
      </c>
      <c r="K658">
        <f>IF(H658-I658-J658&gt;0,H658-I658-J658,0)</f>
        <v/>
      </c>
      <c r="L658" s="1">
        <f>IFERROR(I658*E658,0)</f>
        <v/>
      </c>
      <c r="M658" s="1">
        <f>IFERROR(K658*E658,0)</f>
        <v/>
      </c>
    </row>
    <row r="659">
      <c r="A659" t="inlineStr">
        <is>
          <t>Service Provider</t>
        </is>
      </c>
      <c r="B659" t="inlineStr">
        <is>
          <t>Service</t>
        </is>
      </c>
      <c r="C659" t="inlineStr">
        <is>
          <t>Comtech Network Solutions</t>
        </is>
      </c>
      <c r="D659" t="inlineStr">
        <is>
          <t>Uncategorized</t>
        </is>
      </c>
      <c r="E659" s="1" t="n">
        <v>0</v>
      </c>
      <c r="F659" t="n">
        <v>1</v>
      </c>
      <c r="G659" t="n">
        <v>0</v>
      </c>
      <c r="H659" t="n">
        <v>2</v>
      </c>
      <c r="I659" t="n">
        <v>0</v>
      </c>
      <c r="J659" t="n">
        <v>0</v>
      </c>
      <c r="K659">
        <f>IF(H659-I659-J659&gt;0,H659-I659-J659,0)</f>
        <v/>
      </c>
      <c r="L659" s="1">
        <f>IFERROR(I659*E659,0)</f>
        <v/>
      </c>
      <c r="M659" s="1">
        <f>IFERROR(K659*E659,0)</f>
        <v/>
      </c>
    </row>
    <row r="660">
      <c r="A660" t="inlineStr">
        <is>
          <t>Spare Motor</t>
        </is>
      </c>
      <c r="B660" t="inlineStr">
        <is>
          <t>Tiracamino</t>
        </is>
      </c>
      <c r="C660" t="inlineStr"/>
      <c r="D660" t="inlineStr">
        <is>
          <t>Uncategorized</t>
        </is>
      </c>
      <c r="E660" s="1" t="n">
        <v>0</v>
      </c>
      <c r="F660" t="n">
        <v>5</v>
      </c>
      <c r="G660" t="n">
        <v>0</v>
      </c>
      <c r="H660" t="n">
        <v>25</v>
      </c>
      <c r="I660" t="n">
        <v>0</v>
      </c>
      <c r="J660" t="n">
        <v>0</v>
      </c>
      <c r="K660">
        <f>IF(H660-I660-J660&gt;0,H660-I660-J660,0)</f>
        <v/>
      </c>
      <c r="L660" s="1">
        <f>IFERROR(I660*E660,0)</f>
        <v/>
      </c>
      <c r="M660" s="1">
        <f>IFERROR(K660*E660,0)</f>
        <v/>
      </c>
    </row>
    <row r="661">
      <c r="A661" t="inlineStr">
        <is>
          <t>Stantionary</t>
        </is>
      </c>
      <c r="B661" t="inlineStr">
        <is>
          <t>Stationary</t>
        </is>
      </c>
      <c r="C661" t="inlineStr">
        <is>
          <t>Bond Stationers</t>
        </is>
      </c>
      <c r="D661" t="inlineStr">
        <is>
          <t>Uncategorized</t>
        </is>
      </c>
      <c r="E661" s="1" t="n">
        <v>1176.43</v>
      </c>
      <c r="F661" t="n">
        <v>1</v>
      </c>
      <c r="G661" t="n">
        <v>0</v>
      </c>
      <c r="H661" t="n">
        <v>2</v>
      </c>
      <c r="I661" t="n">
        <v>0</v>
      </c>
      <c r="J661" t="n">
        <v>0</v>
      </c>
      <c r="K661">
        <f>IF(H661-I661-J661&gt;0,H661-I661-J661,0)</f>
        <v/>
      </c>
      <c r="L661" s="1">
        <f>IFERROR(I661*E661,0)</f>
        <v/>
      </c>
      <c r="M661" s="1">
        <f>IFERROR(K661*E661,0)</f>
        <v/>
      </c>
    </row>
    <row r="662">
      <c r="A662" t="inlineStr">
        <is>
          <t>TAB10130</t>
        </is>
      </c>
      <c r="B662" t="inlineStr">
        <is>
          <t>1.1kw 6P 400V B30 90L IE1 MOTOR WEG W21 IP55 AL BOX</t>
        </is>
      </c>
      <c r="C662" t="inlineStr">
        <is>
          <t>WEG South Africa</t>
        </is>
      </c>
      <c r="D662" t="inlineStr">
        <is>
          <t>Uncategorized</t>
        </is>
      </c>
      <c r="E662" s="1" t="n">
        <v>2958.8</v>
      </c>
      <c r="F662" t="n">
        <v>2</v>
      </c>
      <c r="G662" t="n">
        <v>0</v>
      </c>
      <c r="H662" t="n">
        <v>4</v>
      </c>
      <c r="I662" t="n">
        <v>0</v>
      </c>
      <c r="J662" t="n">
        <v>0</v>
      </c>
      <c r="K662">
        <f>IF(H662-I662-J662&gt;0,H662-I662-J662,0)</f>
        <v/>
      </c>
      <c r="L662" s="1">
        <f>IFERROR(I662*E662,0)</f>
        <v/>
      </c>
      <c r="M662" s="1">
        <f>IFERROR(K662*E662,0)</f>
        <v/>
      </c>
    </row>
    <row r="663">
      <c r="A663" t="inlineStr">
        <is>
          <t>TAB15030-</t>
        </is>
      </c>
      <c r="B663" t="inlineStr">
        <is>
          <t>2.2kW 2P 400V B30 90L IE1 MOTOR WEG W11 IP55 AL BOX</t>
        </is>
      </c>
      <c r="C663" t="inlineStr">
        <is>
          <t>WEG South Africa</t>
        </is>
      </c>
      <c r="D663" t="inlineStr">
        <is>
          <t>Uncategorized</t>
        </is>
      </c>
      <c r="E663" s="1" t="n">
        <v>2625</v>
      </c>
      <c r="F663" t="n">
        <v>2</v>
      </c>
      <c r="G663" t="n">
        <v>0</v>
      </c>
      <c r="H663" t="n">
        <v>4</v>
      </c>
      <c r="I663" t="n">
        <v>0</v>
      </c>
      <c r="J663" t="n">
        <v>0</v>
      </c>
      <c r="K663">
        <f>IF(H663-I663-J663&gt;0,H663-I663-J663,0)</f>
        <v/>
      </c>
      <c r="L663" s="1">
        <f>IFERROR(I663*E663,0)</f>
        <v/>
      </c>
      <c r="M663" s="1">
        <f>IFERROR(K663*E663,0)</f>
        <v/>
      </c>
    </row>
    <row r="664">
      <c r="A664" t="inlineStr">
        <is>
          <t>TAP08130</t>
        </is>
      </c>
      <c r="B664" t="inlineStr">
        <is>
          <t>0.75kw 6P 400V B30 90S IE1 MOTOR WEG W21 IP55 AL LEAD</t>
        </is>
      </c>
      <c r="C664" t="inlineStr">
        <is>
          <t>WEG South Africa</t>
        </is>
      </c>
      <c r="D664" t="inlineStr">
        <is>
          <t>Uncategorized</t>
        </is>
      </c>
      <c r="E664" s="1" t="n">
        <v>2385.5</v>
      </c>
      <c r="F664" t="n">
        <v>2</v>
      </c>
      <c r="G664" t="n">
        <v>0</v>
      </c>
      <c r="H664" t="n">
        <v>4</v>
      </c>
      <c r="I664" t="n">
        <v>0</v>
      </c>
      <c r="J664" t="n">
        <v>0</v>
      </c>
      <c r="K664">
        <f>IF(H664-I664-J664&gt;0,H664-I664-J664,0)</f>
        <v/>
      </c>
      <c r="L664" s="1">
        <f>IFERROR(I664*E664,0)</f>
        <v/>
      </c>
      <c r="M664" s="1">
        <f>IFERROR(K664*E664,0)</f>
        <v/>
      </c>
    </row>
    <row r="665">
      <c r="A665" t="inlineStr">
        <is>
          <t>TC10.0X4BKHO7</t>
        </is>
      </c>
      <c r="B665" t="inlineStr">
        <is>
          <t>Trailing Cable 10mm2 4 Core</t>
        </is>
      </c>
      <c r="C665" t="inlineStr">
        <is>
          <t>Alvern Cables (Pty) Ltd</t>
        </is>
      </c>
      <c r="D665" t="inlineStr">
        <is>
          <t>Uncategorized</t>
        </is>
      </c>
      <c r="E665" s="1" t="n">
        <v>138.58</v>
      </c>
      <c r="F665" t="n">
        <v>17</v>
      </c>
      <c r="G665" t="n">
        <v>0</v>
      </c>
      <c r="H665" t="n">
        <v>85</v>
      </c>
      <c r="I665" t="n">
        <v>0</v>
      </c>
      <c r="J665" t="n">
        <v>0</v>
      </c>
      <c r="K665">
        <f>IF(H665-I665-J665&gt;0,H665-I665-J665,0)</f>
        <v/>
      </c>
      <c r="L665" s="1">
        <f>IFERROR(I665*E665,0)</f>
        <v/>
      </c>
      <c r="M665" s="1">
        <f>IFERROR(K665*E665,0)</f>
        <v/>
      </c>
    </row>
    <row r="666">
      <c r="A666" t="inlineStr">
        <is>
          <t>TEX1943033</t>
        </is>
      </c>
      <c r="B666" t="inlineStr">
        <is>
          <t>3kW 4P 220/380-415V B3T 100L IE1 Motor WEG W21 IP55 FLP</t>
        </is>
      </c>
      <c r="C666" t="inlineStr">
        <is>
          <t>WEG South Africa</t>
        </is>
      </c>
      <c r="D666" t="inlineStr">
        <is>
          <t>Uncategorized</t>
        </is>
      </c>
      <c r="E666" s="1" t="n">
        <v>11305.25</v>
      </c>
      <c r="F666" t="n">
        <v>1</v>
      </c>
      <c r="G666" t="n">
        <v>0</v>
      </c>
      <c r="H666" t="n">
        <v>2</v>
      </c>
      <c r="I666" t="n">
        <v>0</v>
      </c>
      <c r="J666" t="n">
        <v>0</v>
      </c>
      <c r="K666">
        <f>IF(H666-I666-J666&gt;0,H666-I666-J666,0)</f>
        <v/>
      </c>
      <c r="L666" s="1">
        <f>IFERROR(I666*E666,0)</f>
        <v/>
      </c>
      <c r="M666" s="1">
        <f>IFERROR(K666*E666,0)</f>
        <v/>
      </c>
    </row>
    <row r="667">
      <c r="A667" t="inlineStr">
        <is>
          <t>TEX2313030</t>
        </is>
      </c>
      <c r="B667" t="inlineStr">
        <is>
          <t>5.5kW 6P 380-415/660V B3 132M IE1 MOTOR WEG W21 IP55 FLP</t>
        </is>
      </c>
      <c r="C667" t="inlineStr">
        <is>
          <t>Weg SA</t>
        </is>
      </c>
      <c r="D667" t="inlineStr">
        <is>
          <t>Uncategorized</t>
        </is>
      </c>
      <c r="E667" s="1" t="n">
        <v>22037.4</v>
      </c>
      <c r="F667" t="n">
        <v>1</v>
      </c>
      <c r="G667" t="n">
        <v>0</v>
      </c>
      <c r="H667" t="n">
        <v>2</v>
      </c>
      <c r="I667" t="n">
        <v>0</v>
      </c>
      <c r="J667" t="n">
        <v>0</v>
      </c>
      <c r="K667">
        <f>IF(H667-I667-J667&gt;0,H667-I667-J667,0)</f>
        <v/>
      </c>
      <c r="L667" s="1">
        <f>IFERROR(I667*E667,0)</f>
        <v/>
      </c>
      <c r="M667" s="1">
        <f>IFERROR(K667*E667,0)</f>
        <v/>
      </c>
    </row>
    <row r="668">
      <c r="A668" t="inlineStr">
        <is>
          <t>THINNERS</t>
        </is>
      </c>
      <c r="B668" t="inlineStr">
        <is>
          <t>25L - Thinners 25L</t>
        </is>
      </c>
      <c r="C668" t="inlineStr">
        <is>
          <t>EIS - (Engineering And Industrial Supplies)</t>
        </is>
      </c>
      <c r="D668" t="inlineStr">
        <is>
          <t>Uncategorized</t>
        </is>
      </c>
      <c r="E668" s="1" t="n">
        <v>0</v>
      </c>
      <c r="F668" t="n">
        <v>2</v>
      </c>
      <c r="G668" t="n">
        <v>0</v>
      </c>
      <c r="H668" t="n">
        <v>9</v>
      </c>
      <c r="I668" t="n">
        <v>0</v>
      </c>
      <c r="J668" t="n">
        <v>0</v>
      </c>
      <c r="K668">
        <f>IF(H668-I668-J668&gt;0,H668-I668-J668,0)</f>
        <v/>
      </c>
      <c r="L668" s="1">
        <f>IFERROR(I668*E668,0)</f>
        <v/>
      </c>
      <c r="M668" s="1">
        <f>IFERROR(K668*E668,0)</f>
        <v/>
      </c>
    </row>
    <row r="669">
      <c r="A669" t="inlineStr">
        <is>
          <t>TRL</t>
        </is>
      </c>
      <c r="B669" t="inlineStr">
        <is>
          <t>Traveling from Office to Airport</t>
        </is>
      </c>
      <c r="C669" t="inlineStr"/>
      <c r="D669" t="inlineStr">
        <is>
          <t>Uncategorized</t>
        </is>
      </c>
      <c r="E669" s="1" t="n">
        <v>0</v>
      </c>
      <c r="F669" t="n">
        <v>38</v>
      </c>
      <c r="G669" t="n">
        <v>0</v>
      </c>
      <c r="H669" t="n">
        <v>190</v>
      </c>
      <c r="I669" t="n">
        <v>0</v>
      </c>
      <c r="J669" t="n">
        <v>0</v>
      </c>
      <c r="K669">
        <f>IF(H669-I669-J669&gt;0,H669-I669-J669,0)</f>
        <v/>
      </c>
      <c r="L669" s="1">
        <f>IFERROR(I669*E669,0)</f>
        <v/>
      </c>
      <c r="M669" s="1">
        <f>IFERROR(K669*E669,0)</f>
        <v/>
      </c>
    </row>
    <row r="670">
      <c r="A670" t="inlineStr">
        <is>
          <t>TTSILENTM125 Fan</t>
        </is>
      </c>
      <c r="B670" t="inlineStr">
        <is>
          <t>TTSILENTM125</t>
        </is>
      </c>
      <c r="C670" t="inlineStr"/>
      <c r="D670" t="inlineStr">
        <is>
          <t>Uncategorized</t>
        </is>
      </c>
      <c r="E670" s="1" t="n">
        <v>0</v>
      </c>
      <c r="F670" t="n">
        <v>65</v>
      </c>
      <c r="G670" t="n">
        <v>0</v>
      </c>
      <c r="H670" t="n">
        <v>325</v>
      </c>
      <c r="I670" t="n">
        <v>0</v>
      </c>
      <c r="J670" t="n">
        <v>0</v>
      </c>
      <c r="K670">
        <f>IF(H670-I670-J670&gt;0,H670-I670-J670,0)</f>
        <v/>
      </c>
      <c r="L670" s="1">
        <f>IFERROR(I670*E670,0)</f>
        <v/>
      </c>
      <c r="M670" s="1">
        <f>IFERROR(K670*E670,0)</f>
        <v/>
      </c>
    </row>
    <row r="671">
      <c r="A671" t="inlineStr">
        <is>
          <t>Terminal-B56.36</t>
        </is>
      </c>
      <c r="B671" t="inlineStr">
        <is>
          <t>Terminal Block 56.36 - 6TN 56.36 M5 Complete</t>
        </is>
      </c>
      <c r="C671" t="inlineStr">
        <is>
          <t>Machine Electrical Components CC</t>
        </is>
      </c>
      <c r="D671" t="inlineStr">
        <is>
          <t>Uncategorized</t>
        </is>
      </c>
      <c r="E671" s="1" t="n">
        <v>81.93000000000001</v>
      </c>
      <c r="F671" t="n">
        <v>17</v>
      </c>
      <c r="G671" t="n">
        <v>0</v>
      </c>
      <c r="H671" t="n">
        <v>86</v>
      </c>
      <c r="I671" t="n">
        <v>0</v>
      </c>
      <c r="J671" t="n">
        <v>0</v>
      </c>
      <c r="K671">
        <f>IF(H671-I671-J671&gt;0,H671-I671-J671,0)</f>
        <v/>
      </c>
      <c r="L671" s="1">
        <f>IFERROR(I671*E671,0)</f>
        <v/>
      </c>
      <c r="M671" s="1">
        <f>IFERROR(K671*E671,0)</f>
        <v/>
      </c>
    </row>
    <row r="672">
      <c r="A672" t="inlineStr">
        <is>
          <t>Terminal-B70.45</t>
        </is>
      </c>
      <c r="B672" t="inlineStr">
        <is>
          <t>Terminal Blocks 70.45 - 6TN10, M6</t>
        </is>
      </c>
      <c r="C672" t="inlineStr">
        <is>
          <t>Machine Electrical Components CC</t>
        </is>
      </c>
      <c r="D672" t="inlineStr">
        <is>
          <t>Uncategorized</t>
        </is>
      </c>
      <c r="E672" s="1" t="n">
        <v>169.6</v>
      </c>
      <c r="F672" t="n">
        <v>2</v>
      </c>
      <c r="G672" t="n">
        <v>0</v>
      </c>
      <c r="H672" t="n">
        <v>9</v>
      </c>
      <c r="I672" t="n">
        <v>0</v>
      </c>
      <c r="J672" t="n">
        <v>0</v>
      </c>
      <c r="K672">
        <f>IF(H672-I672-J672&gt;0,H672-I672-J672,0)</f>
        <v/>
      </c>
      <c r="L672" s="1">
        <f>IFERROR(I672*E672,0)</f>
        <v/>
      </c>
      <c r="M672" s="1">
        <f>IFERROR(K672*E672,0)</f>
        <v/>
      </c>
    </row>
    <row r="673">
      <c r="A673" t="inlineStr">
        <is>
          <t>Transport</t>
        </is>
      </c>
      <c r="B673" t="inlineStr">
        <is>
          <t>Delivery</t>
        </is>
      </c>
      <c r="C673" t="inlineStr">
        <is>
          <t>Air Speration</t>
        </is>
      </c>
      <c r="D673" t="inlineStr">
        <is>
          <t>Uncategorized</t>
        </is>
      </c>
      <c r="E673" s="1" t="n">
        <v>250</v>
      </c>
      <c r="F673" t="n">
        <v>1</v>
      </c>
      <c r="G673" t="n">
        <v>0</v>
      </c>
      <c r="H673" t="n">
        <v>3</v>
      </c>
      <c r="I673" t="n">
        <v>0</v>
      </c>
      <c r="J673" t="n">
        <v>0</v>
      </c>
      <c r="K673">
        <f>IF(H673-I673-J673&gt;0,H673-I673-J673,0)</f>
        <v/>
      </c>
      <c r="L673" s="1">
        <f>IFERROR(I673*E673,0)</f>
        <v/>
      </c>
      <c r="M673" s="1">
        <f>IFERROR(K673*E673,0)</f>
        <v/>
      </c>
    </row>
    <row r="674">
      <c r="A674" t="inlineStr">
        <is>
          <t>Travel</t>
        </is>
      </c>
      <c r="B674" t="inlineStr">
        <is>
          <t>Call Out</t>
        </is>
      </c>
      <c r="C674" t="inlineStr">
        <is>
          <t>AXEGROUP</t>
        </is>
      </c>
      <c r="D674" t="inlineStr">
        <is>
          <t>Uncategorized</t>
        </is>
      </c>
      <c r="E674" s="1" t="n">
        <v>550</v>
      </c>
      <c r="F674" t="n">
        <v>1</v>
      </c>
      <c r="G674" t="n">
        <v>0</v>
      </c>
      <c r="H674" t="n">
        <v>2</v>
      </c>
      <c r="I674" t="n">
        <v>0</v>
      </c>
      <c r="J674" t="n">
        <v>0</v>
      </c>
      <c r="K674">
        <f>IF(H674-I674-J674&gt;0,H674-I674-J674,0)</f>
        <v/>
      </c>
      <c r="L674" s="1">
        <f>IFERROR(I674*E674,0)</f>
        <v/>
      </c>
      <c r="M674" s="1">
        <f>IFERROR(K674*E674,0)</f>
        <v/>
      </c>
    </row>
    <row r="675">
      <c r="A675" t="inlineStr">
        <is>
          <t>UV 400 SCREEN</t>
        </is>
      </c>
      <c r="B675" t="inlineStr">
        <is>
          <t>400 SCREENS</t>
        </is>
      </c>
      <c r="C675" t="inlineStr"/>
      <c r="D675" t="inlineStr">
        <is>
          <t>Uncategorized</t>
        </is>
      </c>
      <c r="E675" s="1" t="n">
        <v>0</v>
      </c>
      <c r="F675" t="n">
        <v>1</v>
      </c>
      <c r="G675" t="n">
        <v>0</v>
      </c>
      <c r="H675" t="n">
        <v>2</v>
      </c>
      <c r="I675" t="n">
        <v>0</v>
      </c>
      <c r="J675" t="n">
        <v>0</v>
      </c>
      <c r="K675">
        <f>IF(H675-I675-J675&gt;0,H675-I675-J675,0)</f>
        <v/>
      </c>
      <c r="L675" s="1">
        <f>IFERROR(I675*E675,0)</f>
        <v/>
      </c>
      <c r="M675" s="1">
        <f>IFERROR(K675*E675,0)</f>
        <v/>
      </c>
    </row>
    <row r="676">
      <c r="A676" t="inlineStr">
        <is>
          <t>UV 400-3-4</t>
        </is>
      </c>
      <c r="B676" t="inlineStr">
        <is>
          <t>c/w 0.55 kW 4 Pole 380</t>
        </is>
      </c>
      <c r="C676" t="inlineStr">
        <is>
          <t>Centrifab (Pty) Ltd</t>
        </is>
      </c>
      <c r="D676" t="inlineStr">
        <is>
          <t>Uncategorized</t>
        </is>
      </c>
      <c r="E676" s="1" t="n">
        <v>10550</v>
      </c>
      <c r="F676" t="n">
        <v>3</v>
      </c>
      <c r="G676" t="n">
        <v>0</v>
      </c>
      <c r="H676" t="n">
        <v>7</v>
      </c>
      <c r="I676" t="n">
        <v>0</v>
      </c>
      <c r="J676" t="n">
        <v>0</v>
      </c>
      <c r="K676">
        <f>IF(H676-I676-J676&gt;0,H676-I676-J676,0)</f>
        <v/>
      </c>
      <c r="L676" s="1">
        <f>IFERROR(I676*E676,0)</f>
        <v/>
      </c>
      <c r="M676" s="1">
        <f>IFERROR(K676*E676,0)</f>
        <v/>
      </c>
    </row>
    <row r="677">
      <c r="A677" t="inlineStr">
        <is>
          <t>UV 400-3-6</t>
        </is>
      </c>
      <c r="B677" t="inlineStr">
        <is>
          <t>c/w 0.55 kW 6 Pole 380</t>
        </is>
      </c>
      <c r="C677" t="inlineStr">
        <is>
          <t>Centrifab (Pty) Ltd</t>
        </is>
      </c>
      <c r="D677" t="inlineStr">
        <is>
          <t>Uncategorized</t>
        </is>
      </c>
      <c r="E677" s="1" t="n">
        <v>9892</v>
      </c>
      <c r="F677" t="n">
        <v>1</v>
      </c>
      <c r="G677" t="n">
        <v>0</v>
      </c>
      <c r="H677" t="n">
        <v>3</v>
      </c>
      <c r="I677" t="n">
        <v>0</v>
      </c>
      <c r="J677" t="n">
        <v>0</v>
      </c>
      <c r="K677">
        <f>IF(H677-I677-J677&gt;0,H677-I677-J677,0)</f>
        <v/>
      </c>
      <c r="L677" s="1">
        <f>IFERROR(I677*E677,0)</f>
        <v/>
      </c>
      <c r="M677" s="1">
        <f>IFERROR(K677*E677,0)</f>
        <v/>
      </c>
    </row>
    <row r="678">
      <c r="A678" t="inlineStr">
        <is>
          <t>UV 500</t>
        </is>
      </c>
      <c r="B678" t="inlineStr">
        <is>
          <t>Dome Only</t>
        </is>
      </c>
      <c r="C678" t="inlineStr">
        <is>
          <t>Centrifab (Pty) Ltd</t>
        </is>
      </c>
      <c r="D678" t="inlineStr">
        <is>
          <t>Uncategorized</t>
        </is>
      </c>
      <c r="E678" s="1" t="n">
        <v>900</v>
      </c>
      <c r="F678" t="n">
        <v>2</v>
      </c>
      <c r="G678" t="n">
        <v>0</v>
      </c>
      <c r="H678" t="n">
        <v>4</v>
      </c>
      <c r="I678" t="n">
        <v>0</v>
      </c>
      <c r="J678" t="n">
        <v>0</v>
      </c>
      <c r="K678">
        <f>IF(H678-I678-J678&gt;0,H678-I678-J678,0)</f>
        <v/>
      </c>
      <c r="L678" s="1">
        <f>IFERROR(I678*E678,0)</f>
        <v/>
      </c>
      <c r="M678" s="1">
        <f>IFERROR(K678*E678,0)</f>
        <v/>
      </c>
    </row>
    <row r="679">
      <c r="A679" t="inlineStr">
        <is>
          <t>UV 630/3/6/W</t>
        </is>
      </c>
      <c r="B679" t="inlineStr">
        <is>
          <t>c/w 1.5 kW 6 Pole 380 V Motor</t>
        </is>
      </c>
      <c r="C679" t="inlineStr">
        <is>
          <t>Centrifab (Pty) Ltd</t>
        </is>
      </c>
      <c r="D679" t="inlineStr">
        <is>
          <t>Uncategorized</t>
        </is>
      </c>
      <c r="E679" s="1" t="n">
        <v>10527.25</v>
      </c>
      <c r="F679" t="n">
        <v>4</v>
      </c>
      <c r="G679" t="n">
        <v>0</v>
      </c>
      <c r="H679" t="n">
        <v>10</v>
      </c>
      <c r="I679" t="n">
        <v>0</v>
      </c>
      <c r="J679" t="n">
        <v>0</v>
      </c>
      <c r="K679">
        <f>IF(H679-I679-J679&gt;0,H679-I679-J679,0)</f>
        <v/>
      </c>
      <c r="L679" s="1">
        <f>IFERROR(I679*E679,0)</f>
        <v/>
      </c>
      <c r="M679" s="1">
        <f>IFERROR(K679*E679,0)</f>
        <v/>
      </c>
    </row>
    <row r="680">
      <c r="A680" t="inlineStr">
        <is>
          <t>VB10NX1320 F</t>
        </is>
      </c>
      <c r="B680" t="inlineStr">
        <is>
          <t>Friction Belt wedge Envelope SPZ SE</t>
        </is>
      </c>
      <c r="C680" t="inlineStr">
        <is>
          <t>Bearing Man Group</t>
        </is>
      </c>
      <c r="D680" t="inlineStr">
        <is>
          <t>Uncategorized</t>
        </is>
      </c>
      <c r="E680" s="1" t="n">
        <v>52.19</v>
      </c>
      <c r="F680" t="n">
        <v>2</v>
      </c>
      <c r="G680" t="n">
        <v>0</v>
      </c>
      <c r="H680" t="n">
        <v>10</v>
      </c>
      <c r="I680" t="n">
        <v>0</v>
      </c>
      <c r="J680" t="n">
        <v>0</v>
      </c>
      <c r="K680">
        <f>IF(H680-I680-J680&gt;0,H680-I680-J680,0)</f>
        <v/>
      </c>
      <c r="L680" s="1">
        <f>IFERROR(I680*E680,0)</f>
        <v/>
      </c>
      <c r="M680" s="1">
        <f>IFERROR(K680*E680,0)</f>
        <v/>
      </c>
    </row>
    <row r="681">
      <c r="A681" t="inlineStr">
        <is>
          <t>VB13NX1340 F</t>
        </is>
      </c>
      <c r="B681" t="inlineStr">
        <is>
          <t>VB13NX1340 FENNER</t>
        </is>
      </c>
      <c r="C681" t="inlineStr">
        <is>
          <t>Bearing Man Group</t>
        </is>
      </c>
      <c r="D681" t="inlineStr">
        <is>
          <t>Uncategorized</t>
        </is>
      </c>
      <c r="E681" s="1" t="n">
        <v>48.65</v>
      </c>
      <c r="F681" t="n">
        <v>3</v>
      </c>
      <c r="G681" t="n">
        <v>0</v>
      </c>
      <c r="H681" t="n">
        <v>15</v>
      </c>
      <c r="I681" t="n">
        <v>0</v>
      </c>
      <c r="J681" t="n">
        <v>0</v>
      </c>
      <c r="K681">
        <f>IF(H681-I681-J681&gt;0,H681-I681-J681,0)</f>
        <v/>
      </c>
      <c r="L681" s="1">
        <f>IFERROR(I681*E681,0)</f>
        <v/>
      </c>
      <c r="M681" s="1">
        <f>IFERROR(K681*E681,0)</f>
        <v/>
      </c>
    </row>
    <row r="682">
      <c r="A682" t="inlineStr">
        <is>
          <t>VB13NX1400 F</t>
        </is>
      </c>
      <c r="B682" t="inlineStr">
        <is>
          <t>FRICTION BELT WEDGE ENVELOPE SPA SECTION 13 X 10 X 1400MM FENNER</t>
        </is>
      </c>
      <c r="C682" t="inlineStr">
        <is>
          <t>Bearing Man Group</t>
        </is>
      </c>
      <c r="D682" t="inlineStr">
        <is>
          <t>Uncategorized</t>
        </is>
      </c>
      <c r="E682" s="1" t="n">
        <v>55.88</v>
      </c>
      <c r="F682" t="n">
        <v>2</v>
      </c>
      <c r="G682" t="n">
        <v>0</v>
      </c>
      <c r="H682" t="n">
        <v>8</v>
      </c>
      <c r="I682" t="n">
        <v>0</v>
      </c>
      <c r="J682" t="n">
        <v>0</v>
      </c>
      <c r="K682">
        <f>IF(H682-I682-J682&gt;0,H682-I682-J682,0)</f>
        <v/>
      </c>
      <c r="L682" s="1">
        <f>IFERROR(I682*E682,0)</f>
        <v/>
      </c>
      <c r="M682" s="1">
        <f>IFERROR(K682*E682,0)</f>
        <v/>
      </c>
    </row>
    <row r="683">
      <c r="A683" t="inlineStr">
        <is>
          <t>VB13NX1600 F</t>
        </is>
      </c>
      <c r="B683" t="inlineStr">
        <is>
          <t>FRICTION BELT WEDGE ENVELOPE SPA -SECTION 13 X 10 X 1600MM FENNER</t>
        </is>
      </c>
      <c r="C683" t="inlineStr">
        <is>
          <t>Bearing Man Group</t>
        </is>
      </c>
      <c r="D683" t="inlineStr">
        <is>
          <t>Uncategorized</t>
        </is>
      </c>
      <c r="E683" s="1" t="n">
        <v>58.79</v>
      </c>
      <c r="F683" t="n">
        <v>28</v>
      </c>
      <c r="G683" t="n">
        <v>0</v>
      </c>
      <c r="H683" t="n">
        <v>58</v>
      </c>
      <c r="I683" t="n">
        <v>0</v>
      </c>
      <c r="J683" t="n">
        <v>0</v>
      </c>
      <c r="K683">
        <f>IF(H683-I683-J683&gt;0,H683-I683-J683,0)</f>
        <v/>
      </c>
      <c r="L683" s="1">
        <f>IFERROR(I683*E683,0)</f>
        <v/>
      </c>
      <c r="M683" s="1">
        <f>IFERROR(K683*E683,0)</f>
        <v/>
      </c>
    </row>
    <row r="684">
      <c r="A684" t="inlineStr">
        <is>
          <t>VB13NX1682 F</t>
        </is>
      </c>
      <c r="B684" t="inlineStr">
        <is>
          <t>FRICTION BELT WEDGE ENVELOPE SPA SECTION 13 X 10 X 1682MM FENNER</t>
        </is>
      </c>
      <c r="C684" t="inlineStr">
        <is>
          <t>Bearing Man Group</t>
        </is>
      </c>
      <c r="D684" t="inlineStr">
        <is>
          <t>Uncategorized</t>
        </is>
      </c>
      <c r="E684" s="1" t="n">
        <v>63.34</v>
      </c>
      <c r="F684" t="n">
        <v>3</v>
      </c>
      <c r="G684" t="n">
        <v>0</v>
      </c>
      <c r="H684" t="n">
        <v>15</v>
      </c>
      <c r="I684" t="n">
        <v>0</v>
      </c>
      <c r="J684" t="n">
        <v>0</v>
      </c>
      <c r="K684">
        <f>IF(H684-I684-J684&gt;0,H684-I684-J684,0)</f>
        <v/>
      </c>
      <c r="L684" s="1">
        <f>IFERROR(I684*E684,0)</f>
        <v/>
      </c>
      <c r="M684" s="1">
        <f>IFERROR(K684*E684,0)</f>
        <v/>
      </c>
    </row>
    <row r="685">
      <c r="A685" t="inlineStr">
        <is>
          <t>VB13NX1700 FF</t>
        </is>
      </c>
      <c r="B685" t="inlineStr">
        <is>
          <t>FRICTION BELT WEDGE ENVELOPE SPA SE</t>
        </is>
      </c>
      <c r="C685" t="inlineStr">
        <is>
          <t>Bearing Man Group</t>
        </is>
      </c>
      <c r="D685" t="inlineStr">
        <is>
          <t>Uncategorized</t>
        </is>
      </c>
      <c r="E685" s="1" t="n">
        <v>73.27</v>
      </c>
      <c r="F685" t="n">
        <v>2</v>
      </c>
      <c r="G685" t="n">
        <v>0</v>
      </c>
      <c r="H685" t="n">
        <v>8</v>
      </c>
      <c r="I685" t="n">
        <v>0</v>
      </c>
      <c r="J685" t="n">
        <v>0</v>
      </c>
      <c r="K685">
        <f>IF(H685-I685-J685&gt;0,H685-I685-J685,0)</f>
        <v/>
      </c>
      <c r="L685" s="1">
        <f>IFERROR(I685*E685,0)</f>
        <v/>
      </c>
      <c r="M685" s="1">
        <f>IFERROR(K685*E685,0)</f>
        <v/>
      </c>
    </row>
    <row r="686">
      <c r="A686" t="inlineStr">
        <is>
          <t>VB13NX1800 F</t>
        </is>
      </c>
      <c r="B686" t="inlineStr">
        <is>
          <t>FRICTION BELT WEDGE ENVELOPE SPA SECTION 13 X 10 X 1800MM FENNER</t>
        </is>
      </c>
      <c r="C686" t="inlineStr">
        <is>
          <t>Bearing Man Group</t>
        </is>
      </c>
      <c r="D686" t="inlineStr">
        <is>
          <t>Uncategorized</t>
        </is>
      </c>
      <c r="E686" s="1" t="n">
        <v>65.98</v>
      </c>
      <c r="F686" t="n">
        <v>2</v>
      </c>
      <c r="G686" t="n">
        <v>0</v>
      </c>
      <c r="H686" t="n">
        <v>8</v>
      </c>
      <c r="I686" t="n">
        <v>0</v>
      </c>
      <c r="J686" t="n">
        <v>0</v>
      </c>
      <c r="K686">
        <f>IF(H686-I686-J686&gt;0,H686-I686-J686,0)</f>
        <v/>
      </c>
      <c r="L686" s="1">
        <f>IFERROR(I686*E686,0)</f>
        <v/>
      </c>
      <c r="M686" s="1">
        <f>IFERROR(K686*E686,0)</f>
        <v/>
      </c>
    </row>
    <row r="687">
      <c r="A687" t="inlineStr">
        <is>
          <t>VB13NX1900 F</t>
        </is>
      </c>
      <c r="B687" t="inlineStr">
        <is>
          <t>FRICTION BELT WEDGE ENVELOPE SPA SECTION 13 X 10 X 1900MM FENNER</t>
        </is>
      </c>
      <c r="C687" t="inlineStr">
        <is>
          <t>Bearing Man Group</t>
        </is>
      </c>
      <c r="D687" t="inlineStr">
        <is>
          <t>Uncategorized</t>
        </is>
      </c>
      <c r="E687" s="1" t="n">
        <v>69.58</v>
      </c>
      <c r="F687" t="n">
        <v>1</v>
      </c>
      <c r="G687" t="n">
        <v>0</v>
      </c>
      <c r="H687" t="n">
        <v>5</v>
      </c>
      <c r="I687" t="n">
        <v>0</v>
      </c>
      <c r="J687" t="n">
        <v>0</v>
      </c>
      <c r="K687">
        <f>IF(H687-I687-J687&gt;0,H687-I687-J687,0)</f>
        <v/>
      </c>
      <c r="L687" s="1">
        <f>IFERROR(I687*E687,0)</f>
        <v/>
      </c>
      <c r="M687" s="1">
        <f>IFERROR(K687*E687,0)</f>
        <v/>
      </c>
    </row>
    <row r="688">
      <c r="A688" t="inlineStr">
        <is>
          <t>VOC</t>
        </is>
      </c>
      <c r="B688" t="inlineStr">
        <is>
          <t>Creation, Conformity Review, Inspection &amp; Issuance</t>
        </is>
      </c>
      <c r="C688" t="inlineStr">
        <is>
          <t>Bureau Veritas Testing Inspection SA Pty</t>
        </is>
      </c>
      <c r="D688" t="inlineStr">
        <is>
          <t>Uncategorized</t>
        </is>
      </c>
      <c r="E688" s="1" t="n">
        <v>8161.02</v>
      </c>
      <c r="F688" t="n">
        <v>1</v>
      </c>
      <c r="G688" t="n">
        <v>0</v>
      </c>
      <c r="H688" t="n">
        <v>5</v>
      </c>
      <c r="I688" t="n">
        <v>0</v>
      </c>
      <c r="J688" t="n">
        <v>0</v>
      </c>
      <c r="K688">
        <f>IF(H688-I688-J688&gt;0,H688-I688-J688,0)</f>
        <v/>
      </c>
      <c r="L688" s="1">
        <f>IFERROR(I688*E688,0)</f>
        <v/>
      </c>
      <c r="M688" s="1">
        <f>IFERROR(K688*E688,0)</f>
        <v/>
      </c>
    </row>
    <row r="689">
      <c r="A689" t="inlineStr">
        <is>
          <t>VP 15</t>
        </is>
      </c>
      <c r="B689" t="inlineStr">
        <is>
          <t>VP 150K</t>
        </is>
      </c>
      <c r="C689" t="inlineStr"/>
      <c r="D689" t="inlineStr">
        <is>
          <t>Uncategorized</t>
        </is>
      </c>
      <c r="E689" s="1" t="n">
        <v>0</v>
      </c>
      <c r="F689" t="n">
        <v>1</v>
      </c>
      <c r="G689" t="n">
        <v>0</v>
      </c>
      <c r="H689" t="n">
        <v>5</v>
      </c>
      <c r="I689" t="n">
        <v>0</v>
      </c>
      <c r="J689" t="n">
        <v>0</v>
      </c>
      <c r="K689">
        <f>IF(H689-I689-J689&gt;0,H689-I689-J689,0)</f>
        <v/>
      </c>
      <c r="L689" s="1">
        <f>IFERROR(I689*E689,0)</f>
        <v/>
      </c>
      <c r="M689" s="1">
        <f>IFERROR(K689*E689,0)</f>
        <v/>
      </c>
    </row>
    <row r="690">
      <c r="A690" t="inlineStr">
        <is>
          <t>VSD</t>
        </is>
      </c>
      <c r="B690" t="inlineStr">
        <is>
          <t>- 37 kW 380V variable speed drive</t>
        </is>
      </c>
      <c r="C690" t="inlineStr"/>
      <c r="D690" t="inlineStr">
        <is>
          <t>Uncategorized</t>
        </is>
      </c>
      <c r="E690" s="1" t="n">
        <v>0</v>
      </c>
      <c r="F690" t="n">
        <v>1</v>
      </c>
      <c r="G690" t="n">
        <v>0</v>
      </c>
      <c r="H690" t="n">
        <v>2</v>
      </c>
      <c r="I690" t="n">
        <v>0</v>
      </c>
      <c r="J690" t="n">
        <v>0</v>
      </c>
      <c r="K690">
        <f>IF(H690-I690-J690&gt;0,H690-I690-J690,0)</f>
        <v/>
      </c>
      <c r="L690" s="1">
        <f>IFERROR(I690*E690,0)</f>
        <v/>
      </c>
      <c r="M690" s="1">
        <f>IFERROR(K690*E690,0)</f>
        <v/>
      </c>
    </row>
    <row r="691">
      <c r="A691" t="inlineStr">
        <is>
          <t>W1G250</t>
        </is>
      </c>
      <c r="B691" t="inlineStr">
        <is>
          <t>HH67 - 52 - 48 V (36-57V-) DC. 105 W 2750 min 1</t>
        </is>
      </c>
      <c r="C691" t="inlineStr">
        <is>
          <t>Ebmpapst</t>
        </is>
      </c>
      <c r="D691" t="inlineStr">
        <is>
          <t>Uncategorized</t>
        </is>
      </c>
      <c r="E691" s="1" t="n">
        <v>0</v>
      </c>
      <c r="F691" t="n">
        <v>2</v>
      </c>
      <c r="G691" t="n">
        <v>0</v>
      </c>
      <c r="H691" t="n">
        <v>10</v>
      </c>
      <c r="I691" t="n">
        <v>0</v>
      </c>
      <c r="J691" t="n">
        <v>0</v>
      </c>
      <c r="K691">
        <f>IF(H691-I691-J691&gt;0,H691-I691-J691,0)</f>
        <v/>
      </c>
      <c r="L691" s="1">
        <f>IFERROR(I691*E691,0)</f>
        <v/>
      </c>
      <c r="M691" s="1">
        <f>IFERROR(K691*E691,0)</f>
        <v/>
      </c>
    </row>
    <row r="692">
      <c r="A692" t="inlineStr">
        <is>
          <t>WAMCENTRIF</t>
        </is>
      </c>
      <c r="B692" t="inlineStr">
        <is>
          <t>WAM Centrif c/w 1.5HP Nema Motor</t>
        </is>
      </c>
      <c r="C692" t="inlineStr"/>
      <c r="D692" t="inlineStr">
        <is>
          <t>Uncategorized</t>
        </is>
      </c>
      <c r="E692" s="1" t="n">
        <v>0</v>
      </c>
      <c r="F692" t="n">
        <v>2</v>
      </c>
      <c r="G692" t="n">
        <v>0</v>
      </c>
      <c r="H692" t="n">
        <v>8</v>
      </c>
      <c r="I692" t="n">
        <v>0</v>
      </c>
      <c r="J692" t="n">
        <v>0</v>
      </c>
      <c r="K692">
        <f>IF(H692-I692-J692&gt;0,H692-I692-J692,0)</f>
        <v/>
      </c>
      <c r="L692" s="1">
        <f>IFERROR(I692*E692,0)</f>
        <v/>
      </c>
      <c r="M692" s="1">
        <f>IFERROR(K692*E692,0)</f>
        <v/>
      </c>
    </row>
    <row r="693">
      <c r="A693" t="inlineStr">
        <is>
          <t>WAREHOUSE-FAN1</t>
        </is>
      </c>
      <c r="B693" t="inlineStr">
        <is>
          <t>HTMH-71-4T-4 IE3 380V 60Hz IE3 - Roof Top Exhaust Fan</t>
        </is>
      </c>
      <c r="C693" t="inlineStr"/>
      <c r="D693" t="inlineStr">
        <is>
          <t>Uncategorized</t>
        </is>
      </c>
      <c r="E693" s="1" t="n">
        <v>0</v>
      </c>
      <c r="F693" t="n">
        <v>10</v>
      </c>
      <c r="G693" t="n">
        <v>0</v>
      </c>
      <c r="H693" t="n">
        <v>50</v>
      </c>
      <c r="I693" t="n">
        <v>0</v>
      </c>
      <c r="J693" t="n">
        <v>0</v>
      </c>
      <c r="K693">
        <f>IF(H693-I693-J693&gt;0,H693-I693-J693,0)</f>
        <v/>
      </c>
      <c r="L693" s="1">
        <f>IFERROR(I693*E693,0)</f>
        <v/>
      </c>
      <c r="M693" s="1">
        <f>IFERROR(K693*E693,0)</f>
        <v/>
      </c>
    </row>
    <row r="694">
      <c r="A694" t="inlineStr">
        <is>
          <t>WD002</t>
        </is>
      </c>
      <c r="B694" t="inlineStr">
        <is>
          <t>FMD 600 x 600 x 50 W/D</t>
        </is>
      </c>
      <c r="C694" t="inlineStr">
        <is>
          <t>Filtermac Design ( Pty) Ltd</t>
        </is>
      </c>
      <c r="D694" t="inlineStr">
        <is>
          <t>Uncategorized</t>
        </is>
      </c>
      <c r="E694" s="1" t="n">
        <v>169</v>
      </c>
      <c r="F694" t="n">
        <v>13</v>
      </c>
      <c r="G694" t="n">
        <v>0</v>
      </c>
      <c r="H694" t="n">
        <v>45</v>
      </c>
      <c r="I694" t="n">
        <v>0</v>
      </c>
      <c r="J694" t="n">
        <v>0</v>
      </c>
      <c r="K694">
        <f>IF(H694-I694-J694&gt;0,H694-I694-J694,0)</f>
        <v/>
      </c>
      <c r="L694" s="1">
        <f>IFERROR(I694*E694,0)</f>
        <v/>
      </c>
      <c r="M694" s="1">
        <f>IFERROR(K694*E694,0)</f>
        <v/>
      </c>
    </row>
    <row r="695">
      <c r="A695" t="inlineStr">
        <is>
          <t>WGP3603033</t>
        </is>
      </c>
      <c r="B695" t="inlineStr">
        <is>
          <t>22kW 4P 380-400-415/660-690//460V B3T 180L IE1</t>
        </is>
      </c>
      <c r="C695" t="inlineStr">
        <is>
          <t>WEG South Africa</t>
        </is>
      </c>
      <c r="D695" t="inlineStr">
        <is>
          <t>Uncategorized</t>
        </is>
      </c>
      <c r="E695" s="1" t="n">
        <v>15923.7</v>
      </c>
      <c r="F695" t="n">
        <v>3</v>
      </c>
      <c r="G695" t="n">
        <v>0</v>
      </c>
      <c r="H695" t="n">
        <v>7</v>
      </c>
      <c r="I695" t="n">
        <v>0</v>
      </c>
      <c r="J695" t="n">
        <v>0</v>
      </c>
      <c r="K695">
        <f>IF(H695-I695-J695&gt;0,H695-I695-J695,0)</f>
        <v/>
      </c>
      <c r="L695" s="1">
        <f>IFERROR(I695*E695,0)</f>
        <v/>
      </c>
      <c r="M695" s="1">
        <f>IFERROR(K695*E695,0)</f>
        <v/>
      </c>
    </row>
    <row r="696">
      <c r="A696" t="inlineStr">
        <is>
          <t>WL 400</t>
        </is>
      </c>
      <c r="B696" t="inlineStr">
        <is>
          <t>Wall Mount</t>
        </is>
      </c>
      <c r="C696" t="inlineStr"/>
      <c r="D696" t="inlineStr">
        <is>
          <t>Uncategorized</t>
        </is>
      </c>
      <c r="E696" s="1" t="n">
        <v>0</v>
      </c>
      <c r="F696" t="n">
        <v>1</v>
      </c>
      <c r="G696" t="n">
        <v>0</v>
      </c>
      <c r="H696" t="n">
        <v>5</v>
      </c>
      <c r="I696" t="n">
        <v>0</v>
      </c>
      <c r="J696" t="n">
        <v>0</v>
      </c>
      <c r="K696">
        <f>IF(H696-I696-J696&gt;0,H696-I696-J696,0)</f>
        <v/>
      </c>
      <c r="L696" s="1">
        <f>IFERROR(I696*E696,0)</f>
        <v/>
      </c>
      <c r="M696" s="1">
        <f>IFERROR(K696*E696,0)</f>
        <v/>
      </c>
    </row>
    <row r="697">
      <c r="A697" t="inlineStr">
        <is>
          <t>WL2525</t>
        </is>
      </c>
      <c r="B697" t="inlineStr">
        <is>
          <t>WEATHER LOUVRE 250*250 NS NA</t>
        </is>
      </c>
      <c r="C697" t="inlineStr">
        <is>
          <t>Advantage Air Africa Pty Ltd</t>
        </is>
      </c>
      <c r="D697" t="inlineStr">
        <is>
          <t>Uncategorized</t>
        </is>
      </c>
      <c r="E697" s="1" t="n">
        <v>430.34</v>
      </c>
      <c r="F697" t="n">
        <v>14</v>
      </c>
      <c r="G697" t="n">
        <v>0</v>
      </c>
      <c r="H697" t="n">
        <v>32</v>
      </c>
      <c r="I697" t="n">
        <v>0</v>
      </c>
      <c r="J697" t="n">
        <v>0</v>
      </c>
      <c r="K697">
        <f>IF(H697-I697-J697&gt;0,H697-I697-J697,0)</f>
        <v/>
      </c>
      <c r="L697" s="1">
        <f>IFERROR(I697*E697,0)</f>
        <v/>
      </c>
      <c r="M697" s="1">
        <f>IFERROR(K697*E697,0)</f>
        <v/>
      </c>
    </row>
    <row r="698">
      <c r="A698" t="inlineStr">
        <is>
          <t>WL6060</t>
        </is>
      </c>
      <c r="B698" t="inlineStr">
        <is>
          <t>WEATHER LOUVRE 600*600 NS NA</t>
        </is>
      </c>
      <c r="C698" t="inlineStr">
        <is>
          <t>Advantage Air Africa Pty Ltd</t>
        </is>
      </c>
      <c r="D698" t="inlineStr">
        <is>
          <t>Uncategorized</t>
        </is>
      </c>
      <c r="E698" s="1" t="n">
        <v>1115.22</v>
      </c>
      <c r="F698" t="n">
        <v>11</v>
      </c>
      <c r="G698" t="n">
        <v>0</v>
      </c>
      <c r="H698" t="n">
        <v>23</v>
      </c>
      <c r="I698" t="n">
        <v>0</v>
      </c>
      <c r="J698" t="n">
        <v>0</v>
      </c>
      <c r="K698">
        <f>IF(H698-I698-J698&gt;0,H698-I698-J698,0)</f>
        <v/>
      </c>
      <c r="L698" s="1">
        <f>IFERROR(I698*E698,0)</f>
        <v/>
      </c>
      <c r="M698" s="1">
        <f>IFERROR(K698*E698,0)</f>
        <v/>
      </c>
    </row>
    <row r="699">
      <c r="A699" t="inlineStr">
        <is>
          <t>WP P800</t>
        </is>
      </c>
      <c r="B699" t="inlineStr">
        <is>
          <t>WATERPAPER P800</t>
        </is>
      </c>
      <c r="C699" t="inlineStr">
        <is>
          <t>MG AUTO PAINT (PTY) LTD</t>
        </is>
      </c>
      <c r="D699" t="inlineStr">
        <is>
          <t>Uncategorized</t>
        </is>
      </c>
      <c r="E699" s="1" t="n">
        <v>5.22</v>
      </c>
      <c r="F699" t="n">
        <v>2</v>
      </c>
      <c r="G699" t="n">
        <v>0</v>
      </c>
      <c r="H699" t="n">
        <v>10</v>
      </c>
      <c r="I699" t="n">
        <v>0</v>
      </c>
      <c r="J699" t="n">
        <v>0</v>
      </c>
      <c r="K699">
        <f>IF(H699-I699-J699&gt;0,H699-I699-J699,0)</f>
        <v/>
      </c>
      <c r="L699" s="1">
        <f>IFERROR(I699*E699,0)</f>
        <v/>
      </c>
      <c r="M699" s="1">
        <f>IFERROR(K699*E699,0)</f>
        <v/>
      </c>
    </row>
    <row r="700">
      <c r="A700" t="inlineStr">
        <is>
          <t>WPF50/600/600/50</t>
        </is>
      </c>
      <c r="B700" t="inlineStr">
        <is>
          <t>Filter</t>
        </is>
      </c>
      <c r="C700" t="inlineStr">
        <is>
          <t>Filta Matix</t>
        </is>
      </c>
      <c r="D700" t="inlineStr">
        <is>
          <t>Uncategorized</t>
        </is>
      </c>
      <c r="E700" s="1" t="n">
        <v>175.85</v>
      </c>
      <c r="F700" t="n">
        <v>34</v>
      </c>
      <c r="G700" t="n">
        <v>0</v>
      </c>
      <c r="H700" t="n">
        <v>109</v>
      </c>
      <c r="I700" t="n">
        <v>0</v>
      </c>
      <c r="J700" t="n">
        <v>0</v>
      </c>
      <c r="K700">
        <f>IF(H700-I700-J700&gt;0,H700-I700-J700,0)</f>
        <v/>
      </c>
      <c r="L700" s="1">
        <f>IFERROR(I700*E700,0)</f>
        <v/>
      </c>
      <c r="M700" s="1">
        <f>IFERROR(K700*E700,0)</f>
        <v/>
      </c>
    </row>
    <row r="701">
      <c r="A701" t="inlineStr">
        <is>
          <t>WPF50/600/600/50.</t>
        </is>
      </c>
      <c r="B701" t="inlineStr">
        <is>
          <t>WPF50/600/600/50</t>
        </is>
      </c>
      <c r="C701" t="inlineStr">
        <is>
          <t>Filta Matix</t>
        </is>
      </c>
      <c r="D701" t="inlineStr">
        <is>
          <t>Uncategorized</t>
        </is>
      </c>
      <c r="E701" s="1" t="n">
        <v>175.85</v>
      </c>
      <c r="F701" t="n">
        <v>2</v>
      </c>
      <c r="G701" t="n">
        <v>0</v>
      </c>
      <c r="H701" t="n">
        <v>12</v>
      </c>
      <c r="I701" t="n">
        <v>0</v>
      </c>
      <c r="J701" t="n">
        <v>0</v>
      </c>
      <c r="K701">
        <f>IF(H701-I701-J701&gt;0,H701-I701-J701,0)</f>
        <v/>
      </c>
      <c r="L701" s="1">
        <f>IFERROR(I701*E701,0)</f>
        <v/>
      </c>
      <c r="M701" s="1">
        <f>IFERROR(K701*E701,0)</f>
        <v/>
      </c>
    </row>
    <row r="702">
      <c r="A702" t="inlineStr">
        <is>
          <t>WS</t>
        </is>
      </c>
      <c r="B702" t="inlineStr">
        <is>
          <t>Wall sleeve, plate and flashing</t>
        </is>
      </c>
      <c r="C702" t="inlineStr">
        <is>
          <t>Intervent-Universal (Pty) Ltd</t>
        </is>
      </c>
      <c r="D702" t="inlineStr">
        <is>
          <t>Uncategorized</t>
        </is>
      </c>
      <c r="E702" s="1" t="n">
        <v>701.67</v>
      </c>
      <c r="F702" t="n">
        <v>3</v>
      </c>
      <c r="G702" t="n">
        <v>0</v>
      </c>
      <c r="H702" t="n">
        <v>9</v>
      </c>
      <c r="I702" t="n">
        <v>0</v>
      </c>
      <c r="J702" t="n">
        <v>0</v>
      </c>
      <c r="K702">
        <f>IF(H702-I702-J702&gt;0,H702-I702-J702,0)</f>
        <v/>
      </c>
      <c r="L702" s="1">
        <f>IFERROR(I702*E702,0)</f>
        <v/>
      </c>
      <c r="M702" s="1">
        <f>IFERROR(K702*E702,0)</f>
        <v/>
      </c>
    </row>
    <row r="703">
      <c r="A703" t="inlineStr">
        <is>
          <t>WSAWBS014</t>
        </is>
      </c>
      <c r="B703" t="inlineStr">
        <is>
          <t>[D]HBS350N[1] 14inch WOODWORKING</t>
        </is>
      </c>
      <c r="C703" t="inlineStr">
        <is>
          <t>Adendorff Machinery Mart</t>
        </is>
      </c>
      <c r="D703" t="inlineStr">
        <is>
          <t>Uncategorized</t>
        </is>
      </c>
      <c r="E703" s="1" t="n">
        <v>11638.05</v>
      </c>
      <c r="F703" t="n">
        <v>1</v>
      </c>
      <c r="G703" t="n">
        <v>0</v>
      </c>
      <c r="H703" t="n">
        <v>3</v>
      </c>
      <c r="I703" t="n">
        <v>0</v>
      </c>
      <c r="J703" t="n">
        <v>0</v>
      </c>
      <c r="K703">
        <f>IF(H703-I703-J703&gt;0,H703-I703-J703,0)</f>
        <v/>
      </c>
      <c r="L703" s="1">
        <f>IFERROR(I703*E703,0)</f>
        <v/>
      </c>
      <c r="M703" s="1">
        <f>IFERROR(K703*E703,0)</f>
        <v/>
      </c>
    </row>
    <row r="704">
      <c r="A704" t="inlineStr">
        <is>
          <t>Wooden crate charges</t>
        </is>
      </c>
      <c r="B704" t="inlineStr">
        <is>
          <t>Wooden crate charges</t>
        </is>
      </c>
      <c r="C704" t="inlineStr">
        <is>
          <t>Regal Beloit Italy S.p.A - Nicotra .</t>
        </is>
      </c>
      <c r="D704" t="inlineStr">
        <is>
          <t>Uncategorized</t>
        </is>
      </c>
      <c r="E704" s="1" t="n">
        <v>1085.46</v>
      </c>
      <c r="F704" t="n">
        <v>1</v>
      </c>
      <c r="G704" t="n">
        <v>0</v>
      </c>
      <c r="H704" t="n">
        <v>3</v>
      </c>
      <c r="I704" t="n">
        <v>0</v>
      </c>
      <c r="J704" t="n">
        <v>0</v>
      </c>
      <c r="K704">
        <f>IF(H704-I704-J704&gt;0,H704-I704-J704,0)</f>
        <v/>
      </c>
      <c r="L704" s="1">
        <f>IFERROR(I704*E704,0)</f>
        <v/>
      </c>
      <c r="M704" s="1">
        <f>IFERROR(K704*E704,0)</f>
        <v/>
      </c>
    </row>
    <row r="705">
      <c r="A705" t="inlineStr">
        <is>
          <t>Z4540002</t>
        </is>
      </c>
      <c r="B705" t="inlineStr">
        <is>
          <t>Commission for HFEAVAO.AFM.000298-AECI CHEMICALS</t>
        </is>
      </c>
      <c r="C705" t="inlineStr"/>
      <c r="D705" t="inlineStr">
        <is>
          <t>Uncategorized</t>
        </is>
      </c>
      <c r="E705" s="1" t="n">
        <v>0</v>
      </c>
      <c r="F705" t="n">
        <v>1</v>
      </c>
      <c r="G705" t="n">
        <v>0</v>
      </c>
      <c r="H705" t="n">
        <v>2</v>
      </c>
      <c r="I705" t="n">
        <v>0</v>
      </c>
      <c r="J705" t="n">
        <v>0</v>
      </c>
      <c r="K705">
        <f>IF(H705-I705-J705&gt;0,H705-I705-J705,0)</f>
        <v/>
      </c>
      <c r="L705" s="1">
        <f>IFERROR(I705*E705,0)</f>
        <v/>
      </c>
      <c r="M705" s="1">
        <f>IFERROR(K705*E705,0)</f>
        <v/>
      </c>
    </row>
    <row r="706">
      <c r="A706" t="inlineStr">
        <is>
          <t>ZZZ-SP 2200</t>
        </is>
      </c>
      <c r="B706" t="inlineStr">
        <is>
          <t>0.37KW 4P 400 V B3 - IE2-OH71 M ORANGE1</t>
        </is>
      </c>
      <c r="C706" t="inlineStr">
        <is>
          <t>Kurt Maier Motor-Press (South africa) (Pty) Ltd t/a EMAC</t>
        </is>
      </c>
      <c r="D706" t="inlineStr">
        <is>
          <t>Uncategorized</t>
        </is>
      </c>
      <c r="E706" s="1" t="n">
        <v>7180</v>
      </c>
      <c r="F706" t="n">
        <v>1</v>
      </c>
      <c r="G706" t="n">
        <v>0</v>
      </c>
      <c r="H706" t="n">
        <v>2</v>
      </c>
      <c r="I706" t="n">
        <v>0</v>
      </c>
      <c r="J706" t="n">
        <v>0</v>
      </c>
      <c r="K706">
        <f>IF(H706-I706-J706&gt;0,H706-I706-J706,0)</f>
        <v/>
      </c>
      <c r="L706" s="1">
        <f>IFERROR(I706*E706,0)</f>
        <v/>
      </c>
      <c r="M706" s="1">
        <f>IFERROR(K706*E706,0)</f>
        <v/>
      </c>
    </row>
    <row r="707">
      <c r="A707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1.5kW VSD</t>
        </is>
      </c>
      <c r="B2" t="inlineStr">
        <is>
          <t>1.5kW Variable Speed Controller</t>
        </is>
      </c>
      <c r="C2" t="inlineStr">
        <is>
          <t>AM SYSTEMS INTEGRATIONS (PTY) LTD</t>
        </is>
      </c>
      <c r="D2" t="inlineStr">
        <is>
          <t>VSD</t>
        </is>
      </c>
      <c r="E2" s="1" t="n">
        <v>5996.25</v>
      </c>
      <c r="F2" t="n">
        <v>1</v>
      </c>
      <c r="G2" t="n">
        <v>0</v>
      </c>
      <c r="H2" t="n">
        <v>3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3kW VSD</t>
        </is>
      </c>
      <c r="B3" t="inlineStr">
        <is>
          <t>3kW Variable Speed Controller</t>
        </is>
      </c>
      <c r="C3" t="inlineStr">
        <is>
          <t>AM SYSTEMS INTEGRATIONS (PTY) LTD</t>
        </is>
      </c>
      <c r="D3" t="inlineStr">
        <is>
          <t>VSD</t>
        </is>
      </c>
      <c r="E3" s="1" t="n">
        <v>6674.85</v>
      </c>
      <c r="F3" t="n">
        <v>4</v>
      </c>
      <c r="G3" t="n">
        <v>0</v>
      </c>
      <c r="H3" t="n">
        <v>14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4kW VSD</t>
        </is>
      </c>
      <c r="B4" t="inlineStr">
        <is>
          <t>4kW Variable Speed Controller</t>
        </is>
      </c>
      <c r="C4" t="inlineStr">
        <is>
          <t>AM SYSTEMS INTEGRATIONS (PTY) LTD</t>
        </is>
      </c>
      <c r="D4" t="inlineStr">
        <is>
          <t>VSD</t>
        </is>
      </c>
      <c r="E4" s="1" t="n">
        <v>7011.65</v>
      </c>
      <c r="F4" t="n">
        <v>1</v>
      </c>
      <c r="G4" t="n">
        <v>0</v>
      </c>
      <c r="H4" t="n">
        <v>3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5.5kW VSD</t>
        </is>
      </c>
      <c r="B5" t="inlineStr">
        <is>
          <t>5.5kW Variable Speed Controller</t>
        </is>
      </c>
      <c r="C5" t="inlineStr">
        <is>
          <t>AM SYSTEMS INTEGRATIONS (PTY) LTD</t>
        </is>
      </c>
      <c r="D5" t="inlineStr">
        <is>
          <t>VSD</t>
        </is>
      </c>
      <c r="E5" s="1" t="n">
        <v>7709.22</v>
      </c>
      <c r="F5" t="n">
        <v>2</v>
      </c>
      <c r="G5" t="n">
        <v>0</v>
      </c>
      <c r="H5" t="n">
        <v>6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Supplier</t>
        </is>
      </c>
      <c r="D1" t="inlineStr">
        <is>
          <t>Category</t>
        </is>
      </c>
      <c r="E1" t="inlineStr">
        <is>
          <t>Cost Price</t>
        </is>
      </c>
      <c r="F1" t="inlineStr">
        <is>
          <t>Safety Stock</t>
        </is>
      </c>
      <c r="G1" t="inlineStr">
        <is>
          <t>Reorder Point (ROP)</t>
        </is>
      </c>
      <c r="H1" t="inlineStr">
        <is>
          <t>Maximum Stock (MAX)</t>
        </is>
      </c>
      <c r="I1" t="inlineStr">
        <is>
          <t>Current Stock</t>
        </is>
      </c>
      <c r="J1" t="inlineStr">
        <is>
          <t>On Order</t>
        </is>
      </c>
      <c r="K1" t="inlineStr">
        <is>
          <t>Order Quantity</t>
        </is>
      </c>
      <c r="L1" t="inlineStr">
        <is>
          <t>Stock Value</t>
        </is>
      </c>
      <c r="M1" t="inlineStr">
        <is>
          <t>Order Value</t>
        </is>
      </c>
    </row>
    <row r="2">
      <c r="A2" t="inlineStr">
        <is>
          <t>KSB250</t>
        </is>
      </c>
      <c r="B2" t="inlineStr">
        <is>
          <t>KSB250</t>
        </is>
      </c>
      <c r="C2" t="inlineStr"/>
      <c r="D2" t="inlineStr">
        <is>
          <t>Vents</t>
        </is>
      </c>
      <c r="E2" s="1" t="n">
        <v>1922.9</v>
      </c>
      <c r="F2" t="n">
        <v>1</v>
      </c>
      <c r="G2" t="n">
        <v>0</v>
      </c>
      <c r="H2" t="n">
        <v>2</v>
      </c>
      <c r="I2" t="n">
        <v>0</v>
      </c>
      <c r="J2" t="n">
        <v>0</v>
      </c>
      <c r="K2">
        <f>IF(H2-I2-J2&gt;0,H2-I2-J2,0)</f>
        <v/>
      </c>
      <c r="L2" s="1">
        <f>IFERROR(I2*E2,0)</f>
        <v/>
      </c>
      <c r="M2" s="1">
        <f>IFERROR(K2*E2,0)</f>
        <v/>
      </c>
    </row>
    <row r="3">
      <c r="A3" t="inlineStr">
        <is>
          <t>TTSILENTM100</t>
        </is>
      </c>
      <c r="B3" t="inlineStr">
        <is>
          <t>TTSILENTM100</t>
        </is>
      </c>
      <c r="C3" t="inlineStr"/>
      <c r="D3" t="inlineStr">
        <is>
          <t>Vents</t>
        </is>
      </c>
      <c r="E3" s="1" t="n">
        <v>1175.53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>
        <f>IF(H3-I3-J3&gt;0,H3-I3-J3,0)</f>
        <v/>
      </c>
      <c r="L3" s="1">
        <f>IFERROR(I3*E3,0)</f>
        <v/>
      </c>
      <c r="M3" s="1">
        <f>IFERROR(K3*E3,0)</f>
        <v/>
      </c>
    </row>
    <row r="4">
      <c r="A4" t="inlineStr">
        <is>
          <t>TTSILENTM250</t>
        </is>
      </c>
      <c r="B4" t="inlineStr">
        <is>
          <t>TTSILENTM250</t>
        </is>
      </c>
      <c r="C4" t="inlineStr"/>
      <c r="D4" t="inlineStr">
        <is>
          <t>Vents</t>
        </is>
      </c>
      <c r="E4" s="1" t="n">
        <v>3172.84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>
        <f>IF(H4-I4-J4&gt;0,H4-I4-J4,0)</f>
        <v/>
      </c>
      <c r="L4" s="1">
        <f>IFERROR(I4*E4,0)</f>
        <v/>
      </c>
      <c r="M4" s="1">
        <f>IFERROR(K4*E4,0)</f>
        <v/>
      </c>
    </row>
    <row r="5">
      <c r="A5" t="inlineStr">
        <is>
          <t>VCN100</t>
        </is>
      </c>
      <c r="B5" t="inlineStr">
        <is>
          <t>VCN100 - External Exhaust Fan - 100mm?</t>
        </is>
      </c>
      <c r="C5" t="inlineStr"/>
      <c r="D5" t="inlineStr">
        <is>
          <t>Vents</t>
        </is>
      </c>
      <c r="E5" s="1" t="n">
        <v>990.91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>
        <f>IF(H5-I5-J5&gt;0,H5-I5-J5,0)</f>
        <v/>
      </c>
      <c r="L5" s="1">
        <f>IFERROR(I5*E5,0)</f>
        <v/>
      </c>
      <c r="M5" s="1">
        <f>IFERROR(K5*E5,0)</f>
        <v/>
      </c>
    </row>
    <row r="6">
      <c r="A6" t="inlineStr">
        <is>
          <t>VCN150</t>
        </is>
      </c>
      <c r="B6" t="inlineStr">
        <is>
          <t>VCN150 - External Exhaust Fan - 150mm?</t>
        </is>
      </c>
      <c r="C6" t="inlineStr"/>
      <c r="D6" t="inlineStr">
        <is>
          <t>Vents</t>
        </is>
      </c>
      <c r="E6" s="1" t="n">
        <v>1188.07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>
        <f>IF(H6-I6-J6&gt;0,H6-I6-J6,0)</f>
        <v/>
      </c>
      <c r="L6" s="1">
        <f>IFERROR(I6*E6,0)</f>
        <v/>
      </c>
      <c r="M6" s="1">
        <f>IFERROR(K6*E6,0)</f>
        <v/>
      </c>
    </row>
    <row r="7">
      <c r="A7" t="inlineStr">
        <is>
          <t>TOTAL 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2026-04-22T11:25:33Z</dcterms:created>
  <dcterms:modified xsi:type="dcterms:W3CDTF">2026-04-22T11:25:33Z</dcterms:modified>
</cp:coreProperties>
</file>