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1. Daily Sales Order Files/5_Archive_and_Debug/"/>
    </mc:Choice>
  </mc:AlternateContent>
  <xr:revisionPtr revIDLastSave="32" documentId="11_BDAC61BC29D33F52630FBA05477042D56CEFC8B9" xr6:coauthVersionLast="47" xr6:coauthVersionMax="47" xr10:uidLastSave="{8E352880-CB3D-451B-94EC-0B374987D117}"/>
  <bookViews>
    <workbookView xWindow="-108" yWindow="-108" windowWidth="23256" windowHeight="12456" activeTab="6" xr2:uid="{00000000-000D-0000-FFFF-FFFF00000000}"/>
  </bookViews>
  <sheets>
    <sheet name="01.06.2026" sheetId="1" r:id="rId1"/>
    <sheet name="02.06.2026" sheetId="2" r:id="rId2"/>
    <sheet name="03.06.2026" sheetId="3" r:id="rId3"/>
    <sheet name="04.06.2026" sheetId="4" r:id="rId4"/>
    <sheet name="05.06.2026" sheetId="5" r:id="rId5"/>
    <sheet name="08.06.2026" sheetId="6" r:id="rId6"/>
    <sheet name="09.06.2026" sheetId="7" r:id="rId7"/>
    <sheet name="10.06.2026" sheetId="8" r:id="rId8"/>
    <sheet name="11.06.2026" sheetId="9" r:id="rId9"/>
    <sheet name="12.06.2026" sheetId="10" r:id="rId10"/>
    <sheet name="17.06.2026" sheetId="11" r:id="rId11"/>
    <sheet name="18.06.2026" sheetId="12" r:id="rId12"/>
    <sheet name="19.06.2026" sheetId="13" r:id="rId13"/>
    <sheet name="22.06.2026" sheetId="14" r:id="rId14"/>
    <sheet name="23.06.2026" sheetId="15" r:id="rId15"/>
    <sheet name="24.06.2026" sheetId="16" r:id="rId16"/>
    <sheet name="25.06.2026" sheetId="17" r:id="rId17"/>
    <sheet name="26.06.2026" sheetId="18" r:id="rId18"/>
    <sheet name="29.06.2026" sheetId="19" r:id="rId19"/>
    <sheet name="Monthly INV - 06.2026" sheetId="20" r:id="rId20"/>
  </sheets>
  <definedNames>
    <definedName name="_xlnm.Print_Area" localSheetId="0">'01.06.2026'!$A$1:$L$38</definedName>
    <definedName name="_xlnm.Print_Area" localSheetId="1">'02.06.2026'!$A$1:$L$43</definedName>
    <definedName name="_xlnm.Print_Area" localSheetId="2">'03.06.2026'!$A$1:$L$37</definedName>
    <definedName name="_xlnm.Print_Area" localSheetId="3">'04.06.2026'!$A$1:$L$40</definedName>
    <definedName name="_xlnm.Print_Area" localSheetId="4">'05.06.2026'!$A$1:$L$43</definedName>
    <definedName name="_xlnm.Print_Area" localSheetId="5">'08.06.2026'!$A$1:$L$46</definedName>
    <definedName name="_xlnm.Print_Area" localSheetId="6">'09.06.2026'!$A$1:$L$47</definedName>
    <definedName name="_xlnm.Print_Area" localSheetId="7">'10.06.2026'!$A$1:$L$47</definedName>
    <definedName name="_xlnm.Print_Area" localSheetId="8">'11.06.2026'!$A$1:$L$42</definedName>
    <definedName name="_xlnm.Print_Area" localSheetId="9">'12.06.2026'!$A$1:$L$42</definedName>
    <definedName name="_xlnm.Print_Area" localSheetId="10">'17.06.2026'!$A$1:$L$45</definedName>
    <definedName name="_xlnm.Print_Area" localSheetId="11">'18.06.2026'!$A$1:$L$49</definedName>
    <definedName name="_xlnm.Print_Area" localSheetId="12">'19.06.2026'!$A$1:$L$50</definedName>
    <definedName name="_xlnm.Print_Area" localSheetId="13">'22.06.2026'!$A$1:$L$36</definedName>
    <definedName name="_xlnm.Print_Area" localSheetId="14">'23.06.2026'!$A$1:$L$36</definedName>
    <definedName name="_xlnm.Print_Area" localSheetId="15">'24.06.2026'!$A$1:$L$30</definedName>
    <definedName name="_xlnm.Print_Area" localSheetId="16">'25.06.2026'!$A$1:$L$32</definedName>
    <definedName name="_xlnm.Print_Area" localSheetId="17">'26.06.2026'!$A$1:$L$37</definedName>
    <definedName name="_xlnm.Print_Area" localSheetId="18">'29.06.2026'!$A$1:$L$36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9" l="1"/>
  <c r="C11" i="20"/>
  <c r="C5" i="20"/>
  <c r="G32" i="18"/>
  <c r="G30" i="18"/>
  <c r="J24" i="18"/>
  <c r="G24" i="18"/>
  <c r="G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J25" i="18" s="1"/>
  <c r="L4" i="18"/>
  <c r="L3" i="18"/>
  <c r="K1" i="18"/>
  <c r="G28" i="17"/>
  <c r="G26" i="17"/>
  <c r="G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J22" i="17" s="1"/>
  <c r="L4" i="17"/>
  <c r="L3" i="17"/>
  <c r="J21" i="17" s="1"/>
  <c r="K1" i="17"/>
  <c r="G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J23" i="16" s="1"/>
  <c r="L4" i="16"/>
  <c r="L3" i="16"/>
  <c r="K1" i="16"/>
  <c r="G31" i="15"/>
  <c r="G29" i="15"/>
  <c r="G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J23" i="15" s="1"/>
  <c r="L5" i="15"/>
  <c r="L4" i="15"/>
  <c r="J24" i="15" s="1"/>
  <c r="L3" i="15"/>
  <c r="G23" i="15" s="1"/>
  <c r="K1" i="15"/>
  <c r="G31" i="14"/>
  <c r="G29" i="14"/>
  <c r="G20" i="14"/>
  <c r="L19" i="14"/>
  <c r="L18" i="14"/>
  <c r="L17" i="14"/>
  <c r="L16" i="14"/>
  <c r="L15" i="14"/>
  <c r="L14" i="14"/>
  <c r="L13" i="14"/>
  <c r="L12" i="14"/>
  <c r="L11" i="14"/>
  <c r="L10" i="14"/>
  <c r="L9" i="14"/>
  <c r="J24" i="14" s="1"/>
  <c r="L8" i="14"/>
  <c r="L7" i="14"/>
  <c r="G24" i="14" s="1"/>
  <c r="L6" i="14"/>
  <c r="L5" i="14"/>
  <c r="L4" i="14"/>
  <c r="G23" i="14" s="1"/>
  <c r="L3" i="14"/>
  <c r="K1" i="14"/>
  <c r="G45" i="13"/>
  <c r="G43" i="13"/>
  <c r="G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J31" i="13" s="1"/>
  <c r="L4" i="13"/>
  <c r="J32" i="13" s="1"/>
  <c r="L3" i="13"/>
  <c r="K1" i="13"/>
  <c r="G46" i="12"/>
  <c r="G44" i="12"/>
  <c r="G32" i="12"/>
  <c r="G29" i="12"/>
  <c r="L28" i="12"/>
  <c r="L27" i="12"/>
  <c r="L26" i="12"/>
  <c r="L25" i="12"/>
  <c r="L24" i="12"/>
  <c r="J32" i="12" s="1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J33" i="12" s="1"/>
  <c r="L5" i="12"/>
  <c r="L4" i="12"/>
  <c r="L3" i="12"/>
  <c r="K1" i="12"/>
  <c r="G42" i="11"/>
  <c r="G40" i="11"/>
  <c r="G31" i="11"/>
  <c r="J30" i="11"/>
  <c r="G30" i="11"/>
  <c r="G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J31" i="11" s="1"/>
  <c r="L5" i="11"/>
  <c r="L4" i="11"/>
  <c r="L3" i="11"/>
  <c r="K1" i="11"/>
  <c r="G39" i="10"/>
  <c r="G37" i="10"/>
  <c r="G29" i="10"/>
  <c r="J28" i="10"/>
  <c r="G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G28" i="10" s="1"/>
  <c r="L10" i="10"/>
  <c r="L9" i="10"/>
  <c r="L8" i="10"/>
  <c r="L7" i="10"/>
  <c r="L6" i="10"/>
  <c r="L5" i="10"/>
  <c r="L4" i="10"/>
  <c r="J29" i="10" s="1"/>
  <c r="L3" i="10"/>
  <c r="K1" i="10"/>
  <c r="G39" i="9"/>
  <c r="G37" i="9"/>
  <c r="G29" i="9"/>
  <c r="G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G30" i="9" s="1"/>
  <c r="L9" i="9"/>
  <c r="L8" i="9"/>
  <c r="L7" i="9"/>
  <c r="L6" i="9"/>
  <c r="L5" i="9"/>
  <c r="L4" i="9"/>
  <c r="J30" i="9" s="1"/>
  <c r="L3" i="9"/>
  <c r="J29" i="9" s="1"/>
  <c r="K1" i="9"/>
  <c r="G44" i="8"/>
  <c r="G42" i="8"/>
  <c r="G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J32" i="8" s="1"/>
  <c r="L11" i="8"/>
  <c r="G32" i="8" s="1"/>
  <c r="L10" i="8"/>
  <c r="L9" i="8"/>
  <c r="L8" i="8"/>
  <c r="L7" i="8"/>
  <c r="L6" i="8"/>
  <c r="L5" i="8"/>
  <c r="J33" i="8" s="1"/>
  <c r="L4" i="8"/>
  <c r="L3" i="8"/>
  <c r="K1" i="8"/>
  <c r="G44" i="7"/>
  <c r="G42" i="7"/>
  <c r="J32" i="7"/>
  <c r="G31" i="7"/>
  <c r="G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G32" i="7" s="1"/>
  <c r="L14" i="7"/>
  <c r="L13" i="7"/>
  <c r="J31" i="7" s="1"/>
  <c r="L12" i="7"/>
  <c r="L11" i="7"/>
  <c r="L10" i="7"/>
  <c r="L9" i="7"/>
  <c r="L8" i="7"/>
  <c r="L7" i="7"/>
  <c r="L6" i="7"/>
  <c r="L5" i="7"/>
  <c r="L4" i="7"/>
  <c r="L3" i="7"/>
  <c r="K1" i="7"/>
  <c r="G41" i="6"/>
  <c r="G39" i="6"/>
  <c r="G29" i="6"/>
  <c r="J28" i="6"/>
  <c r="G25" i="6"/>
  <c r="L24" i="6"/>
  <c r="L23" i="6"/>
  <c r="L22" i="6"/>
  <c r="L21" i="6"/>
  <c r="L20" i="6"/>
  <c r="L19" i="6"/>
  <c r="L18" i="6"/>
  <c r="L17" i="6"/>
  <c r="L16" i="6"/>
  <c r="L15" i="6"/>
  <c r="L14" i="6"/>
  <c r="L13" i="6"/>
  <c r="J29" i="6" s="1"/>
  <c r="L12" i="6"/>
  <c r="L11" i="6"/>
  <c r="G28" i="6" s="1"/>
  <c r="L10" i="6"/>
  <c r="L9" i="6"/>
  <c r="L8" i="6"/>
  <c r="L7" i="6"/>
  <c r="L6" i="6"/>
  <c r="L5" i="6"/>
  <c r="L4" i="6"/>
  <c r="L3" i="6"/>
  <c r="K1" i="6"/>
  <c r="G38" i="5"/>
  <c r="G36" i="5"/>
  <c r="G28" i="5"/>
  <c r="G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J27" i="5" s="1"/>
  <c r="L7" i="5"/>
  <c r="L6" i="5"/>
  <c r="J28" i="5" s="1"/>
  <c r="L5" i="5"/>
  <c r="L4" i="5"/>
  <c r="L3" i="5"/>
  <c r="L1" i="5"/>
  <c r="G35" i="4"/>
  <c r="G33" i="4"/>
  <c r="G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J27" i="4" s="1"/>
  <c r="L6" i="4"/>
  <c r="L5" i="4"/>
  <c r="L4" i="4"/>
  <c r="L3" i="4"/>
  <c r="J26" i="4" s="1"/>
  <c r="K1" i="4"/>
  <c r="G32" i="3"/>
  <c r="G30" i="3"/>
  <c r="J23" i="3"/>
  <c r="G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G24" i="3" s="1"/>
  <c r="L5" i="3"/>
  <c r="L4" i="3"/>
  <c r="L3" i="3"/>
  <c r="G23" i="3" s="1"/>
  <c r="K1" i="3"/>
  <c r="G40" i="2"/>
  <c r="G38" i="2"/>
  <c r="J27" i="2"/>
  <c r="G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J28" i="2" s="1"/>
  <c r="L9" i="2"/>
  <c r="G27" i="2" s="1"/>
  <c r="L8" i="2"/>
  <c r="L7" i="2"/>
  <c r="L6" i="2"/>
  <c r="L5" i="2"/>
  <c r="L4" i="2"/>
  <c r="L3" i="2"/>
  <c r="K1" i="2"/>
  <c r="G35" i="1"/>
  <c r="G33" i="1"/>
  <c r="G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G26" i="1" s="1"/>
  <c r="L6" i="1"/>
  <c r="J27" i="1" s="1"/>
  <c r="L5" i="1"/>
  <c r="J26" i="1" s="1"/>
  <c r="L4" i="1"/>
  <c r="L3" i="1"/>
  <c r="K1" i="1"/>
  <c r="G33" i="19"/>
  <c r="G21" i="19"/>
  <c r="L19" i="19"/>
  <c r="L18" i="19"/>
  <c r="L17" i="19"/>
  <c r="L4" i="19"/>
  <c r="L3" i="19"/>
  <c r="L20" i="19"/>
  <c r="L16" i="19"/>
  <c r="L15" i="19"/>
  <c r="L14" i="19"/>
  <c r="L13" i="19"/>
  <c r="L12" i="19"/>
  <c r="L11" i="19"/>
  <c r="L9" i="19"/>
  <c r="L8" i="19"/>
  <c r="L10" i="19"/>
  <c r="L7" i="19"/>
  <c r="L6" i="19"/>
  <c r="L5" i="19"/>
  <c r="K1" i="19"/>
  <c r="J25" i="19" l="1"/>
  <c r="F10" i="20" s="1"/>
  <c r="J24" i="19"/>
  <c r="F9" i="20" s="1"/>
  <c r="G25" i="19"/>
  <c r="F4" i="20" s="1"/>
  <c r="J24" i="3"/>
  <c r="J23" i="14"/>
  <c r="G25" i="18"/>
  <c r="G23" i="16"/>
  <c r="G27" i="5"/>
  <c r="G21" i="17"/>
  <c r="G31" i="13"/>
  <c r="G22" i="17"/>
  <c r="G28" i="2"/>
  <c r="G33" i="12"/>
  <c r="G27" i="1"/>
  <c r="G26" i="4"/>
  <c r="G33" i="8"/>
  <c r="G32" i="13"/>
  <c r="G24" i="19"/>
  <c r="F3" i="20" s="1"/>
  <c r="G27" i="4"/>
  <c r="G24" i="15"/>
  <c r="F11" i="20" l="1"/>
  <c r="C13" i="20" s="1"/>
  <c r="E13" i="20" s="1"/>
  <c r="F5" i="20"/>
  <c r="C7" i="20" s="1"/>
  <c r="E7" i="20" s="1"/>
</calcChain>
</file>

<file path=xl/sharedStrings.xml><?xml version="1.0" encoding="utf-8"?>
<sst xmlns="http://schemas.openxmlformats.org/spreadsheetml/2006/main" count="4234" uniqueCount="348">
  <si>
    <t>SALES ORDER REPORT</t>
  </si>
  <si>
    <t>Date</t>
  </si>
  <si>
    <t>Delivery Date</t>
  </si>
  <si>
    <t>Job Number</t>
  </si>
  <si>
    <t>SO Number</t>
  </si>
  <si>
    <t>Customer Ref.</t>
  </si>
  <si>
    <t>Customer</t>
  </si>
  <si>
    <t>Total</t>
  </si>
  <si>
    <t>Sales Rep</t>
  </si>
  <si>
    <t>Status</t>
  </si>
  <si>
    <t>Payment Status</t>
  </si>
  <si>
    <t>Details</t>
  </si>
  <si>
    <t>Planned Delivery Date</t>
  </si>
  <si>
    <t>FM4047</t>
  </si>
  <si>
    <t>SO4556</t>
  </si>
  <si>
    <t>POE12858</t>
  </si>
  <si>
    <t>LJ Trading &amp; Projects (Pty) Ltd</t>
  </si>
  <si>
    <t>SM</t>
  </si>
  <si>
    <t>In Progress</t>
  </si>
  <si>
    <t>CASH SALE - UNPAID</t>
  </si>
  <si>
    <t>MAXFLO 630/150/10 P c/w 2,20KW 4P 380V (Qty: 1), 630 Diam Silencer 1.5D Podded (Qty: 2), 630 Diam Counter Flange (Qty: 2), 630 Diam Mounting Feet (Qty: 4), 630 to 1000 NDB GREEN Neoprene Floor Mounts (Qty: 8), LINEO 315 (Qty: 1), 315 Diam Tube Silencer 600L (Qty: 2), MAXFLO 560/150/10 P c/w 2,20KW 2P 380V (Qty: 1), 560 Diam Silencer 2.0D Podded (Qty: 2), 560 Diam Counter Flange (Qty: 2), 560 Diam Mounting Feet (Qty: 4), 315 to 560 NDA RED ANeoprene Floor Mounts (Qty: 8), MAXFLO 800/250/14 A c/w 5,50KW 4P 380V (Qty: 1), 800 Diam Silencer 1.5D Podded (Qty: 2), 800 Diam Counter Flange (Qty: 2), 800 Diam Mounting Feet (Qty: 4), 630 to 1000 NDB GREEN Neoprene Floor Mounts (Qty: 8), MAXFLO 710/250/14 A c/w 2,20KW 4P 380V (Qty: 1), 710 Diam Silencer 1.5D Podded (Qty: 2), 710 Diam Counter Flange (Qty: 2), 710 Diam Mounting Feet (Qty: 4), 630 to 1000 NDB GREEN Neoprene Floor Mounts (Qty: 8), MAXFLO 560/150/10 A c/w 3,00KW 2P 380V (Qty: 1), 560 Diam Silencer 2.0D Podded (Qty: 2), 560 Diam Counter Flange (Qty: 2), 560 Diam Mounting Feet (Qty: 4), 315 to 560 NDA RED ANeoprene Floor Mounts (Qty: 8), MAXFLO 560/150/10 P c/w 2,20KW 2P 380V (Qty: 1), 560 Diam Silencer 2.0D Podded (Qty: 2), 560 Diam Counter Flange (Qty: 2), 560 Diam Mounting Feet (Qty: 4), 315 to 560 NDA RED ANeoprene Floor Mounts (Qty: 8), 500.20.C.4 c/w 1.50KW 2P 380V (Qty: 4), 500 Diam Silencer 1.5D Podded (Qty: 8), 500 Diam Counter Flange (Qty: 8), 500 Diam Mounting Feet (Qty: 16), 315 to 560 NDA RED ANeoprene Floor Mounts (Qty: 32)</t>
  </si>
  <si>
    <t>Pending</t>
  </si>
  <si>
    <t>SO4553</t>
  </si>
  <si>
    <t>FMTA4519</t>
  </si>
  <si>
    <t>ST AIR SERVICES AND MAINTENANCE (PTY) LTD</t>
  </si>
  <si>
    <t>Mimosa Mall Office Park (Qty: 1)</t>
  </si>
  <si>
    <t>FM4134</t>
  </si>
  <si>
    <t>SO4651</t>
  </si>
  <si>
    <t>DPO-1882</t>
  </si>
  <si>
    <t>Dueltron (Pty) Ltd</t>
  </si>
  <si>
    <t>MT</t>
  </si>
  <si>
    <t>ACCOUNT - UP TO DATE</t>
  </si>
  <si>
    <t>BDB 500 CM c/w 9.2kw 4pole 380V (Qty: 1)</t>
  </si>
  <si>
    <t>FM4163</t>
  </si>
  <si>
    <t>SO4681</t>
  </si>
  <si>
    <t>Artesian Construction</t>
  </si>
  <si>
    <t>G-E</t>
  </si>
  <si>
    <t>CASH SALE - PAID</t>
  </si>
  <si>
    <t>MAJAX-3 315 c/w 0,25KW 4P 380V(repair) (Qty: 1)</t>
  </si>
  <si>
    <t>FM4164</t>
  </si>
  <si>
    <t>SO4683</t>
  </si>
  <si>
    <t>FM4164-FM4166</t>
  </si>
  <si>
    <t>TESLA COMMS</t>
  </si>
  <si>
    <t>G-S</t>
  </si>
  <si>
    <t>MAJAX-3 630 c/w 1,50KW 4P 380V (Qty: 2), 630 Diam Silencer 1.5D Podded (Qty: 4), 630 Diam Counter Flange (Qty: 4), 630 Diam Mounting Feet (Qty: 8), 630 to 1000 NDB GREEN Neoprene Floor Mounts (Qty: 16), MAJAX-3 560 c/w 1,50KW 4P 380V (Qty: 3), 560 Diam Melinex Silencer 1.5D Podded (Qty: 6), 560 Diam Counter Flange (Qty: 6), 560 Diam Mounting Feet (Qty: 12), 315 to 560 NDA RED ANeoprene Floor Mounts (Qty: 24), MAXFLO 710/250/14 A c/w 1,10KW 4P 380V (Qty: 1), 710 Diam Silencer 1.5D Podded (Qty: 2), 710 Diam Counter Flange (Qty: 2), 710 Diam Mounting Feet (Qty: 4), 630 to 1000 NDB GREEN Neoprene Floor Mounts (Qty: 8)</t>
  </si>
  <si>
    <t>FM4177</t>
  </si>
  <si>
    <t>SO4690</t>
  </si>
  <si>
    <t>PO11823</t>
  </si>
  <si>
    <t>Xtreme Air Control (Pty) Ltd</t>
  </si>
  <si>
    <t>G-N</t>
  </si>
  <si>
    <t>NEOLINEO-150/V (Qty: 3)</t>
  </si>
  <si>
    <t>FM4151</t>
  </si>
  <si>
    <t>SO4667</t>
  </si>
  <si>
    <t>PO0000150</t>
  </si>
  <si>
    <t>SmartTech Woman</t>
  </si>
  <si>
    <t>RB 7-1.0 c/w 0.75 2P 380v (Qty: 1)</t>
  </si>
  <si>
    <t>FM4097</t>
  </si>
  <si>
    <t>SO4613</t>
  </si>
  <si>
    <t>PO146777</t>
  </si>
  <si>
    <t>Howden Power a Div of Howden Africa (Pty) LTD</t>
  </si>
  <si>
    <t>ST</t>
  </si>
  <si>
    <t>FUMAX 1000.32.F.8 c/w 22KW 4P 380V (Qty: 2)</t>
  </si>
  <si>
    <t>FM4144</t>
  </si>
  <si>
    <t>SO4661</t>
  </si>
  <si>
    <t>PO0208</t>
  </si>
  <si>
    <t>Global Marine and Diesel Parts Namibia CC</t>
  </si>
  <si>
    <t>CAM-550-2T-5.5/INOX-316 230/400V. IE3 (Qty: 1)</t>
  </si>
  <si>
    <t>FM4156</t>
  </si>
  <si>
    <t>SO4676</t>
  </si>
  <si>
    <t>Kate Chishimba</t>
  </si>
  <si>
    <t>R-Z</t>
  </si>
  <si>
    <t>CASH SALE – PARTIAL</t>
  </si>
  <si>
    <t>MAJAX-3 630 c/w 11,00KW 2P 380V (Qty: 1), 630 Diam Melinex Silencer 1.5D Podded (Qty: 2), 630 Diam Counter Flange (Qty: 2), 630 Diam Mounting Feet (Qty: 4), 630 to 1000 NDB GREEN Neoprene Floor Mounts (Qty: 8)</t>
  </si>
  <si>
    <t>FM4171</t>
  </si>
  <si>
    <t>SO4684</t>
  </si>
  <si>
    <t>Cash Sale</t>
  </si>
  <si>
    <t>Vortron System Mauritius Ltd</t>
  </si>
  <si>
    <t>R-M</t>
  </si>
  <si>
    <t>MAXFLO 560/250/14 A c/w 0,55KW 4P 380V (Qty: 2), 560 Diam Counter Flange (Qty: 4), MAXFLO 560/250/14 A c/w 1,10KW 4P 380V (Qty: 3), 560 Diam Counter Flange (Qty: 6), 560 Diam Silencer 1.5D Podded (Qty: 7), MAXFLO 800/250/14 A c/w 4,00KW 4P 380V (Qty: 3), 630 to 1000 NDB GREEN Neoprene Floor Mounts (Qty: 12), 800 Diam Counter Flange (Qty: 6), 800 Diam Mounting Feet (Qty: 6), MAXFLO 800/250/14 A c/w 5,50KW 4P 380V (Qty: 3), 800 Diam Counter Flange (Qty: 6), MAXFLO 800/250/14 A c/w 5,50KW 4P 380V (Qty: 3), 630 to 1000 NDB GREEN Neoprene Floor Mounts (Qty: 3), 800 Diam Counter Flange (Qty: 3), 800 Diam Mounting Feet (Qty: 3), 800 Diam Silencer 1.5D Podded (Qty: 4)</t>
  </si>
  <si>
    <t>FM4172</t>
  </si>
  <si>
    <t>SO4685</t>
  </si>
  <si>
    <t>RG JACK &amp; SON</t>
  </si>
  <si>
    <t>S-WC</t>
  </si>
  <si>
    <t>VFC 355/300 c/w 300W 230V MOTOR (Qty: 1), Delivery (Qty: 1)</t>
  </si>
  <si>
    <t>FM4108</t>
  </si>
  <si>
    <t>SO4624</t>
  </si>
  <si>
    <t>PO:030544</t>
  </si>
  <si>
    <t>Atlas Air Conditioning (Pty) Ltd</t>
  </si>
  <si>
    <t>DDMP 10/10 230V (Qty: 1)</t>
  </si>
  <si>
    <t>SO4621</t>
  </si>
  <si>
    <t>LT69511</t>
  </si>
  <si>
    <t>Luft Technik (Pty) Ltd</t>
  </si>
  <si>
    <t>LCH HOSPITAL (Qty: 1)</t>
  </si>
  <si>
    <t>FM4064</t>
  </si>
  <si>
    <t>SO4584</t>
  </si>
  <si>
    <t>211563</t>
  </si>
  <si>
    <t>Kenmare Moma Processing (Mauritius) Limited</t>
  </si>
  <si>
    <t>S-R</t>
  </si>
  <si>
    <t>SCL-K11 TS-22kW - Item No 28000552 (Qty: 2)</t>
  </si>
  <si>
    <t>FM4145</t>
  </si>
  <si>
    <t>SO4666</t>
  </si>
  <si>
    <t>PO 58 - MIMOSA MALL</t>
  </si>
  <si>
    <t>FUMAX 500.20.C.8 c/w 4kW 2P 380V (Qty: 6), 500 Diam Counter Flange (Qty: 12), 500 Diam Mounting Feet (Qty: 12), 315 to 560 NDA RED ANeoprene Floor Mounts (Qty: 24), 500 mm Inlet Cone &amp; Screen (Qty: 6)</t>
  </si>
  <si>
    <t>SO4554</t>
  </si>
  <si>
    <t>FMTA4599</t>
  </si>
  <si>
    <t>Matla Solution Group</t>
  </si>
  <si>
    <t>LINEO 315 QUIET - EF 1 (Qty: 1), LINEO 250 QUIET - EF 2 (Qty: 1), LINEO 200 QUIET - EF 3 (Qty: 1), KDAXIS 200 - EF 4 (Qty: 1), KDAXIS 200 - EF 5 (Qty: 1), MAXFLO 630/250/14 A c/w 1,10KW 4P 380V - FA 1 (Qty: 1), 630 Diam Silencer 1.5D Podded (Qty: 2), 630 Diam Counter Flange (Qty: 2), 630 Diam Mounting Feet (Qty: 4), 630 to 1000 NDB GREEN Neoprene Floor Mounts (Qty: 8), MAXFLO 710/250/14 A c/w 1,10KW 4P 380V - FA 2 (Qty: 1), 710 Diam Silencer 1.5D Podded (Qty: 2), 710 Diam Counter Flange (Qty: 2), 710 Diam Mounting Feet (Qty: 4), 630 to 1000 NDB GREEN Neoprene Floor Mounts (Qty: 8)</t>
  </si>
  <si>
    <t>FM4036</t>
  </si>
  <si>
    <t>SO4555</t>
  </si>
  <si>
    <t>FM4035-FM4036</t>
  </si>
  <si>
    <t>Michmat Projects</t>
  </si>
  <si>
    <t>M-R</t>
  </si>
  <si>
    <t>MFAJAX-3 1250 c/w 45,00KW 4P 380V (Qty: 3), 1250 Diam Counter Flange (Qty: 6), 1250 Diam Mounting Feet (Qty: 6), 630 to 1000 NDB GREEN Neoprene Floor Mounts (Qty: 12), MAJAX-3 560 c/w 5,50KW 2P 380V (Qty: 2), 560 Diam Counter Flange (Qty: 4), 560 Diam Mounting Feet (Qty: 4), 315 to 560 NDA RED ANeoprene Floor Mounts (Qty: 8)</t>
  </si>
  <si>
    <t>SO4557</t>
  </si>
  <si>
    <t>nan</t>
  </si>
  <si>
    <t>Vigeta Pty Ltd</t>
  </si>
  <si>
    <t>630 Diam Vertical Discharge BASE c/w 2.2kW 4P 380V (Qty: 10)</t>
  </si>
  <si>
    <t>Total Value (All):</t>
  </si>
  <si>
    <t>BREAKDOWN</t>
  </si>
  <si>
    <t>Cash Sale (June):</t>
  </si>
  <si>
    <t>Cash Sale (July):</t>
  </si>
  <si>
    <t>Account (June):</t>
  </si>
  <si>
    <t>Account (July):</t>
  </si>
  <si>
    <t>Comments</t>
  </si>
  <si>
    <t>Due Today - Total:</t>
  </si>
  <si>
    <t>Ready-Dispatch:</t>
  </si>
  <si>
    <t>Recommended Print Range: A1:L39</t>
  </si>
  <si>
    <t>Suggested Date for Next Update: 28.04.2026</t>
  </si>
  <si>
    <t>FM4039</t>
  </si>
  <si>
    <t>SO4571</t>
  </si>
  <si>
    <t>Shonisani Rambau Construction</t>
  </si>
  <si>
    <t>c/w 1.5 kW 6 Pole 380 V Motor w/ Bird Screen (Qty: 1)</t>
  </si>
  <si>
    <t>FM4070</t>
  </si>
  <si>
    <t>SO4588</t>
  </si>
  <si>
    <t>ELEIP002400315 -08</t>
  </si>
  <si>
    <t>Elroi Trading Enterprise</t>
  </si>
  <si>
    <t>MAXFLO 500/150/10 A c/w 0.37KW 4P 380V 304SS (Qty: 1), 500 Diam Mounting Feet (Qty: 2), SAL 630 (Qty: 1), Majax-2 1250 20.D.8 c/w 18.5kW 4 Pole 380V (Qty: 1), 1250 Diam Silencer 1.5D Podded (Qty: 2), 1250 Diam Counter Flange (Qty: 2), 1250 Diam Mounting Feet (Qty: 4), PD3 RED - Anti Vibration Rubber Mounts (Qty: 8)</t>
  </si>
  <si>
    <t>FM4100</t>
  </si>
  <si>
    <t>SO4618</t>
  </si>
  <si>
    <t>P.O. NO. 11623</t>
  </si>
  <si>
    <t>Brasco Group</t>
  </si>
  <si>
    <t>MAJAX-3 500 c/w 1,50KW 2P 380V - (OPTION) (Qty: 1)</t>
  </si>
  <si>
    <t>FM4076</t>
  </si>
  <si>
    <t>SO4625</t>
  </si>
  <si>
    <t>PO-000008707</t>
  </si>
  <si>
    <t>Butec</t>
  </si>
  <si>
    <t>630 Diam Counter Flange (Qty: 3), 630 Diam Flexible Connection (Qty: 2)</t>
  </si>
  <si>
    <t>FM4110</t>
  </si>
  <si>
    <t>SO4626</t>
  </si>
  <si>
    <t>PO:4500218728</t>
  </si>
  <si>
    <t>Rand Refinery (Pty) Ltd</t>
  </si>
  <si>
    <t>MAXFLO 500/150/10 A c/w 4,00KW 2P 380V (Qty: 4)</t>
  </si>
  <si>
    <t>FM4098</t>
  </si>
  <si>
    <t>SO4614</t>
  </si>
  <si>
    <t>14352</t>
  </si>
  <si>
    <t>Arta Masjinerie</t>
  </si>
  <si>
    <t>800 c/w 3.0Kw 4Pole 380V (Qty: 5)</t>
  </si>
  <si>
    <t>FM3974</t>
  </si>
  <si>
    <t>SO4502</t>
  </si>
  <si>
    <t>210719</t>
  </si>
  <si>
    <t>SCL-K10 MS-11kW - Item no 28000234 (Qty: 1)</t>
  </si>
  <si>
    <t>FM3967</t>
  </si>
  <si>
    <t>SO4492</t>
  </si>
  <si>
    <t>PO260306</t>
  </si>
  <si>
    <t>Alpha Air Ventilation Services</t>
  </si>
  <si>
    <t>MAJAX-2 500 c/w 0,55KW 4P 380V (Qty: 1), 500 Diam Counter Flange (Qty: 2)</t>
  </si>
  <si>
    <t>FM3990</t>
  </si>
  <si>
    <t>SO4517</t>
  </si>
  <si>
    <t>PO:0000426</t>
  </si>
  <si>
    <t>Compu Cool (Pty) Ltd</t>
  </si>
  <si>
    <t>UV710/3/6 (Qty: 6)</t>
  </si>
  <si>
    <t>FM4099</t>
  </si>
  <si>
    <t>SO4615</t>
  </si>
  <si>
    <t>62423</t>
  </si>
  <si>
    <t>Chabo &amp; Joubert Air Conditioning (Pty) Ltd</t>
  </si>
  <si>
    <t>KTEX 50-30-4 (Qty: 1)</t>
  </si>
  <si>
    <t>FM4107</t>
  </si>
  <si>
    <t>SO4623</t>
  </si>
  <si>
    <t>PO:01003747</t>
  </si>
  <si>
    <t>Cabmed PTY LTD</t>
  </si>
  <si>
    <t>0.20KW 220V (Qty: 1)</t>
  </si>
  <si>
    <t>Recommended Print Range: A1:L50</t>
  </si>
  <si>
    <t>Suggested Date for Next Update: 29.03.2026</t>
  </si>
  <si>
    <t>FM4114</t>
  </si>
  <si>
    <t>SO4630</t>
  </si>
  <si>
    <t>Australian Embassy</t>
  </si>
  <si>
    <t>Thermocool (Pvt) Ltd</t>
  </si>
  <si>
    <t>LINEO 315 QUIET (Qty: 1), LINEO 125 QUIET (Qty: 2)</t>
  </si>
  <si>
    <t>FM4112</t>
  </si>
  <si>
    <t>SO4628</t>
  </si>
  <si>
    <t>Vincent</t>
  </si>
  <si>
    <t>MAJAX-3 630 (BIFUCATED) c/w 0,75KW 4P 380V (Qty: 1)</t>
  </si>
  <si>
    <t>FM3743</t>
  </si>
  <si>
    <t>SO4629</t>
  </si>
  <si>
    <t>Setati Sol</t>
  </si>
  <si>
    <t>KDAXIS 300 (Qty: 12), KDAXIS 200 (Qty: 16)</t>
  </si>
  <si>
    <t>Client to collect 02/06/2026</t>
  </si>
  <si>
    <t>FM3874</t>
  </si>
  <si>
    <t>SO4404</t>
  </si>
  <si>
    <t>PO2174</t>
  </si>
  <si>
    <t>ITD North Pty Ltd</t>
  </si>
  <si>
    <t>Delivery 02/06/2026</t>
  </si>
  <si>
    <t>ZX to confirm as per MT</t>
  </si>
  <si>
    <t>ST still following up</t>
  </si>
  <si>
    <t>Possible collection, subject to payment</t>
  </si>
  <si>
    <t>SM to confirm delivery / collection</t>
  </si>
  <si>
    <t>Recommended Print Range: A1:L46</t>
  </si>
  <si>
    <t>Ready - Dispatch</t>
  </si>
  <si>
    <t>FM4115</t>
  </si>
  <si>
    <t>SO4631</t>
  </si>
  <si>
    <t>PO:030567</t>
  </si>
  <si>
    <t>NEOLINEO-315/V (Qty: 2), 315 Diam Tube Silencer 600L (Qty: 4), NEOLINEO-250/V (Qty: 1), 250 Diam Tube Silencer 600L (Qty: 2), MAXFLO 560/250/14 A c/w 0,55KW 4P 380V (Qty: 1), 560 Diam Silencer 1.5D Podded (Qty: 2), 560 Diam Counter Flange (Qty: 2), 560 Diam Mounting Feet (Qty: 4), Anti-Vibration Rubber Mounts (Qty: 8), MAXFLO 560/250/14 A c/w 0,37KW 4P 380V (Qty: 1), 560 Diam Silencer 1.5D Podded (Qty: 2), 560 Diam Counter Flange (Qty: 2), 560 Diam Mounting Feet (Qty: 4), Anti-Vibration Rubber Mounts (Qty: 8)</t>
  </si>
  <si>
    <t>Recommended Print Range: A1:L37</t>
  </si>
  <si>
    <t>FM4119</t>
  </si>
  <si>
    <t>SO4635</t>
  </si>
  <si>
    <t>Neobionomics Services Pty Ltd</t>
  </si>
  <si>
    <t>MAJAX-2 630 c/w 0,75KW 4P 380V (Qty: 1)</t>
  </si>
  <si>
    <t>FM4121</t>
  </si>
  <si>
    <t>SO4637</t>
  </si>
  <si>
    <t>DJ Air Conditioning</t>
  </si>
  <si>
    <t>MAXFLO 500/150/10 A c/w 0,55KW 4P 380V (Qty: 1)</t>
  </si>
  <si>
    <t>FM4117</t>
  </si>
  <si>
    <t>SO4633</t>
  </si>
  <si>
    <t>PO11710</t>
  </si>
  <si>
    <t>MAJAX-3 500 (BIFUCATED) c/w 0.55KW 2P 380V (Qty: 1)</t>
  </si>
  <si>
    <t>Recommended Print Range: A1:L40</t>
  </si>
  <si>
    <t>FM4124</t>
  </si>
  <si>
    <t>SO4639</t>
  </si>
  <si>
    <t>M26-194-022-023</t>
  </si>
  <si>
    <t>Masgcor (PTY) Ltd</t>
  </si>
  <si>
    <t>CBD-2828-4M 3/4/HE c/w 0.55kw 4P 220V (Qty: 10), CBD-2828-4M Counter Flanges (Qty: 10), Delivery (Qty: 1)</t>
  </si>
  <si>
    <t>Recommended Print Range: A1:L44</t>
  </si>
  <si>
    <t>FM4126</t>
  </si>
  <si>
    <t>SO4641</t>
  </si>
  <si>
    <t>62611</t>
  </si>
  <si>
    <t>MAXFLO 400/150/10 P c/w 0,25KW 4P 380V (Qty: 1), 400 Diam Silencer 1.5D Podded (Qty: 2), 400 Diam Counter Flange (Qty: 2), 400 Diam Mounting Feet (Qty: 4)</t>
  </si>
  <si>
    <t>Client notified for collection.</t>
  </si>
  <si>
    <t>Scheduled for delivery 08/06/2026</t>
  </si>
  <si>
    <t>Recommended Print Range: A1:L47</t>
  </si>
  <si>
    <t>FM4131</t>
  </si>
  <si>
    <t>SO4646</t>
  </si>
  <si>
    <t>4500744522</t>
  </si>
  <si>
    <t>Aberdare Cables (Pty) Ltd</t>
  </si>
  <si>
    <t>CMP 718 2T (Qty: 3)</t>
  </si>
  <si>
    <t>FM4132</t>
  </si>
  <si>
    <t>SO4649</t>
  </si>
  <si>
    <t>62563</t>
  </si>
  <si>
    <t>AT 15/15 SC2 - Double Unit (Qty: 1)</t>
  </si>
  <si>
    <t>FM4129</t>
  </si>
  <si>
    <t>SO4643</t>
  </si>
  <si>
    <t>cash sale</t>
  </si>
  <si>
    <t>ZEFS More Vision</t>
  </si>
  <si>
    <t>FAC 400/3/4 (Qty: 2)</t>
  </si>
  <si>
    <t>FM4122</t>
  </si>
  <si>
    <t>SO4648</t>
  </si>
  <si>
    <t>PO147339</t>
  </si>
  <si>
    <t>HV 9.5 - 220V 0.55KW (Qty: 1), 1000x1000mm Grilles (Qty: 1), HV 9.5 - 220V 0.55KW (Qty: 1), 1000x1000mm Grilles (Qty: 1), HV 9.5 - 220V 0.55KW (Qty: 1), HV 9.5 - 220V 0.55KW (Qty: 1), 1000x1000mm Grilles (Qty: 1)</t>
  </si>
  <si>
    <t>FM4130</t>
  </si>
  <si>
    <t>SO4644</t>
  </si>
  <si>
    <t>P.O. NO: 11759</t>
  </si>
  <si>
    <t>MAXFLO 315/150/10 A c/w 0,75KW 2P 380V (Qty: 1)</t>
  </si>
  <si>
    <t>SO4645</t>
  </si>
  <si>
    <t>212371</t>
  </si>
  <si>
    <t>SCL-K08 MS-7.5kW - Item No 28000002 (Qty: 1), SCL-K10 MS-11kW - Item no 28000234 (Qty: 1)</t>
  </si>
  <si>
    <t>To be dispatched 09/06/2026</t>
  </si>
  <si>
    <t>Client to collect, Mail sent by ST 09/06/2026</t>
  </si>
  <si>
    <t>Awaiting payment to realese for delivery</t>
  </si>
  <si>
    <t>Client to collect, 09/06/2026 or 12/06/2026</t>
  </si>
  <si>
    <t>To be completed 09/06/2026, Client to collect, 09/06/2026 or 12/06/2026</t>
  </si>
  <si>
    <t>To collect &amp; deliver once payment to supplier is made</t>
  </si>
  <si>
    <t>Recommended Print Range: A1:L53</t>
  </si>
  <si>
    <t>FM4138</t>
  </si>
  <si>
    <t>SO4654</t>
  </si>
  <si>
    <t>PO01027171</t>
  </si>
  <si>
    <t>Voltex Thohoyandou</t>
  </si>
  <si>
    <t>KDAXIS 200 (Qty: 1)</t>
  </si>
  <si>
    <t>FM4137</t>
  </si>
  <si>
    <t>SO4653</t>
  </si>
  <si>
    <t>Sentech</t>
  </si>
  <si>
    <t>MK Technical Services (PTY) LTD</t>
  </si>
  <si>
    <t>MAXFLO 500/150/10 P c/w 1,50KW 4P 380V (Qty: 1), 500 Diam Silencer 1.5D Podded (Qty: 1), 500 Diam Counter Flange (Qty: 2), 500 Diam Mounting Feet (Qty: 3), 315 to 560 NDA RED ANeoprene Floor Mounts (Qty: 6)</t>
  </si>
  <si>
    <t>FM4136</t>
  </si>
  <si>
    <t>SO4652</t>
  </si>
  <si>
    <t>MAXFLO 500/150/10 A c/w 0,25KW 4P 380V (Qty: 1), 500 Diam Melinex Silencer 1.5D Podded (Qty: 2), 500 Diam Counter Flange (Qty: 2), 500 Diam Mounting Feet (Qty: 4), 315 to 560 NDA RED ANeoprene Floor Mounts (Qty: 8), KDAXIS 200 (Qty: 13), KDAXIS 250 (Qty: 3), KDAXIS 300 (Qty: 9), KDAXIS 350 (Qty: 3)</t>
  </si>
  <si>
    <t>Dispatch 10/06/2026</t>
  </si>
  <si>
    <t>Recommended Print Range: A1:L52</t>
  </si>
  <si>
    <t>FM4142</t>
  </si>
  <si>
    <t>SO4659</t>
  </si>
  <si>
    <t>FCC CENTRIFUGAL FAN c/w 7.5kW 4Pole 380v Motor (Qty: 1)</t>
  </si>
  <si>
    <t>CASH SALE - PARTIAL</t>
  </si>
  <si>
    <t>SO4663</t>
  </si>
  <si>
    <t>FM4148</t>
  </si>
  <si>
    <t>Capital Cooling Pty Ltd</t>
  </si>
  <si>
    <t>1000.32.F.8 c/w 9.2kW 4P 380V (Qty: 1), 1000 Diam Counter Flange (Qty: 2), 1000 Diam Mounting Feet (Qty: 2), 1000dia AVM (Qty: 4)</t>
  </si>
  <si>
    <t>FM4150</t>
  </si>
  <si>
    <t>SO4665</t>
  </si>
  <si>
    <t>FMTA4599-Ground Floor</t>
  </si>
  <si>
    <t>LINEO 315 QUIET - EF 1 (Qty: 1), LINEO 250 QUIET - EF 2 (Qty: 1), LINEO 200 QUIET - EF 3 (Qty: 1), KDAXIS 250-EF4 (Qty: 1), KDAXIS 250-EF5 (Qty: 1), KDAXIS 250-EF6 (Qty: 1), KDAXIS 250-EF7 (Qty: 1)</t>
  </si>
  <si>
    <t>FM4146</t>
  </si>
  <si>
    <t>SO4668</t>
  </si>
  <si>
    <t>PO0000793 - PO 49 - MIMOSA MALL OFFICE TOWER - Level 3</t>
  </si>
  <si>
    <t>LINEO 200 QUIET(LV3 - EAF-1) (Qty: 1), 200 Diam Tube Silencer 600L (Qty: 2), LINEO 250 QUIET(LV3 - FAF-1) (Qty: 1), 250 Diam Tube Silencer 600L (Qty: 2), LINEO 315 QUIET(LV3 - FAF-2) (Qty: 1), 315 Diam Tube Silencer 600L (Qty: 2), LINEO 200 QUIET (Qty: 1), 200 Diam Tube Silencer 600L (Qty: 2), LINEO 200 QUIET (Qty: 1), 200 Diam Tube Silencer 600L (Qty: 2)</t>
  </si>
  <si>
    <t>FM4149</t>
  </si>
  <si>
    <t>SO4664</t>
  </si>
  <si>
    <t>JJJ Airconditioning and Refrigeration</t>
  </si>
  <si>
    <t>MAXFLO 400/150/10 P c/w 0,75KW 2P 380V (Qty: 1), 400 Diam Silencer 1.5D Podded (Qty: 2), 400 Diam Counter Flange (Qty: 2), 400 Diam Mounting Feet (Qty: 4), 315 to 560 NDA RED ANeoprene Floor Mounts (Qty: 8)</t>
  </si>
  <si>
    <t>FM4152</t>
  </si>
  <si>
    <t>SO4669</t>
  </si>
  <si>
    <t>PO2281</t>
  </si>
  <si>
    <t>Hucra Fans</t>
  </si>
  <si>
    <t>SAHF</t>
  </si>
  <si>
    <t>CMA-324-2T (Qty: 1)</t>
  </si>
  <si>
    <t>FM4153</t>
  </si>
  <si>
    <t>SO4670</t>
  </si>
  <si>
    <t>PO0000793 - LEVEL 1 - MIMOSA MALL OFFICE TOWER-REV01</t>
  </si>
  <si>
    <t>LINEO 315 QUIET (FAF 1 &amp; 2) (Qty: 2), 315 Diam Tube Silencer 600L (Qty: 4), NEOSILENT 200 3V (FAF 3) (Qty: 1), 200 Diam Tube Silencer 600L (Qty: 2), LINEO 250 QUIET (FAF 4 - OPTION 02) (Qty: 1), 250 Diam Tube Silencer 600L (Qty: 2), LINEO 250 QUIET (EAF 1) (Qty: 1), 250 Diam Tube Silencer 600L (Qty: 2)</t>
  </si>
  <si>
    <t>Recommended Print Range: A1:L51</t>
  </si>
  <si>
    <t>FM4159</t>
  </si>
  <si>
    <t>SO4677</t>
  </si>
  <si>
    <t>PO62806</t>
  </si>
  <si>
    <t>S-M</t>
  </si>
  <si>
    <t>MEX 100/4 1S LL T (Qty: 3)</t>
  </si>
  <si>
    <t>Recommended Print Range: A1:L36</t>
  </si>
  <si>
    <t>FM4160</t>
  </si>
  <si>
    <t>SO4678</t>
  </si>
  <si>
    <t>400 Diam Fan</t>
  </si>
  <si>
    <t>MAXFLO 400/150/10 A c/w 0.75KW 4P 380V (Qty: 1)</t>
  </si>
  <si>
    <t>R 33,159.10</t>
  </si>
  <si>
    <t>Target completion 30/06/2026</t>
  </si>
  <si>
    <t xml:space="preserve">  Generated: 2026-06-25 07:20</t>
  </si>
  <si>
    <t>Recommended Print Range: A1:L35</t>
  </si>
  <si>
    <t>FM4026</t>
  </si>
  <si>
    <t>SO4686</t>
  </si>
  <si>
    <t>Letsatsi General Trading</t>
  </si>
  <si>
    <t>NEOLINEO-200/V (Qty: 1), Installation +Disk Valves, Flex and Weather Louvre+ Electrical+ Wall Sleeve and Ductwork (Qty: 1)</t>
  </si>
  <si>
    <t>Invoicing</t>
  </si>
  <si>
    <t>Current Month:</t>
  </si>
  <si>
    <t>Cash Sale Invoiced</t>
  </si>
  <si>
    <t>Cash Sale Invoice OS</t>
  </si>
  <si>
    <t>Account Invoiced</t>
  </si>
  <si>
    <t>Account Invoice OS</t>
  </si>
  <si>
    <t>Total Excl VAT.</t>
  </si>
  <si>
    <t>GRAND TOTAL:</t>
  </si>
  <si>
    <t>Excl. VAT</t>
  </si>
  <si>
    <t>Incl. VAT</t>
  </si>
  <si>
    <t>JULY:</t>
  </si>
  <si>
    <t>Total Excl.</t>
  </si>
  <si>
    <t>Generated: 2026-06-29 07:56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</si>
</sst>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&quot;R&quot;\ #,##0.00"/>
  </numFmts>
  <fonts count="9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sz val="11"/>
      <color rgb="FF000000"/>
      <name val="Calibri"/>
      <family val="2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i/>
      <sz val="9"/>
      <color rgb="FF80808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1"/>
      <color rgb="FFFFFFFF"/>
      <name val="Calibri"/>
    </font>
  </fonts>
  <fills count="5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EBF0FA"/>
        <bgColor rgb="FFEBF0FA"/>
      </patternFill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1">
    <xf numFmtId="0" fontId="0" fillId="0" borderId="0" xfId="0"/>
    <xf numFmtId="1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vertical="top" wrapText="1"/>
    </xf>
    <xf numFmtId="14" fontId="0" fillId="4" borderId="1" xfId="0" applyNumberForma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vertical="top" wrapText="1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5" borderId="1" xfId="0" applyNumberForma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164" fontId="0" fillId="5" borderId="1" xfId="0" applyNumberFormat="1" applyFill="1" applyBorder="1" applyAlignment="1">
      <alignment vertical="top" wrapText="1"/>
    </xf>
    <xf numFmtId="14" fontId="6" fillId="0" borderId="0" xfId="0" applyNumberFormat="1" applyFont="1"/>
    <xf numFmtId="0" fontId="7" fillId="6" borderId="3" xfId="0" applyFont="1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top" wrapText="1"/>
    </xf>
    <xf numFmtId="0" fontId="0" fillId="7" borderId="3" xfId="0" applyFill="1" applyBorder="1" applyAlignment="1">
      <alignment horizontal="center" vertical="top" wrapText="1"/>
    </xf>
    <xf numFmtId="0" fontId="0" fillId="7" borderId="3" xfId="0" applyFill="1" applyBorder="1" applyAlignment="1">
      <alignment horizontal="left" vertical="top" wrapText="1"/>
    </xf>
    <xf numFmtId="164" fontId="0" fillId="7" borderId="3" xfId="0" applyNumberFormat="1" applyFill="1" applyBorder="1" applyAlignment="1">
      <alignment vertical="top" wrapText="1"/>
    </xf>
    <xf numFmtId="14" fontId="0" fillId="8" borderId="3" xfId="0" applyNumberFormat="1" applyFill="1" applyBorder="1" applyAlignment="1">
      <alignment horizontal="center" vertical="top" wrapText="1"/>
    </xf>
    <xf numFmtId="0" fontId="0" fillId="8" borderId="3" xfId="0" applyFill="1" applyBorder="1" applyAlignment="1">
      <alignment horizontal="center" vertical="top" wrapText="1"/>
    </xf>
    <xf numFmtId="0" fontId="0" fillId="8" borderId="3" xfId="0" applyFill="1" applyBorder="1" applyAlignment="1">
      <alignment horizontal="left" vertical="top" wrapText="1"/>
    </xf>
    <xf numFmtId="164" fontId="0" fillId="8" borderId="3" xfId="0" applyNumberFormat="1" applyFill="1" applyBorder="1" applyAlignment="1">
      <alignment vertical="top" wrapText="1"/>
    </xf>
    <xf numFmtId="14" fontId="0" fillId="0" borderId="3" xfId="0" applyNumberForma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164" fontId="0" fillId="0" borderId="3" xfId="0" applyNumberFormat="1" applyBorder="1" applyAlignment="1">
      <alignment vertical="top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14" fontId="0" fillId="0" borderId="3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14" fontId="12" fillId="0" borderId="0" xfId="0" applyNumberFormat="1" applyFont="1"/>
    <xf numFmtId="0" fontId="13" fillId="9" borderId="4" xfId="0" applyFon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top" wrapText="1"/>
    </xf>
    <xf numFmtId="0" fontId="0" fillId="10" borderId="4" xfId="0" applyFill="1" applyBorder="1" applyAlignment="1">
      <alignment horizontal="center" vertical="top" wrapText="1"/>
    </xf>
    <xf numFmtId="0" fontId="0" fillId="10" borderId="4" xfId="0" applyFill="1" applyBorder="1" applyAlignment="1">
      <alignment horizontal="left" vertical="top" wrapText="1"/>
    </xf>
    <xf numFmtId="164" fontId="0" fillId="10" borderId="4" xfId="0" applyNumberFormat="1" applyFill="1" applyBorder="1" applyAlignment="1">
      <alignment vertical="top" wrapText="1"/>
    </xf>
    <xf numFmtId="14" fontId="0" fillId="11" borderId="4" xfId="0" applyNumberFormat="1" applyFill="1" applyBorder="1" applyAlignment="1">
      <alignment horizontal="center" vertical="top" wrapText="1"/>
    </xf>
    <xf numFmtId="0" fontId="0" fillId="11" borderId="4" xfId="0" applyFill="1" applyBorder="1" applyAlignment="1">
      <alignment horizontal="center" vertical="top" wrapText="1"/>
    </xf>
    <xf numFmtId="0" fontId="0" fillId="11" borderId="4" xfId="0" applyFill="1" applyBorder="1" applyAlignment="1">
      <alignment horizontal="left" vertical="top" wrapText="1"/>
    </xf>
    <xf numFmtId="164" fontId="0" fillId="11" borderId="4" xfId="0" applyNumberFormat="1" applyFill="1" applyBorder="1" applyAlignment="1">
      <alignment vertical="top" wrapText="1"/>
    </xf>
    <xf numFmtId="14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164" fontId="0" fillId="0" borderId="4" xfId="0" applyNumberFormat="1" applyBorder="1" applyAlignment="1">
      <alignment vertical="top" wrapText="1"/>
    </xf>
    <xf numFmtId="0" fontId="14" fillId="0" borderId="0" xfId="0" applyFont="1"/>
    <xf numFmtId="164" fontId="14" fillId="0" borderId="0" xfId="0" applyNumberFormat="1" applyFont="1"/>
    <xf numFmtId="0" fontId="15" fillId="0" borderId="0" xfId="0" applyFont="1"/>
    <xf numFmtId="14" fontId="0" fillId="0" borderId="4" xfId="0" applyNumberFormat="1" applyBorder="1" applyAlignment="1">
      <alignment vertical="top" wrapText="1"/>
    </xf>
    <xf numFmtId="0" fontId="0" fillId="0" borderId="4" xfId="0" applyBorder="1" applyAlignment="1">
      <alignment vertical="top" wrapText="1"/>
    </xf>
    <xf numFmtId="14" fontId="0" fillId="11" borderId="4" xfId="0" applyNumberFormat="1" applyFill="1" applyBorder="1" applyAlignment="1">
      <alignment vertical="top" wrapText="1"/>
    </xf>
    <xf numFmtId="0" fontId="0" fillId="11" borderId="4" xfId="0" applyFill="1" applyBorder="1" applyAlignment="1">
      <alignment vertical="top" wrapText="1"/>
    </xf>
    <xf numFmtId="14" fontId="0" fillId="12" borderId="4" xfId="0" applyNumberFormat="1" applyFill="1" applyBorder="1" applyAlignment="1">
      <alignment horizontal="center" vertical="top" wrapText="1"/>
    </xf>
    <xf numFmtId="0" fontId="0" fillId="12" borderId="4" xfId="0" applyFill="1" applyBorder="1" applyAlignment="1">
      <alignment horizontal="center" vertical="top" wrapText="1"/>
    </xf>
    <xf numFmtId="0" fontId="0" fillId="12" borderId="4" xfId="0" applyFill="1" applyBorder="1" applyAlignment="1">
      <alignment horizontal="left" vertical="top" wrapText="1"/>
    </xf>
    <xf numFmtId="164" fontId="0" fillId="12" borderId="4" xfId="0" applyNumberFormat="1" applyFill="1" applyBorder="1" applyAlignment="1">
      <alignment vertical="top" wrapText="1"/>
    </xf>
    <xf numFmtId="0" fontId="17" fillId="0" borderId="0" xfId="0" applyFont="1"/>
    <xf numFmtId="14" fontId="17" fillId="0" borderId="0" xfId="0" applyNumberFormat="1" applyFont="1"/>
    <xf numFmtId="0" fontId="18" fillId="13" borderId="5" xfId="0" applyFont="1" applyFill="1" applyBorder="1" applyAlignment="1">
      <alignment horizontal="center" vertical="center" wrapText="1"/>
    </xf>
    <xf numFmtId="14" fontId="0" fillId="14" borderId="5" xfId="0" applyNumberFormat="1" applyFill="1" applyBorder="1" applyAlignment="1">
      <alignment horizontal="center" vertical="top" wrapText="1"/>
    </xf>
    <xf numFmtId="0" fontId="0" fillId="14" borderId="5" xfId="0" applyFill="1" applyBorder="1" applyAlignment="1">
      <alignment horizontal="center" vertical="top" wrapText="1"/>
    </xf>
    <xf numFmtId="0" fontId="0" fillId="14" borderId="5" xfId="0" applyFill="1" applyBorder="1" applyAlignment="1">
      <alignment horizontal="left" vertical="top" wrapText="1"/>
    </xf>
    <xf numFmtId="164" fontId="0" fillId="14" borderId="5" xfId="0" applyNumberFormat="1" applyFill="1" applyBorder="1" applyAlignment="1">
      <alignment vertical="top" wrapText="1"/>
    </xf>
    <xf numFmtId="14" fontId="0" fillId="15" borderId="5" xfId="0" applyNumberFormat="1" applyFill="1" applyBorder="1" applyAlignment="1">
      <alignment horizontal="center" vertical="top" wrapText="1"/>
    </xf>
    <xf numFmtId="0" fontId="0" fillId="15" borderId="5" xfId="0" applyFill="1" applyBorder="1" applyAlignment="1">
      <alignment horizontal="center" vertical="top" wrapText="1"/>
    </xf>
    <xf numFmtId="0" fontId="0" fillId="15" borderId="5" xfId="0" applyFill="1" applyBorder="1" applyAlignment="1">
      <alignment horizontal="left" vertical="top" wrapText="1"/>
    </xf>
    <xf numFmtId="164" fontId="0" fillId="15" borderId="5" xfId="0" applyNumberFormat="1" applyFill="1" applyBorder="1" applyAlignment="1">
      <alignment vertical="top" wrapText="1"/>
    </xf>
    <xf numFmtId="14" fontId="0" fillId="0" borderId="5" xfId="0" applyNumberForma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vertical="top" wrapText="1"/>
    </xf>
    <xf numFmtId="0" fontId="19" fillId="0" borderId="0" xfId="0" applyFont="1"/>
    <xf numFmtId="164" fontId="19" fillId="0" borderId="0" xfId="0" applyNumberFormat="1" applyFont="1"/>
    <xf numFmtId="0" fontId="20" fillId="0" borderId="0" xfId="0" applyFont="1"/>
    <xf numFmtId="14" fontId="0" fillId="0" borderId="5" xfId="0" applyNumberFormat="1" applyBorder="1" applyAlignment="1">
      <alignment vertical="top" wrapText="1"/>
    </xf>
    <xf numFmtId="0" fontId="0" fillId="0" borderId="5" xfId="0" applyBorder="1" applyAlignment="1">
      <alignment vertical="top" wrapText="1"/>
    </xf>
    <xf numFmtId="14" fontId="0" fillId="15" borderId="5" xfId="0" applyNumberFormat="1" applyFill="1" applyBorder="1" applyAlignment="1">
      <alignment vertical="top" wrapText="1"/>
    </xf>
    <xf numFmtId="0" fontId="0" fillId="15" borderId="5" xfId="0" applyFill="1" applyBorder="1" applyAlignment="1">
      <alignment vertical="top" wrapText="1"/>
    </xf>
    <xf numFmtId="0" fontId="0" fillId="15" borderId="5" xfId="0" applyFill="1" applyBorder="1"/>
    <xf numFmtId="0" fontId="21" fillId="0" borderId="0" xfId="0" applyFont="1"/>
    <xf numFmtId="0" fontId="1" fillId="0" borderId="0" xfId="0" applyFont="1"/>
    <xf numFmtId="0" fontId="2" fillId="13" borderId="5" xfId="0" applyFont="1" applyFill="1" applyBorder="1" applyAlignment="1">
      <alignment horizontal="center" vertical="center" wrapText="1"/>
    </xf>
    <xf numFmtId="0" fontId="5" fillId="0" borderId="0" xfId="0" applyFont="1"/>
    <xf numFmtId="14" fontId="22" fillId="0" borderId="0" xfId="0" applyNumberFormat="1" applyFont="1"/>
    <xf numFmtId="0" fontId="23" fillId="16" borderId="6" xfId="0" applyFont="1" applyFill="1" applyBorder="1" applyAlignment="1">
      <alignment horizontal="center" vertical="center" wrapText="1"/>
    </xf>
    <xf numFmtId="14" fontId="0" fillId="17" borderId="6" xfId="0" applyNumberFormat="1" applyFill="1" applyBorder="1" applyAlignment="1">
      <alignment horizontal="center" vertical="top" wrapText="1"/>
    </xf>
    <xf numFmtId="0" fontId="0" fillId="17" borderId="6" xfId="0" applyFill="1" applyBorder="1" applyAlignment="1">
      <alignment horizontal="center" vertical="top" wrapText="1"/>
    </xf>
    <xf numFmtId="0" fontId="0" fillId="17" borderId="6" xfId="0" applyFill="1" applyBorder="1" applyAlignment="1">
      <alignment horizontal="left" vertical="top" wrapText="1"/>
    </xf>
    <xf numFmtId="164" fontId="0" fillId="17" borderId="6" xfId="0" applyNumberFormat="1" applyFill="1" applyBorder="1" applyAlignment="1">
      <alignment vertical="top" wrapText="1"/>
    </xf>
    <xf numFmtId="14" fontId="0" fillId="18" borderId="6" xfId="0" applyNumberFormat="1" applyFill="1" applyBorder="1" applyAlignment="1">
      <alignment horizontal="center" vertical="top" wrapText="1"/>
    </xf>
    <xf numFmtId="0" fontId="0" fillId="18" borderId="6" xfId="0" applyFill="1" applyBorder="1" applyAlignment="1">
      <alignment horizontal="center" vertical="top" wrapText="1"/>
    </xf>
    <xf numFmtId="0" fontId="0" fillId="18" borderId="6" xfId="0" applyFill="1" applyBorder="1" applyAlignment="1">
      <alignment horizontal="left" vertical="top" wrapText="1"/>
    </xf>
    <xf numFmtId="164" fontId="0" fillId="18" borderId="6" xfId="0" applyNumberFormat="1" applyFill="1" applyBorder="1" applyAlignment="1">
      <alignment vertical="top" wrapText="1"/>
    </xf>
    <xf numFmtId="14" fontId="0" fillId="0" borderId="6" xfId="0" applyNumberForma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vertical="top" wrapText="1"/>
    </xf>
    <xf numFmtId="0" fontId="24" fillId="0" borderId="0" xfId="0" applyFont="1"/>
    <xf numFmtId="164" fontId="24" fillId="0" borderId="0" xfId="0" applyNumberFormat="1" applyFont="1"/>
    <xf numFmtId="0" fontId="25" fillId="0" borderId="0" xfId="0" applyFont="1"/>
    <xf numFmtId="14" fontId="0" fillId="0" borderId="6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horizontal="center"/>
    </xf>
    <xf numFmtId="14" fontId="27" fillId="0" borderId="0" xfId="0" applyNumberFormat="1" applyFont="1"/>
    <xf numFmtId="0" fontId="28" fillId="19" borderId="7" xfId="0" applyFont="1" applyFill="1" applyBorder="1" applyAlignment="1">
      <alignment horizontal="center" vertical="center" wrapText="1"/>
    </xf>
    <xf numFmtId="14" fontId="0" fillId="20" borderId="7" xfId="0" applyNumberFormat="1" applyFill="1" applyBorder="1" applyAlignment="1">
      <alignment horizontal="center" vertical="top" wrapText="1"/>
    </xf>
    <xf numFmtId="0" fontId="0" fillId="20" borderId="7" xfId="0" applyFill="1" applyBorder="1" applyAlignment="1">
      <alignment horizontal="center" vertical="top" wrapText="1"/>
    </xf>
    <xf numFmtId="0" fontId="0" fillId="20" borderId="7" xfId="0" applyFill="1" applyBorder="1" applyAlignment="1">
      <alignment horizontal="left" vertical="top" wrapText="1"/>
    </xf>
    <xf numFmtId="164" fontId="0" fillId="20" borderId="7" xfId="0" applyNumberFormat="1" applyFill="1" applyBorder="1" applyAlignment="1">
      <alignment vertical="top" wrapText="1"/>
    </xf>
    <xf numFmtId="14" fontId="0" fillId="21" borderId="7" xfId="0" applyNumberFormat="1" applyFill="1" applyBorder="1" applyAlignment="1">
      <alignment horizontal="center" vertical="top" wrapText="1"/>
    </xf>
    <xf numFmtId="0" fontId="0" fillId="21" borderId="7" xfId="0" applyFill="1" applyBorder="1" applyAlignment="1">
      <alignment horizontal="center" vertical="top" wrapText="1"/>
    </xf>
    <xf numFmtId="0" fontId="0" fillId="21" borderId="7" xfId="0" applyFill="1" applyBorder="1" applyAlignment="1">
      <alignment horizontal="left" vertical="top" wrapText="1"/>
    </xf>
    <xf numFmtId="164" fontId="0" fillId="21" borderId="7" xfId="0" applyNumberFormat="1" applyFill="1" applyBorder="1" applyAlignment="1">
      <alignment vertical="top" wrapText="1"/>
    </xf>
    <xf numFmtId="14" fontId="0" fillId="0" borderId="7" xfId="0" applyNumberForma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164" fontId="0" fillId="0" borderId="7" xfId="0" applyNumberFormat="1" applyBorder="1" applyAlignment="1">
      <alignment vertical="top" wrapText="1"/>
    </xf>
    <xf numFmtId="0" fontId="29" fillId="0" borderId="0" xfId="0" applyFont="1"/>
    <xf numFmtId="164" fontId="29" fillId="0" borderId="0" xfId="0" applyNumberFormat="1" applyFont="1"/>
    <xf numFmtId="0" fontId="30" fillId="0" borderId="0" xfId="0" applyFont="1"/>
    <xf numFmtId="14" fontId="32" fillId="0" borderId="0" xfId="0" applyNumberFormat="1" applyFont="1"/>
    <xf numFmtId="0" fontId="33" fillId="22" borderId="8" xfId="0" applyFont="1" applyFill="1" applyBorder="1" applyAlignment="1">
      <alignment horizontal="center" vertical="center" wrapText="1"/>
    </xf>
    <xf numFmtId="14" fontId="0" fillId="23" borderId="8" xfId="0" applyNumberFormat="1" applyFill="1" applyBorder="1" applyAlignment="1">
      <alignment horizontal="center" vertical="top" wrapText="1"/>
    </xf>
    <xf numFmtId="0" fontId="0" fillId="23" borderId="8" xfId="0" applyFill="1" applyBorder="1" applyAlignment="1">
      <alignment horizontal="center" vertical="top" wrapText="1"/>
    </xf>
    <xf numFmtId="0" fontId="0" fillId="23" borderId="8" xfId="0" applyFill="1" applyBorder="1" applyAlignment="1">
      <alignment horizontal="left" vertical="top" wrapText="1"/>
    </xf>
    <xf numFmtId="164" fontId="0" fillId="23" borderId="8" xfId="0" applyNumberFormat="1" applyFill="1" applyBorder="1" applyAlignment="1">
      <alignment vertical="top" wrapText="1"/>
    </xf>
    <xf numFmtId="14" fontId="0" fillId="24" borderId="8" xfId="0" applyNumberFormat="1" applyFill="1" applyBorder="1" applyAlignment="1">
      <alignment horizontal="center" vertical="top" wrapText="1"/>
    </xf>
    <xf numFmtId="0" fontId="0" fillId="24" borderId="8" xfId="0" applyFill="1" applyBorder="1" applyAlignment="1">
      <alignment horizontal="center" vertical="top" wrapText="1"/>
    </xf>
    <xf numFmtId="0" fontId="0" fillId="24" borderId="8" xfId="0" applyFill="1" applyBorder="1" applyAlignment="1">
      <alignment horizontal="left" vertical="top" wrapText="1"/>
    </xf>
    <xf numFmtId="164" fontId="0" fillId="24" borderId="8" xfId="0" applyNumberFormat="1" applyFill="1" applyBorder="1" applyAlignment="1">
      <alignment vertical="top" wrapText="1"/>
    </xf>
    <xf numFmtId="1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164" fontId="0" fillId="0" borderId="8" xfId="0" applyNumberFormat="1" applyBorder="1" applyAlignment="1">
      <alignment vertical="top" wrapText="1"/>
    </xf>
    <xf numFmtId="0" fontId="34" fillId="0" borderId="0" xfId="0" applyFont="1"/>
    <xf numFmtId="164" fontId="34" fillId="0" borderId="0" xfId="0" applyNumberFormat="1" applyFont="1"/>
    <xf numFmtId="0" fontId="35" fillId="0" borderId="0" xfId="0" applyFont="1"/>
    <xf numFmtId="14" fontId="37" fillId="0" borderId="0" xfId="0" applyNumberFormat="1" applyFont="1"/>
    <xf numFmtId="0" fontId="38" fillId="25" borderId="9" xfId="0" applyFont="1" applyFill="1" applyBorder="1" applyAlignment="1">
      <alignment horizontal="center" vertical="center" wrapText="1"/>
    </xf>
    <xf numFmtId="14" fontId="0" fillId="26" borderId="9" xfId="0" applyNumberFormat="1" applyFill="1" applyBorder="1" applyAlignment="1">
      <alignment horizontal="center" vertical="top" wrapText="1"/>
    </xf>
    <xf numFmtId="0" fontId="0" fillId="26" borderId="9" xfId="0" applyFill="1" applyBorder="1" applyAlignment="1">
      <alignment horizontal="center" vertical="top" wrapText="1"/>
    </xf>
    <xf numFmtId="0" fontId="0" fillId="26" borderId="9" xfId="0" applyFill="1" applyBorder="1" applyAlignment="1">
      <alignment horizontal="left" vertical="top" wrapText="1"/>
    </xf>
    <xf numFmtId="14" fontId="0" fillId="27" borderId="9" xfId="0" applyNumberFormat="1" applyFill="1" applyBorder="1" applyAlignment="1">
      <alignment horizontal="center" vertical="top" wrapText="1"/>
    </xf>
    <xf numFmtId="0" fontId="0" fillId="27" borderId="9" xfId="0" applyFill="1" applyBorder="1" applyAlignment="1">
      <alignment horizontal="center" vertical="top" wrapText="1"/>
    </xf>
    <xf numFmtId="0" fontId="0" fillId="27" borderId="9" xfId="0" applyFill="1" applyBorder="1" applyAlignment="1">
      <alignment horizontal="left" vertical="top" wrapText="1"/>
    </xf>
    <xf numFmtId="14" fontId="0" fillId="0" borderId="9" xfId="0" applyNumberForma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39" fillId="0" borderId="0" xfId="0" applyFont="1"/>
    <xf numFmtId="0" fontId="40" fillId="0" borderId="0" xfId="0" applyFont="1"/>
    <xf numFmtId="14" fontId="0" fillId="0" borderId="9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44" fontId="38" fillId="25" borderId="9" xfId="0" applyNumberFormat="1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left"/>
    </xf>
    <xf numFmtId="44" fontId="38" fillId="25" borderId="9" xfId="0" applyNumberFormat="1" applyFont="1" applyFill="1" applyBorder="1" applyAlignment="1">
      <alignment horizontal="left" vertical="center" wrapText="1"/>
    </xf>
    <xf numFmtId="44" fontId="0" fillId="26" borderId="9" xfId="0" applyNumberFormat="1" applyFill="1" applyBorder="1" applyAlignment="1">
      <alignment horizontal="left" vertical="top" wrapText="1"/>
    </xf>
    <xf numFmtId="44" fontId="0" fillId="27" borderId="9" xfId="0" applyNumberFormat="1" applyFill="1" applyBorder="1" applyAlignment="1">
      <alignment horizontal="left" vertical="top" wrapText="1"/>
    </xf>
    <xf numFmtId="44" fontId="0" fillId="0" borderId="9" xfId="0" applyNumberFormat="1" applyBorder="1" applyAlignment="1">
      <alignment horizontal="left" vertical="top" wrapText="1"/>
    </xf>
    <xf numFmtId="44" fontId="39" fillId="0" borderId="0" xfId="0" applyNumberFormat="1" applyFont="1" applyAlignment="1">
      <alignment horizontal="left"/>
    </xf>
    <xf numFmtId="0" fontId="42" fillId="0" borderId="0" xfId="0" applyFont="1"/>
    <xf numFmtId="14" fontId="42" fillId="0" borderId="0" xfId="0" applyNumberFormat="1" applyFont="1"/>
    <xf numFmtId="0" fontId="43" fillId="28" borderId="10" xfId="0" applyFont="1" applyFill="1" applyBorder="1" applyAlignment="1">
      <alignment horizontal="center" vertical="center" wrapText="1"/>
    </xf>
    <xf numFmtId="14" fontId="0" fillId="29" borderId="10" xfId="0" applyNumberFormat="1" applyFill="1" applyBorder="1" applyAlignment="1">
      <alignment horizontal="center" vertical="top" wrapText="1"/>
    </xf>
    <xf numFmtId="0" fontId="0" fillId="29" borderId="10" xfId="0" applyFill="1" applyBorder="1" applyAlignment="1">
      <alignment horizontal="center" vertical="top" wrapText="1"/>
    </xf>
    <xf numFmtId="0" fontId="0" fillId="29" borderId="10" xfId="0" applyFill="1" applyBorder="1" applyAlignment="1">
      <alignment horizontal="left" vertical="top" wrapText="1"/>
    </xf>
    <xf numFmtId="164" fontId="0" fillId="29" borderId="10" xfId="0" applyNumberFormat="1" applyFill="1" applyBorder="1" applyAlignment="1">
      <alignment vertical="top" wrapText="1"/>
    </xf>
    <xf numFmtId="14" fontId="0" fillId="30" borderId="10" xfId="0" applyNumberFormat="1" applyFill="1" applyBorder="1" applyAlignment="1">
      <alignment horizontal="center" vertical="top" wrapText="1"/>
    </xf>
    <xf numFmtId="0" fontId="0" fillId="30" borderId="10" xfId="0" applyFill="1" applyBorder="1" applyAlignment="1">
      <alignment horizontal="center" vertical="top" wrapText="1"/>
    </xf>
    <xf numFmtId="0" fontId="0" fillId="30" borderId="10" xfId="0" applyFill="1" applyBorder="1" applyAlignment="1">
      <alignment horizontal="left" vertical="top" wrapText="1"/>
    </xf>
    <xf numFmtId="164" fontId="0" fillId="30" borderId="10" xfId="0" applyNumberFormat="1" applyFill="1" applyBorder="1" applyAlignment="1">
      <alignment vertical="top" wrapText="1"/>
    </xf>
    <xf numFmtId="14" fontId="0" fillId="0" borderId="10" xfId="0" applyNumberForma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164" fontId="0" fillId="0" borderId="10" xfId="0" applyNumberFormat="1" applyBorder="1" applyAlignment="1">
      <alignment vertical="top" wrapText="1"/>
    </xf>
    <xf numFmtId="0" fontId="44" fillId="0" borderId="0" xfId="0" applyFont="1"/>
    <xf numFmtId="164" fontId="44" fillId="0" borderId="0" xfId="0" applyNumberFormat="1" applyFont="1"/>
    <xf numFmtId="0" fontId="45" fillId="0" borderId="0" xfId="0" applyFont="1"/>
    <xf numFmtId="14" fontId="0" fillId="0" borderId="10" xfId="0" applyNumberForma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46" fillId="0" borderId="0" xfId="0" applyFont="1"/>
    <xf numFmtId="14" fontId="47" fillId="0" borderId="0" xfId="0" applyNumberFormat="1" applyFont="1"/>
    <xf numFmtId="0" fontId="48" fillId="31" borderId="11" xfId="0" applyFont="1" applyFill="1" applyBorder="1" applyAlignment="1">
      <alignment horizontal="center" vertical="center" wrapText="1"/>
    </xf>
    <xf numFmtId="14" fontId="0" fillId="32" borderId="11" xfId="0" applyNumberFormat="1" applyFill="1" applyBorder="1" applyAlignment="1">
      <alignment horizontal="center" vertical="top" wrapText="1"/>
    </xf>
    <xf numFmtId="0" fontId="0" fillId="32" borderId="11" xfId="0" applyFill="1" applyBorder="1" applyAlignment="1">
      <alignment horizontal="center" vertical="top" wrapText="1"/>
    </xf>
    <xf numFmtId="0" fontId="0" fillId="32" borderId="11" xfId="0" applyFill="1" applyBorder="1" applyAlignment="1">
      <alignment horizontal="left" vertical="top" wrapText="1"/>
    </xf>
    <xf numFmtId="164" fontId="0" fillId="32" borderId="11" xfId="0" applyNumberFormat="1" applyFill="1" applyBorder="1" applyAlignment="1">
      <alignment vertical="top" wrapText="1"/>
    </xf>
    <xf numFmtId="14" fontId="0" fillId="33" borderId="11" xfId="0" applyNumberFormat="1" applyFill="1" applyBorder="1" applyAlignment="1">
      <alignment horizontal="center" vertical="top" wrapText="1"/>
    </xf>
    <xf numFmtId="0" fontId="0" fillId="33" borderId="11" xfId="0" applyFill="1" applyBorder="1" applyAlignment="1">
      <alignment horizontal="center" vertical="top" wrapText="1"/>
    </xf>
    <xf numFmtId="0" fontId="0" fillId="33" borderId="11" xfId="0" applyFill="1" applyBorder="1" applyAlignment="1">
      <alignment horizontal="left" vertical="top" wrapText="1"/>
    </xf>
    <xf numFmtId="164" fontId="0" fillId="33" borderId="11" xfId="0" applyNumberFormat="1" applyFill="1" applyBorder="1" applyAlignment="1">
      <alignment vertical="top" wrapText="1"/>
    </xf>
    <xf numFmtId="14" fontId="0" fillId="0" borderId="11" xfId="0" applyNumberForma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164" fontId="0" fillId="0" borderId="11" xfId="0" applyNumberFormat="1" applyBorder="1" applyAlignment="1">
      <alignment vertical="top" wrapText="1"/>
    </xf>
    <xf numFmtId="0" fontId="49" fillId="0" borderId="0" xfId="0" applyFont="1"/>
    <xf numFmtId="164" fontId="49" fillId="0" borderId="0" xfId="0" applyNumberFormat="1" applyFont="1"/>
    <xf numFmtId="0" fontId="50" fillId="0" borderId="0" xfId="0" applyFont="1"/>
    <xf numFmtId="14" fontId="0" fillId="0" borderId="11" xfId="0" applyNumberForma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52" fillId="0" borderId="0" xfId="0" applyFont="1"/>
    <xf numFmtId="14" fontId="52" fillId="0" borderId="0" xfId="0" applyNumberFormat="1" applyFont="1"/>
    <xf numFmtId="0" fontId="53" fillId="34" borderId="12" xfId="0" applyFont="1" applyFill="1" applyBorder="1" applyAlignment="1">
      <alignment horizontal="center" vertical="center" wrapText="1"/>
    </xf>
    <xf numFmtId="14" fontId="0" fillId="35" borderId="12" xfId="0" applyNumberFormat="1" applyFill="1" applyBorder="1" applyAlignment="1">
      <alignment horizontal="center" vertical="top" wrapText="1"/>
    </xf>
    <xf numFmtId="0" fontId="0" fillId="35" borderId="12" xfId="0" applyFill="1" applyBorder="1" applyAlignment="1">
      <alignment horizontal="center" vertical="top" wrapText="1"/>
    </xf>
    <xf numFmtId="0" fontId="0" fillId="35" borderId="12" xfId="0" applyFill="1" applyBorder="1" applyAlignment="1">
      <alignment horizontal="left" vertical="top" wrapText="1"/>
    </xf>
    <xf numFmtId="164" fontId="0" fillId="35" borderId="12" xfId="0" applyNumberFormat="1" applyFill="1" applyBorder="1" applyAlignment="1">
      <alignment vertical="top" wrapText="1"/>
    </xf>
    <xf numFmtId="14" fontId="0" fillId="36" borderId="12" xfId="0" applyNumberFormat="1" applyFill="1" applyBorder="1" applyAlignment="1">
      <alignment horizontal="center" vertical="top" wrapText="1"/>
    </xf>
    <xf numFmtId="0" fontId="0" fillId="36" borderId="12" xfId="0" applyFill="1" applyBorder="1" applyAlignment="1">
      <alignment horizontal="center" vertical="top" wrapText="1"/>
    </xf>
    <xf numFmtId="0" fontId="0" fillId="36" borderId="12" xfId="0" applyFill="1" applyBorder="1" applyAlignment="1">
      <alignment horizontal="left" vertical="top" wrapText="1"/>
    </xf>
    <xf numFmtId="164" fontId="0" fillId="36" borderId="12" xfId="0" applyNumberFormat="1" applyFill="1" applyBorder="1" applyAlignment="1">
      <alignment vertical="top" wrapText="1"/>
    </xf>
    <xf numFmtId="14" fontId="0" fillId="0" borderId="12" xfId="0" applyNumberForma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164" fontId="0" fillId="0" borderId="12" xfId="0" applyNumberFormat="1" applyBorder="1" applyAlignment="1">
      <alignment vertical="top" wrapText="1"/>
    </xf>
    <xf numFmtId="0" fontId="54" fillId="0" borderId="0" xfId="0" applyFont="1"/>
    <xf numFmtId="164" fontId="54" fillId="0" borderId="0" xfId="0" applyNumberFormat="1" applyFont="1"/>
    <xf numFmtId="0" fontId="55" fillId="0" borderId="0" xfId="0" applyFont="1"/>
    <xf numFmtId="14" fontId="0" fillId="0" borderId="12" xfId="0" applyNumberForma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56" fillId="0" borderId="0" xfId="0" applyFont="1"/>
    <xf numFmtId="0" fontId="57" fillId="0" borderId="0" xfId="0" applyFont="1"/>
    <xf numFmtId="14" fontId="57" fillId="0" borderId="0" xfId="0" applyNumberFormat="1" applyFont="1"/>
    <xf numFmtId="0" fontId="58" fillId="37" borderId="13" xfId="0" applyFont="1" applyFill="1" applyBorder="1" applyAlignment="1">
      <alignment horizontal="center" vertical="center" wrapText="1"/>
    </xf>
    <xf numFmtId="14" fontId="0" fillId="38" borderId="13" xfId="0" applyNumberFormat="1" applyFill="1" applyBorder="1" applyAlignment="1">
      <alignment horizontal="center" vertical="top" wrapText="1"/>
    </xf>
    <xf numFmtId="0" fontId="0" fillId="38" borderId="13" xfId="0" applyFill="1" applyBorder="1" applyAlignment="1">
      <alignment horizontal="center" vertical="top" wrapText="1"/>
    </xf>
    <xf numFmtId="0" fontId="0" fillId="38" borderId="13" xfId="0" applyFill="1" applyBorder="1" applyAlignment="1">
      <alignment horizontal="left" vertical="top" wrapText="1"/>
    </xf>
    <xf numFmtId="164" fontId="0" fillId="38" borderId="13" xfId="0" applyNumberFormat="1" applyFill="1" applyBorder="1" applyAlignment="1">
      <alignment vertical="top" wrapText="1"/>
    </xf>
    <xf numFmtId="14" fontId="0" fillId="39" borderId="13" xfId="0" applyNumberFormat="1" applyFill="1" applyBorder="1" applyAlignment="1">
      <alignment horizontal="center" vertical="top" wrapText="1"/>
    </xf>
    <xf numFmtId="0" fontId="0" fillId="39" borderId="13" xfId="0" applyFill="1" applyBorder="1" applyAlignment="1">
      <alignment horizontal="center" vertical="top" wrapText="1"/>
    </xf>
    <xf numFmtId="0" fontId="0" fillId="39" borderId="13" xfId="0" applyFill="1" applyBorder="1" applyAlignment="1">
      <alignment horizontal="left" vertical="top" wrapText="1"/>
    </xf>
    <xf numFmtId="164" fontId="0" fillId="39" borderId="13" xfId="0" applyNumberFormat="1" applyFill="1" applyBorder="1" applyAlignment="1">
      <alignment vertical="top" wrapText="1"/>
    </xf>
    <xf numFmtId="14" fontId="0" fillId="0" borderId="13" xfId="0" applyNumberForma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left" vertical="top" wrapText="1"/>
    </xf>
    <xf numFmtId="164" fontId="0" fillId="0" borderId="13" xfId="0" applyNumberFormat="1" applyBorder="1" applyAlignment="1">
      <alignment vertical="top" wrapText="1"/>
    </xf>
    <xf numFmtId="0" fontId="59" fillId="0" borderId="0" xfId="0" applyFont="1"/>
    <xf numFmtId="164" fontId="59" fillId="0" borderId="0" xfId="0" applyNumberFormat="1" applyFont="1"/>
    <xf numFmtId="0" fontId="60" fillId="0" borderId="0" xfId="0" applyFont="1"/>
    <xf numFmtId="14" fontId="0" fillId="0" borderId="13" xfId="0" applyNumberForma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61" fillId="0" borderId="0" xfId="0" applyFont="1"/>
    <xf numFmtId="0" fontId="62" fillId="0" borderId="0" xfId="0" applyFont="1"/>
    <xf numFmtId="14" fontId="62" fillId="0" borderId="0" xfId="0" applyNumberFormat="1" applyFont="1"/>
    <xf numFmtId="0" fontId="63" fillId="40" borderId="14" xfId="0" applyFont="1" applyFill="1" applyBorder="1" applyAlignment="1">
      <alignment horizontal="center" vertical="center" wrapText="1"/>
    </xf>
    <xf numFmtId="14" fontId="0" fillId="41" borderId="14" xfId="0" applyNumberFormat="1" applyFill="1" applyBorder="1" applyAlignment="1">
      <alignment horizontal="center" vertical="top" wrapText="1"/>
    </xf>
    <xf numFmtId="0" fontId="0" fillId="41" borderId="14" xfId="0" applyFill="1" applyBorder="1" applyAlignment="1">
      <alignment horizontal="center" vertical="top" wrapText="1"/>
    </xf>
    <xf numFmtId="0" fontId="0" fillId="41" borderId="14" xfId="0" applyFill="1" applyBorder="1" applyAlignment="1">
      <alignment horizontal="left" vertical="top" wrapText="1"/>
    </xf>
    <xf numFmtId="164" fontId="0" fillId="41" borderId="14" xfId="0" applyNumberFormat="1" applyFill="1" applyBorder="1" applyAlignment="1">
      <alignment vertical="top" wrapText="1"/>
    </xf>
    <xf numFmtId="14" fontId="0" fillId="0" borderId="14" xfId="0" applyNumberForma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 wrapText="1"/>
    </xf>
    <xf numFmtId="164" fontId="0" fillId="0" borderId="14" xfId="0" applyNumberFormat="1" applyBorder="1" applyAlignment="1">
      <alignment vertical="top" wrapText="1"/>
    </xf>
    <xf numFmtId="0" fontId="64" fillId="0" borderId="0" xfId="0" applyFont="1"/>
    <xf numFmtId="164" fontId="64" fillId="0" borderId="0" xfId="0" applyNumberFormat="1" applyFont="1"/>
    <xf numFmtId="0" fontId="65" fillId="0" borderId="0" xfId="0" applyFont="1"/>
    <xf numFmtId="14" fontId="0" fillId="41" borderId="14" xfId="0" applyNumberFormat="1" applyFill="1" applyBorder="1" applyAlignment="1">
      <alignment vertical="top" wrapText="1"/>
    </xf>
    <xf numFmtId="0" fontId="0" fillId="41" borderId="14" xfId="0" applyFill="1" applyBorder="1" applyAlignment="1">
      <alignment vertical="top" wrapText="1"/>
    </xf>
    <xf numFmtId="0" fontId="0" fillId="41" borderId="14" xfId="0" applyFill="1" applyBorder="1"/>
    <xf numFmtId="0" fontId="66" fillId="0" borderId="0" xfId="0" applyFont="1"/>
    <xf numFmtId="44" fontId="63" fillId="40" borderId="14" xfId="0" applyNumberFormat="1" applyFont="1" applyFill="1" applyBorder="1" applyAlignment="1">
      <alignment horizontal="center" vertical="center" wrapText="1"/>
    </xf>
    <xf numFmtId="44" fontId="0" fillId="0" borderId="14" xfId="0" applyNumberFormat="1" applyBorder="1" applyAlignment="1">
      <alignment horizontal="left" vertical="top" wrapText="1"/>
    </xf>
    <xf numFmtId="44" fontId="0" fillId="41" borderId="14" xfId="0" applyNumberFormat="1" applyFill="1" applyBorder="1" applyAlignment="1">
      <alignment horizontal="left" vertical="top" wrapText="1"/>
    </xf>
    <xf numFmtId="44" fontId="64" fillId="0" borderId="0" xfId="0" applyNumberFormat="1" applyFont="1" applyAlignment="1">
      <alignment horizontal="left"/>
    </xf>
    <xf numFmtId="0" fontId="67" fillId="0" borderId="0" xfId="0" applyFont="1"/>
    <xf numFmtId="14" fontId="67" fillId="0" borderId="0" xfId="0" applyNumberFormat="1" applyFont="1"/>
    <xf numFmtId="0" fontId="68" fillId="42" borderId="15" xfId="0" applyFont="1" applyFill="1" applyBorder="1" applyAlignment="1">
      <alignment horizontal="center" vertical="center" wrapText="1"/>
    </xf>
    <xf numFmtId="14" fontId="0" fillId="43" borderId="15" xfId="0" applyNumberFormat="1" applyFill="1" applyBorder="1" applyAlignment="1">
      <alignment horizontal="center" vertical="top" wrapText="1"/>
    </xf>
    <xf numFmtId="0" fontId="0" fillId="43" borderId="15" xfId="0" applyFill="1" applyBorder="1" applyAlignment="1">
      <alignment horizontal="center" vertical="top" wrapText="1"/>
    </xf>
    <xf numFmtId="0" fontId="0" fillId="43" borderId="15" xfId="0" applyFill="1" applyBorder="1" applyAlignment="1">
      <alignment horizontal="left" vertical="top" wrapText="1"/>
    </xf>
    <xf numFmtId="164" fontId="0" fillId="43" borderId="15" xfId="0" applyNumberFormat="1" applyFill="1" applyBorder="1" applyAlignment="1">
      <alignment vertical="top" wrapText="1"/>
    </xf>
    <xf numFmtId="14" fontId="0" fillId="0" borderId="15" xfId="0" applyNumberForma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left" vertical="top" wrapText="1"/>
    </xf>
    <xf numFmtId="164" fontId="0" fillId="0" borderId="15" xfId="0" applyNumberFormat="1" applyBorder="1" applyAlignment="1">
      <alignment vertical="top" wrapText="1"/>
    </xf>
    <xf numFmtId="0" fontId="69" fillId="0" borderId="0" xfId="0" applyFont="1"/>
    <xf numFmtId="164" fontId="69" fillId="0" borderId="0" xfId="0" applyNumberFormat="1" applyFont="1"/>
    <xf numFmtId="0" fontId="70" fillId="0" borderId="0" xfId="0" applyFont="1"/>
    <xf numFmtId="0" fontId="71" fillId="0" borderId="0" xfId="0" applyFont="1"/>
    <xf numFmtId="14" fontId="72" fillId="44" borderId="15" xfId="0" applyNumberFormat="1" applyFont="1" applyFill="1" applyBorder="1" applyAlignment="1">
      <alignment horizontal="center" vertical="top" wrapText="1"/>
    </xf>
    <xf numFmtId="0" fontId="72" fillId="44" borderId="15" xfId="0" applyFont="1" applyFill="1" applyBorder="1" applyAlignment="1">
      <alignment horizontal="center" vertical="top" wrapText="1"/>
    </xf>
    <xf numFmtId="0" fontId="72" fillId="44" borderId="15" xfId="0" applyFont="1" applyFill="1" applyBorder="1" applyAlignment="1">
      <alignment horizontal="left" vertical="top" wrapText="1"/>
    </xf>
    <xf numFmtId="44" fontId="72" fillId="44" borderId="15" xfId="0" applyNumberFormat="1" applyFont="1" applyFill="1" applyBorder="1" applyAlignment="1">
      <alignment horizontal="left" vertical="top" wrapText="1"/>
    </xf>
    <xf numFmtId="0" fontId="72" fillId="44" borderId="15" xfId="0" applyFont="1" applyFill="1" applyBorder="1" applyAlignment="1">
      <alignment horizontal="center" vertical="top"/>
    </xf>
    <xf numFmtId="14" fontId="0" fillId="44" borderId="15" xfId="0" applyNumberFormat="1" applyFill="1" applyBorder="1" applyAlignment="1">
      <alignment horizontal="center" vertical="top" wrapText="1"/>
    </xf>
    <xf numFmtId="0" fontId="0" fillId="44" borderId="15" xfId="0" applyFill="1" applyBorder="1" applyAlignment="1">
      <alignment horizontal="left" vertical="top" wrapText="1"/>
    </xf>
    <xf numFmtId="14" fontId="0" fillId="0" borderId="15" xfId="0" applyNumberFormat="1" applyBorder="1" applyAlignment="1">
      <alignment vertical="top" wrapText="1"/>
    </xf>
    <xf numFmtId="0" fontId="0" fillId="0" borderId="15" xfId="0" applyBorder="1" applyAlignment="1">
      <alignment vertical="top" wrapText="1"/>
    </xf>
    <xf numFmtId="14" fontId="73" fillId="0" borderId="0" xfId="0" applyNumberFormat="1" applyFont="1"/>
    <xf numFmtId="0" fontId="74" fillId="45" borderId="16" xfId="0" applyFont="1" applyFill="1" applyBorder="1" applyAlignment="1">
      <alignment horizontal="center" vertical="center" wrapText="1"/>
    </xf>
    <xf numFmtId="14" fontId="0" fillId="46" borderId="16" xfId="0" applyNumberFormat="1" applyFill="1" applyBorder="1" applyAlignment="1">
      <alignment horizontal="center" vertical="top" wrapText="1"/>
    </xf>
    <xf numFmtId="0" fontId="0" fillId="46" borderId="16" xfId="0" applyFill="1" applyBorder="1" applyAlignment="1">
      <alignment horizontal="center" vertical="top" wrapText="1"/>
    </xf>
    <xf numFmtId="0" fontId="0" fillId="46" borderId="16" xfId="0" applyFill="1" applyBorder="1" applyAlignment="1">
      <alignment horizontal="left" vertical="top" wrapText="1"/>
    </xf>
    <xf numFmtId="164" fontId="0" fillId="46" borderId="16" xfId="0" applyNumberFormat="1" applyFill="1" applyBorder="1" applyAlignment="1">
      <alignment vertical="top" wrapText="1"/>
    </xf>
    <xf numFmtId="14" fontId="0" fillId="0" borderId="16" xfId="0" applyNumberForma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164" fontId="0" fillId="0" borderId="16" xfId="0" applyNumberFormat="1" applyBorder="1" applyAlignment="1">
      <alignment vertical="top" wrapText="1"/>
    </xf>
    <xf numFmtId="0" fontId="75" fillId="0" borderId="0" xfId="0" applyFont="1"/>
    <xf numFmtId="164" fontId="75" fillId="0" borderId="0" xfId="0" applyNumberFormat="1" applyFont="1"/>
    <xf numFmtId="0" fontId="76" fillId="0" borderId="0" xfId="0" applyFont="1"/>
    <xf numFmtId="14" fontId="0" fillId="0" borderId="16" xfId="0" applyNumberFormat="1" applyBorder="1" applyAlignment="1">
      <alignment vertical="top" wrapText="1"/>
    </xf>
    <xf numFmtId="0" fontId="0" fillId="0" borderId="16" xfId="0" applyBorder="1" applyAlignment="1">
      <alignment vertical="top" wrapText="1"/>
    </xf>
    <xf numFmtId="14" fontId="78" fillId="0" borderId="0" xfId="0" applyNumberFormat="1" applyFont="1"/>
    <xf numFmtId="0" fontId="79" fillId="47" borderId="17" xfId="0" applyFont="1" applyFill="1" applyBorder="1" applyAlignment="1">
      <alignment horizontal="center" vertical="center" wrapText="1"/>
    </xf>
    <xf numFmtId="14" fontId="0" fillId="48" borderId="17" xfId="0" applyNumberFormat="1" applyFill="1" applyBorder="1" applyAlignment="1">
      <alignment horizontal="center" vertical="top" wrapText="1"/>
    </xf>
    <xf numFmtId="0" fontId="0" fillId="48" borderId="17" xfId="0" applyFill="1" applyBorder="1" applyAlignment="1">
      <alignment horizontal="center" vertical="top" wrapText="1"/>
    </xf>
    <xf numFmtId="0" fontId="0" fillId="48" borderId="17" xfId="0" applyFill="1" applyBorder="1" applyAlignment="1">
      <alignment horizontal="left" vertical="top" wrapText="1"/>
    </xf>
    <xf numFmtId="164" fontId="0" fillId="48" borderId="17" xfId="0" applyNumberFormat="1" applyFill="1" applyBorder="1" applyAlignment="1">
      <alignment vertical="top" wrapText="1"/>
    </xf>
    <xf numFmtId="14" fontId="0" fillId="49" borderId="17" xfId="0" applyNumberFormat="1" applyFill="1" applyBorder="1" applyAlignment="1">
      <alignment horizontal="center" vertical="top" wrapText="1"/>
    </xf>
    <xf numFmtId="0" fontId="0" fillId="49" borderId="17" xfId="0" applyFill="1" applyBorder="1" applyAlignment="1">
      <alignment horizontal="center" vertical="top" wrapText="1"/>
    </xf>
    <xf numFmtId="0" fontId="0" fillId="49" borderId="17" xfId="0" applyFill="1" applyBorder="1" applyAlignment="1">
      <alignment horizontal="left" vertical="top" wrapText="1"/>
    </xf>
    <xf numFmtId="164" fontId="0" fillId="49" borderId="17" xfId="0" applyNumberFormat="1" applyFill="1" applyBorder="1" applyAlignment="1">
      <alignment vertical="top" wrapText="1"/>
    </xf>
    <xf numFmtId="14" fontId="0" fillId="0" borderId="17" xfId="0" applyNumberForma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7" xfId="0" applyBorder="1" applyAlignment="1">
      <alignment horizontal="left" vertical="top" wrapText="1"/>
    </xf>
    <xf numFmtId="164" fontId="0" fillId="0" borderId="17" xfId="0" applyNumberFormat="1" applyBorder="1" applyAlignment="1">
      <alignment vertical="top" wrapText="1"/>
    </xf>
    <xf numFmtId="0" fontId="80" fillId="0" borderId="0" xfId="0" applyFont="1"/>
    <xf numFmtId="164" fontId="80" fillId="0" borderId="0" xfId="0" applyNumberFormat="1" applyFont="1"/>
    <xf numFmtId="0" fontId="81" fillId="0" borderId="0" xfId="0" applyFont="1"/>
    <xf numFmtId="14" fontId="0" fillId="0" borderId="17" xfId="0" applyNumberFormat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83" fillId="0" borderId="0" xfId="0" applyFont="1"/>
    <xf numFmtId="0" fontId="84" fillId="0" borderId="0" xfId="0" applyFont="1"/>
    <xf numFmtId="14" fontId="84" fillId="0" borderId="0" xfId="0" applyNumberFormat="1" applyFont="1"/>
    <xf numFmtId="0" fontId="85" fillId="50" borderId="18" xfId="0" applyFont="1" applyFill="1" applyBorder="1" applyAlignment="1">
      <alignment horizontal="center" vertical="center" wrapText="1"/>
    </xf>
    <xf numFmtId="14" fontId="0" fillId="51" borderId="18" xfId="0" applyNumberFormat="1" applyFill="1" applyBorder="1" applyAlignment="1">
      <alignment horizontal="center" vertical="top" wrapText="1"/>
    </xf>
    <xf numFmtId="0" fontId="0" fillId="51" borderId="18" xfId="0" applyFill="1" applyBorder="1" applyAlignment="1">
      <alignment horizontal="center" vertical="top" wrapText="1"/>
    </xf>
    <xf numFmtId="0" fontId="0" fillId="51" borderId="18" xfId="0" applyFill="1" applyBorder="1" applyAlignment="1">
      <alignment horizontal="left" vertical="top" wrapText="1"/>
    </xf>
    <xf numFmtId="164" fontId="0" fillId="51" borderId="18" xfId="0" applyNumberFormat="1" applyFill="1" applyBorder="1" applyAlignment="1">
      <alignment vertical="top" wrapText="1"/>
    </xf>
    <xf numFmtId="14" fontId="0" fillId="52" borderId="18" xfId="0" applyNumberFormat="1" applyFill="1" applyBorder="1" applyAlignment="1">
      <alignment horizontal="center" vertical="top" wrapText="1"/>
    </xf>
    <xf numFmtId="0" fontId="0" fillId="52" borderId="18" xfId="0" applyFill="1" applyBorder="1" applyAlignment="1">
      <alignment horizontal="center" vertical="top" wrapText="1"/>
    </xf>
    <xf numFmtId="0" fontId="0" fillId="52" borderId="18" xfId="0" applyFill="1" applyBorder="1" applyAlignment="1">
      <alignment horizontal="left" vertical="top" wrapText="1"/>
    </xf>
    <xf numFmtId="164" fontId="0" fillId="52" borderId="18" xfId="0" applyNumberFormat="1" applyFill="1" applyBorder="1" applyAlignment="1">
      <alignment vertical="top" wrapText="1"/>
    </xf>
    <xf numFmtId="14" fontId="0" fillId="0" borderId="18" xfId="0" applyNumberForma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164" fontId="0" fillId="0" borderId="18" xfId="0" applyNumberFormat="1" applyBorder="1" applyAlignment="1">
      <alignment vertical="top" wrapText="1"/>
    </xf>
    <xf numFmtId="0" fontId="86" fillId="0" borderId="0" xfId="0" applyFont="1"/>
    <xf numFmtId="164" fontId="86" fillId="0" borderId="0" xfId="0" applyNumberFormat="1" applyFont="1"/>
    <xf numFmtId="0" fontId="87" fillId="0" borderId="0" xfId="0" applyFont="1"/>
    <xf numFmtId="14" fontId="0" fillId="0" borderId="18" xfId="0" applyNumberFormat="1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78" fillId="53" borderId="0" xfId="0" applyFont="1" applyFill="1"/>
    <xf numFmtId="0" fontId="0" fillId="53" borderId="0" xfId="0" applyFill="1"/>
    <xf numFmtId="0" fontId="80" fillId="0" borderId="0" xfId="0" applyFont="1" applyAlignment="1">
      <alignment horizontal="left" vertical="center"/>
    </xf>
    <xf numFmtId="0" fontId="11" fillId="54" borderId="0" xfId="0" applyFont="1" applyFill="1" applyAlignment="1">
      <alignment horizontal="left" vertical="center"/>
    </xf>
    <xf numFmtId="4" fontId="11" fillId="54" borderId="0" xfId="0" applyNumberFormat="1" applyFont="1" applyFill="1" applyAlignment="1">
      <alignment horizontal="right" vertical="center"/>
    </xf>
    <xf numFmtId="4" fontId="0" fillId="54" borderId="0" xfId="0" applyNumberFormat="1" applyFill="1"/>
    <xf numFmtId="0" fontId="80" fillId="55" borderId="0" xfId="0" applyFont="1" applyFill="1" applyAlignment="1">
      <alignment horizontal="left" vertical="center"/>
    </xf>
    <xf numFmtId="4" fontId="80" fillId="55" borderId="0" xfId="0" applyNumberFormat="1" applyFont="1" applyFill="1" applyAlignment="1">
      <alignment horizontal="right" vertical="center"/>
    </xf>
    <xf numFmtId="0" fontId="89" fillId="56" borderId="0" xfId="0" applyFont="1" applyFill="1" applyAlignment="1">
      <alignment horizontal="left" vertical="center"/>
    </xf>
    <xf numFmtId="4" fontId="89" fillId="56" borderId="0" xfId="0" applyNumberFormat="1" applyFont="1" applyFill="1" applyAlignment="1">
      <alignment horizontal="right" vertical="center"/>
    </xf>
    <xf numFmtId="0" fontId="8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/>
    <xf numFmtId="0" fontId="1" fillId="0" borderId="2" xfId="0" applyFont="1" applyBorder="1" applyAlignment="1">
      <alignment horizontal="left"/>
    </xf>
    <xf numFmtId="0" fontId="0" fillId="0" borderId="2" xfId="0" applyBorder="1"/>
    <xf numFmtId="0" fontId="6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22" fillId="0" borderId="2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7" fillId="0" borderId="2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32" fillId="0" borderId="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2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7" fillId="0" borderId="2" xfId="0" applyFont="1" applyBorder="1" applyAlignment="1">
      <alignment horizontal="left"/>
    </xf>
    <xf numFmtId="0" fontId="51" fillId="0" borderId="0" xfId="0" applyFont="1" applyAlignment="1">
      <alignment horizontal="left"/>
    </xf>
    <xf numFmtId="0" fontId="62" fillId="0" borderId="2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73" fillId="0" borderId="2" xfId="0" applyFont="1" applyBorder="1" applyAlignment="1">
      <alignment horizontal="left"/>
    </xf>
    <xf numFmtId="0" fontId="77" fillId="0" borderId="0" xfId="0" applyFont="1" applyAlignment="1">
      <alignment horizontal="left"/>
    </xf>
    <xf numFmtId="0" fontId="78" fillId="0" borderId="2" xfId="0" applyFont="1" applyBorder="1" applyAlignment="1">
      <alignment horizontal="left"/>
    </xf>
    <xf numFmtId="0" fontId="8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7"/>
  <sheetViews>
    <sheetView zoomScale="70" zoomScaleNormal="70" workbookViewId="0">
      <pane xSplit="4" ySplit="2" topLeftCell="E8" activePane="bottomRight" state="frozen"/>
      <selection pane="topRight"/>
      <selection pane="bottomLeft"/>
      <selection pane="bottomRight" activeCell="F19" sqref="F19"/>
    </sheetView>
  </sheetViews>
  <sheetFormatPr defaultRowHeight="14.4" x14ac:dyDescent="0.3"/>
  <cols>
    <col min="1" max="2" width="11.5546875" bestFit="1" customWidth="1"/>
    <col min="3" max="3" width="11.6640625" bestFit="1" customWidth="1"/>
    <col min="4" max="4" width="11.21875" bestFit="1" customWidth="1"/>
    <col min="5" max="5" width="19.109375" bestFit="1" customWidth="1"/>
    <col min="6" max="6" width="29.77734375" bestFit="1" customWidth="1"/>
    <col min="7" max="7" width="14.109375" bestFit="1" customWidth="1"/>
    <col min="8" max="8" width="8.88671875" bestFit="1" customWidth="1"/>
    <col min="9" max="9" width="15.21875" bestFit="1" customWidth="1"/>
    <col min="10" max="10" width="21.21875" bestFit="1" customWidth="1"/>
    <col min="11" max="11" width="61.6640625" customWidth="1"/>
    <col min="12" max="12" width="12.77734375" bestFit="1" customWidth="1"/>
  </cols>
  <sheetData>
    <row r="1" spans="1:12" ht="18" customHeight="1" x14ac:dyDescent="0.35">
      <c r="A1" s="368" t="s">
        <v>0</v>
      </c>
      <c r="B1" s="369"/>
      <c r="C1" s="369"/>
      <c r="D1" s="369"/>
      <c r="E1" s="369"/>
      <c r="K1" s="1">
        <f ca="1">TODAY()</f>
        <v>46211</v>
      </c>
    </row>
    <row r="2" spans="1:12" ht="28.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>
        <v>46149</v>
      </c>
      <c r="B3" s="3">
        <v>46174.369522824083</v>
      </c>
      <c r="C3" s="4" t="s">
        <v>128</v>
      </c>
      <c r="D3" s="4" t="s">
        <v>129</v>
      </c>
      <c r="E3" s="5" t="s">
        <v>75</v>
      </c>
      <c r="F3" s="5" t="s">
        <v>130</v>
      </c>
      <c r="G3" s="6">
        <v>24910.15</v>
      </c>
      <c r="H3" s="4" t="s">
        <v>60</v>
      </c>
      <c r="I3" s="4" t="s">
        <v>18</v>
      </c>
      <c r="J3" s="4" t="s">
        <v>37</v>
      </c>
      <c r="K3" s="5" t="s">
        <v>131</v>
      </c>
      <c r="L3" s="3">
        <f t="shared" ref="L3:L22" si="0">B3</f>
        <v>46174.369522824083</v>
      </c>
    </row>
    <row r="4" spans="1:12" ht="72" customHeight="1" x14ac:dyDescent="0.3">
      <c r="A4" s="3">
        <v>46156</v>
      </c>
      <c r="B4" s="3">
        <v>46174.369522824083</v>
      </c>
      <c r="C4" s="4" t="s">
        <v>132</v>
      </c>
      <c r="D4" s="4" t="s">
        <v>133</v>
      </c>
      <c r="E4" s="5" t="s">
        <v>134</v>
      </c>
      <c r="F4" s="5" t="s">
        <v>135</v>
      </c>
      <c r="G4" s="6">
        <v>234420.6</v>
      </c>
      <c r="H4" s="4" t="s">
        <v>17</v>
      </c>
      <c r="I4" s="4" t="s">
        <v>18</v>
      </c>
      <c r="J4" s="4" t="s">
        <v>37</v>
      </c>
      <c r="K4" s="5" t="s">
        <v>136</v>
      </c>
      <c r="L4" s="3">
        <f t="shared" si="0"/>
        <v>46174.369522824083</v>
      </c>
    </row>
    <row r="5" spans="1:12" x14ac:dyDescent="0.3">
      <c r="A5" s="3">
        <v>46169</v>
      </c>
      <c r="B5" s="3">
        <v>46174.369522824083</v>
      </c>
      <c r="C5" s="4" t="s">
        <v>137</v>
      </c>
      <c r="D5" s="4" t="s">
        <v>138</v>
      </c>
      <c r="E5" s="5" t="s">
        <v>139</v>
      </c>
      <c r="F5" s="5" t="s">
        <v>140</v>
      </c>
      <c r="G5" s="6">
        <v>8856.15</v>
      </c>
      <c r="H5" s="4" t="s">
        <v>17</v>
      </c>
      <c r="I5" s="4" t="s">
        <v>18</v>
      </c>
      <c r="J5" s="4" t="s">
        <v>37</v>
      </c>
      <c r="K5" s="5" t="s">
        <v>141</v>
      </c>
      <c r="L5" s="3">
        <f t="shared" si="0"/>
        <v>46174.369522824083</v>
      </c>
    </row>
    <row r="6" spans="1:12" x14ac:dyDescent="0.3">
      <c r="A6" s="11">
        <v>46171</v>
      </c>
      <c r="B6" s="11">
        <v>46175</v>
      </c>
      <c r="C6" s="12" t="s">
        <v>142</v>
      </c>
      <c r="D6" s="12" t="s">
        <v>143</v>
      </c>
      <c r="E6" s="13" t="s">
        <v>144</v>
      </c>
      <c r="F6" s="13" t="s">
        <v>145</v>
      </c>
      <c r="G6" s="14">
        <v>4118.1499999999996</v>
      </c>
      <c r="H6" s="12" t="s">
        <v>30</v>
      </c>
      <c r="I6" s="12" t="s">
        <v>18</v>
      </c>
      <c r="J6" s="12" t="s">
        <v>31</v>
      </c>
      <c r="K6" s="13" t="s">
        <v>146</v>
      </c>
      <c r="L6" s="11">
        <f t="shared" si="0"/>
        <v>46175</v>
      </c>
    </row>
    <row r="7" spans="1:12" ht="341.4" customHeight="1" x14ac:dyDescent="0.3">
      <c r="A7" s="21">
        <v>46142</v>
      </c>
      <c r="B7" s="21">
        <v>46178</v>
      </c>
      <c r="C7" s="22" t="s">
        <v>13</v>
      </c>
      <c r="D7" s="22" t="s">
        <v>14</v>
      </c>
      <c r="E7" s="23" t="s">
        <v>15</v>
      </c>
      <c r="F7" s="23" t="s">
        <v>16</v>
      </c>
      <c r="G7" s="24">
        <v>251413.01</v>
      </c>
      <c r="H7" s="22" t="s">
        <v>17</v>
      </c>
      <c r="I7" s="22" t="s">
        <v>18</v>
      </c>
      <c r="J7" s="22" t="s">
        <v>19</v>
      </c>
      <c r="K7" s="23" t="s">
        <v>20</v>
      </c>
      <c r="L7" s="21">
        <f t="shared" si="0"/>
        <v>46178</v>
      </c>
    </row>
    <row r="8" spans="1:12" x14ac:dyDescent="0.3">
      <c r="A8" s="7">
        <v>46174</v>
      </c>
      <c r="B8" s="7">
        <v>46185</v>
      </c>
      <c r="C8" s="8" t="s">
        <v>147</v>
      </c>
      <c r="D8" s="8" t="s">
        <v>148</v>
      </c>
      <c r="E8" s="9" t="s">
        <v>149</v>
      </c>
      <c r="F8" s="9" t="s">
        <v>150</v>
      </c>
      <c r="G8" s="10">
        <v>70994.559999999998</v>
      </c>
      <c r="H8" s="8" t="s">
        <v>30</v>
      </c>
      <c r="I8" s="8" t="s">
        <v>21</v>
      </c>
      <c r="J8" s="8"/>
      <c r="K8" s="9" t="s">
        <v>151</v>
      </c>
      <c r="L8" s="7">
        <f t="shared" si="0"/>
        <v>46185</v>
      </c>
    </row>
    <row r="9" spans="1:12" x14ac:dyDescent="0.3">
      <c r="A9" s="21">
        <v>46167</v>
      </c>
      <c r="B9" s="21">
        <v>46195</v>
      </c>
      <c r="C9" s="22" t="s">
        <v>152</v>
      </c>
      <c r="D9" s="22" t="s">
        <v>153</v>
      </c>
      <c r="E9" s="23" t="s">
        <v>154</v>
      </c>
      <c r="F9" s="23" t="s">
        <v>155</v>
      </c>
      <c r="G9" s="24">
        <v>73266.5</v>
      </c>
      <c r="H9" s="22" t="s">
        <v>17</v>
      </c>
      <c r="I9" s="22" t="s">
        <v>18</v>
      </c>
      <c r="J9" s="22" t="s">
        <v>31</v>
      </c>
      <c r="K9" s="23" t="s">
        <v>156</v>
      </c>
      <c r="L9" s="21">
        <f t="shared" si="0"/>
        <v>46195</v>
      </c>
    </row>
    <row r="10" spans="1:12" ht="28.8" customHeight="1" x14ac:dyDescent="0.3">
      <c r="A10" s="11">
        <v>46112</v>
      </c>
      <c r="B10" s="11">
        <v>46199</v>
      </c>
      <c r="C10" s="12" t="s">
        <v>157</v>
      </c>
      <c r="D10" s="12" t="s">
        <v>158</v>
      </c>
      <c r="E10" s="13" t="s">
        <v>159</v>
      </c>
      <c r="F10" s="13" t="s">
        <v>96</v>
      </c>
      <c r="G10" s="14">
        <v>103711</v>
      </c>
      <c r="H10" s="12" t="s">
        <v>60</v>
      </c>
      <c r="I10" s="12" t="s">
        <v>18</v>
      </c>
      <c r="J10" s="12" t="s">
        <v>31</v>
      </c>
      <c r="K10" s="13" t="s">
        <v>160</v>
      </c>
      <c r="L10" s="11">
        <f t="shared" si="0"/>
        <v>46199</v>
      </c>
    </row>
    <row r="11" spans="1:12" ht="28.8" customHeight="1" x14ac:dyDescent="0.3">
      <c r="A11" s="11">
        <v>46155</v>
      </c>
      <c r="B11" s="11">
        <v>46199</v>
      </c>
      <c r="C11" s="12" t="s">
        <v>93</v>
      </c>
      <c r="D11" s="12" t="s">
        <v>94</v>
      </c>
      <c r="E11" s="13" t="s">
        <v>95</v>
      </c>
      <c r="F11" s="13" t="s">
        <v>96</v>
      </c>
      <c r="G11" s="14">
        <v>523356</v>
      </c>
      <c r="H11" s="12" t="s">
        <v>97</v>
      </c>
      <c r="I11" s="12" t="s">
        <v>18</v>
      </c>
      <c r="J11" s="12" t="s">
        <v>31</v>
      </c>
      <c r="K11" s="13" t="s">
        <v>98</v>
      </c>
      <c r="L11" s="11">
        <f t="shared" si="0"/>
        <v>46199</v>
      </c>
    </row>
    <row r="12" spans="1:12" ht="28.8" customHeight="1" x14ac:dyDescent="0.3">
      <c r="A12" s="7">
        <v>46111</v>
      </c>
      <c r="B12" s="7">
        <v>46199</v>
      </c>
      <c r="C12" s="8" t="s">
        <v>161</v>
      </c>
      <c r="D12" s="8" t="s">
        <v>162</v>
      </c>
      <c r="E12" s="9" t="s">
        <v>163</v>
      </c>
      <c r="F12" s="9" t="s">
        <v>164</v>
      </c>
      <c r="G12" s="10">
        <v>9014.2099999999991</v>
      </c>
      <c r="H12" s="8" t="s">
        <v>60</v>
      </c>
      <c r="I12" s="8" t="s">
        <v>21</v>
      </c>
      <c r="J12" s="8"/>
      <c r="K12" s="9" t="s">
        <v>165</v>
      </c>
      <c r="L12" s="7">
        <f t="shared" si="0"/>
        <v>46199</v>
      </c>
    </row>
    <row r="13" spans="1:12" x14ac:dyDescent="0.3">
      <c r="A13" s="7">
        <v>46111</v>
      </c>
      <c r="B13" s="7">
        <v>46199</v>
      </c>
      <c r="C13" s="8" t="s">
        <v>166</v>
      </c>
      <c r="D13" s="8" t="s">
        <v>167</v>
      </c>
      <c r="E13" s="9" t="s">
        <v>168</v>
      </c>
      <c r="F13" s="9" t="s">
        <v>169</v>
      </c>
      <c r="G13" s="10">
        <v>169353.60000000001</v>
      </c>
      <c r="H13" s="8" t="s">
        <v>30</v>
      </c>
      <c r="I13" s="8" t="s">
        <v>21</v>
      </c>
      <c r="J13" s="8"/>
      <c r="K13" s="9" t="s">
        <v>170</v>
      </c>
      <c r="L13" s="7">
        <f t="shared" si="0"/>
        <v>46199</v>
      </c>
    </row>
    <row r="14" spans="1:12" ht="129.6" customHeight="1" x14ac:dyDescent="0.3">
      <c r="A14" s="7">
        <v>46128</v>
      </c>
      <c r="B14" s="7">
        <v>46199</v>
      </c>
      <c r="C14" s="8" t="s">
        <v>21</v>
      </c>
      <c r="D14" s="8" t="s">
        <v>103</v>
      </c>
      <c r="E14" s="9" t="s">
        <v>104</v>
      </c>
      <c r="F14" s="9" t="s">
        <v>105</v>
      </c>
      <c r="G14" s="10">
        <v>82900.05</v>
      </c>
      <c r="H14" s="8" t="s">
        <v>30</v>
      </c>
      <c r="I14" s="8" t="s">
        <v>21</v>
      </c>
      <c r="J14" s="8"/>
      <c r="K14" s="9" t="s">
        <v>106</v>
      </c>
      <c r="L14" s="7">
        <f t="shared" si="0"/>
        <v>46199</v>
      </c>
    </row>
    <row r="15" spans="1:12" ht="28.8" customHeight="1" x14ac:dyDescent="0.3">
      <c r="A15" s="7">
        <v>46142</v>
      </c>
      <c r="B15" s="7">
        <v>46199</v>
      </c>
      <c r="C15" s="8" t="s">
        <v>21</v>
      </c>
      <c r="D15" s="8" t="s">
        <v>22</v>
      </c>
      <c r="E15" s="9" t="s">
        <v>23</v>
      </c>
      <c r="F15" s="9" t="s">
        <v>24</v>
      </c>
      <c r="G15" s="10">
        <v>426010.6</v>
      </c>
      <c r="H15" s="8" t="s">
        <v>17</v>
      </c>
      <c r="I15" s="8" t="s">
        <v>21</v>
      </c>
      <c r="J15" s="8"/>
      <c r="K15" s="9" t="s">
        <v>25</v>
      </c>
      <c r="L15" s="7">
        <f t="shared" si="0"/>
        <v>46199</v>
      </c>
    </row>
    <row r="16" spans="1:12" ht="72" customHeight="1" x14ac:dyDescent="0.3">
      <c r="A16" s="7">
        <v>46142</v>
      </c>
      <c r="B16" s="7">
        <v>46199</v>
      </c>
      <c r="C16" s="8" t="s">
        <v>107</v>
      </c>
      <c r="D16" s="8" t="s">
        <v>108</v>
      </c>
      <c r="E16" s="9" t="s">
        <v>109</v>
      </c>
      <c r="F16" s="9" t="s">
        <v>110</v>
      </c>
      <c r="G16" s="10">
        <v>310411</v>
      </c>
      <c r="H16" s="8" t="s">
        <v>111</v>
      </c>
      <c r="I16" s="8" t="s">
        <v>21</v>
      </c>
      <c r="J16" s="8"/>
      <c r="K16" s="9" t="s">
        <v>112</v>
      </c>
      <c r="L16" s="7">
        <f t="shared" si="0"/>
        <v>46199</v>
      </c>
    </row>
    <row r="17" spans="1:12" x14ac:dyDescent="0.3">
      <c r="A17" s="7">
        <v>46142</v>
      </c>
      <c r="B17" s="7">
        <v>46199</v>
      </c>
      <c r="C17" s="8" t="s">
        <v>21</v>
      </c>
      <c r="D17" s="8" t="s">
        <v>113</v>
      </c>
      <c r="E17" s="9" t="s">
        <v>114</v>
      </c>
      <c r="F17" s="9" t="s">
        <v>115</v>
      </c>
      <c r="G17" s="10">
        <v>204447</v>
      </c>
      <c r="H17" s="8" t="s">
        <v>17</v>
      </c>
      <c r="I17" s="8" t="s">
        <v>21</v>
      </c>
      <c r="J17" s="8"/>
      <c r="K17" s="9" t="s">
        <v>116</v>
      </c>
      <c r="L17" s="7">
        <f t="shared" si="0"/>
        <v>46199</v>
      </c>
    </row>
    <row r="18" spans="1:12" ht="28.8" customHeight="1" x14ac:dyDescent="0.3">
      <c r="A18" s="11">
        <v>46167</v>
      </c>
      <c r="B18" s="11">
        <v>46203</v>
      </c>
      <c r="C18" s="12" t="s">
        <v>56</v>
      </c>
      <c r="D18" s="12" t="s">
        <v>57</v>
      </c>
      <c r="E18" s="13" t="s">
        <v>58</v>
      </c>
      <c r="F18" s="13" t="s">
        <v>59</v>
      </c>
      <c r="G18" s="14">
        <v>220505.60000000001</v>
      </c>
      <c r="H18" s="12" t="s">
        <v>60</v>
      </c>
      <c r="I18" s="12" t="s">
        <v>18</v>
      </c>
      <c r="J18" s="12" t="s">
        <v>31</v>
      </c>
      <c r="K18" s="13" t="s">
        <v>61</v>
      </c>
      <c r="L18" s="11">
        <f t="shared" si="0"/>
        <v>46203</v>
      </c>
    </row>
    <row r="19" spans="1:12" ht="28.8" customHeight="1" x14ac:dyDescent="0.3">
      <c r="A19" s="11">
        <v>46167</v>
      </c>
      <c r="B19" s="11">
        <v>46203</v>
      </c>
      <c r="C19" s="12" t="s">
        <v>171</v>
      </c>
      <c r="D19" s="12" t="s">
        <v>172</v>
      </c>
      <c r="E19" s="13" t="s">
        <v>173</v>
      </c>
      <c r="F19" s="13" t="s">
        <v>174</v>
      </c>
      <c r="G19" s="14">
        <v>25694.45</v>
      </c>
      <c r="H19" s="12" t="s">
        <v>60</v>
      </c>
      <c r="I19" s="12" t="s">
        <v>18</v>
      </c>
      <c r="J19" s="12" t="s">
        <v>31</v>
      </c>
      <c r="K19" s="13" t="s">
        <v>175</v>
      </c>
      <c r="L19" s="11">
        <f t="shared" si="0"/>
        <v>46203</v>
      </c>
    </row>
    <row r="20" spans="1:12" x14ac:dyDescent="0.3">
      <c r="A20" s="11">
        <v>46171</v>
      </c>
      <c r="B20" s="11">
        <v>46203</v>
      </c>
      <c r="C20" s="12" t="s">
        <v>176</v>
      </c>
      <c r="D20" s="12" t="s">
        <v>177</v>
      </c>
      <c r="E20" s="13" t="s">
        <v>178</v>
      </c>
      <c r="F20" s="13" t="s">
        <v>179</v>
      </c>
      <c r="G20" s="14">
        <v>13562.64</v>
      </c>
      <c r="H20" s="12" t="s">
        <v>30</v>
      </c>
      <c r="I20" s="12" t="s">
        <v>18</v>
      </c>
      <c r="J20" s="12" t="s">
        <v>31</v>
      </c>
      <c r="K20" s="13" t="s">
        <v>180</v>
      </c>
      <c r="L20" s="11">
        <f t="shared" si="0"/>
        <v>46203</v>
      </c>
    </row>
    <row r="21" spans="1:12" x14ac:dyDescent="0.3">
      <c r="A21" s="11">
        <v>46171</v>
      </c>
      <c r="B21" s="11">
        <v>46203</v>
      </c>
      <c r="C21" s="12" t="s">
        <v>84</v>
      </c>
      <c r="D21" s="12" t="s">
        <v>85</v>
      </c>
      <c r="E21" s="13" t="s">
        <v>86</v>
      </c>
      <c r="F21" s="13" t="s">
        <v>87</v>
      </c>
      <c r="G21" s="14">
        <v>18400</v>
      </c>
      <c r="H21" s="12" t="s">
        <v>30</v>
      </c>
      <c r="I21" s="12" t="s">
        <v>18</v>
      </c>
      <c r="J21" s="12" t="s">
        <v>31</v>
      </c>
      <c r="K21" s="13" t="s">
        <v>88</v>
      </c>
      <c r="L21" s="11">
        <f t="shared" si="0"/>
        <v>46203</v>
      </c>
    </row>
    <row r="22" spans="1:12" x14ac:dyDescent="0.3">
      <c r="A22" s="7">
        <v>46170</v>
      </c>
      <c r="B22" s="7">
        <v>46203</v>
      </c>
      <c r="C22" s="8" t="s">
        <v>21</v>
      </c>
      <c r="D22" s="8" t="s">
        <v>89</v>
      </c>
      <c r="E22" s="9" t="s">
        <v>90</v>
      </c>
      <c r="F22" s="9" t="s">
        <v>91</v>
      </c>
      <c r="G22" s="10">
        <v>1860403.01</v>
      </c>
      <c r="H22" s="8" t="s">
        <v>30</v>
      </c>
      <c r="I22" s="8" t="s">
        <v>21</v>
      </c>
      <c r="J22" s="8"/>
      <c r="K22" s="9" t="s">
        <v>92</v>
      </c>
      <c r="L22" s="7">
        <f t="shared" si="0"/>
        <v>46203</v>
      </c>
    </row>
    <row r="23" spans="1:12" x14ac:dyDescent="0.3">
      <c r="F23" s="15" t="s">
        <v>117</v>
      </c>
      <c r="G23" s="16">
        <f>SUMIF(I3:I22,"&lt;&gt;Pending",G3:G22)</f>
        <v>1502214.25</v>
      </c>
    </row>
    <row r="25" spans="1:12" x14ac:dyDescent="0.3">
      <c r="F25" s="17" t="s">
        <v>118</v>
      </c>
    </row>
    <row r="26" spans="1:12" x14ac:dyDescent="0.3">
      <c r="F26" t="s">
        <v>119</v>
      </c>
      <c r="G26" s="18">
        <f ca="1">SUMIFS(G3:G22, J3:J22, "*CASH SALE*", L3:L22, "&gt;="&amp;EOMONTH(TODAY(),-1)+1, L3:L22, "&lt;="&amp;EOMONTH(TODAY(),0), I3:I22, "&lt;&gt;Pending")</f>
        <v>0</v>
      </c>
      <c r="I26" t="s">
        <v>120</v>
      </c>
      <c r="J26" s="18">
        <f ca="1">SUMIFS(G3:G22, J3:J22, "*CASH SALE*", L3:L22, "&gt;="&amp;EOMONTH(TODAY(),0)+1, L3:L22, "&lt;="&amp;EOMONTH(TODAY(),1), I3:I22, "&lt;&gt;Pending")</f>
        <v>0</v>
      </c>
    </row>
    <row r="27" spans="1:12" x14ac:dyDescent="0.3">
      <c r="F27" t="s">
        <v>121</v>
      </c>
      <c r="G27" s="18">
        <f ca="1">SUMIFS(G3:G22, J3:J22, "*ACCOUNT*", L3:L22, "&gt;="&amp;EOMONTH(TODAY(),-1)+1, L3:L22, "&lt;="&amp;EOMONTH(TODAY(),0), I3:I22, "&lt;&gt;Pending")</f>
        <v>0</v>
      </c>
      <c r="I27" t="s">
        <v>122</v>
      </c>
      <c r="J27" s="18">
        <f ca="1">SUMIFS(G3:G22, J3:J22, "*ACCOUNT*", L3:L22, "&gt;="&amp;EOMONTH(TODAY(),0)+1, L3:L22, "&lt;="&amp;EOMONTH(TODAY(),1), I3:I22, "&lt;&gt;Pending")</f>
        <v>0</v>
      </c>
    </row>
    <row r="29" spans="1:12" ht="28.8" customHeight="1" x14ac:dyDescent="0.3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2" t="s">
        <v>10</v>
      </c>
      <c r="K29" s="2" t="s">
        <v>123</v>
      </c>
    </row>
    <row r="30" spans="1:12" x14ac:dyDescent="0.3">
      <c r="A30" s="19">
        <v>46149</v>
      </c>
      <c r="B30" s="19">
        <v>46174.369522824083</v>
      </c>
      <c r="C30" s="20" t="s">
        <v>128</v>
      </c>
      <c r="D30" s="20" t="s">
        <v>129</v>
      </c>
      <c r="E30" s="20" t="s">
        <v>75</v>
      </c>
      <c r="F30" s="20" t="s">
        <v>130</v>
      </c>
      <c r="G30" s="14">
        <v>24910.15</v>
      </c>
      <c r="H30" s="20" t="s">
        <v>60</v>
      </c>
      <c r="I30" s="20" t="s">
        <v>18</v>
      </c>
      <c r="J30" s="20" t="s">
        <v>37</v>
      </c>
      <c r="K30" s="13"/>
    </row>
    <row r="31" spans="1:12" x14ac:dyDescent="0.3">
      <c r="A31" s="19">
        <v>46156</v>
      </c>
      <c r="B31" s="19">
        <v>46174.369522824083</v>
      </c>
      <c r="C31" s="20" t="s">
        <v>132</v>
      </c>
      <c r="D31" s="20" t="s">
        <v>133</v>
      </c>
      <c r="E31" s="20" t="s">
        <v>134</v>
      </c>
      <c r="F31" s="20" t="s">
        <v>135</v>
      </c>
      <c r="G31" s="14">
        <v>234420.6</v>
      </c>
      <c r="H31" s="20" t="s">
        <v>17</v>
      </c>
      <c r="I31" s="20" t="s">
        <v>18</v>
      </c>
      <c r="J31" s="20" t="s">
        <v>37</v>
      </c>
      <c r="K31" s="13"/>
    </row>
    <row r="32" spans="1:12" x14ac:dyDescent="0.3">
      <c r="A32" s="19">
        <v>46169</v>
      </c>
      <c r="B32" s="19">
        <v>46174.369522824083</v>
      </c>
      <c r="C32" s="20" t="s">
        <v>21</v>
      </c>
      <c r="D32" s="20" t="s">
        <v>138</v>
      </c>
      <c r="E32" s="20" t="s">
        <v>139</v>
      </c>
      <c r="F32" s="20" t="s">
        <v>140</v>
      </c>
      <c r="G32" s="14">
        <v>8856.15</v>
      </c>
      <c r="H32" s="20" t="s">
        <v>17</v>
      </c>
      <c r="I32" s="20" t="s">
        <v>18</v>
      </c>
      <c r="J32" s="20" t="s">
        <v>37</v>
      </c>
      <c r="K32" s="13"/>
    </row>
    <row r="33" spans="1:7" x14ac:dyDescent="0.3">
      <c r="F33" s="15" t="s">
        <v>124</v>
      </c>
      <c r="G33" s="16">
        <f>SUM(G30:G32)</f>
        <v>268186.90000000002</v>
      </c>
    </row>
    <row r="35" spans="1:7" x14ac:dyDescent="0.3">
      <c r="F35" s="15" t="s">
        <v>125</v>
      </c>
      <c r="G35" s="16">
        <f>SUMIFS(G3:G22, I3:I22, "*Ready*Dispatch*")</f>
        <v>0</v>
      </c>
    </row>
    <row r="36" spans="1:7" x14ac:dyDescent="0.3">
      <c r="A36" s="366" t="s">
        <v>181</v>
      </c>
      <c r="B36" s="367"/>
      <c r="C36" s="367"/>
      <c r="D36" s="367"/>
    </row>
    <row r="37" spans="1:7" x14ac:dyDescent="0.3">
      <c r="A37" s="366" t="s">
        <v>182</v>
      </c>
      <c r="B37" s="367"/>
      <c r="C37" s="367"/>
      <c r="D37" s="367"/>
    </row>
  </sheetData>
  <mergeCells count="3">
    <mergeCell ref="A37:D37"/>
    <mergeCell ref="A1:E1"/>
    <mergeCell ref="A36:D36"/>
  </mergeCells>
  <pageMargins left="0.25" right="0.25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2"/>
  <sheetViews>
    <sheetView zoomScale="70" zoomScaleNormal="70" workbookViewId="0">
      <pane xSplit="4" ySplit="2" topLeftCell="E10" activePane="bottomRight" state="frozen"/>
      <selection pane="topRight"/>
      <selection pane="bottomLeft"/>
      <selection pane="bottomRight" activeCell="F10" sqref="F10"/>
    </sheetView>
  </sheetViews>
  <sheetFormatPr defaultRowHeight="14.4" x14ac:dyDescent="0.3"/>
  <cols>
    <col min="1" max="2" width="11.5546875" bestFit="1" customWidth="1"/>
    <col min="3" max="3" width="11.6640625" bestFit="1" customWidth="1"/>
    <col min="4" max="4" width="11.21875" bestFit="1" customWidth="1"/>
    <col min="5" max="5" width="19.109375" bestFit="1" customWidth="1"/>
    <col min="6" max="6" width="29.77734375" bestFit="1" customWidth="1"/>
    <col min="7" max="7" width="14.109375" bestFit="1" customWidth="1"/>
    <col min="8" max="8" width="8.88671875" bestFit="1" customWidth="1"/>
    <col min="9" max="9" width="15.21875" bestFit="1" customWidth="1"/>
    <col min="10" max="10" width="21.21875" bestFit="1" customWidth="1"/>
    <col min="11" max="11" width="63.109375" bestFit="1" customWidth="1"/>
    <col min="12" max="12" width="12.77734375" bestFit="1" customWidth="1"/>
  </cols>
  <sheetData>
    <row r="1" spans="1:12" ht="18" customHeight="1" x14ac:dyDescent="0.35">
      <c r="A1" s="370" t="s">
        <v>0</v>
      </c>
      <c r="B1" s="369"/>
      <c r="C1" s="369"/>
      <c r="D1" s="369"/>
      <c r="E1" s="369"/>
      <c r="K1" s="25">
        <f ca="1">TODAY()</f>
        <v>46211</v>
      </c>
    </row>
    <row r="2" spans="1:12" ht="43.2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26" t="s">
        <v>11</v>
      </c>
      <c r="L2" s="26" t="s">
        <v>12</v>
      </c>
    </row>
    <row r="3" spans="1:12" x14ac:dyDescent="0.3">
      <c r="A3" s="27">
        <v>46174</v>
      </c>
      <c r="B3" s="27">
        <v>46175</v>
      </c>
      <c r="C3" s="28" t="s">
        <v>183</v>
      </c>
      <c r="D3" s="28" t="s">
        <v>184</v>
      </c>
      <c r="E3" s="29" t="s">
        <v>185</v>
      </c>
      <c r="F3" s="29" t="s">
        <v>186</v>
      </c>
      <c r="G3" s="30">
        <v>21769.5</v>
      </c>
      <c r="H3" s="28" t="s">
        <v>111</v>
      </c>
      <c r="I3" s="28" t="s">
        <v>18</v>
      </c>
      <c r="J3" s="28" t="s">
        <v>37</v>
      </c>
      <c r="K3" s="29" t="s">
        <v>187</v>
      </c>
      <c r="L3" s="27">
        <f t="shared" ref="L3:L23" si="0">B3</f>
        <v>46175</v>
      </c>
    </row>
    <row r="4" spans="1:12" x14ac:dyDescent="0.3">
      <c r="A4" s="27">
        <v>46143</v>
      </c>
      <c r="B4" s="27">
        <v>46175.326131747694</v>
      </c>
      <c r="C4" s="28" t="s">
        <v>188</v>
      </c>
      <c r="D4" s="28" t="s">
        <v>189</v>
      </c>
      <c r="E4" s="29" t="s">
        <v>188</v>
      </c>
      <c r="F4" s="29" t="s">
        <v>190</v>
      </c>
      <c r="G4" s="30">
        <v>15927.5</v>
      </c>
      <c r="H4" s="28" t="s">
        <v>17</v>
      </c>
      <c r="I4" s="28" t="s">
        <v>18</v>
      </c>
      <c r="J4" s="28" t="s">
        <v>37</v>
      </c>
      <c r="K4" s="29" t="s">
        <v>191</v>
      </c>
      <c r="L4" s="27">
        <f t="shared" si="0"/>
        <v>46175.326131747694</v>
      </c>
    </row>
    <row r="5" spans="1:12" x14ac:dyDescent="0.3">
      <c r="A5" s="27">
        <v>46149</v>
      </c>
      <c r="B5" s="27">
        <v>46175.326131747694</v>
      </c>
      <c r="C5" s="28" t="s">
        <v>128</v>
      </c>
      <c r="D5" s="28" t="s">
        <v>129</v>
      </c>
      <c r="E5" s="29" t="s">
        <v>75</v>
      </c>
      <c r="F5" s="29" t="s">
        <v>130</v>
      </c>
      <c r="G5" s="30">
        <v>24910.15</v>
      </c>
      <c r="H5" s="28" t="s">
        <v>60</v>
      </c>
      <c r="I5" s="28" t="s">
        <v>18</v>
      </c>
      <c r="J5" s="28" t="s">
        <v>37</v>
      </c>
      <c r="K5" s="29" t="s">
        <v>131</v>
      </c>
      <c r="L5" s="27">
        <f t="shared" si="0"/>
        <v>46175.326131747694</v>
      </c>
    </row>
    <row r="6" spans="1:12" ht="72" customHeight="1" x14ac:dyDescent="0.3">
      <c r="A6" s="27">
        <v>46156</v>
      </c>
      <c r="B6" s="27">
        <v>46175.326131747694</v>
      </c>
      <c r="C6" s="28" t="s">
        <v>132</v>
      </c>
      <c r="D6" s="28" t="s">
        <v>133</v>
      </c>
      <c r="E6" s="29" t="s">
        <v>134</v>
      </c>
      <c r="F6" s="29" t="s">
        <v>135</v>
      </c>
      <c r="G6" s="30">
        <v>78420.600000000006</v>
      </c>
      <c r="H6" s="28" t="s">
        <v>17</v>
      </c>
      <c r="I6" s="28" t="s">
        <v>18</v>
      </c>
      <c r="J6" s="28" t="s">
        <v>37</v>
      </c>
      <c r="K6" s="29" t="s">
        <v>136</v>
      </c>
      <c r="L6" s="27">
        <f t="shared" si="0"/>
        <v>46175.326131747694</v>
      </c>
    </row>
    <row r="7" spans="1:12" x14ac:dyDescent="0.3">
      <c r="A7" s="27">
        <v>46169</v>
      </c>
      <c r="B7" s="27">
        <v>46175.326131747694</v>
      </c>
      <c r="C7" s="28" t="s">
        <v>137</v>
      </c>
      <c r="D7" s="28" t="s">
        <v>138</v>
      </c>
      <c r="E7" s="29" t="s">
        <v>139</v>
      </c>
      <c r="F7" s="29" t="s">
        <v>140</v>
      </c>
      <c r="G7" s="30">
        <v>8856.15</v>
      </c>
      <c r="H7" s="28" t="s">
        <v>17</v>
      </c>
      <c r="I7" s="28" t="s">
        <v>18</v>
      </c>
      <c r="J7" s="28" t="s">
        <v>37</v>
      </c>
      <c r="K7" s="29" t="s">
        <v>141</v>
      </c>
      <c r="L7" s="27">
        <f t="shared" si="0"/>
        <v>46175.326131747694</v>
      </c>
    </row>
    <row r="8" spans="1:12" x14ac:dyDescent="0.3">
      <c r="A8" s="27">
        <v>46174</v>
      </c>
      <c r="B8" s="27">
        <v>46175.326131747694</v>
      </c>
      <c r="C8" s="28" t="s">
        <v>192</v>
      </c>
      <c r="D8" s="28" t="s">
        <v>193</v>
      </c>
      <c r="E8" s="29" t="s">
        <v>75</v>
      </c>
      <c r="F8" s="29" t="s">
        <v>194</v>
      </c>
      <c r="G8" s="30">
        <v>47775.6</v>
      </c>
      <c r="H8" s="28" t="s">
        <v>60</v>
      </c>
      <c r="I8" s="28" t="s">
        <v>18</v>
      </c>
      <c r="J8" s="28" t="s">
        <v>37</v>
      </c>
      <c r="K8" s="29" t="s">
        <v>195</v>
      </c>
      <c r="L8" s="27">
        <f t="shared" si="0"/>
        <v>46175.326131747694</v>
      </c>
    </row>
    <row r="9" spans="1:12" ht="316.8" customHeight="1" x14ac:dyDescent="0.3">
      <c r="A9" s="35">
        <v>46142</v>
      </c>
      <c r="B9" s="35">
        <v>46178</v>
      </c>
      <c r="C9" s="36" t="s">
        <v>13</v>
      </c>
      <c r="D9" s="36" t="s">
        <v>14</v>
      </c>
      <c r="E9" s="37" t="s">
        <v>15</v>
      </c>
      <c r="F9" s="37" t="s">
        <v>16</v>
      </c>
      <c r="G9" s="38">
        <v>251413.01</v>
      </c>
      <c r="H9" s="36" t="s">
        <v>17</v>
      </c>
      <c r="I9" s="36" t="s">
        <v>18</v>
      </c>
      <c r="J9" s="36" t="s">
        <v>19</v>
      </c>
      <c r="K9" s="37" t="s">
        <v>20</v>
      </c>
      <c r="L9" s="35">
        <f t="shared" si="0"/>
        <v>46178</v>
      </c>
    </row>
    <row r="10" spans="1:12" ht="28.8" customHeight="1" x14ac:dyDescent="0.3">
      <c r="A10" s="35">
        <v>46167</v>
      </c>
      <c r="B10" s="35">
        <v>46178</v>
      </c>
      <c r="C10" s="36" t="s">
        <v>171</v>
      </c>
      <c r="D10" s="36" t="s">
        <v>172</v>
      </c>
      <c r="E10" s="37" t="s">
        <v>173</v>
      </c>
      <c r="F10" s="37" t="s">
        <v>174</v>
      </c>
      <c r="G10" s="38">
        <v>25694.45</v>
      </c>
      <c r="H10" s="36" t="s">
        <v>60</v>
      </c>
      <c r="I10" s="36" t="s">
        <v>18</v>
      </c>
      <c r="J10" s="36" t="s">
        <v>31</v>
      </c>
      <c r="K10" s="37" t="s">
        <v>175</v>
      </c>
      <c r="L10" s="35">
        <f t="shared" si="0"/>
        <v>46178</v>
      </c>
    </row>
    <row r="11" spans="1:12" x14ac:dyDescent="0.3">
      <c r="A11" s="31">
        <v>46174</v>
      </c>
      <c r="B11" s="31">
        <v>46192</v>
      </c>
      <c r="C11" s="32" t="s">
        <v>147</v>
      </c>
      <c r="D11" s="32" t="s">
        <v>148</v>
      </c>
      <c r="E11" s="33" t="s">
        <v>149</v>
      </c>
      <c r="F11" s="33" t="s">
        <v>150</v>
      </c>
      <c r="G11" s="34">
        <v>70994.559999999998</v>
      </c>
      <c r="H11" s="32" t="s">
        <v>30</v>
      </c>
      <c r="I11" s="32" t="s">
        <v>21</v>
      </c>
      <c r="J11" s="32"/>
      <c r="K11" s="33" t="s">
        <v>151</v>
      </c>
      <c r="L11" s="31">
        <f t="shared" si="0"/>
        <v>46192</v>
      </c>
    </row>
    <row r="12" spans="1:12" x14ac:dyDescent="0.3">
      <c r="A12" s="35">
        <v>46167</v>
      </c>
      <c r="B12" s="35">
        <v>46195</v>
      </c>
      <c r="C12" s="36" t="s">
        <v>152</v>
      </c>
      <c r="D12" s="36" t="s">
        <v>153</v>
      </c>
      <c r="E12" s="37" t="s">
        <v>154</v>
      </c>
      <c r="F12" s="37" t="s">
        <v>155</v>
      </c>
      <c r="G12" s="38">
        <v>73266.5</v>
      </c>
      <c r="H12" s="36" t="s">
        <v>17</v>
      </c>
      <c r="I12" s="36" t="s">
        <v>18</v>
      </c>
      <c r="J12" s="36" t="s">
        <v>31</v>
      </c>
      <c r="K12" s="37" t="s">
        <v>156</v>
      </c>
      <c r="L12" s="35">
        <f t="shared" si="0"/>
        <v>46195</v>
      </c>
    </row>
    <row r="13" spans="1:12" ht="28.8" customHeight="1" x14ac:dyDescent="0.3">
      <c r="A13" s="35">
        <v>46112</v>
      </c>
      <c r="B13" s="35">
        <v>46202</v>
      </c>
      <c r="C13" s="36" t="s">
        <v>157</v>
      </c>
      <c r="D13" s="36" t="s">
        <v>158</v>
      </c>
      <c r="E13" s="37" t="s">
        <v>159</v>
      </c>
      <c r="F13" s="37" t="s">
        <v>96</v>
      </c>
      <c r="G13" s="38">
        <v>103711</v>
      </c>
      <c r="H13" s="36" t="s">
        <v>60</v>
      </c>
      <c r="I13" s="36" t="s">
        <v>18</v>
      </c>
      <c r="J13" s="36" t="s">
        <v>31</v>
      </c>
      <c r="K13" s="37" t="s">
        <v>160</v>
      </c>
      <c r="L13" s="35">
        <f t="shared" si="0"/>
        <v>46202</v>
      </c>
    </row>
    <row r="14" spans="1:12" ht="28.8" customHeight="1" x14ac:dyDescent="0.3">
      <c r="A14" s="35">
        <v>46155</v>
      </c>
      <c r="B14" s="35">
        <v>46202</v>
      </c>
      <c r="C14" s="36" t="s">
        <v>93</v>
      </c>
      <c r="D14" s="36" t="s">
        <v>94</v>
      </c>
      <c r="E14" s="37" t="s">
        <v>95</v>
      </c>
      <c r="F14" s="37" t="s">
        <v>96</v>
      </c>
      <c r="G14" s="38">
        <v>523356</v>
      </c>
      <c r="H14" s="36" t="s">
        <v>97</v>
      </c>
      <c r="I14" s="36" t="s">
        <v>18</v>
      </c>
      <c r="J14" s="36" t="s">
        <v>31</v>
      </c>
      <c r="K14" s="37" t="s">
        <v>98</v>
      </c>
      <c r="L14" s="35">
        <f t="shared" si="0"/>
        <v>46202</v>
      </c>
    </row>
    <row r="15" spans="1:12" ht="28.8" customHeight="1" x14ac:dyDescent="0.3">
      <c r="A15" s="35">
        <v>46167</v>
      </c>
      <c r="B15" s="35">
        <v>46202</v>
      </c>
      <c r="C15" s="36" t="s">
        <v>56</v>
      </c>
      <c r="D15" s="36" t="s">
        <v>57</v>
      </c>
      <c r="E15" s="37" t="s">
        <v>58</v>
      </c>
      <c r="F15" s="37" t="s">
        <v>59</v>
      </c>
      <c r="G15" s="38">
        <v>220505.60000000001</v>
      </c>
      <c r="H15" s="36" t="s">
        <v>60</v>
      </c>
      <c r="I15" s="36" t="s">
        <v>18</v>
      </c>
      <c r="J15" s="36" t="s">
        <v>31</v>
      </c>
      <c r="K15" s="37" t="s">
        <v>61</v>
      </c>
      <c r="L15" s="35">
        <f t="shared" si="0"/>
        <v>46202</v>
      </c>
    </row>
    <row r="16" spans="1:12" x14ac:dyDescent="0.3">
      <c r="A16" s="31">
        <v>46111</v>
      </c>
      <c r="B16" s="31">
        <v>46203</v>
      </c>
      <c r="C16" s="32" t="s">
        <v>166</v>
      </c>
      <c r="D16" s="32" t="s">
        <v>167</v>
      </c>
      <c r="E16" s="33" t="s">
        <v>168</v>
      </c>
      <c r="F16" s="33" t="s">
        <v>169</v>
      </c>
      <c r="G16" s="34">
        <v>169353.60000000001</v>
      </c>
      <c r="H16" s="32" t="s">
        <v>30</v>
      </c>
      <c r="I16" s="32" t="s">
        <v>21</v>
      </c>
      <c r="J16" s="32"/>
      <c r="K16" s="33" t="s">
        <v>170</v>
      </c>
      <c r="L16" s="31">
        <f t="shared" si="0"/>
        <v>46203</v>
      </c>
    </row>
    <row r="17" spans="1:12" ht="129.6" customHeight="1" x14ac:dyDescent="0.3">
      <c r="A17" s="31">
        <v>46128</v>
      </c>
      <c r="B17" s="31">
        <v>46203</v>
      </c>
      <c r="C17" s="32" t="s">
        <v>21</v>
      </c>
      <c r="D17" s="32" t="s">
        <v>103</v>
      </c>
      <c r="E17" s="33" t="s">
        <v>104</v>
      </c>
      <c r="F17" s="33" t="s">
        <v>105</v>
      </c>
      <c r="G17" s="34">
        <v>82900.05</v>
      </c>
      <c r="H17" s="32" t="s">
        <v>30</v>
      </c>
      <c r="I17" s="32" t="s">
        <v>21</v>
      </c>
      <c r="J17" s="32"/>
      <c r="K17" s="33" t="s">
        <v>106</v>
      </c>
      <c r="L17" s="31">
        <f t="shared" si="0"/>
        <v>46203</v>
      </c>
    </row>
    <row r="18" spans="1:12" ht="28.8" customHeight="1" x14ac:dyDescent="0.3">
      <c r="A18" s="31">
        <v>46142</v>
      </c>
      <c r="B18" s="31">
        <v>46203</v>
      </c>
      <c r="C18" s="32" t="s">
        <v>21</v>
      </c>
      <c r="D18" s="32" t="s">
        <v>22</v>
      </c>
      <c r="E18" s="33" t="s">
        <v>23</v>
      </c>
      <c r="F18" s="33" t="s">
        <v>24</v>
      </c>
      <c r="G18" s="34">
        <v>426010.6</v>
      </c>
      <c r="H18" s="32" t="s">
        <v>17</v>
      </c>
      <c r="I18" s="32" t="s">
        <v>21</v>
      </c>
      <c r="J18" s="32"/>
      <c r="K18" s="33" t="s">
        <v>25</v>
      </c>
      <c r="L18" s="31">
        <f t="shared" si="0"/>
        <v>46203</v>
      </c>
    </row>
    <row r="19" spans="1:12" ht="72" customHeight="1" x14ac:dyDescent="0.3">
      <c r="A19" s="31">
        <v>46142</v>
      </c>
      <c r="B19" s="31">
        <v>46203</v>
      </c>
      <c r="C19" s="32" t="s">
        <v>107</v>
      </c>
      <c r="D19" s="32" t="s">
        <v>108</v>
      </c>
      <c r="E19" s="33" t="s">
        <v>109</v>
      </c>
      <c r="F19" s="33" t="s">
        <v>110</v>
      </c>
      <c r="G19" s="34">
        <v>310411</v>
      </c>
      <c r="H19" s="32" t="s">
        <v>111</v>
      </c>
      <c r="I19" s="32" t="s">
        <v>21</v>
      </c>
      <c r="J19" s="32"/>
      <c r="K19" s="33" t="s">
        <v>112</v>
      </c>
      <c r="L19" s="31">
        <f t="shared" si="0"/>
        <v>46203</v>
      </c>
    </row>
    <row r="20" spans="1:12" x14ac:dyDescent="0.3">
      <c r="A20" s="31">
        <v>46142</v>
      </c>
      <c r="B20" s="31">
        <v>46203</v>
      </c>
      <c r="C20" s="32" t="s">
        <v>21</v>
      </c>
      <c r="D20" s="32" t="s">
        <v>113</v>
      </c>
      <c r="E20" s="33" t="s">
        <v>114</v>
      </c>
      <c r="F20" s="33" t="s">
        <v>115</v>
      </c>
      <c r="G20" s="34">
        <v>204447</v>
      </c>
      <c r="H20" s="32" t="s">
        <v>17</v>
      </c>
      <c r="I20" s="32" t="s">
        <v>21</v>
      </c>
      <c r="J20" s="32"/>
      <c r="K20" s="33" t="s">
        <v>116</v>
      </c>
      <c r="L20" s="31">
        <f t="shared" si="0"/>
        <v>46203</v>
      </c>
    </row>
    <row r="21" spans="1:12" x14ac:dyDescent="0.3">
      <c r="A21" s="35">
        <v>46171</v>
      </c>
      <c r="B21" s="35">
        <v>46227</v>
      </c>
      <c r="C21" s="36" t="s">
        <v>176</v>
      </c>
      <c r="D21" s="36" t="s">
        <v>177</v>
      </c>
      <c r="E21" s="37" t="s">
        <v>178</v>
      </c>
      <c r="F21" s="37" t="s">
        <v>179</v>
      </c>
      <c r="G21" s="38">
        <v>13562.64</v>
      </c>
      <c r="H21" s="36" t="s">
        <v>30</v>
      </c>
      <c r="I21" s="36" t="s">
        <v>18</v>
      </c>
      <c r="J21" s="36" t="s">
        <v>31</v>
      </c>
      <c r="K21" s="37" t="s">
        <v>180</v>
      </c>
      <c r="L21" s="35">
        <f t="shared" si="0"/>
        <v>46227</v>
      </c>
    </row>
    <row r="22" spans="1:12" x14ac:dyDescent="0.3">
      <c r="A22" s="35">
        <v>46171</v>
      </c>
      <c r="B22" s="35">
        <v>46227</v>
      </c>
      <c r="C22" s="36" t="s">
        <v>84</v>
      </c>
      <c r="D22" s="36" t="s">
        <v>85</v>
      </c>
      <c r="E22" s="37" t="s">
        <v>86</v>
      </c>
      <c r="F22" s="37" t="s">
        <v>87</v>
      </c>
      <c r="G22" s="38">
        <v>18400</v>
      </c>
      <c r="H22" s="36" t="s">
        <v>30</v>
      </c>
      <c r="I22" s="36" t="s">
        <v>18</v>
      </c>
      <c r="J22" s="36" t="s">
        <v>31</v>
      </c>
      <c r="K22" s="37" t="s">
        <v>88</v>
      </c>
      <c r="L22" s="35">
        <f t="shared" si="0"/>
        <v>46227</v>
      </c>
    </row>
    <row r="23" spans="1:12" x14ac:dyDescent="0.3">
      <c r="A23" s="31">
        <v>46170</v>
      </c>
      <c r="B23" s="31">
        <v>46227</v>
      </c>
      <c r="C23" s="32" t="s">
        <v>21</v>
      </c>
      <c r="D23" s="32" t="s">
        <v>89</v>
      </c>
      <c r="E23" s="33" t="s">
        <v>90</v>
      </c>
      <c r="F23" s="33" t="s">
        <v>91</v>
      </c>
      <c r="G23" s="34">
        <v>1860403.01</v>
      </c>
      <c r="H23" s="32" t="s">
        <v>30</v>
      </c>
      <c r="I23" s="32" t="s">
        <v>21</v>
      </c>
      <c r="J23" s="32"/>
      <c r="K23" s="33" t="s">
        <v>92</v>
      </c>
      <c r="L23" s="31">
        <f t="shared" si="0"/>
        <v>46227</v>
      </c>
    </row>
    <row r="24" spans="1:12" x14ac:dyDescent="0.3">
      <c r="F24" s="39" t="s">
        <v>117</v>
      </c>
      <c r="G24" s="40">
        <f>SUMIF(I3:I23,"&lt;&gt;Pending",G3:G23)</f>
        <v>1427568.7</v>
      </c>
    </row>
    <row r="26" spans="1:12" x14ac:dyDescent="0.3">
      <c r="F26" s="41" t="s">
        <v>118</v>
      </c>
    </row>
    <row r="27" spans="1:12" x14ac:dyDescent="0.3">
      <c r="F27" t="s">
        <v>119</v>
      </c>
      <c r="G27" s="18">
        <f ca="1">SUMIFS(G3:G23, J3:J23, "*CASH SALE*", L3:L23, "&gt;="&amp;EOMONTH(TODAY(),-1)+1, L3:L23, "&lt;="&amp;EOMONTH(TODAY(),0), I3:I23, "&lt;&gt;Pending")</f>
        <v>0</v>
      </c>
      <c r="I27" t="s">
        <v>120</v>
      </c>
      <c r="J27" s="18">
        <f ca="1">SUMIFS(G3:G23, J3:J23, "*CASH SALE*", L3:L23, "&gt;="&amp;EOMONTH(TODAY(),0)+1, L3:L23, "&lt;="&amp;EOMONTH(TODAY(),1), I3:I23, "&lt;&gt;Pending")</f>
        <v>0</v>
      </c>
    </row>
    <row r="28" spans="1:12" x14ac:dyDescent="0.3">
      <c r="F28" t="s">
        <v>121</v>
      </c>
      <c r="G28" s="18">
        <f ca="1">SUMIFS(G3:G23, J3:J23, "*ACCOUNT*", L3:L23, "&gt;="&amp;EOMONTH(TODAY(),-1)+1, L3:L23, "&lt;="&amp;EOMONTH(TODAY(),0), I3:I23, "&lt;&gt;Pending")</f>
        <v>31962.639999999999</v>
      </c>
      <c r="I28" t="s">
        <v>122</v>
      </c>
      <c r="J28" s="18">
        <f ca="1">SUMIFS(G3:G23, J3:J23, "*ACCOUNT*", L3:L23, "&gt;="&amp;EOMONTH(TODAY(),0)+1, L3:L23, "&lt;="&amp;EOMONTH(TODAY(),1), I3:I23, "&lt;&gt;Pending")</f>
        <v>0</v>
      </c>
    </row>
    <row r="30" spans="1:12" ht="28.8" customHeight="1" x14ac:dyDescent="0.3">
      <c r="A30" s="26" t="s">
        <v>1</v>
      </c>
      <c r="B30" s="26" t="s">
        <v>2</v>
      </c>
      <c r="C30" s="26" t="s">
        <v>3</v>
      </c>
      <c r="D30" s="26" t="s">
        <v>4</v>
      </c>
      <c r="E30" s="26" t="s">
        <v>5</v>
      </c>
      <c r="F30" s="26" t="s">
        <v>6</v>
      </c>
      <c r="G30" s="26" t="s">
        <v>7</v>
      </c>
      <c r="H30" s="26" t="s">
        <v>8</v>
      </c>
      <c r="I30" s="26" t="s">
        <v>9</v>
      </c>
      <c r="J30" s="26" t="s">
        <v>10</v>
      </c>
      <c r="K30" s="26" t="s">
        <v>123</v>
      </c>
    </row>
    <row r="31" spans="1:12" x14ac:dyDescent="0.3">
      <c r="A31" s="42">
        <v>46143</v>
      </c>
      <c r="B31" s="42">
        <v>46175.326131747694</v>
      </c>
      <c r="C31" s="43" t="s">
        <v>188</v>
      </c>
      <c r="D31" s="43" t="s">
        <v>189</v>
      </c>
      <c r="E31" s="43" t="s">
        <v>188</v>
      </c>
      <c r="F31" s="43" t="s">
        <v>190</v>
      </c>
      <c r="G31" s="38">
        <v>15927.5</v>
      </c>
      <c r="H31" s="43" t="s">
        <v>17</v>
      </c>
      <c r="I31" s="43" t="s">
        <v>18</v>
      </c>
      <c r="J31" s="43" t="s">
        <v>37</v>
      </c>
      <c r="K31" s="37" t="s">
        <v>196</v>
      </c>
    </row>
    <row r="32" spans="1:12" x14ac:dyDescent="0.3">
      <c r="A32" s="42">
        <v>46077</v>
      </c>
      <c r="B32" s="42">
        <v>46169</v>
      </c>
      <c r="C32" s="43" t="s">
        <v>197</v>
      </c>
      <c r="D32" s="43" t="s">
        <v>198</v>
      </c>
      <c r="E32" s="43" t="s">
        <v>199</v>
      </c>
      <c r="F32" s="43" t="s">
        <v>200</v>
      </c>
      <c r="G32" s="38">
        <v>94247.1</v>
      </c>
      <c r="H32" s="43" t="s">
        <v>30</v>
      </c>
      <c r="I32" s="43" t="s">
        <v>18</v>
      </c>
      <c r="J32" s="43" t="s">
        <v>37</v>
      </c>
      <c r="K32" s="37" t="s">
        <v>201</v>
      </c>
    </row>
    <row r="33" spans="1:11" x14ac:dyDescent="0.3">
      <c r="A33" s="42">
        <v>46174</v>
      </c>
      <c r="B33" s="42">
        <v>46175</v>
      </c>
      <c r="C33" s="43" t="s">
        <v>183</v>
      </c>
      <c r="D33" s="43" t="s">
        <v>184</v>
      </c>
      <c r="E33" s="43" t="s">
        <v>185</v>
      </c>
      <c r="F33" s="43" t="s">
        <v>186</v>
      </c>
      <c r="G33" s="38">
        <v>21769.5</v>
      </c>
      <c r="H33" s="43" t="s">
        <v>111</v>
      </c>
      <c r="I33" s="43" t="s">
        <v>18</v>
      </c>
      <c r="J33" s="43" t="s">
        <v>37</v>
      </c>
      <c r="K33" s="37" t="s">
        <v>202</v>
      </c>
    </row>
    <row r="34" spans="1:11" x14ac:dyDescent="0.3">
      <c r="A34" s="42">
        <v>46149</v>
      </c>
      <c r="B34" s="42">
        <v>46175.326131747694</v>
      </c>
      <c r="C34" s="43" t="s">
        <v>128</v>
      </c>
      <c r="D34" s="43" t="s">
        <v>129</v>
      </c>
      <c r="E34" s="43" t="s">
        <v>75</v>
      </c>
      <c r="F34" s="43" t="s">
        <v>130</v>
      </c>
      <c r="G34" s="38">
        <v>24910.15</v>
      </c>
      <c r="H34" s="43" t="s">
        <v>60</v>
      </c>
      <c r="I34" s="43" t="s">
        <v>18</v>
      </c>
      <c r="J34" s="43" t="s">
        <v>37</v>
      </c>
      <c r="K34" s="37" t="s">
        <v>203</v>
      </c>
    </row>
    <row r="35" spans="1:11" x14ac:dyDescent="0.3">
      <c r="A35" s="42">
        <v>46156</v>
      </c>
      <c r="B35" s="42">
        <v>46175.326131747694</v>
      </c>
      <c r="C35" s="43" t="s">
        <v>132</v>
      </c>
      <c r="D35" s="43" t="s">
        <v>133</v>
      </c>
      <c r="E35" s="43" t="s">
        <v>134</v>
      </c>
      <c r="F35" s="43" t="s">
        <v>135</v>
      </c>
      <c r="G35" s="38">
        <v>78420.600000000006</v>
      </c>
      <c r="H35" s="43" t="s">
        <v>17</v>
      </c>
      <c r="I35" s="43" t="s">
        <v>18</v>
      </c>
      <c r="J35" s="43" t="s">
        <v>37</v>
      </c>
      <c r="K35" s="37" t="s">
        <v>204</v>
      </c>
    </row>
    <row r="36" spans="1:11" x14ac:dyDescent="0.3">
      <c r="A36" s="42">
        <v>46169</v>
      </c>
      <c r="B36" s="42">
        <v>46175.326131747694</v>
      </c>
      <c r="C36" s="43" t="s">
        <v>21</v>
      </c>
      <c r="D36" s="43" t="s">
        <v>138</v>
      </c>
      <c r="E36" s="43" t="s">
        <v>139</v>
      </c>
      <c r="F36" s="43" t="s">
        <v>140</v>
      </c>
      <c r="G36" s="38">
        <v>8856.15</v>
      </c>
      <c r="H36" s="43" t="s">
        <v>17</v>
      </c>
      <c r="I36" s="43" t="s">
        <v>18</v>
      </c>
      <c r="J36" s="43" t="s">
        <v>37</v>
      </c>
      <c r="K36" s="37" t="s">
        <v>205</v>
      </c>
    </row>
    <row r="37" spans="1:11" x14ac:dyDescent="0.3">
      <c r="A37" s="42">
        <v>46174</v>
      </c>
      <c r="B37" s="42">
        <v>46175.326131747694</v>
      </c>
      <c r="C37" s="43" t="s">
        <v>192</v>
      </c>
      <c r="D37" s="43" t="s">
        <v>193</v>
      </c>
      <c r="E37" s="43" t="s">
        <v>75</v>
      </c>
      <c r="F37" s="43" t="s">
        <v>194</v>
      </c>
      <c r="G37" s="38">
        <v>47775.6</v>
      </c>
      <c r="H37" s="43" t="s">
        <v>60</v>
      </c>
      <c r="I37" s="43" t="s">
        <v>18</v>
      </c>
      <c r="J37" s="43" t="s">
        <v>37</v>
      </c>
      <c r="K37" s="37" t="s">
        <v>201</v>
      </c>
    </row>
    <row r="38" spans="1:11" x14ac:dyDescent="0.3">
      <c r="F38" s="39" t="s">
        <v>124</v>
      </c>
      <c r="G38" s="40">
        <f>SUM(G31:G37)</f>
        <v>291906.59999999998</v>
      </c>
    </row>
    <row r="40" spans="1:11" x14ac:dyDescent="0.3">
      <c r="F40" s="39" t="s">
        <v>125</v>
      </c>
      <c r="G40" s="40">
        <f>SUMIFS(G3:G23, I3:I23, "*Ready*Dispatch*")</f>
        <v>0</v>
      </c>
    </row>
    <row r="41" spans="1:11" x14ac:dyDescent="0.3">
      <c r="A41" s="371" t="s">
        <v>206</v>
      </c>
      <c r="B41" s="367"/>
      <c r="C41" s="367"/>
      <c r="D41" s="367"/>
      <c r="E41" s="367"/>
    </row>
    <row r="42" spans="1:11" x14ac:dyDescent="0.3">
      <c r="A42" s="371" t="s">
        <v>182</v>
      </c>
      <c r="B42" s="367"/>
      <c r="C42" s="367"/>
      <c r="D42" s="367"/>
      <c r="E42" s="367"/>
    </row>
  </sheetData>
  <mergeCells count="3">
    <mergeCell ref="A1:E1"/>
    <mergeCell ref="A42:E42"/>
    <mergeCell ref="A41:E41"/>
  </mergeCells>
  <pageMargins left="0.25" right="0.25" top="0.75" bottom="0.75" header="0.3" footer="0.3"/>
  <pageSetup scale="44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6"/>
  <sheetViews>
    <sheetView zoomScale="80" zoomScaleNormal="80" workbookViewId="0">
      <pane xSplit="4" ySplit="2" topLeftCell="E4" activePane="bottomRight" state="frozen"/>
      <selection pane="topRight"/>
      <selection pane="bottomLeft"/>
      <selection pane="bottomRight" activeCell="F5" sqref="F5"/>
    </sheetView>
  </sheetViews>
  <sheetFormatPr defaultRowHeight="14.4" x14ac:dyDescent="0.3"/>
  <cols>
    <col min="1" max="2" width="10.5546875" bestFit="1" customWidth="1"/>
    <col min="3" max="3" width="11.33203125" bestFit="1" customWidth="1"/>
    <col min="4" max="4" width="10.77734375" bestFit="1" customWidth="1"/>
    <col min="5" max="5" width="14.88671875" bestFit="1" customWidth="1"/>
    <col min="6" max="6" width="29.33203125" bestFit="1" customWidth="1"/>
    <col min="7" max="7" width="13.109375" bestFit="1" customWidth="1"/>
    <col min="8" max="8" width="9.109375" bestFit="1" customWidth="1"/>
    <col min="9" max="9" width="14.88671875" bestFit="1" customWidth="1"/>
    <col min="10" max="10" width="21.33203125" bestFit="1" customWidth="1"/>
    <col min="11" max="11" width="53.21875" bestFit="1" customWidth="1"/>
    <col min="12" max="12" width="10.5546875" bestFit="1" customWidth="1"/>
  </cols>
  <sheetData>
    <row r="1" spans="1:12" ht="18" customHeight="1" x14ac:dyDescent="0.35">
      <c r="A1" s="372" t="s">
        <v>0</v>
      </c>
      <c r="B1" s="369"/>
      <c r="C1" s="369"/>
      <c r="D1" s="369"/>
      <c r="K1" s="44">
        <f ca="1">TODAY()</f>
        <v>46211</v>
      </c>
    </row>
    <row r="2" spans="1:12" ht="43.2" customHeight="1" x14ac:dyDescent="0.3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5" t="s">
        <v>8</v>
      </c>
      <c r="I2" s="45" t="s">
        <v>9</v>
      </c>
      <c r="J2" s="45" t="s">
        <v>10</v>
      </c>
      <c r="K2" s="45" t="s">
        <v>11</v>
      </c>
      <c r="L2" s="45" t="s">
        <v>12</v>
      </c>
    </row>
    <row r="3" spans="1:12" x14ac:dyDescent="0.3">
      <c r="A3" s="46">
        <v>46149</v>
      </c>
      <c r="B3" s="46">
        <v>46176.327208553237</v>
      </c>
      <c r="C3" s="47" t="s">
        <v>128</v>
      </c>
      <c r="D3" s="47" t="s">
        <v>129</v>
      </c>
      <c r="E3" s="48" t="s">
        <v>75</v>
      </c>
      <c r="F3" s="48" t="s">
        <v>130</v>
      </c>
      <c r="G3" s="49">
        <v>24910.15</v>
      </c>
      <c r="H3" s="47" t="s">
        <v>60</v>
      </c>
      <c r="I3" s="47" t="s">
        <v>18</v>
      </c>
      <c r="J3" s="47" t="s">
        <v>37</v>
      </c>
      <c r="K3" s="48" t="s">
        <v>203</v>
      </c>
      <c r="L3" s="46">
        <f t="shared" ref="L3:L19" si="0">B3</f>
        <v>46176.327208553237</v>
      </c>
    </row>
    <row r="4" spans="1:12" ht="374.4" customHeight="1" x14ac:dyDescent="0.3">
      <c r="A4" s="65">
        <v>46142</v>
      </c>
      <c r="B4" s="65">
        <v>46178</v>
      </c>
      <c r="C4" s="66" t="s">
        <v>13</v>
      </c>
      <c r="D4" s="66" t="s">
        <v>14</v>
      </c>
      <c r="E4" s="67" t="s">
        <v>15</v>
      </c>
      <c r="F4" s="67" t="s">
        <v>16</v>
      </c>
      <c r="G4" s="68">
        <v>251413.01</v>
      </c>
      <c r="H4" s="66" t="s">
        <v>17</v>
      </c>
      <c r="I4" s="66" t="s">
        <v>18</v>
      </c>
      <c r="J4" s="66" t="s">
        <v>19</v>
      </c>
      <c r="K4" s="67" t="s">
        <v>20</v>
      </c>
      <c r="L4" s="65">
        <f t="shared" si="0"/>
        <v>46178</v>
      </c>
    </row>
    <row r="5" spans="1:12" ht="28.8" customHeight="1" x14ac:dyDescent="0.3">
      <c r="A5" s="54">
        <v>46167</v>
      </c>
      <c r="B5" s="54">
        <v>46178</v>
      </c>
      <c r="C5" s="55" t="s">
        <v>171</v>
      </c>
      <c r="D5" s="55" t="s">
        <v>172</v>
      </c>
      <c r="E5" s="56" t="s">
        <v>173</v>
      </c>
      <c r="F5" s="56" t="s">
        <v>174</v>
      </c>
      <c r="G5" s="57">
        <v>25694.45</v>
      </c>
      <c r="H5" s="55" t="s">
        <v>60</v>
      </c>
      <c r="I5" s="55" t="s">
        <v>207</v>
      </c>
      <c r="J5" s="55" t="s">
        <v>31</v>
      </c>
      <c r="K5" s="56" t="s">
        <v>175</v>
      </c>
      <c r="L5" s="54">
        <f t="shared" si="0"/>
        <v>46178</v>
      </c>
    </row>
    <row r="6" spans="1:12" ht="129.6" customHeight="1" x14ac:dyDescent="0.3">
      <c r="A6" s="65">
        <v>46175</v>
      </c>
      <c r="B6" s="65">
        <v>46181</v>
      </c>
      <c r="C6" s="66" t="s">
        <v>208</v>
      </c>
      <c r="D6" s="66" t="s">
        <v>209</v>
      </c>
      <c r="E6" s="67" t="s">
        <v>210</v>
      </c>
      <c r="F6" s="67" t="s">
        <v>87</v>
      </c>
      <c r="G6" s="68">
        <v>65539.649999999994</v>
      </c>
      <c r="H6" s="66" t="s">
        <v>30</v>
      </c>
      <c r="I6" s="66" t="s">
        <v>18</v>
      </c>
      <c r="J6" s="66" t="s">
        <v>31</v>
      </c>
      <c r="K6" s="67" t="s">
        <v>211</v>
      </c>
      <c r="L6" s="65">
        <f t="shared" si="0"/>
        <v>46181</v>
      </c>
    </row>
    <row r="7" spans="1:12" x14ac:dyDescent="0.3">
      <c r="A7" s="65">
        <v>46174</v>
      </c>
      <c r="B7" s="65">
        <v>46192</v>
      </c>
      <c r="C7" s="66" t="s">
        <v>147</v>
      </c>
      <c r="D7" s="66" t="s">
        <v>148</v>
      </c>
      <c r="E7" s="67" t="s">
        <v>149</v>
      </c>
      <c r="F7" s="67" t="s">
        <v>150</v>
      </c>
      <c r="G7" s="68">
        <v>70994.559999999998</v>
      </c>
      <c r="H7" s="66" t="s">
        <v>30</v>
      </c>
      <c r="I7" s="66" t="s">
        <v>18</v>
      </c>
      <c r="J7" s="66" t="s">
        <v>31</v>
      </c>
      <c r="K7" s="67" t="s">
        <v>151</v>
      </c>
      <c r="L7" s="65">
        <f t="shared" si="0"/>
        <v>46192</v>
      </c>
    </row>
    <row r="8" spans="1:12" x14ac:dyDescent="0.3">
      <c r="A8" s="65">
        <v>46167</v>
      </c>
      <c r="B8" s="65">
        <v>46195</v>
      </c>
      <c r="C8" s="66" t="s">
        <v>152</v>
      </c>
      <c r="D8" s="66" t="s">
        <v>153</v>
      </c>
      <c r="E8" s="67" t="s">
        <v>154</v>
      </c>
      <c r="F8" s="67" t="s">
        <v>155</v>
      </c>
      <c r="G8" s="68">
        <v>73266.5</v>
      </c>
      <c r="H8" s="66" t="s">
        <v>17</v>
      </c>
      <c r="I8" s="66" t="s">
        <v>18</v>
      </c>
      <c r="J8" s="66" t="s">
        <v>31</v>
      </c>
      <c r="K8" s="67" t="s">
        <v>156</v>
      </c>
      <c r="L8" s="65">
        <f t="shared" si="0"/>
        <v>46195</v>
      </c>
    </row>
    <row r="9" spans="1:12" ht="28.8" customHeight="1" x14ac:dyDescent="0.3">
      <c r="A9" s="54">
        <v>46112</v>
      </c>
      <c r="B9" s="54">
        <v>46202</v>
      </c>
      <c r="C9" s="55" t="s">
        <v>157</v>
      </c>
      <c r="D9" s="55" t="s">
        <v>158</v>
      </c>
      <c r="E9" s="56" t="s">
        <v>159</v>
      </c>
      <c r="F9" s="56" t="s">
        <v>96</v>
      </c>
      <c r="G9" s="57">
        <v>103711</v>
      </c>
      <c r="H9" s="55" t="s">
        <v>60</v>
      </c>
      <c r="I9" s="55" t="s">
        <v>18</v>
      </c>
      <c r="J9" s="55" t="s">
        <v>31</v>
      </c>
      <c r="K9" s="56" t="s">
        <v>160</v>
      </c>
      <c r="L9" s="54">
        <f t="shared" si="0"/>
        <v>46202</v>
      </c>
    </row>
    <row r="10" spans="1:12" ht="28.8" customHeight="1" x14ac:dyDescent="0.3">
      <c r="A10" s="54">
        <v>46155</v>
      </c>
      <c r="B10" s="54">
        <v>46202</v>
      </c>
      <c r="C10" s="55" t="s">
        <v>93</v>
      </c>
      <c r="D10" s="55" t="s">
        <v>94</v>
      </c>
      <c r="E10" s="56" t="s">
        <v>95</v>
      </c>
      <c r="F10" s="56" t="s">
        <v>96</v>
      </c>
      <c r="G10" s="57">
        <v>523356</v>
      </c>
      <c r="H10" s="55" t="s">
        <v>97</v>
      </c>
      <c r="I10" s="55" t="s">
        <v>18</v>
      </c>
      <c r="J10" s="55" t="s">
        <v>31</v>
      </c>
      <c r="K10" s="56" t="s">
        <v>98</v>
      </c>
      <c r="L10" s="54">
        <f t="shared" si="0"/>
        <v>46202</v>
      </c>
    </row>
    <row r="11" spans="1:12" ht="28.8" customHeight="1" x14ac:dyDescent="0.3">
      <c r="A11" s="54">
        <v>46167</v>
      </c>
      <c r="B11" s="54">
        <v>46202</v>
      </c>
      <c r="C11" s="55" t="s">
        <v>56</v>
      </c>
      <c r="D11" s="55" t="s">
        <v>57</v>
      </c>
      <c r="E11" s="56" t="s">
        <v>58</v>
      </c>
      <c r="F11" s="56" t="s">
        <v>59</v>
      </c>
      <c r="G11" s="57">
        <v>220505.60000000001</v>
      </c>
      <c r="H11" s="55" t="s">
        <v>60</v>
      </c>
      <c r="I11" s="55" t="s">
        <v>18</v>
      </c>
      <c r="J11" s="55" t="s">
        <v>31</v>
      </c>
      <c r="K11" s="56" t="s">
        <v>61</v>
      </c>
      <c r="L11" s="54">
        <f t="shared" si="0"/>
        <v>46202</v>
      </c>
    </row>
    <row r="12" spans="1:12" x14ac:dyDescent="0.3">
      <c r="A12" s="50">
        <v>46111</v>
      </c>
      <c r="B12" s="50">
        <v>46203</v>
      </c>
      <c r="C12" s="51" t="s">
        <v>166</v>
      </c>
      <c r="D12" s="51" t="s">
        <v>167</v>
      </c>
      <c r="E12" s="52" t="s">
        <v>168</v>
      </c>
      <c r="F12" s="52" t="s">
        <v>169</v>
      </c>
      <c r="G12" s="53">
        <v>169353.60000000001</v>
      </c>
      <c r="H12" s="51" t="s">
        <v>30</v>
      </c>
      <c r="I12" s="51" t="s">
        <v>21</v>
      </c>
      <c r="J12" s="51"/>
      <c r="K12" s="52" t="s">
        <v>170</v>
      </c>
      <c r="L12" s="50">
        <f t="shared" si="0"/>
        <v>46203</v>
      </c>
    </row>
    <row r="13" spans="1:12" ht="144" customHeight="1" x14ac:dyDescent="0.3">
      <c r="A13" s="50">
        <v>46128</v>
      </c>
      <c r="B13" s="50">
        <v>46203</v>
      </c>
      <c r="C13" s="51" t="s">
        <v>21</v>
      </c>
      <c r="D13" s="51" t="s">
        <v>103</v>
      </c>
      <c r="E13" s="52" t="s">
        <v>104</v>
      </c>
      <c r="F13" s="52" t="s">
        <v>105</v>
      </c>
      <c r="G13" s="53">
        <v>82900.05</v>
      </c>
      <c r="H13" s="51" t="s">
        <v>30</v>
      </c>
      <c r="I13" s="51" t="s">
        <v>21</v>
      </c>
      <c r="J13" s="51"/>
      <c r="K13" s="52" t="s">
        <v>106</v>
      </c>
      <c r="L13" s="50">
        <f t="shared" si="0"/>
        <v>46203</v>
      </c>
    </row>
    <row r="14" spans="1:12" ht="28.8" customHeight="1" x14ac:dyDescent="0.3">
      <c r="A14" s="50">
        <v>46142</v>
      </c>
      <c r="B14" s="50">
        <v>46203</v>
      </c>
      <c r="C14" s="51" t="s">
        <v>21</v>
      </c>
      <c r="D14" s="51" t="s">
        <v>22</v>
      </c>
      <c r="E14" s="52" t="s">
        <v>23</v>
      </c>
      <c r="F14" s="52" t="s">
        <v>24</v>
      </c>
      <c r="G14" s="53">
        <v>426010.6</v>
      </c>
      <c r="H14" s="51" t="s">
        <v>17</v>
      </c>
      <c r="I14" s="51" t="s">
        <v>21</v>
      </c>
      <c r="J14" s="51"/>
      <c r="K14" s="52" t="s">
        <v>25</v>
      </c>
      <c r="L14" s="50">
        <f t="shared" si="0"/>
        <v>46203</v>
      </c>
    </row>
    <row r="15" spans="1:12" ht="86.4" customHeight="1" x14ac:dyDescent="0.3">
      <c r="A15" s="50">
        <v>46142</v>
      </c>
      <c r="B15" s="50">
        <v>46203</v>
      </c>
      <c r="C15" s="51" t="s">
        <v>107</v>
      </c>
      <c r="D15" s="51" t="s">
        <v>108</v>
      </c>
      <c r="E15" s="52" t="s">
        <v>109</v>
      </c>
      <c r="F15" s="52" t="s">
        <v>110</v>
      </c>
      <c r="G15" s="53">
        <v>310411</v>
      </c>
      <c r="H15" s="51" t="s">
        <v>111</v>
      </c>
      <c r="I15" s="51" t="s">
        <v>21</v>
      </c>
      <c r="J15" s="51"/>
      <c r="K15" s="52" t="s">
        <v>112</v>
      </c>
      <c r="L15" s="50">
        <f t="shared" si="0"/>
        <v>46203</v>
      </c>
    </row>
    <row r="16" spans="1:12" ht="28.8" customHeight="1" x14ac:dyDescent="0.3">
      <c r="A16" s="50">
        <v>46142</v>
      </c>
      <c r="B16" s="50">
        <v>46203</v>
      </c>
      <c r="C16" s="51" t="s">
        <v>21</v>
      </c>
      <c r="D16" s="51" t="s">
        <v>113</v>
      </c>
      <c r="E16" s="52" t="s">
        <v>114</v>
      </c>
      <c r="F16" s="52" t="s">
        <v>115</v>
      </c>
      <c r="G16" s="53">
        <v>204447</v>
      </c>
      <c r="H16" s="51" t="s">
        <v>17</v>
      </c>
      <c r="I16" s="51" t="s">
        <v>21</v>
      </c>
      <c r="J16" s="51"/>
      <c r="K16" s="52" t="s">
        <v>116</v>
      </c>
      <c r="L16" s="50">
        <f t="shared" si="0"/>
        <v>46203</v>
      </c>
    </row>
    <row r="17" spans="1:12" x14ac:dyDescent="0.3">
      <c r="A17" s="54">
        <v>46171</v>
      </c>
      <c r="B17" s="54">
        <v>46227</v>
      </c>
      <c r="C17" s="55" t="s">
        <v>176</v>
      </c>
      <c r="D17" s="55" t="s">
        <v>177</v>
      </c>
      <c r="E17" s="56" t="s">
        <v>178</v>
      </c>
      <c r="F17" s="56" t="s">
        <v>179</v>
      </c>
      <c r="G17" s="57">
        <v>13562.64</v>
      </c>
      <c r="H17" s="55" t="s">
        <v>30</v>
      </c>
      <c r="I17" s="55" t="s">
        <v>18</v>
      </c>
      <c r="J17" s="55" t="s">
        <v>31</v>
      </c>
      <c r="K17" s="56" t="s">
        <v>180</v>
      </c>
      <c r="L17" s="54">
        <f t="shared" si="0"/>
        <v>46227</v>
      </c>
    </row>
    <row r="18" spans="1:12" x14ac:dyDescent="0.3">
      <c r="A18" s="54">
        <v>46171</v>
      </c>
      <c r="B18" s="54">
        <v>46227</v>
      </c>
      <c r="C18" s="55" t="s">
        <v>84</v>
      </c>
      <c r="D18" s="55" t="s">
        <v>85</v>
      </c>
      <c r="E18" s="56" t="s">
        <v>86</v>
      </c>
      <c r="F18" s="56" t="s">
        <v>87</v>
      </c>
      <c r="G18" s="57">
        <v>18400</v>
      </c>
      <c r="H18" s="55" t="s">
        <v>30</v>
      </c>
      <c r="I18" s="55" t="s">
        <v>18</v>
      </c>
      <c r="J18" s="55" t="s">
        <v>31</v>
      </c>
      <c r="K18" s="56" t="s">
        <v>88</v>
      </c>
      <c r="L18" s="54">
        <f t="shared" si="0"/>
        <v>46227</v>
      </c>
    </row>
    <row r="19" spans="1:12" x14ac:dyDescent="0.3">
      <c r="A19" s="50">
        <v>46170</v>
      </c>
      <c r="B19" s="50">
        <v>46227</v>
      </c>
      <c r="C19" s="51" t="s">
        <v>21</v>
      </c>
      <c r="D19" s="51" t="s">
        <v>89</v>
      </c>
      <c r="E19" s="52" t="s">
        <v>90</v>
      </c>
      <c r="F19" s="52" t="s">
        <v>91</v>
      </c>
      <c r="G19" s="53">
        <v>1860403.01</v>
      </c>
      <c r="H19" s="51" t="s">
        <v>30</v>
      </c>
      <c r="I19" s="51" t="s">
        <v>21</v>
      </c>
      <c r="J19" s="51"/>
      <c r="K19" s="52" t="s">
        <v>92</v>
      </c>
      <c r="L19" s="50">
        <f t="shared" si="0"/>
        <v>46227</v>
      </c>
    </row>
    <row r="20" spans="1:12" x14ac:dyDescent="0.3">
      <c r="F20" s="58" t="s">
        <v>117</v>
      </c>
      <c r="G20" s="59">
        <f>SUMIF(I3:I19,"&lt;&gt;Pending",G3:G19)</f>
        <v>1391353.56</v>
      </c>
    </row>
    <row r="22" spans="1:12" x14ac:dyDescent="0.3">
      <c r="F22" s="60" t="s">
        <v>118</v>
      </c>
    </row>
    <row r="23" spans="1:12" x14ac:dyDescent="0.3">
      <c r="F23" t="s">
        <v>119</v>
      </c>
      <c r="G23" s="18">
        <f ca="1">SUMIFS(G3:G19, J3:J19, "*CASH SALE*", L3:L19, "&gt;="&amp;EOMONTH(TODAY(),-1)+1, L3:L19, "&lt;="&amp;EOMONTH(TODAY(),0), I3:I19, "&lt;&gt;Pending")</f>
        <v>0</v>
      </c>
      <c r="I23" t="s">
        <v>120</v>
      </c>
      <c r="J23" s="18">
        <f ca="1">SUMIFS(G3:G19, J3:J19, "*CASH SALE*", L3:L19, "&gt;="&amp;EOMONTH(TODAY(),0)+1, L3:L19, "&lt;="&amp;EOMONTH(TODAY(),1), I3:I19, "&lt;&gt;Pending")</f>
        <v>0</v>
      </c>
    </row>
    <row r="24" spans="1:12" x14ac:dyDescent="0.3">
      <c r="F24" t="s">
        <v>121</v>
      </c>
      <c r="G24" s="18">
        <f ca="1">SUMIFS(G3:G19, J3:J19, "*ACCOUNT*", L3:L19, "&gt;="&amp;EOMONTH(TODAY(),-1)+1, L3:L19, "&lt;="&amp;EOMONTH(TODAY(),0), I3:I19, "&lt;&gt;Pending")</f>
        <v>31962.639999999999</v>
      </c>
      <c r="I24" t="s">
        <v>122</v>
      </c>
      <c r="J24" s="18">
        <f ca="1">SUMIFS(G3:G19, J3:J19, "*ACCOUNT*", L3:L19, "&gt;="&amp;EOMONTH(TODAY(),0)+1, L3:L19, "&lt;="&amp;EOMONTH(TODAY(),1), I3:I19, "&lt;&gt;Pending")</f>
        <v>0</v>
      </c>
    </row>
    <row r="27" spans="1:12" ht="28.8" customHeight="1" x14ac:dyDescent="0.3">
      <c r="A27" s="45" t="s">
        <v>1</v>
      </c>
      <c r="B27" s="45" t="s">
        <v>2</v>
      </c>
      <c r="C27" s="45" t="s">
        <v>3</v>
      </c>
      <c r="D27" s="45" t="s">
        <v>4</v>
      </c>
      <c r="E27" s="45" t="s">
        <v>5</v>
      </c>
      <c r="F27" s="45" t="s">
        <v>6</v>
      </c>
      <c r="G27" s="45" t="s">
        <v>7</v>
      </c>
      <c r="H27" s="45" t="s">
        <v>8</v>
      </c>
      <c r="I27" s="45" t="s">
        <v>9</v>
      </c>
      <c r="J27" s="45" t="s">
        <v>10</v>
      </c>
      <c r="K27" s="45" t="s">
        <v>123</v>
      </c>
    </row>
    <row r="28" spans="1:12" x14ac:dyDescent="0.3">
      <c r="A28" s="61">
        <v>46149</v>
      </c>
      <c r="B28" s="61">
        <v>46176.327208553237</v>
      </c>
      <c r="C28" s="62" t="s">
        <v>128</v>
      </c>
      <c r="D28" s="62" t="s">
        <v>129</v>
      </c>
      <c r="E28" s="62" t="s">
        <v>75</v>
      </c>
      <c r="F28" s="62" t="s">
        <v>130</v>
      </c>
      <c r="G28" s="57">
        <v>24910.15</v>
      </c>
      <c r="H28" s="62" t="s">
        <v>60</v>
      </c>
      <c r="I28" s="62" t="s">
        <v>18</v>
      </c>
      <c r="J28" s="62" t="s">
        <v>37</v>
      </c>
      <c r="K28" s="56" t="s">
        <v>203</v>
      </c>
    </row>
    <row r="29" spans="1:12" ht="28.8" customHeight="1" x14ac:dyDescent="0.3">
      <c r="A29" s="63">
        <v>46142</v>
      </c>
      <c r="B29" s="63">
        <v>46176.327208553237</v>
      </c>
      <c r="C29" s="64" t="s">
        <v>21</v>
      </c>
      <c r="D29" s="64" t="s">
        <v>22</v>
      </c>
      <c r="E29" s="64" t="s">
        <v>23</v>
      </c>
      <c r="F29" s="64" t="s">
        <v>24</v>
      </c>
      <c r="G29" s="53">
        <v>426010.6</v>
      </c>
      <c r="H29" s="64" t="s">
        <v>17</v>
      </c>
      <c r="I29" s="64" t="s">
        <v>21</v>
      </c>
      <c r="J29" s="64"/>
      <c r="K29" s="52"/>
    </row>
    <row r="30" spans="1:12" x14ac:dyDescent="0.3">
      <c r="F30" s="58" t="s">
        <v>124</v>
      </c>
      <c r="G30" s="59">
        <f>SUM(G28:G29)</f>
        <v>450920.75</v>
      </c>
    </row>
    <row r="32" spans="1:12" x14ac:dyDescent="0.3">
      <c r="F32" s="58" t="s">
        <v>125</v>
      </c>
      <c r="G32" s="59">
        <f>SUMIFS(G3:G19, I3:I19, "*Ready*Dispatch*")</f>
        <v>25694.45</v>
      </c>
    </row>
    <row r="35" spans="1:4" x14ac:dyDescent="0.3">
      <c r="A35" s="373" t="s">
        <v>212</v>
      </c>
      <c r="B35" s="367"/>
      <c r="C35" s="367"/>
      <c r="D35" s="367"/>
    </row>
    <row r="36" spans="1:4" x14ac:dyDescent="0.3">
      <c r="A36" s="373" t="s">
        <v>182</v>
      </c>
      <c r="B36" s="367"/>
      <c r="C36" s="367"/>
      <c r="D36" s="367"/>
    </row>
  </sheetData>
  <mergeCells count="3">
    <mergeCell ref="A1:D1"/>
    <mergeCell ref="A35:D35"/>
    <mergeCell ref="A36:D36"/>
  </mergeCells>
  <pageMargins left="0.25" right="0.25" top="0.75" bottom="0.75" header="0.3" footer="0.3"/>
  <pageSetup scale="48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9"/>
  <sheetViews>
    <sheetView workbookViewId="0">
      <pane xSplit="4" ySplit="2" topLeftCell="E6" activePane="bottomRight" state="frozen"/>
      <selection pane="topRight"/>
      <selection pane="bottomLeft"/>
      <selection pane="bottomRight" activeCell="F7" sqref="F7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69" t="s">
        <v>0</v>
      </c>
      <c r="K1" s="70">
        <f ca="1">TODAY()</f>
        <v>46211</v>
      </c>
    </row>
    <row r="2" spans="1:12" ht="43.2" customHeight="1" x14ac:dyDescent="0.3">
      <c r="A2" s="71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71" t="s">
        <v>7</v>
      </c>
      <c r="H2" s="71" t="s">
        <v>8</v>
      </c>
      <c r="I2" s="71" t="s">
        <v>9</v>
      </c>
      <c r="J2" s="71" t="s">
        <v>10</v>
      </c>
      <c r="K2" s="71" t="s">
        <v>11</v>
      </c>
      <c r="L2" s="71" t="s">
        <v>12</v>
      </c>
    </row>
    <row r="3" spans="1:12" x14ac:dyDescent="0.3">
      <c r="A3" s="72">
        <v>46149</v>
      </c>
      <c r="B3" s="72">
        <v>46177.653676400463</v>
      </c>
      <c r="C3" s="73" t="s">
        <v>128</v>
      </c>
      <c r="D3" s="73" t="s">
        <v>129</v>
      </c>
      <c r="E3" s="74" t="s">
        <v>75</v>
      </c>
      <c r="F3" s="74" t="s">
        <v>130</v>
      </c>
      <c r="G3" s="75">
        <v>24910.15</v>
      </c>
      <c r="H3" s="73" t="s">
        <v>60</v>
      </c>
      <c r="I3" s="73" t="s">
        <v>18</v>
      </c>
      <c r="J3" s="73" t="s">
        <v>37</v>
      </c>
      <c r="K3" s="74" t="s">
        <v>203</v>
      </c>
      <c r="L3" s="72">
        <f t="shared" ref="L3:L22" si="0">B3</f>
        <v>46177.653676400463</v>
      </c>
    </row>
    <row r="4" spans="1:12" ht="28.8" customHeight="1" x14ac:dyDescent="0.3">
      <c r="A4" s="76">
        <v>46142</v>
      </c>
      <c r="B4" s="76">
        <v>46177.653676400463</v>
      </c>
      <c r="C4" s="77" t="s">
        <v>21</v>
      </c>
      <c r="D4" s="77" t="s">
        <v>22</v>
      </c>
      <c r="E4" s="78" t="s">
        <v>23</v>
      </c>
      <c r="F4" s="78" t="s">
        <v>24</v>
      </c>
      <c r="G4" s="79">
        <v>426010.6</v>
      </c>
      <c r="H4" s="77" t="s">
        <v>17</v>
      </c>
      <c r="I4" s="77" t="s">
        <v>21</v>
      </c>
      <c r="J4" s="77"/>
      <c r="K4" s="78" t="s">
        <v>25</v>
      </c>
      <c r="L4" s="76">
        <f t="shared" si="0"/>
        <v>46177.653676400463</v>
      </c>
    </row>
    <row r="5" spans="1:12" ht="409.6" customHeight="1" x14ac:dyDescent="0.3">
      <c r="A5" s="80">
        <v>46142</v>
      </c>
      <c r="B5" s="80">
        <v>46178</v>
      </c>
      <c r="C5" s="81" t="s">
        <v>13</v>
      </c>
      <c r="D5" s="81" t="s">
        <v>14</v>
      </c>
      <c r="E5" s="82" t="s">
        <v>15</v>
      </c>
      <c r="F5" s="82" t="s">
        <v>16</v>
      </c>
      <c r="G5" s="83">
        <v>251413.01</v>
      </c>
      <c r="H5" s="81" t="s">
        <v>17</v>
      </c>
      <c r="I5" s="81" t="s">
        <v>18</v>
      </c>
      <c r="J5" s="81" t="s">
        <v>19</v>
      </c>
      <c r="K5" s="82" t="s">
        <v>20</v>
      </c>
      <c r="L5" s="80">
        <f t="shared" si="0"/>
        <v>46178</v>
      </c>
    </row>
    <row r="6" spans="1:12" x14ac:dyDescent="0.3">
      <c r="A6" s="80">
        <v>46176</v>
      </c>
      <c r="B6" s="80">
        <v>46178</v>
      </c>
      <c r="C6" s="81" t="s">
        <v>213</v>
      </c>
      <c r="D6" s="81" t="s">
        <v>214</v>
      </c>
      <c r="E6" s="82" t="s">
        <v>75</v>
      </c>
      <c r="F6" s="82" t="s">
        <v>215</v>
      </c>
      <c r="G6" s="83">
        <v>13711.09</v>
      </c>
      <c r="H6" s="81" t="s">
        <v>60</v>
      </c>
      <c r="I6" s="81" t="s">
        <v>18</v>
      </c>
      <c r="J6" s="81" t="s">
        <v>37</v>
      </c>
      <c r="K6" s="82" t="s">
        <v>216</v>
      </c>
      <c r="L6" s="80">
        <f t="shared" si="0"/>
        <v>46178</v>
      </c>
    </row>
    <row r="7" spans="1:12" ht="28.8" customHeight="1" x14ac:dyDescent="0.3">
      <c r="A7" s="80">
        <v>46167</v>
      </c>
      <c r="B7" s="80">
        <v>46178</v>
      </c>
      <c r="C7" s="81" t="s">
        <v>171</v>
      </c>
      <c r="D7" s="81" t="s">
        <v>172</v>
      </c>
      <c r="E7" s="82" t="s">
        <v>173</v>
      </c>
      <c r="F7" s="82" t="s">
        <v>174</v>
      </c>
      <c r="G7" s="83">
        <v>25694.45</v>
      </c>
      <c r="H7" s="81" t="s">
        <v>60</v>
      </c>
      <c r="I7" s="81" t="s">
        <v>207</v>
      </c>
      <c r="J7" s="81" t="s">
        <v>31</v>
      </c>
      <c r="K7" s="82" t="s">
        <v>175</v>
      </c>
      <c r="L7" s="80">
        <f t="shared" si="0"/>
        <v>46178</v>
      </c>
    </row>
    <row r="8" spans="1:12" ht="144" customHeight="1" x14ac:dyDescent="0.3">
      <c r="A8" s="80">
        <v>46175</v>
      </c>
      <c r="B8" s="80">
        <v>46181</v>
      </c>
      <c r="C8" s="81" t="s">
        <v>208</v>
      </c>
      <c r="D8" s="81" t="s">
        <v>209</v>
      </c>
      <c r="E8" s="82" t="s">
        <v>210</v>
      </c>
      <c r="F8" s="82" t="s">
        <v>87</v>
      </c>
      <c r="G8" s="83">
        <v>65539.649999999994</v>
      </c>
      <c r="H8" s="81" t="s">
        <v>30</v>
      </c>
      <c r="I8" s="81" t="s">
        <v>18</v>
      </c>
      <c r="J8" s="81" t="s">
        <v>31</v>
      </c>
      <c r="K8" s="82" t="s">
        <v>211</v>
      </c>
      <c r="L8" s="80">
        <f t="shared" si="0"/>
        <v>46181</v>
      </c>
    </row>
    <row r="9" spans="1:12" x14ac:dyDescent="0.3">
      <c r="A9" s="80">
        <v>46176</v>
      </c>
      <c r="B9" s="80">
        <v>46181</v>
      </c>
      <c r="C9" s="81" t="s">
        <v>217</v>
      </c>
      <c r="D9" s="81" t="s">
        <v>218</v>
      </c>
      <c r="E9" s="82" t="s">
        <v>217</v>
      </c>
      <c r="F9" s="82" t="s">
        <v>219</v>
      </c>
      <c r="G9" s="83">
        <v>8629.6</v>
      </c>
      <c r="H9" s="81" t="s">
        <v>17</v>
      </c>
      <c r="I9" s="81" t="s">
        <v>18</v>
      </c>
      <c r="J9" s="81" t="s">
        <v>71</v>
      </c>
      <c r="K9" s="82" t="s">
        <v>220</v>
      </c>
      <c r="L9" s="80">
        <f t="shared" si="0"/>
        <v>46181</v>
      </c>
    </row>
    <row r="10" spans="1:12" x14ac:dyDescent="0.3">
      <c r="A10" s="80">
        <v>46176</v>
      </c>
      <c r="B10" s="80">
        <v>46190</v>
      </c>
      <c r="C10" s="81" t="s">
        <v>221</v>
      </c>
      <c r="D10" s="81" t="s">
        <v>222</v>
      </c>
      <c r="E10" s="82" t="s">
        <v>223</v>
      </c>
      <c r="F10" s="82" t="s">
        <v>140</v>
      </c>
      <c r="G10" s="83">
        <v>12224.5</v>
      </c>
      <c r="H10" s="81" t="s">
        <v>17</v>
      </c>
      <c r="I10" s="81" t="s">
        <v>18</v>
      </c>
      <c r="J10" s="81" t="s">
        <v>37</v>
      </c>
      <c r="K10" s="82" t="s">
        <v>224</v>
      </c>
      <c r="L10" s="80">
        <f t="shared" si="0"/>
        <v>46190</v>
      </c>
    </row>
    <row r="11" spans="1:12" x14ac:dyDescent="0.3">
      <c r="A11" s="80">
        <v>46174</v>
      </c>
      <c r="B11" s="80">
        <v>46192</v>
      </c>
      <c r="C11" s="81" t="s">
        <v>147</v>
      </c>
      <c r="D11" s="81" t="s">
        <v>148</v>
      </c>
      <c r="E11" s="82" t="s">
        <v>149</v>
      </c>
      <c r="F11" s="82" t="s">
        <v>150</v>
      </c>
      <c r="G11" s="83">
        <v>70994.559999999998</v>
      </c>
      <c r="H11" s="81" t="s">
        <v>30</v>
      </c>
      <c r="I11" s="81" t="s">
        <v>18</v>
      </c>
      <c r="J11" s="81" t="s">
        <v>31</v>
      </c>
      <c r="K11" s="82" t="s">
        <v>151</v>
      </c>
      <c r="L11" s="80">
        <f t="shared" si="0"/>
        <v>46192</v>
      </c>
    </row>
    <row r="12" spans="1:12" x14ac:dyDescent="0.3">
      <c r="A12" s="80">
        <v>46167</v>
      </c>
      <c r="B12" s="80">
        <v>46195</v>
      </c>
      <c r="C12" s="81" t="s">
        <v>152</v>
      </c>
      <c r="D12" s="81" t="s">
        <v>153</v>
      </c>
      <c r="E12" s="82" t="s">
        <v>154</v>
      </c>
      <c r="F12" s="82" t="s">
        <v>155</v>
      </c>
      <c r="G12" s="83">
        <v>73266.5</v>
      </c>
      <c r="H12" s="81" t="s">
        <v>17</v>
      </c>
      <c r="I12" s="81" t="s">
        <v>18</v>
      </c>
      <c r="J12" s="81" t="s">
        <v>31</v>
      </c>
      <c r="K12" s="82" t="s">
        <v>156</v>
      </c>
      <c r="L12" s="80">
        <f t="shared" si="0"/>
        <v>46195</v>
      </c>
    </row>
    <row r="13" spans="1:12" ht="28.8" customHeight="1" x14ac:dyDescent="0.3">
      <c r="A13" s="80">
        <v>46112</v>
      </c>
      <c r="B13" s="80">
        <v>46202</v>
      </c>
      <c r="C13" s="81" t="s">
        <v>157</v>
      </c>
      <c r="D13" s="81" t="s">
        <v>158</v>
      </c>
      <c r="E13" s="82" t="s">
        <v>159</v>
      </c>
      <c r="F13" s="82" t="s">
        <v>96</v>
      </c>
      <c r="G13" s="83">
        <v>103711</v>
      </c>
      <c r="H13" s="81" t="s">
        <v>60</v>
      </c>
      <c r="I13" s="81" t="s">
        <v>18</v>
      </c>
      <c r="J13" s="81" t="s">
        <v>31</v>
      </c>
      <c r="K13" s="82" t="s">
        <v>160</v>
      </c>
      <c r="L13" s="80">
        <f t="shared" si="0"/>
        <v>46202</v>
      </c>
    </row>
    <row r="14" spans="1:12" ht="28.8" customHeight="1" x14ac:dyDescent="0.3">
      <c r="A14" s="80">
        <v>46155</v>
      </c>
      <c r="B14" s="80">
        <v>46202</v>
      </c>
      <c r="C14" s="81" t="s">
        <v>93</v>
      </c>
      <c r="D14" s="81" t="s">
        <v>94</v>
      </c>
      <c r="E14" s="82" t="s">
        <v>95</v>
      </c>
      <c r="F14" s="82" t="s">
        <v>96</v>
      </c>
      <c r="G14" s="83">
        <v>523356</v>
      </c>
      <c r="H14" s="81" t="s">
        <v>97</v>
      </c>
      <c r="I14" s="81" t="s">
        <v>18</v>
      </c>
      <c r="J14" s="81" t="s">
        <v>31</v>
      </c>
      <c r="K14" s="82" t="s">
        <v>98</v>
      </c>
      <c r="L14" s="80">
        <f t="shared" si="0"/>
        <v>46202</v>
      </c>
    </row>
    <row r="15" spans="1:12" ht="28.8" customHeight="1" x14ac:dyDescent="0.3">
      <c r="A15" s="80">
        <v>46167</v>
      </c>
      <c r="B15" s="80">
        <v>46202</v>
      </c>
      <c r="C15" s="81" t="s">
        <v>56</v>
      </c>
      <c r="D15" s="81" t="s">
        <v>57</v>
      </c>
      <c r="E15" s="82" t="s">
        <v>58</v>
      </c>
      <c r="F15" s="82" t="s">
        <v>59</v>
      </c>
      <c r="G15" s="83">
        <v>220505.60000000001</v>
      </c>
      <c r="H15" s="81" t="s">
        <v>60</v>
      </c>
      <c r="I15" s="81" t="s">
        <v>18</v>
      </c>
      <c r="J15" s="81" t="s">
        <v>31</v>
      </c>
      <c r="K15" s="82" t="s">
        <v>61</v>
      </c>
      <c r="L15" s="80">
        <f t="shared" si="0"/>
        <v>46202</v>
      </c>
    </row>
    <row r="16" spans="1:12" x14ac:dyDescent="0.3">
      <c r="A16" s="76">
        <v>46111</v>
      </c>
      <c r="B16" s="76">
        <v>46203</v>
      </c>
      <c r="C16" s="77" t="s">
        <v>166</v>
      </c>
      <c r="D16" s="77" t="s">
        <v>167</v>
      </c>
      <c r="E16" s="78" t="s">
        <v>168</v>
      </c>
      <c r="F16" s="78" t="s">
        <v>169</v>
      </c>
      <c r="G16" s="79">
        <v>169353.60000000001</v>
      </c>
      <c r="H16" s="77" t="s">
        <v>30</v>
      </c>
      <c r="I16" s="77" t="s">
        <v>21</v>
      </c>
      <c r="J16" s="77"/>
      <c r="K16" s="78" t="s">
        <v>170</v>
      </c>
      <c r="L16" s="76">
        <f t="shared" si="0"/>
        <v>46203</v>
      </c>
    </row>
    <row r="17" spans="1:12" ht="158.4" customHeight="1" x14ac:dyDescent="0.3">
      <c r="A17" s="76">
        <v>46128</v>
      </c>
      <c r="B17" s="76">
        <v>46203</v>
      </c>
      <c r="C17" s="77" t="s">
        <v>21</v>
      </c>
      <c r="D17" s="77" t="s">
        <v>103</v>
      </c>
      <c r="E17" s="78" t="s">
        <v>104</v>
      </c>
      <c r="F17" s="78" t="s">
        <v>105</v>
      </c>
      <c r="G17" s="79">
        <v>82900.05</v>
      </c>
      <c r="H17" s="77" t="s">
        <v>30</v>
      </c>
      <c r="I17" s="77" t="s">
        <v>21</v>
      </c>
      <c r="J17" s="77"/>
      <c r="K17" s="78" t="s">
        <v>106</v>
      </c>
      <c r="L17" s="76">
        <f t="shared" si="0"/>
        <v>46203</v>
      </c>
    </row>
    <row r="18" spans="1:12" ht="86.4" customHeight="1" x14ac:dyDescent="0.3">
      <c r="A18" s="76">
        <v>46142</v>
      </c>
      <c r="B18" s="76">
        <v>46203</v>
      </c>
      <c r="C18" s="77" t="s">
        <v>107</v>
      </c>
      <c r="D18" s="77" t="s">
        <v>108</v>
      </c>
      <c r="E18" s="78" t="s">
        <v>109</v>
      </c>
      <c r="F18" s="78" t="s">
        <v>110</v>
      </c>
      <c r="G18" s="79">
        <v>310411</v>
      </c>
      <c r="H18" s="77" t="s">
        <v>111</v>
      </c>
      <c r="I18" s="77" t="s">
        <v>21</v>
      </c>
      <c r="J18" s="77"/>
      <c r="K18" s="78" t="s">
        <v>112</v>
      </c>
      <c r="L18" s="76">
        <f t="shared" si="0"/>
        <v>46203</v>
      </c>
    </row>
    <row r="19" spans="1:12" ht="28.8" customHeight="1" x14ac:dyDescent="0.3">
      <c r="A19" s="76">
        <v>46142</v>
      </c>
      <c r="B19" s="76">
        <v>46203</v>
      </c>
      <c r="C19" s="77" t="s">
        <v>21</v>
      </c>
      <c r="D19" s="77" t="s">
        <v>113</v>
      </c>
      <c r="E19" s="78" t="s">
        <v>114</v>
      </c>
      <c r="F19" s="78" t="s">
        <v>115</v>
      </c>
      <c r="G19" s="79">
        <v>204447</v>
      </c>
      <c r="H19" s="77" t="s">
        <v>17</v>
      </c>
      <c r="I19" s="77" t="s">
        <v>21</v>
      </c>
      <c r="J19" s="77"/>
      <c r="K19" s="78" t="s">
        <v>116</v>
      </c>
      <c r="L19" s="76">
        <f t="shared" si="0"/>
        <v>46203</v>
      </c>
    </row>
    <row r="20" spans="1:12" x14ac:dyDescent="0.3">
      <c r="A20" s="80">
        <v>46171</v>
      </c>
      <c r="B20" s="80">
        <v>46227</v>
      </c>
      <c r="C20" s="81" t="s">
        <v>176</v>
      </c>
      <c r="D20" s="81" t="s">
        <v>177</v>
      </c>
      <c r="E20" s="82" t="s">
        <v>178</v>
      </c>
      <c r="F20" s="82" t="s">
        <v>179</v>
      </c>
      <c r="G20" s="83">
        <v>13562.64</v>
      </c>
      <c r="H20" s="81" t="s">
        <v>30</v>
      </c>
      <c r="I20" s="81" t="s">
        <v>18</v>
      </c>
      <c r="J20" s="81" t="s">
        <v>31</v>
      </c>
      <c r="K20" s="82" t="s">
        <v>180</v>
      </c>
      <c r="L20" s="80">
        <f t="shared" si="0"/>
        <v>46227</v>
      </c>
    </row>
    <row r="21" spans="1:12" x14ac:dyDescent="0.3">
      <c r="A21" s="80">
        <v>46171</v>
      </c>
      <c r="B21" s="80">
        <v>46227</v>
      </c>
      <c r="C21" s="81" t="s">
        <v>84</v>
      </c>
      <c r="D21" s="81" t="s">
        <v>85</v>
      </c>
      <c r="E21" s="82" t="s">
        <v>86</v>
      </c>
      <c r="F21" s="82" t="s">
        <v>87</v>
      </c>
      <c r="G21" s="83">
        <v>18400</v>
      </c>
      <c r="H21" s="81" t="s">
        <v>30</v>
      </c>
      <c r="I21" s="81" t="s">
        <v>18</v>
      </c>
      <c r="J21" s="81" t="s">
        <v>31</v>
      </c>
      <c r="K21" s="82" t="s">
        <v>88</v>
      </c>
      <c r="L21" s="80">
        <f t="shared" si="0"/>
        <v>46227</v>
      </c>
    </row>
    <row r="22" spans="1:12" x14ac:dyDescent="0.3">
      <c r="A22" s="76">
        <v>46170</v>
      </c>
      <c r="B22" s="76">
        <v>46227</v>
      </c>
      <c r="C22" s="77" t="s">
        <v>21</v>
      </c>
      <c r="D22" s="77" t="s">
        <v>89</v>
      </c>
      <c r="E22" s="78" t="s">
        <v>90</v>
      </c>
      <c r="F22" s="78" t="s">
        <v>91</v>
      </c>
      <c r="G22" s="79">
        <v>1860403.01</v>
      </c>
      <c r="H22" s="77" t="s">
        <v>30</v>
      </c>
      <c r="I22" s="77" t="s">
        <v>21</v>
      </c>
      <c r="J22" s="77"/>
      <c r="K22" s="78" t="s">
        <v>92</v>
      </c>
      <c r="L22" s="76">
        <f t="shared" si="0"/>
        <v>46227</v>
      </c>
    </row>
    <row r="23" spans="1:12" x14ac:dyDescent="0.3">
      <c r="F23" s="84" t="s">
        <v>117</v>
      </c>
      <c r="G23" s="85">
        <f>SUMIF(I3:I22,"&lt;&gt;Pending",G3:G22)</f>
        <v>1425918.75</v>
      </c>
    </row>
    <row r="25" spans="1:12" x14ac:dyDescent="0.3">
      <c r="F25" s="86" t="s">
        <v>118</v>
      </c>
    </row>
    <row r="26" spans="1:12" x14ac:dyDescent="0.3">
      <c r="F26" t="s">
        <v>119</v>
      </c>
      <c r="G26" s="18">
        <f ca="1">SUMIFS(G3:G22, J3:J22, "*CASH SALE*", L3:L22, "&gt;="&amp;EOMONTH(TODAY(),-1)+1, L3:L22, "&lt;="&amp;EOMONTH(TODAY(),0), I3:I22, "&lt;&gt;Pending")</f>
        <v>0</v>
      </c>
      <c r="I26" t="s">
        <v>120</v>
      </c>
      <c r="J26" s="18">
        <f ca="1">SUMIFS(G3:G22, J3:J22, "*CASH SALE*", L3:L22, "&gt;="&amp;EOMONTH(TODAY(),0)+1, L3:L22, "&lt;="&amp;EOMONTH(TODAY(),1), I3:I22, "&lt;&gt;Pending")</f>
        <v>0</v>
      </c>
    </row>
    <row r="27" spans="1:12" x14ac:dyDescent="0.3">
      <c r="F27" t="s">
        <v>121</v>
      </c>
      <c r="G27" s="18">
        <f ca="1">SUMIFS(G3:G22, J3:J22, "*ACCOUNT*", L3:L22, "&gt;="&amp;EOMONTH(TODAY(),-1)+1, L3:L22, "&lt;="&amp;EOMONTH(TODAY(),0), I3:I22, "&lt;&gt;Pending")</f>
        <v>31962.639999999999</v>
      </c>
      <c r="I27" t="s">
        <v>122</v>
      </c>
      <c r="J27" s="18">
        <f ca="1">SUMIFS(G3:G22, J3:J22, "*ACCOUNT*", L3:L22, "&gt;="&amp;EOMONTH(TODAY(),0)+1, L3:L22, "&lt;="&amp;EOMONTH(TODAY(),1), I3:I22, "&lt;&gt;Pending")</f>
        <v>0</v>
      </c>
    </row>
    <row r="30" spans="1:12" ht="28.8" customHeight="1" x14ac:dyDescent="0.3">
      <c r="A30" s="71" t="s">
        <v>1</v>
      </c>
      <c r="B30" s="71" t="s">
        <v>2</v>
      </c>
      <c r="C30" s="71" t="s">
        <v>3</v>
      </c>
      <c r="D30" s="71" t="s">
        <v>4</v>
      </c>
      <c r="E30" s="71" t="s">
        <v>5</v>
      </c>
      <c r="F30" s="71" t="s">
        <v>6</v>
      </c>
      <c r="G30" s="71" t="s">
        <v>7</v>
      </c>
      <c r="H30" s="71" t="s">
        <v>8</v>
      </c>
      <c r="I30" s="71" t="s">
        <v>9</v>
      </c>
      <c r="J30" s="71" t="s">
        <v>10</v>
      </c>
      <c r="K30" s="71" t="s">
        <v>123</v>
      </c>
    </row>
    <row r="31" spans="1:12" x14ac:dyDescent="0.3">
      <c r="A31" s="87">
        <v>46149</v>
      </c>
      <c r="B31" s="87">
        <v>46177.653676400463</v>
      </c>
      <c r="C31" s="88" t="s">
        <v>128</v>
      </c>
      <c r="D31" s="88" t="s">
        <v>129</v>
      </c>
      <c r="E31" s="88" t="s">
        <v>75</v>
      </c>
      <c r="F31" s="88" t="s">
        <v>130</v>
      </c>
      <c r="G31" s="83">
        <v>24910.15</v>
      </c>
      <c r="H31" s="88" t="s">
        <v>60</v>
      </c>
      <c r="I31" s="88" t="s">
        <v>18</v>
      </c>
      <c r="J31" s="88" t="s">
        <v>37</v>
      </c>
      <c r="K31" s="82" t="s">
        <v>203</v>
      </c>
    </row>
    <row r="32" spans="1:12" ht="28.8" customHeight="1" x14ac:dyDescent="0.3">
      <c r="A32" s="89">
        <v>46142</v>
      </c>
      <c r="B32" s="89">
        <v>46177.653676400463</v>
      </c>
      <c r="C32" s="90" t="s">
        <v>21</v>
      </c>
      <c r="D32" s="90" t="s">
        <v>22</v>
      </c>
      <c r="E32" s="90" t="s">
        <v>23</v>
      </c>
      <c r="F32" s="90" t="s">
        <v>24</v>
      </c>
      <c r="G32" s="79">
        <v>426010.6</v>
      </c>
      <c r="H32" s="90" t="s">
        <v>17</v>
      </c>
      <c r="I32" s="90" t="s">
        <v>21</v>
      </c>
      <c r="J32" s="90"/>
      <c r="K32" s="78"/>
      <c r="L32" s="91"/>
    </row>
    <row r="33" spans="1:7" x14ac:dyDescent="0.3">
      <c r="F33" s="84" t="s">
        <v>124</v>
      </c>
      <c r="G33" s="85">
        <f>SUM(G31:G32)</f>
        <v>450920.75</v>
      </c>
    </row>
    <row r="35" spans="1:7" x14ac:dyDescent="0.3">
      <c r="F35" s="84" t="s">
        <v>125</v>
      </c>
      <c r="G35" s="85">
        <f>SUMIFS(G3:G22, I3:I22, "*Ready*Dispatch*")</f>
        <v>25694.45</v>
      </c>
    </row>
    <row r="38" spans="1:7" x14ac:dyDescent="0.3">
      <c r="A38" s="92" t="s">
        <v>225</v>
      </c>
    </row>
    <row r="39" spans="1:7" x14ac:dyDescent="0.3">
      <c r="A39" s="92" t="s">
        <v>182</v>
      </c>
    </row>
  </sheetData>
  <pageMargins left="0.25" right="0.25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2"/>
  <sheetViews>
    <sheetView zoomScale="70" zoomScaleNormal="70" workbookViewId="0">
      <pane xSplit="4" ySplit="2" topLeftCell="E18" activePane="bottomRight" state="frozen"/>
      <selection activeCell="J17" sqref="J17"/>
      <selection pane="topRight" activeCell="J17" sqref="J17"/>
      <selection pane="bottomLeft" activeCell="J17" sqref="J17"/>
      <selection pane="bottomRight" activeCell="F35" sqref="F35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.77734375" bestFit="1" customWidth="1"/>
    <col min="10" max="10" width="23.33203125" customWidth="1"/>
    <col min="11" max="11" width="50" customWidth="1"/>
    <col min="12" max="12" width="14" bestFit="1" customWidth="1"/>
  </cols>
  <sheetData>
    <row r="1" spans="1:12" ht="18" customHeight="1" x14ac:dyDescent="0.35">
      <c r="A1" s="93" t="s">
        <v>0</v>
      </c>
      <c r="L1" s="1">
        <f ca="1">TODAY()</f>
        <v>46211</v>
      </c>
    </row>
    <row r="2" spans="1:12" ht="43.2" customHeight="1" x14ac:dyDescent="0.3">
      <c r="A2" s="94" t="s">
        <v>1</v>
      </c>
      <c r="B2" s="94" t="s">
        <v>2</v>
      </c>
      <c r="C2" s="94" t="s">
        <v>3</v>
      </c>
      <c r="D2" s="94" t="s">
        <v>4</v>
      </c>
      <c r="E2" s="94" t="s">
        <v>5</v>
      </c>
      <c r="F2" s="94" t="s">
        <v>6</v>
      </c>
      <c r="G2" s="94" t="s">
        <v>7</v>
      </c>
      <c r="H2" s="94" t="s">
        <v>8</v>
      </c>
      <c r="I2" s="94" t="s">
        <v>9</v>
      </c>
      <c r="J2" s="94" t="s">
        <v>10</v>
      </c>
      <c r="K2" s="94" t="s">
        <v>11</v>
      </c>
      <c r="L2" s="94" t="s">
        <v>12</v>
      </c>
    </row>
    <row r="3" spans="1:12" x14ac:dyDescent="0.3">
      <c r="A3" s="72">
        <v>46176</v>
      </c>
      <c r="B3" s="72">
        <v>46178.315919224537</v>
      </c>
      <c r="C3" s="73" t="s">
        <v>213</v>
      </c>
      <c r="D3" s="73" t="s">
        <v>214</v>
      </c>
      <c r="E3" s="74" t="s">
        <v>75</v>
      </c>
      <c r="F3" s="74" t="s">
        <v>215</v>
      </c>
      <c r="G3" s="75">
        <v>13711.09</v>
      </c>
      <c r="H3" s="73" t="s">
        <v>60</v>
      </c>
      <c r="I3" s="73" t="s">
        <v>18</v>
      </c>
      <c r="J3" s="73" t="s">
        <v>37</v>
      </c>
      <c r="K3" s="74" t="s">
        <v>216</v>
      </c>
      <c r="L3" s="72">
        <f t="shared" ref="L3:L23" si="0">B3</f>
        <v>46178.315919224537</v>
      </c>
    </row>
    <row r="4" spans="1:12" x14ac:dyDescent="0.3">
      <c r="A4" s="72">
        <v>46149</v>
      </c>
      <c r="B4" s="72">
        <v>46178.315919224537</v>
      </c>
      <c r="C4" s="73" t="s">
        <v>128</v>
      </c>
      <c r="D4" s="73" t="s">
        <v>129</v>
      </c>
      <c r="E4" s="74" t="s">
        <v>75</v>
      </c>
      <c r="F4" s="74" t="s">
        <v>130</v>
      </c>
      <c r="G4" s="75">
        <v>24910.15</v>
      </c>
      <c r="H4" s="73" t="s">
        <v>60</v>
      </c>
      <c r="I4" s="73" t="s">
        <v>207</v>
      </c>
      <c r="J4" s="73" t="s">
        <v>37</v>
      </c>
      <c r="K4" s="74" t="s">
        <v>203</v>
      </c>
      <c r="L4" s="72">
        <f t="shared" si="0"/>
        <v>46178.315919224537</v>
      </c>
    </row>
    <row r="5" spans="1:12" ht="28.8" customHeight="1" x14ac:dyDescent="0.3">
      <c r="A5" s="72">
        <v>46167</v>
      </c>
      <c r="B5" s="72">
        <v>46178.315919224537</v>
      </c>
      <c r="C5" s="73" t="s">
        <v>171</v>
      </c>
      <c r="D5" s="73" t="s">
        <v>172</v>
      </c>
      <c r="E5" s="74" t="s">
        <v>173</v>
      </c>
      <c r="F5" s="74" t="s">
        <v>174</v>
      </c>
      <c r="G5" s="75">
        <v>25694.45</v>
      </c>
      <c r="H5" s="73" t="s">
        <v>60</v>
      </c>
      <c r="I5" s="73" t="s">
        <v>207</v>
      </c>
      <c r="J5" s="73" t="s">
        <v>31</v>
      </c>
      <c r="K5" s="74" t="s">
        <v>175</v>
      </c>
      <c r="L5" s="72">
        <f t="shared" si="0"/>
        <v>46178.315919224537</v>
      </c>
    </row>
    <row r="6" spans="1:12" ht="144" customHeight="1" x14ac:dyDescent="0.3">
      <c r="A6" s="80">
        <v>46175</v>
      </c>
      <c r="B6" s="80">
        <v>46181</v>
      </c>
      <c r="C6" s="81" t="s">
        <v>208</v>
      </c>
      <c r="D6" s="81" t="s">
        <v>209</v>
      </c>
      <c r="E6" s="82" t="s">
        <v>210</v>
      </c>
      <c r="F6" s="82" t="s">
        <v>87</v>
      </c>
      <c r="G6" s="83">
        <v>65539.649999999994</v>
      </c>
      <c r="H6" s="81" t="s">
        <v>30</v>
      </c>
      <c r="I6" s="81" t="s">
        <v>18</v>
      </c>
      <c r="J6" s="81" t="s">
        <v>31</v>
      </c>
      <c r="K6" s="82" t="s">
        <v>211</v>
      </c>
      <c r="L6" s="80">
        <f t="shared" si="0"/>
        <v>46181</v>
      </c>
    </row>
    <row r="7" spans="1:12" x14ac:dyDescent="0.3">
      <c r="A7" s="80">
        <v>46176</v>
      </c>
      <c r="B7" s="80">
        <v>46181</v>
      </c>
      <c r="C7" s="81" t="s">
        <v>217</v>
      </c>
      <c r="D7" s="81" t="s">
        <v>218</v>
      </c>
      <c r="E7" s="82" t="s">
        <v>217</v>
      </c>
      <c r="F7" s="82" t="s">
        <v>219</v>
      </c>
      <c r="G7" s="83">
        <v>4315.22</v>
      </c>
      <c r="H7" s="81" t="s">
        <v>17</v>
      </c>
      <c r="I7" s="81" t="s">
        <v>18</v>
      </c>
      <c r="J7" s="81" t="s">
        <v>71</v>
      </c>
      <c r="K7" s="82" t="s">
        <v>220</v>
      </c>
      <c r="L7" s="80">
        <f t="shared" si="0"/>
        <v>46181</v>
      </c>
    </row>
    <row r="8" spans="1:12" ht="409.6" customHeight="1" x14ac:dyDescent="0.3">
      <c r="A8" s="72">
        <v>46142</v>
      </c>
      <c r="B8" s="72">
        <v>46182</v>
      </c>
      <c r="C8" s="73" t="s">
        <v>13</v>
      </c>
      <c r="D8" s="73" t="s">
        <v>14</v>
      </c>
      <c r="E8" s="74" t="s">
        <v>15</v>
      </c>
      <c r="F8" s="74" t="s">
        <v>16</v>
      </c>
      <c r="G8" s="75">
        <v>251413.01</v>
      </c>
      <c r="H8" s="73" t="s">
        <v>17</v>
      </c>
      <c r="I8" s="73" t="s">
        <v>18</v>
      </c>
      <c r="J8" s="73" t="s">
        <v>19</v>
      </c>
      <c r="K8" s="74" t="s">
        <v>20</v>
      </c>
      <c r="L8" s="72">
        <f t="shared" si="0"/>
        <v>46182</v>
      </c>
    </row>
    <row r="9" spans="1:12" ht="28.8" customHeight="1" x14ac:dyDescent="0.3">
      <c r="A9" s="80">
        <v>46177</v>
      </c>
      <c r="B9" s="80">
        <v>46182</v>
      </c>
      <c r="C9" s="81" t="s">
        <v>226</v>
      </c>
      <c r="D9" s="81" t="s">
        <v>227</v>
      </c>
      <c r="E9" s="82" t="s">
        <v>228</v>
      </c>
      <c r="F9" s="82" t="s">
        <v>229</v>
      </c>
      <c r="G9" s="83">
        <v>116089.05</v>
      </c>
      <c r="H9" s="81" t="s">
        <v>17</v>
      </c>
      <c r="I9" s="81" t="s">
        <v>18</v>
      </c>
      <c r="J9" s="81" t="s">
        <v>37</v>
      </c>
      <c r="K9" s="82" t="s">
        <v>230</v>
      </c>
      <c r="L9" s="80">
        <f t="shared" si="0"/>
        <v>46182</v>
      </c>
    </row>
    <row r="10" spans="1:12" x14ac:dyDescent="0.3">
      <c r="A10" s="80">
        <v>46176</v>
      </c>
      <c r="B10" s="80">
        <v>46190</v>
      </c>
      <c r="C10" s="81" t="s">
        <v>221</v>
      </c>
      <c r="D10" s="81" t="s">
        <v>222</v>
      </c>
      <c r="E10" s="82" t="s">
        <v>223</v>
      </c>
      <c r="F10" s="82" t="s">
        <v>140</v>
      </c>
      <c r="G10" s="83">
        <v>12224.5</v>
      </c>
      <c r="H10" s="81" t="s">
        <v>17</v>
      </c>
      <c r="I10" s="81" t="s">
        <v>18</v>
      </c>
      <c r="J10" s="81" t="s">
        <v>37</v>
      </c>
      <c r="K10" s="82" t="s">
        <v>224</v>
      </c>
      <c r="L10" s="80">
        <f t="shared" si="0"/>
        <v>46190</v>
      </c>
    </row>
    <row r="11" spans="1:12" x14ac:dyDescent="0.3">
      <c r="A11" s="80">
        <v>46174</v>
      </c>
      <c r="B11" s="80">
        <v>46192</v>
      </c>
      <c r="C11" s="81" t="s">
        <v>147</v>
      </c>
      <c r="D11" s="81" t="s">
        <v>148</v>
      </c>
      <c r="E11" s="82" t="s">
        <v>149</v>
      </c>
      <c r="F11" s="82" t="s">
        <v>150</v>
      </c>
      <c r="G11" s="83">
        <v>70994.559999999998</v>
      </c>
      <c r="H11" s="81" t="s">
        <v>30</v>
      </c>
      <c r="I11" s="81" t="s">
        <v>18</v>
      </c>
      <c r="J11" s="81" t="s">
        <v>31</v>
      </c>
      <c r="K11" s="82" t="s">
        <v>151</v>
      </c>
      <c r="L11" s="80">
        <f t="shared" si="0"/>
        <v>46192</v>
      </c>
    </row>
    <row r="12" spans="1:12" x14ac:dyDescent="0.3">
      <c r="A12" s="80">
        <v>46167</v>
      </c>
      <c r="B12" s="80">
        <v>46195</v>
      </c>
      <c r="C12" s="81" t="s">
        <v>152</v>
      </c>
      <c r="D12" s="81" t="s">
        <v>153</v>
      </c>
      <c r="E12" s="82" t="s">
        <v>154</v>
      </c>
      <c r="F12" s="82" t="s">
        <v>155</v>
      </c>
      <c r="G12" s="83">
        <v>73266.5</v>
      </c>
      <c r="H12" s="81" t="s">
        <v>17</v>
      </c>
      <c r="I12" s="81" t="s">
        <v>18</v>
      </c>
      <c r="J12" s="81" t="s">
        <v>31</v>
      </c>
      <c r="K12" s="82" t="s">
        <v>156</v>
      </c>
      <c r="L12" s="80">
        <f t="shared" si="0"/>
        <v>46195</v>
      </c>
    </row>
    <row r="13" spans="1:12" ht="28.8" customHeight="1" x14ac:dyDescent="0.3">
      <c r="A13" s="80">
        <v>46112</v>
      </c>
      <c r="B13" s="80">
        <v>46202</v>
      </c>
      <c r="C13" s="81" t="s">
        <v>157</v>
      </c>
      <c r="D13" s="81" t="s">
        <v>158</v>
      </c>
      <c r="E13" s="82" t="s">
        <v>159</v>
      </c>
      <c r="F13" s="82" t="s">
        <v>96</v>
      </c>
      <c r="G13" s="83">
        <v>103711</v>
      </c>
      <c r="H13" s="81" t="s">
        <v>60</v>
      </c>
      <c r="I13" s="81" t="s">
        <v>18</v>
      </c>
      <c r="J13" s="81" t="s">
        <v>31</v>
      </c>
      <c r="K13" s="82" t="s">
        <v>160</v>
      </c>
      <c r="L13" s="80">
        <f t="shared" si="0"/>
        <v>46202</v>
      </c>
    </row>
    <row r="14" spans="1:12" ht="28.8" customHeight="1" x14ac:dyDescent="0.3">
      <c r="A14" s="80">
        <v>46155</v>
      </c>
      <c r="B14" s="80">
        <v>46202</v>
      </c>
      <c r="C14" s="81" t="s">
        <v>93</v>
      </c>
      <c r="D14" s="81" t="s">
        <v>94</v>
      </c>
      <c r="E14" s="82" t="s">
        <v>95</v>
      </c>
      <c r="F14" s="82" t="s">
        <v>96</v>
      </c>
      <c r="G14" s="83">
        <v>523356</v>
      </c>
      <c r="H14" s="81" t="s">
        <v>97</v>
      </c>
      <c r="I14" s="81" t="s">
        <v>18</v>
      </c>
      <c r="J14" s="81" t="s">
        <v>31</v>
      </c>
      <c r="K14" s="82" t="s">
        <v>98</v>
      </c>
      <c r="L14" s="80">
        <f t="shared" si="0"/>
        <v>46202</v>
      </c>
    </row>
    <row r="15" spans="1:12" ht="28.8" customHeight="1" x14ac:dyDescent="0.3">
      <c r="A15" s="80">
        <v>46167</v>
      </c>
      <c r="B15" s="80">
        <v>46202</v>
      </c>
      <c r="C15" s="81" t="s">
        <v>56</v>
      </c>
      <c r="D15" s="81" t="s">
        <v>57</v>
      </c>
      <c r="E15" s="82" t="s">
        <v>58</v>
      </c>
      <c r="F15" s="82" t="s">
        <v>59</v>
      </c>
      <c r="G15" s="83">
        <v>220505.60000000001</v>
      </c>
      <c r="H15" s="81" t="s">
        <v>60</v>
      </c>
      <c r="I15" s="81" t="s">
        <v>18</v>
      </c>
      <c r="J15" s="81" t="s">
        <v>31</v>
      </c>
      <c r="K15" s="82" t="s">
        <v>61</v>
      </c>
      <c r="L15" s="80">
        <f t="shared" si="0"/>
        <v>46202</v>
      </c>
    </row>
    <row r="16" spans="1:12" x14ac:dyDescent="0.3">
      <c r="A16" s="80">
        <v>46171</v>
      </c>
      <c r="B16" s="80">
        <v>46202</v>
      </c>
      <c r="C16" s="81" t="s">
        <v>176</v>
      </c>
      <c r="D16" s="81" t="s">
        <v>177</v>
      </c>
      <c r="E16" s="82" t="s">
        <v>178</v>
      </c>
      <c r="F16" s="82" t="s">
        <v>179</v>
      </c>
      <c r="G16" s="83">
        <v>13562.64</v>
      </c>
      <c r="H16" s="81" t="s">
        <v>30</v>
      </c>
      <c r="I16" s="81" t="s">
        <v>18</v>
      </c>
      <c r="J16" s="81" t="s">
        <v>31</v>
      </c>
      <c r="K16" s="82" t="s">
        <v>180</v>
      </c>
      <c r="L16" s="80">
        <f t="shared" si="0"/>
        <v>46202</v>
      </c>
    </row>
    <row r="17" spans="1:12" ht="158.4" customHeight="1" x14ac:dyDescent="0.3">
      <c r="A17" s="76">
        <v>46111</v>
      </c>
      <c r="B17" s="76">
        <v>46203</v>
      </c>
      <c r="C17" s="77" t="s">
        <v>166</v>
      </c>
      <c r="D17" s="77" t="s">
        <v>167</v>
      </c>
      <c r="E17" s="78" t="s">
        <v>168</v>
      </c>
      <c r="F17" s="78" t="s">
        <v>169</v>
      </c>
      <c r="G17" s="79">
        <v>169353.60000000001</v>
      </c>
      <c r="H17" s="77" t="s">
        <v>30</v>
      </c>
      <c r="I17" s="77" t="s">
        <v>21</v>
      </c>
      <c r="J17" s="77"/>
      <c r="K17" s="78" t="s">
        <v>170</v>
      </c>
      <c r="L17" s="76">
        <f t="shared" si="0"/>
        <v>46203</v>
      </c>
    </row>
    <row r="18" spans="1:12" ht="28.8" customHeight="1" x14ac:dyDescent="0.3">
      <c r="A18" s="76">
        <v>46128</v>
      </c>
      <c r="B18" s="76">
        <v>46203</v>
      </c>
      <c r="C18" s="77" t="s">
        <v>21</v>
      </c>
      <c r="D18" s="77" t="s">
        <v>103</v>
      </c>
      <c r="E18" s="78" t="s">
        <v>104</v>
      </c>
      <c r="F18" s="78" t="s">
        <v>105</v>
      </c>
      <c r="G18" s="79">
        <v>82900.05</v>
      </c>
      <c r="H18" s="77" t="s">
        <v>30</v>
      </c>
      <c r="I18" s="77" t="s">
        <v>21</v>
      </c>
      <c r="J18" s="77"/>
      <c r="K18" s="78" t="s">
        <v>106</v>
      </c>
      <c r="L18" s="76">
        <f t="shared" si="0"/>
        <v>46203</v>
      </c>
    </row>
    <row r="19" spans="1:12" ht="86.4" customHeight="1" x14ac:dyDescent="0.3">
      <c r="A19" s="76">
        <v>46142</v>
      </c>
      <c r="B19" s="76">
        <v>46203</v>
      </c>
      <c r="C19" s="77" t="s">
        <v>21</v>
      </c>
      <c r="D19" s="77" t="s">
        <v>22</v>
      </c>
      <c r="E19" s="78" t="s">
        <v>23</v>
      </c>
      <c r="F19" s="78" t="s">
        <v>24</v>
      </c>
      <c r="G19" s="79">
        <v>426010.6</v>
      </c>
      <c r="H19" s="77" t="s">
        <v>17</v>
      </c>
      <c r="I19" s="77" t="s">
        <v>21</v>
      </c>
      <c r="J19" s="77"/>
      <c r="K19" s="78" t="s">
        <v>25</v>
      </c>
      <c r="L19" s="76">
        <f t="shared" si="0"/>
        <v>46203</v>
      </c>
    </row>
    <row r="20" spans="1:12" ht="28.8" customHeight="1" x14ac:dyDescent="0.3">
      <c r="A20" s="76">
        <v>46142</v>
      </c>
      <c r="B20" s="76">
        <v>46203</v>
      </c>
      <c r="C20" s="77" t="s">
        <v>107</v>
      </c>
      <c r="D20" s="77" t="s">
        <v>108</v>
      </c>
      <c r="E20" s="78" t="s">
        <v>109</v>
      </c>
      <c r="F20" s="78" t="s">
        <v>110</v>
      </c>
      <c r="G20" s="79">
        <v>310411</v>
      </c>
      <c r="H20" s="77" t="s">
        <v>111</v>
      </c>
      <c r="I20" s="77" t="s">
        <v>21</v>
      </c>
      <c r="J20" s="77"/>
      <c r="K20" s="78" t="s">
        <v>112</v>
      </c>
      <c r="L20" s="76">
        <f t="shared" si="0"/>
        <v>46203</v>
      </c>
    </row>
    <row r="21" spans="1:12" ht="28.8" customHeight="1" x14ac:dyDescent="0.3">
      <c r="A21" s="76">
        <v>46142</v>
      </c>
      <c r="B21" s="76">
        <v>46203</v>
      </c>
      <c r="C21" s="77" t="s">
        <v>21</v>
      </c>
      <c r="D21" s="77" t="s">
        <v>113</v>
      </c>
      <c r="E21" s="78" t="s">
        <v>114</v>
      </c>
      <c r="F21" s="78" t="s">
        <v>115</v>
      </c>
      <c r="G21" s="79">
        <v>204447</v>
      </c>
      <c r="H21" s="77" t="s">
        <v>17</v>
      </c>
      <c r="I21" s="77" t="s">
        <v>21</v>
      </c>
      <c r="J21" s="77"/>
      <c r="K21" s="78" t="s">
        <v>116</v>
      </c>
      <c r="L21" s="76">
        <f t="shared" si="0"/>
        <v>46203</v>
      </c>
    </row>
    <row r="22" spans="1:12" x14ac:dyDescent="0.3">
      <c r="A22" s="80">
        <v>46171</v>
      </c>
      <c r="B22" s="80">
        <v>46227</v>
      </c>
      <c r="C22" s="81" t="s">
        <v>84</v>
      </c>
      <c r="D22" s="81" t="s">
        <v>85</v>
      </c>
      <c r="E22" s="82" t="s">
        <v>86</v>
      </c>
      <c r="F22" s="82" t="s">
        <v>87</v>
      </c>
      <c r="G22" s="83">
        <v>18400</v>
      </c>
      <c r="H22" s="81" t="s">
        <v>30</v>
      </c>
      <c r="I22" s="81" t="s">
        <v>18</v>
      </c>
      <c r="J22" s="81" t="s">
        <v>31</v>
      </c>
      <c r="K22" s="82" t="s">
        <v>88</v>
      </c>
      <c r="L22" s="80">
        <f t="shared" si="0"/>
        <v>46227</v>
      </c>
    </row>
    <row r="23" spans="1:12" x14ac:dyDescent="0.3">
      <c r="A23" s="76">
        <v>46170</v>
      </c>
      <c r="B23" s="76">
        <v>46227</v>
      </c>
      <c r="C23" s="77" t="s">
        <v>21</v>
      </c>
      <c r="D23" s="77" t="s">
        <v>89</v>
      </c>
      <c r="E23" s="78" t="s">
        <v>90</v>
      </c>
      <c r="F23" s="78" t="s">
        <v>91</v>
      </c>
      <c r="G23" s="79">
        <v>1860403.01</v>
      </c>
      <c r="H23" s="77" t="s">
        <v>30</v>
      </c>
      <c r="I23" s="77" t="s">
        <v>21</v>
      </c>
      <c r="J23" s="77"/>
      <c r="K23" s="78" t="s">
        <v>92</v>
      </c>
      <c r="L23" s="76">
        <f t="shared" si="0"/>
        <v>46227</v>
      </c>
    </row>
    <row r="24" spans="1:12" x14ac:dyDescent="0.3">
      <c r="F24" s="15" t="s">
        <v>117</v>
      </c>
      <c r="G24" s="16">
        <f>SUMIF(I3:I23,"&lt;&gt;Pending",G3:G23)</f>
        <v>1537693.42</v>
      </c>
    </row>
    <row r="26" spans="1:12" x14ac:dyDescent="0.3">
      <c r="F26" s="17" t="s">
        <v>118</v>
      </c>
    </row>
    <row r="27" spans="1:12" x14ac:dyDescent="0.3">
      <c r="F27" t="s">
        <v>119</v>
      </c>
      <c r="G27" s="18">
        <f ca="1">SUMIFS(G3:G23, J3:J23, "*CASH SALE*", L3:L23, "&gt;="&amp;EOMONTH(TODAY(),-1)+1, L3:L23, "&lt;="&amp;EOMONTH(TODAY(),0), I3:I23, "&lt;&gt;Pending")</f>
        <v>0</v>
      </c>
      <c r="I27" t="s">
        <v>120</v>
      </c>
      <c r="J27" s="18">
        <f ca="1">SUMIFS(G3:G23, J3:J23, "*CASH SALE*", L3:L23, "&gt;="&amp;EOMONTH(TODAY(),0)+1, L3:L23, "&lt;="&amp;EOMONTH(TODAY(),1), I3:I23, "&lt;&gt;Pending")</f>
        <v>0</v>
      </c>
    </row>
    <row r="28" spans="1:12" x14ac:dyDescent="0.3">
      <c r="F28" t="s">
        <v>121</v>
      </c>
      <c r="G28" s="18">
        <f ca="1">SUMIFS(G3:G23, J3:J23, "*ACCOUNT*", L3:L23, "&gt;="&amp;EOMONTH(TODAY(),-1)+1, L3:L23, "&lt;="&amp;EOMONTH(TODAY(),0), I3:I23, "&lt;&gt;Pending")</f>
        <v>18400</v>
      </c>
      <c r="I28" t="s">
        <v>122</v>
      </c>
      <c r="J28" s="18">
        <f ca="1">SUMIFS(G3:G23, J3:J23, "*ACCOUNT*", L3:L23, "&gt;="&amp;EOMONTH(TODAY(),0)+1, L3:L23, "&lt;="&amp;EOMONTH(TODAY(),1), I3:I23, "&lt;&gt;Pending")</f>
        <v>0</v>
      </c>
    </row>
    <row r="30" spans="1:12" ht="28.8" customHeight="1" x14ac:dyDescent="0.3">
      <c r="A30" s="94" t="s">
        <v>1</v>
      </c>
      <c r="B30" s="94" t="s">
        <v>2</v>
      </c>
      <c r="C30" s="94" t="s">
        <v>3</v>
      </c>
      <c r="D30" s="94" t="s">
        <v>4</v>
      </c>
      <c r="E30" s="94" t="s">
        <v>5</v>
      </c>
      <c r="F30" s="94" t="s">
        <v>6</v>
      </c>
      <c r="G30" s="94" t="s">
        <v>7</v>
      </c>
      <c r="H30" s="94" t="s">
        <v>8</v>
      </c>
      <c r="I30" s="94" t="s">
        <v>9</v>
      </c>
      <c r="J30" s="94" t="s">
        <v>10</v>
      </c>
      <c r="K30" s="94" t="s">
        <v>123</v>
      </c>
    </row>
    <row r="31" spans="1:12" x14ac:dyDescent="0.3">
      <c r="A31" s="87">
        <v>46142</v>
      </c>
      <c r="B31" s="87">
        <v>46178.315919224537</v>
      </c>
      <c r="C31" s="88" t="s">
        <v>13</v>
      </c>
      <c r="D31" s="88" t="s">
        <v>14</v>
      </c>
      <c r="E31" s="88" t="s">
        <v>15</v>
      </c>
      <c r="F31" s="88" t="s">
        <v>16</v>
      </c>
      <c r="G31" s="83">
        <v>251413.01</v>
      </c>
      <c r="H31" s="88" t="s">
        <v>17</v>
      </c>
      <c r="I31" s="88" t="s">
        <v>18</v>
      </c>
      <c r="J31" s="88" t="s">
        <v>19</v>
      </c>
      <c r="K31" s="82"/>
    </row>
    <row r="32" spans="1:12" x14ac:dyDescent="0.3">
      <c r="A32" s="87">
        <v>46149</v>
      </c>
      <c r="B32" s="87">
        <v>46178.315919224537</v>
      </c>
      <c r="C32" s="88" t="s">
        <v>128</v>
      </c>
      <c r="D32" s="88" t="s">
        <v>129</v>
      </c>
      <c r="E32" s="88" t="s">
        <v>75</v>
      </c>
      <c r="F32" s="88" t="s">
        <v>130</v>
      </c>
      <c r="G32" s="83">
        <v>24910.15</v>
      </c>
      <c r="H32" s="88" t="s">
        <v>60</v>
      </c>
      <c r="I32" s="88" t="s">
        <v>18</v>
      </c>
      <c r="J32" s="88" t="s">
        <v>37</v>
      </c>
      <c r="K32" s="82" t="s">
        <v>203</v>
      </c>
    </row>
    <row r="33" spans="1:12" x14ac:dyDescent="0.3">
      <c r="A33" s="87">
        <v>46176</v>
      </c>
      <c r="B33" s="87">
        <v>46178.315919224537</v>
      </c>
      <c r="C33" s="88" t="s">
        <v>213</v>
      </c>
      <c r="D33" s="88" t="s">
        <v>214</v>
      </c>
      <c r="E33" s="88" t="s">
        <v>75</v>
      </c>
      <c r="F33" s="88" t="s">
        <v>215</v>
      </c>
      <c r="G33" s="83">
        <v>13711.09</v>
      </c>
      <c r="H33" s="88" t="s">
        <v>60</v>
      </c>
      <c r="I33" s="88" t="s">
        <v>18</v>
      </c>
      <c r="J33" s="88" t="s">
        <v>37</v>
      </c>
      <c r="K33" s="82"/>
    </row>
    <row r="34" spans="1:12" ht="28.8" customHeight="1" x14ac:dyDescent="0.3">
      <c r="A34" s="89">
        <v>46142</v>
      </c>
      <c r="B34" s="89">
        <v>46178.315919224537</v>
      </c>
      <c r="C34" s="90" t="s">
        <v>21</v>
      </c>
      <c r="D34" s="90" t="s">
        <v>22</v>
      </c>
      <c r="E34" s="90" t="s">
        <v>23</v>
      </c>
      <c r="F34" s="90" t="s">
        <v>24</v>
      </c>
      <c r="G34" s="79">
        <v>426010.6</v>
      </c>
      <c r="H34" s="90" t="s">
        <v>17</v>
      </c>
      <c r="I34" s="90" t="s">
        <v>21</v>
      </c>
      <c r="J34" s="90"/>
      <c r="K34" s="78"/>
      <c r="L34" s="91"/>
    </row>
    <row r="35" spans="1:12" ht="28.8" customHeight="1" x14ac:dyDescent="0.3">
      <c r="A35" s="87">
        <v>46167</v>
      </c>
      <c r="B35" s="87">
        <v>46178.315919224537</v>
      </c>
      <c r="C35" s="88" t="s">
        <v>171</v>
      </c>
      <c r="D35" s="88" t="s">
        <v>172</v>
      </c>
      <c r="E35" s="88" t="s">
        <v>173</v>
      </c>
      <c r="F35" s="88" t="s">
        <v>174</v>
      </c>
      <c r="G35" s="83">
        <v>25694.45</v>
      </c>
      <c r="H35" s="88" t="s">
        <v>60</v>
      </c>
      <c r="I35" s="88" t="s">
        <v>207</v>
      </c>
      <c r="J35" s="88" t="s">
        <v>31</v>
      </c>
      <c r="K35" s="82"/>
    </row>
    <row r="36" spans="1:12" x14ac:dyDescent="0.3">
      <c r="F36" s="15" t="s">
        <v>124</v>
      </c>
      <c r="G36" s="16">
        <f>SUM(G31:G35)</f>
        <v>741739.3</v>
      </c>
    </row>
    <row r="38" spans="1:12" x14ac:dyDescent="0.3">
      <c r="F38" s="15" t="s">
        <v>125</v>
      </c>
      <c r="G38" s="16">
        <f>SUMIFS(G3:G23, I3:I23, "*Ready*Dispatch*")</f>
        <v>50604.600000000006</v>
      </c>
    </row>
    <row r="41" spans="1:12" x14ac:dyDescent="0.3">
      <c r="A41" s="95" t="s">
        <v>231</v>
      </c>
    </row>
    <row r="42" spans="1:12" x14ac:dyDescent="0.3">
      <c r="A42" s="95" t="s">
        <v>182</v>
      </c>
    </row>
  </sheetData>
  <pageMargins left="0.25" right="0.25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5"/>
  <sheetViews>
    <sheetView zoomScale="80" zoomScaleNormal="80" workbookViewId="0">
      <pane xSplit="4" ySplit="2" topLeftCell="E20" activePane="bottomRight" state="frozen"/>
      <selection pane="topRight"/>
      <selection pane="bottomLeft"/>
      <selection pane="bottomRight" activeCell="F38" sqref="F38"/>
    </sheetView>
  </sheetViews>
  <sheetFormatPr defaultRowHeight="14.4" x14ac:dyDescent="0.3"/>
  <cols>
    <col min="1" max="2" width="10.5546875" bestFit="1" customWidth="1"/>
    <col min="3" max="3" width="11.33203125" bestFit="1" customWidth="1"/>
    <col min="4" max="4" width="10.77734375" bestFit="1" customWidth="1"/>
    <col min="5" max="5" width="15.77734375" bestFit="1" customWidth="1"/>
    <col min="6" max="6" width="29.33203125" bestFit="1" customWidth="1"/>
    <col min="7" max="7" width="13.109375" bestFit="1" customWidth="1"/>
    <col min="8" max="8" width="9.109375" style="115" bestFit="1" customWidth="1"/>
    <col min="9" max="9" width="15.21875" bestFit="1" customWidth="1"/>
    <col min="10" max="10" width="21.33203125" bestFit="1" customWidth="1"/>
    <col min="11" max="11" width="53.21875" bestFit="1" customWidth="1"/>
    <col min="12" max="12" width="10.5546875" bestFit="1" customWidth="1"/>
  </cols>
  <sheetData>
    <row r="1" spans="1:12" ht="18" customHeight="1" x14ac:dyDescent="0.35">
      <c r="A1" s="374" t="s">
        <v>0</v>
      </c>
      <c r="B1" s="369"/>
      <c r="C1" s="369"/>
      <c r="D1" s="369"/>
      <c r="K1" s="96">
        <f ca="1">TODAY()</f>
        <v>46211</v>
      </c>
    </row>
    <row r="2" spans="1:12" ht="43.2" customHeight="1" x14ac:dyDescent="0.3">
      <c r="A2" s="97" t="s">
        <v>1</v>
      </c>
      <c r="B2" s="97" t="s">
        <v>2</v>
      </c>
      <c r="C2" s="97" t="s">
        <v>3</v>
      </c>
      <c r="D2" s="97" t="s">
        <v>4</v>
      </c>
      <c r="E2" s="97" t="s">
        <v>5</v>
      </c>
      <c r="F2" s="97" t="s">
        <v>6</v>
      </c>
      <c r="G2" s="97" t="s">
        <v>7</v>
      </c>
      <c r="H2" s="97" t="s">
        <v>8</v>
      </c>
      <c r="I2" s="97" t="s">
        <v>9</v>
      </c>
      <c r="J2" s="97" t="s">
        <v>10</v>
      </c>
      <c r="K2" s="97" t="s">
        <v>11</v>
      </c>
      <c r="L2" s="97" t="s">
        <v>12</v>
      </c>
    </row>
    <row r="3" spans="1:12" x14ac:dyDescent="0.3">
      <c r="A3" s="98">
        <v>46167</v>
      </c>
      <c r="B3" s="98">
        <v>46181</v>
      </c>
      <c r="C3" s="99" t="s">
        <v>152</v>
      </c>
      <c r="D3" s="99" t="s">
        <v>153</v>
      </c>
      <c r="E3" s="100" t="s">
        <v>154</v>
      </c>
      <c r="F3" s="100" t="s">
        <v>155</v>
      </c>
      <c r="G3" s="101">
        <v>73266.5</v>
      </c>
      <c r="H3" s="99" t="s">
        <v>17</v>
      </c>
      <c r="I3" s="99" t="s">
        <v>207</v>
      </c>
      <c r="J3" s="99" t="s">
        <v>31</v>
      </c>
      <c r="K3" s="100" t="s">
        <v>156</v>
      </c>
      <c r="L3" s="98">
        <f t="shared" ref="L3:L24" si="0">B3</f>
        <v>46181</v>
      </c>
    </row>
    <row r="4" spans="1:12" ht="144" customHeight="1" x14ac:dyDescent="0.3">
      <c r="A4" s="98">
        <v>46175</v>
      </c>
      <c r="B4" s="98">
        <v>46181.363414803243</v>
      </c>
      <c r="C4" s="99" t="s">
        <v>208</v>
      </c>
      <c r="D4" s="99" t="s">
        <v>209</v>
      </c>
      <c r="E4" s="100" t="s">
        <v>210</v>
      </c>
      <c r="F4" s="100" t="s">
        <v>87</v>
      </c>
      <c r="G4" s="101">
        <v>65539.649999999994</v>
      </c>
      <c r="H4" s="99" t="s">
        <v>30</v>
      </c>
      <c r="I4" s="99" t="s">
        <v>18</v>
      </c>
      <c r="J4" s="99" t="s">
        <v>31</v>
      </c>
      <c r="K4" s="100" t="s">
        <v>211</v>
      </c>
      <c r="L4" s="98">
        <f t="shared" si="0"/>
        <v>46181.363414803243</v>
      </c>
    </row>
    <row r="5" spans="1:12" x14ac:dyDescent="0.3">
      <c r="A5" s="98">
        <v>46176</v>
      </c>
      <c r="B5" s="98">
        <v>46181.363414803243</v>
      </c>
      <c r="C5" s="99" t="s">
        <v>213</v>
      </c>
      <c r="D5" s="99" t="s">
        <v>214</v>
      </c>
      <c r="E5" s="100" t="s">
        <v>75</v>
      </c>
      <c r="F5" s="100" t="s">
        <v>215</v>
      </c>
      <c r="G5" s="101">
        <v>13711.09</v>
      </c>
      <c r="H5" s="99" t="s">
        <v>60</v>
      </c>
      <c r="I5" s="99" t="s">
        <v>18</v>
      </c>
      <c r="J5" s="99" t="s">
        <v>37</v>
      </c>
      <c r="K5" s="100" t="s">
        <v>216</v>
      </c>
      <c r="L5" s="98">
        <f t="shared" si="0"/>
        <v>46181.363414803243</v>
      </c>
    </row>
    <row r="6" spans="1:12" x14ac:dyDescent="0.3">
      <c r="A6" s="98">
        <v>46176</v>
      </c>
      <c r="B6" s="98">
        <v>46181.363414803243</v>
      </c>
      <c r="C6" s="99" t="s">
        <v>217</v>
      </c>
      <c r="D6" s="99" t="s">
        <v>218</v>
      </c>
      <c r="E6" s="100" t="s">
        <v>217</v>
      </c>
      <c r="F6" s="100" t="s">
        <v>219</v>
      </c>
      <c r="G6" s="101">
        <v>8629.6</v>
      </c>
      <c r="H6" s="99" t="s">
        <v>17</v>
      </c>
      <c r="I6" s="99" t="s">
        <v>18</v>
      </c>
      <c r="J6" s="99" t="s">
        <v>71</v>
      </c>
      <c r="K6" s="100" t="s">
        <v>220</v>
      </c>
      <c r="L6" s="98">
        <f t="shared" si="0"/>
        <v>46181.363414803243</v>
      </c>
    </row>
    <row r="7" spans="1:12" x14ac:dyDescent="0.3">
      <c r="A7" s="98">
        <v>46149</v>
      </c>
      <c r="B7" s="98">
        <v>46181.363414803243</v>
      </c>
      <c r="C7" s="99" t="s">
        <v>128</v>
      </c>
      <c r="D7" s="99" t="s">
        <v>129</v>
      </c>
      <c r="E7" s="100" t="s">
        <v>75</v>
      </c>
      <c r="F7" s="100" t="s">
        <v>130</v>
      </c>
      <c r="G7" s="101">
        <v>24910.15</v>
      </c>
      <c r="H7" s="99" t="s">
        <v>60</v>
      </c>
      <c r="I7" s="99" t="s">
        <v>207</v>
      </c>
      <c r="J7" s="99" t="s">
        <v>37</v>
      </c>
      <c r="K7" s="100" t="s">
        <v>203</v>
      </c>
      <c r="L7" s="98">
        <f t="shared" si="0"/>
        <v>46181.363414803243</v>
      </c>
    </row>
    <row r="8" spans="1:12" ht="28.8" customHeight="1" x14ac:dyDescent="0.3">
      <c r="A8" s="98">
        <v>46167</v>
      </c>
      <c r="B8" s="98">
        <v>46181.363414803243</v>
      </c>
      <c r="C8" s="99" t="s">
        <v>171</v>
      </c>
      <c r="D8" s="99" t="s">
        <v>172</v>
      </c>
      <c r="E8" s="100" t="s">
        <v>173</v>
      </c>
      <c r="F8" s="100" t="s">
        <v>174</v>
      </c>
      <c r="G8" s="101">
        <v>25694.45</v>
      </c>
      <c r="H8" s="99" t="s">
        <v>60</v>
      </c>
      <c r="I8" s="99" t="s">
        <v>207</v>
      </c>
      <c r="J8" s="99" t="s">
        <v>31</v>
      </c>
      <c r="K8" s="100" t="s">
        <v>175</v>
      </c>
      <c r="L8" s="98">
        <f t="shared" si="0"/>
        <v>46181.363414803243</v>
      </c>
    </row>
    <row r="9" spans="1:12" ht="28.8" customHeight="1" x14ac:dyDescent="0.3">
      <c r="A9" s="106">
        <v>46177</v>
      </c>
      <c r="B9" s="106">
        <v>46182</v>
      </c>
      <c r="C9" s="107" t="s">
        <v>226</v>
      </c>
      <c r="D9" s="107" t="s">
        <v>227</v>
      </c>
      <c r="E9" s="108" t="s">
        <v>228</v>
      </c>
      <c r="F9" s="108" t="s">
        <v>229</v>
      </c>
      <c r="G9" s="109">
        <v>116089.05</v>
      </c>
      <c r="H9" s="107" t="s">
        <v>17</v>
      </c>
      <c r="I9" s="107" t="s">
        <v>18</v>
      </c>
      <c r="J9" s="107" t="s">
        <v>37</v>
      </c>
      <c r="K9" s="108" t="s">
        <v>230</v>
      </c>
      <c r="L9" s="106">
        <f t="shared" si="0"/>
        <v>46182</v>
      </c>
    </row>
    <row r="10" spans="1:12" ht="43.2" customHeight="1" x14ac:dyDescent="0.3">
      <c r="A10" s="106">
        <v>46178</v>
      </c>
      <c r="B10" s="106">
        <v>46182</v>
      </c>
      <c r="C10" s="107" t="s">
        <v>232</v>
      </c>
      <c r="D10" s="107" t="s">
        <v>233</v>
      </c>
      <c r="E10" s="108" t="s">
        <v>234</v>
      </c>
      <c r="F10" s="108" t="s">
        <v>174</v>
      </c>
      <c r="G10" s="109">
        <v>11607.9</v>
      </c>
      <c r="H10" s="107" t="s">
        <v>60</v>
      </c>
      <c r="I10" s="107" t="s">
        <v>18</v>
      </c>
      <c r="J10" s="107" t="s">
        <v>31</v>
      </c>
      <c r="K10" s="108" t="s">
        <v>235</v>
      </c>
      <c r="L10" s="106">
        <f t="shared" si="0"/>
        <v>46182</v>
      </c>
    </row>
    <row r="11" spans="1:12" ht="409.6" customHeight="1" x14ac:dyDescent="0.3">
      <c r="A11" s="106">
        <v>46142</v>
      </c>
      <c r="B11" s="106">
        <v>46183</v>
      </c>
      <c r="C11" s="107" t="s">
        <v>13</v>
      </c>
      <c r="D11" s="107" t="s">
        <v>14</v>
      </c>
      <c r="E11" s="108" t="s">
        <v>15</v>
      </c>
      <c r="F11" s="108" t="s">
        <v>16</v>
      </c>
      <c r="G11" s="109">
        <v>251413.01</v>
      </c>
      <c r="H11" s="107" t="s">
        <v>17</v>
      </c>
      <c r="I11" s="107" t="s">
        <v>18</v>
      </c>
      <c r="J11" s="107" t="s">
        <v>19</v>
      </c>
      <c r="K11" s="108" t="s">
        <v>20</v>
      </c>
      <c r="L11" s="106">
        <f t="shared" si="0"/>
        <v>46183</v>
      </c>
    </row>
    <row r="12" spans="1:12" x14ac:dyDescent="0.3">
      <c r="A12" s="106">
        <v>46176</v>
      </c>
      <c r="B12" s="106">
        <v>46190</v>
      </c>
      <c r="C12" s="107" t="s">
        <v>221</v>
      </c>
      <c r="D12" s="107" t="s">
        <v>222</v>
      </c>
      <c r="E12" s="108" t="s">
        <v>223</v>
      </c>
      <c r="F12" s="108" t="s">
        <v>140</v>
      </c>
      <c r="G12" s="109">
        <v>12224.5</v>
      </c>
      <c r="H12" s="107" t="s">
        <v>17</v>
      </c>
      <c r="I12" s="107" t="s">
        <v>18</v>
      </c>
      <c r="J12" s="107" t="s">
        <v>37</v>
      </c>
      <c r="K12" s="108" t="s">
        <v>224</v>
      </c>
      <c r="L12" s="106">
        <f t="shared" si="0"/>
        <v>46190</v>
      </c>
    </row>
    <row r="13" spans="1:12" x14ac:dyDescent="0.3">
      <c r="A13" s="106">
        <v>46174</v>
      </c>
      <c r="B13" s="106">
        <v>46192</v>
      </c>
      <c r="C13" s="107" t="s">
        <v>147</v>
      </c>
      <c r="D13" s="107" t="s">
        <v>148</v>
      </c>
      <c r="E13" s="108" t="s">
        <v>149</v>
      </c>
      <c r="F13" s="108" t="s">
        <v>150</v>
      </c>
      <c r="G13" s="109">
        <v>70994.559999999998</v>
      </c>
      <c r="H13" s="107" t="s">
        <v>30</v>
      </c>
      <c r="I13" s="107" t="s">
        <v>18</v>
      </c>
      <c r="J13" s="107" t="s">
        <v>31</v>
      </c>
      <c r="K13" s="108" t="s">
        <v>151</v>
      </c>
      <c r="L13" s="106">
        <f t="shared" si="0"/>
        <v>46192</v>
      </c>
    </row>
    <row r="14" spans="1:12" ht="28.8" customHeight="1" x14ac:dyDescent="0.3">
      <c r="A14" s="106">
        <v>46112</v>
      </c>
      <c r="B14" s="106">
        <v>46202</v>
      </c>
      <c r="C14" s="107" t="s">
        <v>157</v>
      </c>
      <c r="D14" s="107" t="s">
        <v>158</v>
      </c>
      <c r="E14" s="108" t="s">
        <v>159</v>
      </c>
      <c r="F14" s="108" t="s">
        <v>96</v>
      </c>
      <c r="G14" s="109">
        <v>103711</v>
      </c>
      <c r="H14" s="107" t="s">
        <v>60</v>
      </c>
      <c r="I14" s="107" t="s">
        <v>18</v>
      </c>
      <c r="J14" s="107" t="s">
        <v>31</v>
      </c>
      <c r="K14" s="108" t="s">
        <v>160</v>
      </c>
      <c r="L14" s="106">
        <f t="shared" si="0"/>
        <v>46202</v>
      </c>
    </row>
    <row r="15" spans="1:12" ht="28.8" customHeight="1" x14ac:dyDescent="0.3">
      <c r="A15" s="106">
        <v>46155</v>
      </c>
      <c r="B15" s="106">
        <v>46202</v>
      </c>
      <c r="C15" s="107" t="s">
        <v>93</v>
      </c>
      <c r="D15" s="107" t="s">
        <v>94</v>
      </c>
      <c r="E15" s="108" t="s">
        <v>95</v>
      </c>
      <c r="F15" s="108" t="s">
        <v>96</v>
      </c>
      <c r="G15" s="109">
        <v>523356</v>
      </c>
      <c r="H15" s="107" t="s">
        <v>97</v>
      </c>
      <c r="I15" s="107" t="s">
        <v>18</v>
      </c>
      <c r="J15" s="107" t="s">
        <v>31</v>
      </c>
      <c r="K15" s="108" t="s">
        <v>98</v>
      </c>
      <c r="L15" s="106">
        <f t="shared" si="0"/>
        <v>46202</v>
      </c>
    </row>
    <row r="16" spans="1:12" ht="28.8" customHeight="1" x14ac:dyDescent="0.3">
      <c r="A16" s="106">
        <v>46167</v>
      </c>
      <c r="B16" s="106">
        <v>46202</v>
      </c>
      <c r="C16" s="107" t="s">
        <v>56</v>
      </c>
      <c r="D16" s="107" t="s">
        <v>57</v>
      </c>
      <c r="E16" s="108" t="s">
        <v>58</v>
      </c>
      <c r="F16" s="108" t="s">
        <v>59</v>
      </c>
      <c r="G16" s="109">
        <v>220505.60000000001</v>
      </c>
      <c r="H16" s="107" t="s">
        <v>60</v>
      </c>
      <c r="I16" s="107" t="s">
        <v>18</v>
      </c>
      <c r="J16" s="107" t="s">
        <v>31</v>
      </c>
      <c r="K16" s="108" t="s">
        <v>61</v>
      </c>
      <c r="L16" s="106">
        <f t="shared" si="0"/>
        <v>46202</v>
      </c>
    </row>
    <row r="17" spans="1:12" x14ac:dyDescent="0.3">
      <c r="A17" s="106">
        <v>46171</v>
      </c>
      <c r="B17" s="106">
        <v>46202</v>
      </c>
      <c r="C17" s="107" t="s">
        <v>176</v>
      </c>
      <c r="D17" s="107" t="s">
        <v>177</v>
      </c>
      <c r="E17" s="108" t="s">
        <v>178</v>
      </c>
      <c r="F17" s="108" t="s">
        <v>179</v>
      </c>
      <c r="G17" s="109">
        <v>13562.64</v>
      </c>
      <c r="H17" s="107" t="s">
        <v>30</v>
      </c>
      <c r="I17" s="107" t="s">
        <v>18</v>
      </c>
      <c r="J17" s="107" t="s">
        <v>31</v>
      </c>
      <c r="K17" s="108" t="s">
        <v>180</v>
      </c>
      <c r="L17" s="106">
        <f t="shared" si="0"/>
        <v>46202</v>
      </c>
    </row>
    <row r="18" spans="1:12" x14ac:dyDescent="0.3">
      <c r="A18" s="102">
        <v>46111</v>
      </c>
      <c r="B18" s="102">
        <v>46203</v>
      </c>
      <c r="C18" s="103" t="s">
        <v>166</v>
      </c>
      <c r="D18" s="103" t="s">
        <v>167</v>
      </c>
      <c r="E18" s="104" t="s">
        <v>168</v>
      </c>
      <c r="F18" s="104" t="s">
        <v>169</v>
      </c>
      <c r="G18" s="105">
        <v>169353.60000000001</v>
      </c>
      <c r="H18" s="103" t="s">
        <v>30</v>
      </c>
      <c r="I18" s="103" t="s">
        <v>21</v>
      </c>
      <c r="J18" s="103"/>
      <c r="K18" s="104" t="s">
        <v>170</v>
      </c>
      <c r="L18" s="102">
        <f t="shared" si="0"/>
        <v>46203</v>
      </c>
    </row>
    <row r="19" spans="1:12" ht="158.4" customHeight="1" x14ac:dyDescent="0.3">
      <c r="A19" s="102">
        <v>46128</v>
      </c>
      <c r="B19" s="102">
        <v>46203</v>
      </c>
      <c r="C19" s="103" t="s">
        <v>21</v>
      </c>
      <c r="D19" s="103" t="s">
        <v>103</v>
      </c>
      <c r="E19" s="104" t="s">
        <v>104</v>
      </c>
      <c r="F19" s="104" t="s">
        <v>105</v>
      </c>
      <c r="G19" s="105">
        <v>82900.05</v>
      </c>
      <c r="H19" s="103" t="s">
        <v>30</v>
      </c>
      <c r="I19" s="103" t="s">
        <v>21</v>
      </c>
      <c r="J19" s="103"/>
      <c r="K19" s="104" t="s">
        <v>106</v>
      </c>
      <c r="L19" s="102">
        <f t="shared" si="0"/>
        <v>46203</v>
      </c>
    </row>
    <row r="20" spans="1:12" ht="28.8" customHeight="1" x14ac:dyDescent="0.3">
      <c r="A20" s="102">
        <v>46142</v>
      </c>
      <c r="B20" s="102">
        <v>46203</v>
      </c>
      <c r="C20" s="103" t="s">
        <v>21</v>
      </c>
      <c r="D20" s="103" t="s">
        <v>22</v>
      </c>
      <c r="E20" s="104" t="s">
        <v>23</v>
      </c>
      <c r="F20" s="104" t="s">
        <v>24</v>
      </c>
      <c r="G20" s="105">
        <v>426010.6</v>
      </c>
      <c r="H20" s="103" t="s">
        <v>17</v>
      </c>
      <c r="I20" s="103" t="s">
        <v>21</v>
      </c>
      <c r="J20" s="103"/>
      <c r="K20" s="104" t="s">
        <v>25</v>
      </c>
      <c r="L20" s="102">
        <f t="shared" si="0"/>
        <v>46203</v>
      </c>
    </row>
    <row r="21" spans="1:12" ht="86.4" customHeight="1" x14ac:dyDescent="0.3">
      <c r="A21" s="102">
        <v>46142</v>
      </c>
      <c r="B21" s="102">
        <v>46203</v>
      </c>
      <c r="C21" s="103" t="s">
        <v>107</v>
      </c>
      <c r="D21" s="103" t="s">
        <v>108</v>
      </c>
      <c r="E21" s="104" t="s">
        <v>109</v>
      </c>
      <c r="F21" s="104" t="s">
        <v>110</v>
      </c>
      <c r="G21" s="105">
        <v>310411</v>
      </c>
      <c r="H21" s="103" t="s">
        <v>111</v>
      </c>
      <c r="I21" s="103" t="s">
        <v>21</v>
      </c>
      <c r="J21" s="103"/>
      <c r="K21" s="104" t="s">
        <v>112</v>
      </c>
      <c r="L21" s="102">
        <f t="shared" si="0"/>
        <v>46203</v>
      </c>
    </row>
    <row r="22" spans="1:12" ht="28.8" customHeight="1" x14ac:dyDescent="0.3">
      <c r="A22" s="102">
        <v>46142</v>
      </c>
      <c r="B22" s="102">
        <v>46203</v>
      </c>
      <c r="C22" s="103" t="s">
        <v>21</v>
      </c>
      <c r="D22" s="103" t="s">
        <v>113</v>
      </c>
      <c r="E22" s="104" t="s">
        <v>114</v>
      </c>
      <c r="F22" s="104" t="s">
        <v>115</v>
      </c>
      <c r="G22" s="105">
        <v>204447</v>
      </c>
      <c r="H22" s="103" t="s">
        <v>17</v>
      </c>
      <c r="I22" s="103" t="s">
        <v>21</v>
      </c>
      <c r="J22" s="103"/>
      <c r="K22" s="104" t="s">
        <v>116</v>
      </c>
      <c r="L22" s="102">
        <f t="shared" si="0"/>
        <v>46203</v>
      </c>
    </row>
    <row r="23" spans="1:12" x14ac:dyDescent="0.3">
      <c r="A23" s="106">
        <v>46171</v>
      </c>
      <c r="B23" s="106">
        <v>46227</v>
      </c>
      <c r="C23" s="107" t="s">
        <v>84</v>
      </c>
      <c r="D23" s="107" t="s">
        <v>85</v>
      </c>
      <c r="E23" s="108" t="s">
        <v>86</v>
      </c>
      <c r="F23" s="108" t="s">
        <v>87</v>
      </c>
      <c r="G23" s="109">
        <v>18400</v>
      </c>
      <c r="H23" s="107" t="s">
        <v>30</v>
      </c>
      <c r="I23" s="107" t="s">
        <v>18</v>
      </c>
      <c r="J23" s="107" t="s">
        <v>31</v>
      </c>
      <c r="K23" s="108" t="s">
        <v>88</v>
      </c>
      <c r="L23" s="106">
        <f t="shared" si="0"/>
        <v>46227</v>
      </c>
    </row>
    <row r="24" spans="1:12" x14ac:dyDescent="0.3">
      <c r="A24" s="102">
        <v>46170</v>
      </c>
      <c r="B24" s="102">
        <v>46227</v>
      </c>
      <c r="C24" s="103" t="s">
        <v>21</v>
      </c>
      <c r="D24" s="103" t="s">
        <v>89</v>
      </c>
      <c r="E24" s="104" t="s">
        <v>90</v>
      </c>
      <c r="F24" s="104" t="s">
        <v>91</v>
      </c>
      <c r="G24" s="105">
        <v>1860403.01</v>
      </c>
      <c r="H24" s="103" t="s">
        <v>30</v>
      </c>
      <c r="I24" s="103" t="s">
        <v>21</v>
      </c>
      <c r="J24" s="103"/>
      <c r="K24" s="104" t="s">
        <v>92</v>
      </c>
      <c r="L24" s="102">
        <f t="shared" si="0"/>
        <v>46227</v>
      </c>
    </row>
    <row r="25" spans="1:12" x14ac:dyDescent="0.3">
      <c r="F25" s="110" t="s">
        <v>117</v>
      </c>
      <c r="G25" s="111">
        <f>SUMIF(I3:I24,"&lt;&gt;Pending",G3:G24)</f>
        <v>1553615.7</v>
      </c>
    </row>
    <row r="27" spans="1:12" x14ac:dyDescent="0.3">
      <c r="F27" s="112" t="s">
        <v>118</v>
      </c>
    </row>
    <row r="28" spans="1:12" x14ac:dyDescent="0.3">
      <c r="F28" t="s">
        <v>119</v>
      </c>
      <c r="G28" s="18">
        <f ca="1">SUMIFS(G3:G24, J3:J24, "*CASH SALE*", L3:L24, "&gt;="&amp;EOMONTH(TODAY(),-1)+1, L3:L24, "&lt;="&amp;EOMONTH(TODAY(),0), I3:I24, "&lt;&gt;Pending")</f>
        <v>0</v>
      </c>
      <c r="I28" t="s">
        <v>120</v>
      </c>
      <c r="J28" s="18">
        <f ca="1">SUMIFS(G3:G24, J3:J24, "*CASH SALE*", L3:L24, "&gt;="&amp;EOMONTH(TODAY(),0)+1, L3:L24, "&lt;="&amp;EOMONTH(TODAY(),1), I3:I24, "&lt;&gt;Pending")</f>
        <v>0</v>
      </c>
    </row>
    <row r="29" spans="1:12" x14ac:dyDescent="0.3">
      <c r="F29" t="s">
        <v>121</v>
      </c>
      <c r="G29" s="18">
        <f ca="1">SUMIFS(G3:G24, J3:J24, "*ACCOUNT*", L3:L24, "&gt;="&amp;EOMONTH(TODAY(),-1)+1, L3:L24, "&lt;="&amp;EOMONTH(TODAY(),0), I3:I24, "&lt;&gt;Pending")</f>
        <v>18400</v>
      </c>
      <c r="I29" t="s">
        <v>122</v>
      </c>
      <c r="J29" s="18">
        <f ca="1">SUMIFS(G3:G24, J3:J24, "*ACCOUNT*", L3:L24, "&gt;="&amp;EOMONTH(TODAY(),0)+1, L3:L24, "&lt;="&amp;EOMONTH(TODAY(),1), I3:I24, "&lt;&gt;Pending")</f>
        <v>0</v>
      </c>
    </row>
    <row r="32" spans="1:12" ht="28.8" customHeight="1" x14ac:dyDescent="0.3">
      <c r="A32" s="97" t="s">
        <v>1</v>
      </c>
      <c r="B32" s="97" t="s">
        <v>2</v>
      </c>
      <c r="C32" s="97" t="s">
        <v>3</v>
      </c>
      <c r="D32" s="97" t="s">
        <v>4</v>
      </c>
      <c r="E32" s="97" t="s">
        <v>5</v>
      </c>
      <c r="F32" s="97" t="s">
        <v>6</v>
      </c>
      <c r="G32" s="97" t="s">
        <v>7</v>
      </c>
      <c r="H32" s="97" t="s">
        <v>8</v>
      </c>
      <c r="I32" s="97" t="s">
        <v>9</v>
      </c>
      <c r="J32" s="97" t="s">
        <v>10</v>
      </c>
      <c r="K32" s="97" t="s">
        <v>123</v>
      </c>
    </row>
    <row r="33" spans="1:11" x14ac:dyDescent="0.3">
      <c r="A33" s="113">
        <v>46149</v>
      </c>
      <c r="B33" s="113">
        <v>46181.363414803243</v>
      </c>
      <c r="C33" s="114" t="s">
        <v>128</v>
      </c>
      <c r="D33" s="114" t="s">
        <v>129</v>
      </c>
      <c r="E33" s="114" t="s">
        <v>75</v>
      </c>
      <c r="F33" s="114" t="s">
        <v>130</v>
      </c>
      <c r="G33" s="109">
        <v>24910.15</v>
      </c>
      <c r="H33" s="107" t="s">
        <v>60</v>
      </c>
      <c r="I33" s="114" t="s">
        <v>207</v>
      </c>
      <c r="J33" s="114" t="s">
        <v>37</v>
      </c>
      <c r="K33" s="108" t="s">
        <v>203</v>
      </c>
    </row>
    <row r="34" spans="1:11" x14ac:dyDescent="0.3">
      <c r="A34" s="113">
        <v>46167</v>
      </c>
      <c r="B34" s="113">
        <v>46181</v>
      </c>
      <c r="C34" s="114" t="s">
        <v>152</v>
      </c>
      <c r="D34" s="114" t="s">
        <v>153</v>
      </c>
      <c r="E34" s="114" t="s">
        <v>154</v>
      </c>
      <c r="F34" s="114" t="s">
        <v>155</v>
      </c>
      <c r="G34" s="109">
        <v>73266.5</v>
      </c>
      <c r="H34" s="107" t="s">
        <v>17</v>
      </c>
      <c r="I34" s="114" t="s">
        <v>207</v>
      </c>
      <c r="J34" s="114" t="s">
        <v>31</v>
      </c>
      <c r="K34" s="108" t="s">
        <v>236</v>
      </c>
    </row>
    <row r="35" spans="1:11" x14ac:dyDescent="0.3">
      <c r="A35" s="113">
        <v>46175</v>
      </c>
      <c r="B35" s="113">
        <v>46181.363414803243</v>
      </c>
      <c r="C35" s="114" t="s">
        <v>208</v>
      </c>
      <c r="D35" s="114" t="s">
        <v>209</v>
      </c>
      <c r="E35" s="114" t="s">
        <v>210</v>
      </c>
      <c r="F35" s="114" t="s">
        <v>87</v>
      </c>
      <c r="G35" s="109">
        <v>65539.649999999994</v>
      </c>
      <c r="H35" s="107" t="s">
        <v>30</v>
      </c>
      <c r="I35" s="114" t="s">
        <v>18</v>
      </c>
      <c r="J35" s="114" t="s">
        <v>31</v>
      </c>
      <c r="K35" s="108" t="s">
        <v>237</v>
      </c>
    </row>
    <row r="36" spans="1:11" x14ac:dyDescent="0.3">
      <c r="A36" s="113">
        <v>46176</v>
      </c>
      <c r="B36" s="113">
        <v>46181.363414803243</v>
      </c>
      <c r="C36" s="114" t="s">
        <v>213</v>
      </c>
      <c r="D36" s="114" t="s">
        <v>214</v>
      </c>
      <c r="E36" s="114" t="s">
        <v>75</v>
      </c>
      <c r="F36" s="114" t="s">
        <v>215</v>
      </c>
      <c r="G36" s="109">
        <v>13711.09</v>
      </c>
      <c r="H36" s="107" t="s">
        <v>60</v>
      </c>
      <c r="I36" s="114" t="s">
        <v>18</v>
      </c>
      <c r="J36" s="114" t="s">
        <v>37</v>
      </c>
      <c r="K36" s="108" t="s">
        <v>237</v>
      </c>
    </row>
    <row r="37" spans="1:11" x14ac:dyDescent="0.3">
      <c r="A37" s="113">
        <v>46176</v>
      </c>
      <c r="B37" s="113">
        <v>46181.363414803243</v>
      </c>
      <c r="C37" s="114" t="s">
        <v>217</v>
      </c>
      <c r="D37" s="114" t="s">
        <v>218</v>
      </c>
      <c r="E37" s="114" t="s">
        <v>217</v>
      </c>
      <c r="F37" s="114" t="s">
        <v>219</v>
      </c>
      <c r="G37" s="109">
        <v>8629.6</v>
      </c>
      <c r="H37" s="107" t="s">
        <v>17</v>
      </c>
      <c r="I37" s="114" t="s">
        <v>18</v>
      </c>
      <c r="J37" s="114" t="s">
        <v>71</v>
      </c>
      <c r="K37" s="108" t="s">
        <v>237</v>
      </c>
    </row>
    <row r="38" spans="1:11" ht="28.8" customHeight="1" x14ac:dyDescent="0.3">
      <c r="A38" s="113">
        <v>46167</v>
      </c>
      <c r="B38" s="113">
        <v>46181.363414803243</v>
      </c>
      <c r="C38" s="114" t="s">
        <v>171</v>
      </c>
      <c r="D38" s="114" t="s">
        <v>172</v>
      </c>
      <c r="E38" s="114" t="s">
        <v>173</v>
      </c>
      <c r="F38" s="114" t="s">
        <v>174</v>
      </c>
      <c r="G38" s="109">
        <v>25694.45</v>
      </c>
      <c r="H38" s="107" t="s">
        <v>60</v>
      </c>
      <c r="I38" s="114" t="s">
        <v>207</v>
      </c>
      <c r="J38" s="114" t="s">
        <v>31</v>
      </c>
      <c r="K38" s="108"/>
    </row>
    <row r="39" spans="1:11" x14ac:dyDescent="0.3">
      <c r="F39" s="110" t="s">
        <v>124</v>
      </c>
      <c r="G39" s="111">
        <f>SUM(G33:G38)</f>
        <v>211751.44</v>
      </c>
    </row>
    <row r="41" spans="1:11" x14ac:dyDescent="0.3">
      <c r="F41" s="110" t="s">
        <v>125</v>
      </c>
      <c r="G41" s="111">
        <f>SUMIFS(G3:G24, I3:I24, "*Ready*Dispatch*")</f>
        <v>123871.09999999999</v>
      </c>
    </row>
    <row r="44" spans="1:11" x14ac:dyDescent="0.3">
      <c r="A44" s="375" t="s">
        <v>238</v>
      </c>
      <c r="B44" s="367"/>
      <c r="C44" s="367"/>
      <c r="D44" s="367"/>
    </row>
    <row r="45" spans="1:11" x14ac:dyDescent="0.3">
      <c r="A45" s="375" t="s">
        <v>182</v>
      </c>
      <c r="B45" s="367"/>
      <c r="C45" s="367"/>
      <c r="D45" s="367"/>
    </row>
  </sheetData>
  <mergeCells count="3">
    <mergeCell ref="A1:D1"/>
    <mergeCell ref="A45:D45"/>
    <mergeCell ref="A44:D44"/>
  </mergeCells>
  <pageMargins left="0.25" right="0.25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6"/>
  <sheetViews>
    <sheetView tabSelected="1" zoomScale="80" zoomScaleNormal="80" workbookViewId="0">
      <pane xSplit="4" ySplit="2" topLeftCell="E3" activePane="bottomRight" state="frozen"/>
      <selection activeCell="J12" sqref="J12"/>
      <selection pane="topRight" activeCell="J12" sqref="J12"/>
      <selection pane="bottomLeft" activeCell="J12" sqref="J12"/>
      <selection pane="bottomRight" activeCell="C8" sqref="C8"/>
    </sheetView>
  </sheetViews>
  <sheetFormatPr defaultRowHeight="14.4" x14ac:dyDescent="0.3"/>
  <cols>
    <col min="1" max="1" width="11.5546875" bestFit="1" customWidth="1"/>
    <col min="2" max="2" width="10.5546875" bestFit="1" customWidth="1"/>
    <col min="3" max="3" width="11.33203125" bestFit="1" customWidth="1"/>
    <col min="4" max="4" width="10.77734375" bestFit="1" customWidth="1"/>
    <col min="5" max="5" width="15.77734375" bestFit="1" customWidth="1"/>
    <col min="6" max="6" width="29.77734375" bestFit="1" customWidth="1"/>
    <col min="7" max="7" width="13.109375" bestFit="1" customWidth="1"/>
    <col min="8" max="8" width="8.88671875" style="115" bestFit="1" customWidth="1"/>
    <col min="9" max="9" width="15.21875" bestFit="1" customWidth="1"/>
    <col min="10" max="10" width="21.33203125" bestFit="1" customWidth="1"/>
    <col min="11" max="11" width="75.33203125" bestFit="1" customWidth="1"/>
    <col min="12" max="12" width="12.77734375" bestFit="1" customWidth="1"/>
  </cols>
  <sheetData>
    <row r="1" spans="1:12" ht="18" customHeight="1" x14ac:dyDescent="0.35">
      <c r="A1" s="376" t="s">
        <v>0</v>
      </c>
      <c r="B1" s="369"/>
      <c r="C1" s="369"/>
      <c r="D1" s="369"/>
      <c r="K1" s="116">
        <f ca="1">TODAY()</f>
        <v>46211</v>
      </c>
    </row>
    <row r="2" spans="1:12" ht="43.2" customHeight="1" x14ac:dyDescent="0.3">
      <c r="A2" s="117" t="s">
        <v>1</v>
      </c>
      <c r="B2" s="117" t="s">
        <v>2</v>
      </c>
      <c r="C2" s="117" t="s">
        <v>3</v>
      </c>
      <c r="D2" s="117" t="s">
        <v>4</v>
      </c>
      <c r="E2" s="117" t="s">
        <v>5</v>
      </c>
      <c r="F2" s="117" t="s">
        <v>6</v>
      </c>
      <c r="G2" s="117" t="s">
        <v>7</v>
      </c>
      <c r="H2" s="117" t="s">
        <v>8</v>
      </c>
      <c r="I2" s="117" t="s">
        <v>9</v>
      </c>
      <c r="J2" s="117" t="s">
        <v>10</v>
      </c>
      <c r="K2" s="117" t="s">
        <v>11</v>
      </c>
      <c r="L2" s="117" t="s">
        <v>12</v>
      </c>
    </row>
    <row r="3" spans="1:12" x14ac:dyDescent="0.3">
      <c r="A3" s="118">
        <v>46181</v>
      </c>
      <c r="B3" s="118">
        <v>46182.366557372683</v>
      </c>
      <c r="C3" s="119" t="s">
        <v>239</v>
      </c>
      <c r="D3" s="119" t="s">
        <v>240</v>
      </c>
      <c r="E3" s="120" t="s">
        <v>241</v>
      </c>
      <c r="F3" s="120" t="s">
        <v>242</v>
      </c>
      <c r="G3" s="121">
        <v>37532.550000000003</v>
      </c>
      <c r="H3" s="119" t="s">
        <v>30</v>
      </c>
      <c r="I3" s="119" t="s">
        <v>207</v>
      </c>
      <c r="J3" s="119" t="s">
        <v>31</v>
      </c>
      <c r="K3" s="120" t="s">
        <v>243</v>
      </c>
      <c r="L3" s="118">
        <f t="shared" ref="L3:L27" si="0">B3</f>
        <v>46182.366557372683</v>
      </c>
    </row>
    <row r="4" spans="1:12" x14ac:dyDescent="0.3">
      <c r="A4" s="118">
        <v>46149</v>
      </c>
      <c r="B4" s="118">
        <v>46182.366557372683</v>
      </c>
      <c r="C4" s="119" t="s">
        <v>128</v>
      </c>
      <c r="D4" s="119" t="s">
        <v>129</v>
      </c>
      <c r="E4" s="120" t="s">
        <v>75</v>
      </c>
      <c r="F4" s="120" t="s">
        <v>130</v>
      </c>
      <c r="G4" s="121">
        <v>24910.15</v>
      </c>
      <c r="H4" s="119" t="s">
        <v>60</v>
      </c>
      <c r="I4" s="119" t="s">
        <v>207</v>
      </c>
      <c r="J4" s="119" t="s">
        <v>37</v>
      </c>
      <c r="K4" s="120" t="s">
        <v>203</v>
      </c>
      <c r="L4" s="118">
        <f t="shared" si="0"/>
        <v>46182.366557372683</v>
      </c>
    </row>
    <row r="5" spans="1:12" x14ac:dyDescent="0.3">
      <c r="A5" s="118">
        <v>46176</v>
      </c>
      <c r="B5" s="118">
        <v>46182.366557372683</v>
      </c>
      <c r="C5" s="119" t="s">
        <v>217</v>
      </c>
      <c r="D5" s="119" t="s">
        <v>218</v>
      </c>
      <c r="E5" s="120" t="s">
        <v>217</v>
      </c>
      <c r="F5" s="120" t="s">
        <v>219</v>
      </c>
      <c r="G5" s="121">
        <v>8629.6</v>
      </c>
      <c r="H5" s="119" t="s">
        <v>17</v>
      </c>
      <c r="I5" s="119" t="s">
        <v>207</v>
      </c>
      <c r="J5" s="119" t="s">
        <v>71</v>
      </c>
      <c r="K5" s="120" t="s">
        <v>237</v>
      </c>
      <c r="L5" s="118">
        <f t="shared" si="0"/>
        <v>46182.366557372683</v>
      </c>
    </row>
    <row r="6" spans="1:12" ht="28.8" customHeight="1" x14ac:dyDescent="0.3">
      <c r="A6" s="118">
        <v>46167</v>
      </c>
      <c r="B6" s="118">
        <v>46182.366557372683</v>
      </c>
      <c r="C6" s="119" t="s">
        <v>171</v>
      </c>
      <c r="D6" s="119" t="s">
        <v>172</v>
      </c>
      <c r="E6" s="120" t="s">
        <v>173</v>
      </c>
      <c r="F6" s="120" t="s">
        <v>174</v>
      </c>
      <c r="G6" s="121">
        <v>25694.45</v>
      </c>
      <c r="H6" s="119" t="s">
        <v>60</v>
      </c>
      <c r="I6" s="119" t="s">
        <v>207</v>
      </c>
      <c r="J6" s="119" t="s">
        <v>31</v>
      </c>
      <c r="K6" s="120" t="s">
        <v>175</v>
      </c>
      <c r="L6" s="118">
        <f t="shared" si="0"/>
        <v>46182.366557372683</v>
      </c>
    </row>
    <row r="7" spans="1:12" ht="43.2" customHeight="1" x14ac:dyDescent="0.3">
      <c r="A7" s="118">
        <v>46178</v>
      </c>
      <c r="B7" s="118">
        <v>46182.366557372683</v>
      </c>
      <c r="C7" s="119" t="s">
        <v>232</v>
      </c>
      <c r="D7" s="119" t="s">
        <v>233</v>
      </c>
      <c r="E7" s="120" t="s">
        <v>234</v>
      </c>
      <c r="F7" s="120" t="s">
        <v>174</v>
      </c>
      <c r="G7" s="121">
        <v>11607.9</v>
      </c>
      <c r="H7" s="119" t="s">
        <v>60</v>
      </c>
      <c r="I7" s="119" t="s">
        <v>18</v>
      </c>
      <c r="J7" s="119" t="s">
        <v>31</v>
      </c>
      <c r="K7" s="120" t="s">
        <v>235</v>
      </c>
      <c r="L7" s="118">
        <f t="shared" si="0"/>
        <v>46182.366557372683</v>
      </c>
    </row>
    <row r="8" spans="1:12" ht="28.8" customHeight="1" x14ac:dyDescent="0.3">
      <c r="A8" s="118">
        <v>46181</v>
      </c>
      <c r="B8" s="118">
        <v>46202</v>
      </c>
      <c r="C8" s="119" t="s">
        <v>244</v>
      </c>
      <c r="D8" s="119" t="s">
        <v>245</v>
      </c>
      <c r="E8" s="120" t="s">
        <v>246</v>
      </c>
      <c r="F8" s="120" t="s">
        <v>174</v>
      </c>
      <c r="G8" s="121">
        <v>19333.8</v>
      </c>
      <c r="H8" s="119" t="s">
        <v>60</v>
      </c>
      <c r="I8" s="119" t="s">
        <v>18</v>
      </c>
      <c r="J8" s="119" t="s">
        <v>31</v>
      </c>
      <c r="K8" s="120" t="s">
        <v>247</v>
      </c>
      <c r="L8" s="118">
        <f t="shared" si="0"/>
        <v>46202</v>
      </c>
    </row>
    <row r="9" spans="1:12" x14ac:dyDescent="0.3">
      <c r="A9" s="118">
        <v>46181</v>
      </c>
      <c r="B9" s="118">
        <v>46182.366557372683</v>
      </c>
      <c r="C9" s="119" t="s">
        <v>248</v>
      </c>
      <c r="D9" s="119" t="s">
        <v>249</v>
      </c>
      <c r="E9" s="120" t="s">
        <v>250</v>
      </c>
      <c r="F9" s="120" t="s">
        <v>251</v>
      </c>
      <c r="G9" s="121">
        <v>8535.2999999999993</v>
      </c>
      <c r="H9" s="119" t="s">
        <v>30</v>
      </c>
      <c r="I9" s="119" t="s">
        <v>18</v>
      </c>
      <c r="J9" s="119" t="s">
        <v>37</v>
      </c>
      <c r="K9" s="120" t="s">
        <v>252</v>
      </c>
      <c r="L9" s="118">
        <f t="shared" si="0"/>
        <v>46182.366557372683</v>
      </c>
    </row>
    <row r="10" spans="1:12" ht="28.8" customHeight="1" x14ac:dyDescent="0.3">
      <c r="A10" s="126">
        <v>46177</v>
      </c>
      <c r="B10" s="126">
        <v>46183</v>
      </c>
      <c r="C10" s="127" t="s">
        <v>226</v>
      </c>
      <c r="D10" s="127" t="s">
        <v>227</v>
      </c>
      <c r="E10" s="128" t="s">
        <v>228</v>
      </c>
      <c r="F10" s="128" t="s">
        <v>229</v>
      </c>
      <c r="G10" s="129">
        <v>116089.05</v>
      </c>
      <c r="H10" s="127" t="s">
        <v>17</v>
      </c>
      <c r="I10" s="127" t="s">
        <v>18</v>
      </c>
      <c r="J10" s="127" t="s">
        <v>37</v>
      </c>
      <c r="K10" s="128" t="s">
        <v>230</v>
      </c>
      <c r="L10" s="126">
        <f t="shared" si="0"/>
        <v>46183</v>
      </c>
    </row>
    <row r="11" spans="1:12" ht="57.6" customHeight="1" x14ac:dyDescent="0.3">
      <c r="A11" s="126">
        <v>46181</v>
      </c>
      <c r="B11" s="126">
        <v>46185</v>
      </c>
      <c r="C11" s="127" t="s">
        <v>253</v>
      </c>
      <c r="D11" s="127" t="s">
        <v>254</v>
      </c>
      <c r="E11" s="128" t="s">
        <v>255</v>
      </c>
      <c r="F11" s="128" t="s">
        <v>59</v>
      </c>
      <c r="G11" s="129">
        <v>55908.4</v>
      </c>
      <c r="H11" s="127" t="s">
        <v>60</v>
      </c>
      <c r="I11" s="127" t="s">
        <v>18</v>
      </c>
      <c r="J11" s="127" t="s">
        <v>31</v>
      </c>
      <c r="K11" s="128" t="s">
        <v>256</v>
      </c>
      <c r="L11" s="126">
        <f t="shared" si="0"/>
        <v>46185</v>
      </c>
    </row>
    <row r="12" spans="1:12" ht="57.6" customHeight="1" x14ac:dyDescent="0.3">
      <c r="A12" s="126">
        <v>46181</v>
      </c>
      <c r="B12" s="126">
        <v>46185</v>
      </c>
      <c r="C12" s="127" t="s">
        <v>257</v>
      </c>
      <c r="D12" s="127" t="s">
        <v>258</v>
      </c>
      <c r="E12" s="128" t="s">
        <v>259</v>
      </c>
      <c r="F12" s="128" t="s">
        <v>140</v>
      </c>
      <c r="G12" s="129">
        <v>7461.2</v>
      </c>
      <c r="H12" s="127" t="s">
        <v>17</v>
      </c>
      <c r="I12" s="127" t="s">
        <v>18</v>
      </c>
      <c r="J12" s="127" t="s">
        <v>31</v>
      </c>
      <c r="K12" s="128" t="s">
        <v>260</v>
      </c>
      <c r="L12" s="126">
        <f t="shared" si="0"/>
        <v>46185</v>
      </c>
    </row>
    <row r="13" spans="1:12" x14ac:dyDescent="0.3">
      <c r="A13" s="126">
        <v>46176</v>
      </c>
      <c r="B13" s="126">
        <v>46190</v>
      </c>
      <c r="C13" s="127" t="s">
        <v>221</v>
      </c>
      <c r="D13" s="127" t="s">
        <v>222</v>
      </c>
      <c r="E13" s="128" t="s">
        <v>223</v>
      </c>
      <c r="F13" s="128" t="s">
        <v>140</v>
      </c>
      <c r="G13" s="129">
        <v>12224.5</v>
      </c>
      <c r="H13" s="127" t="s">
        <v>17</v>
      </c>
      <c r="I13" s="127" t="s">
        <v>18</v>
      </c>
      <c r="J13" s="127" t="s">
        <v>37</v>
      </c>
      <c r="K13" s="128" t="s">
        <v>224</v>
      </c>
      <c r="L13" s="126">
        <f t="shared" si="0"/>
        <v>46190</v>
      </c>
    </row>
    <row r="14" spans="1:12" ht="279.60000000000002" customHeight="1" x14ac:dyDescent="0.3">
      <c r="A14" s="126">
        <v>46142</v>
      </c>
      <c r="B14" s="126">
        <v>46192</v>
      </c>
      <c r="C14" s="127" t="s">
        <v>13</v>
      </c>
      <c r="D14" s="127" t="s">
        <v>14</v>
      </c>
      <c r="E14" s="128" t="s">
        <v>15</v>
      </c>
      <c r="F14" s="128" t="s">
        <v>16</v>
      </c>
      <c r="G14" s="129">
        <v>251413.01</v>
      </c>
      <c r="H14" s="127" t="s">
        <v>17</v>
      </c>
      <c r="I14" s="127" t="s">
        <v>18</v>
      </c>
      <c r="J14" s="127" t="s">
        <v>19</v>
      </c>
      <c r="K14" s="128" t="s">
        <v>20</v>
      </c>
      <c r="L14" s="126">
        <f t="shared" si="0"/>
        <v>46192</v>
      </c>
    </row>
    <row r="15" spans="1:12" x14ac:dyDescent="0.3">
      <c r="A15" s="126">
        <v>46174</v>
      </c>
      <c r="B15" s="126">
        <v>46192</v>
      </c>
      <c r="C15" s="127" t="s">
        <v>147</v>
      </c>
      <c r="D15" s="127" t="s">
        <v>148</v>
      </c>
      <c r="E15" s="128" t="s">
        <v>149</v>
      </c>
      <c r="F15" s="128" t="s">
        <v>150</v>
      </c>
      <c r="G15" s="129">
        <v>70994.559999999998</v>
      </c>
      <c r="H15" s="127" t="s">
        <v>30</v>
      </c>
      <c r="I15" s="127" t="s">
        <v>18</v>
      </c>
      <c r="J15" s="127" t="s">
        <v>31</v>
      </c>
      <c r="K15" s="128" t="s">
        <v>151</v>
      </c>
      <c r="L15" s="126">
        <f t="shared" si="0"/>
        <v>46192</v>
      </c>
    </row>
    <row r="16" spans="1:12" ht="28.8" customHeight="1" x14ac:dyDescent="0.3">
      <c r="A16" s="126">
        <v>46112</v>
      </c>
      <c r="B16" s="126">
        <v>46202</v>
      </c>
      <c r="C16" s="127" t="s">
        <v>157</v>
      </c>
      <c r="D16" s="127" t="s">
        <v>158</v>
      </c>
      <c r="E16" s="128" t="s">
        <v>159</v>
      </c>
      <c r="F16" s="128" t="s">
        <v>96</v>
      </c>
      <c r="G16" s="129">
        <v>103711</v>
      </c>
      <c r="H16" s="127" t="s">
        <v>60</v>
      </c>
      <c r="I16" s="127" t="s">
        <v>18</v>
      </c>
      <c r="J16" s="127" t="s">
        <v>31</v>
      </c>
      <c r="K16" s="128" t="s">
        <v>160</v>
      </c>
      <c r="L16" s="126">
        <f t="shared" si="0"/>
        <v>46202</v>
      </c>
    </row>
    <row r="17" spans="1:12" ht="28.8" customHeight="1" x14ac:dyDescent="0.3">
      <c r="A17" s="126">
        <v>46155</v>
      </c>
      <c r="B17" s="126">
        <v>46202</v>
      </c>
      <c r="C17" s="127" t="s">
        <v>93</v>
      </c>
      <c r="D17" s="127" t="s">
        <v>94</v>
      </c>
      <c r="E17" s="128" t="s">
        <v>95</v>
      </c>
      <c r="F17" s="128" t="s">
        <v>96</v>
      </c>
      <c r="G17" s="129">
        <v>523356</v>
      </c>
      <c r="H17" s="127" t="s">
        <v>97</v>
      </c>
      <c r="I17" s="127" t="s">
        <v>18</v>
      </c>
      <c r="J17" s="127" t="s">
        <v>31</v>
      </c>
      <c r="K17" s="128" t="s">
        <v>98</v>
      </c>
      <c r="L17" s="126">
        <f t="shared" si="0"/>
        <v>46202</v>
      </c>
    </row>
    <row r="18" spans="1:12" ht="28.8" customHeight="1" x14ac:dyDescent="0.3">
      <c r="A18" s="126">
        <v>46167</v>
      </c>
      <c r="B18" s="126">
        <v>46202</v>
      </c>
      <c r="C18" s="127" t="s">
        <v>56</v>
      </c>
      <c r="D18" s="127" t="s">
        <v>57</v>
      </c>
      <c r="E18" s="128" t="s">
        <v>58</v>
      </c>
      <c r="F18" s="128" t="s">
        <v>59</v>
      </c>
      <c r="G18" s="129">
        <v>220505.60000000001</v>
      </c>
      <c r="H18" s="127" t="s">
        <v>60</v>
      </c>
      <c r="I18" s="127" t="s">
        <v>18</v>
      </c>
      <c r="J18" s="127" t="s">
        <v>31</v>
      </c>
      <c r="K18" s="128" t="s">
        <v>61</v>
      </c>
      <c r="L18" s="126">
        <f t="shared" si="0"/>
        <v>46202</v>
      </c>
    </row>
    <row r="19" spans="1:12" x14ac:dyDescent="0.3">
      <c r="A19" s="126">
        <v>46171</v>
      </c>
      <c r="B19" s="126">
        <v>46202</v>
      </c>
      <c r="C19" s="127" t="s">
        <v>176</v>
      </c>
      <c r="D19" s="127" t="s">
        <v>177</v>
      </c>
      <c r="E19" s="128" t="s">
        <v>178</v>
      </c>
      <c r="F19" s="128" t="s">
        <v>179</v>
      </c>
      <c r="G19" s="129">
        <v>13562.64</v>
      </c>
      <c r="H19" s="127" t="s">
        <v>30</v>
      </c>
      <c r="I19" s="127" t="s">
        <v>18</v>
      </c>
      <c r="J19" s="127" t="s">
        <v>31</v>
      </c>
      <c r="K19" s="128" t="s">
        <v>180</v>
      </c>
      <c r="L19" s="126">
        <f t="shared" si="0"/>
        <v>46202</v>
      </c>
    </row>
    <row r="20" spans="1:12" ht="28.8" customHeight="1" x14ac:dyDescent="0.3">
      <c r="A20" s="126">
        <v>46181</v>
      </c>
      <c r="B20" s="126">
        <v>46202</v>
      </c>
      <c r="C20" s="127" t="s">
        <v>257</v>
      </c>
      <c r="D20" s="127" t="s">
        <v>261</v>
      </c>
      <c r="E20" s="128" t="s">
        <v>262</v>
      </c>
      <c r="F20" s="128" t="s">
        <v>96</v>
      </c>
      <c r="G20" s="129">
        <v>187144</v>
      </c>
      <c r="H20" s="127" t="s">
        <v>60</v>
      </c>
      <c r="I20" s="127" t="s">
        <v>18</v>
      </c>
      <c r="J20" s="127" t="s">
        <v>31</v>
      </c>
      <c r="K20" s="128" t="s">
        <v>263</v>
      </c>
      <c r="L20" s="126">
        <f t="shared" si="0"/>
        <v>46202</v>
      </c>
    </row>
    <row r="21" spans="1:12" x14ac:dyDescent="0.3">
      <c r="A21" s="122">
        <v>46111</v>
      </c>
      <c r="B21" s="122">
        <v>46203</v>
      </c>
      <c r="C21" s="123" t="s">
        <v>166</v>
      </c>
      <c r="D21" s="123" t="s">
        <v>167</v>
      </c>
      <c r="E21" s="124" t="s">
        <v>168</v>
      </c>
      <c r="F21" s="124" t="s">
        <v>169</v>
      </c>
      <c r="G21" s="125">
        <v>169353.60000000001</v>
      </c>
      <c r="H21" s="123" t="s">
        <v>30</v>
      </c>
      <c r="I21" s="123" t="s">
        <v>21</v>
      </c>
      <c r="J21" s="123"/>
      <c r="K21" s="124" t="s">
        <v>170</v>
      </c>
      <c r="L21" s="122">
        <f t="shared" si="0"/>
        <v>46203</v>
      </c>
    </row>
    <row r="22" spans="1:12" ht="158.4" customHeight="1" x14ac:dyDescent="0.3">
      <c r="A22" s="122">
        <v>46128</v>
      </c>
      <c r="B22" s="122">
        <v>46203</v>
      </c>
      <c r="C22" s="123" t="s">
        <v>21</v>
      </c>
      <c r="D22" s="123" t="s">
        <v>103</v>
      </c>
      <c r="E22" s="124" t="s">
        <v>104</v>
      </c>
      <c r="F22" s="124" t="s">
        <v>105</v>
      </c>
      <c r="G22" s="125">
        <v>82900.05</v>
      </c>
      <c r="H22" s="123" t="s">
        <v>30</v>
      </c>
      <c r="I22" s="123" t="s">
        <v>21</v>
      </c>
      <c r="J22" s="123"/>
      <c r="K22" s="124" t="s">
        <v>106</v>
      </c>
      <c r="L22" s="122">
        <f t="shared" si="0"/>
        <v>46203</v>
      </c>
    </row>
    <row r="23" spans="1:12" ht="28.8" customHeight="1" x14ac:dyDescent="0.3">
      <c r="A23" s="122">
        <v>46142</v>
      </c>
      <c r="B23" s="122">
        <v>46203</v>
      </c>
      <c r="C23" s="123" t="s">
        <v>21</v>
      </c>
      <c r="D23" s="123" t="s">
        <v>22</v>
      </c>
      <c r="E23" s="124" t="s">
        <v>23</v>
      </c>
      <c r="F23" s="124" t="s">
        <v>24</v>
      </c>
      <c r="G23" s="125">
        <v>426010.6</v>
      </c>
      <c r="H23" s="123" t="s">
        <v>17</v>
      </c>
      <c r="I23" s="123" t="s">
        <v>21</v>
      </c>
      <c r="J23" s="123"/>
      <c r="K23" s="124" t="s">
        <v>25</v>
      </c>
      <c r="L23" s="122">
        <f t="shared" si="0"/>
        <v>46203</v>
      </c>
    </row>
    <row r="24" spans="1:12" ht="86.4" customHeight="1" x14ac:dyDescent="0.3">
      <c r="A24" s="122">
        <v>46142</v>
      </c>
      <c r="B24" s="122">
        <v>46203</v>
      </c>
      <c r="C24" s="123" t="s">
        <v>107</v>
      </c>
      <c r="D24" s="123" t="s">
        <v>108</v>
      </c>
      <c r="E24" s="124" t="s">
        <v>109</v>
      </c>
      <c r="F24" s="124" t="s">
        <v>110</v>
      </c>
      <c r="G24" s="125">
        <v>310411</v>
      </c>
      <c r="H24" s="123" t="s">
        <v>111</v>
      </c>
      <c r="I24" s="123" t="s">
        <v>21</v>
      </c>
      <c r="J24" s="123"/>
      <c r="K24" s="124" t="s">
        <v>112</v>
      </c>
      <c r="L24" s="122">
        <f t="shared" si="0"/>
        <v>46203</v>
      </c>
    </row>
    <row r="25" spans="1:12" ht="28.8" customHeight="1" x14ac:dyDescent="0.3">
      <c r="A25" s="122">
        <v>46142</v>
      </c>
      <c r="B25" s="122">
        <v>46203</v>
      </c>
      <c r="C25" s="123" t="s">
        <v>21</v>
      </c>
      <c r="D25" s="123" t="s">
        <v>113</v>
      </c>
      <c r="E25" s="124" t="s">
        <v>114</v>
      </c>
      <c r="F25" s="124" t="s">
        <v>115</v>
      </c>
      <c r="G25" s="125">
        <v>204447</v>
      </c>
      <c r="H25" s="123" t="s">
        <v>17</v>
      </c>
      <c r="I25" s="123" t="s">
        <v>21</v>
      </c>
      <c r="J25" s="123"/>
      <c r="K25" s="124" t="s">
        <v>116</v>
      </c>
      <c r="L25" s="122">
        <f t="shared" si="0"/>
        <v>46203</v>
      </c>
    </row>
    <row r="26" spans="1:12" x14ac:dyDescent="0.3">
      <c r="A26" s="126">
        <v>46171</v>
      </c>
      <c r="B26" s="126">
        <v>46227</v>
      </c>
      <c r="C26" s="127" t="s">
        <v>84</v>
      </c>
      <c r="D26" s="127" t="s">
        <v>85</v>
      </c>
      <c r="E26" s="128" t="s">
        <v>86</v>
      </c>
      <c r="F26" s="128" t="s">
        <v>87</v>
      </c>
      <c r="G26" s="129">
        <v>18400</v>
      </c>
      <c r="H26" s="127" t="s">
        <v>30</v>
      </c>
      <c r="I26" s="127" t="s">
        <v>18</v>
      </c>
      <c r="J26" s="127" t="s">
        <v>31</v>
      </c>
      <c r="K26" s="128" t="s">
        <v>88</v>
      </c>
      <c r="L26" s="126">
        <f t="shared" si="0"/>
        <v>46227</v>
      </c>
    </row>
    <row r="27" spans="1:12" x14ac:dyDescent="0.3">
      <c r="A27" s="122">
        <v>46170</v>
      </c>
      <c r="B27" s="122">
        <v>46227</v>
      </c>
      <c r="C27" s="123" t="s">
        <v>21</v>
      </c>
      <c r="D27" s="123" t="s">
        <v>89</v>
      </c>
      <c r="E27" s="124" t="s">
        <v>90</v>
      </c>
      <c r="F27" s="124" t="s">
        <v>91</v>
      </c>
      <c r="G27" s="125">
        <v>1860403.01</v>
      </c>
      <c r="H27" s="123" t="s">
        <v>30</v>
      </c>
      <c r="I27" s="123" t="s">
        <v>21</v>
      </c>
      <c r="J27" s="123"/>
      <c r="K27" s="124" t="s">
        <v>92</v>
      </c>
      <c r="L27" s="122">
        <f t="shared" si="0"/>
        <v>46227</v>
      </c>
    </row>
    <row r="28" spans="1:12" x14ac:dyDescent="0.3">
      <c r="F28" s="130" t="s">
        <v>117</v>
      </c>
      <c r="G28" s="131">
        <f>SUMIF(I3:I27,"&lt;&gt;Pending",G3:G27)</f>
        <v>1717013.71</v>
      </c>
    </row>
    <row r="30" spans="1:12" x14ac:dyDescent="0.3">
      <c r="F30" s="132" t="s">
        <v>118</v>
      </c>
    </row>
    <row r="31" spans="1:12" x14ac:dyDescent="0.3">
      <c r="F31" t="s">
        <v>119</v>
      </c>
      <c r="G31" s="18">
        <f ca="1">SUMIFS(G3:G27, J3:J27, "*CASH SALE*", L3:L27, "&gt;="&amp;EOMONTH(TODAY(),-1)+1, L3:L27, "&lt;="&amp;EOMONTH(TODAY(),0), I3:I27, "&lt;&gt;Pending")</f>
        <v>0</v>
      </c>
      <c r="I31" t="s">
        <v>120</v>
      </c>
      <c r="J31" s="18">
        <f ca="1">SUMIFS(G3:G27, J3:J27, "*CASH SALE*", L3:L27, "&gt;="&amp;EOMONTH(TODAY(),0)+1, L3:L27, "&lt;="&amp;EOMONTH(TODAY(),1), I3:I27, "&lt;&gt;Pending")</f>
        <v>0</v>
      </c>
    </row>
    <row r="32" spans="1:12" x14ac:dyDescent="0.3">
      <c r="F32" t="s">
        <v>121</v>
      </c>
      <c r="G32" s="18">
        <f ca="1">SUMIFS(G3:G27, J3:J27, "*ACCOUNT*", L3:L27, "&gt;="&amp;EOMONTH(TODAY(),-1)+1, L3:L27, "&lt;="&amp;EOMONTH(TODAY(),0), I3:I27, "&lt;&gt;Pending")</f>
        <v>18400</v>
      </c>
      <c r="I32" t="s">
        <v>122</v>
      </c>
      <c r="J32" s="18">
        <f ca="1">SUMIFS(G3:G27, J3:J27, "*ACCOUNT*", L3:L27, "&gt;="&amp;EOMONTH(TODAY(),0)+1, L3:L27, "&lt;="&amp;EOMONTH(TODAY(),1), I3:I27, "&lt;&gt;Pending")</f>
        <v>0</v>
      </c>
    </row>
    <row r="34" spans="1:11" ht="28.8" customHeight="1" x14ac:dyDescent="0.3">
      <c r="A34" s="117" t="s">
        <v>1</v>
      </c>
      <c r="B34" s="117" t="s">
        <v>2</v>
      </c>
      <c r="C34" s="117" t="s">
        <v>3</v>
      </c>
      <c r="D34" s="117" t="s">
        <v>4</v>
      </c>
      <c r="E34" s="117" t="s">
        <v>5</v>
      </c>
      <c r="F34" s="117" t="s">
        <v>6</v>
      </c>
      <c r="G34" s="117" t="s">
        <v>7</v>
      </c>
      <c r="H34" s="117" t="s">
        <v>8</v>
      </c>
      <c r="I34" s="117" t="s">
        <v>9</v>
      </c>
      <c r="J34" s="117" t="s">
        <v>10</v>
      </c>
      <c r="K34" s="117" t="s">
        <v>123</v>
      </c>
    </row>
    <row r="35" spans="1:11" x14ac:dyDescent="0.3">
      <c r="A35" s="118">
        <v>46181</v>
      </c>
      <c r="B35" s="118">
        <v>46182.366557372683</v>
      </c>
      <c r="C35" s="119" t="s">
        <v>239</v>
      </c>
      <c r="D35" s="119" t="s">
        <v>240</v>
      </c>
      <c r="E35" s="120" t="s">
        <v>241</v>
      </c>
      <c r="F35" s="120" t="s">
        <v>242</v>
      </c>
      <c r="G35" s="121">
        <v>37532.550000000003</v>
      </c>
      <c r="H35" s="119" t="s">
        <v>30</v>
      </c>
      <c r="I35" s="119" t="s">
        <v>207</v>
      </c>
      <c r="J35" s="119" t="s">
        <v>31</v>
      </c>
      <c r="K35" s="120" t="s">
        <v>264</v>
      </c>
    </row>
    <row r="36" spans="1:11" x14ac:dyDescent="0.3">
      <c r="A36" s="118">
        <v>46149</v>
      </c>
      <c r="B36" s="118">
        <v>46182.366557372683</v>
      </c>
      <c r="C36" s="119" t="s">
        <v>128</v>
      </c>
      <c r="D36" s="119" t="s">
        <v>129</v>
      </c>
      <c r="E36" s="120" t="s">
        <v>75</v>
      </c>
      <c r="F36" s="120" t="s">
        <v>130</v>
      </c>
      <c r="G36" s="121">
        <v>24910.15</v>
      </c>
      <c r="H36" s="119" t="s">
        <v>60</v>
      </c>
      <c r="I36" s="119" t="s">
        <v>207</v>
      </c>
      <c r="J36" s="119" t="s">
        <v>37</v>
      </c>
      <c r="K36" s="120" t="s">
        <v>265</v>
      </c>
    </row>
    <row r="37" spans="1:11" x14ac:dyDescent="0.3">
      <c r="A37" s="118">
        <v>46176</v>
      </c>
      <c r="B37" s="118">
        <v>46182.366557372683</v>
      </c>
      <c r="C37" s="119" t="s">
        <v>217</v>
      </c>
      <c r="D37" s="119" t="s">
        <v>218</v>
      </c>
      <c r="E37" s="120" t="s">
        <v>217</v>
      </c>
      <c r="F37" s="120" t="s">
        <v>219</v>
      </c>
      <c r="G37" s="121">
        <v>8629.6</v>
      </c>
      <c r="H37" s="119" t="s">
        <v>17</v>
      </c>
      <c r="I37" s="119" t="s">
        <v>207</v>
      </c>
      <c r="J37" s="119" t="s">
        <v>71</v>
      </c>
      <c r="K37" s="120" t="s">
        <v>266</v>
      </c>
    </row>
    <row r="38" spans="1:11" ht="28.8" customHeight="1" x14ac:dyDescent="0.3">
      <c r="A38" s="118">
        <v>46167</v>
      </c>
      <c r="B38" s="118">
        <v>46182.366557372683</v>
      </c>
      <c r="C38" s="119" t="s">
        <v>171</v>
      </c>
      <c r="D38" s="119" t="s">
        <v>172</v>
      </c>
      <c r="E38" s="120" t="s">
        <v>173</v>
      </c>
      <c r="F38" s="120" t="s">
        <v>174</v>
      </c>
      <c r="G38" s="121">
        <v>25694.45</v>
      </c>
      <c r="H38" s="119" t="s">
        <v>60</v>
      </c>
      <c r="I38" s="119" t="s">
        <v>207</v>
      </c>
      <c r="J38" s="119" t="s">
        <v>31</v>
      </c>
      <c r="K38" s="120" t="s">
        <v>267</v>
      </c>
    </row>
    <row r="39" spans="1:11" ht="28.8" customHeight="1" x14ac:dyDescent="0.3">
      <c r="A39" s="118">
        <v>46178</v>
      </c>
      <c r="B39" s="118">
        <v>46182.366557372683</v>
      </c>
      <c r="C39" s="119" t="s">
        <v>232</v>
      </c>
      <c r="D39" s="119" t="s">
        <v>233</v>
      </c>
      <c r="E39" s="120" t="s">
        <v>234</v>
      </c>
      <c r="F39" s="120" t="s">
        <v>174</v>
      </c>
      <c r="G39" s="121">
        <v>11607.9</v>
      </c>
      <c r="H39" s="119" t="s">
        <v>60</v>
      </c>
      <c r="I39" s="119" t="s">
        <v>18</v>
      </c>
      <c r="J39" s="119" t="s">
        <v>31</v>
      </c>
      <c r="K39" s="120" t="s">
        <v>268</v>
      </c>
    </row>
    <row r="40" spans="1:11" ht="28.8" customHeight="1" x14ac:dyDescent="0.3">
      <c r="A40" s="118">
        <v>46181</v>
      </c>
      <c r="B40" s="118">
        <v>46182.366557372683</v>
      </c>
      <c r="C40" s="119" t="s">
        <v>244</v>
      </c>
      <c r="D40" s="119" t="s">
        <v>245</v>
      </c>
      <c r="E40" s="120" t="s">
        <v>246</v>
      </c>
      <c r="F40" s="120" t="s">
        <v>174</v>
      </c>
      <c r="G40" s="121">
        <v>19333.8</v>
      </c>
      <c r="H40" s="119" t="s">
        <v>60</v>
      </c>
      <c r="I40" s="119" t="s">
        <v>18</v>
      </c>
      <c r="J40" s="119" t="s">
        <v>31</v>
      </c>
      <c r="K40" s="120" t="s">
        <v>267</v>
      </c>
    </row>
    <row r="41" spans="1:11" x14ac:dyDescent="0.3">
      <c r="A41" s="118">
        <v>46181</v>
      </c>
      <c r="B41" s="118">
        <v>46182.366557372683</v>
      </c>
      <c r="C41" s="119" t="s">
        <v>248</v>
      </c>
      <c r="D41" s="119" t="s">
        <v>249</v>
      </c>
      <c r="E41" s="120" t="s">
        <v>250</v>
      </c>
      <c r="F41" s="120" t="s">
        <v>251</v>
      </c>
      <c r="G41" s="121">
        <v>8535.2999999999993</v>
      </c>
      <c r="H41" s="119" t="s">
        <v>30</v>
      </c>
      <c r="I41" s="119" t="s">
        <v>18</v>
      </c>
      <c r="J41" s="119" t="s">
        <v>37</v>
      </c>
      <c r="K41" s="120" t="s">
        <v>269</v>
      </c>
    </row>
    <row r="42" spans="1:11" x14ac:dyDescent="0.3">
      <c r="F42" s="130" t="s">
        <v>124</v>
      </c>
      <c r="G42" s="131">
        <f>SUM(G35:G41)</f>
        <v>136243.75</v>
      </c>
    </row>
    <row r="44" spans="1:11" x14ac:dyDescent="0.3">
      <c r="F44" s="130" t="s">
        <v>125</v>
      </c>
      <c r="G44" s="131">
        <f>SUMIFS(G3:G27, I3:I27, "*Ready*Dispatch*")</f>
        <v>96766.75</v>
      </c>
    </row>
    <row r="45" spans="1:11" x14ac:dyDescent="0.3">
      <c r="A45" s="377" t="s">
        <v>270</v>
      </c>
      <c r="B45" s="367"/>
      <c r="C45" s="367"/>
      <c r="D45" s="367"/>
    </row>
    <row r="46" spans="1:11" x14ac:dyDescent="0.3">
      <c r="A46" s="377" t="s">
        <v>182</v>
      </c>
      <c r="B46" s="367"/>
      <c r="C46" s="367"/>
      <c r="D46" s="367"/>
    </row>
  </sheetData>
  <mergeCells count="3">
    <mergeCell ref="A1:D1"/>
    <mergeCell ref="A45:D45"/>
    <mergeCell ref="A46:D46"/>
  </mergeCells>
  <pageMargins left="0.25" right="0.25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6"/>
  <sheetViews>
    <sheetView zoomScale="80" zoomScaleNormal="80" workbookViewId="0">
      <pane xSplit="4" ySplit="2" topLeftCell="E3" activePane="bottomRight" state="frozen"/>
      <selection activeCell="J12" sqref="J12"/>
      <selection pane="topRight" activeCell="J12" sqref="J12"/>
      <selection pane="bottomLeft" activeCell="J12" sqref="J12"/>
      <selection pane="bottomRight" activeCell="J12" sqref="J12"/>
    </sheetView>
  </sheetViews>
  <sheetFormatPr defaultRowHeight="14.4" x14ac:dyDescent="0.3"/>
  <cols>
    <col min="1" max="2" width="10.5546875" bestFit="1" customWidth="1"/>
    <col min="3" max="3" width="11.33203125" bestFit="1" customWidth="1"/>
    <col min="4" max="4" width="10.77734375" bestFit="1" customWidth="1"/>
    <col min="5" max="5" width="15.77734375" customWidth="1"/>
    <col min="6" max="6" width="29.33203125" bestFit="1" customWidth="1"/>
    <col min="7" max="7" width="13.109375" bestFit="1" customWidth="1"/>
    <col min="8" max="8" width="9.109375" bestFit="1" customWidth="1"/>
    <col min="9" max="9" width="15.21875" bestFit="1" customWidth="1"/>
    <col min="10" max="10" width="21.33203125" bestFit="1" customWidth="1"/>
    <col min="11" max="11" width="53.21875" bestFit="1" customWidth="1"/>
    <col min="12" max="12" width="10.5546875" bestFit="1" customWidth="1"/>
  </cols>
  <sheetData>
    <row r="1" spans="1:12" ht="18" customHeight="1" x14ac:dyDescent="0.35">
      <c r="A1" s="378" t="s">
        <v>0</v>
      </c>
      <c r="B1" s="369"/>
      <c r="C1" s="369"/>
      <c r="D1" s="369"/>
      <c r="K1" s="133">
        <f ca="1">TODAY()</f>
        <v>46211</v>
      </c>
    </row>
    <row r="2" spans="1:12" ht="43.2" customHeight="1" x14ac:dyDescent="0.3">
      <c r="A2" s="134" t="s">
        <v>1</v>
      </c>
      <c r="B2" s="134" t="s">
        <v>2</v>
      </c>
      <c r="C2" s="134" t="s">
        <v>3</v>
      </c>
      <c r="D2" s="134" t="s">
        <v>4</v>
      </c>
      <c r="E2" s="134" t="s">
        <v>5</v>
      </c>
      <c r="F2" s="134" t="s">
        <v>6</v>
      </c>
      <c r="G2" s="134" t="s">
        <v>7</v>
      </c>
      <c r="H2" s="134" t="s">
        <v>8</v>
      </c>
      <c r="I2" s="134" t="s">
        <v>9</v>
      </c>
      <c r="J2" s="134" t="s">
        <v>10</v>
      </c>
      <c r="K2" s="134" t="s">
        <v>11</v>
      </c>
      <c r="L2" s="134" t="s">
        <v>12</v>
      </c>
    </row>
    <row r="3" spans="1:12" x14ac:dyDescent="0.3">
      <c r="A3" s="135">
        <v>46182</v>
      </c>
      <c r="B3" s="135">
        <v>46183.380681655093</v>
      </c>
      <c r="C3" s="136" t="s">
        <v>271</v>
      </c>
      <c r="D3" s="136" t="s">
        <v>272</v>
      </c>
      <c r="E3" s="137" t="s">
        <v>273</v>
      </c>
      <c r="F3" s="137" t="s">
        <v>274</v>
      </c>
      <c r="G3" s="138">
        <v>1569.2</v>
      </c>
      <c r="H3" s="136" t="s">
        <v>30</v>
      </c>
      <c r="I3" s="136" t="s">
        <v>18</v>
      </c>
      <c r="J3" s="136" t="s">
        <v>31</v>
      </c>
      <c r="K3" s="137" t="s">
        <v>275</v>
      </c>
      <c r="L3" s="135">
        <f t="shared" ref="L3:L28" si="0">B3</f>
        <v>46183.380681655093</v>
      </c>
    </row>
    <row r="4" spans="1:12" x14ac:dyDescent="0.3">
      <c r="A4" s="135">
        <v>46149</v>
      </c>
      <c r="B4" s="135">
        <v>46183.380681655093</v>
      </c>
      <c r="C4" s="136" t="s">
        <v>128</v>
      </c>
      <c r="D4" s="136" t="s">
        <v>129</v>
      </c>
      <c r="E4" s="137" t="s">
        <v>75</v>
      </c>
      <c r="F4" s="137" t="s">
        <v>130</v>
      </c>
      <c r="G4" s="138">
        <v>24910.15</v>
      </c>
      <c r="H4" s="136" t="s">
        <v>60</v>
      </c>
      <c r="I4" s="136" t="s">
        <v>207</v>
      </c>
      <c r="J4" s="136" t="s">
        <v>37</v>
      </c>
      <c r="K4" s="137" t="s">
        <v>265</v>
      </c>
      <c r="L4" s="135">
        <f t="shared" si="0"/>
        <v>46183.380681655093</v>
      </c>
    </row>
    <row r="5" spans="1:12" ht="28.8" customHeight="1" x14ac:dyDescent="0.3">
      <c r="A5" s="135">
        <v>46167</v>
      </c>
      <c r="B5" s="135">
        <v>46183.380681655093</v>
      </c>
      <c r="C5" s="136" t="s">
        <v>171</v>
      </c>
      <c r="D5" s="136" t="s">
        <v>172</v>
      </c>
      <c r="E5" s="137" t="s">
        <v>173</v>
      </c>
      <c r="F5" s="137" t="s">
        <v>174</v>
      </c>
      <c r="G5" s="138">
        <v>25694.45</v>
      </c>
      <c r="H5" s="136" t="s">
        <v>60</v>
      </c>
      <c r="I5" s="136" t="s">
        <v>207</v>
      </c>
      <c r="J5" s="136" t="s">
        <v>31</v>
      </c>
      <c r="K5" s="137" t="s">
        <v>267</v>
      </c>
      <c r="L5" s="135">
        <f t="shared" si="0"/>
        <v>46183.380681655093</v>
      </c>
    </row>
    <row r="6" spans="1:12" ht="28.8" customHeight="1" x14ac:dyDescent="0.3">
      <c r="A6" s="135">
        <v>46177</v>
      </c>
      <c r="B6" s="135">
        <v>46183.380681655093</v>
      </c>
      <c r="C6" s="136" t="s">
        <v>226</v>
      </c>
      <c r="D6" s="136" t="s">
        <v>227</v>
      </c>
      <c r="E6" s="137" t="s">
        <v>228</v>
      </c>
      <c r="F6" s="137" t="s">
        <v>229</v>
      </c>
      <c r="G6" s="138">
        <v>116089.05</v>
      </c>
      <c r="H6" s="136" t="s">
        <v>17</v>
      </c>
      <c r="I6" s="136" t="s">
        <v>207</v>
      </c>
      <c r="J6" s="136" t="s">
        <v>37</v>
      </c>
      <c r="K6" s="137" t="s">
        <v>230</v>
      </c>
      <c r="L6" s="135">
        <f t="shared" si="0"/>
        <v>46183.380681655093</v>
      </c>
    </row>
    <row r="7" spans="1:12" ht="28.8" customHeight="1" x14ac:dyDescent="0.3">
      <c r="A7" s="135">
        <v>46178</v>
      </c>
      <c r="B7" s="135">
        <v>46183.380681655093</v>
      </c>
      <c r="C7" s="136" t="s">
        <v>232</v>
      </c>
      <c r="D7" s="136" t="s">
        <v>233</v>
      </c>
      <c r="E7" s="137" t="s">
        <v>234</v>
      </c>
      <c r="F7" s="137" t="s">
        <v>174</v>
      </c>
      <c r="G7" s="138">
        <v>11607.9</v>
      </c>
      <c r="H7" s="136" t="s">
        <v>60</v>
      </c>
      <c r="I7" s="136" t="s">
        <v>207</v>
      </c>
      <c r="J7" s="136" t="s">
        <v>31</v>
      </c>
      <c r="K7" s="137" t="s">
        <v>268</v>
      </c>
      <c r="L7" s="135">
        <f t="shared" si="0"/>
        <v>46183.380681655093</v>
      </c>
    </row>
    <row r="8" spans="1:12" ht="28.8" customHeight="1" x14ac:dyDescent="0.3">
      <c r="A8" s="135">
        <v>46181</v>
      </c>
      <c r="B8" s="135">
        <v>46183.380681655093</v>
      </c>
      <c r="C8" s="136" t="s">
        <v>244</v>
      </c>
      <c r="D8" s="136" t="s">
        <v>245</v>
      </c>
      <c r="E8" s="137" t="s">
        <v>246</v>
      </c>
      <c r="F8" s="137" t="s">
        <v>174</v>
      </c>
      <c r="G8" s="138">
        <v>19333.8</v>
      </c>
      <c r="H8" s="136" t="s">
        <v>60</v>
      </c>
      <c r="I8" s="136" t="s">
        <v>207</v>
      </c>
      <c r="J8" s="136" t="s">
        <v>31</v>
      </c>
      <c r="K8" s="137" t="s">
        <v>267</v>
      </c>
      <c r="L8" s="135">
        <f t="shared" si="0"/>
        <v>46183.380681655093</v>
      </c>
    </row>
    <row r="9" spans="1:12" ht="57.6" customHeight="1" x14ac:dyDescent="0.3">
      <c r="A9" s="143">
        <v>46182</v>
      </c>
      <c r="B9" s="143">
        <v>46184</v>
      </c>
      <c r="C9" s="144" t="s">
        <v>276</v>
      </c>
      <c r="D9" s="144" t="s">
        <v>277</v>
      </c>
      <c r="E9" s="145" t="s">
        <v>278</v>
      </c>
      <c r="F9" s="145" t="s">
        <v>279</v>
      </c>
      <c r="G9" s="146">
        <v>13522.85</v>
      </c>
      <c r="H9" s="144" t="s">
        <v>17</v>
      </c>
      <c r="I9" s="144" t="s">
        <v>18</v>
      </c>
      <c r="J9" s="144" t="s">
        <v>37</v>
      </c>
      <c r="K9" s="145" t="s">
        <v>280</v>
      </c>
      <c r="L9" s="143">
        <f t="shared" si="0"/>
        <v>46184</v>
      </c>
    </row>
    <row r="10" spans="1:12" x14ac:dyDescent="0.3">
      <c r="A10" s="143">
        <v>46181</v>
      </c>
      <c r="B10" s="143">
        <v>46185</v>
      </c>
      <c r="C10" s="144" t="s">
        <v>257</v>
      </c>
      <c r="D10" s="144" t="s">
        <v>258</v>
      </c>
      <c r="E10" s="145" t="s">
        <v>259</v>
      </c>
      <c r="F10" s="145" t="s">
        <v>140</v>
      </c>
      <c r="G10" s="146">
        <v>7461.2</v>
      </c>
      <c r="H10" s="144" t="s">
        <v>17</v>
      </c>
      <c r="I10" s="144" t="s">
        <v>18</v>
      </c>
      <c r="J10" s="144" t="s">
        <v>31</v>
      </c>
      <c r="K10" s="145" t="s">
        <v>260</v>
      </c>
      <c r="L10" s="143">
        <f t="shared" si="0"/>
        <v>46185</v>
      </c>
    </row>
    <row r="11" spans="1:12" ht="86.4" customHeight="1" x14ac:dyDescent="0.3">
      <c r="A11" s="143">
        <v>46182</v>
      </c>
      <c r="B11" s="143">
        <v>46185</v>
      </c>
      <c r="C11" s="144" t="s">
        <v>281</v>
      </c>
      <c r="D11" s="144" t="s">
        <v>282</v>
      </c>
      <c r="E11" s="145" t="s">
        <v>75</v>
      </c>
      <c r="F11" s="145" t="s">
        <v>194</v>
      </c>
      <c r="G11" s="146">
        <v>65759.55</v>
      </c>
      <c r="H11" s="144" t="s">
        <v>60</v>
      </c>
      <c r="I11" s="144" t="s">
        <v>18</v>
      </c>
      <c r="J11" s="144" t="s">
        <v>37</v>
      </c>
      <c r="K11" s="145" t="s">
        <v>283</v>
      </c>
      <c r="L11" s="143">
        <f t="shared" si="0"/>
        <v>46185</v>
      </c>
    </row>
    <row r="12" spans="1:12" x14ac:dyDescent="0.3">
      <c r="A12" s="143">
        <v>46176</v>
      </c>
      <c r="B12" s="143">
        <v>46190</v>
      </c>
      <c r="C12" s="144" t="s">
        <v>221</v>
      </c>
      <c r="D12" s="144" t="s">
        <v>222</v>
      </c>
      <c r="E12" s="145" t="s">
        <v>223</v>
      </c>
      <c r="F12" s="145" t="s">
        <v>140</v>
      </c>
      <c r="G12" s="146">
        <v>12224.5</v>
      </c>
      <c r="H12" s="144" t="s">
        <v>17</v>
      </c>
      <c r="I12" s="144" t="s">
        <v>18</v>
      </c>
      <c r="J12" s="144" t="s">
        <v>37</v>
      </c>
      <c r="K12" s="145" t="s">
        <v>224</v>
      </c>
      <c r="L12" s="143">
        <f t="shared" si="0"/>
        <v>46190</v>
      </c>
    </row>
    <row r="13" spans="1:12" ht="57.6" customHeight="1" x14ac:dyDescent="0.3">
      <c r="A13" s="143">
        <v>46181</v>
      </c>
      <c r="B13" s="143">
        <v>46191</v>
      </c>
      <c r="C13" s="144" t="s">
        <v>253</v>
      </c>
      <c r="D13" s="144" t="s">
        <v>254</v>
      </c>
      <c r="E13" s="145" t="s">
        <v>255</v>
      </c>
      <c r="F13" s="145" t="s">
        <v>59</v>
      </c>
      <c r="G13" s="146">
        <v>55908.4</v>
      </c>
      <c r="H13" s="144" t="s">
        <v>60</v>
      </c>
      <c r="I13" s="144" t="s">
        <v>18</v>
      </c>
      <c r="J13" s="144" t="s">
        <v>31</v>
      </c>
      <c r="K13" s="145" t="s">
        <v>256</v>
      </c>
      <c r="L13" s="143">
        <f t="shared" si="0"/>
        <v>46191</v>
      </c>
    </row>
    <row r="14" spans="1:12" ht="409.6" customHeight="1" x14ac:dyDescent="0.3">
      <c r="A14" s="143">
        <v>46142</v>
      </c>
      <c r="B14" s="143">
        <v>46192</v>
      </c>
      <c r="C14" s="144" t="s">
        <v>13</v>
      </c>
      <c r="D14" s="144" t="s">
        <v>14</v>
      </c>
      <c r="E14" s="145" t="s">
        <v>15</v>
      </c>
      <c r="F14" s="145" t="s">
        <v>16</v>
      </c>
      <c r="G14" s="146">
        <v>251413.01</v>
      </c>
      <c r="H14" s="144" t="s">
        <v>17</v>
      </c>
      <c r="I14" s="144" t="s">
        <v>18</v>
      </c>
      <c r="J14" s="144" t="s">
        <v>19</v>
      </c>
      <c r="K14" s="145" t="s">
        <v>20</v>
      </c>
      <c r="L14" s="143">
        <f t="shared" si="0"/>
        <v>46192</v>
      </c>
    </row>
    <row r="15" spans="1:12" x14ac:dyDescent="0.3">
      <c r="A15" s="143">
        <v>46174</v>
      </c>
      <c r="B15" s="143">
        <v>46192</v>
      </c>
      <c r="C15" s="144" t="s">
        <v>147</v>
      </c>
      <c r="D15" s="144" t="s">
        <v>148</v>
      </c>
      <c r="E15" s="145" t="s">
        <v>149</v>
      </c>
      <c r="F15" s="145" t="s">
        <v>150</v>
      </c>
      <c r="G15" s="146">
        <v>70994.559999999998</v>
      </c>
      <c r="H15" s="144" t="s">
        <v>30</v>
      </c>
      <c r="I15" s="144" t="s">
        <v>18</v>
      </c>
      <c r="J15" s="144" t="s">
        <v>31</v>
      </c>
      <c r="K15" s="145" t="s">
        <v>151</v>
      </c>
      <c r="L15" s="143">
        <f t="shared" si="0"/>
        <v>46192</v>
      </c>
    </row>
    <row r="16" spans="1:12" ht="28.8" customHeight="1" x14ac:dyDescent="0.3">
      <c r="A16" s="143">
        <v>46112</v>
      </c>
      <c r="B16" s="143">
        <v>46202</v>
      </c>
      <c r="C16" s="144" t="s">
        <v>157</v>
      </c>
      <c r="D16" s="144" t="s">
        <v>158</v>
      </c>
      <c r="E16" s="145" t="s">
        <v>159</v>
      </c>
      <c r="F16" s="145" t="s">
        <v>96</v>
      </c>
      <c r="G16" s="146">
        <v>103711</v>
      </c>
      <c r="H16" s="144" t="s">
        <v>60</v>
      </c>
      <c r="I16" s="144" t="s">
        <v>18</v>
      </c>
      <c r="J16" s="144" t="s">
        <v>31</v>
      </c>
      <c r="K16" s="145" t="s">
        <v>160</v>
      </c>
      <c r="L16" s="143">
        <f t="shared" si="0"/>
        <v>46202</v>
      </c>
    </row>
    <row r="17" spans="1:12" ht="28.8" customHeight="1" x14ac:dyDescent="0.3">
      <c r="A17" s="143">
        <v>46155</v>
      </c>
      <c r="B17" s="143">
        <v>46202</v>
      </c>
      <c r="C17" s="144" t="s">
        <v>93</v>
      </c>
      <c r="D17" s="144" t="s">
        <v>94</v>
      </c>
      <c r="E17" s="145" t="s">
        <v>95</v>
      </c>
      <c r="F17" s="145" t="s">
        <v>96</v>
      </c>
      <c r="G17" s="146">
        <v>523356</v>
      </c>
      <c r="H17" s="144" t="s">
        <v>97</v>
      </c>
      <c r="I17" s="144" t="s">
        <v>18</v>
      </c>
      <c r="J17" s="144" t="s">
        <v>31</v>
      </c>
      <c r="K17" s="145" t="s">
        <v>98</v>
      </c>
      <c r="L17" s="143">
        <f t="shared" si="0"/>
        <v>46202</v>
      </c>
    </row>
    <row r="18" spans="1:12" ht="28.8" customHeight="1" x14ac:dyDescent="0.3">
      <c r="A18" s="143">
        <v>46167</v>
      </c>
      <c r="B18" s="143">
        <v>46202</v>
      </c>
      <c r="C18" s="144" t="s">
        <v>56</v>
      </c>
      <c r="D18" s="144" t="s">
        <v>57</v>
      </c>
      <c r="E18" s="145" t="s">
        <v>58</v>
      </c>
      <c r="F18" s="145" t="s">
        <v>59</v>
      </c>
      <c r="G18" s="146">
        <v>220505.60000000001</v>
      </c>
      <c r="H18" s="144" t="s">
        <v>60</v>
      </c>
      <c r="I18" s="144" t="s">
        <v>18</v>
      </c>
      <c r="J18" s="144" t="s">
        <v>31</v>
      </c>
      <c r="K18" s="145" t="s">
        <v>61</v>
      </c>
      <c r="L18" s="143">
        <f t="shared" si="0"/>
        <v>46202</v>
      </c>
    </row>
    <row r="19" spans="1:12" x14ac:dyDescent="0.3">
      <c r="A19" s="143">
        <v>46171</v>
      </c>
      <c r="B19" s="143">
        <v>46202</v>
      </c>
      <c r="C19" s="144" t="s">
        <v>176</v>
      </c>
      <c r="D19" s="144" t="s">
        <v>177</v>
      </c>
      <c r="E19" s="145" t="s">
        <v>178</v>
      </c>
      <c r="F19" s="145" t="s">
        <v>179</v>
      </c>
      <c r="G19" s="146">
        <v>13562.64</v>
      </c>
      <c r="H19" s="144" t="s">
        <v>30</v>
      </c>
      <c r="I19" s="144" t="s">
        <v>18</v>
      </c>
      <c r="J19" s="144" t="s">
        <v>31</v>
      </c>
      <c r="K19" s="145" t="s">
        <v>180</v>
      </c>
      <c r="L19" s="143">
        <f t="shared" si="0"/>
        <v>46202</v>
      </c>
    </row>
    <row r="20" spans="1:12" ht="28.8" customHeight="1" x14ac:dyDescent="0.3">
      <c r="A20" s="143">
        <v>46181</v>
      </c>
      <c r="B20" s="143">
        <v>46202</v>
      </c>
      <c r="C20" s="144" t="s">
        <v>257</v>
      </c>
      <c r="D20" s="144" t="s">
        <v>261</v>
      </c>
      <c r="E20" s="145" t="s">
        <v>262</v>
      </c>
      <c r="F20" s="145" t="s">
        <v>96</v>
      </c>
      <c r="G20" s="146">
        <v>187144</v>
      </c>
      <c r="H20" s="144" t="s">
        <v>60</v>
      </c>
      <c r="I20" s="144" t="s">
        <v>18</v>
      </c>
      <c r="J20" s="144" t="s">
        <v>31</v>
      </c>
      <c r="K20" s="145" t="s">
        <v>263</v>
      </c>
      <c r="L20" s="143">
        <f t="shared" si="0"/>
        <v>46202</v>
      </c>
    </row>
    <row r="21" spans="1:12" ht="28.8" customHeight="1" x14ac:dyDescent="0.3">
      <c r="A21" s="139">
        <v>46142</v>
      </c>
      <c r="B21" s="139">
        <v>46202</v>
      </c>
      <c r="C21" s="140" t="s">
        <v>21</v>
      </c>
      <c r="D21" s="140" t="s">
        <v>22</v>
      </c>
      <c r="E21" s="141" t="s">
        <v>23</v>
      </c>
      <c r="F21" s="141" t="s">
        <v>24</v>
      </c>
      <c r="G21" s="142">
        <v>426010.6</v>
      </c>
      <c r="H21" s="140" t="s">
        <v>17</v>
      </c>
      <c r="I21" s="140" t="s">
        <v>21</v>
      </c>
      <c r="J21" s="140"/>
      <c r="K21" s="141" t="s">
        <v>25</v>
      </c>
      <c r="L21" s="139">
        <f t="shared" si="0"/>
        <v>46202</v>
      </c>
    </row>
    <row r="22" spans="1:12" x14ac:dyDescent="0.3">
      <c r="A22" s="139">
        <v>46111</v>
      </c>
      <c r="B22" s="139">
        <v>46203</v>
      </c>
      <c r="C22" s="140" t="s">
        <v>166</v>
      </c>
      <c r="D22" s="140" t="s">
        <v>167</v>
      </c>
      <c r="E22" s="141" t="s">
        <v>168</v>
      </c>
      <c r="F22" s="141" t="s">
        <v>169</v>
      </c>
      <c r="G22" s="142">
        <v>169353.60000000001</v>
      </c>
      <c r="H22" s="140" t="s">
        <v>30</v>
      </c>
      <c r="I22" s="140" t="s">
        <v>21</v>
      </c>
      <c r="J22" s="140"/>
      <c r="K22" s="141" t="s">
        <v>170</v>
      </c>
      <c r="L22" s="139">
        <f t="shared" si="0"/>
        <v>46203</v>
      </c>
    </row>
    <row r="23" spans="1:12" ht="144" customHeight="1" x14ac:dyDescent="0.3">
      <c r="A23" s="139">
        <v>46128</v>
      </c>
      <c r="B23" s="139">
        <v>46203</v>
      </c>
      <c r="C23" s="140" t="s">
        <v>21</v>
      </c>
      <c r="D23" s="140" t="s">
        <v>103</v>
      </c>
      <c r="E23" s="141" t="s">
        <v>104</v>
      </c>
      <c r="F23" s="141" t="s">
        <v>105</v>
      </c>
      <c r="G23" s="142">
        <v>82900.05</v>
      </c>
      <c r="H23" s="140" t="s">
        <v>30</v>
      </c>
      <c r="I23" s="140" t="s">
        <v>21</v>
      </c>
      <c r="J23" s="140"/>
      <c r="K23" s="141" t="s">
        <v>106</v>
      </c>
      <c r="L23" s="139">
        <f t="shared" si="0"/>
        <v>46203</v>
      </c>
    </row>
    <row r="24" spans="1:12" ht="86.4" customHeight="1" x14ac:dyDescent="0.3">
      <c r="A24" s="139">
        <v>46142</v>
      </c>
      <c r="B24" s="139">
        <v>46203</v>
      </c>
      <c r="C24" s="140" t="s">
        <v>107</v>
      </c>
      <c r="D24" s="140" t="s">
        <v>108</v>
      </c>
      <c r="E24" s="141" t="s">
        <v>109</v>
      </c>
      <c r="F24" s="141" t="s">
        <v>110</v>
      </c>
      <c r="G24" s="142">
        <v>310411</v>
      </c>
      <c r="H24" s="140" t="s">
        <v>111</v>
      </c>
      <c r="I24" s="140" t="s">
        <v>21</v>
      </c>
      <c r="J24" s="140"/>
      <c r="K24" s="141" t="s">
        <v>112</v>
      </c>
      <c r="L24" s="139">
        <f t="shared" si="0"/>
        <v>46203</v>
      </c>
    </row>
    <row r="25" spans="1:12" x14ac:dyDescent="0.3">
      <c r="A25" s="139">
        <v>46142</v>
      </c>
      <c r="B25" s="139">
        <v>46203</v>
      </c>
      <c r="C25" s="140" t="s">
        <v>21</v>
      </c>
      <c r="D25" s="140" t="s">
        <v>113</v>
      </c>
      <c r="E25" s="141" t="s">
        <v>114</v>
      </c>
      <c r="F25" s="141" t="s">
        <v>115</v>
      </c>
      <c r="G25" s="142">
        <v>204447</v>
      </c>
      <c r="H25" s="140" t="s">
        <v>17</v>
      </c>
      <c r="I25" s="140" t="s">
        <v>21</v>
      </c>
      <c r="J25" s="140"/>
      <c r="K25" s="141" t="s">
        <v>116</v>
      </c>
      <c r="L25" s="139">
        <f t="shared" si="0"/>
        <v>46203</v>
      </c>
    </row>
    <row r="26" spans="1:12" x14ac:dyDescent="0.3">
      <c r="A26" s="143">
        <v>46171</v>
      </c>
      <c r="B26" s="143">
        <v>46227</v>
      </c>
      <c r="C26" s="144" t="s">
        <v>84</v>
      </c>
      <c r="D26" s="144" t="s">
        <v>85</v>
      </c>
      <c r="E26" s="145" t="s">
        <v>86</v>
      </c>
      <c r="F26" s="145" t="s">
        <v>87</v>
      </c>
      <c r="G26" s="146">
        <v>18400</v>
      </c>
      <c r="H26" s="144" t="s">
        <v>30</v>
      </c>
      <c r="I26" s="144" t="s">
        <v>18</v>
      </c>
      <c r="J26" s="144" t="s">
        <v>31</v>
      </c>
      <c r="K26" s="145" t="s">
        <v>88</v>
      </c>
      <c r="L26" s="143">
        <f t="shared" si="0"/>
        <v>46227</v>
      </c>
    </row>
    <row r="27" spans="1:12" x14ac:dyDescent="0.3">
      <c r="A27" s="139">
        <v>46170</v>
      </c>
      <c r="B27" s="139">
        <v>46227</v>
      </c>
      <c r="C27" s="140" t="s">
        <v>21</v>
      </c>
      <c r="D27" s="140" t="s">
        <v>89</v>
      </c>
      <c r="E27" s="141" t="s">
        <v>90</v>
      </c>
      <c r="F27" s="141" t="s">
        <v>91</v>
      </c>
      <c r="G27" s="142">
        <v>1860403.01</v>
      </c>
      <c r="H27" s="140" t="s">
        <v>30</v>
      </c>
      <c r="I27" s="140" t="s">
        <v>21</v>
      </c>
      <c r="J27" s="140"/>
      <c r="K27" s="141" t="s">
        <v>92</v>
      </c>
      <c r="L27" s="139">
        <f t="shared" si="0"/>
        <v>46227</v>
      </c>
    </row>
    <row r="28" spans="1:12" x14ac:dyDescent="0.3">
      <c r="A28" s="143">
        <v>46182</v>
      </c>
      <c r="B28" s="143">
        <v>46233</v>
      </c>
      <c r="C28" s="144" t="s">
        <v>26</v>
      </c>
      <c r="D28" s="144" t="s">
        <v>27</v>
      </c>
      <c r="E28" s="145" t="s">
        <v>28</v>
      </c>
      <c r="F28" s="145" t="s">
        <v>29</v>
      </c>
      <c r="G28" s="146">
        <v>62080.45</v>
      </c>
      <c r="H28" s="144" t="s">
        <v>30</v>
      </c>
      <c r="I28" s="144" t="s">
        <v>18</v>
      </c>
      <c r="J28" s="144" t="s">
        <v>31</v>
      </c>
      <c r="K28" s="145" t="s">
        <v>32</v>
      </c>
      <c r="L28" s="143">
        <f t="shared" si="0"/>
        <v>46233</v>
      </c>
    </row>
    <row r="29" spans="1:12" x14ac:dyDescent="0.3">
      <c r="F29" s="147" t="s">
        <v>117</v>
      </c>
      <c r="G29" s="148">
        <f>SUMIF(I3:I28,"&lt;&gt;Pending",G3:G28)</f>
        <v>1805248.31</v>
      </c>
    </row>
    <row r="31" spans="1:12" x14ac:dyDescent="0.3">
      <c r="F31" s="149" t="s">
        <v>118</v>
      </c>
    </row>
    <row r="32" spans="1:12" x14ac:dyDescent="0.3">
      <c r="F32" t="s">
        <v>119</v>
      </c>
      <c r="G32" s="18">
        <f ca="1">SUMIFS(G3:G28, J3:J28, "*CASH SALE*", L3:L28, "&gt;="&amp;EOMONTH(TODAY(),-1)+1, L3:L28, "&lt;="&amp;EOMONTH(TODAY(),0), I3:I28, "&lt;&gt;Pending")</f>
        <v>0</v>
      </c>
      <c r="I32" t="s">
        <v>120</v>
      </c>
      <c r="J32" s="18">
        <f ca="1">SUMIFS(G3:G28, J3:J28, "*CASH SALE*", L3:L28, "&gt;="&amp;EOMONTH(TODAY(),0)+1, L3:L28, "&lt;="&amp;EOMONTH(TODAY(),1), I3:I28, "&lt;&gt;Pending")</f>
        <v>0</v>
      </c>
    </row>
    <row r="33" spans="1:11" x14ac:dyDescent="0.3">
      <c r="F33" t="s">
        <v>121</v>
      </c>
      <c r="G33" s="18">
        <f ca="1">SUMIFS(G3:G28, J3:J28, "*ACCOUNT*", L3:L28, "&gt;="&amp;EOMONTH(TODAY(),-1)+1, L3:L28, "&lt;="&amp;EOMONTH(TODAY(),0), I3:I28, "&lt;&gt;Pending")</f>
        <v>80480.45</v>
      </c>
      <c r="I33" t="s">
        <v>122</v>
      </c>
      <c r="J33" s="18">
        <f ca="1">SUMIFS(G3:G28, J3:J28, "*ACCOUNT*", L3:L28, "&gt;="&amp;EOMONTH(TODAY(),0)+1, L3:L28, "&lt;="&amp;EOMONTH(TODAY(),1), I3:I28, "&lt;&gt;Pending")</f>
        <v>0</v>
      </c>
    </row>
    <row r="35" spans="1:11" ht="28.8" customHeight="1" x14ac:dyDescent="0.3">
      <c r="A35" s="134" t="s">
        <v>1</v>
      </c>
      <c r="B35" s="134" t="s">
        <v>2</v>
      </c>
      <c r="C35" s="134" t="s">
        <v>3</v>
      </c>
      <c r="D35" s="134" t="s">
        <v>4</v>
      </c>
      <c r="E35" s="134" t="s">
        <v>5</v>
      </c>
      <c r="F35" s="134" t="s">
        <v>6</v>
      </c>
      <c r="G35" s="134" t="s">
        <v>7</v>
      </c>
      <c r="H35" s="134" t="s">
        <v>8</v>
      </c>
      <c r="I35" s="134" t="s">
        <v>9</v>
      </c>
      <c r="J35" s="134" t="s">
        <v>10</v>
      </c>
      <c r="K35" s="134" t="s">
        <v>123</v>
      </c>
    </row>
    <row r="36" spans="1:11" x14ac:dyDescent="0.3">
      <c r="A36" s="143">
        <v>46177</v>
      </c>
      <c r="B36" s="143">
        <v>46183.380681655093</v>
      </c>
      <c r="C36" s="144" t="s">
        <v>226</v>
      </c>
      <c r="D36" s="144" t="s">
        <v>227</v>
      </c>
      <c r="E36" s="145" t="s">
        <v>228</v>
      </c>
      <c r="F36" s="145" t="s">
        <v>229</v>
      </c>
      <c r="G36" s="146">
        <v>116089.05</v>
      </c>
      <c r="H36" s="144" t="s">
        <v>17</v>
      </c>
      <c r="I36" s="144" t="s">
        <v>207</v>
      </c>
      <c r="J36" s="144" t="s">
        <v>37</v>
      </c>
      <c r="K36" s="145" t="s">
        <v>284</v>
      </c>
    </row>
    <row r="37" spans="1:11" ht="28.8" customHeight="1" x14ac:dyDescent="0.3">
      <c r="A37" s="143">
        <v>46178</v>
      </c>
      <c r="B37" s="143">
        <v>46183.380681655093</v>
      </c>
      <c r="C37" s="144" t="s">
        <v>232</v>
      </c>
      <c r="D37" s="144" t="s">
        <v>233</v>
      </c>
      <c r="E37" s="145" t="s">
        <v>234</v>
      </c>
      <c r="F37" s="145" t="s">
        <v>174</v>
      </c>
      <c r="G37" s="146">
        <v>11607.9</v>
      </c>
      <c r="H37" s="144" t="s">
        <v>60</v>
      </c>
      <c r="I37" s="144" t="s">
        <v>207</v>
      </c>
      <c r="J37" s="144" t="s">
        <v>31</v>
      </c>
      <c r="K37" s="145" t="s">
        <v>267</v>
      </c>
    </row>
    <row r="38" spans="1:11" ht="28.8" customHeight="1" x14ac:dyDescent="0.3">
      <c r="A38" s="143">
        <v>46181</v>
      </c>
      <c r="B38" s="143">
        <v>46183.380681655093</v>
      </c>
      <c r="C38" s="144" t="s">
        <v>244</v>
      </c>
      <c r="D38" s="144" t="s">
        <v>245</v>
      </c>
      <c r="E38" s="145" t="s">
        <v>246</v>
      </c>
      <c r="F38" s="145" t="s">
        <v>174</v>
      </c>
      <c r="G38" s="146">
        <v>19333.8</v>
      </c>
      <c r="H38" s="144" t="s">
        <v>60</v>
      </c>
      <c r="I38" s="144" t="s">
        <v>207</v>
      </c>
      <c r="J38" s="144" t="s">
        <v>31</v>
      </c>
      <c r="K38" s="145" t="s">
        <v>267</v>
      </c>
    </row>
    <row r="39" spans="1:11" x14ac:dyDescent="0.3">
      <c r="A39" s="143">
        <v>46182</v>
      </c>
      <c r="B39" s="143">
        <v>46183.380681655093</v>
      </c>
      <c r="C39" s="144" t="s">
        <v>271</v>
      </c>
      <c r="D39" s="144" t="s">
        <v>272</v>
      </c>
      <c r="E39" s="145" t="s">
        <v>273</v>
      </c>
      <c r="F39" s="145" t="s">
        <v>274</v>
      </c>
      <c r="G39" s="146">
        <v>1569.2</v>
      </c>
      <c r="H39" s="144" t="s">
        <v>30</v>
      </c>
      <c r="I39" s="144" t="s">
        <v>18</v>
      </c>
      <c r="J39" s="144" t="s">
        <v>31</v>
      </c>
      <c r="K39" s="145"/>
    </row>
    <row r="40" spans="1:11" x14ac:dyDescent="0.3">
      <c r="A40" s="143">
        <v>46149</v>
      </c>
      <c r="B40" s="143">
        <v>46183.380681655093</v>
      </c>
      <c r="C40" s="144" t="s">
        <v>128</v>
      </c>
      <c r="D40" s="144" t="s">
        <v>129</v>
      </c>
      <c r="E40" s="145" t="s">
        <v>75</v>
      </c>
      <c r="F40" s="145" t="s">
        <v>130</v>
      </c>
      <c r="G40" s="146">
        <v>24910.15</v>
      </c>
      <c r="H40" s="144" t="s">
        <v>60</v>
      </c>
      <c r="I40" s="144" t="s">
        <v>207</v>
      </c>
      <c r="J40" s="144" t="s">
        <v>37</v>
      </c>
      <c r="K40" s="145" t="s">
        <v>265</v>
      </c>
    </row>
    <row r="41" spans="1:11" ht="28.8" customHeight="1" x14ac:dyDescent="0.3">
      <c r="A41" s="143">
        <v>46167</v>
      </c>
      <c r="B41" s="143">
        <v>46183.380681655093</v>
      </c>
      <c r="C41" s="144" t="s">
        <v>171</v>
      </c>
      <c r="D41" s="144" t="s">
        <v>172</v>
      </c>
      <c r="E41" s="145" t="s">
        <v>173</v>
      </c>
      <c r="F41" s="145" t="s">
        <v>174</v>
      </c>
      <c r="G41" s="146">
        <v>25694.45</v>
      </c>
      <c r="H41" s="144" t="s">
        <v>60</v>
      </c>
      <c r="I41" s="144" t="s">
        <v>207</v>
      </c>
      <c r="J41" s="144" t="s">
        <v>31</v>
      </c>
      <c r="K41" s="145" t="s">
        <v>267</v>
      </c>
    </row>
    <row r="42" spans="1:11" x14ac:dyDescent="0.3">
      <c r="F42" s="147" t="s">
        <v>124</v>
      </c>
      <c r="G42" s="148">
        <f>SUM(G36:G41)</f>
        <v>199204.55000000002</v>
      </c>
    </row>
    <row r="44" spans="1:11" x14ac:dyDescent="0.3">
      <c r="F44" s="147" t="s">
        <v>125</v>
      </c>
      <c r="G44" s="148">
        <f>SUMIFS(G3:G28, I3:I28, "*Ready*Dispatch*")</f>
        <v>197635.35</v>
      </c>
    </row>
    <row r="45" spans="1:11" x14ac:dyDescent="0.3">
      <c r="A45" s="379" t="s">
        <v>285</v>
      </c>
      <c r="B45" s="367"/>
      <c r="C45" s="367"/>
      <c r="D45" s="367"/>
    </row>
    <row r="46" spans="1:11" x14ac:dyDescent="0.3">
      <c r="A46" s="366" t="s">
        <v>182</v>
      </c>
      <c r="B46" s="367"/>
      <c r="C46" s="367"/>
      <c r="D46" s="367"/>
    </row>
  </sheetData>
  <mergeCells count="3">
    <mergeCell ref="A1:D1"/>
    <mergeCell ref="A45:D45"/>
    <mergeCell ref="A46:D46"/>
  </mergeCells>
  <pageMargins left="0.25" right="0.25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41"/>
  <sheetViews>
    <sheetView zoomScale="70" zoomScaleNormal="70" workbookViewId="0">
      <pane xSplit="4" ySplit="2" topLeftCell="E3" activePane="bottomRight" state="frozen"/>
      <selection activeCell="J12" sqref="J12"/>
      <selection pane="topRight" activeCell="J12" sqref="J12"/>
      <selection pane="bottomLeft" activeCell="J12" sqref="J12"/>
      <selection pane="bottomRight" activeCell="J12" sqref="J12"/>
    </sheetView>
  </sheetViews>
  <sheetFormatPr defaultRowHeight="14.4" x14ac:dyDescent="0.3"/>
  <cols>
    <col min="1" max="2" width="11.5546875" bestFit="1" customWidth="1"/>
    <col min="3" max="3" width="11.6640625" bestFit="1" customWidth="1"/>
    <col min="4" max="4" width="11.21875" style="115" bestFit="1" customWidth="1"/>
    <col min="5" max="5" width="16.109375" bestFit="1" customWidth="1"/>
    <col min="6" max="6" width="32.109375" customWidth="1"/>
    <col min="7" max="7" width="15" style="166" customWidth="1"/>
    <col min="8" max="8" width="9.109375" style="115" customWidth="1"/>
    <col min="9" max="9" width="15.77734375" style="115" bestFit="1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380" t="s">
        <v>0</v>
      </c>
      <c r="B1" s="369"/>
      <c r="C1" s="369"/>
      <c r="D1" s="369"/>
      <c r="K1" s="150">
        <f ca="1">TODAY()</f>
        <v>46211</v>
      </c>
    </row>
    <row r="2" spans="1:12" ht="43.2" customHeight="1" x14ac:dyDescent="0.3">
      <c r="A2" s="151" t="s">
        <v>1</v>
      </c>
      <c r="B2" s="151" t="s">
        <v>2</v>
      </c>
      <c r="C2" s="151" t="s">
        <v>3</v>
      </c>
      <c r="D2" s="151" t="s">
        <v>4</v>
      </c>
      <c r="E2" s="151" t="s">
        <v>5</v>
      </c>
      <c r="F2" s="151" t="s">
        <v>6</v>
      </c>
      <c r="G2" s="165" t="s">
        <v>7</v>
      </c>
      <c r="H2" s="151" t="s">
        <v>8</v>
      </c>
      <c r="I2" s="151" t="s">
        <v>9</v>
      </c>
      <c r="J2" s="151" t="s">
        <v>10</v>
      </c>
      <c r="K2" s="151" t="s">
        <v>11</v>
      </c>
      <c r="L2" s="151" t="s">
        <v>12</v>
      </c>
    </row>
    <row r="3" spans="1:12" x14ac:dyDescent="0.3">
      <c r="A3" s="152">
        <v>46149</v>
      </c>
      <c r="B3" s="152">
        <v>46184.404577326393</v>
      </c>
      <c r="C3" s="153" t="s">
        <v>128</v>
      </c>
      <c r="D3" s="153" t="s">
        <v>129</v>
      </c>
      <c r="E3" s="154" t="s">
        <v>75</v>
      </c>
      <c r="F3" s="154" t="s">
        <v>130</v>
      </c>
      <c r="G3" s="168">
        <v>24910.15</v>
      </c>
      <c r="H3" s="153" t="s">
        <v>60</v>
      </c>
      <c r="I3" s="153" t="s">
        <v>207</v>
      </c>
      <c r="J3" s="153" t="s">
        <v>37</v>
      </c>
      <c r="K3" s="154" t="s">
        <v>265</v>
      </c>
      <c r="L3" s="152">
        <f t="shared" ref="L3:L25" si="0">B3</f>
        <v>46184.404577326393</v>
      </c>
    </row>
    <row r="4" spans="1:12" ht="28.8" customHeight="1" x14ac:dyDescent="0.3">
      <c r="A4" s="152">
        <v>46167</v>
      </c>
      <c r="B4" s="152">
        <v>46184.404577326393</v>
      </c>
      <c r="C4" s="153" t="s">
        <v>171</v>
      </c>
      <c r="D4" s="153" t="s">
        <v>172</v>
      </c>
      <c r="E4" s="154" t="s">
        <v>173</v>
      </c>
      <c r="F4" s="154" t="s">
        <v>174</v>
      </c>
      <c r="G4" s="168">
        <v>25694.45</v>
      </c>
      <c r="H4" s="153" t="s">
        <v>60</v>
      </c>
      <c r="I4" s="153" t="s">
        <v>207</v>
      </c>
      <c r="J4" s="153" t="s">
        <v>31</v>
      </c>
      <c r="K4" s="154" t="s">
        <v>267</v>
      </c>
      <c r="L4" s="152">
        <f t="shared" si="0"/>
        <v>46184.404577326393</v>
      </c>
    </row>
    <row r="5" spans="1:12" ht="28.8" customHeight="1" x14ac:dyDescent="0.3">
      <c r="A5" s="152">
        <v>46178</v>
      </c>
      <c r="B5" s="152">
        <v>46184.404577326393</v>
      </c>
      <c r="C5" s="153" t="s">
        <v>232</v>
      </c>
      <c r="D5" s="153" t="s">
        <v>233</v>
      </c>
      <c r="E5" s="154" t="s">
        <v>234</v>
      </c>
      <c r="F5" s="154" t="s">
        <v>174</v>
      </c>
      <c r="G5" s="168">
        <v>11607.9</v>
      </c>
      <c r="H5" s="153" t="s">
        <v>60</v>
      </c>
      <c r="I5" s="153" t="s">
        <v>207</v>
      </c>
      <c r="J5" s="153" t="s">
        <v>31</v>
      </c>
      <c r="K5" s="154" t="s">
        <v>267</v>
      </c>
      <c r="L5" s="152">
        <f t="shared" si="0"/>
        <v>46184.404577326393</v>
      </c>
    </row>
    <row r="6" spans="1:12" ht="28.8" customHeight="1" x14ac:dyDescent="0.3">
      <c r="A6" s="152">
        <v>46181</v>
      </c>
      <c r="B6" s="152">
        <v>46184.404577326393</v>
      </c>
      <c r="C6" s="153" t="s">
        <v>244</v>
      </c>
      <c r="D6" s="153" t="s">
        <v>245</v>
      </c>
      <c r="E6" s="154" t="s">
        <v>246</v>
      </c>
      <c r="F6" s="154" t="s">
        <v>174</v>
      </c>
      <c r="G6" s="168">
        <v>19333.8</v>
      </c>
      <c r="H6" s="153" t="s">
        <v>60</v>
      </c>
      <c r="I6" s="153" t="s">
        <v>207</v>
      </c>
      <c r="J6" s="153" t="s">
        <v>31</v>
      </c>
      <c r="K6" s="154" t="s">
        <v>267</v>
      </c>
      <c r="L6" s="152">
        <f t="shared" si="0"/>
        <v>46184.404577326393</v>
      </c>
    </row>
    <row r="7" spans="1:12" x14ac:dyDescent="0.3">
      <c r="A7" s="158">
        <v>46181</v>
      </c>
      <c r="B7" s="158">
        <v>46185</v>
      </c>
      <c r="C7" s="159" t="s">
        <v>257</v>
      </c>
      <c r="D7" s="159" t="s">
        <v>258</v>
      </c>
      <c r="E7" s="160" t="s">
        <v>259</v>
      </c>
      <c r="F7" s="160" t="s">
        <v>140</v>
      </c>
      <c r="G7" s="170">
        <v>7461.2</v>
      </c>
      <c r="H7" s="159" t="s">
        <v>17</v>
      </c>
      <c r="I7" s="159" t="s">
        <v>18</v>
      </c>
      <c r="J7" s="159" t="s">
        <v>31</v>
      </c>
      <c r="K7" s="160" t="s">
        <v>260</v>
      </c>
      <c r="L7" s="158">
        <f t="shared" si="0"/>
        <v>46185</v>
      </c>
    </row>
    <row r="8" spans="1:12" ht="86.4" customHeight="1" x14ac:dyDescent="0.3">
      <c r="A8" s="158">
        <v>46182</v>
      </c>
      <c r="B8" s="158">
        <v>46185</v>
      </c>
      <c r="C8" s="159" t="s">
        <v>281</v>
      </c>
      <c r="D8" s="159" t="s">
        <v>282</v>
      </c>
      <c r="E8" s="160" t="s">
        <v>75</v>
      </c>
      <c r="F8" s="160" t="s">
        <v>194</v>
      </c>
      <c r="G8" s="170">
        <v>65759.55</v>
      </c>
      <c r="H8" s="159" t="s">
        <v>60</v>
      </c>
      <c r="I8" s="159" t="s">
        <v>18</v>
      </c>
      <c r="J8" s="159" t="s">
        <v>37</v>
      </c>
      <c r="K8" s="160" t="s">
        <v>283</v>
      </c>
      <c r="L8" s="158">
        <f t="shared" si="0"/>
        <v>46185</v>
      </c>
    </row>
    <row r="9" spans="1:12" x14ac:dyDescent="0.3">
      <c r="A9" s="158">
        <v>46176</v>
      </c>
      <c r="B9" s="158">
        <v>46190</v>
      </c>
      <c r="C9" s="159" t="s">
        <v>221</v>
      </c>
      <c r="D9" s="159" t="s">
        <v>222</v>
      </c>
      <c r="E9" s="160" t="s">
        <v>223</v>
      </c>
      <c r="F9" s="160" t="s">
        <v>140</v>
      </c>
      <c r="G9" s="170">
        <v>12224.5</v>
      </c>
      <c r="H9" s="159" t="s">
        <v>17</v>
      </c>
      <c r="I9" s="159" t="s">
        <v>18</v>
      </c>
      <c r="J9" s="159" t="s">
        <v>37</v>
      </c>
      <c r="K9" s="160" t="s">
        <v>224</v>
      </c>
      <c r="L9" s="158">
        <f t="shared" si="0"/>
        <v>46190</v>
      </c>
    </row>
    <row r="10" spans="1:12" ht="57.6" customHeight="1" x14ac:dyDescent="0.3">
      <c r="A10" s="158">
        <v>46181</v>
      </c>
      <c r="B10" s="158">
        <v>46191</v>
      </c>
      <c r="C10" s="159" t="s">
        <v>253</v>
      </c>
      <c r="D10" s="159" t="s">
        <v>254</v>
      </c>
      <c r="E10" s="160" t="s">
        <v>255</v>
      </c>
      <c r="F10" s="160" t="s">
        <v>59</v>
      </c>
      <c r="G10" s="170">
        <v>55908.4</v>
      </c>
      <c r="H10" s="159" t="s">
        <v>60</v>
      </c>
      <c r="I10" s="159" t="s">
        <v>18</v>
      </c>
      <c r="J10" s="159" t="s">
        <v>31</v>
      </c>
      <c r="K10" s="160" t="s">
        <v>256</v>
      </c>
      <c r="L10" s="158">
        <f t="shared" si="0"/>
        <v>46191</v>
      </c>
    </row>
    <row r="11" spans="1:12" ht="409.6" customHeight="1" x14ac:dyDescent="0.3">
      <c r="A11" s="158">
        <v>46142</v>
      </c>
      <c r="B11" s="158">
        <v>46192</v>
      </c>
      <c r="C11" s="159" t="s">
        <v>13</v>
      </c>
      <c r="D11" s="159" t="s">
        <v>14</v>
      </c>
      <c r="E11" s="160" t="s">
        <v>15</v>
      </c>
      <c r="F11" s="160" t="s">
        <v>16</v>
      </c>
      <c r="G11" s="170">
        <v>251413.01</v>
      </c>
      <c r="H11" s="159" t="s">
        <v>17</v>
      </c>
      <c r="I11" s="159" t="s">
        <v>18</v>
      </c>
      <c r="J11" s="159" t="s">
        <v>19</v>
      </c>
      <c r="K11" s="160" t="s">
        <v>20</v>
      </c>
      <c r="L11" s="158">
        <f t="shared" si="0"/>
        <v>46192</v>
      </c>
    </row>
    <row r="12" spans="1:12" x14ac:dyDescent="0.3">
      <c r="A12" s="158">
        <v>46174</v>
      </c>
      <c r="B12" s="158">
        <v>46192</v>
      </c>
      <c r="C12" s="159" t="s">
        <v>147</v>
      </c>
      <c r="D12" s="159" t="s">
        <v>148</v>
      </c>
      <c r="E12" s="160" t="s">
        <v>149</v>
      </c>
      <c r="F12" s="160" t="s">
        <v>150</v>
      </c>
      <c r="G12" s="170">
        <v>70994.559999999998</v>
      </c>
      <c r="H12" s="159" t="s">
        <v>30</v>
      </c>
      <c r="I12" s="159" t="s">
        <v>18</v>
      </c>
      <c r="J12" s="159" t="s">
        <v>31</v>
      </c>
      <c r="K12" s="160" t="s">
        <v>151</v>
      </c>
      <c r="L12" s="158">
        <f t="shared" si="0"/>
        <v>46192</v>
      </c>
    </row>
    <row r="13" spans="1:12" ht="28.8" customHeight="1" x14ac:dyDescent="0.3">
      <c r="A13" s="158">
        <v>46112</v>
      </c>
      <c r="B13" s="158">
        <v>46202</v>
      </c>
      <c r="C13" s="159" t="s">
        <v>157</v>
      </c>
      <c r="D13" s="159" t="s">
        <v>158</v>
      </c>
      <c r="E13" s="160" t="s">
        <v>159</v>
      </c>
      <c r="F13" s="160" t="s">
        <v>96</v>
      </c>
      <c r="G13" s="170">
        <v>103711</v>
      </c>
      <c r="H13" s="159" t="s">
        <v>60</v>
      </c>
      <c r="I13" s="159" t="s">
        <v>18</v>
      </c>
      <c r="J13" s="159" t="s">
        <v>31</v>
      </c>
      <c r="K13" s="160" t="s">
        <v>160</v>
      </c>
      <c r="L13" s="158">
        <f t="shared" si="0"/>
        <v>46202</v>
      </c>
    </row>
    <row r="14" spans="1:12" ht="28.8" customHeight="1" x14ac:dyDescent="0.3">
      <c r="A14" s="158">
        <v>46155</v>
      </c>
      <c r="B14" s="158">
        <v>46202</v>
      </c>
      <c r="C14" s="159" t="s">
        <v>93</v>
      </c>
      <c r="D14" s="159" t="s">
        <v>94</v>
      </c>
      <c r="E14" s="160" t="s">
        <v>95</v>
      </c>
      <c r="F14" s="160" t="s">
        <v>96</v>
      </c>
      <c r="G14" s="170">
        <v>523356</v>
      </c>
      <c r="H14" s="159" t="s">
        <v>97</v>
      </c>
      <c r="I14" s="159" t="s">
        <v>18</v>
      </c>
      <c r="J14" s="159" t="s">
        <v>31</v>
      </c>
      <c r="K14" s="160" t="s">
        <v>98</v>
      </c>
      <c r="L14" s="158">
        <f t="shared" si="0"/>
        <v>46202</v>
      </c>
    </row>
    <row r="15" spans="1:12" ht="28.8" customHeight="1" x14ac:dyDescent="0.3">
      <c r="A15" s="158">
        <v>46167</v>
      </c>
      <c r="B15" s="158">
        <v>46202</v>
      </c>
      <c r="C15" s="159" t="s">
        <v>56</v>
      </c>
      <c r="D15" s="159" t="s">
        <v>57</v>
      </c>
      <c r="E15" s="160" t="s">
        <v>58</v>
      </c>
      <c r="F15" s="160" t="s">
        <v>59</v>
      </c>
      <c r="G15" s="170">
        <v>220505.60000000001</v>
      </c>
      <c r="H15" s="159" t="s">
        <v>60</v>
      </c>
      <c r="I15" s="159" t="s">
        <v>18</v>
      </c>
      <c r="J15" s="159" t="s">
        <v>31</v>
      </c>
      <c r="K15" s="160" t="s">
        <v>61</v>
      </c>
      <c r="L15" s="158">
        <f t="shared" si="0"/>
        <v>46202</v>
      </c>
    </row>
    <row r="16" spans="1:12" x14ac:dyDescent="0.3">
      <c r="A16" s="158">
        <v>46171</v>
      </c>
      <c r="B16" s="158">
        <v>46202</v>
      </c>
      <c r="C16" s="159" t="s">
        <v>176</v>
      </c>
      <c r="D16" s="159" t="s">
        <v>177</v>
      </c>
      <c r="E16" s="160" t="s">
        <v>178</v>
      </c>
      <c r="F16" s="160" t="s">
        <v>179</v>
      </c>
      <c r="G16" s="170">
        <v>13562.64</v>
      </c>
      <c r="H16" s="159" t="s">
        <v>30</v>
      </c>
      <c r="I16" s="159" t="s">
        <v>18</v>
      </c>
      <c r="J16" s="159" t="s">
        <v>31</v>
      </c>
      <c r="K16" s="160" t="s">
        <v>180</v>
      </c>
      <c r="L16" s="158">
        <f t="shared" si="0"/>
        <v>46202</v>
      </c>
    </row>
    <row r="17" spans="1:12" ht="28.8" customHeight="1" x14ac:dyDescent="0.3">
      <c r="A17" s="158">
        <v>46181</v>
      </c>
      <c r="B17" s="158">
        <v>46202</v>
      </c>
      <c r="C17" s="159" t="s">
        <v>257</v>
      </c>
      <c r="D17" s="159" t="s">
        <v>261</v>
      </c>
      <c r="E17" s="160" t="s">
        <v>262</v>
      </c>
      <c r="F17" s="160" t="s">
        <v>96</v>
      </c>
      <c r="G17" s="170">
        <v>187144</v>
      </c>
      <c r="H17" s="159" t="s">
        <v>60</v>
      </c>
      <c r="I17" s="159" t="s">
        <v>18</v>
      </c>
      <c r="J17" s="159" t="s">
        <v>31</v>
      </c>
      <c r="K17" s="160" t="s">
        <v>263</v>
      </c>
      <c r="L17" s="158">
        <f t="shared" si="0"/>
        <v>46202</v>
      </c>
    </row>
    <row r="18" spans="1:12" x14ac:dyDescent="0.3">
      <c r="A18" s="155">
        <v>46111</v>
      </c>
      <c r="B18" s="155">
        <v>46203</v>
      </c>
      <c r="C18" s="156" t="s">
        <v>166</v>
      </c>
      <c r="D18" s="156" t="s">
        <v>167</v>
      </c>
      <c r="E18" s="157" t="s">
        <v>168</v>
      </c>
      <c r="F18" s="157" t="s">
        <v>169</v>
      </c>
      <c r="G18" s="169">
        <v>169353.60000000001</v>
      </c>
      <c r="H18" s="156" t="s">
        <v>30</v>
      </c>
      <c r="I18" s="156" t="s">
        <v>21</v>
      </c>
      <c r="J18" s="156"/>
      <c r="K18" s="157" t="s">
        <v>170</v>
      </c>
      <c r="L18" s="155">
        <f t="shared" si="0"/>
        <v>46203</v>
      </c>
    </row>
    <row r="19" spans="1:12" ht="158.4" customHeight="1" x14ac:dyDescent="0.3">
      <c r="A19" s="155">
        <v>46128</v>
      </c>
      <c r="B19" s="155">
        <v>46203</v>
      </c>
      <c r="C19" s="156" t="s">
        <v>21</v>
      </c>
      <c r="D19" s="156" t="s">
        <v>103</v>
      </c>
      <c r="E19" s="157" t="s">
        <v>104</v>
      </c>
      <c r="F19" s="157" t="s">
        <v>105</v>
      </c>
      <c r="G19" s="169">
        <v>82900.05</v>
      </c>
      <c r="H19" s="156" t="s">
        <v>30</v>
      </c>
      <c r="I19" s="156" t="s">
        <v>21</v>
      </c>
      <c r="J19" s="156"/>
      <c r="K19" s="157" t="s">
        <v>106</v>
      </c>
      <c r="L19" s="155">
        <f t="shared" si="0"/>
        <v>46203</v>
      </c>
    </row>
    <row r="20" spans="1:12" ht="28.8" customHeight="1" x14ac:dyDescent="0.3">
      <c r="A20" s="155">
        <v>46142</v>
      </c>
      <c r="B20" s="155">
        <v>46203</v>
      </c>
      <c r="C20" s="156" t="s">
        <v>21</v>
      </c>
      <c r="D20" s="156" t="s">
        <v>22</v>
      </c>
      <c r="E20" s="157" t="s">
        <v>23</v>
      </c>
      <c r="F20" s="157" t="s">
        <v>24</v>
      </c>
      <c r="G20" s="169">
        <v>426010.6</v>
      </c>
      <c r="H20" s="156" t="s">
        <v>17</v>
      </c>
      <c r="I20" s="156" t="s">
        <v>21</v>
      </c>
      <c r="J20" s="156"/>
      <c r="K20" s="157" t="s">
        <v>25</v>
      </c>
      <c r="L20" s="155">
        <f t="shared" si="0"/>
        <v>46203</v>
      </c>
    </row>
    <row r="21" spans="1:12" ht="86.4" customHeight="1" x14ac:dyDescent="0.3">
      <c r="A21" s="155">
        <v>46142</v>
      </c>
      <c r="B21" s="155">
        <v>46203</v>
      </c>
      <c r="C21" s="156" t="s">
        <v>107</v>
      </c>
      <c r="D21" s="156" t="s">
        <v>108</v>
      </c>
      <c r="E21" s="157" t="s">
        <v>109</v>
      </c>
      <c r="F21" s="157" t="s">
        <v>110</v>
      </c>
      <c r="G21" s="169">
        <v>310411</v>
      </c>
      <c r="H21" s="156" t="s">
        <v>111</v>
      </c>
      <c r="I21" s="156" t="s">
        <v>21</v>
      </c>
      <c r="J21" s="156"/>
      <c r="K21" s="157" t="s">
        <v>112</v>
      </c>
      <c r="L21" s="155">
        <f t="shared" si="0"/>
        <v>46203</v>
      </c>
    </row>
    <row r="22" spans="1:12" ht="28.8" customHeight="1" x14ac:dyDescent="0.3">
      <c r="A22" s="155">
        <v>46142</v>
      </c>
      <c r="B22" s="155">
        <v>46203</v>
      </c>
      <c r="C22" s="156" t="s">
        <v>21</v>
      </c>
      <c r="D22" s="156" t="s">
        <v>113</v>
      </c>
      <c r="E22" s="157" t="s">
        <v>114</v>
      </c>
      <c r="F22" s="157" t="s">
        <v>115</v>
      </c>
      <c r="G22" s="169">
        <v>204447</v>
      </c>
      <c r="H22" s="156" t="s">
        <v>17</v>
      </c>
      <c r="I22" s="156" t="s">
        <v>21</v>
      </c>
      <c r="J22" s="156"/>
      <c r="K22" s="157" t="s">
        <v>116</v>
      </c>
      <c r="L22" s="155">
        <f t="shared" si="0"/>
        <v>46203</v>
      </c>
    </row>
    <row r="23" spans="1:12" x14ac:dyDescent="0.3">
      <c r="A23" s="158">
        <v>46171</v>
      </c>
      <c r="B23" s="158">
        <v>46227</v>
      </c>
      <c r="C23" s="159" t="s">
        <v>84</v>
      </c>
      <c r="D23" s="159" t="s">
        <v>85</v>
      </c>
      <c r="E23" s="160" t="s">
        <v>86</v>
      </c>
      <c r="F23" s="160" t="s">
        <v>87</v>
      </c>
      <c r="G23" s="170">
        <v>18400</v>
      </c>
      <c r="H23" s="159" t="s">
        <v>30</v>
      </c>
      <c r="I23" s="159" t="s">
        <v>18</v>
      </c>
      <c r="J23" s="159" t="s">
        <v>31</v>
      </c>
      <c r="K23" s="160" t="s">
        <v>88</v>
      </c>
      <c r="L23" s="158">
        <f t="shared" si="0"/>
        <v>46227</v>
      </c>
    </row>
    <row r="24" spans="1:12" x14ac:dyDescent="0.3">
      <c r="A24" s="155">
        <v>46170</v>
      </c>
      <c r="B24" s="155">
        <v>46227</v>
      </c>
      <c r="C24" s="156" t="s">
        <v>21</v>
      </c>
      <c r="D24" s="156" t="s">
        <v>89</v>
      </c>
      <c r="E24" s="157" t="s">
        <v>90</v>
      </c>
      <c r="F24" s="157" t="s">
        <v>91</v>
      </c>
      <c r="G24" s="169">
        <v>1860403.01</v>
      </c>
      <c r="H24" s="156" t="s">
        <v>30</v>
      </c>
      <c r="I24" s="156" t="s">
        <v>21</v>
      </c>
      <c r="J24" s="156"/>
      <c r="K24" s="157" t="s">
        <v>92</v>
      </c>
      <c r="L24" s="155">
        <f t="shared" si="0"/>
        <v>46227</v>
      </c>
    </row>
    <row r="25" spans="1:12" x14ac:dyDescent="0.3">
      <c r="A25" s="158">
        <v>46182</v>
      </c>
      <c r="B25" s="158">
        <v>46233</v>
      </c>
      <c r="C25" s="159" t="s">
        <v>26</v>
      </c>
      <c r="D25" s="159" t="s">
        <v>27</v>
      </c>
      <c r="E25" s="160" t="s">
        <v>28</v>
      </c>
      <c r="F25" s="160" t="s">
        <v>29</v>
      </c>
      <c r="G25" s="170">
        <v>62080.45</v>
      </c>
      <c r="H25" s="159" t="s">
        <v>30</v>
      </c>
      <c r="I25" s="159" t="s">
        <v>18</v>
      </c>
      <c r="J25" s="159" t="s">
        <v>31</v>
      </c>
      <c r="K25" s="160" t="s">
        <v>32</v>
      </c>
      <c r="L25" s="158">
        <f t="shared" si="0"/>
        <v>46233</v>
      </c>
    </row>
    <row r="26" spans="1:12" x14ac:dyDescent="0.3">
      <c r="F26" s="161" t="s">
        <v>117</v>
      </c>
      <c r="G26" s="171">
        <f>SUMIF(I3:I25,"&lt;&gt;Pending",G3:G25)</f>
        <v>1674067.21</v>
      </c>
    </row>
    <row r="28" spans="1:12" x14ac:dyDescent="0.3">
      <c r="F28" s="162" t="s">
        <v>118</v>
      </c>
    </row>
    <row r="29" spans="1:12" x14ac:dyDescent="0.3">
      <c r="F29" t="s">
        <v>119</v>
      </c>
      <c r="G29" s="166">
        <f ca="1">SUMIFS(G3:G25, J3:J25, "*CASH SALE*", L3:L25, "&gt;="&amp;EOMONTH(TODAY(),-1)+1, L3:L25, "&lt;="&amp;EOMONTH(TODAY(),0), I3:I25, "&lt;&gt;Pending")</f>
        <v>0</v>
      </c>
      <c r="I29" s="115" t="s">
        <v>120</v>
      </c>
      <c r="J29" s="18">
        <f ca="1">SUMIFS(G3:G25, J3:J25, "*CASH SALE*", L3:L25, "&gt;="&amp;EOMONTH(TODAY(),0)+1, L3:L25, "&lt;="&amp;EOMONTH(TODAY(),1), I3:I25, "&lt;&gt;Pending")</f>
        <v>0</v>
      </c>
    </row>
    <row r="30" spans="1:12" x14ac:dyDescent="0.3">
      <c r="F30" t="s">
        <v>121</v>
      </c>
      <c r="G30" s="166">
        <f ca="1">SUMIFS(G3:G25, J3:J25, "*ACCOUNT*", L3:L25, "&gt;="&amp;EOMONTH(TODAY(),-1)+1, L3:L25, "&lt;="&amp;EOMONTH(TODAY(),0), I3:I25, "&lt;&gt;Pending")</f>
        <v>80480.45</v>
      </c>
      <c r="I30" s="115" t="s">
        <v>122</v>
      </c>
      <c r="J30" s="18">
        <f ca="1">SUMIFS(G3:G25, J3:J25, "*ACCOUNT*", L3:L25, "&gt;="&amp;EOMONTH(TODAY(),0)+1, L3:L25, "&lt;="&amp;EOMONTH(TODAY(),1), I3:I25, "&lt;&gt;Pending")</f>
        <v>0</v>
      </c>
    </row>
    <row r="32" spans="1:12" ht="28.8" customHeight="1" x14ac:dyDescent="0.3">
      <c r="A32" s="151" t="s">
        <v>1</v>
      </c>
      <c r="B32" s="151" t="s">
        <v>2</v>
      </c>
      <c r="C32" s="151" t="s">
        <v>3</v>
      </c>
      <c r="D32" s="151" t="s">
        <v>4</v>
      </c>
      <c r="E32" s="151" t="s">
        <v>5</v>
      </c>
      <c r="F32" s="151" t="s">
        <v>6</v>
      </c>
      <c r="G32" s="167" t="s">
        <v>7</v>
      </c>
      <c r="H32" s="151" t="s">
        <v>8</v>
      </c>
      <c r="I32" s="151" t="s">
        <v>9</v>
      </c>
      <c r="J32" s="151" t="s">
        <v>10</v>
      </c>
      <c r="K32" s="151" t="s">
        <v>123</v>
      </c>
    </row>
    <row r="33" spans="1:11" x14ac:dyDescent="0.3">
      <c r="A33" s="163">
        <v>46149</v>
      </c>
      <c r="B33" s="163">
        <v>46184.404577326393</v>
      </c>
      <c r="C33" s="164" t="s">
        <v>128</v>
      </c>
      <c r="D33" s="159" t="s">
        <v>129</v>
      </c>
      <c r="E33" s="164" t="s">
        <v>75</v>
      </c>
      <c r="F33" s="164" t="s">
        <v>130</v>
      </c>
      <c r="G33" s="170">
        <v>24910.15</v>
      </c>
      <c r="H33" s="159" t="s">
        <v>60</v>
      </c>
      <c r="I33" s="159" t="s">
        <v>207</v>
      </c>
      <c r="J33" s="164" t="s">
        <v>37</v>
      </c>
      <c r="K33" s="160" t="s">
        <v>265</v>
      </c>
    </row>
    <row r="34" spans="1:11" ht="28.8" customHeight="1" x14ac:dyDescent="0.3">
      <c r="A34" s="163">
        <v>46167</v>
      </c>
      <c r="B34" s="163">
        <v>46184.404577326393</v>
      </c>
      <c r="C34" s="164" t="s">
        <v>171</v>
      </c>
      <c r="D34" s="159" t="s">
        <v>172</v>
      </c>
      <c r="E34" s="164" t="s">
        <v>173</v>
      </c>
      <c r="F34" s="164" t="s">
        <v>174</v>
      </c>
      <c r="G34" s="170">
        <v>25694.45</v>
      </c>
      <c r="H34" s="159" t="s">
        <v>60</v>
      </c>
      <c r="I34" s="159" t="s">
        <v>207</v>
      </c>
      <c r="J34" s="164" t="s">
        <v>31</v>
      </c>
      <c r="K34" s="160" t="s">
        <v>267</v>
      </c>
    </row>
    <row r="35" spans="1:11" ht="28.8" customHeight="1" x14ac:dyDescent="0.3">
      <c r="A35" s="163">
        <v>46178</v>
      </c>
      <c r="B35" s="163">
        <v>46184.404577326393</v>
      </c>
      <c r="C35" s="164" t="s">
        <v>232</v>
      </c>
      <c r="D35" s="159" t="s">
        <v>233</v>
      </c>
      <c r="E35" s="164" t="s">
        <v>234</v>
      </c>
      <c r="F35" s="164" t="s">
        <v>174</v>
      </c>
      <c r="G35" s="170">
        <v>11607.9</v>
      </c>
      <c r="H35" s="159" t="s">
        <v>60</v>
      </c>
      <c r="I35" s="159" t="s">
        <v>207</v>
      </c>
      <c r="J35" s="164" t="s">
        <v>31</v>
      </c>
      <c r="K35" s="160" t="s">
        <v>267</v>
      </c>
    </row>
    <row r="36" spans="1:11" ht="28.8" customHeight="1" x14ac:dyDescent="0.3">
      <c r="A36" s="163">
        <v>46181</v>
      </c>
      <c r="B36" s="163">
        <v>46184.404577326393</v>
      </c>
      <c r="C36" s="164" t="s">
        <v>244</v>
      </c>
      <c r="D36" s="159" t="s">
        <v>245</v>
      </c>
      <c r="E36" s="164" t="s">
        <v>246</v>
      </c>
      <c r="F36" s="164" t="s">
        <v>174</v>
      </c>
      <c r="G36" s="170">
        <v>19333.8</v>
      </c>
      <c r="H36" s="159" t="s">
        <v>60</v>
      </c>
      <c r="I36" s="159" t="s">
        <v>207</v>
      </c>
      <c r="J36" s="164" t="s">
        <v>31</v>
      </c>
      <c r="K36" s="160" t="s">
        <v>267</v>
      </c>
    </row>
    <row r="37" spans="1:11" x14ac:dyDescent="0.3">
      <c r="F37" s="161" t="s">
        <v>124</v>
      </c>
      <c r="G37" s="171">
        <f>SUM(G33:G36)</f>
        <v>81546.3</v>
      </c>
    </row>
    <row r="39" spans="1:11" x14ac:dyDescent="0.3">
      <c r="F39" s="161" t="s">
        <v>125</v>
      </c>
      <c r="G39" s="171">
        <f>SUMIFS(G3:G25, I3:I25, "*Ready*Dispatch*")</f>
        <v>81546.3</v>
      </c>
    </row>
    <row r="40" spans="1:11" x14ac:dyDescent="0.3">
      <c r="A40" s="381" t="s">
        <v>238</v>
      </c>
      <c r="B40" s="367"/>
      <c r="C40" s="367"/>
      <c r="D40" s="382"/>
    </row>
    <row r="41" spans="1:11" x14ac:dyDescent="0.3">
      <c r="A41" s="381" t="s">
        <v>182</v>
      </c>
      <c r="B41" s="367"/>
      <c r="C41" s="367"/>
      <c r="D41" s="382"/>
    </row>
  </sheetData>
  <mergeCells count="3">
    <mergeCell ref="A1:D1"/>
    <mergeCell ref="A40:D40"/>
    <mergeCell ref="A41:D41"/>
  </mergeCells>
  <pageMargins left="0.25" right="0.25" top="0.75" bottom="0.75" header="0.3" footer="0.3"/>
  <pageSetup scale="46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41"/>
  <sheetViews>
    <sheetView zoomScale="80" zoomScaleNormal="80" workbookViewId="0">
      <pane xSplit="4" ySplit="2" topLeftCell="E22" activePane="bottomRight" state="frozen"/>
      <selection activeCell="J12" sqref="J12"/>
      <selection pane="topRight" activeCell="J12" sqref="J12"/>
      <selection pane="bottomLeft" activeCell="J12" sqref="J12"/>
      <selection pane="bottomRight" activeCell="K40" sqref="K40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172" t="s">
        <v>0</v>
      </c>
      <c r="K1" s="173">
        <f ca="1">TODAY()</f>
        <v>46211</v>
      </c>
    </row>
    <row r="2" spans="1:12" ht="43.2" customHeight="1" x14ac:dyDescent="0.3">
      <c r="A2" s="174" t="s">
        <v>1</v>
      </c>
      <c r="B2" s="174" t="s">
        <v>2</v>
      </c>
      <c r="C2" s="174" t="s">
        <v>3</v>
      </c>
      <c r="D2" s="174" t="s">
        <v>4</v>
      </c>
      <c r="E2" s="174" t="s">
        <v>5</v>
      </c>
      <c r="F2" s="174" t="s">
        <v>6</v>
      </c>
      <c r="G2" s="174" t="s">
        <v>7</v>
      </c>
      <c r="H2" s="174" t="s">
        <v>8</v>
      </c>
      <c r="I2" s="174" t="s">
        <v>9</v>
      </c>
      <c r="J2" s="174" t="s">
        <v>10</v>
      </c>
      <c r="K2" s="174" t="s">
        <v>11</v>
      </c>
      <c r="L2" s="174" t="s">
        <v>12</v>
      </c>
    </row>
    <row r="3" spans="1:12" x14ac:dyDescent="0.3">
      <c r="A3" s="175">
        <v>46149</v>
      </c>
      <c r="B3" s="175">
        <v>46185.333174085637</v>
      </c>
      <c r="C3" s="176" t="s">
        <v>128</v>
      </c>
      <c r="D3" s="176" t="s">
        <v>129</v>
      </c>
      <c r="E3" s="177" t="s">
        <v>75</v>
      </c>
      <c r="F3" s="177" t="s">
        <v>130</v>
      </c>
      <c r="G3" s="178">
        <v>24910.15</v>
      </c>
      <c r="H3" s="176" t="s">
        <v>60</v>
      </c>
      <c r="I3" s="176" t="s">
        <v>207</v>
      </c>
      <c r="J3" s="176" t="s">
        <v>37</v>
      </c>
      <c r="K3" s="177" t="s">
        <v>265</v>
      </c>
      <c r="L3" s="175">
        <f t="shared" ref="L3:L24" si="0">B3</f>
        <v>46185.333174085637</v>
      </c>
    </row>
    <row r="4" spans="1:12" ht="28.8" customHeight="1" x14ac:dyDescent="0.3">
      <c r="A4" s="175">
        <v>46167</v>
      </c>
      <c r="B4" s="175">
        <v>46185.333174085637</v>
      </c>
      <c r="C4" s="176" t="s">
        <v>171</v>
      </c>
      <c r="D4" s="176" t="s">
        <v>172</v>
      </c>
      <c r="E4" s="177" t="s">
        <v>173</v>
      </c>
      <c r="F4" s="177" t="s">
        <v>174</v>
      </c>
      <c r="G4" s="178">
        <v>25694.45</v>
      </c>
      <c r="H4" s="176" t="s">
        <v>60</v>
      </c>
      <c r="I4" s="176" t="s">
        <v>207</v>
      </c>
      <c r="J4" s="176" t="s">
        <v>31</v>
      </c>
      <c r="K4" s="177" t="s">
        <v>267</v>
      </c>
      <c r="L4" s="175">
        <f t="shared" si="0"/>
        <v>46185.333174085637</v>
      </c>
    </row>
    <row r="5" spans="1:12" ht="28.8" customHeight="1" x14ac:dyDescent="0.3">
      <c r="A5" s="175">
        <v>46178</v>
      </c>
      <c r="B5" s="175">
        <v>46185.333174085637</v>
      </c>
      <c r="C5" s="176" t="s">
        <v>232</v>
      </c>
      <c r="D5" s="176" t="s">
        <v>233</v>
      </c>
      <c r="E5" s="177" t="s">
        <v>234</v>
      </c>
      <c r="F5" s="177" t="s">
        <v>174</v>
      </c>
      <c r="G5" s="178">
        <v>11607.9</v>
      </c>
      <c r="H5" s="176" t="s">
        <v>60</v>
      </c>
      <c r="I5" s="176" t="s">
        <v>207</v>
      </c>
      <c r="J5" s="176" t="s">
        <v>31</v>
      </c>
      <c r="K5" s="177" t="s">
        <v>267</v>
      </c>
      <c r="L5" s="175">
        <f t="shared" si="0"/>
        <v>46185.333174085637</v>
      </c>
    </row>
    <row r="6" spans="1:12" ht="28.8" customHeight="1" x14ac:dyDescent="0.3">
      <c r="A6" s="175">
        <v>46181</v>
      </c>
      <c r="B6" s="175">
        <v>46185.333174085637</v>
      </c>
      <c r="C6" s="176" t="s">
        <v>244</v>
      </c>
      <c r="D6" s="176" t="s">
        <v>245</v>
      </c>
      <c r="E6" s="177" t="s">
        <v>246</v>
      </c>
      <c r="F6" s="177" t="s">
        <v>174</v>
      </c>
      <c r="G6" s="178">
        <v>19333.8</v>
      </c>
      <c r="H6" s="176" t="s">
        <v>60</v>
      </c>
      <c r="I6" s="176" t="s">
        <v>207</v>
      </c>
      <c r="J6" s="176" t="s">
        <v>31</v>
      </c>
      <c r="K6" s="177" t="s">
        <v>267</v>
      </c>
      <c r="L6" s="175">
        <f t="shared" si="0"/>
        <v>46185.333174085637</v>
      </c>
    </row>
    <row r="7" spans="1:12" x14ac:dyDescent="0.3">
      <c r="A7" s="183">
        <v>46176</v>
      </c>
      <c r="B7" s="183">
        <v>46190</v>
      </c>
      <c r="C7" s="184" t="s">
        <v>221</v>
      </c>
      <c r="D7" s="184" t="s">
        <v>222</v>
      </c>
      <c r="E7" s="185" t="s">
        <v>223</v>
      </c>
      <c r="F7" s="185" t="s">
        <v>140</v>
      </c>
      <c r="G7" s="186">
        <v>12224.5</v>
      </c>
      <c r="H7" s="184" t="s">
        <v>17</v>
      </c>
      <c r="I7" s="184" t="s">
        <v>18</v>
      </c>
      <c r="J7" s="184" t="s">
        <v>37</v>
      </c>
      <c r="K7" s="185" t="s">
        <v>224</v>
      </c>
      <c r="L7" s="183">
        <f t="shared" si="0"/>
        <v>46190</v>
      </c>
    </row>
    <row r="8" spans="1:12" ht="28.8" customHeight="1" x14ac:dyDescent="0.3">
      <c r="A8" s="183">
        <v>46142</v>
      </c>
      <c r="B8" s="183">
        <v>46191</v>
      </c>
      <c r="C8" s="184" t="s">
        <v>13</v>
      </c>
      <c r="D8" s="184" t="s">
        <v>14</v>
      </c>
      <c r="E8" s="185" t="s">
        <v>15</v>
      </c>
      <c r="F8" s="185" t="s">
        <v>16</v>
      </c>
      <c r="G8" s="186">
        <v>251413.01</v>
      </c>
      <c r="H8" s="184" t="s">
        <v>17</v>
      </c>
      <c r="I8" s="184" t="s">
        <v>18</v>
      </c>
      <c r="J8" s="184" t="s">
        <v>19</v>
      </c>
      <c r="K8" s="185" t="s">
        <v>20</v>
      </c>
      <c r="L8" s="183">
        <f t="shared" si="0"/>
        <v>46191</v>
      </c>
    </row>
    <row r="9" spans="1:12" ht="28.8" customHeight="1" x14ac:dyDescent="0.3">
      <c r="A9" s="183">
        <v>46181</v>
      </c>
      <c r="B9" s="183">
        <v>46191</v>
      </c>
      <c r="C9" s="184" t="s">
        <v>253</v>
      </c>
      <c r="D9" s="184" t="s">
        <v>254</v>
      </c>
      <c r="E9" s="185" t="s">
        <v>255</v>
      </c>
      <c r="F9" s="185" t="s">
        <v>59</v>
      </c>
      <c r="G9" s="186">
        <v>55908.4</v>
      </c>
      <c r="H9" s="184" t="s">
        <v>60</v>
      </c>
      <c r="I9" s="184" t="s">
        <v>18</v>
      </c>
      <c r="J9" s="184" t="s">
        <v>31</v>
      </c>
      <c r="K9" s="185" t="s">
        <v>256</v>
      </c>
      <c r="L9" s="183">
        <f t="shared" si="0"/>
        <v>46191</v>
      </c>
    </row>
    <row r="10" spans="1:12" x14ac:dyDescent="0.3">
      <c r="A10" s="183">
        <v>46174</v>
      </c>
      <c r="B10" s="183">
        <v>46192</v>
      </c>
      <c r="C10" s="184" t="s">
        <v>147</v>
      </c>
      <c r="D10" s="184" t="s">
        <v>148</v>
      </c>
      <c r="E10" s="185" t="s">
        <v>149</v>
      </c>
      <c r="F10" s="185" t="s">
        <v>150</v>
      </c>
      <c r="G10" s="186">
        <v>70994.559999999998</v>
      </c>
      <c r="H10" s="184" t="s">
        <v>30</v>
      </c>
      <c r="I10" s="184" t="s">
        <v>18</v>
      </c>
      <c r="J10" s="184" t="s">
        <v>31</v>
      </c>
      <c r="K10" s="185" t="s">
        <v>151</v>
      </c>
      <c r="L10" s="183">
        <f t="shared" si="0"/>
        <v>46192</v>
      </c>
    </row>
    <row r="11" spans="1:12" ht="28.8" customHeight="1" x14ac:dyDescent="0.3">
      <c r="A11" s="183">
        <v>46185</v>
      </c>
      <c r="B11" s="183">
        <v>46199</v>
      </c>
      <c r="C11" s="184" t="s">
        <v>286</v>
      </c>
      <c r="D11" s="184" t="s">
        <v>287</v>
      </c>
      <c r="E11" s="185" t="s">
        <v>75</v>
      </c>
      <c r="F11" s="185" t="s">
        <v>215</v>
      </c>
      <c r="G11" s="186">
        <v>33159.1</v>
      </c>
      <c r="H11" s="184" t="s">
        <v>60</v>
      </c>
      <c r="I11" s="184" t="s">
        <v>18</v>
      </c>
      <c r="J11" s="184" t="s">
        <v>37</v>
      </c>
      <c r="K11" s="185" t="s">
        <v>288</v>
      </c>
      <c r="L11" s="183">
        <f t="shared" si="0"/>
        <v>46199</v>
      </c>
    </row>
    <row r="12" spans="1:12" ht="28.8" customHeight="1" x14ac:dyDescent="0.3">
      <c r="A12" s="183">
        <v>46112</v>
      </c>
      <c r="B12" s="183">
        <v>46202</v>
      </c>
      <c r="C12" s="184" t="s">
        <v>157</v>
      </c>
      <c r="D12" s="184" t="s">
        <v>158</v>
      </c>
      <c r="E12" s="185" t="s">
        <v>159</v>
      </c>
      <c r="F12" s="185" t="s">
        <v>96</v>
      </c>
      <c r="G12" s="186">
        <v>103711</v>
      </c>
      <c r="H12" s="184" t="s">
        <v>60</v>
      </c>
      <c r="I12" s="184" t="s">
        <v>18</v>
      </c>
      <c r="J12" s="184" t="s">
        <v>31</v>
      </c>
      <c r="K12" s="185" t="s">
        <v>160</v>
      </c>
      <c r="L12" s="183">
        <f t="shared" si="0"/>
        <v>46202</v>
      </c>
    </row>
    <row r="13" spans="1:12" ht="28.8" customHeight="1" x14ac:dyDescent="0.3">
      <c r="A13" s="183">
        <v>46155</v>
      </c>
      <c r="B13" s="183">
        <v>46202</v>
      </c>
      <c r="C13" s="184" t="s">
        <v>93</v>
      </c>
      <c r="D13" s="184" t="s">
        <v>94</v>
      </c>
      <c r="E13" s="185" t="s">
        <v>95</v>
      </c>
      <c r="F13" s="185" t="s">
        <v>96</v>
      </c>
      <c r="G13" s="186">
        <v>523356</v>
      </c>
      <c r="H13" s="184" t="s">
        <v>97</v>
      </c>
      <c r="I13" s="184" t="s">
        <v>18</v>
      </c>
      <c r="J13" s="184" t="s">
        <v>31</v>
      </c>
      <c r="K13" s="185" t="s">
        <v>98</v>
      </c>
      <c r="L13" s="183">
        <f t="shared" si="0"/>
        <v>46202</v>
      </c>
    </row>
    <row r="14" spans="1:12" ht="28.8" customHeight="1" x14ac:dyDescent="0.3">
      <c r="A14" s="183">
        <v>46167</v>
      </c>
      <c r="B14" s="183">
        <v>46202</v>
      </c>
      <c r="C14" s="184" t="s">
        <v>56</v>
      </c>
      <c r="D14" s="184" t="s">
        <v>57</v>
      </c>
      <c r="E14" s="185" t="s">
        <v>58</v>
      </c>
      <c r="F14" s="185" t="s">
        <v>59</v>
      </c>
      <c r="G14" s="186">
        <v>220505.60000000001</v>
      </c>
      <c r="H14" s="184" t="s">
        <v>60</v>
      </c>
      <c r="I14" s="184" t="s">
        <v>18</v>
      </c>
      <c r="J14" s="184" t="s">
        <v>31</v>
      </c>
      <c r="K14" s="185" t="s">
        <v>61</v>
      </c>
      <c r="L14" s="183">
        <f t="shared" si="0"/>
        <v>46202</v>
      </c>
    </row>
    <row r="15" spans="1:12" x14ac:dyDescent="0.3">
      <c r="A15" s="183">
        <v>46171</v>
      </c>
      <c r="B15" s="183">
        <v>46202</v>
      </c>
      <c r="C15" s="184" t="s">
        <v>176</v>
      </c>
      <c r="D15" s="184" t="s">
        <v>177</v>
      </c>
      <c r="E15" s="185" t="s">
        <v>178</v>
      </c>
      <c r="F15" s="185" t="s">
        <v>179</v>
      </c>
      <c r="G15" s="186">
        <v>13562.64</v>
      </c>
      <c r="H15" s="184" t="s">
        <v>30</v>
      </c>
      <c r="I15" s="184" t="s">
        <v>18</v>
      </c>
      <c r="J15" s="184" t="s">
        <v>31</v>
      </c>
      <c r="K15" s="185" t="s">
        <v>180</v>
      </c>
      <c r="L15" s="183">
        <f t="shared" si="0"/>
        <v>46202</v>
      </c>
    </row>
    <row r="16" spans="1:12" ht="28.8" customHeight="1" x14ac:dyDescent="0.3">
      <c r="A16" s="183">
        <v>46181</v>
      </c>
      <c r="B16" s="183">
        <v>46202</v>
      </c>
      <c r="C16" s="184" t="s">
        <v>257</v>
      </c>
      <c r="D16" s="184" t="s">
        <v>261</v>
      </c>
      <c r="E16" s="185" t="s">
        <v>262</v>
      </c>
      <c r="F16" s="185" t="s">
        <v>96</v>
      </c>
      <c r="G16" s="186">
        <v>187144</v>
      </c>
      <c r="H16" s="184" t="s">
        <v>60</v>
      </c>
      <c r="I16" s="184" t="s">
        <v>18</v>
      </c>
      <c r="J16" s="184" t="s">
        <v>31</v>
      </c>
      <c r="K16" s="185" t="s">
        <v>263</v>
      </c>
      <c r="L16" s="183">
        <f t="shared" si="0"/>
        <v>46202</v>
      </c>
    </row>
    <row r="17" spans="1:12" ht="28.8" customHeight="1" x14ac:dyDescent="0.3">
      <c r="A17" s="179">
        <v>46142</v>
      </c>
      <c r="B17" s="179">
        <v>46202</v>
      </c>
      <c r="C17" s="180" t="s">
        <v>21</v>
      </c>
      <c r="D17" s="180" t="s">
        <v>22</v>
      </c>
      <c r="E17" s="181" t="s">
        <v>23</v>
      </c>
      <c r="F17" s="181" t="s">
        <v>24</v>
      </c>
      <c r="G17" s="182">
        <v>426010.6</v>
      </c>
      <c r="H17" s="180" t="s">
        <v>17</v>
      </c>
      <c r="I17" s="180" t="s">
        <v>21</v>
      </c>
      <c r="J17" s="180"/>
      <c r="K17" s="181" t="s">
        <v>25</v>
      </c>
      <c r="L17" s="179">
        <f t="shared" si="0"/>
        <v>46202</v>
      </c>
    </row>
    <row r="18" spans="1:12" x14ac:dyDescent="0.3">
      <c r="A18" s="179">
        <v>46111</v>
      </c>
      <c r="B18" s="179">
        <v>46203</v>
      </c>
      <c r="C18" s="180" t="s">
        <v>166</v>
      </c>
      <c r="D18" s="180" t="s">
        <v>167</v>
      </c>
      <c r="E18" s="181" t="s">
        <v>168</v>
      </c>
      <c r="F18" s="181" t="s">
        <v>169</v>
      </c>
      <c r="G18" s="182">
        <v>169353.60000000001</v>
      </c>
      <c r="H18" s="180" t="s">
        <v>30</v>
      </c>
      <c r="I18" s="180" t="s">
        <v>21</v>
      </c>
      <c r="J18" s="180"/>
      <c r="K18" s="181" t="s">
        <v>170</v>
      </c>
      <c r="L18" s="179">
        <f t="shared" si="0"/>
        <v>46203</v>
      </c>
    </row>
    <row r="19" spans="1:12" ht="158.4" customHeight="1" x14ac:dyDescent="0.3">
      <c r="A19" s="179">
        <v>46128</v>
      </c>
      <c r="B19" s="179">
        <v>46203</v>
      </c>
      <c r="C19" s="180" t="s">
        <v>21</v>
      </c>
      <c r="D19" s="180" t="s">
        <v>103</v>
      </c>
      <c r="E19" s="181" t="s">
        <v>104</v>
      </c>
      <c r="F19" s="181" t="s">
        <v>105</v>
      </c>
      <c r="G19" s="182">
        <v>82900.05</v>
      </c>
      <c r="H19" s="180" t="s">
        <v>30</v>
      </c>
      <c r="I19" s="180" t="s">
        <v>21</v>
      </c>
      <c r="J19" s="180"/>
      <c r="K19" s="181" t="s">
        <v>106</v>
      </c>
      <c r="L19" s="179">
        <f t="shared" si="0"/>
        <v>46203</v>
      </c>
    </row>
    <row r="20" spans="1:12" ht="86.4" customHeight="1" x14ac:dyDescent="0.3">
      <c r="A20" s="179">
        <v>46142</v>
      </c>
      <c r="B20" s="179">
        <v>46203</v>
      </c>
      <c r="C20" s="180" t="s">
        <v>107</v>
      </c>
      <c r="D20" s="180" t="s">
        <v>108</v>
      </c>
      <c r="E20" s="181" t="s">
        <v>109</v>
      </c>
      <c r="F20" s="181" t="s">
        <v>110</v>
      </c>
      <c r="G20" s="182">
        <v>310411</v>
      </c>
      <c r="H20" s="180" t="s">
        <v>111</v>
      </c>
      <c r="I20" s="180" t="s">
        <v>21</v>
      </c>
      <c r="J20" s="180"/>
      <c r="K20" s="181" t="s">
        <v>112</v>
      </c>
      <c r="L20" s="179">
        <f t="shared" si="0"/>
        <v>46203</v>
      </c>
    </row>
    <row r="21" spans="1:12" ht="28.8" customHeight="1" x14ac:dyDescent="0.3">
      <c r="A21" s="179">
        <v>46142</v>
      </c>
      <c r="B21" s="179">
        <v>46203</v>
      </c>
      <c r="C21" s="180" t="s">
        <v>21</v>
      </c>
      <c r="D21" s="180" t="s">
        <v>113</v>
      </c>
      <c r="E21" s="181" t="s">
        <v>114</v>
      </c>
      <c r="F21" s="181" t="s">
        <v>115</v>
      </c>
      <c r="G21" s="182">
        <v>204447</v>
      </c>
      <c r="H21" s="180" t="s">
        <v>17</v>
      </c>
      <c r="I21" s="180" t="s">
        <v>21</v>
      </c>
      <c r="J21" s="180"/>
      <c r="K21" s="181" t="s">
        <v>116</v>
      </c>
      <c r="L21" s="179">
        <f t="shared" si="0"/>
        <v>46203</v>
      </c>
    </row>
    <row r="22" spans="1:12" x14ac:dyDescent="0.3">
      <c r="A22" s="183">
        <v>46171</v>
      </c>
      <c r="B22" s="183">
        <v>46227</v>
      </c>
      <c r="C22" s="184" t="s">
        <v>84</v>
      </c>
      <c r="D22" s="184" t="s">
        <v>85</v>
      </c>
      <c r="E22" s="185" t="s">
        <v>86</v>
      </c>
      <c r="F22" s="185" t="s">
        <v>87</v>
      </c>
      <c r="G22" s="186">
        <v>18400</v>
      </c>
      <c r="H22" s="184" t="s">
        <v>30</v>
      </c>
      <c r="I22" s="184" t="s">
        <v>18</v>
      </c>
      <c r="J22" s="184" t="s">
        <v>31</v>
      </c>
      <c r="K22" s="185" t="s">
        <v>88</v>
      </c>
      <c r="L22" s="183">
        <f t="shared" si="0"/>
        <v>46227</v>
      </c>
    </row>
    <row r="23" spans="1:12" x14ac:dyDescent="0.3">
      <c r="A23" s="179">
        <v>46170</v>
      </c>
      <c r="B23" s="179">
        <v>46227</v>
      </c>
      <c r="C23" s="180" t="s">
        <v>21</v>
      </c>
      <c r="D23" s="180" t="s">
        <v>89</v>
      </c>
      <c r="E23" s="181" t="s">
        <v>90</v>
      </c>
      <c r="F23" s="181" t="s">
        <v>91</v>
      </c>
      <c r="G23" s="182">
        <v>1860403.01</v>
      </c>
      <c r="H23" s="180" t="s">
        <v>30</v>
      </c>
      <c r="I23" s="180" t="s">
        <v>21</v>
      </c>
      <c r="J23" s="180"/>
      <c r="K23" s="181" t="s">
        <v>92</v>
      </c>
      <c r="L23" s="179">
        <f t="shared" si="0"/>
        <v>46227</v>
      </c>
    </row>
    <row r="24" spans="1:12" x14ac:dyDescent="0.3">
      <c r="A24" s="183">
        <v>46182</v>
      </c>
      <c r="B24" s="183">
        <v>46233</v>
      </c>
      <c r="C24" s="184" t="s">
        <v>26</v>
      </c>
      <c r="D24" s="184" t="s">
        <v>27</v>
      </c>
      <c r="E24" s="185" t="s">
        <v>28</v>
      </c>
      <c r="F24" s="185" t="s">
        <v>29</v>
      </c>
      <c r="G24" s="186">
        <v>62080.45</v>
      </c>
      <c r="H24" s="184" t="s">
        <v>30</v>
      </c>
      <c r="I24" s="184" t="s">
        <v>18</v>
      </c>
      <c r="J24" s="184" t="s">
        <v>31</v>
      </c>
      <c r="K24" s="185" t="s">
        <v>32</v>
      </c>
      <c r="L24" s="183">
        <f t="shared" si="0"/>
        <v>46233</v>
      </c>
    </row>
    <row r="25" spans="1:12" x14ac:dyDescent="0.3">
      <c r="F25" s="187" t="s">
        <v>117</v>
      </c>
      <c r="G25" s="188">
        <f>SUMIF(I3:I24,"&lt;&gt;Pending",G3:G24)</f>
        <v>1634005.56</v>
      </c>
    </row>
    <row r="27" spans="1:12" x14ac:dyDescent="0.3">
      <c r="F27" s="189" t="s">
        <v>118</v>
      </c>
    </row>
    <row r="28" spans="1:12" x14ac:dyDescent="0.3">
      <c r="F28" t="s">
        <v>119</v>
      </c>
      <c r="G28" s="18">
        <f ca="1">SUMIFS(G3:G24, J3:J24, "*CASH SALE*", L3:L24, "&gt;="&amp;EOMONTH(TODAY(),-1)+1, L3:L24, "&lt;="&amp;EOMONTH(TODAY(),0), I3:I24, "&lt;&gt;Pending")</f>
        <v>0</v>
      </c>
      <c r="I28" t="s">
        <v>120</v>
      </c>
      <c r="J28" s="18">
        <f ca="1">SUMIFS(G3:G24, J3:J24, "*CASH SALE*", L3:L24, "&gt;="&amp;EOMONTH(TODAY(),0)+1, L3:L24, "&lt;="&amp;EOMONTH(TODAY(),1), I3:I24, "&lt;&gt;Pending")</f>
        <v>0</v>
      </c>
    </row>
    <row r="29" spans="1:12" x14ac:dyDescent="0.3">
      <c r="F29" t="s">
        <v>121</v>
      </c>
      <c r="G29" s="18">
        <f ca="1">SUMIFS(G3:G24, J3:J24, "*ACCOUNT*", L3:L24, "&gt;="&amp;EOMONTH(TODAY(),-1)+1, L3:L24, "&lt;="&amp;EOMONTH(TODAY(),0), I3:I24, "&lt;&gt;Pending")</f>
        <v>80480.45</v>
      </c>
      <c r="I29" t="s">
        <v>122</v>
      </c>
      <c r="J29" s="18">
        <f ca="1">SUMIFS(G3:G24, J3:J24, "*ACCOUNT*", L3:L24, "&gt;="&amp;EOMONTH(TODAY(),0)+1, L3:L24, "&lt;="&amp;EOMONTH(TODAY(),1), I3:I24, "&lt;&gt;Pending")</f>
        <v>0</v>
      </c>
    </row>
    <row r="32" spans="1:12" ht="28.8" customHeight="1" x14ac:dyDescent="0.3">
      <c r="A32" s="174" t="s">
        <v>1</v>
      </c>
      <c r="B32" s="174" t="s">
        <v>2</v>
      </c>
      <c r="C32" s="174" t="s">
        <v>3</v>
      </c>
      <c r="D32" s="174" t="s">
        <v>4</v>
      </c>
      <c r="E32" s="174" t="s">
        <v>5</v>
      </c>
      <c r="F32" s="174" t="s">
        <v>6</v>
      </c>
      <c r="G32" s="174" t="s">
        <v>7</v>
      </c>
      <c r="H32" s="174" t="s">
        <v>8</v>
      </c>
      <c r="I32" s="174" t="s">
        <v>9</v>
      </c>
      <c r="J32" s="174" t="s">
        <v>10</v>
      </c>
      <c r="K32" s="174" t="s">
        <v>123</v>
      </c>
    </row>
    <row r="33" spans="1:11" x14ac:dyDescent="0.3">
      <c r="A33" s="190">
        <v>46149</v>
      </c>
      <c r="B33" s="190">
        <v>46185.333174085637</v>
      </c>
      <c r="C33" s="191" t="s">
        <v>128</v>
      </c>
      <c r="D33" s="191" t="s">
        <v>129</v>
      </c>
      <c r="E33" s="191" t="s">
        <v>75</v>
      </c>
      <c r="F33" s="191" t="s">
        <v>130</v>
      </c>
      <c r="G33" s="186">
        <v>24910.15</v>
      </c>
      <c r="H33" s="191" t="s">
        <v>60</v>
      </c>
      <c r="I33" s="191" t="s">
        <v>207</v>
      </c>
      <c r="J33" s="191" t="s">
        <v>37</v>
      </c>
      <c r="K33" s="185" t="s">
        <v>265</v>
      </c>
    </row>
    <row r="34" spans="1:11" ht="28.8" customHeight="1" x14ac:dyDescent="0.3">
      <c r="A34" s="190">
        <v>46167</v>
      </c>
      <c r="B34" s="190">
        <v>46185.333174085637</v>
      </c>
      <c r="C34" s="191" t="s">
        <v>171</v>
      </c>
      <c r="D34" s="191" t="s">
        <v>172</v>
      </c>
      <c r="E34" s="191" t="s">
        <v>173</v>
      </c>
      <c r="F34" s="191" t="s">
        <v>174</v>
      </c>
      <c r="G34" s="186">
        <v>25694.45</v>
      </c>
      <c r="H34" s="191" t="s">
        <v>60</v>
      </c>
      <c r="I34" s="191" t="s">
        <v>207</v>
      </c>
      <c r="J34" s="191" t="s">
        <v>31</v>
      </c>
      <c r="K34" s="185" t="s">
        <v>267</v>
      </c>
    </row>
    <row r="35" spans="1:11" ht="28.8" customHeight="1" x14ac:dyDescent="0.3">
      <c r="A35" s="190">
        <v>46178</v>
      </c>
      <c r="B35" s="190">
        <v>46185.333174085637</v>
      </c>
      <c r="C35" s="191" t="s">
        <v>232</v>
      </c>
      <c r="D35" s="191" t="s">
        <v>233</v>
      </c>
      <c r="E35" s="191" t="s">
        <v>234</v>
      </c>
      <c r="F35" s="191" t="s">
        <v>174</v>
      </c>
      <c r="G35" s="186">
        <v>11607.9</v>
      </c>
      <c r="H35" s="191" t="s">
        <v>60</v>
      </c>
      <c r="I35" s="191" t="s">
        <v>207</v>
      </c>
      <c r="J35" s="191" t="s">
        <v>31</v>
      </c>
      <c r="K35" s="185" t="s">
        <v>267</v>
      </c>
    </row>
    <row r="36" spans="1:11" ht="28.8" customHeight="1" x14ac:dyDescent="0.3">
      <c r="A36" s="190">
        <v>46181</v>
      </c>
      <c r="B36" s="190">
        <v>46185.333174085637</v>
      </c>
      <c r="C36" s="191" t="s">
        <v>244</v>
      </c>
      <c r="D36" s="191" t="s">
        <v>245</v>
      </c>
      <c r="E36" s="191" t="s">
        <v>246</v>
      </c>
      <c r="F36" s="191" t="s">
        <v>174</v>
      </c>
      <c r="G36" s="186">
        <v>19333.8</v>
      </c>
      <c r="H36" s="191" t="s">
        <v>60</v>
      </c>
      <c r="I36" s="191" t="s">
        <v>207</v>
      </c>
      <c r="J36" s="191" t="s">
        <v>31</v>
      </c>
      <c r="K36" s="185" t="s">
        <v>267</v>
      </c>
    </row>
    <row r="37" spans="1:11" x14ac:dyDescent="0.3">
      <c r="F37" s="187" t="s">
        <v>124</v>
      </c>
      <c r="G37" s="188">
        <f>SUM(G33:G36)</f>
        <v>81546.3</v>
      </c>
    </row>
    <row r="39" spans="1:11" x14ac:dyDescent="0.3">
      <c r="F39" s="187" t="s">
        <v>125</v>
      </c>
      <c r="G39" s="188">
        <f>SUMIFS(G3:G24, I3:I24, "*Ready*Dispatch*")</f>
        <v>81546.3</v>
      </c>
    </row>
    <row r="40" spans="1:11" x14ac:dyDescent="0.3">
      <c r="A40" s="192" t="s">
        <v>238</v>
      </c>
    </row>
    <row r="41" spans="1:11" x14ac:dyDescent="0.3">
      <c r="A41" s="192" t="s">
        <v>182</v>
      </c>
    </row>
  </sheetData>
  <pageMargins left="0.25" right="0.25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44"/>
  <sheetViews>
    <sheetView zoomScale="80" zoomScaleNormal="80" workbookViewId="0">
      <pane xSplit="4" ySplit="2" topLeftCell="E3" activePane="bottomRight" state="frozen"/>
      <selection activeCell="A49" sqref="A49:XFD50"/>
      <selection pane="topRight" activeCell="A49" sqref="A49:XFD50"/>
      <selection pane="bottomLeft" activeCell="A49" sqref="A49:XFD50"/>
      <selection pane="bottomRight" activeCell="A49" sqref="A49:XFD50"/>
    </sheetView>
  </sheetViews>
  <sheetFormatPr defaultRowHeight="14.4" x14ac:dyDescent="0.3"/>
  <cols>
    <col min="1" max="2" width="10.5546875" bestFit="1" customWidth="1"/>
    <col min="3" max="3" width="11.21875" bestFit="1" customWidth="1"/>
    <col min="4" max="4" width="10.6640625" bestFit="1" customWidth="1"/>
    <col min="5" max="5" width="14.88671875" bestFit="1" customWidth="1"/>
    <col min="6" max="6" width="28.33203125" bestFit="1" customWidth="1"/>
    <col min="7" max="7" width="13.109375" bestFit="1" customWidth="1"/>
    <col min="8" max="8" width="8.88671875" style="115" bestFit="1" customWidth="1"/>
    <col min="9" max="9" width="15.21875" style="115" bestFit="1" customWidth="1"/>
    <col min="10" max="10" width="21" bestFit="1" customWidth="1"/>
    <col min="11" max="11" width="53.21875" bestFit="1" customWidth="1"/>
    <col min="12" max="12" width="10.5546875" bestFit="1" customWidth="1"/>
  </cols>
  <sheetData>
    <row r="1" spans="1:12" ht="18" customHeight="1" x14ac:dyDescent="0.35">
      <c r="A1" s="383" t="s">
        <v>0</v>
      </c>
      <c r="B1" s="369"/>
      <c r="C1" s="369"/>
      <c r="D1" s="369"/>
      <c r="K1" s="193">
        <f ca="1">TODAY()</f>
        <v>46211</v>
      </c>
    </row>
    <row r="2" spans="1:12" ht="43.2" customHeight="1" x14ac:dyDescent="0.3">
      <c r="A2" s="194" t="s">
        <v>1</v>
      </c>
      <c r="B2" s="194" t="s">
        <v>2</v>
      </c>
      <c r="C2" s="194" t="s">
        <v>3</v>
      </c>
      <c r="D2" s="194" t="s">
        <v>4</v>
      </c>
      <c r="E2" s="194" t="s">
        <v>5</v>
      </c>
      <c r="F2" s="194" t="s">
        <v>6</v>
      </c>
      <c r="G2" s="194" t="s">
        <v>7</v>
      </c>
      <c r="H2" s="194" t="s">
        <v>8</v>
      </c>
      <c r="I2" s="194" t="s">
        <v>9</v>
      </c>
      <c r="J2" s="194" t="s">
        <v>10</v>
      </c>
      <c r="K2" s="194" t="s">
        <v>11</v>
      </c>
      <c r="L2" s="194" t="s">
        <v>12</v>
      </c>
    </row>
    <row r="3" spans="1:12" x14ac:dyDescent="0.3">
      <c r="A3" s="195">
        <v>46176</v>
      </c>
      <c r="B3" s="195">
        <v>46190.31341949074</v>
      </c>
      <c r="C3" s="196" t="s">
        <v>221</v>
      </c>
      <c r="D3" s="196" t="s">
        <v>222</v>
      </c>
      <c r="E3" s="197" t="s">
        <v>223</v>
      </c>
      <c r="F3" s="197" t="s">
        <v>140</v>
      </c>
      <c r="G3" s="198">
        <v>12224.5</v>
      </c>
      <c r="H3" s="196" t="s">
        <v>17</v>
      </c>
      <c r="I3" s="196" t="s">
        <v>18</v>
      </c>
      <c r="J3" s="196" t="s">
        <v>37</v>
      </c>
      <c r="K3" s="197" t="s">
        <v>224</v>
      </c>
      <c r="L3" s="195">
        <f t="shared" ref="L3:L26" si="0">B3</f>
        <v>46190.31341949074</v>
      </c>
    </row>
    <row r="4" spans="1:12" x14ac:dyDescent="0.3">
      <c r="A4" s="195">
        <v>46149</v>
      </c>
      <c r="B4" s="195">
        <v>46190.31341949074</v>
      </c>
      <c r="C4" s="196" t="s">
        <v>128</v>
      </c>
      <c r="D4" s="196" t="s">
        <v>129</v>
      </c>
      <c r="E4" s="197" t="s">
        <v>75</v>
      </c>
      <c r="F4" s="197" t="s">
        <v>130</v>
      </c>
      <c r="G4" s="198">
        <v>24910.15</v>
      </c>
      <c r="H4" s="196" t="s">
        <v>60</v>
      </c>
      <c r="I4" s="196" t="s">
        <v>207</v>
      </c>
      <c r="J4" s="196" t="s">
        <v>37</v>
      </c>
      <c r="K4" s="197" t="s">
        <v>265</v>
      </c>
      <c r="L4" s="195">
        <f t="shared" si="0"/>
        <v>46190.31341949074</v>
      </c>
    </row>
    <row r="5" spans="1:12" ht="28.8" customHeight="1" x14ac:dyDescent="0.3">
      <c r="A5" s="195">
        <v>46167</v>
      </c>
      <c r="B5" s="195">
        <v>46190.31341949074</v>
      </c>
      <c r="C5" s="196" t="s">
        <v>171</v>
      </c>
      <c r="D5" s="196" t="s">
        <v>172</v>
      </c>
      <c r="E5" s="197" t="s">
        <v>173</v>
      </c>
      <c r="F5" s="197" t="s">
        <v>174</v>
      </c>
      <c r="G5" s="198">
        <v>25694.45</v>
      </c>
      <c r="H5" s="196" t="s">
        <v>60</v>
      </c>
      <c r="I5" s="196" t="s">
        <v>207</v>
      </c>
      <c r="J5" s="196" t="s">
        <v>31</v>
      </c>
      <c r="K5" s="197" t="s">
        <v>267</v>
      </c>
      <c r="L5" s="195">
        <f t="shared" si="0"/>
        <v>46190.31341949074</v>
      </c>
    </row>
    <row r="6" spans="1:12" ht="28.8" customHeight="1" x14ac:dyDescent="0.3">
      <c r="A6" s="195">
        <v>46178</v>
      </c>
      <c r="B6" s="195">
        <v>46190.31341949074</v>
      </c>
      <c r="C6" s="196" t="s">
        <v>232</v>
      </c>
      <c r="D6" s="196" t="s">
        <v>233</v>
      </c>
      <c r="E6" s="197" t="s">
        <v>234</v>
      </c>
      <c r="F6" s="197" t="s">
        <v>174</v>
      </c>
      <c r="G6" s="198">
        <v>11607.9</v>
      </c>
      <c r="H6" s="196" t="s">
        <v>60</v>
      </c>
      <c r="I6" s="196" t="s">
        <v>207</v>
      </c>
      <c r="J6" s="196" t="s">
        <v>31</v>
      </c>
      <c r="K6" s="197" t="s">
        <v>267</v>
      </c>
      <c r="L6" s="195">
        <f t="shared" si="0"/>
        <v>46190.31341949074</v>
      </c>
    </row>
    <row r="7" spans="1:12" ht="28.8" customHeight="1" x14ac:dyDescent="0.3">
      <c r="A7" s="195">
        <v>46181</v>
      </c>
      <c r="B7" s="195">
        <v>46190.31341949074</v>
      </c>
      <c r="C7" s="196" t="s">
        <v>244</v>
      </c>
      <c r="D7" s="196" t="s">
        <v>245</v>
      </c>
      <c r="E7" s="197" t="s">
        <v>246</v>
      </c>
      <c r="F7" s="197" t="s">
        <v>174</v>
      </c>
      <c r="G7" s="198">
        <v>19333.8</v>
      </c>
      <c r="H7" s="196" t="s">
        <v>60</v>
      </c>
      <c r="I7" s="196" t="s">
        <v>207</v>
      </c>
      <c r="J7" s="196" t="s">
        <v>31</v>
      </c>
      <c r="K7" s="197" t="s">
        <v>267</v>
      </c>
      <c r="L7" s="195">
        <f t="shared" si="0"/>
        <v>46190.31341949074</v>
      </c>
    </row>
    <row r="8" spans="1:12" ht="57.6" customHeight="1" x14ac:dyDescent="0.3">
      <c r="A8" s="195">
        <v>46181</v>
      </c>
      <c r="B8" s="195">
        <v>46191</v>
      </c>
      <c r="C8" s="196" t="s">
        <v>253</v>
      </c>
      <c r="D8" s="196" t="s">
        <v>254</v>
      </c>
      <c r="E8" s="197" t="s">
        <v>255</v>
      </c>
      <c r="F8" s="197" t="s">
        <v>59</v>
      </c>
      <c r="G8" s="198">
        <v>55908.4</v>
      </c>
      <c r="H8" s="196" t="s">
        <v>60</v>
      </c>
      <c r="I8" s="196" t="s">
        <v>18</v>
      </c>
      <c r="J8" s="196" t="s">
        <v>31</v>
      </c>
      <c r="K8" s="197" t="s">
        <v>256</v>
      </c>
      <c r="L8" s="195">
        <f t="shared" si="0"/>
        <v>46191</v>
      </c>
    </row>
    <row r="9" spans="1:12" ht="374.4" customHeight="1" x14ac:dyDescent="0.3">
      <c r="A9" s="203">
        <v>46142</v>
      </c>
      <c r="B9" s="203">
        <v>46192</v>
      </c>
      <c r="C9" s="204" t="s">
        <v>13</v>
      </c>
      <c r="D9" s="204" t="s">
        <v>14</v>
      </c>
      <c r="E9" s="205" t="s">
        <v>15</v>
      </c>
      <c r="F9" s="205" t="s">
        <v>16</v>
      </c>
      <c r="G9" s="206">
        <v>251413.01</v>
      </c>
      <c r="H9" s="204" t="s">
        <v>17</v>
      </c>
      <c r="I9" s="204" t="s">
        <v>18</v>
      </c>
      <c r="J9" s="204" t="s">
        <v>289</v>
      </c>
      <c r="K9" s="205" t="s">
        <v>20</v>
      </c>
      <c r="L9" s="203">
        <f t="shared" si="0"/>
        <v>46192</v>
      </c>
    </row>
    <row r="10" spans="1:12" x14ac:dyDescent="0.3">
      <c r="A10" s="203">
        <v>46174</v>
      </c>
      <c r="B10" s="203">
        <v>46192</v>
      </c>
      <c r="C10" s="204" t="s">
        <v>147</v>
      </c>
      <c r="D10" s="204" t="s">
        <v>148</v>
      </c>
      <c r="E10" s="205" t="s">
        <v>149</v>
      </c>
      <c r="F10" s="205" t="s">
        <v>150</v>
      </c>
      <c r="G10" s="206">
        <v>70994.559999999998</v>
      </c>
      <c r="H10" s="204" t="s">
        <v>30</v>
      </c>
      <c r="I10" s="204" t="s">
        <v>18</v>
      </c>
      <c r="J10" s="204" t="s">
        <v>31</v>
      </c>
      <c r="K10" s="205" t="s">
        <v>151</v>
      </c>
      <c r="L10" s="203">
        <f t="shared" si="0"/>
        <v>46192</v>
      </c>
    </row>
    <row r="11" spans="1:12" ht="28.8" customHeight="1" x14ac:dyDescent="0.3">
      <c r="A11" s="203">
        <v>46112</v>
      </c>
      <c r="B11" s="203">
        <v>46202</v>
      </c>
      <c r="C11" s="204" t="s">
        <v>157</v>
      </c>
      <c r="D11" s="204" t="s">
        <v>158</v>
      </c>
      <c r="E11" s="205" t="s">
        <v>159</v>
      </c>
      <c r="F11" s="205" t="s">
        <v>96</v>
      </c>
      <c r="G11" s="206">
        <v>103711</v>
      </c>
      <c r="H11" s="204" t="s">
        <v>60</v>
      </c>
      <c r="I11" s="204" t="s">
        <v>18</v>
      </c>
      <c r="J11" s="204" t="s">
        <v>31</v>
      </c>
      <c r="K11" s="205" t="s">
        <v>160</v>
      </c>
      <c r="L11" s="203">
        <f t="shared" si="0"/>
        <v>46202</v>
      </c>
    </row>
    <row r="12" spans="1:12" ht="28.8" customHeight="1" x14ac:dyDescent="0.3">
      <c r="A12" s="203">
        <v>46155</v>
      </c>
      <c r="B12" s="203">
        <v>46202</v>
      </c>
      <c r="C12" s="204" t="s">
        <v>93</v>
      </c>
      <c r="D12" s="204" t="s">
        <v>94</v>
      </c>
      <c r="E12" s="205" t="s">
        <v>95</v>
      </c>
      <c r="F12" s="205" t="s">
        <v>96</v>
      </c>
      <c r="G12" s="206">
        <v>523356</v>
      </c>
      <c r="H12" s="204" t="s">
        <v>97</v>
      </c>
      <c r="I12" s="204" t="s">
        <v>18</v>
      </c>
      <c r="J12" s="204" t="s">
        <v>31</v>
      </c>
      <c r="K12" s="205" t="s">
        <v>98</v>
      </c>
      <c r="L12" s="203">
        <f t="shared" si="0"/>
        <v>46202</v>
      </c>
    </row>
    <row r="13" spans="1:12" ht="28.8" customHeight="1" x14ac:dyDescent="0.3">
      <c r="A13" s="203">
        <v>46167</v>
      </c>
      <c r="B13" s="203">
        <v>46202</v>
      </c>
      <c r="C13" s="204" t="s">
        <v>56</v>
      </c>
      <c r="D13" s="204" t="s">
        <v>57</v>
      </c>
      <c r="E13" s="205" t="s">
        <v>58</v>
      </c>
      <c r="F13" s="205" t="s">
        <v>59</v>
      </c>
      <c r="G13" s="206">
        <v>220505.60000000001</v>
      </c>
      <c r="H13" s="204" t="s">
        <v>60</v>
      </c>
      <c r="I13" s="204" t="s">
        <v>18</v>
      </c>
      <c r="J13" s="204" t="s">
        <v>31</v>
      </c>
      <c r="K13" s="205" t="s">
        <v>61</v>
      </c>
      <c r="L13" s="203">
        <f t="shared" si="0"/>
        <v>46202</v>
      </c>
    </row>
    <row r="14" spans="1:12" x14ac:dyDescent="0.3">
      <c r="A14" s="203">
        <v>46171</v>
      </c>
      <c r="B14" s="203">
        <v>46202</v>
      </c>
      <c r="C14" s="204" t="s">
        <v>176</v>
      </c>
      <c r="D14" s="204" t="s">
        <v>177</v>
      </c>
      <c r="E14" s="205" t="s">
        <v>178</v>
      </c>
      <c r="F14" s="205" t="s">
        <v>179</v>
      </c>
      <c r="G14" s="206">
        <v>13562.64</v>
      </c>
      <c r="H14" s="204" t="s">
        <v>30</v>
      </c>
      <c r="I14" s="204" t="s">
        <v>18</v>
      </c>
      <c r="J14" s="204" t="s">
        <v>31</v>
      </c>
      <c r="K14" s="205" t="s">
        <v>180</v>
      </c>
      <c r="L14" s="203">
        <f t="shared" si="0"/>
        <v>46202</v>
      </c>
    </row>
    <row r="15" spans="1:12" ht="28.8" customHeight="1" x14ac:dyDescent="0.3">
      <c r="A15" s="203">
        <v>46181</v>
      </c>
      <c r="B15" s="203">
        <v>46202</v>
      </c>
      <c r="C15" s="204" t="s">
        <v>257</v>
      </c>
      <c r="D15" s="204" t="s">
        <v>261</v>
      </c>
      <c r="E15" s="205" t="s">
        <v>262</v>
      </c>
      <c r="F15" s="205" t="s">
        <v>96</v>
      </c>
      <c r="G15" s="206">
        <v>187144</v>
      </c>
      <c r="H15" s="204" t="s">
        <v>60</v>
      </c>
      <c r="I15" s="204" t="s">
        <v>18</v>
      </c>
      <c r="J15" s="204" t="s">
        <v>31</v>
      </c>
      <c r="K15" s="205" t="s">
        <v>263</v>
      </c>
      <c r="L15" s="203">
        <f t="shared" si="0"/>
        <v>46202</v>
      </c>
    </row>
    <row r="16" spans="1:12" ht="28.8" customHeight="1" x14ac:dyDescent="0.3">
      <c r="A16" s="199">
        <v>46142</v>
      </c>
      <c r="B16" s="199">
        <v>46202</v>
      </c>
      <c r="C16" s="200" t="s">
        <v>21</v>
      </c>
      <c r="D16" s="200" t="s">
        <v>22</v>
      </c>
      <c r="E16" s="201" t="s">
        <v>23</v>
      </c>
      <c r="F16" s="201" t="s">
        <v>24</v>
      </c>
      <c r="G16" s="202">
        <v>426010.6</v>
      </c>
      <c r="H16" s="200" t="s">
        <v>17</v>
      </c>
      <c r="I16" s="200" t="s">
        <v>21</v>
      </c>
      <c r="J16" s="200"/>
      <c r="K16" s="201" t="s">
        <v>25</v>
      </c>
      <c r="L16" s="199">
        <f t="shared" si="0"/>
        <v>46202</v>
      </c>
    </row>
    <row r="17" spans="1:12" x14ac:dyDescent="0.3">
      <c r="A17" s="203">
        <v>46185</v>
      </c>
      <c r="B17" s="203">
        <v>46203</v>
      </c>
      <c r="C17" s="204" t="s">
        <v>286</v>
      </c>
      <c r="D17" s="204" t="s">
        <v>287</v>
      </c>
      <c r="E17" s="205" t="s">
        <v>75</v>
      </c>
      <c r="F17" s="205" t="s">
        <v>215</v>
      </c>
      <c r="G17" s="206">
        <v>33159.1</v>
      </c>
      <c r="H17" s="204" t="s">
        <v>60</v>
      </c>
      <c r="I17" s="204" t="s">
        <v>18</v>
      </c>
      <c r="J17" s="204" t="s">
        <v>37</v>
      </c>
      <c r="K17" s="205" t="s">
        <v>288</v>
      </c>
      <c r="L17" s="203">
        <f t="shared" si="0"/>
        <v>46203</v>
      </c>
    </row>
    <row r="18" spans="1:12" x14ac:dyDescent="0.3">
      <c r="A18" s="199">
        <v>46111</v>
      </c>
      <c r="B18" s="199">
        <v>46203</v>
      </c>
      <c r="C18" s="200" t="s">
        <v>166</v>
      </c>
      <c r="D18" s="200" t="s">
        <v>167</v>
      </c>
      <c r="E18" s="201" t="s">
        <v>168</v>
      </c>
      <c r="F18" s="201" t="s">
        <v>169</v>
      </c>
      <c r="G18" s="202">
        <v>169353.60000000001</v>
      </c>
      <c r="H18" s="200" t="s">
        <v>30</v>
      </c>
      <c r="I18" s="200" t="s">
        <v>21</v>
      </c>
      <c r="J18" s="200"/>
      <c r="K18" s="201" t="s">
        <v>170</v>
      </c>
      <c r="L18" s="199">
        <f t="shared" si="0"/>
        <v>46203</v>
      </c>
    </row>
    <row r="19" spans="1:12" ht="144" customHeight="1" x14ac:dyDescent="0.3">
      <c r="A19" s="199">
        <v>46128</v>
      </c>
      <c r="B19" s="199">
        <v>46203</v>
      </c>
      <c r="C19" s="200" t="s">
        <v>21</v>
      </c>
      <c r="D19" s="200" t="s">
        <v>103</v>
      </c>
      <c r="E19" s="201" t="s">
        <v>104</v>
      </c>
      <c r="F19" s="201" t="s">
        <v>105</v>
      </c>
      <c r="G19" s="202">
        <v>82900.05</v>
      </c>
      <c r="H19" s="200" t="s">
        <v>30</v>
      </c>
      <c r="I19" s="200" t="s">
        <v>21</v>
      </c>
      <c r="J19" s="200"/>
      <c r="K19" s="201" t="s">
        <v>106</v>
      </c>
      <c r="L19" s="199">
        <f t="shared" si="0"/>
        <v>46203</v>
      </c>
    </row>
    <row r="20" spans="1:12" ht="86.4" customHeight="1" x14ac:dyDescent="0.3">
      <c r="A20" s="199">
        <v>46142</v>
      </c>
      <c r="B20" s="199">
        <v>46203</v>
      </c>
      <c r="C20" s="200" t="s">
        <v>107</v>
      </c>
      <c r="D20" s="200" t="s">
        <v>108</v>
      </c>
      <c r="E20" s="201" t="s">
        <v>109</v>
      </c>
      <c r="F20" s="201" t="s">
        <v>110</v>
      </c>
      <c r="G20" s="202">
        <v>310411</v>
      </c>
      <c r="H20" s="200" t="s">
        <v>111</v>
      </c>
      <c r="I20" s="200" t="s">
        <v>21</v>
      </c>
      <c r="J20" s="200"/>
      <c r="K20" s="201" t="s">
        <v>112</v>
      </c>
      <c r="L20" s="199">
        <f t="shared" si="0"/>
        <v>46203</v>
      </c>
    </row>
    <row r="21" spans="1:12" x14ac:dyDescent="0.3">
      <c r="A21" s="199">
        <v>46142</v>
      </c>
      <c r="B21" s="199">
        <v>46203</v>
      </c>
      <c r="C21" s="200" t="s">
        <v>21</v>
      </c>
      <c r="D21" s="200" t="s">
        <v>113</v>
      </c>
      <c r="E21" s="201" t="s">
        <v>114</v>
      </c>
      <c r="F21" s="201" t="s">
        <v>115</v>
      </c>
      <c r="G21" s="202">
        <v>204447</v>
      </c>
      <c r="H21" s="200" t="s">
        <v>17</v>
      </c>
      <c r="I21" s="200" t="s">
        <v>21</v>
      </c>
      <c r="J21" s="200"/>
      <c r="K21" s="201" t="s">
        <v>116</v>
      </c>
      <c r="L21" s="199">
        <f t="shared" si="0"/>
        <v>46203</v>
      </c>
    </row>
    <row r="22" spans="1:12" ht="43.2" customHeight="1" x14ac:dyDescent="0.3">
      <c r="A22" s="199">
        <v>46188</v>
      </c>
      <c r="B22" s="199">
        <v>46203</v>
      </c>
      <c r="C22" s="200" t="s">
        <v>21</v>
      </c>
      <c r="D22" s="200" t="s">
        <v>290</v>
      </c>
      <c r="E22" s="201" t="s">
        <v>291</v>
      </c>
      <c r="F22" s="201" t="s">
        <v>292</v>
      </c>
      <c r="G22" s="202">
        <v>66649.399999999994</v>
      </c>
      <c r="H22" s="200" t="s">
        <v>17</v>
      </c>
      <c r="I22" s="200" t="s">
        <v>21</v>
      </c>
      <c r="J22" s="200"/>
      <c r="K22" s="201" t="s">
        <v>293</v>
      </c>
      <c r="L22" s="199">
        <f t="shared" si="0"/>
        <v>46203</v>
      </c>
    </row>
    <row r="23" spans="1:12" ht="28.8" customHeight="1" x14ac:dyDescent="0.3">
      <c r="A23" s="203">
        <v>46185</v>
      </c>
      <c r="B23" s="203">
        <v>46213</v>
      </c>
      <c r="C23" s="204" t="s">
        <v>62</v>
      </c>
      <c r="D23" s="204" t="s">
        <v>63</v>
      </c>
      <c r="E23" s="205" t="s">
        <v>64</v>
      </c>
      <c r="F23" s="205" t="s">
        <v>65</v>
      </c>
      <c r="G23" s="206">
        <v>109947.56</v>
      </c>
      <c r="H23" s="204" t="s">
        <v>60</v>
      </c>
      <c r="I23" s="204" t="s">
        <v>18</v>
      </c>
      <c r="J23" s="204" t="s">
        <v>289</v>
      </c>
      <c r="K23" s="205" t="s">
        <v>66</v>
      </c>
      <c r="L23" s="203">
        <f t="shared" si="0"/>
        <v>46213</v>
      </c>
    </row>
    <row r="24" spans="1:12" x14ac:dyDescent="0.3">
      <c r="A24" s="203">
        <v>46171</v>
      </c>
      <c r="B24" s="203">
        <v>46227</v>
      </c>
      <c r="C24" s="204" t="s">
        <v>84</v>
      </c>
      <c r="D24" s="204" t="s">
        <v>85</v>
      </c>
      <c r="E24" s="205" t="s">
        <v>86</v>
      </c>
      <c r="F24" s="205" t="s">
        <v>87</v>
      </c>
      <c r="G24" s="206">
        <v>18400</v>
      </c>
      <c r="H24" s="204" t="s">
        <v>30</v>
      </c>
      <c r="I24" s="204" t="s">
        <v>18</v>
      </c>
      <c r="J24" s="204" t="s">
        <v>31</v>
      </c>
      <c r="K24" s="205" t="s">
        <v>88</v>
      </c>
      <c r="L24" s="203">
        <f t="shared" si="0"/>
        <v>46227</v>
      </c>
    </row>
    <row r="25" spans="1:12" x14ac:dyDescent="0.3">
      <c r="A25" s="199">
        <v>46170</v>
      </c>
      <c r="B25" s="199">
        <v>46227</v>
      </c>
      <c r="C25" s="200" t="s">
        <v>21</v>
      </c>
      <c r="D25" s="200" t="s">
        <v>89</v>
      </c>
      <c r="E25" s="201" t="s">
        <v>90</v>
      </c>
      <c r="F25" s="201" t="s">
        <v>91</v>
      </c>
      <c r="G25" s="202">
        <v>1860403.01</v>
      </c>
      <c r="H25" s="200" t="s">
        <v>30</v>
      </c>
      <c r="I25" s="200" t="s">
        <v>21</v>
      </c>
      <c r="J25" s="200"/>
      <c r="K25" s="201" t="s">
        <v>92</v>
      </c>
      <c r="L25" s="199">
        <f t="shared" si="0"/>
        <v>46227</v>
      </c>
    </row>
    <row r="26" spans="1:12" x14ac:dyDescent="0.3">
      <c r="A26" s="203">
        <v>46182</v>
      </c>
      <c r="B26" s="203">
        <v>46233</v>
      </c>
      <c r="C26" s="204" t="s">
        <v>26</v>
      </c>
      <c r="D26" s="204" t="s">
        <v>27</v>
      </c>
      <c r="E26" s="205" t="s">
        <v>28</v>
      </c>
      <c r="F26" s="205" t="s">
        <v>29</v>
      </c>
      <c r="G26" s="206">
        <v>62080.45</v>
      </c>
      <c r="H26" s="204" t="s">
        <v>30</v>
      </c>
      <c r="I26" s="204" t="s">
        <v>18</v>
      </c>
      <c r="J26" s="204" t="s">
        <v>31</v>
      </c>
      <c r="K26" s="205" t="s">
        <v>32</v>
      </c>
      <c r="L26" s="203">
        <f t="shared" si="0"/>
        <v>46233</v>
      </c>
    </row>
    <row r="27" spans="1:12" x14ac:dyDescent="0.3">
      <c r="F27" s="207" t="s">
        <v>117</v>
      </c>
      <c r="G27" s="208">
        <f>SUMIF(I3:I26,"&lt;&gt;Pending",G3:G26)</f>
        <v>1743953.12</v>
      </c>
    </row>
    <row r="29" spans="1:12" x14ac:dyDescent="0.3">
      <c r="F29" s="209" t="s">
        <v>118</v>
      </c>
    </row>
    <row r="30" spans="1:12" x14ac:dyDescent="0.3">
      <c r="F30" t="s">
        <v>119</v>
      </c>
      <c r="G30" s="18">
        <f ca="1">SUMIFS(G3:G26, J3:J26, "*CASH SALE*", L3:L26, "&gt;="&amp;EOMONTH(TODAY(),-1)+1, L3:L26, "&lt;="&amp;EOMONTH(TODAY(),0), I3:I26, "&lt;&gt;Pending")</f>
        <v>109947.56</v>
      </c>
      <c r="I30" s="115" t="s">
        <v>120</v>
      </c>
      <c r="J30" s="18">
        <f ca="1">SUMIFS(G3:G26, J3:J26, "*CASH SALE*", L3:L26, "&gt;="&amp;EOMONTH(TODAY(),0)+1, L3:L26, "&lt;="&amp;EOMONTH(TODAY(),1), I3:I26, "&lt;&gt;Pending")</f>
        <v>0</v>
      </c>
    </row>
    <row r="31" spans="1:12" x14ac:dyDescent="0.3">
      <c r="F31" t="s">
        <v>121</v>
      </c>
      <c r="G31" s="18">
        <f ca="1">SUMIFS(G3:G26, J3:J26, "*ACCOUNT*", L3:L26, "&gt;="&amp;EOMONTH(TODAY(),-1)+1, L3:L26, "&lt;="&amp;EOMONTH(TODAY(),0), I3:I26, "&lt;&gt;Pending")</f>
        <v>80480.45</v>
      </c>
      <c r="I31" s="115" t="s">
        <v>122</v>
      </c>
      <c r="J31" s="18">
        <f ca="1">SUMIFS(G3:G26, J3:J26, "*ACCOUNT*", L3:L26, "&gt;="&amp;EOMONTH(TODAY(),0)+1, L3:L26, "&lt;="&amp;EOMONTH(TODAY(),1), I3:I26, "&lt;&gt;Pending")</f>
        <v>0</v>
      </c>
    </row>
    <row r="33" spans="1:11" ht="28.8" customHeight="1" x14ac:dyDescent="0.3">
      <c r="A33" s="194" t="s">
        <v>1</v>
      </c>
      <c r="B33" s="194" t="s">
        <v>2</v>
      </c>
      <c r="C33" s="194" t="s">
        <v>3</v>
      </c>
      <c r="D33" s="194" t="s">
        <v>4</v>
      </c>
      <c r="E33" s="194" t="s">
        <v>5</v>
      </c>
      <c r="F33" s="194" t="s">
        <v>6</v>
      </c>
      <c r="G33" s="194" t="s">
        <v>7</v>
      </c>
      <c r="H33" s="194" t="s">
        <v>8</v>
      </c>
      <c r="I33" s="194" t="s">
        <v>9</v>
      </c>
      <c r="J33" s="194" t="s">
        <v>10</v>
      </c>
      <c r="K33" s="194" t="s">
        <v>123</v>
      </c>
    </row>
    <row r="34" spans="1:11" x14ac:dyDescent="0.3">
      <c r="A34" s="210">
        <v>46176</v>
      </c>
      <c r="B34" s="210">
        <v>46190.31341949074</v>
      </c>
      <c r="C34" s="211" t="s">
        <v>221</v>
      </c>
      <c r="D34" s="211" t="s">
        <v>222</v>
      </c>
      <c r="E34" s="211" t="s">
        <v>223</v>
      </c>
      <c r="F34" s="211" t="s">
        <v>140</v>
      </c>
      <c r="G34" s="206">
        <v>12224.5</v>
      </c>
      <c r="H34" s="204" t="s">
        <v>17</v>
      </c>
      <c r="I34" s="204" t="s">
        <v>18</v>
      </c>
      <c r="J34" s="211" t="s">
        <v>37</v>
      </c>
      <c r="K34" s="205"/>
    </row>
    <row r="35" spans="1:11" ht="28.8" customHeight="1" x14ac:dyDescent="0.3">
      <c r="A35" s="210">
        <v>46181</v>
      </c>
      <c r="B35" s="210">
        <v>46190.31341949074</v>
      </c>
      <c r="C35" s="211" t="s">
        <v>253</v>
      </c>
      <c r="D35" s="211" t="s">
        <v>254</v>
      </c>
      <c r="E35" s="211" t="s">
        <v>255</v>
      </c>
      <c r="F35" s="211" t="s">
        <v>59</v>
      </c>
      <c r="G35" s="206">
        <v>55908.4</v>
      </c>
      <c r="H35" s="204" t="s">
        <v>60</v>
      </c>
      <c r="I35" s="204" t="s">
        <v>18</v>
      </c>
      <c r="J35" s="211" t="s">
        <v>31</v>
      </c>
      <c r="K35" s="205"/>
    </row>
    <row r="36" spans="1:11" x14ac:dyDescent="0.3">
      <c r="A36" s="210">
        <v>46149</v>
      </c>
      <c r="B36" s="210">
        <v>46190.31341949074</v>
      </c>
      <c r="C36" s="211" t="s">
        <v>128</v>
      </c>
      <c r="D36" s="211" t="s">
        <v>129</v>
      </c>
      <c r="E36" s="211" t="s">
        <v>75</v>
      </c>
      <c r="F36" s="211" t="s">
        <v>130</v>
      </c>
      <c r="G36" s="206">
        <v>24910.15</v>
      </c>
      <c r="H36" s="204" t="s">
        <v>60</v>
      </c>
      <c r="I36" s="204" t="s">
        <v>207</v>
      </c>
      <c r="J36" s="211" t="s">
        <v>37</v>
      </c>
      <c r="K36" s="205" t="s">
        <v>265</v>
      </c>
    </row>
    <row r="37" spans="1:11" ht="28.8" customHeight="1" x14ac:dyDescent="0.3">
      <c r="A37" s="210">
        <v>46167</v>
      </c>
      <c r="B37" s="210">
        <v>46190.31341949074</v>
      </c>
      <c r="C37" s="211" t="s">
        <v>171</v>
      </c>
      <c r="D37" s="211" t="s">
        <v>172</v>
      </c>
      <c r="E37" s="211" t="s">
        <v>173</v>
      </c>
      <c r="F37" s="211" t="s">
        <v>174</v>
      </c>
      <c r="G37" s="206">
        <v>25694.45</v>
      </c>
      <c r="H37" s="204" t="s">
        <v>60</v>
      </c>
      <c r="I37" s="204" t="s">
        <v>207</v>
      </c>
      <c r="J37" s="211" t="s">
        <v>31</v>
      </c>
      <c r="K37" s="205" t="s">
        <v>267</v>
      </c>
    </row>
    <row r="38" spans="1:11" ht="28.8" customHeight="1" x14ac:dyDescent="0.3">
      <c r="A38" s="210">
        <v>46178</v>
      </c>
      <c r="B38" s="210">
        <v>46190.31341949074</v>
      </c>
      <c r="C38" s="211" t="s">
        <v>232</v>
      </c>
      <c r="D38" s="211" t="s">
        <v>233</v>
      </c>
      <c r="E38" s="211" t="s">
        <v>234</v>
      </c>
      <c r="F38" s="211" t="s">
        <v>174</v>
      </c>
      <c r="G38" s="206">
        <v>11607.9</v>
      </c>
      <c r="H38" s="204" t="s">
        <v>60</v>
      </c>
      <c r="I38" s="204" t="s">
        <v>207</v>
      </c>
      <c r="J38" s="211" t="s">
        <v>31</v>
      </c>
      <c r="K38" s="205" t="s">
        <v>267</v>
      </c>
    </row>
    <row r="39" spans="1:11" ht="28.8" customHeight="1" x14ac:dyDescent="0.3">
      <c r="A39" s="210">
        <v>46181</v>
      </c>
      <c r="B39" s="210">
        <v>46190.31341949074</v>
      </c>
      <c r="C39" s="211" t="s">
        <v>244</v>
      </c>
      <c r="D39" s="211" t="s">
        <v>245</v>
      </c>
      <c r="E39" s="211" t="s">
        <v>246</v>
      </c>
      <c r="F39" s="211" t="s">
        <v>174</v>
      </c>
      <c r="G39" s="206">
        <v>19333.8</v>
      </c>
      <c r="H39" s="204" t="s">
        <v>60</v>
      </c>
      <c r="I39" s="204" t="s">
        <v>207</v>
      </c>
      <c r="J39" s="211" t="s">
        <v>31</v>
      </c>
      <c r="K39" s="205" t="s">
        <v>267</v>
      </c>
    </row>
    <row r="40" spans="1:11" x14ac:dyDescent="0.3">
      <c r="F40" s="207" t="s">
        <v>124</v>
      </c>
      <c r="G40" s="208">
        <f>SUM(G34:G39)</f>
        <v>149679.19999999998</v>
      </c>
    </row>
    <row r="42" spans="1:11" x14ac:dyDescent="0.3">
      <c r="F42" s="207" t="s">
        <v>125</v>
      </c>
      <c r="G42" s="208">
        <f>SUMIFS(G3:G26, I3:I26, "*Ready*Dispatch*")</f>
        <v>81546.3</v>
      </c>
    </row>
    <row r="43" spans="1:11" x14ac:dyDescent="0.3">
      <c r="A43" s="384" t="s">
        <v>181</v>
      </c>
      <c r="B43" s="367"/>
      <c r="C43" s="367"/>
      <c r="D43" s="367"/>
    </row>
    <row r="44" spans="1:11" x14ac:dyDescent="0.3">
      <c r="A44" s="384" t="s">
        <v>182</v>
      </c>
      <c r="B44" s="367"/>
      <c r="C44" s="367"/>
      <c r="D44" s="367"/>
    </row>
  </sheetData>
  <mergeCells count="3">
    <mergeCell ref="A1:D1"/>
    <mergeCell ref="A43:D43"/>
    <mergeCell ref="A44:D44"/>
  </mergeCells>
  <pageMargins left="0.25" right="0.25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48"/>
  <sheetViews>
    <sheetView zoomScale="70" zoomScaleNormal="70" workbookViewId="0">
      <pane xSplit="4" ySplit="2" topLeftCell="E3" activePane="bottomRight" state="frozen"/>
      <selection pane="topRight"/>
      <selection pane="bottomLeft"/>
      <selection pane="bottomRight" activeCell="Q3" sqref="Q3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8.88671875" bestFit="1" customWidth="1"/>
    <col min="9" max="9" width="15.21875" bestFit="1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212" t="s">
        <v>0</v>
      </c>
      <c r="K1" s="213">
        <f ca="1">TODAY()</f>
        <v>46211</v>
      </c>
    </row>
    <row r="2" spans="1:12" ht="43.2" customHeight="1" x14ac:dyDescent="0.3">
      <c r="A2" s="214" t="s">
        <v>1</v>
      </c>
      <c r="B2" s="214" t="s">
        <v>2</v>
      </c>
      <c r="C2" s="214" t="s">
        <v>3</v>
      </c>
      <c r="D2" s="214" t="s">
        <v>4</v>
      </c>
      <c r="E2" s="214" t="s">
        <v>5</v>
      </c>
      <c r="F2" s="214" t="s">
        <v>6</v>
      </c>
      <c r="G2" s="214" t="s">
        <v>7</v>
      </c>
      <c r="H2" s="214" t="s">
        <v>8</v>
      </c>
      <c r="I2" s="214" t="s">
        <v>9</v>
      </c>
      <c r="J2" s="214" t="s">
        <v>10</v>
      </c>
      <c r="K2" s="214" t="s">
        <v>11</v>
      </c>
      <c r="L2" s="214" t="s">
        <v>12</v>
      </c>
    </row>
    <row r="3" spans="1:12" ht="409.6" customHeight="1" x14ac:dyDescent="0.3">
      <c r="A3" s="215">
        <v>46142</v>
      </c>
      <c r="B3" s="215">
        <v>46191.593324155103</v>
      </c>
      <c r="C3" s="216" t="s">
        <v>13</v>
      </c>
      <c r="D3" s="216" t="s">
        <v>14</v>
      </c>
      <c r="E3" s="217" t="s">
        <v>15</v>
      </c>
      <c r="F3" s="217" t="s">
        <v>16</v>
      </c>
      <c r="G3" s="218">
        <v>251413.01</v>
      </c>
      <c r="H3" s="216" t="s">
        <v>17</v>
      </c>
      <c r="I3" s="216" t="s">
        <v>18</v>
      </c>
      <c r="J3" s="216" t="s">
        <v>19</v>
      </c>
      <c r="K3" s="217" t="s">
        <v>20</v>
      </c>
      <c r="L3" s="215">
        <f t="shared" ref="L3:L28" si="0">B3</f>
        <v>46191.593324155103</v>
      </c>
    </row>
    <row r="4" spans="1:12" x14ac:dyDescent="0.3">
      <c r="A4" s="215">
        <v>46176</v>
      </c>
      <c r="B4" s="215">
        <v>46191.593324155103</v>
      </c>
      <c r="C4" s="216" t="s">
        <v>221</v>
      </c>
      <c r="D4" s="216" t="s">
        <v>222</v>
      </c>
      <c r="E4" s="217" t="s">
        <v>223</v>
      </c>
      <c r="F4" s="217" t="s">
        <v>140</v>
      </c>
      <c r="G4" s="218">
        <v>12224.5</v>
      </c>
      <c r="H4" s="216" t="s">
        <v>17</v>
      </c>
      <c r="I4" s="216" t="s">
        <v>18</v>
      </c>
      <c r="J4" s="216" t="s">
        <v>37</v>
      </c>
      <c r="K4" s="217" t="s">
        <v>224</v>
      </c>
      <c r="L4" s="215">
        <f t="shared" si="0"/>
        <v>46191.593324155103</v>
      </c>
    </row>
    <row r="5" spans="1:12" ht="57.6" customHeight="1" x14ac:dyDescent="0.3">
      <c r="A5" s="215">
        <v>46190</v>
      </c>
      <c r="B5" s="215">
        <v>46191.593324155103</v>
      </c>
      <c r="C5" s="216" t="s">
        <v>294</v>
      </c>
      <c r="D5" s="216" t="s">
        <v>295</v>
      </c>
      <c r="E5" s="217" t="s">
        <v>296</v>
      </c>
      <c r="F5" s="217" t="s">
        <v>105</v>
      </c>
      <c r="G5" s="218">
        <v>35752.35</v>
      </c>
      <c r="H5" s="216" t="s">
        <v>30</v>
      </c>
      <c r="I5" s="216" t="s">
        <v>18</v>
      </c>
      <c r="J5" s="216" t="s">
        <v>37</v>
      </c>
      <c r="K5" s="217" t="s">
        <v>297</v>
      </c>
      <c r="L5" s="215">
        <f t="shared" si="0"/>
        <v>46191.593324155103</v>
      </c>
    </row>
    <row r="6" spans="1:12" ht="100.8" customHeight="1" x14ac:dyDescent="0.3">
      <c r="A6" s="215">
        <v>46190</v>
      </c>
      <c r="B6" s="215">
        <v>46191.593324155103</v>
      </c>
      <c r="C6" s="216" t="s">
        <v>298</v>
      </c>
      <c r="D6" s="216" t="s">
        <v>299</v>
      </c>
      <c r="E6" s="217" t="s">
        <v>300</v>
      </c>
      <c r="F6" s="217" t="s">
        <v>24</v>
      </c>
      <c r="G6" s="218">
        <v>52526.25</v>
      </c>
      <c r="H6" s="216" t="s">
        <v>17</v>
      </c>
      <c r="I6" s="216" t="s">
        <v>18</v>
      </c>
      <c r="J6" s="216" t="s">
        <v>31</v>
      </c>
      <c r="K6" s="217" t="s">
        <v>301</v>
      </c>
      <c r="L6" s="215">
        <f t="shared" si="0"/>
        <v>46191.593324155103</v>
      </c>
    </row>
    <row r="7" spans="1:12" ht="28.8" customHeight="1" x14ac:dyDescent="0.3">
      <c r="A7" s="215">
        <v>46167</v>
      </c>
      <c r="B7" s="215">
        <v>46191.593324155103</v>
      </c>
      <c r="C7" s="216" t="s">
        <v>171</v>
      </c>
      <c r="D7" s="216" t="s">
        <v>172</v>
      </c>
      <c r="E7" s="217" t="s">
        <v>173</v>
      </c>
      <c r="F7" s="217" t="s">
        <v>174</v>
      </c>
      <c r="G7" s="218">
        <v>25694.45</v>
      </c>
      <c r="H7" s="216" t="s">
        <v>60</v>
      </c>
      <c r="I7" s="216" t="s">
        <v>207</v>
      </c>
      <c r="J7" s="216" t="s">
        <v>31</v>
      </c>
      <c r="K7" s="217" t="s">
        <v>267</v>
      </c>
      <c r="L7" s="215">
        <f t="shared" si="0"/>
        <v>46191.593324155103</v>
      </c>
    </row>
    <row r="8" spans="1:12" ht="28.8" customHeight="1" x14ac:dyDescent="0.3">
      <c r="A8" s="215">
        <v>46178</v>
      </c>
      <c r="B8" s="215">
        <v>46191.593324155103</v>
      </c>
      <c r="C8" s="216" t="s">
        <v>232</v>
      </c>
      <c r="D8" s="216" t="s">
        <v>233</v>
      </c>
      <c r="E8" s="217" t="s">
        <v>234</v>
      </c>
      <c r="F8" s="217" t="s">
        <v>174</v>
      </c>
      <c r="G8" s="218">
        <v>11607.9</v>
      </c>
      <c r="H8" s="216" t="s">
        <v>60</v>
      </c>
      <c r="I8" s="216" t="s">
        <v>207</v>
      </c>
      <c r="J8" s="216" t="s">
        <v>31</v>
      </c>
      <c r="K8" s="217" t="s">
        <v>267</v>
      </c>
      <c r="L8" s="215">
        <f t="shared" si="0"/>
        <v>46191.593324155103</v>
      </c>
    </row>
    <row r="9" spans="1:12" ht="28.8" customHeight="1" x14ac:dyDescent="0.3">
      <c r="A9" s="215">
        <v>46181</v>
      </c>
      <c r="B9" s="215">
        <v>46191.593324155103</v>
      </c>
      <c r="C9" s="216" t="s">
        <v>244</v>
      </c>
      <c r="D9" s="216" t="s">
        <v>245</v>
      </c>
      <c r="E9" s="217" t="s">
        <v>246</v>
      </c>
      <c r="F9" s="217" t="s">
        <v>174</v>
      </c>
      <c r="G9" s="218">
        <v>19333.8</v>
      </c>
      <c r="H9" s="216" t="s">
        <v>60</v>
      </c>
      <c r="I9" s="216" t="s">
        <v>207</v>
      </c>
      <c r="J9" s="216" t="s">
        <v>31</v>
      </c>
      <c r="K9" s="217" t="s">
        <v>267</v>
      </c>
      <c r="L9" s="215">
        <f t="shared" si="0"/>
        <v>46191.593324155103</v>
      </c>
    </row>
    <row r="10" spans="1:12" x14ac:dyDescent="0.3">
      <c r="A10" s="223">
        <v>46174</v>
      </c>
      <c r="B10" s="223">
        <v>46192</v>
      </c>
      <c r="C10" s="224" t="s">
        <v>147</v>
      </c>
      <c r="D10" s="224" t="s">
        <v>148</v>
      </c>
      <c r="E10" s="225" t="s">
        <v>149</v>
      </c>
      <c r="F10" s="225" t="s">
        <v>150</v>
      </c>
      <c r="G10" s="226">
        <v>70994.559999999998</v>
      </c>
      <c r="H10" s="224" t="s">
        <v>30</v>
      </c>
      <c r="I10" s="224" t="s">
        <v>18</v>
      </c>
      <c r="J10" s="224" t="s">
        <v>31</v>
      </c>
      <c r="K10" s="225" t="s">
        <v>151</v>
      </c>
      <c r="L10" s="223">
        <f t="shared" si="0"/>
        <v>46192</v>
      </c>
    </row>
    <row r="11" spans="1:12" ht="57.6" customHeight="1" x14ac:dyDescent="0.3">
      <c r="A11" s="223">
        <v>46190</v>
      </c>
      <c r="B11" s="223">
        <v>46192</v>
      </c>
      <c r="C11" s="224" t="s">
        <v>302</v>
      </c>
      <c r="D11" s="224" t="s">
        <v>303</v>
      </c>
      <c r="E11" s="225" t="s">
        <v>302</v>
      </c>
      <c r="F11" s="225" t="s">
        <v>304</v>
      </c>
      <c r="G11" s="226">
        <v>13819.55</v>
      </c>
      <c r="H11" s="224" t="s">
        <v>17</v>
      </c>
      <c r="I11" s="224" t="s">
        <v>18</v>
      </c>
      <c r="J11" s="224" t="s">
        <v>37</v>
      </c>
      <c r="K11" s="225" t="s">
        <v>305</v>
      </c>
      <c r="L11" s="223">
        <f t="shared" si="0"/>
        <v>46192</v>
      </c>
    </row>
    <row r="12" spans="1:12" x14ac:dyDescent="0.3">
      <c r="A12" s="223">
        <v>46191</v>
      </c>
      <c r="B12" s="223">
        <v>46192</v>
      </c>
      <c r="C12" s="224" t="s">
        <v>306</v>
      </c>
      <c r="D12" s="224" t="s">
        <v>307</v>
      </c>
      <c r="E12" s="225" t="s">
        <v>308</v>
      </c>
      <c r="F12" s="225" t="s">
        <v>309</v>
      </c>
      <c r="G12" s="226">
        <v>10361.5</v>
      </c>
      <c r="H12" s="224" t="s">
        <v>310</v>
      </c>
      <c r="I12" s="224" t="s">
        <v>18</v>
      </c>
      <c r="J12" s="224" t="s">
        <v>31</v>
      </c>
      <c r="K12" s="225" t="s">
        <v>311</v>
      </c>
      <c r="L12" s="223">
        <f t="shared" si="0"/>
        <v>46192</v>
      </c>
    </row>
    <row r="13" spans="1:12" x14ac:dyDescent="0.3">
      <c r="A13" s="223">
        <v>46171</v>
      </c>
      <c r="B13" s="223">
        <v>46192</v>
      </c>
      <c r="C13" s="224" t="s">
        <v>176</v>
      </c>
      <c r="D13" s="224" t="s">
        <v>177</v>
      </c>
      <c r="E13" s="225" t="s">
        <v>178</v>
      </c>
      <c r="F13" s="225" t="s">
        <v>179</v>
      </c>
      <c r="G13" s="226">
        <v>13562.64</v>
      </c>
      <c r="H13" s="224" t="s">
        <v>30</v>
      </c>
      <c r="I13" s="224" t="s">
        <v>18</v>
      </c>
      <c r="J13" s="224" t="s">
        <v>31</v>
      </c>
      <c r="K13" s="225" t="s">
        <v>180</v>
      </c>
      <c r="L13" s="223">
        <f t="shared" si="0"/>
        <v>46192</v>
      </c>
    </row>
    <row r="14" spans="1:12" ht="28.8" customHeight="1" x14ac:dyDescent="0.3">
      <c r="A14" s="223">
        <v>46181</v>
      </c>
      <c r="B14" s="223">
        <v>46192</v>
      </c>
      <c r="C14" s="224" t="s">
        <v>257</v>
      </c>
      <c r="D14" s="224" t="s">
        <v>261</v>
      </c>
      <c r="E14" s="225" t="s">
        <v>262</v>
      </c>
      <c r="F14" s="225" t="s">
        <v>96</v>
      </c>
      <c r="G14" s="226">
        <v>187144</v>
      </c>
      <c r="H14" s="224" t="s">
        <v>97</v>
      </c>
      <c r="I14" s="224" t="s">
        <v>18</v>
      </c>
      <c r="J14" s="224" t="s">
        <v>31</v>
      </c>
      <c r="K14" s="225" t="s">
        <v>263</v>
      </c>
      <c r="L14" s="223">
        <f t="shared" si="0"/>
        <v>46192</v>
      </c>
    </row>
    <row r="15" spans="1:12" x14ac:dyDescent="0.3">
      <c r="A15" s="223">
        <v>46182</v>
      </c>
      <c r="B15" s="223">
        <v>46199</v>
      </c>
      <c r="C15" s="224" t="s">
        <v>26</v>
      </c>
      <c r="D15" s="224" t="s">
        <v>27</v>
      </c>
      <c r="E15" s="225" t="s">
        <v>28</v>
      </c>
      <c r="F15" s="225" t="s">
        <v>29</v>
      </c>
      <c r="G15" s="226">
        <v>62080.45</v>
      </c>
      <c r="H15" s="224" t="s">
        <v>30</v>
      </c>
      <c r="I15" s="224" t="s">
        <v>18</v>
      </c>
      <c r="J15" s="224" t="s">
        <v>31</v>
      </c>
      <c r="K15" s="225" t="s">
        <v>32</v>
      </c>
      <c r="L15" s="223">
        <f t="shared" si="0"/>
        <v>46199</v>
      </c>
    </row>
    <row r="16" spans="1:12" ht="57.6" customHeight="1" x14ac:dyDescent="0.3">
      <c r="A16" s="223">
        <v>46190</v>
      </c>
      <c r="B16" s="223">
        <v>46199</v>
      </c>
      <c r="C16" s="224" t="s">
        <v>99</v>
      </c>
      <c r="D16" s="224" t="s">
        <v>100</v>
      </c>
      <c r="E16" s="225" t="s">
        <v>101</v>
      </c>
      <c r="F16" s="225" t="s">
        <v>24</v>
      </c>
      <c r="G16" s="226">
        <v>149545.07999999999</v>
      </c>
      <c r="H16" s="224" t="s">
        <v>17</v>
      </c>
      <c r="I16" s="224" t="s">
        <v>18</v>
      </c>
      <c r="J16" s="224" t="s">
        <v>31</v>
      </c>
      <c r="K16" s="225" t="s">
        <v>102</v>
      </c>
      <c r="L16" s="223">
        <f t="shared" si="0"/>
        <v>46199</v>
      </c>
    </row>
    <row r="17" spans="1:12" ht="28.8" customHeight="1" x14ac:dyDescent="0.3">
      <c r="A17" s="223">
        <v>46112</v>
      </c>
      <c r="B17" s="223">
        <v>46202</v>
      </c>
      <c r="C17" s="224" t="s">
        <v>157</v>
      </c>
      <c r="D17" s="224" t="s">
        <v>158</v>
      </c>
      <c r="E17" s="225" t="s">
        <v>159</v>
      </c>
      <c r="F17" s="225" t="s">
        <v>96</v>
      </c>
      <c r="G17" s="226">
        <v>103711</v>
      </c>
      <c r="H17" s="224" t="s">
        <v>60</v>
      </c>
      <c r="I17" s="224" t="s">
        <v>18</v>
      </c>
      <c r="J17" s="224" t="s">
        <v>31</v>
      </c>
      <c r="K17" s="225" t="s">
        <v>160</v>
      </c>
      <c r="L17" s="223">
        <f t="shared" si="0"/>
        <v>46202</v>
      </c>
    </row>
    <row r="18" spans="1:12" x14ac:dyDescent="0.3">
      <c r="A18" s="219">
        <v>46111</v>
      </c>
      <c r="B18" s="219">
        <v>46203</v>
      </c>
      <c r="C18" s="220" t="s">
        <v>166</v>
      </c>
      <c r="D18" s="220" t="s">
        <v>167</v>
      </c>
      <c r="E18" s="221" t="s">
        <v>168</v>
      </c>
      <c r="F18" s="221" t="s">
        <v>169</v>
      </c>
      <c r="G18" s="222">
        <v>169353.60000000001</v>
      </c>
      <c r="H18" s="220" t="s">
        <v>30</v>
      </c>
      <c r="I18" s="220" t="s">
        <v>21</v>
      </c>
      <c r="J18" s="220"/>
      <c r="K18" s="221" t="s">
        <v>170</v>
      </c>
      <c r="L18" s="219">
        <f t="shared" si="0"/>
        <v>46203</v>
      </c>
    </row>
    <row r="19" spans="1:12" ht="158.4" customHeight="1" x14ac:dyDescent="0.3">
      <c r="A19" s="219">
        <v>46128</v>
      </c>
      <c r="B19" s="219">
        <v>46203</v>
      </c>
      <c r="C19" s="220" t="s">
        <v>21</v>
      </c>
      <c r="D19" s="220" t="s">
        <v>103</v>
      </c>
      <c r="E19" s="221" t="s">
        <v>104</v>
      </c>
      <c r="F19" s="221" t="s">
        <v>105</v>
      </c>
      <c r="G19" s="222">
        <v>82900.05</v>
      </c>
      <c r="H19" s="220" t="s">
        <v>30</v>
      </c>
      <c r="I19" s="220" t="s">
        <v>21</v>
      </c>
      <c r="J19" s="220"/>
      <c r="K19" s="221" t="s">
        <v>106</v>
      </c>
      <c r="L19" s="219">
        <f t="shared" si="0"/>
        <v>46203</v>
      </c>
    </row>
    <row r="20" spans="1:12" ht="86.4" customHeight="1" x14ac:dyDescent="0.3">
      <c r="A20" s="219">
        <v>46142</v>
      </c>
      <c r="B20" s="219">
        <v>46203</v>
      </c>
      <c r="C20" s="220" t="s">
        <v>107</v>
      </c>
      <c r="D20" s="220" t="s">
        <v>108</v>
      </c>
      <c r="E20" s="221" t="s">
        <v>109</v>
      </c>
      <c r="F20" s="221" t="s">
        <v>110</v>
      </c>
      <c r="G20" s="222">
        <v>310411</v>
      </c>
      <c r="H20" s="220" t="s">
        <v>111</v>
      </c>
      <c r="I20" s="220" t="s">
        <v>21</v>
      </c>
      <c r="J20" s="220"/>
      <c r="K20" s="221" t="s">
        <v>112</v>
      </c>
      <c r="L20" s="219">
        <f t="shared" si="0"/>
        <v>46203</v>
      </c>
    </row>
    <row r="21" spans="1:12" ht="28.8" customHeight="1" x14ac:dyDescent="0.3">
      <c r="A21" s="219">
        <v>46142</v>
      </c>
      <c r="B21" s="219">
        <v>46203</v>
      </c>
      <c r="C21" s="220" t="s">
        <v>21</v>
      </c>
      <c r="D21" s="220" t="s">
        <v>113</v>
      </c>
      <c r="E21" s="221" t="s">
        <v>114</v>
      </c>
      <c r="F21" s="221" t="s">
        <v>115</v>
      </c>
      <c r="G21" s="222">
        <v>204447</v>
      </c>
      <c r="H21" s="220" t="s">
        <v>17</v>
      </c>
      <c r="I21" s="220" t="s">
        <v>21</v>
      </c>
      <c r="J21" s="220"/>
      <c r="K21" s="221" t="s">
        <v>116</v>
      </c>
      <c r="L21" s="219">
        <f t="shared" si="0"/>
        <v>46203</v>
      </c>
    </row>
    <row r="22" spans="1:12" ht="43.2" customHeight="1" x14ac:dyDescent="0.3">
      <c r="A22" s="219">
        <v>46188</v>
      </c>
      <c r="B22" s="219">
        <v>46203</v>
      </c>
      <c r="C22" s="220" t="s">
        <v>21</v>
      </c>
      <c r="D22" s="220" t="s">
        <v>290</v>
      </c>
      <c r="E22" s="221" t="s">
        <v>291</v>
      </c>
      <c r="F22" s="221" t="s">
        <v>292</v>
      </c>
      <c r="G22" s="222">
        <v>66649.399999999994</v>
      </c>
      <c r="H22" s="220" t="s">
        <v>17</v>
      </c>
      <c r="I22" s="220" t="s">
        <v>21</v>
      </c>
      <c r="J22" s="220"/>
      <c r="K22" s="221" t="s">
        <v>293</v>
      </c>
      <c r="L22" s="219">
        <f t="shared" si="0"/>
        <v>46203</v>
      </c>
    </row>
    <row r="23" spans="1:12" x14ac:dyDescent="0.3">
      <c r="A23" s="219">
        <v>46190</v>
      </c>
      <c r="B23" s="219">
        <v>46206</v>
      </c>
      <c r="C23" s="220" t="s">
        <v>51</v>
      </c>
      <c r="D23" s="220" t="s">
        <v>52</v>
      </c>
      <c r="E23" s="221" t="s">
        <v>53</v>
      </c>
      <c r="F23" s="221" t="s">
        <v>54</v>
      </c>
      <c r="G23" s="222">
        <v>22505.72</v>
      </c>
      <c r="H23" s="220" t="s">
        <v>30</v>
      </c>
      <c r="I23" s="220" t="s">
        <v>21</v>
      </c>
      <c r="J23" s="220"/>
      <c r="K23" s="221" t="s">
        <v>55</v>
      </c>
      <c r="L23" s="219">
        <f t="shared" si="0"/>
        <v>46206</v>
      </c>
    </row>
    <row r="24" spans="1:12" ht="28.8" customHeight="1" x14ac:dyDescent="0.3">
      <c r="A24" s="223">
        <v>46185</v>
      </c>
      <c r="B24" s="223">
        <v>46213</v>
      </c>
      <c r="C24" s="224" t="s">
        <v>62</v>
      </c>
      <c r="D24" s="224" t="s">
        <v>63</v>
      </c>
      <c r="E24" s="225" t="s">
        <v>64</v>
      </c>
      <c r="F24" s="225" t="s">
        <v>65</v>
      </c>
      <c r="G24" s="226">
        <v>109947.56</v>
      </c>
      <c r="H24" s="224" t="s">
        <v>60</v>
      </c>
      <c r="I24" s="224" t="s">
        <v>18</v>
      </c>
      <c r="J24" s="224" t="s">
        <v>37</v>
      </c>
      <c r="K24" s="225" t="s">
        <v>66</v>
      </c>
      <c r="L24" s="223">
        <f t="shared" si="0"/>
        <v>46213</v>
      </c>
    </row>
    <row r="25" spans="1:12" x14ac:dyDescent="0.3">
      <c r="A25" s="223">
        <v>46171</v>
      </c>
      <c r="B25" s="223">
        <v>46227</v>
      </c>
      <c r="C25" s="224" t="s">
        <v>84</v>
      </c>
      <c r="D25" s="224" t="s">
        <v>85</v>
      </c>
      <c r="E25" s="225" t="s">
        <v>86</v>
      </c>
      <c r="F25" s="225" t="s">
        <v>87</v>
      </c>
      <c r="G25" s="226">
        <v>18400</v>
      </c>
      <c r="H25" s="224" t="s">
        <v>30</v>
      </c>
      <c r="I25" s="224" t="s">
        <v>18</v>
      </c>
      <c r="J25" s="224" t="s">
        <v>31</v>
      </c>
      <c r="K25" s="225" t="s">
        <v>88</v>
      </c>
      <c r="L25" s="223">
        <f t="shared" si="0"/>
        <v>46227</v>
      </c>
    </row>
    <row r="26" spans="1:12" x14ac:dyDescent="0.3">
      <c r="A26" s="219">
        <v>46170</v>
      </c>
      <c r="B26" s="219">
        <v>46227</v>
      </c>
      <c r="C26" s="220" t="s">
        <v>21</v>
      </c>
      <c r="D26" s="220" t="s">
        <v>89</v>
      </c>
      <c r="E26" s="221" t="s">
        <v>90</v>
      </c>
      <c r="F26" s="221" t="s">
        <v>91</v>
      </c>
      <c r="G26" s="222">
        <v>1860403.01</v>
      </c>
      <c r="H26" s="220" t="s">
        <v>30</v>
      </c>
      <c r="I26" s="220" t="s">
        <v>21</v>
      </c>
      <c r="J26" s="220"/>
      <c r="K26" s="221" t="s">
        <v>92</v>
      </c>
      <c r="L26" s="219">
        <f t="shared" si="0"/>
        <v>46227</v>
      </c>
    </row>
    <row r="27" spans="1:12" ht="28.8" customHeight="1" x14ac:dyDescent="0.3">
      <c r="A27" s="223">
        <v>46155</v>
      </c>
      <c r="B27" s="223">
        <v>46233</v>
      </c>
      <c r="C27" s="224" t="s">
        <v>93</v>
      </c>
      <c r="D27" s="224" t="s">
        <v>94</v>
      </c>
      <c r="E27" s="225" t="s">
        <v>95</v>
      </c>
      <c r="F27" s="225" t="s">
        <v>96</v>
      </c>
      <c r="G27" s="226">
        <v>523356</v>
      </c>
      <c r="H27" s="224" t="s">
        <v>97</v>
      </c>
      <c r="I27" s="224" t="s">
        <v>18</v>
      </c>
      <c r="J27" s="224" t="s">
        <v>31</v>
      </c>
      <c r="K27" s="225" t="s">
        <v>98</v>
      </c>
      <c r="L27" s="223">
        <f t="shared" si="0"/>
        <v>46233</v>
      </c>
    </row>
    <row r="28" spans="1:12" ht="28.8" customHeight="1" x14ac:dyDescent="0.3">
      <c r="A28" s="223">
        <v>46167</v>
      </c>
      <c r="B28" s="223">
        <v>46233</v>
      </c>
      <c r="C28" s="224" t="s">
        <v>56</v>
      </c>
      <c r="D28" s="224" t="s">
        <v>57</v>
      </c>
      <c r="E28" s="225" t="s">
        <v>58</v>
      </c>
      <c r="F28" s="225" t="s">
        <v>59</v>
      </c>
      <c r="G28" s="226">
        <v>220505.60000000001</v>
      </c>
      <c r="H28" s="224" t="s">
        <v>60</v>
      </c>
      <c r="I28" s="224" t="s">
        <v>18</v>
      </c>
      <c r="J28" s="224" t="s">
        <v>31</v>
      </c>
      <c r="K28" s="225" t="s">
        <v>61</v>
      </c>
      <c r="L28" s="223">
        <f t="shared" si="0"/>
        <v>46233</v>
      </c>
    </row>
    <row r="29" spans="1:12" x14ac:dyDescent="0.3">
      <c r="F29" s="227" t="s">
        <v>117</v>
      </c>
      <c r="G29" s="228">
        <f>SUMIF(I3:I28,"&lt;&gt;Pending",G3:G28)</f>
        <v>1891980.2</v>
      </c>
    </row>
    <row r="31" spans="1:12" x14ac:dyDescent="0.3">
      <c r="F31" s="229" t="s">
        <v>118</v>
      </c>
    </row>
    <row r="32" spans="1:12" x14ac:dyDescent="0.3">
      <c r="F32" t="s">
        <v>119</v>
      </c>
      <c r="G32" s="18">
        <f ca="1">SUMIFS(G3:G28, J3:J28, "*CASH SALE*", L3:L28, "&gt;="&amp;EOMONTH(TODAY(),-1)+1, L3:L28, "&lt;="&amp;EOMONTH(TODAY(),0), I3:I28, "&lt;&gt;Pending")</f>
        <v>109947.56</v>
      </c>
      <c r="I32" t="s">
        <v>120</v>
      </c>
      <c r="J32" s="18">
        <f ca="1">SUMIFS(G3:G28, J3:J28, "*CASH SALE*", L3:L28, "&gt;="&amp;EOMONTH(TODAY(),0)+1, L3:L28, "&lt;="&amp;EOMONTH(TODAY(),1), I3:I28, "&lt;&gt;Pending")</f>
        <v>0</v>
      </c>
    </row>
    <row r="33" spans="1:11" x14ac:dyDescent="0.3">
      <c r="F33" t="s">
        <v>121</v>
      </c>
      <c r="G33" s="18">
        <f ca="1">SUMIFS(G3:G28, J3:J28, "*ACCOUNT*", L3:L28, "&gt;="&amp;EOMONTH(TODAY(),-1)+1, L3:L28, "&lt;="&amp;EOMONTH(TODAY(),0), I3:I28, "&lt;&gt;Pending")</f>
        <v>762261.6</v>
      </c>
      <c r="I33" t="s">
        <v>122</v>
      </c>
      <c r="J33" s="18">
        <f ca="1">SUMIFS(G3:G28, J3:J28, "*ACCOUNT*", L3:L28, "&gt;="&amp;EOMONTH(TODAY(),0)+1, L3:L28, "&lt;="&amp;EOMONTH(TODAY(),1), I3:I28, "&lt;&gt;Pending")</f>
        <v>0</v>
      </c>
    </row>
    <row r="36" spans="1:11" ht="28.8" customHeight="1" x14ac:dyDescent="0.3">
      <c r="A36" s="214" t="s">
        <v>1</v>
      </c>
      <c r="B36" s="214" t="s">
        <v>2</v>
      </c>
      <c r="C36" s="214" t="s">
        <v>3</v>
      </c>
      <c r="D36" s="214" t="s">
        <v>4</v>
      </c>
      <c r="E36" s="214" t="s">
        <v>5</v>
      </c>
      <c r="F36" s="214" t="s">
        <v>6</v>
      </c>
      <c r="G36" s="214" t="s">
        <v>7</v>
      </c>
      <c r="H36" s="214" t="s">
        <v>8</v>
      </c>
      <c r="I36" s="214" t="s">
        <v>9</v>
      </c>
      <c r="J36" s="214" t="s">
        <v>10</v>
      </c>
      <c r="K36" s="214" t="s">
        <v>123</v>
      </c>
    </row>
    <row r="37" spans="1:11" x14ac:dyDescent="0.3">
      <c r="A37" s="230">
        <v>46142</v>
      </c>
      <c r="B37" s="230">
        <v>46191.593324155103</v>
      </c>
      <c r="C37" s="231" t="s">
        <v>13</v>
      </c>
      <c r="D37" s="231" t="s">
        <v>14</v>
      </c>
      <c r="E37" s="231" t="s">
        <v>15</v>
      </c>
      <c r="F37" s="231" t="s">
        <v>16</v>
      </c>
      <c r="G37" s="226">
        <v>251413.01</v>
      </c>
      <c r="H37" s="231" t="s">
        <v>17</v>
      </c>
      <c r="I37" s="231" t="s">
        <v>18</v>
      </c>
      <c r="J37" s="231" t="s">
        <v>19</v>
      </c>
      <c r="K37" s="225"/>
    </row>
    <row r="38" spans="1:11" x14ac:dyDescent="0.3">
      <c r="A38" s="230">
        <v>46176</v>
      </c>
      <c r="B38" s="230">
        <v>46191.593324155103</v>
      </c>
      <c r="C38" s="231" t="s">
        <v>221</v>
      </c>
      <c r="D38" s="231" t="s">
        <v>222</v>
      </c>
      <c r="E38" s="231" t="s">
        <v>223</v>
      </c>
      <c r="F38" s="231" t="s">
        <v>140</v>
      </c>
      <c r="G38" s="226">
        <v>12224.5</v>
      </c>
      <c r="H38" s="231" t="s">
        <v>17</v>
      </c>
      <c r="I38" s="231" t="s">
        <v>18</v>
      </c>
      <c r="J38" s="231" t="s">
        <v>37</v>
      </c>
      <c r="K38" s="225"/>
    </row>
    <row r="39" spans="1:11" ht="28.8" customHeight="1" x14ac:dyDescent="0.3">
      <c r="A39" s="230">
        <v>46190</v>
      </c>
      <c r="B39" s="230">
        <v>46191.593324155103</v>
      </c>
      <c r="C39" s="231" t="s">
        <v>294</v>
      </c>
      <c r="D39" s="231" t="s">
        <v>295</v>
      </c>
      <c r="E39" s="231" t="s">
        <v>296</v>
      </c>
      <c r="F39" s="231" t="s">
        <v>105</v>
      </c>
      <c r="G39" s="226">
        <v>35752.35</v>
      </c>
      <c r="H39" s="231" t="s">
        <v>30</v>
      </c>
      <c r="I39" s="231" t="s">
        <v>18</v>
      </c>
      <c r="J39" s="231" t="s">
        <v>37</v>
      </c>
      <c r="K39" s="225"/>
    </row>
    <row r="40" spans="1:11" ht="43.2" customHeight="1" x14ac:dyDescent="0.3">
      <c r="A40" s="230">
        <v>46190</v>
      </c>
      <c r="B40" s="230">
        <v>46191.593324155103</v>
      </c>
      <c r="C40" s="231" t="s">
        <v>298</v>
      </c>
      <c r="D40" s="231" t="s">
        <v>299</v>
      </c>
      <c r="E40" s="231" t="s">
        <v>300</v>
      </c>
      <c r="F40" s="231" t="s">
        <v>24</v>
      </c>
      <c r="G40" s="226">
        <v>52526.25</v>
      </c>
      <c r="H40" s="231" t="s">
        <v>17</v>
      </c>
      <c r="I40" s="231" t="s">
        <v>18</v>
      </c>
      <c r="J40" s="231" t="s">
        <v>31</v>
      </c>
      <c r="K40" s="225"/>
    </row>
    <row r="41" spans="1:11" ht="28.8" customHeight="1" x14ac:dyDescent="0.3">
      <c r="A41" s="230">
        <v>46167</v>
      </c>
      <c r="B41" s="230">
        <v>46191.593324155103</v>
      </c>
      <c r="C41" s="231" t="s">
        <v>171</v>
      </c>
      <c r="D41" s="231" t="s">
        <v>172</v>
      </c>
      <c r="E41" s="231" t="s">
        <v>173</v>
      </c>
      <c r="F41" s="231" t="s">
        <v>174</v>
      </c>
      <c r="G41" s="226">
        <v>25694.45</v>
      </c>
      <c r="H41" s="231" t="s">
        <v>60</v>
      </c>
      <c r="I41" s="231" t="s">
        <v>207</v>
      </c>
      <c r="J41" s="231" t="s">
        <v>31</v>
      </c>
      <c r="K41" s="225" t="s">
        <v>267</v>
      </c>
    </row>
    <row r="42" spans="1:11" ht="28.8" customHeight="1" x14ac:dyDescent="0.3">
      <c r="A42" s="230">
        <v>46178</v>
      </c>
      <c r="B42" s="230">
        <v>46191.593324155103</v>
      </c>
      <c r="C42" s="231" t="s">
        <v>232</v>
      </c>
      <c r="D42" s="231" t="s">
        <v>233</v>
      </c>
      <c r="E42" s="231" t="s">
        <v>234</v>
      </c>
      <c r="F42" s="231" t="s">
        <v>174</v>
      </c>
      <c r="G42" s="226">
        <v>11607.9</v>
      </c>
      <c r="H42" s="231" t="s">
        <v>60</v>
      </c>
      <c r="I42" s="231" t="s">
        <v>207</v>
      </c>
      <c r="J42" s="231" t="s">
        <v>31</v>
      </c>
      <c r="K42" s="225" t="s">
        <v>267</v>
      </c>
    </row>
    <row r="43" spans="1:11" ht="28.8" customHeight="1" x14ac:dyDescent="0.3">
      <c r="A43" s="230">
        <v>46181</v>
      </c>
      <c r="B43" s="230">
        <v>46191.593324155103</v>
      </c>
      <c r="C43" s="231" t="s">
        <v>244</v>
      </c>
      <c r="D43" s="231" t="s">
        <v>245</v>
      </c>
      <c r="E43" s="231" t="s">
        <v>246</v>
      </c>
      <c r="F43" s="231" t="s">
        <v>174</v>
      </c>
      <c r="G43" s="226">
        <v>19333.8</v>
      </c>
      <c r="H43" s="231" t="s">
        <v>60</v>
      </c>
      <c r="I43" s="231" t="s">
        <v>207</v>
      </c>
      <c r="J43" s="231" t="s">
        <v>31</v>
      </c>
      <c r="K43" s="225" t="s">
        <v>267</v>
      </c>
    </row>
    <row r="44" spans="1:11" x14ac:dyDescent="0.3">
      <c r="F44" s="227" t="s">
        <v>124</v>
      </c>
      <c r="G44" s="228">
        <f>SUM(G37:G43)</f>
        <v>408552.26</v>
      </c>
    </row>
    <row r="46" spans="1:11" x14ac:dyDescent="0.3">
      <c r="F46" s="227" t="s">
        <v>125</v>
      </c>
      <c r="G46" s="228">
        <f>SUMIFS(G3:G28, I3:I28, "*Ready*Dispatch*")</f>
        <v>56636.149999999994</v>
      </c>
    </row>
    <row r="47" spans="1:11" x14ac:dyDescent="0.3">
      <c r="A47" s="232" t="s">
        <v>270</v>
      </c>
    </row>
    <row r="48" spans="1:11" x14ac:dyDescent="0.3">
      <c r="A48" s="232" t="s">
        <v>182</v>
      </c>
    </row>
  </sheetData>
  <pageMargins left="0.25" right="0.25" top="0.75" bottom="0.75" header="0.3" footer="0.3"/>
  <pageSetup scale="45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49"/>
  <sheetViews>
    <sheetView zoomScale="80" zoomScaleNormal="80" workbookViewId="0">
      <pane xSplit="4" ySplit="2" topLeftCell="E3" activePane="bottomRight" state="frozen"/>
      <selection pane="topRight"/>
      <selection pane="bottomLeft"/>
      <selection pane="bottomRight" activeCell="A43" sqref="A43:XFD43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233" t="s">
        <v>0</v>
      </c>
      <c r="K1" s="234">
        <f ca="1">TODAY()</f>
        <v>46211</v>
      </c>
    </row>
    <row r="2" spans="1:12" ht="43.2" customHeight="1" x14ac:dyDescent="0.3">
      <c r="A2" s="235" t="s">
        <v>1</v>
      </c>
      <c r="B2" s="235" t="s">
        <v>2</v>
      </c>
      <c r="C2" s="235" t="s">
        <v>3</v>
      </c>
      <c r="D2" s="235" t="s">
        <v>4</v>
      </c>
      <c r="E2" s="235" t="s">
        <v>5</v>
      </c>
      <c r="F2" s="235" t="s">
        <v>6</v>
      </c>
      <c r="G2" s="235" t="s">
        <v>7</v>
      </c>
      <c r="H2" s="235" t="s">
        <v>8</v>
      </c>
      <c r="I2" s="235" t="s">
        <v>9</v>
      </c>
      <c r="J2" s="235" t="s">
        <v>10</v>
      </c>
      <c r="K2" s="235" t="s">
        <v>11</v>
      </c>
      <c r="L2" s="235" t="s">
        <v>12</v>
      </c>
    </row>
    <row r="3" spans="1:12" ht="409.6" customHeight="1" x14ac:dyDescent="0.3">
      <c r="A3" s="236">
        <v>46142</v>
      </c>
      <c r="B3" s="236">
        <v>46192.350472268517</v>
      </c>
      <c r="C3" s="237" t="s">
        <v>13</v>
      </c>
      <c r="D3" s="237" t="s">
        <v>14</v>
      </c>
      <c r="E3" s="238" t="s">
        <v>15</v>
      </c>
      <c r="F3" s="238" t="s">
        <v>16</v>
      </c>
      <c r="G3" s="239">
        <v>251413.01</v>
      </c>
      <c r="H3" s="237" t="s">
        <v>17</v>
      </c>
      <c r="I3" s="237" t="s">
        <v>18</v>
      </c>
      <c r="J3" s="237" t="s">
        <v>19</v>
      </c>
      <c r="K3" s="238" t="s">
        <v>20</v>
      </c>
      <c r="L3" s="236">
        <f t="shared" ref="L3:L27" si="0">B3</f>
        <v>46192.350472268517</v>
      </c>
    </row>
    <row r="4" spans="1:12" x14ac:dyDescent="0.3">
      <c r="A4" s="236">
        <v>46174</v>
      </c>
      <c r="B4" s="236">
        <v>46192.350472268517</v>
      </c>
      <c r="C4" s="237" t="s">
        <v>147</v>
      </c>
      <c r="D4" s="237" t="s">
        <v>148</v>
      </c>
      <c r="E4" s="238" t="s">
        <v>149</v>
      </c>
      <c r="F4" s="238" t="s">
        <v>150</v>
      </c>
      <c r="G4" s="239">
        <v>70994.559999999998</v>
      </c>
      <c r="H4" s="237" t="s">
        <v>30</v>
      </c>
      <c r="I4" s="237" t="s">
        <v>18</v>
      </c>
      <c r="J4" s="237" t="s">
        <v>31</v>
      </c>
      <c r="K4" s="238" t="s">
        <v>151</v>
      </c>
      <c r="L4" s="236">
        <f t="shared" si="0"/>
        <v>46192.350472268517</v>
      </c>
    </row>
    <row r="5" spans="1:12" x14ac:dyDescent="0.3">
      <c r="A5" s="236">
        <v>46176</v>
      </c>
      <c r="B5" s="236">
        <v>46192.350472268517</v>
      </c>
      <c r="C5" s="237" t="s">
        <v>221</v>
      </c>
      <c r="D5" s="237" t="s">
        <v>222</v>
      </c>
      <c r="E5" s="238" t="s">
        <v>223</v>
      </c>
      <c r="F5" s="238" t="s">
        <v>140</v>
      </c>
      <c r="G5" s="239">
        <v>12224.5</v>
      </c>
      <c r="H5" s="237" t="s">
        <v>17</v>
      </c>
      <c r="I5" s="237" t="s">
        <v>18</v>
      </c>
      <c r="J5" s="237" t="s">
        <v>37</v>
      </c>
      <c r="K5" s="238" t="s">
        <v>224</v>
      </c>
      <c r="L5" s="236">
        <f t="shared" si="0"/>
        <v>46192.350472268517</v>
      </c>
    </row>
    <row r="6" spans="1:12" ht="57.6" customHeight="1" x14ac:dyDescent="0.3">
      <c r="A6" s="236">
        <v>46190</v>
      </c>
      <c r="B6" s="236">
        <v>46192.350472268517</v>
      </c>
      <c r="C6" s="237" t="s">
        <v>302</v>
      </c>
      <c r="D6" s="237" t="s">
        <v>303</v>
      </c>
      <c r="E6" s="238" t="s">
        <v>302</v>
      </c>
      <c r="F6" s="238" t="s">
        <v>304</v>
      </c>
      <c r="G6" s="239">
        <v>13819.55</v>
      </c>
      <c r="H6" s="237" t="s">
        <v>17</v>
      </c>
      <c r="I6" s="237" t="s">
        <v>18</v>
      </c>
      <c r="J6" s="237" t="s">
        <v>37</v>
      </c>
      <c r="K6" s="238" t="s">
        <v>305</v>
      </c>
      <c r="L6" s="236">
        <f t="shared" si="0"/>
        <v>46192.350472268517</v>
      </c>
    </row>
    <row r="7" spans="1:12" ht="57.6" customHeight="1" x14ac:dyDescent="0.3">
      <c r="A7" s="236">
        <v>46190</v>
      </c>
      <c r="B7" s="236">
        <v>46192.350472268517</v>
      </c>
      <c r="C7" s="237" t="s">
        <v>294</v>
      </c>
      <c r="D7" s="237" t="s">
        <v>295</v>
      </c>
      <c r="E7" s="238" t="s">
        <v>296</v>
      </c>
      <c r="F7" s="238" t="s">
        <v>105</v>
      </c>
      <c r="G7" s="239">
        <v>35752.35</v>
      </c>
      <c r="H7" s="237" t="s">
        <v>30</v>
      </c>
      <c r="I7" s="237" t="s">
        <v>18</v>
      </c>
      <c r="J7" s="237" t="s">
        <v>37</v>
      </c>
      <c r="K7" s="238" t="s">
        <v>297</v>
      </c>
      <c r="L7" s="236">
        <f t="shared" si="0"/>
        <v>46192.350472268517</v>
      </c>
    </row>
    <row r="8" spans="1:12" ht="100.8" customHeight="1" x14ac:dyDescent="0.3">
      <c r="A8" s="236">
        <v>46190</v>
      </c>
      <c r="B8" s="236">
        <v>46192.350472268517</v>
      </c>
      <c r="C8" s="237" t="s">
        <v>298</v>
      </c>
      <c r="D8" s="237" t="s">
        <v>299</v>
      </c>
      <c r="E8" s="238" t="s">
        <v>300</v>
      </c>
      <c r="F8" s="238" t="s">
        <v>24</v>
      </c>
      <c r="G8" s="239">
        <v>52526.25</v>
      </c>
      <c r="H8" s="237" t="s">
        <v>17</v>
      </c>
      <c r="I8" s="237" t="s">
        <v>18</v>
      </c>
      <c r="J8" s="237" t="s">
        <v>31</v>
      </c>
      <c r="K8" s="238" t="s">
        <v>301</v>
      </c>
      <c r="L8" s="236">
        <f t="shared" si="0"/>
        <v>46192.350472268517</v>
      </c>
    </row>
    <row r="9" spans="1:12" x14ac:dyDescent="0.3">
      <c r="A9" s="236">
        <v>46191</v>
      </c>
      <c r="B9" s="236">
        <v>46192.350472268517</v>
      </c>
      <c r="C9" s="237" t="s">
        <v>306</v>
      </c>
      <c r="D9" s="237" t="s">
        <v>307</v>
      </c>
      <c r="E9" s="238" t="s">
        <v>308</v>
      </c>
      <c r="F9" s="238" t="s">
        <v>309</v>
      </c>
      <c r="G9" s="239">
        <v>10361.5</v>
      </c>
      <c r="H9" s="237" t="s">
        <v>310</v>
      </c>
      <c r="I9" s="237" t="s">
        <v>18</v>
      </c>
      <c r="J9" s="237" t="s">
        <v>31</v>
      </c>
      <c r="K9" s="238" t="s">
        <v>311</v>
      </c>
      <c r="L9" s="236">
        <f t="shared" si="0"/>
        <v>46192.350472268517</v>
      </c>
    </row>
    <row r="10" spans="1:12" ht="28.8" customHeight="1" x14ac:dyDescent="0.3">
      <c r="A10" s="240">
        <v>46142</v>
      </c>
      <c r="B10" s="240">
        <v>46192.350472268517</v>
      </c>
      <c r="C10" s="241" t="s">
        <v>21</v>
      </c>
      <c r="D10" s="241" t="s">
        <v>22</v>
      </c>
      <c r="E10" s="242" t="s">
        <v>23</v>
      </c>
      <c r="F10" s="242" t="s">
        <v>24</v>
      </c>
      <c r="G10" s="243">
        <v>426010.6</v>
      </c>
      <c r="H10" s="241" t="s">
        <v>17</v>
      </c>
      <c r="I10" s="241" t="s">
        <v>21</v>
      </c>
      <c r="J10" s="241"/>
      <c r="K10" s="242" t="s">
        <v>25</v>
      </c>
      <c r="L10" s="240">
        <f t="shared" si="0"/>
        <v>46192.350472268517</v>
      </c>
    </row>
    <row r="11" spans="1:12" ht="86.4" customHeight="1" x14ac:dyDescent="0.3">
      <c r="A11" s="244">
        <v>46192</v>
      </c>
      <c r="B11" s="244">
        <v>46199</v>
      </c>
      <c r="C11" s="245" t="s">
        <v>312</v>
      </c>
      <c r="D11" s="245" t="s">
        <v>313</v>
      </c>
      <c r="E11" s="246" t="s">
        <v>314</v>
      </c>
      <c r="F11" s="246" t="s">
        <v>24</v>
      </c>
      <c r="G11" s="247">
        <v>67522.25</v>
      </c>
      <c r="H11" s="245" t="s">
        <v>17</v>
      </c>
      <c r="I11" s="245" t="s">
        <v>18</v>
      </c>
      <c r="J11" s="245" t="s">
        <v>31</v>
      </c>
      <c r="K11" s="246" t="s">
        <v>315</v>
      </c>
      <c r="L11" s="244">
        <f t="shared" si="0"/>
        <v>46199</v>
      </c>
    </row>
    <row r="12" spans="1:12" ht="28.8" customHeight="1" x14ac:dyDescent="0.3">
      <c r="A12" s="244">
        <v>46112</v>
      </c>
      <c r="B12" s="244">
        <v>46202</v>
      </c>
      <c r="C12" s="245" t="s">
        <v>157</v>
      </c>
      <c r="D12" s="245" t="s">
        <v>158</v>
      </c>
      <c r="E12" s="246" t="s">
        <v>159</v>
      </c>
      <c r="F12" s="246" t="s">
        <v>96</v>
      </c>
      <c r="G12" s="247">
        <v>103711</v>
      </c>
      <c r="H12" s="245" t="s">
        <v>60</v>
      </c>
      <c r="I12" s="245" t="s">
        <v>18</v>
      </c>
      <c r="J12" s="245" t="s">
        <v>31</v>
      </c>
      <c r="K12" s="246" t="s">
        <v>160</v>
      </c>
      <c r="L12" s="244">
        <f t="shared" si="0"/>
        <v>46202</v>
      </c>
    </row>
    <row r="13" spans="1:12" ht="28.8" customHeight="1" x14ac:dyDescent="0.3">
      <c r="A13" s="244">
        <v>46155</v>
      </c>
      <c r="B13" s="244">
        <v>46202</v>
      </c>
      <c r="C13" s="245" t="s">
        <v>93</v>
      </c>
      <c r="D13" s="245" t="s">
        <v>94</v>
      </c>
      <c r="E13" s="246" t="s">
        <v>95</v>
      </c>
      <c r="F13" s="246" t="s">
        <v>96</v>
      </c>
      <c r="G13" s="247">
        <v>523356</v>
      </c>
      <c r="H13" s="245" t="s">
        <v>97</v>
      </c>
      <c r="I13" s="245" t="s">
        <v>18</v>
      </c>
      <c r="J13" s="245" t="s">
        <v>31</v>
      </c>
      <c r="K13" s="246" t="s">
        <v>98</v>
      </c>
      <c r="L13" s="244">
        <f t="shared" si="0"/>
        <v>46202</v>
      </c>
    </row>
    <row r="14" spans="1:12" ht="28.8" customHeight="1" x14ac:dyDescent="0.3">
      <c r="A14" s="244">
        <v>46167</v>
      </c>
      <c r="B14" s="244">
        <v>46202</v>
      </c>
      <c r="C14" s="245" t="s">
        <v>56</v>
      </c>
      <c r="D14" s="245" t="s">
        <v>57</v>
      </c>
      <c r="E14" s="246" t="s">
        <v>58</v>
      </c>
      <c r="F14" s="246" t="s">
        <v>59</v>
      </c>
      <c r="G14" s="247">
        <v>220505.60000000001</v>
      </c>
      <c r="H14" s="245" t="s">
        <v>60</v>
      </c>
      <c r="I14" s="245" t="s">
        <v>18</v>
      </c>
      <c r="J14" s="245" t="s">
        <v>31</v>
      </c>
      <c r="K14" s="246" t="s">
        <v>61</v>
      </c>
      <c r="L14" s="244">
        <f t="shared" si="0"/>
        <v>46202</v>
      </c>
    </row>
    <row r="15" spans="1:12" x14ac:dyDescent="0.3">
      <c r="A15" s="240">
        <v>46111</v>
      </c>
      <c r="B15" s="240">
        <v>46203</v>
      </c>
      <c r="C15" s="241" t="s">
        <v>166</v>
      </c>
      <c r="D15" s="241" t="s">
        <v>167</v>
      </c>
      <c r="E15" s="242" t="s">
        <v>168</v>
      </c>
      <c r="F15" s="242" t="s">
        <v>169</v>
      </c>
      <c r="G15" s="243">
        <v>169353.60000000001</v>
      </c>
      <c r="H15" s="241" t="s">
        <v>30</v>
      </c>
      <c r="I15" s="241" t="s">
        <v>21</v>
      </c>
      <c r="J15" s="241"/>
      <c r="K15" s="242" t="s">
        <v>170</v>
      </c>
      <c r="L15" s="240">
        <f t="shared" si="0"/>
        <v>46203</v>
      </c>
    </row>
    <row r="16" spans="1:12" ht="158.4" customHeight="1" x14ac:dyDescent="0.3">
      <c r="A16" s="240">
        <v>46128</v>
      </c>
      <c r="B16" s="240">
        <v>46203</v>
      </c>
      <c r="C16" s="241" t="s">
        <v>21</v>
      </c>
      <c r="D16" s="241" t="s">
        <v>103</v>
      </c>
      <c r="E16" s="242" t="s">
        <v>104</v>
      </c>
      <c r="F16" s="242" t="s">
        <v>105</v>
      </c>
      <c r="G16" s="243">
        <v>82900.05</v>
      </c>
      <c r="H16" s="241" t="s">
        <v>30</v>
      </c>
      <c r="I16" s="241" t="s">
        <v>21</v>
      </c>
      <c r="J16" s="241"/>
      <c r="K16" s="242" t="s">
        <v>106</v>
      </c>
      <c r="L16" s="240">
        <f t="shared" si="0"/>
        <v>46203</v>
      </c>
    </row>
    <row r="17" spans="1:12" ht="86.4" customHeight="1" x14ac:dyDescent="0.3">
      <c r="A17" s="240">
        <v>46142</v>
      </c>
      <c r="B17" s="240">
        <v>46203</v>
      </c>
      <c r="C17" s="241" t="s">
        <v>107</v>
      </c>
      <c r="D17" s="241" t="s">
        <v>108</v>
      </c>
      <c r="E17" s="242" t="s">
        <v>109</v>
      </c>
      <c r="F17" s="242" t="s">
        <v>110</v>
      </c>
      <c r="G17" s="243">
        <v>310411</v>
      </c>
      <c r="H17" s="241" t="s">
        <v>111</v>
      </c>
      <c r="I17" s="241" t="s">
        <v>21</v>
      </c>
      <c r="J17" s="241"/>
      <c r="K17" s="242" t="s">
        <v>112</v>
      </c>
      <c r="L17" s="240">
        <f t="shared" si="0"/>
        <v>46203</v>
      </c>
    </row>
    <row r="18" spans="1:12" ht="28.8" customHeight="1" x14ac:dyDescent="0.3">
      <c r="A18" s="240">
        <v>46142</v>
      </c>
      <c r="B18" s="240">
        <v>46203</v>
      </c>
      <c r="C18" s="241" t="s">
        <v>21</v>
      </c>
      <c r="D18" s="241" t="s">
        <v>113</v>
      </c>
      <c r="E18" s="242" t="s">
        <v>114</v>
      </c>
      <c r="F18" s="242" t="s">
        <v>115</v>
      </c>
      <c r="G18" s="243">
        <v>204447</v>
      </c>
      <c r="H18" s="241" t="s">
        <v>17</v>
      </c>
      <c r="I18" s="241" t="s">
        <v>21</v>
      </c>
      <c r="J18" s="241"/>
      <c r="K18" s="242" t="s">
        <v>116</v>
      </c>
      <c r="L18" s="240">
        <f t="shared" si="0"/>
        <v>46203</v>
      </c>
    </row>
    <row r="19" spans="1:12" ht="43.2" customHeight="1" x14ac:dyDescent="0.3">
      <c r="A19" s="240">
        <v>46188</v>
      </c>
      <c r="B19" s="240">
        <v>46203</v>
      </c>
      <c r="C19" s="241" t="s">
        <v>21</v>
      </c>
      <c r="D19" s="241" t="s">
        <v>290</v>
      </c>
      <c r="E19" s="242" t="s">
        <v>291</v>
      </c>
      <c r="F19" s="242" t="s">
        <v>292</v>
      </c>
      <c r="G19" s="243">
        <v>66649.399999999994</v>
      </c>
      <c r="H19" s="241" t="s">
        <v>17</v>
      </c>
      <c r="I19" s="241" t="s">
        <v>21</v>
      </c>
      <c r="J19" s="241"/>
      <c r="K19" s="242" t="s">
        <v>293</v>
      </c>
      <c r="L19" s="240">
        <f t="shared" si="0"/>
        <v>46203</v>
      </c>
    </row>
    <row r="20" spans="1:12" x14ac:dyDescent="0.3">
      <c r="A20" s="244">
        <v>46190</v>
      </c>
      <c r="B20" s="244">
        <v>46206</v>
      </c>
      <c r="C20" s="245" t="s">
        <v>51</v>
      </c>
      <c r="D20" s="245" t="s">
        <v>52</v>
      </c>
      <c r="E20" s="246" t="s">
        <v>53</v>
      </c>
      <c r="F20" s="246" t="s">
        <v>54</v>
      </c>
      <c r="G20" s="247">
        <v>22505.72</v>
      </c>
      <c r="H20" s="245" t="s">
        <v>30</v>
      </c>
      <c r="I20" s="245" t="s">
        <v>18</v>
      </c>
      <c r="J20" s="245" t="s">
        <v>37</v>
      </c>
      <c r="K20" s="246" t="s">
        <v>55</v>
      </c>
      <c r="L20" s="244">
        <f t="shared" si="0"/>
        <v>46206</v>
      </c>
    </row>
    <row r="21" spans="1:12" ht="28.8" customHeight="1" x14ac:dyDescent="0.3">
      <c r="A21" s="244">
        <v>46185</v>
      </c>
      <c r="B21" s="244">
        <v>46213</v>
      </c>
      <c r="C21" s="245" t="s">
        <v>62</v>
      </c>
      <c r="D21" s="245" t="s">
        <v>63</v>
      </c>
      <c r="E21" s="246" t="s">
        <v>64</v>
      </c>
      <c r="F21" s="246" t="s">
        <v>65</v>
      </c>
      <c r="G21" s="247">
        <v>109947.56</v>
      </c>
      <c r="H21" s="245" t="s">
        <v>60</v>
      </c>
      <c r="I21" s="245" t="s">
        <v>18</v>
      </c>
      <c r="J21" s="245" t="s">
        <v>37</v>
      </c>
      <c r="K21" s="246" t="s">
        <v>66</v>
      </c>
      <c r="L21" s="244">
        <f t="shared" si="0"/>
        <v>46213</v>
      </c>
    </row>
    <row r="22" spans="1:12" x14ac:dyDescent="0.3">
      <c r="A22" s="244">
        <v>46171</v>
      </c>
      <c r="B22" s="244">
        <v>46227</v>
      </c>
      <c r="C22" s="245" t="s">
        <v>176</v>
      </c>
      <c r="D22" s="245" t="s">
        <v>177</v>
      </c>
      <c r="E22" s="246" t="s">
        <v>178</v>
      </c>
      <c r="F22" s="246" t="s">
        <v>179</v>
      </c>
      <c r="G22" s="247">
        <v>13562.64</v>
      </c>
      <c r="H22" s="245" t="s">
        <v>30</v>
      </c>
      <c r="I22" s="245" t="s">
        <v>18</v>
      </c>
      <c r="J22" s="245" t="s">
        <v>31</v>
      </c>
      <c r="K22" s="246" t="s">
        <v>180</v>
      </c>
      <c r="L22" s="244">
        <f t="shared" si="0"/>
        <v>46227</v>
      </c>
    </row>
    <row r="23" spans="1:12" x14ac:dyDescent="0.3">
      <c r="A23" s="244">
        <v>46171</v>
      </c>
      <c r="B23" s="244">
        <v>46227</v>
      </c>
      <c r="C23" s="245" t="s">
        <v>84</v>
      </c>
      <c r="D23" s="245" t="s">
        <v>85</v>
      </c>
      <c r="E23" s="246" t="s">
        <v>86</v>
      </c>
      <c r="F23" s="246" t="s">
        <v>87</v>
      </c>
      <c r="G23" s="247">
        <v>18400</v>
      </c>
      <c r="H23" s="245" t="s">
        <v>30</v>
      </c>
      <c r="I23" s="245" t="s">
        <v>18</v>
      </c>
      <c r="J23" s="245" t="s">
        <v>31</v>
      </c>
      <c r="K23" s="246" t="s">
        <v>88</v>
      </c>
      <c r="L23" s="244">
        <f t="shared" si="0"/>
        <v>46227</v>
      </c>
    </row>
    <row r="24" spans="1:12" x14ac:dyDescent="0.3">
      <c r="A24" s="240">
        <v>46170</v>
      </c>
      <c r="B24" s="240">
        <v>46227</v>
      </c>
      <c r="C24" s="241" t="s">
        <v>21</v>
      </c>
      <c r="D24" s="241" t="s">
        <v>89</v>
      </c>
      <c r="E24" s="242" t="s">
        <v>90</v>
      </c>
      <c r="F24" s="242" t="s">
        <v>91</v>
      </c>
      <c r="G24" s="243">
        <v>1860403.01</v>
      </c>
      <c r="H24" s="241" t="s">
        <v>30</v>
      </c>
      <c r="I24" s="241" t="s">
        <v>21</v>
      </c>
      <c r="J24" s="241"/>
      <c r="K24" s="242" t="s">
        <v>92</v>
      </c>
      <c r="L24" s="240">
        <f t="shared" si="0"/>
        <v>46227</v>
      </c>
    </row>
    <row r="25" spans="1:12" ht="28.8" customHeight="1" x14ac:dyDescent="0.3">
      <c r="A25" s="244">
        <v>46181</v>
      </c>
      <c r="B25" s="244">
        <v>46233</v>
      </c>
      <c r="C25" s="245" t="s">
        <v>257</v>
      </c>
      <c r="D25" s="245" t="s">
        <v>261</v>
      </c>
      <c r="E25" s="246" t="s">
        <v>262</v>
      </c>
      <c r="F25" s="246" t="s">
        <v>96</v>
      </c>
      <c r="G25" s="247">
        <v>187144</v>
      </c>
      <c r="H25" s="245" t="s">
        <v>97</v>
      </c>
      <c r="I25" s="245" t="s">
        <v>18</v>
      </c>
      <c r="J25" s="245" t="s">
        <v>31</v>
      </c>
      <c r="K25" s="246" t="s">
        <v>263</v>
      </c>
      <c r="L25" s="244">
        <f t="shared" si="0"/>
        <v>46233</v>
      </c>
    </row>
    <row r="26" spans="1:12" x14ac:dyDescent="0.3">
      <c r="A26" s="244">
        <v>46182</v>
      </c>
      <c r="B26" s="244">
        <v>46233</v>
      </c>
      <c r="C26" s="245" t="s">
        <v>26</v>
      </c>
      <c r="D26" s="245" t="s">
        <v>27</v>
      </c>
      <c r="E26" s="246" t="s">
        <v>28</v>
      </c>
      <c r="F26" s="246" t="s">
        <v>29</v>
      </c>
      <c r="G26" s="247">
        <v>62080.45</v>
      </c>
      <c r="H26" s="245" t="s">
        <v>30</v>
      </c>
      <c r="I26" s="245" t="s">
        <v>18</v>
      </c>
      <c r="J26" s="245" t="s">
        <v>31</v>
      </c>
      <c r="K26" s="246" t="s">
        <v>32</v>
      </c>
      <c r="L26" s="244">
        <f t="shared" si="0"/>
        <v>46233</v>
      </c>
    </row>
    <row r="27" spans="1:12" ht="57.6" customHeight="1" x14ac:dyDescent="0.3">
      <c r="A27" s="244">
        <v>46190</v>
      </c>
      <c r="B27" s="244">
        <v>46233</v>
      </c>
      <c r="C27" s="245" t="s">
        <v>99</v>
      </c>
      <c r="D27" s="245" t="s">
        <v>100</v>
      </c>
      <c r="E27" s="246" t="s">
        <v>101</v>
      </c>
      <c r="F27" s="246" t="s">
        <v>24</v>
      </c>
      <c r="G27" s="247">
        <v>149545.07999999999</v>
      </c>
      <c r="H27" s="245" t="s">
        <v>17</v>
      </c>
      <c r="I27" s="245" t="s">
        <v>18</v>
      </c>
      <c r="J27" s="245" t="s">
        <v>31</v>
      </c>
      <c r="K27" s="246" t="s">
        <v>102</v>
      </c>
      <c r="L27" s="244">
        <f t="shared" si="0"/>
        <v>46233</v>
      </c>
    </row>
    <row r="28" spans="1:12" x14ac:dyDescent="0.3">
      <c r="F28" s="248" t="s">
        <v>117</v>
      </c>
      <c r="G28" s="249">
        <f>SUMIF(I3:I27,"&lt;&gt;Pending",G3:G27)</f>
        <v>1925372.02</v>
      </c>
    </row>
    <row r="30" spans="1:12" x14ac:dyDescent="0.3">
      <c r="F30" s="250" t="s">
        <v>118</v>
      </c>
    </row>
    <row r="31" spans="1:12" x14ac:dyDescent="0.3">
      <c r="F31" t="s">
        <v>119</v>
      </c>
      <c r="G31" s="18">
        <f ca="1">SUMIFS(G3:G27, J3:J27, "*CASH SALE*", L3:L27, "&gt;="&amp;EOMONTH(TODAY(),-1)+1, L3:L27, "&lt;="&amp;EOMONTH(TODAY(),0), I3:I27, "&lt;&gt;Pending")</f>
        <v>132453.28</v>
      </c>
      <c r="I31" t="s">
        <v>120</v>
      </c>
      <c r="J31" s="18">
        <f ca="1">SUMIFS(G3:G27, J3:J27, "*CASH SALE*", L3:L27, "&gt;="&amp;EOMONTH(TODAY(),0)+1, L3:L27, "&lt;="&amp;EOMONTH(TODAY(),1), I3:I27, "&lt;&gt;Pending")</f>
        <v>0</v>
      </c>
    </row>
    <row r="32" spans="1:12" x14ac:dyDescent="0.3">
      <c r="F32" t="s">
        <v>121</v>
      </c>
      <c r="G32" s="18">
        <f ca="1">SUMIFS(G3:G27, J3:J27, "*ACCOUNT*", L3:L27, "&gt;="&amp;EOMONTH(TODAY(),-1)+1, L3:L27, "&lt;="&amp;EOMONTH(TODAY(),0), I3:I27, "&lt;&gt;Pending")</f>
        <v>430732.17000000004</v>
      </c>
      <c r="I32" t="s">
        <v>122</v>
      </c>
      <c r="J32" s="18">
        <f ca="1">SUMIFS(G3:G27, J3:J27, "*ACCOUNT*", L3:L27, "&gt;="&amp;EOMONTH(TODAY(),0)+1, L3:L27, "&lt;="&amp;EOMONTH(TODAY(),1), I3:I27, "&lt;&gt;Pending")</f>
        <v>0</v>
      </c>
    </row>
    <row r="35" spans="1:11" ht="28.8" customHeight="1" x14ac:dyDescent="0.3">
      <c r="A35" s="235" t="s">
        <v>1</v>
      </c>
      <c r="B35" s="235" t="s">
        <v>2</v>
      </c>
      <c r="C35" s="235" t="s">
        <v>3</v>
      </c>
      <c r="D35" s="235" t="s">
        <v>4</v>
      </c>
      <c r="E35" s="235" t="s">
        <v>5</v>
      </c>
      <c r="F35" s="235" t="s">
        <v>6</v>
      </c>
      <c r="G35" s="235" t="s">
        <v>7</v>
      </c>
      <c r="H35" s="235" t="s">
        <v>8</v>
      </c>
      <c r="I35" s="235" t="s">
        <v>9</v>
      </c>
      <c r="J35" s="235" t="s">
        <v>10</v>
      </c>
      <c r="K35" s="235" t="s">
        <v>123</v>
      </c>
    </row>
    <row r="36" spans="1:11" x14ac:dyDescent="0.3">
      <c r="A36" s="251">
        <v>46142</v>
      </c>
      <c r="B36" s="251">
        <v>46192.350472268517</v>
      </c>
      <c r="C36" s="252" t="s">
        <v>13</v>
      </c>
      <c r="D36" s="252" t="s">
        <v>14</v>
      </c>
      <c r="E36" s="252" t="s">
        <v>15</v>
      </c>
      <c r="F36" s="252" t="s">
        <v>16</v>
      </c>
      <c r="G36" s="247">
        <v>251413.01</v>
      </c>
      <c r="H36" s="252" t="s">
        <v>17</v>
      </c>
      <c r="I36" s="252" t="s">
        <v>18</v>
      </c>
      <c r="J36" s="252" t="s">
        <v>19</v>
      </c>
      <c r="K36" s="246"/>
    </row>
    <row r="37" spans="1:11" x14ac:dyDescent="0.3">
      <c r="A37" s="251">
        <v>46174</v>
      </c>
      <c r="B37" s="251">
        <v>46192.350472268517</v>
      </c>
      <c r="C37" s="252" t="s">
        <v>147</v>
      </c>
      <c r="D37" s="252" t="s">
        <v>148</v>
      </c>
      <c r="E37" s="252" t="s">
        <v>149</v>
      </c>
      <c r="F37" s="252" t="s">
        <v>150</v>
      </c>
      <c r="G37" s="247">
        <v>70994.559999999998</v>
      </c>
      <c r="H37" s="252" t="s">
        <v>30</v>
      </c>
      <c r="I37" s="252" t="s">
        <v>18</v>
      </c>
      <c r="J37" s="252" t="s">
        <v>31</v>
      </c>
      <c r="K37" s="246"/>
    </row>
    <row r="38" spans="1:11" x14ac:dyDescent="0.3">
      <c r="A38" s="251">
        <v>46176</v>
      </c>
      <c r="B38" s="251">
        <v>46192.350472268517</v>
      </c>
      <c r="C38" s="252" t="s">
        <v>221</v>
      </c>
      <c r="D38" s="252" t="s">
        <v>222</v>
      </c>
      <c r="E38" s="252" t="s">
        <v>223</v>
      </c>
      <c r="F38" s="252" t="s">
        <v>140</v>
      </c>
      <c r="G38" s="247">
        <v>12224.5</v>
      </c>
      <c r="H38" s="252" t="s">
        <v>17</v>
      </c>
      <c r="I38" s="252" t="s">
        <v>18</v>
      </c>
      <c r="J38" s="252" t="s">
        <v>37</v>
      </c>
      <c r="K38" s="246"/>
    </row>
    <row r="39" spans="1:11" ht="28.8" customHeight="1" x14ac:dyDescent="0.3">
      <c r="A39" s="251">
        <v>46190</v>
      </c>
      <c r="B39" s="251">
        <v>46192.350472268517</v>
      </c>
      <c r="C39" s="252" t="s">
        <v>302</v>
      </c>
      <c r="D39" s="252" t="s">
        <v>303</v>
      </c>
      <c r="E39" s="252" t="s">
        <v>302</v>
      </c>
      <c r="F39" s="252" t="s">
        <v>304</v>
      </c>
      <c r="G39" s="247">
        <v>13819.55</v>
      </c>
      <c r="H39" s="252" t="s">
        <v>17</v>
      </c>
      <c r="I39" s="252" t="s">
        <v>18</v>
      </c>
      <c r="J39" s="252" t="s">
        <v>37</v>
      </c>
      <c r="K39" s="246"/>
    </row>
    <row r="40" spans="1:11" ht="28.8" customHeight="1" x14ac:dyDescent="0.3">
      <c r="A40" s="251">
        <v>46190</v>
      </c>
      <c r="B40" s="251">
        <v>46192.350472268517</v>
      </c>
      <c r="C40" s="252" t="s">
        <v>294</v>
      </c>
      <c r="D40" s="252" t="s">
        <v>295</v>
      </c>
      <c r="E40" s="252" t="s">
        <v>296</v>
      </c>
      <c r="F40" s="252" t="s">
        <v>105</v>
      </c>
      <c r="G40" s="247">
        <v>35752.35</v>
      </c>
      <c r="H40" s="252" t="s">
        <v>30</v>
      </c>
      <c r="I40" s="252" t="s">
        <v>18</v>
      </c>
      <c r="J40" s="252" t="s">
        <v>37</v>
      </c>
      <c r="K40" s="246"/>
    </row>
    <row r="41" spans="1:11" ht="43.2" customHeight="1" x14ac:dyDescent="0.3">
      <c r="A41" s="251">
        <v>46190</v>
      </c>
      <c r="B41" s="251">
        <v>46192.350472268517</v>
      </c>
      <c r="C41" s="252" t="s">
        <v>298</v>
      </c>
      <c r="D41" s="252" t="s">
        <v>299</v>
      </c>
      <c r="E41" s="252" t="s">
        <v>300</v>
      </c>
      <c r="F41" s="252" t="s">
        <v>24</v>
      </c>
      <c r="G41" s="247">
        <v>52526.25</v>
      </c>
      <c r="H41" s="252" t="s">
        <v>17</v>
      </c>
      <c r="I41" s="252" t="s">
        <v>18</v>
      </c>
      <c r="J41" s="252" t="s">
        <v>31</v>
      </c>
      <c r="K41" s="246"/>
    </row>
    <row r="42" spans="1:11" x14ac:dyDescent="0.3">
      <c r="A42" s="251">
        <v>46191</v>
      </c>
      <c r="B42" s="251">
        <v>46192.350472268517</v>
      </c>
      <c r="C42" s="252" t="s">
        <v>306</v>
      </c>
      <c r="D42" s="252" t="s">
        <v>307</v>
      </c>
      <c r="E42" s="252" t="s">
        <v>308</v>
      </c>
      <c r="F42" s="252" t="s">
        <v>309</v>
      </c>
      <c r="G42" s="247">
        <v>10361.5</v>
      </c>
      <c r="H42" s="252" t="s">
        <v>310</v>
      </c>
      <c r="I42" s="252" t="s">
        <v>18</v>
      </c>
      <c r="J42" s="252" t="s">
        <v>31</v>
      </c>
      <c r="K42" s="246"/>
    </row>
    <row r="43" spans="1:11" x14ac:dyDescent="0.3">
      <c r="F43" s="248" t="s">
        <v>124</v>
      </c>
      <c r="G43" s="249">
        <f>SUM(G36:G42)</f>
        <v>447091.72</v>
      </c>
    </row>
    <row r="45" spans="1:11" x14ac:dyDescent="0.3">
      <c r="F45" s="248" t="s">
        <v>125</v>
      </c>
      <c r="G45" s="249">
        <f>SUMIFS(G3:G27, I3:I27, "*Ready*Dispatch*")</f>
        <v>0</v>
      </c>
    </row>
    <row r="48" spans="1:11" x14ac:dyDescent="0.3">
      <c r="A48" s="253" t="s">
        <v>316</v>
      </c>
    </row>
    <row r="49" spans="1:1" x14ac:dyDescent="0.3">
      <c r="A49" s="253" t="s">
        <v>182</v>
      </c>
    </row>
  </sheetData>
  <pageMargins left="0.25" right="0.25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35"/>
  <sheetViews>
    <sheetView workbookViewId="0">
      <pane xSplit="4" ySplit="2" topLeftCell="E3" activePane="bottomRight" state="frozen"/>
      <selection pane="topRight"/>
      <selection pane="bottomLeft"/>
      <selection pane="bottomRight" activeCell="F5" sqref="F5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254" t="s">
        <v>0</v>
      </c>
      <c r="K1" s="255">
        <f ca="1">TODAY()</f>
        <v>46211</v>
      </c>
    </row>
    <row r="2" spans="1:12" ht="43.2" customHeight="1" x14ac:dyDescent="0.3">
      <c r="A2" s="256" t="s">
        <v>1</v>
      </c>
      <c r="B2" s="256" t="s">
        <v>2</v>
      </c>
      <c r="C2" s="256" t="s">
        <v>3</v>
      </c>
      <c r="D2" s="256" t="s">
        <v>4</v>
      </c>
      <c r="E2" s="256" t="s">
        <v>5</v>
      </c>
      <c r="F2" s="256" t="s">
        <v>6</v>
      </c>
      <c r="G2" s="256" t="s">
        <v>7</v>
      </c>
      <c r="H2" s="256" t="s">
        <v>8</v>
      </c>
      <c r="I2" s="256" t="s">
        <v>9</v>
      </c>
      <c r="J2" s="256" t="s">
        <v>10</v>
      </c>
      <c r="K2" s="256" t="s">
        <v>11</v>
      </c>
      <c r="L2" s="256" t="s">
        <v>12</v>
      </c>
    </row>
    <row r="3" spans="1:12" ht="28.8" customHeight="1" x14ac:dyDescent="0.3">
      <c r="A3" s="257">
        <v>46142</v>
      </c>
      <c r="B3" s="257">
        <v>46195.668265752312</v>
      </c>
      <c r="C3" s="258" t="s">
        <v>21</v>
      </c>
      <c r="D3" s="258" t="s">
        <v>22</v>
      </c>
      <c r="E3" s="259" t="s">
        <v>23</v>
      </c>
      <c r="F3" s="259" t="s">
        <v>24</v>
      </c>
      <c r="G3" s="260">
        <v>426010.6</v>
      </c>
      <c r="H3" s="258" t="s">
        <v>17</v>
      </c>
      <c r="I3" s="258" t="s">
        <v>21</v>
      </c>
      <c r="J3" s="258"/>
      <c r="K3" s="259" t="s">
        <v>25</v>
      </c>
      <c r="L3" s="257">
        <f t="shared" ref="L3:L19" si="0">B3</f>
        <v>46195.668265752312</v>
      </c>
    </row>
    <row r="4" spans="1:12" ht="43.2" customHeight="1" x14ac:dyDescent="0.3">
      <c r="A4" s="261">
        <v>46188</v>
      </c>
      <c r="B4" s="261">
        <v>46199</v>
      </c>
      <c r="C4" s="262" t="s">
        <v>291</v>
      </c>
      <c r="D4" s="262" t="s">
        <v>290</v>
      </c>
      <c r="E4" s="263" t="s">
        <v>291</v>
      </c>
      <c r="F4" s="263" t="s">
        <v>292</v>
      </c>
      <c r="G4" s="264">
        <v>66649.399999999994</v>
      </c>
      <c r="H4" s="262" t="s">
        <v>17</v>
      </c>
      <c r="I4" s="262" t="s">
        <v>18</v>
      </c>
      <c r="J4" s="262" t="s">
        <v>37</v>
      </c>
      <c r="K4" s="263" t="s">
        <v>293</v>
      </c>
      <c r="L4" s="261">
        <f t="shared" si="0"/>
        <v>46199</v>
      </c>
    </row>
    <row r="5" spans="1:12" ht="28.8" customHeight="1" x14ac:dyDescent="0.3">
      <c r="A5" s="257">
        <v>46195</v>
      </c>
      <c r="B5" s="257">
        <v>46199</v>
      </c>
      <c r="C5" s="258" t="s">
        <v>317</v>
      </c>
      <c r="D5" s="258" t="s">
        <v>318</v>
      </c>
      <c r="E5" s="259" t="s">
        <v>319</v>
      </c>
      <c r="F5" s="259" t="s">
        <v>174</v>
      </c>
      <c r="G5" s="260">
        <v>3418.95</v>
      </c>
      <c r="H5" s="258" t="s">
        <v>320</v>
      </c>
      <c r="I5" s="258" t="s">
        <v>21</v>
      </c>
      <c r="J5" s="258"/>
      <c r="K5" s="259" t="s">
        <v>321</v>
      </c>
      <c r="L5" s="257">
        <f t="shared" si="0"/>
        <v>46199</v>
      </c>
    </row>
    <row r="6" spans="1:12" ht="409.6" customHeight="1" x14ac:dyDescent="0.3">
      <c r="A6" s="261">
        <v>46142</v>
      </c>
      <c r="B6" s="261">
        <v>46202</v>
      </c>
      <c r="C6" s="262" t="s">
        <v>13</v>
      </c>
      <c r="D6" s="262" t="s">
        <v>14</v>
      </c>
      <c r="E6" s="263" t="s">
        <v>15</v>
      </c>
      <c r="F6" s="263" t="s">
        <v>16</v>
      </c>
      <c r="G6" s="264">
        <v>251413.01</v>
      </c>
      <c r="H6" s="262" t="s">
        <v>17</v>
      </c>
      <c r="I6" s="262" t="s">
        <v>18</v>
      </c>
      <c r="J6" s="262" t="s">
        <v>19</v>
      </c>
      <c r="K6" s="263" t="s">
        <v>20</v>
      </c>
      <c r="L6" s="261">
        <f t="shared" si="0"/>
        <v>46202</v>
      </c>
    </row>
    <row r="7" spans="1:12" x14ac:dyDescent="0.3">
      <c r="A7" s="261">
        <v>46182</v>
      </c>
      <c r="B7" s="261">
        <v>46203</v>
      </c>
      <c r="C7" s="262" t="s">
        <v>26</v>
      </c>
      <c r="D7" s="262" t="s">
        <v>27</v>
      </c>
      <c r="E7" s="263" t="s">
        <v>28</v>
      </c>
      <c r="F7" s="263" t="s">
        <v>29</v>
      </c>
      <c r="G7" s="264">
        <v>62080.45</v>
      </c>
      <c r="H7" s="262" t="s">
        <v>30</v>
      </c>
      <c r="I7" s="262" t="s">
        <v>18</v>
      </c>
      <c r="J7" s="262" t="s">
        <v>31</v>
      </c>
      <c r="K7" s="263" t="s">
        <v>32</v>
      </c>
      <c r="L7" s="261">
        <f t="shared" si="0"/>
        <v>46203</v>
      </c>
    </row>
    <row r="8" spans="1:12" x14ac:dyDescent="0.3">
      <c r="A8" s="261">
        <v>46190</v>
      </c>
      <c r="B8" s="261">
        <v>46206</v>
      </c>
      <c r="C8" s="262" t="s">
        <v>51</v>
      </c>
      <c r="D8" s="262" t="s">
        <v>52</v>
      </c>
      <c r="E8" s="263" t="s">
        <v>53</v>
      </c>
      <c r="F8" s="263" t="s">
        <v>54</v>
      </c>
      <c r="G8" s="264">
        <v>22505.72</v>
      </c>
      <c r="H8" s="262" t="s">
        <v>30</v>
      </c>
      <c r="I8" s="262" t="s">
        <v>18</v>
      </c>
      <c r="J8" s="262" t="s">
        <v>37</v>
      </c>
      <c r="K8" s="263" t="s">
        <v>55</v>
      </c>
      <c r="L8" s="261">
        <f t="shared" si="0"/>
        <v>46206</v>
      </c>
    </row>
    <row r="9" spans="1:12" ht="28.8" customHeight="1" x14ac:dyDescent="0.3">
      <c r="A9" s="261">
        <v>46167</v>
      </c>
      <c r="B9" s="261">
        <v>46213</v>
      </c>
      <c r="C9" s="262" t="s">
        <v>56</v>
      </c>
      <c r="D9" s="262" t="s">
        <v>57</v>
      </c>
      <c r="E9" s="263" t="s">
        <v>58</v>
      </c>
      <c r="F9" s="263" t="s">
        <v>59</v>
      </c>
      <c r="G9" s="264">
        <v>220505.60000000001</v>
      </c>
      <c r="H9" s="262" t="s">
        <v>60</v>
      </c>
      <c r="I9" s="262" t="s">
        <v>18</v>
      </c>
      <c r="J9" s="262" t="s">
        <v>31</v>
      </c>
      <c r="K9" s="263" t="s">
        <v>61</v>
      </c>
      <c r="L9" s="261">
        <f t="shared" si="0"/>
        <v>46213</v>
      </c>
    </row>
    <row r="10" spans="1:12" ht="28.8" customHeight="1" x14ac:dyDescent="0.3">
      <c r="A10" s="261">
        <v>46185</v>
      </c>
      <c r="B10" s="261">
        <v>46213</v>
      </c>
      <c r="C10" s="262" t="s">
        <v>62</v>
      </c>
      <c r="D10" s="262" t="s">
        <v>63</v>
      </c>
      <c r="E10" s="263" t="s">
        <v>64</v>
      </c>
      <c r="F10" s="263" t="s">
        <v>65</v>
      </c>
      <c r="G10" s="264">
        <v>109947.56</v>
      </c>
      <c r="H10" s="262" t="s">
        <v>60</v>
      </c>
      <c r="I10" s="262" t="s">
        <v>18</v>
      </c>
      <c r="J10" s="262" t="s">
        <v>37</v>
      </c>
      <c r="K10" s="263" t="s">
        <v>66</v>
      </c>
      <c r="L10" s="261">
        <f t="shared" si="0"/>
        <v>46213</v>
      </c>
    </row>
    <row r="11" spans="1:12" ht="57.6" customHeight="1" x14ac:dyDescent="0.3">
      <c r="A11" s="257">
        <v>46195</v>
      </c>
      <c r="B11" s="257">
        <v>46213</v>
      </c>
      <c r="C11" s="258" t="s">
        <v>21</v>
      </c>
      <c r="D11" s="258" t="s">
        <v>68</v>
      </c>
      <c r="E11" s="259" t="s">
        <v>67</v>
      </c>
      <c r="F11" s="259" t="s">
        <v>69</v>
      </c>
      <c r="G11" s="260">
        <v>37443.69</v>
      </c>
      <c r="H11" s="258" t="s">
        <v>70</v>
      </c>
      <c r="I11" s="258" t="s">
        <v>21</v>
      </c>
      <c r="J11" s="258"/>
      <c r="K11" s="259" t="s">
        <v>72</v>
      </c>
      <c r="L11" s="257">
        <f t="shared" si="0"/>
        <v>46213</v>
      </c>
    </row>
    <row r="12" spans="1:12" x14ac:dyDescent="0.3">
      <c r="A12" s="261">
        <v>46171</v>
      </c>
      <c r="B12" s="261">
        <v>46227</v>
      </c>
      <c r="C12" s="262" t="s">
        <v>84</v>
      </c>
      <c r="D12" s="262" t="s">
        <v>85</v>
      </c>
      <c r="E12" s="263" t="s">
        <v>86</v>
      </c>
      <c r="F12" s="263" t="s">
        <v>87</v>
      </c>
      <c r="G12" s="264">
        <v>18400</v>
      </c>
      <c r="H12" s="262" t="s">
        <v>30</v>
      </c>
      <c r="I12" s="262" t="s">
        <v>18</v>
      </c>
      <c r="J12" s="262" t="s">
        <v>31</v>
      </c>
      <c r="K12" s="263" t="s">
        <v>88</v>
      </c>
      <c r="L12" s="261">
        <f t="shared" si="0"/>
        <v>46227</v>
      </c>
    </row>
    <row r="13" spans="1:12" x14ac:dyDescent="0.3">
      <c r="A13" s="257">
        <v>46170</v>
      </c>
      <c r="B13" s="257">
        <v>46227</v>
      </c>
      <c r="C13" s="258" t="s">
        <v>21</v>
      </c>
      <c r="D13" s="258" t="s">
        <v>89</v>
      </c>
      <c r="E13" s="259" t="s">
        <v>90</v>
      </c>
      <c r="F13" s="259" t="s">
        <v>91</v>
      </c>
      <c r="G13" s="260">
        <v>1860403.01</v>
      </c>
      <c r="H13" s="258" t="s">
        <v>30</v>
      </c>
      <c r="I13" s="258" t="s">
        <v>21</v>
      </c>
      <c r="J13" s="258"/>
      <c r="K13" s="259" t="s">
        <v>92</v>
      </c>
      <c r="L13" s="257">
        <f t="shared" si="0"/>
        <v>46227</v>
      </c>
    </row>
    <row r="14" spans="1:12" ht="28.8" customHeight="1" x14ac:dyDescent="0.3">
      <c r="A14" s="261">
        <v>46155</v>
      </c>
      <c r="B14" s="261">
        <v>46233</v>
      </c>
      <c r="C14" s="262" t="s">
        <v>93</v>
      </c>
      <c r="D14" s="262" t="s">
        <v>94</v>
      </c>
      <c r="E14" s="263" t="s">
        <v>95</v>
      </c>
      <c r="F14" s="263" t="s">
        <v>96</v>
      </c>
      <c r="G14" s="264">
        <v>523356</v>
      </c>
      <c r="H14" s="262" t="s">
        <v>97</v>
      </c>
      <c r="I14" s="262" t="s">
        <v>18</v>
      </c>
      <c r="J14" s="262" t="s">
        <v>31</v>
      </c>
      <c r="K14" s="263" t="s">
        <v>98</v>
      </c>
      <c r="L14" s="261">
        <f t="shared" si="0"/>
        <v>46233</v>
      </c>
    </row>
    <row r="15" spans="1:12" ht="57.6" customHeight="1" x14ac:dyDescent="0.3">
      <c r="A15" s="261">
        <v>46190</v>
      </c>
      <c r="B15" s="261">
        <v>46233</v>
      </c>
      <c r="C15" s="262" t="s">
        <v>99</v>
      </c>
      <c r="D15" s="262" t="s">
        <v>100</v>
      </c>
      <c r="E15" s="263" t="s">
        <v>101</v>
      </c>
      <c r="F15" s="263" t="s">
        <v>24</v>
      </c>
      <c r="G15" s="264">
        <v>149545.07999999999</v>
      </c>
      <c r="H15" s="262" t="s">
        <v>17</v>
      </c>
      <c r="I15" s="262" t="s">
        <v>18</v>
      </c>
      <c r="J15" s="262" t="s">
        <v>31</v>
      </c>
      <c r="K15" s="263" t="s">
        <v>102</v>
      </c>
      <c r="L15" s="261">
        <f t="shared" si="0"/>
        <v>46233</v>
      </c>
    </row>
    <row r="16" spans="1:12" x14ac:dyDescent="0.3">
      <c r="A16" s="257">
        <v>46111</v>
      </c>
      <c r="B16" s="257">
        <v>46234</v>
      </c>
      <c r="C16" s="258" t="s">
        <v>166</v>
      </c>
      <c r="D16" s="258" t="s">
        <v>167</v>
      </c>
      <c r="E16" s="259" t="s">
        <v>168</v>
      </c>
      <c r="F16" s="259" t="s">
        <v>169</v>
      </c>
      <c r="G16" s="260">
        <v>169353.60000000001</v>
      </c>
      <c r="H16" s="258" t="s">
        <v>30</v>
      </c>
      <c r="I16" s="258" t="s">
        <v>21</v>
      </c>
      <c r="J16" s="258"/>
      <c r="K16" s="259" t="s">
        <v>170</v>
      </c>
      <c r="L16" s="257">
        <f t="shared" si="0"/>
        <v>46234</v>
      </c>
    </row>
    <row r="17" spans="1:12" ht="158.4" customHeight="1" x14ac:dyDescent="0.3">
      <c r="A17" s="257">
        <v>46128</v>
      </c>
      <c r="B17" s="257">
        <v>46234</v>
      </c>
      <c r="C17" s="258" t="s">
        <v>21</v>
      </c>
      <c r="D17" s="258" t="s">
        <v>103</v>
      </c>
      <c r="E17" s="259" t="s">
        <v>104</v>
      </c>
      <c r="F17" s="259" t="s">
        <v>105</v>
      </c>
      <c r="G17" s="260">
        <v>82900.05</v>
      </c>
      <c r="H17" s="258" t="s">
        <v>30</v>
      </c>
      <c r="I17" s="258" t="s">
        <v>21</v>
      </c>
      <c r="J17" s="258"/>
      <c r="K17" s="259" t="s">
        <v>106</v>
      </c>
      <c r="L17" s="257">
        <f t="shared" si="0"/>
        <v>46234</v>
      </c>
    </row>
    <row r="18" spans="1:12" ht="86.4" customHeight="1" x14ac:dyDescent="0.3">
      <c r="A18" s="257">
        <v>46142</v>
      </c>
      <c r="B18" s="257">
        <v>46234</v>
      </c>
      <c r="C18" s="258" t="s">
        <v>107</v>
      </c>
      <c r="D18" s="258" t="s">
        <v>108</v>
      </c>
      <c r="E18" s="259" t="s">
        <v>109</v>
      </c>
      <c r="F18" s="259" t="s">
        <v>110</v>
      </c>
      <c r="G18" s="260">
        <v>310411</v>
      </c>
      <c r="H18" s="258" t="s">
        <v>111</v>
      </c>
      <c r="I18" s="258" t="s">
        <v>21</v>
      </c>
      <c r="J18" s="258"/>
      <c r="K18" s="259" t="s">
        <v>112</v>
      </c>
      <c r="L18" s="257">
        <f t="shared" si="0"/>
        <v>46234</v>
      </c>
    </row>
    <row r="19" spans="1:12" ht="28.8" customHeight="1" x14ac:dyDescent="0.3">
      <c r="A19" s="257">
        <v>46142</v>
      </c>
      <c r="B19" s="257">
        <v>46234</v>
      </c>
      <c r="C19" s="258" t="s">
        <v>21</v>
      </c>
      <c r="D19" s="258" t="s">
        <v>113</v>
      </c>
      <c r="E19" s="259" t="s">
        <v>114</v>
      </c>
      <c r="F19" s="259" t="s">
        <v>115</v>
      </c>
      <c r="G19" s="260">
        <v>204447</v>
      </c>
      <c r="H19" s="258" t="s">
        <v>17</v>
      </c>
      <c r="I19" s="258" t="s">
        <v>21</v>
      </c>
      <c r="J19" s="258"/>
      <c r="K19" s="259" t="s">
        <v>116</v>
      </c>
      <c r="L19" s="257">
        <f t="shared" si="0"/>
        <v>46234</v>
      </c>
    </row>
    <row r="20" spans="1:12" x14ac:dyDescent="0.3">
      <c r="F20" s="265" t="s">
        <v>117</v>
      </c>
      <c r="G20" s="266">
        <f>SUMIF(I3:I19,"&lt;&gt;Pending",G3:G19)</f>
        <v>1424402.82</v>
      </c>
    </row>
    <row r="22" spans="1:12" x14ac:dyDescent="0.3">
      <c r="F22" s="267" t="s">
        <v>118</v>
      </c>
    </row>
    <row r="23" spans="1:12" x14ac:dyDescent="0.3">
      <c r="F23" t="s">
        <v>119</v>
      </c>
      <c r="G23" s="18">
        <f ca="1">SUMIFS(G3:G19, J3:J19, "*CASH SALE*", L3:L19, "&gt;="&amp;EOMONTH(TODAY(),-1)+1, L3:L19, "&lt;="&amp;EOMONTH(TODAY(),0), I3:I19, "&lt;&gt;Pending")</f>
        <v>132453.28</v>
      </c>
      <c r="I23" t="s">
        <v>120</v>
      </c>
      <c r="J23" s="18">
        <f ca="1">SUMIFS(G3:G19, J3:J19, "*CASH SALE*", L3:L19, "&gt;="&amp;EOMONTH(TODAY(),0)+1, L3:L19, "&lt;="&amp;EOMONTH(TODAY(),1), I3:I19, "&lt;&gt;Pending")</f>
        <v>0</v>
      </c>
    </row>
    <row r="24" spans="1:12" x14ac:dyDescent="0.3">
      <c r="F24" t="s">
        <v>121</v>
      </c>
      <c r="G24" s="18">
        <f ca="1">SUMIFS(G3:G19, J3:J19, "*ACCOUNT*", L3:L19, "&gt;="&amp;EOMONTH(TODAY(),-1)+1, L3:L19, "&lt;="&amp;EOMONTH(TODAY(),0), I3:I19, "&lt;&gt;Pending")</f>
        <v>911806.67999999993</v>
      </c>
      <c r="I24" t="s">
        <v>122</v>
      </c>
      <c r="J24" s="18">
        <f ca="1">SUMIFS(G3:G19, J3:J19, "*ACCOUNT*", L3:L19, "&gt;="&amp;EOMONTH(TODAY(),0)+1, L3:L19, "&lt;="&amp;EOMONTH(TODAY(),1), I3:I19, "&lt;&gt;Pending")</f>
        <v>0</v>
      </c>
    </row>
    <row r="27" spans="1:12" ht="28.8" customHeight="1" x14ac:dyDescent="0.3">
      <c r="A27" s="256" t="s">
        <v>1</v>
      </c>
      <c r="B27" s="256" t="s">
        <v>2</v>
      </c>
      <c r="C27" s="256" t="s">
        <v>3</v>
      </c>
      <c r="D27" s="256" t="s">
        <v>4</v>
      </c>
      <c r="E27" s="256" t="s">
        <v>5</v>
      </c>
      <c r="F27" s="256" t="s">
        <v>6</v>
      </c>
      <c r="G27" s="256" t="s">
        <v>7</v>
      </c>
      <c r="H27" s="256" t="s">
        <v>8</v>
      </c>
      <c r="I27" s="256" t="s">
        <v>9</v>
      </c>
      <c r="J27" s="256" t="s">
        <v>10</v>
      </c>
      <c r="K27" s="256" t="s">
        <v>123</v>
      </c>
    </row>
    <row r="28" spans="1:12" ht="28.8" customHeight="1" x14ac:dyDescent="0.3">
      <c r="A28" s="268">
        <v>46142</v>
      </c>
      <c r="B28" s="268">
        <v>46195.668265752312</v>
      </c>
      <c r="C28" s="269" t="s">
        <v>21</v>
      </c>
      <c r="D28" s="269" t="s">
        <v>22</v>
      </c>
      <c r="E28" s="269" t="s">
        <v>23</v>
      </c>
      <c r="F28" s="269" t="s">
        <v>24</v>
      </c>
      <c r="G28" s="260">
        <v>426010.6</v>
      </c>
      <c r="H28" s="269" t="s">
        <v>17</v>
      </c>
      <c r="I28" s="269" t="s">
        <v>21</v>
      </c>
      <c r="J28" s="269"/>
      <c r="K28" s="259"/>
      <c r="L28" s="270"/>
    </row>
    <row r="29" spans="1:12" x14ac:dyDescent="0.3">
      <c r="F29" s="265" t="s">
        <v>124</v>
      </c>
      <c r="G29" s="266">
        <f>SUM(G28:G28)</f>
        <v>426010.6</v>
      </c>
    </row>
    <row r="31" spans="1:12" x14ac:dyDescent="0.3">
      <c r="F31" s="265" t="s">
        <v>125</v>
      </c>
      <c r="G31" s="266">
        <f>SUMIFS(G3:G19, I3:I19, "*Ready*Dispatch*")</f>
        <v>0</v>
      </c>
    </row>
    <row r="34" spans="1:1" x14ac:dyDescent="0.3">
      <c r="A34" s="271" t="s">
        <v>322</v>
      </c>
    </row>
    <row r="35" spans="1:1" x14ac:dyDescent="0.3">
      <c r="A35" s="271" t="s">
        <v>127</v>
      </c>
    </row>
  </sheetData>
  <pageMargins left="0.25" right="0.25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35"/>
  <sheetViews>
    <sheetView zoomScale="80" zoomScaleNormal="80" workbookViewId="0">
      <pane xSplit="4" ySplit="2" topLeftCell="E3" activePane="bottomRight" state="frozen"/>
      <selection pane="topRight"/>
      <selection pane="bottomLeft"/>
      <selection pane="bottomRight" sqref="A1:D1"/>
    </sheetView>
  </sheetViews>
  <sheetFormatPr defaultRowHeight="14.4" x14ac:dyDescent="0.3"/>
  <cols>
    <col min="1" max="2" width="10.5546875" bestFit="1" customWidth="1"/>
    <col min="3" max="3" width="11.33203125" bestFit="1" customWidth="1"/>
    <col min="4" max="4" width="10.77734375" bestFit="1" customWidth="1"/>
    <col min="5" max="5" width="19.77734375" bestFit="1" customWidth="1"/>
    <col min="6" max="6" width="29.33203125" bestFit="1" customWidth="1"/>
    <col min="7" max="7" width="14" style="166" bestFit="1" customWidth="1"/>
    <col min="8" max="8" width="9.109375" bestFit="1" customWidth="1"/>
    <col min="9" max="9" width="14.88671875" bestFit="1" customWidth="1"/>
    <col min="10" max="10" width="21.33203125" bestFit="1" customWidth="1"/>
    <col min="11" max="11" width="53.21875" bestFit="1" customWidth="1"/>
    <col min="12" max="12" width="10.5546875" bestFit="1" customWidth="1"/>
  </cols>
  <sheetData>
    <row r="1" spans="1:12" ht="18" customHeight="1" x14ac:dyDescent="0.35">
      <c r="A1" s="385" t="s">
        <v>0</v>
      </c>
      <c r="B1" s="369"/>
      <c r="C1" s="369"/>
      <c r="D1" s="369"/>
      <c r="K1" s="255">
        <f ca="1">TODAY()</f>
        <v>46211</v>
      </c>
    </row>
    <row r="2" spans="1:12" ht="43.2" customHeight="1" x14ac:dyDescent="0.3">
      <c r="A2" s="256" t="s">
        <v>1</v>
      </c>
      <c r="B2" s="256" t="s">
        <v>2</v>
      </c>
      <c r="C2" s="256" t="s">
        <v>3</v>
      </c>
      <c r="D2" s="256" t="s">
        <v>4</v>
      </c>
      <c r="E2" s="256" t="s">
        <v>5</v>
      </c>
      <c r="F2" s="256" t="s">
        <v>6</v>
      </c>
      <c r="G2" s="272" t="s">
        <v>7</v>
      </c>
      <c r="H2" s="256" t="s">
        <v>8</v>
      </c>
      <c r="I2" s="256" t="s">
        <v>9</v>
      </c>
      <c r="J2" s="256" t="s">
        <v>10</v>
      </c>
      <c r="K2" s="256" t="s">
        <v>11</v>
      </c>
      <c r="L2" s="256" t="s">
        <v>12</v>
      </c>
    </row>
    <row r="3" spans="1:12" ht="43.2" customHeight="1" x14ac:dyDescent="0.3">
      <c r="A3" s="261">
        <v>46188</v>
      </c>
      <c r="B3" s="261">
        <v>46199</v>
      </c>
      <c r="C3" s="262" t="s">
        <v>291</v>
      </c>
      <c r="D3" s="262" t="s">
        <v>290</v>
      </c>
      <c r="E3" s="263" t="s">
        <v>291</v>
      </c>
      <c r="F3" s="263" t="s">
        <v>292</v>
      </c>
      <c r="G3" s="273">
        <v>66649.399999999994</v>
      </c>
      <c r="H3" s="262" t="s">
        <v>17</v>
      </c>
      <c r="I3" s="262" t="s">
        <v>18</v>
      </c>
      <c r="J3" s="262" t="s">
        <v>37</v>
      </c>
      <c r="K3" s="263" t="s">
        <v>293</v>
      </c>
      <c r="L3" s="261">
        <f t="shared" ref="L3:L19" si="0">B3</f>
        <v>46199</v>
      </c>
    </row>
    <row r="4" spans="1:12" ht="28.8" customHeight="1" x14ac:dyDescent="0.3">
      <c r="A4" s="261">
        <v>46195</v>
      </c>
      <c r="B4" s="261">
        <v>46199</v>
      </c>
      <c r="C4" s="262" t="s">
        <v>317</v>
      </c>
      <c r="D4" s="262" t="s">
        <v>318</v>
      </c>
      <c r="E4" s="263" t="s">
        <v>319</v>
      </c>
      <c r="F4" s="263" t="s">
        <v>174</v>
      </c>
      <c r="G4" s="273">
        <v>3418.95</v>
      </c>
      <c r="H4" s="262" t="s">
        <v>320</v>
      </c>
      <c r="I4" s="262" t="s">
        <v>18</v>
      </c>
      <c r="J4" s="262" t="s">
        <v>31</v>
      </c>
      <c r="K4" s="263" t="s">
        <v>321</v>
      </c>
      <c r="L4" s="261">
        <f t="shared" si="0"/>
        <v>46199</v>
      </c>
    </row>
    <row r="5" spans="1:12" x14ac:dyDescent="0.3">
      <c r="A5" s="261">
        <v>46195</v>
      </c>
      <c r="B5" s="261">
        <v>46199</v>
      </c>
      <c r="C5" s="262" t="s">
        <v>323</v>
      </c>
      <c r="D5" s="262" t="s">
        <v>324</v>
      </c>
      <c r="E5" s="263" t="s">
        <v>325</v>
      </c>
      <c r="F5" s="263" t="s">
        <v>251</v>
      </c>
      <c r="G5" s="273">
        <v>7228.9</v>
      </c>
      <c r="H5" s="262" t="s">
        <v>36</v>
      </c>
      <c r="I5" s="262" t="s">
        <v>18</v>
      </c>
      <c r="J5" s="262" t="s">
        <v>37</v>
      </c>
      <c r="K5" s="263" t="s">
        <v>326</v>
      </c>
      <c r="L5" s="261">
        <f t="shared" si="0"/>
        <v>46199</v>
      </c>
    </row>
    <row r="6" spans="1:12" ht="374.4" customHeight="1" x14ac:dyDescent="0.3">
      <c r="A6" s="261">
        <v>46142</v>
      </c>
      <c r="B6" s="261">
        <v>46202</v>
      </c>
      <c r="C6" s="262" t="s">
        <v>13</v>
      </c>
      <c r="D6" s="262" t="s">
        <v>14</v>
      </c>
      <c r="E6" s="263" t="s">
        <v>15</v>
      </c>
      <c r="F6" s="263" t="s">
        <v>16</v>
      </c>
      <c r="G6" s="273">
        <v>251413.01</v>
      </c>
      <c r="H6" s="262" t="s">
        <v>17</v>
      </c>
      <c r="I6" s="262" t="s">
        <v>18</v>
      </c>
      <c r="J6" s="262" t="s">
        <v>19</v>
      </c>
      <c r="K6" s="263" t="s">
        <v>20</v>
      </c>
      <c r="L6" s="261">
        <f t="shared" si="0"/>
        <v>46202</v>
      </c>
    </row>
    <row r="7" spans="1:12" x14ac:dyDescent="0.3">
      <c r="A7" s="261">
        <v>46182</v>
      </c>
      <c r="B7" s="261">
        <v>46203</v>
      </c>
      <c r="C7" s="262" t="s">
        <v>26</v>
      </c>
      <c r="D7" s="262" t="s">
        <v>27</v>
      </c>
      <c r="E7" s="263" t="s">
        <v>28</v>
      </c>
      <c r="F7" s="263" t="s">
        <v>29</v>
      </c>
      <c r="G7" s="273">
        <v>62080.45</v>
      </c>
      <c r="H7" s="262" t="s">
        <v>30</v>
      </c>
      <c r="I7" s="262" t="s">
        <v>18</v>
      </c>
      <c r="J7" s="262" t="s">
        <v>31</v>
      </c>
      <c r="K7" s="263" t="s">
        <v>32</v>
      </c>
      <c r="L7" s="261">
        <f t="shared" si="0"/>
        <v>46203</v>
      </c>
    </row>
    <row r="8" spans="1:12" x14ac:dyDescent="0.3">
      <c r="A8" s="261">
        <v>46190</v>
      </c>
      <c r="B8" s="261">
        <v>46206</v>
      </c>
      <c r="C8" s="262" t="s">
        <v>51</v>
      </c>
      <c r="D8" s="262" t="s">
        <v>52</v>
      </c>
      <c r="E8" s="263" t="s">
        <v>53</v>
      </c>
      <c r="F8" s="263" t="s">
        <v>54</v>
      </c>
      <c r="G8" s="273">
        <v>22505.72</v>
      </c>
      <c r="H8" s="262" t="s">
        <v>30</v>
      </c>
      <c r="I8" s="262" t="s">
        <v>18</v>
      </c>
      <c r="J8" s="262" t="s">
        <v>37</v>
      </c>
      <c r="K8" s="263" t="s">
        <v>55</v>
      </c>
      <c r="L8" s="261">
        <f t="shared" si="0"/>
        <v>46206</v>
      </c>
    </row>
    <row r="9" spans="1:12" ht="28.8" customHeight="1" x14ac:dyDescent="0.3">
      <c r="A9" s="261">
        <v>46167</v>
      </c>
      <c r="B9" s="261">
        <v>46213</v>
      </c>
      <c r="C9" s="262" t="s">
        <v>56</v>
      </c>
      <c r="D9" s="262" t="s">
        <v>57</v>
      </c>
      <c r="E9" s="263" t="s">
        <v>58</v>
      </c>
      <c r="F9" s="263" t="s">
        <v>59</v>
      </c>
      <c r="G9" s="273">
        <v>220505.60000000001</v>
      </c>
      <c r="H9" s="262" t="s">
        <v>60</v>
      </c>
      <c r="I9" s="262" t="s">
        <v>18</v>
      </c>
      <c r="J9" s="262" t="s">
        <v>31</v>
      </c>
      <c r="K9" s="263" t="s">
        <v>61</v>
      </c>
      <c r="L9" s="261">
        <f t="shared" si="0"/>
        <v>46213</v>
      </c>
    </row>
    <row r="10" spans="1:12" ht="28.8" customHeight="1" x14ac:dyDescent="0.3">
      <c r="A10" s="261">
        <v>46185</v>
      </c>
      <c r="B10" s="261">
        <v>46213</v>
      </c>
      <c r="C10" s="262" t="s">
        <v>62</v>
      </c>
      <c r="D10" s="262" t="s">
        <v>63</v>
      </c>
      <c r="E10" s="263" t="s">
        <v>64</v>
      </c>
      <c r="F10" s="263" t="s">
        <v>65</v>
      </c>
      <c r="G10" s="273">
        <v>109947.56</v>
      </c>
      <c r="H10" s="262" t="s">
        <v>60</v>
      </c>
      <c r="I10" s="262" t="s">
        <v>18</v>
      </c>
      <c r="J10" s="262" t="s">
        <v>37</v>
      </c>
      <c r="K10" s="263" t="s">
        <v>66</v>
      </c>
      <c r="L10" s="261">
        <f t="shared" si="0"/>
        <v>46213</v>
      </c>
    </row>
    <row r="11" spans="1:12" ht="57.6" customHeight="1" x14ac:dyDescent="0.3">
      <c r="A11" s="261">
        <v>46195</v>
      </c>
      <c r="B11" s="261">
        <v>46213</v>
      </c>
      <c r="C11" s="262" t="s">
        <v>67</v>
      </c>
      <c r="D11" s="262" t="s">
        <v>68</v>
      </c>
      <c r="E11" s="263" t="s">
        <v>67</v>
      </c>
      <c r="F11" s="263" t="s">
        <v>69</v>
      </c>
      <c r="G11" s="273">
        <v>37443.69</v>
      </c>
      <c r="H11" s="262" t="s">
        <v>70</v>
      </c>
      <c r="I11" s="262" t="s">
        <v>18</v>
      </c>
      <c r="J11" s="262" t="s">
        <v>71</v>
      </c>
      <c r="K11" s="263" t="s">
        <v>72</v>
      </c>
      <c r="L11" s="261">
        <f t="shared" si="0"/>
        <v>46213</v>
      </c>
    </row>
    <row r="12" spans="1:12" x14ac:dyDescent="0.3">
      <c r="A12" s="261">
        <v>46171</v>
      </c>
      <c r="B12" s="261">
        <v>46227</v>
      </c>
      <c r="C12" s="262" t="s">
        <v>84</v>
      </c>
      <c r="D12" s="262" t="s">
        <v>85</v>
      </c>
      <c r="E12" s="263" t="s">
        <v>86</v>
      </c>
      <c r="F12" s="263" t="s">
        <v>87</v>
      </c>
      <c r="G12" s="273">
        <v>18400</v>
      </c>
      <c r="H12" s="262" t="s">
        <v>30</v>
      </c>
      <c r="I12" s="262" t="s">
        <v>18</v>
      </c>
      <c r="J12" s="262" t="s">
        <v>31</v>
      </c>
      <c r="K12" s="263" t="s">
        <v>88</v>
      </c>
      <c r="L12" s="261">
        <f t="shared" si="0"/>
        <v>46227</v>
      </c>
    </row>
    <row r="13" spans="1:12" ht="28.8" customHeight="1" x14ac:dyDescent="0.3">
      <c r="A13" s="261">
        <v>46155</v>
      </c>
      <c r="B13" s="261">
        <v>46233</v>
      </c>
      <c r="C13" s="262" t="s">
        <v>93</v>
      </c>
      <c r="D13" s="262" t="s">
        <v>94</v>
      </c>
      <c r="E13" s="263" t="s">
        <v>95</v>
      </c>
      <c r="F13" s="263" t="s">
        <v>96</v>
      </c>
      <c r="G13" s="273">
        <v>523356</v>
      </c>
      <c r="H13" s="262" t="s">
        <v>97</v>
      </c>
      <c r="I13" s="262" t="s">
        <v>18</v>
      </c>
      <c r="J13" s="262" t="s">
        <v>31</v>
      </c>
      <c r="K13" s="263" t="s">
        <v>98</v>
      </c>
      <c r="L13" s="261">
        <f t="shared" si="0"/>
        <v>46233</v>
      </c>
    </row>
    <row r="14" spans="1:12" ht="57.6" customHeight="1" x14ac:dyDescent="0.3">
      <c r="A14" s="261">
        <v>46190</v>
      </c>
      <c r="B14" s="261">
        <v>46233</v>
      </c>
      <c r="C14" s="262" t="s">
        <v>99</v>
      </c>
      <c r="D14" s="262" t="s">
        <v>100</v>
      </c>
      <c r="E14" s="263" t="s">
        <v>101</v>
      </c>
      <c r="F14" s="263" t="s">
        <v>24</v>
      </c>
      <c r="G14" s="273">
        <v>149545.07999999999</v>
      </c>
      <c r="H14" s="262" t="s">
        <v>17</v>
      </c>
      <c r="I14" s="262" t="s">
        <v>18</v>
      </c>
      <c r="J14" s="262" t="s">
        <v>31</v>
      </c>
      <c r="K14" s="263" t="s">
        <v>102</v>
      </c>
      <c r="L14" s="261">
        <f t="shared" si="0"/>
        <v>46233</v>
      </c>
    </row>
    <row r="15" spans="1:12" x14ac:dyDescent="0.3">
      <c r="A15" s="257">
        <v>46170</v>
      </c>
      <c r="B15" s="257">
        <v>46234</v>
      </c>
      <c r="C15" s="258" t="s">
        <v>21</v>
      </c>
      <c r="D15" s="258" t="s">
        <v>89</v>
      </c>
      <c r="E15" s="259" t="s">
        <v>90</v>
      </c>
      <c r="F15" s="259" t="s">
        <v>91</v>
      </c>
      <c r="G15" s="274">
        <v>1860403.01</v>
      </c>
      <c r="H15" s="258" t="s">
        <v>30</v>
      </c>
      <c r="I15" s="258" t="s">
        <v>21</v>
      </c>
      <c r="J15" s="258"/>
      <c r="K15" s="259" t="s">
        <v>92</v>
      </c>
      <c r="L15" s="257">
        <f t="shared" si="0"/>
        <v>46234</v>
      </c>
    </row>
    <row r="16" spans="1:12" x14ac:dyDescent="0.3">
      <c r="A16" s="257">
        <v>46111</v>
      </c>
      <c r="B16" s="257">
        <v>46234</v>
      </c>
      <c r="C16" s="258" t="s">
        <v>166</v>
      </c>
      <c r="D16" s="258" t="s">
        <v>167</v>
      </c>
      <c r="E16" s="259" t="s">
        <v>168</v>
      </c>
      <c r="F16" s="259" t="s">
        <v>169</v>
      </c>
      <c r="G16" s="274">
        <v>169353.60000000001</v>
      </c>
      <c r="H16" s="258" t="s">
        <v>30</v>
      </c>
      <c r="I16" s="258" t="s">
        <v>21</v>
      </c>
      <c r="J16" s="258"/>
      <c r="K16" s="259" t="s">
        <v>170</v>
      </c>
      <c r="L16" s="257">
        <f t="shared" si="0"/>
        <v>46234</v>
      </c>
    </row>
    <row r="17" spans="1:12" ht="144" customHeight="1" x14ac:dyDescent="0.3">
      <c r="A17" s="257">
        <v>46128</v>
      </c>
      <c r="B17" s="257">
        <v>46234</v>
      </c>
      <c r="C17" s="258" t="s">
        <v>21</v>
      </c>
      <c r="D17" s="258" t="s">
        <v>103</v>
      </c>
      <c r="E17" s="259" t="s">
        <v>104</v>
      </c>
      <c r="F17" s="259" t="s">
        <v>105</v>
      </c>
      <c r="G17" s="274">
        <v>82900.05</v>
      </c>
      <c r="H17" s="258" t="s">
        <v>30</v>
      </c>
      <c r="I17" s="258" t="s">
        <v>21</v>
      </c>
      <c r="J17" s="258"/>
      <c r="K17" s="259" t="s">
        <v>106</v>
      </c>
      <c r="L17" s="257">
        <f t="shared" si="0"/>
        <v>46234</v>
      </c>
    </row>
    <row r="18" spans="1:12" ht="86.4" customHeight="1" x14ac:dyDescent="0.3">
      <c r="A18" s="257">
        <v>46142</v>
      </c>
      <c r="B18" s="257">
        <v>46234</v>
      </c>
      <c r="C18" s="258" t="s">
        <v>107</v>
      </c>
      <c r="D18" s="258" t="s">
        <v>108</v>
      </c>
      <c r="E18" s="259" t="s">
        <v>109</v>
      </c>
      <c r="F18" s="259" t="s">
        <v>110</v>
      </c>
      <c r="G18" s="274">
        <v>310411</v>
      </c>
      <c r="H18" s="258" t="s">
        <v>111</v>
      </c>
      <c r="I18" s="258" t="s">
        <v>21</v>
      </c>
      <c r="J18" s="258"/>
      <c r="K18" s="259" t="s">
        <v>112</v>
      </c>
      <c r="L18" s="257">
        <f t="shared" si="0"/>
        <v>46234</v>
      </c>
    </row>
    <row r="19" spans="1:12" x14ac:dyDescent="0.3">
      <c r="A19" s="257">
        <v>46142</v>
      </c>
      <c r="B19" s="257">
        <v>46234</v>
      </c>
      <c r="C19" s="258" t="s">
        <v>21</v>
      </c>
      <c r="D19" s="258" t="s">
        <v>113</v>
      </c>
      <c r="E19" s="259" t="s">
        <v>114</v>
      </c>
      <c r="F19" s="259" t="s">
        <v>115</v>
      </c>
      <c r="G19" s="274">
        <v>204447</v>
      </c>
      <c r="H19" s="258" t="s">
        <v>17</v>
      </c>
      <c r="I19" s="258" t="s">
        <v>21</v>
      </c>
      <c r="J19" s="258"/>
      <c r="K19" s="259" t="s">
        <v>116</v>
      </c>
      <c r="L19" s="257">
        <f t="shared" si="0"/>
        <v>46234</v>
      </c>
    </row>
    <row r="20" spans="1:12" x14ac:dyDescent="0.3">
      <c r="F20" s="265" t="s">
        <v>117</v>
      </c>
      <c r="G20" s="275">
        <f>SUMIF(I3:I19,"&lt;&gt;Pending",G3:G19)</f>
        <v>1472494.36</v>
      </c>
    </row>
    <row r="22" spans="1:12" x14ac:dyDescent="0.3">
      <c r="F22" s="267" t="s">
        <v>118</v>
      </c>
    </row>
    <row r="23" spans="1:12" x14ac:dyDescent="0.3">
      <c r="F23" t="s">
        <v>119</v>
      </c>
      <c r="G23" s="166">
        <f ca="1">SUMIFS(G3:G19, J3:J19, "*CASH SALE*", L3:L19, "&gt;="&amp;EOMONTH(TODAY(),-1)+1, L3:L19, "&lt;="&amp;EOMONTH(TODAY(),0), I3:I19, "&lt;&gt;Pending")</f>
        <v>169896.97</v>
      </c>
      <c r="I23" t="s">
        <v>120</v>
      </c>
      <c r="J23" s="18">
        <f ca="1">SUMIFS(G3:G19, J3:J19, "*CASH SALE*", L3:L19, "&gt;="&amp;EOMONTH(TODAY(),0)+1, L3:L19, "&lt;="&amp;EOMONTH(TODAY(),1), I3:I19, "&lt;&gt;Pending")</f>
        <v>0</v>
      </c>
    </row>
    <row r="24" spans="1:12" x14ac:dyDescent="0.3">
      <c r="F24" t="s">
        <v>121</v>
      </c>
      <c r="G24" s="166">
        <f ca="1">SUMIFS(G3:G19, J3:J19, "*ACCOUNT*", L3:L19, "&gt;="&amp;EOMONTH(TODAY(),-1)+1, L3:L19, "&lt;="&amp;EOMONTH(TODAY(),0), I3:I19, "&lt;&gt;Pending")</f>
        <v>911806.67999999993</v>
      </c>
      <c r="I24" t="s">
        <v>122</v>
      </c>
      <c r="J24" s="18">
        <f ca="1">SUMIFS(G3:G19, J3:J19, "*ACCOUNT*", L3:L19, "&gt;="&amp;EOMONTH(TODAY(),0)+1, L3:L19, "&lt;="&amp;EOMONTH(TODAY(),1), I3:I19, "&lt;&gt;Pending")</f>
        <v>0</v>
      </c>
    </row>
    <row r="27" spans="1:12" ht="28.8" customHeight="1" x14ac:dyDescent="0.3">
      <c r="A27" s="256" t="s">
        <v>1</v>
      </c>
      <c r="B27" s="256" t="s">
        <v>2</v>
      </c>
      <c r="C27" s="256" t="s">
        <v>3</v>
      </c>
      <c r="D27" s="256" t="s">
        <v>4</v>
      </c>
      <c r="E27" s="256" t="s">
        <v>5</v>
      </c>
      <c r="F27" s="256" t="s">
        <v>6</v>
      </c>
      <c r="G27" s="272" t="s">
        <v>7</v>
      </c>
      <c r="H27" s="256" t="s">
        <v>8</v>
      </c>
      <c r="I27" s="256" t="s">
        <v>9</v>
      </c>
      <c r="J27" s="256" t="s">
        <v>10</v>
      </c>
      <c r="K27" s="256" t="s">
        <v>123</v>
      </c>
    </row>
    <row r="28" spans="1:12" ht="28.8" customHeight="1" x14ac:dyDescent="0.3">
      <c r="A28" s="268">
        <v>46142</v>
      </c>
      <c r="B28" s="268">
        <v>46196.444967974538</v>
      </c>
      <c r="C28" s="269" t="s">
        <v>21</v>
      </c>
      <c r="D28" s="269" t="s">
        <v>22</v>
      </c>
      <c r="E28" s="269" t="s">
        <v>23</v>
      </c>
      <c r="F28" s="269" t="s">
        <v>24</v>
      </c>
      <c r="G28" s="274">
        <v>426010.6</v>
      </c>
      <c r="H28" s="269" t="s">
        <v>17</v>
      </c>
      <c r="I28" s="269" t="s">
        <v>21</v>
      </c>
      <c r="J28" s="269"/>
      <c r="K28" s="259"/>
      <c r="L28" s="270"/>
    </row>
    <row r="29" spans="1:12" x14ac:dyDescent="0.3">
      <c r="F29" s="265" t="s">
        <v>124</v>
      </c>
      <c r="G29" s="275">
        <f>SUM(G28:G28)</f>
        <v>426010.6</v>
      </c>
    </row>
    <row r="31" spans="1:12" x14ac:dyDescent="0.3">
      <c r="F31" s="265" t="s">
        <v>125</v>
      </c>
      <c r="G31" s="275">
        <f>SUMIFS(G3:G19, I3:I19, "*Ready*Dispatch*")</f>
        <v>0</v>
      </c>
    </row>
    <row r="34" spans="1:4" x14ac:dyDescent="0.3">
      <c r="A34" s="386" t="s">
        <v>212</v>
      </c>
      <c r="B34" s="367"/>
      <c r="C34" s="367"/>
      <c r="D34" s="367"/>
    </row>
    <row r="35" spans="1:4" x14ac:dyDescent="0.3">
      <c r="A35" s="386" t="s">
        <v>127</v>
      </c>
      <c r="B35" s="367"/>
      <c r="C35" s="367"/>
      <c r="D35" s="367"/>
    </row>
  </sheetData>
  <mergeCells count="3">
    <mergeCell ref="A1:D1"/>
    <mergeCell ref="A35:D35"/>
    <mergeCell ref="A34:D34"/>
  </mergeCells>
  <pageMargins left="0.25" right="0.25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29"/>
  <sheetViews>
    <sheetView zoomScale="70" zoomScaleNormal="70" workbookViewId="0">
      <pane xSplit="4" ySplit="2" topLeftCell="E15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9.109375" style="115" bestFit="1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276" t="s">
        <v>0</v>
      </c>
      <c r="K1" s="277">
        <f ca="1">TODAY()</f>
        <v>46211</v>
      </c>
    </row>
    <row r="2" spans="1:12" ht="43.2" customHeight="1" x14ac:dyDescent="0.3">
      <c r="A2" s="278" t="s">
        <v>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6</v>
      </c>
      <c r="G2" s="278" t="s">
        <v>7</v>
      </c>
      <c r="H2" s="278" t="s">
        <v>8</v>
      </c>
      <c r="I2" s="278" t="s">
        <v>9</v>
      </c>
      <c r="J2" s="278" t="s">
        <v>10</v>
      </c>
      <c r="K2" s="278" t="s">
        <v>11</v>
      </c>
      <c r="L2" s="278" t="s">
        <v>12</v>
      </c>
    </row>
    <row r="3" spans="1:12" x14ac:dyDescent="0.3">
      <c r="A3" s="283">
        <v>46195</v>
      </c>
      <c r="B3" s="283">
        <v>46198</v>
      </c>
      <c r="C3" s="284" t="s">
        <v>323</v>
      </c>
      <c r="D3" s="284" t="s">
        <v>324</v>
      </c>
      <c r="E3" s="285" t="s">
        <v>325</v>
      </c>
      <c r="F3" s="285" t="s">
        <v>251</v>
      </c>
      <c r="G3" s="286">
        <v>7228.9</v>
      </c>
      <c r="H3" s="284" t="s">
        <v>36</v>
      </c>
      <c r="I3" s="284" t="s">
        <v>18</v>
      </c>
      <c r="J3" s="284" t="s">
        <v>37</v>
      </c>
      <c r="K3" s="285" t="s">
        <v>326</v>
      </c>
      <c r="L3" s="283">
        <f t="shared" ref="L3:L19" si="0">B3</f>
        <v>46198</v>
      </c>
    </row>
    <row r="4" spans="1:12" ht="409.6" customHeight="1" x14ac:dyDescent="0.3">
      <c r="A4" s="283">
        <v>46142</v>
      </c>
      <c r="B4" s="283">
        <v>46202</v>
      </c>
      <c r="C4" s="284" t="s">
        <v>13</v>
      </c>
      <c r="D4" s="284" t="s">
        <v>14</v>
      </c>
      <c r="E4" s="285" t="s">
        <v>15</v>
      </c>
      <c r="F4" s="285" t="s">
        <v>16</v>
      </c>
      <c r="G4" s="286">
        <v>251413.01</v>
      </c>
      <c r="H4" s="284" t="s">
        <v>17</v>
      </c>
      <c r="I4" s="284" t="s">
        <v>18</v>
      </c>
      <c r="J4" s="284" t="s">
        <v>19</v>
      </c>
      <c r="K4" s="285" t="s">
        <v>20</v>
      </c>
      <c r="L4" s="283">
        <f t="shared" si="0"/>
        <v>46202</v>
      </c>
    </row>
    <row r="5" spans="1:12" x14ac:dyDescent="0.3">
      <c r="A5" s="283">
        <v>46182</v>
      </c>
      <c r="B5" s="283">
        <v>46203</v>
      </c>
      <c r="C5" s="284" t="s">
        <v>26</v>
      </c>
      <c r="D5" s="284" t="s">
        <v>27</v>
      </c>
      <c r="E5" s="285" t="s">
        <v>28</v>
      </c>
      <c r="F5" s="285" t="s">
        <v>29</v>
      </c>
      <c r="G5" s="286">
        <v>62080.45</v>
      </c>
      <c r="H5" s="284" t="s">
        <v>30</v>
      </c>
      <c r="I5" s="284" t="s">
        <v>18</v>
      </c>
      <c r="J5" s="284" t="s">
        <v>31</v>
      </c>
      <c r="K5" s="285" t="s">
        <v>32</v>
      </c>
      <c r="L5" s="283">
        <f t="shared" si="0"/>
        <v>46203</v>
      </c>
    </row>
    <row r="6" spans="1:12" x14ac:dyDescent="0.3">
      <c r="A6" s="291">
        <v>46185</v>
      </c>
      <c r="B6" s="291">
        <v>46203</v>
      </c>
      <c r="C6" s="292" t="s">
        <v>286</v>
      </c>
      <c r="D6" s="292" t="s">
        <v>287</v>
      </c>
      <c r="E6" s="293" t="s">
        <v>75</v>
      </c>
      <c r="F6" s="293" t="s">
        <v>215</v>
      </c>
      <c r="G6" s="294" t="s">
        <v>327</v>
      </c>
      <c r="H6" s="292" t="s">
        <v>60</v>
      </c>
      <c r="I6" s="295" t="s">
        <v>18</v>
      </c>
      <c r="J6" s="292" t="s">
        <v>37</v>
      </c>
      <c r="K6" s="297" t="s">
        <v>328</v>
      </c>
      <c r="L6" s="296">
        <f t="shared" si="0"/>
        <v>46203</v>
      </c>
    </row>
    <row r="7" spans="1:12" ht="57.6" customHeight="1" x14ac:dyDescent="0.3">
      <c r="A7" s="283">
        <v>46190</v>
      </c>
      <c r="B7" s="283">
        <v>46203</v>
      </c>
      <c r="C7" s="284" t="s">
        <v>99</v>
      </c>
      <c r="D7" s="284" t="s">
        <v>100</v>
      </c>
      <c r="E7" s="285" t="s">
        <v>101</v>
      </c>
      <c r="F7" s="285" t="s">
        <v>24</v>
      </c>
      <c r="G7" s="286">
        <v>149545.07999999999</v>
      </c>
      <c r="H7" s="284" t="s">
        <v>17</v>
      </c>
      <c r="I7" s="284" t="s">
        <v>18</v>
      </c>
      <c r="J7" s="284" t="s">
        <v>31</v>
      </c>
      <c r="K7" s="285" t="s">
        <v>102</v>
      </c>
      <c r="L7" s="283">
        <f t="shared" si="0"/>
        <v>46203</v>
      </c>
    </row>
    <row r="8" spans="1:12" x14ac:dyDescent="0.3">
      <c r="A8" s="279">
        <v>46197</v>
      </c>
      <c r="B8" s="279">
        <v>46203</v>
      </c>
      <c r="C8" s="280" t="s">
        <v>33</v>
      </c>
      <c r="D8" s="280" t="s">
        <v>34</v>
      </c>
      <c r="E8" s="281" t="s">
        <v>33</v>
      </c>
      <c r="F8" s="281" t="s">
        <v>35</v>
      </c>
      <c r="G8" s="282">
        <v>6013.35</v>
      </c>
      <c r="H8" s="280" t="s">
        <v>36</v>
      </c>
      <c r="I8" s="280" t="s">
        <v>21</v>
      </c>
      <c r="J8" s="280"/>
      <c r="K8" s="281" t="s">
        <v>38</v>
      </c>
      <c r="L8" s="279">
        <f t="shared" si="0"/>
        <v>46203</v>
      </c>
    </row>
    <row r="9" spans="1:12" x14ac:dyDescent="0.3">
      <c r="A9" s="283">
        <v>46190</v>
      </c>
      <c r="B9" s="283">
        <v>46206</v>
      </c>
      <c r="C9" s="284" t="s">
        <v>51</v>
      </c>
      <c r="D9" s="284" t="s">
        <v>52</v>
      </c>
      <c r="E9" s="285" t="s">
        <v>53</v>
      </c>
      <c r="F9" s="285" t="s">
        <v>54</v>
      </c>
      <c r="G9" s="286">
        <v>22505.72</v>
      </c>
      <c r="H9" s="284" t="s">
        <v>30</v>
      </c>
      <c r="I9" s="284" t="s">
        <v>18</v>
      </c>
      <c r="J9" s="284" t="s">
        <v>37</v>
      </c>
      <c r="K9" s="285" t="s">
        <v>55</v>
      </c>
      <c r="L9" s="283">
        <f t="shared" si="0"/>
        <v>46206</v>
      </c>
    </row>
    <row r="10" spans="1:12" ht="28.8" customHeight="1" x14ac:dyDescent="0.3">
      <c r="A10" s="283">
        <v>46167</v>
      </c>
      <c r="B10" s="283">
        <v>46213</v>
      </c>
      <c r="C10" s="284" t="s">
        <v>56</v>
      </c>
      <c r="D10" s="284" t="s">
        <v>57</v>
      </c>
      <c r="E10" s="285" t="s">
        <v>58</v>
      </c>
      <c r="F10" s="285" t="s">
        <v>59</v>
      </c>
      <c r="G10" s="286">
        <v>220505.60000000001</v>
      </c>
      <c r="H10" s="284" t="s">
        <v>60</v>
      </c>
      <c r="I10" s="284" t="s">
        <v>18</v>
      </c>
      <c r="J10" s="284" t="s">
        <v>31</v>
      </c>
      <c r="K10" s="285" t="s">
        <v>61</v>
      </c>
      <c r="L10" s="283">
        <f t="shared" si="0"/>
        <v>46213</v>
      </c>
    </row>
    <row r="11" spans="1:12" ht="28.8" customHeight="1" x14ac:dyDescent="0.3">
      <c r="A11" s="283">
        <v>46185</v>
      </c>
      <c r="B11" s="283">
        <v>46213</v>
      </c>
      <c r="C11" s="284" t="s">
        <v>62</v>
      </c>
      <c r="D11" s="284" t="s">
        <v>63</v>
      </c>
      <c r="E11" s="285" t="s">
        <v>64</v>
      </c>
      <c r="F11" s="285" t="s">
        <v>65</v>
      </c>
      <c r="G11" s="286">
        <v>109947.56</v>
      </c>
      <c r="H11" s="284" t="s">
        <v>60</v>
      </c>
      <c r="I11" s="284" t="s">
        <v>18</v>
      </c>
      <c r="J11" s="284" t="s">
        <v>37</v>
      </c>
      <c r="K11" s="285" t="s">
        <v>66</v>
      </c>
      <c r="L11" s="283">
        <f t="shared" si="0"/>
        <v>46213</v>
      </c>
    </row>
    <row r="12" spans="1:12" ht="57.6" customHeight="1" x14ac:dyDescent="0.3">
      <c r="A12" s="283">
        <v>46195</v>
      </c>
      <c r="B12" s="283">
        <v>46213</v>
      </c>
      <c r="C12" s="284" t="s">
        <v>67</v>
      </c>
      <c r="D12" s="284" t="s">
        <v>68</v>
      </c>
      <c r="E12" s="285" t="s">
        <v>67</v>
      </c>
      <c r="F12" s="285" t="s">
        <v>69</v>
      </c>
      <c r="G12" s="286">
        <v>37443.69</v>
      </c>
      <c r="H12" s="284" t="s">
        <v>70</v>
      </c>
      <c r="I12" s="284" t="s">
        <v>18</v>
      </c>
      <c r="J12" s="284" t="s">
        <v>71</v>
      </c>
      <c r="K12" s="285" t="s">
        <v>72</v>
      </c>
      <c r="L12" s="283">
        <f t="shared" si="0"/>
        <v>46213</v>
      </c>
    </row>
    <row r="13" spans="1:12" x14ac:dyDescent="0.3">
      <c r="A13" s="283">
        <v>46171</v>
      </c>
      <c r="B13" s="283">
        <v>46227</v>
      </c>
      <c r="C13" s="284" t="s">
        <v>84</v>
      </c>
      <c r="D13" s="284" t="s">
        <v>85</v>
      </c>
      <c r="E13" s="285" t="s">
        <v>86</v>
      </c>
      <c r="F13" s="285" t="s">
        <v>87</v>
      </c>
      <c r="G13" s="286">
        <v>18400</v>
      </c>
      <c r="H13" s="284" t="s">
        <v>30</v>
      </c>
      <c r="I13" s="284" t="s">
        <v>18</v>
      </c>
      <c r="J13" s="284" t="s">
        <v>31</v>
      </c>
      <c r="K13" s="285" t="s">
        <v>88</v>
      </c>
      <c r="L13" s="283">
        <f t="shared" si="0"/>
        <v>46227</v>
      </c>
    </row>
    <row r="14" spans="1:12" ht="28.8" customHeight="1" x14ac:dyDescent="0.3">
      <c r="A14" s="283">
        <v>46155</v>
      </c>
      <c r="B14" s="283">
        <v>46233</v>
      </c>
      <c r="C14" s="284" t="s">
        <v>93</v>
      </c>
      <c r="D14" s="284" t="s">
        <v>94</v>
      </c>
      <c r="E14" s="285" t="s">
        <v>95</v>
      </c>
      <c r="F14" s="285" t="s">
        <v>96</v>
      </c>
      <c r="G14" s="286">
        <v>523356</v>
      </c>
      <c r="H14" s="284" t="s">
        <v>97</v>
      </c>
      <c r="I14" s="284" t="s">
        <v>18</v>
      </c>
      <c r="J14" s="284" t="s">
        <v>31</v>
      </c>
      <c r="K14" s="285" t="s">
        <v>98</v>
      </c>
      <c r="L14" s="283">
        <f t="shared" si="0"/>
        <v>46233</v>
      </c>
    </row>
    <row r="15" spans="1:12" x14ac:dyDescent="0.3">
      <c r="A15" s="279">
        <v>46170</v>
      </c>
      <c r="B15" s="279">
        <v>46233</v>
      </c>
      <c r="C15" s="280" t="s">
        <v>21</v>
      </c>
      <c r="D15" s="280" t="s">
        <v>89</v>
      </c>
      <c r="E15" s="281" t="s">
        <v>90</v>
      </c>
      <c r="F15" s="281" t="s">
        <v>91</v>
      </c>
      <c r="G15" s="282">
        <v>1860403.01</v>
      </c>
      <c r="H15" s="280" t="s">
        <v>30</v>
      </c>
      <c r="I15" s="280" t="s">
        <v>21</v>
      </c>
      <c r="J15" s="280"/>
      <c r="K15" s="281" t="s">
        <v>92</v>
      </c>
      <c r="L15" s="279">
        <f t="shared" si="0"/>
        <v>46233</v>
      </c>
    </row>
    <row r="16" spans="1:12" x14ac:dyDescent="0.3">
      <c r="A16" s="279">
        <v>46111</v>
      </c>
      <c r="B16" s="279">
        <v>46234</v>
      </c>
      <c r="C16" s="280" t="s">
        <v>166</v>
      </c>
      <c r="D16" s="280" t="s">
        <v>167</v>
      </c>
      <c r="E16" s="281" t="s">
        <v>168</v>
      </c>
      <c r="F16" s="281" t="s">
        <v>169</v>
      </c>
      <c r="G16" s="282">
        <v>169353.60000000001</v>
      </c>
      <c r="H16" s="280" t="s">
        <v>30</v>
      </c>
      <c r="I16" s="280" t="s">
        <v>21</v>
      </c>
      <c r="J16" s="280"/>
      <c r="K16" s="281" t="s">
        <v>170</v>
      </c>
      <c r="L16" s="279">
        <f t="shared" si="0"/>
        <v>46234</v>
      </c>
    </row>
    <row r="17" spans="1:12" ht="158.4" customHeight="1" x14ac:dyDescent="0.3">
      <c r="A17" s="279">
        <v>46128</v>
      </c>
      <c r="B17" s="279">
        <v>46234</v>
      </c>
      <c r="C17" s="280" t="s">
        <v>21</v>
      </c>
      <c r="D17" s="280" t="s">
        <v>103</v>
      </c>
      <c r="E17" s="281" t="s">
        <v>104</v>
      </c>
      <c r="F17" s="281" t="s">
        <v>105</v>
      </c>
      <c r="G17" s="282">
        <v>82900.05</v>
      </c>
      <c r="H17" s="280" t="s">
        <v>30</v>
      </c>
      <c r="I17" s="280" t="s">
        <v>21</v>
      </c>
      <c r="J17" s="280"/>
      <c r="K17" s="281" t="s">
        <v>106</v>
      </c>
      <c r="L17" s="279">
        <f t="shared" si="0"/>
        <v>46234</v>
      </c>
    </row>
    <row r="18" spans="1:12" ht="86.4" customHeight="1" x14ac:dyDescent="0.3">
      <c r="A18" s="279">
        <v>46142</v>
      </c>
      <c r="B18" s="279">
        <v>46234</v>
      </c>
      <c r="C18" s="280" t="s">
        <v>107</v>
      </c>
      <c r="D18" s="280" t="s">
        <v>108</v>
      </c>
      <c r="E18" s="281" t="s">
        <v>109</v>
      </c>
      <c r="F18" s="281" t="s">
        <v>110</v>
      </c>
      <c r="G18" s="282">
        <v>310411</v>
      </c>
      <c r="H18" s="280" t="s">
        <v>111</v>
      </c>
      <c r="I18" s="280" t="s">
        <v>21</v>
      </c>
      <c r="J18" s="280"/>
      <c r="K18" s="281" t="s">
        <v>112</v>
      </c>
      <c r="L18" s="279">
        <f t="shared" si="0"/>
        <v>46234</v>
      </c>
    </row>
    <row r="19" spans="1:12" ht="28.8" customHeight="1" x14ac:dyDescent="0.3">
      <c r="A19" s="279">
        <v>46142</v>
      </c>
      <c r="B19" s="279">
        <v>46234</v>
      </c>
      <c r="C19" s="280" t="s">
        <v>21</v>
      </c>
      <c r="D19" s="280" t="s">
        <v>113</v>
      </c>
      <c r="E19" s="281" t="s">
        <v>114</v>
      </c>
      <c r="F19" s="281" t="s">
        <v>115</v>
      </c>
      <c r="G19" s="282">
        <v>204447</v>
      </c>
      <c r="H19" s="280" t="s">
        <v>17</v>
      </c>
      <c r="I19" s="280" t="s">
        <v>21</v>
      </c>
      <c r="J19" s="280"/>
      <c r="K19" s="281" t="s">
        <v>116</v>
      </c>
      <c r="L19" s="279">
        <f t="shared" si="0"/>
        <v>46234</v>
      </c>
    </row>
    <row r="20" spans="1:12" x14ac:dyDescent="0.3">
      <c r="F20" s="287" t="s">
        <v>117</v>
      </c>
      <c r="G20" s="288">
        <f>SUMIF(I3:I19,"&lt;&gt;Pending",G3:G19)</f>
        <v>1402426.0099999998</v>
      </c>
    </row>
    <row r="22" spans="1:12" x14ac:dyDescent="0.3">
      <c r="F22" s="289" t="s">
        <v>118</v>
      </c>
    </row>
    <row r="23" spans="1:12" x14ac:dyDescent="0.3">
      <c r="F23" t="s">
        <v>121</v>
      </c>
      <c r="G23" s="18">
        <f ca="1">SUMIFS(G3:G19, J3:J19, "*ACCOUNT*", L3:L19, "&gt;="&amp;EOMONTH(TODAY(),-1)+1, L3:L19, "&lt;="&amp;EOMONTH(TODAY(),0), I3:I19, "&lt;&gt;Pending")</f>
        <v>762261.6</v>
      </c>
      <c r="I23" t="s">
        <v>122</v>
      </c>
      <c r="J23" s="18">
        <f ca="1">SUMIFS(G3:G19, J3:J19, "*ACCOUNT*", L3:L19, "&gt;="&amp;EOMONTH(TODAY(),0)+1, L3:L19, "&lt;="&amp;EOMONTH(TODAY(),1), I3:I19, "&lt;&gt;Pending")</f>
        <v>0</v>
      </c>
    </row>
    <row r="25" spans="1:12" ht="28.8" customHeight="1" x14ac:dyDescent="0.3">
      <c r="A25" s="278"/>
      <c r="B25" s="278"/>
      <c r="C25" s="278"/>
      <c r="D25" s="278"/>
      <c r="E25" s="278"/>
      <c r="F25" s="278"/>
      <c r="G25" s="278"/>
      <c r="H25" s="278"/>
      <c r="I25" s="278"/>
      <c r="J25" s="278"/>
      <c r="K25" s="278"/>
    </row>
    <row r="26" spans="1:12" x14ac:dyDescent="0.3">
      <c r="A26" s="298"/>
      <c r="B26" s="298"/>
      <c r="C26" s="299"/>
      <c r="D26" s="299"/>
      <c r="E26" s="299"/>
      <c r="F26" s="299"/>
      <c r="G26" s="286"/>
      <c r="H26" s="284"/>
      <c r="I26" s="299"/>
      <c r="J26" s="299"/>
      <c r="K26" s="285"/>
    </row>
    <row r="28" spans="1:12" x14ac:dyDescent="0.3">
      <c r="A28" s="290" t="s">
        <v>212</v>
      </c>
    </row>
    <row r="29" spans="1:12" x14ac:dyDescent="0.3">
      <c r="A29" s="290" t="s">
        <v>127</v>
      </c>
    </row>
  </sheetData>
  <pageMargins left="0.25" right="0.25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31"/>
  <sheetViews>
    <sheetView zoomScale="70" zoomScaleNormal="70" workbookViewId="0">
      <pane xSplit="4" ySplit="2" topLeftCell="E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1.5546875" bestFit="1" customWidth="1"/>
    <col min="3" max="3" width="11.6640625" bestFit="1" customWidth="1"/>
    <col min="4" max="4" width="11.21875" bestFit="1" customWidth="1"/>
    <col min="5" max="5" width="19.77734375" bestFit="1" customWidth="1"/>
    <col min="6" max="6" width="29.109375" bestFit="1" customWidth="1"/>
    <col min="7" max="7" width="14.109375" bestFit="1" customWidth="1"/>
    <col min="8" max="8" width="8.88671875" style="115" bestFit="1" customWidth="1"/>
    <col min="9" max="9" width="15.21875" bestFit="1" customWidth="1"/>
    <col min="10" max="10" width="21.21875" bestFit="1" customWidth="1"/>
    <col min="11" max="11" width="68.6640625" bestFit="1" customWidth="1"/>
    <col min="12" max="12" width="12.77734375" bestFit="1" customWidth="1"/>
  </cols>
  <sheetData>
    <row r="1" spans="1:12" ht="18" customHeight="1" x14ac:dyDescent="0.35">
      <c r="A1" s="387" t="s">
        <v>0</v>
      </c>
      <c r="B1" s="369"/>
      <c r="C1" s="369"/>
      <c r="D1" s="369"/>
      <c r="K1" s="300">
        <f ca="1">TODAY()</f>
        <v>46211</v>
      </c>
    </row>
    <row r="2" spans="1:12" ht="28.8" customHeight="1" x14ac:dyDescent="0.3">
      <c r="A2" s="301" t="s">
        <v>1</v>
      </c>
      <c r="B2" s="301" t="s">
        <v>2</v>
      </c>
      <c r="C2" s="301" t="s">
        <v>3</v>
      </c>
      <c r="D2" s="301" t="s">
        <v>4</v>
      </c>
      <c r="E2" s="301" t="s">
        <v>5</v>
      </c>
      <c r="F2" s="301" t="s">
        <v>6</v>
      </c>
      <c r="G2" s="301" t="s">
        <v>7</v>
      </c>
      <c r="H2" s="301" t="s">
        <v>8</v>
      </c>
      <c r="I2" s="301" t="s">
        <v>9</v>
      </c>
      <c r="J2" s="301" t="s">
        <v>10</v>
      </c>
      <c r="K2" s="301" t="s">
        <v>11</v>
      </c>
      <c r="L2" s="301" t="s">
        <v>12</v>
      </c>
    </row>
    <row r="3" spans="1:12" ht="28.8" customHeight="1" x14ac:dyDescent="0.3">
      <c r="A3" s="306">
        <v>46188</v>
      </c>
      <c r="B3" s="306">
        <v>46198</v>
      </c>
      <c r="C3" s="307" t="s">
        <v>291</v>
      </c>
      <c r="D3" s="307" t="s">
        <v>290</v>
      </c>
      <c r="E3" s="308" t="s">
        <v>291</v>
      </c>
      <c r="F3" s="308" t="s">
        <v>292</v>
      </c>
      <c r="G3" s="309">
        <v>66649.399999999994</v>
      </c>
      <c r="H3" s="307" t="s">
        <v>17</v>
      </c>
      <c r="I3" s="307" t="s">
        <v>18</v>
      </c>
      <c r="J3" s="307" t="s">
        <v>37</v>
      </c>
      <c r="K3" s="308" t="s">
        <v>293</v>
      </c>
      <c r="L3" s="306">
        <f t="shared" ref="L3:L17" si="0">B3</f>
        <v>46198</v>
      </c>
    </row>
    <row r="4" spans="1:12" ht="288" customHeight="1" x14ac:dyDescent="0.3">
      <c r="A4" s="306">
        <v>46142</v>
      </c>
      <c r="B4" s="306">
        <v>46202</v>
      </c>
      <c r="C4" s="307" t="s">
        <v>13</v>
      </c>
      <c r="D4" s="307" t="s">
        <v>14</v>
      </c>
      <c r="E4" s="308" t="s">
        <v>15</v>
      </c>
      <c r="F4" s="308" t="s">
        <v>16</v>
      </c>
      <c r="G4" s="309">
        <v>251413.01</v>
      </c>
      <c r="H4" s="307" t="s">
        <v>17</v>
      </c>
      <c r="I4" s="307" t="s">
        <v>18</v>
      </c>
      <c r="J4" s="307" t="s">
        <v>19</v>
      </c>
      <c r="K4" s="308" t="s">
        <v>20</v>
      </c>
      <c r="L4" s="306">
        <f t="shared" si="0"/>
        <v>46202</v>
      </c>
    </row>
    <row r="5" spans="1:12" ht="28.8" customHeight="1" x14ac:dyDescent="0.3">
      <c r="A5" s="306">
        <v>46155</v>
      </c>
      <c r="B5" s="306">
        <v>46203</v>
      </c>
      <c r="C5" s="307" t="s">
        <v>93</v>
      </c>
      <c r="D5" s="307" t="s">
        <v>94</v>
      </c>
      <c r="E5" s="308" t="s">
        <v>95</v>
      </c>
      <c r="F5" s="308" t="s">
        <v>96</v>
      </c>
      <c r="G5" s="309">
        <v>523356</v>
      </c>
      <c r="H5" s="307" t="s">
        <v>97</v>
      </c>
      <c r="I5" s="307" t="s">
        <v>18</v>
      </c>
      <c r="J5" s="307" t="s">
        <v>31</v>
      </c>
      <c r="K5" s="308" t="s">
        <v>98</v>
      </c>
      <c r="L5" s="306">
        <f t="shared" si="0"/>
        <v>46203</v>
      </c>
    </row>
    <row r="6" spans="1:12" ht="43.2" customHeight="1" x14ac:dyDescent="0.3">
      <c r="A6" s="306">
        <v>46182</v>
      </c>
      <c r="B6" s="306">
        <v>46203</v>
      </c>
      <c r="C6" s="307" t="s">
        <v>26</v>
      </c>
      <c r="D6" s="307" t="s">
        <v>27</v>
      </c>
      <c r="E6" s="308" t="s">
        <v>28</v>
      </c>
      <c r="F6" s="308" t="s">
        <v>29</v>
      </c>
      <c r="G6" s="309">
        <v>62080.45</v>
      </c>
      <c r="H6" s="307" t="s">
        <v>30</v>
      </c>
      <c r="I6" s="307" t="s">
        <v>18</v>
      </c>
      <c r="J6" s="307" t="s">
        <v>31</v>
      </c>
      <c r="K6" s="308" t="s">
        <v>32</v>
      </c>
      <c r="L6" s="306">
        <f t="shared" si="0"/>
        <v>46203</v>
      </c>
    </row>
    <row r="7" spans="1:12" ht="43.2" customHeight="1" x14ac:dyDescent="0.3">
      <c r="A7" s="306">
        <v>46190</v>
      </c>
      <c r="B7" s="306">
        <v>46203</v>
      </c>
      <c r="C7" s="307" t="s">
        <v>99</v>
      </c>
      <c r="D7" s="307" t="s">
        <v>100</v>
      </c>
      <c r="E7" s="308" t="s">
        <v>101</v>
      </c>
      <c r="F7" s="308" t="s">
        <v>24</v>
      </c>
      <c r="G7" s="309">
        <v>149545.07999999999</v>
      </c>
      <c r="H7" s="307" t="s">
        <v>17</v>
      </c>
      <c r="I7" s="307" t="s">
        <v>18</v>
      </c>
      <c r="J7" s="307" t="s">
        <v>31</v>
      </c>
      <c r="K7" s="308" t="s">
        <v>102</v>
      </c>
      <c r="L7" s="306">
        <f t="shared" si="0"/>
        <v>46203</v>
      </c>
    </row>
    <row r="8" spans="1:12" x14ac:dyDescent="0.3">
      <c r="A8" s="306">
        <v>46197</v>
      </c>
      <c r="B8" s="306">
        <v>46203</v>
      </c>
      <c r="C8" s="307" t="s">
        <v>33</v>
      </c>
      <c r="D8" s="307" t="s">
        <v>34</v>
      </c>
      <c r="E8" s="308" t="s">
        <v>33</v>
      </c>
      <c r="F8" s="308" t="s">
        <v>35</v>
      </c>
      <c r="G8" s="309">
        <v>6013.35</v>
      </c>
      <c r="H8" s="307" t="s">
        <v>36</v>
      </c>
      <c r="I8" s="307" t="s">
        <v>18</v>
      </c>
      <c r="J8" s="307" t="s">
        <v>37</v>
      </c>
      <c r="K8" s="308" t="s">
        <v>38</v>
      </c>
      <c r="L8" s="306">
        <f t="shared" si="0"/>
        <v>46203</v>
      </c>
    </row>
    <row r="9" spans="1:12" ht="28.8" customHeight="1" x14ac:dyDescent="0.3">
      <c r="A9" s="306">
        <v>46190</v>
      </c>
      <c r="B9" s="306">
        <v>46206</v>
      </c>
      <c r="C9" s="307" t="s">
        <v>51</v>
      </c>
      <c r="D9" s="307" t="s">
        <v>52</v>
      </c>
      <c r="E9" s="308" t="s">
        <v>53</v>
      </c>
      <c r="F9" s="308" t="s">
        <v>54</v>
      </c>
      <c r="G9" s="309">
        <v>22505.72</v>
      </c>
      <c r="H9" s="307" t="s">
        <v>30</v>
      </c>
      <c r="I9" s="307" t="s">
        <v>18</v>
      </c>
      <c r="J9" s="307" t="s">
        <v>37</v>
      </c>
      <c r="K9" s="308" t="s">
        <v>55</v>
      </c>
      <c r="L9" s="306">
        <f t="shared" si="0"/>
        <v>46206</v>
      </c>
    </row>
    <row r="10" spans="1:12" ht="28.8" customHeight="1" x14ac:dyDescent="0.3">
      <c r="A10" s="306">
        <v>46167</v>
      </c>
      <c r="B10" s="306">
        <v>46213</v>
      </c>
      <c r="C10" s="307" t="s">
        <v>56</v>
      </c>
      <c r="D10" s="307" t="s">
        <v>57</v>
      </c>
      <c r="E10" s="308" t="s">
        <v>58</v>
      </c>
      <c r="F10" s="308" t="s">
        <v>59</v>
      </c>
      <c r="G10" s="309">
        <v>220505.60000000001</v>
      </c>
      <c r="H10" s="307" t="s">
        <v>60</v>
      </c>
      <c r="I10" s="307" t="s">
        <v>18</v>
      </c>
      <c r="J10" s="307" t="s">
        <v>31</v>
      </c>
      <c r="K10" s="308" t="s">
        <v>61</v>
      </c>
      <c r="L10" s="306">
        <f t="shared" si="0"/>
        <v>46213</v>
      </c>
    </row>
    <row r="11" spans="1:12" ht="43.2" customHeight="1" x14ac:dyDescent="0.3">
      <c r="A11" s="306">
        <v>46185</v>
      </c>
      <c r="B11" s="306">
        <v>46213</v>
      </c>
      <c r="C11" s="307" t="s">
        <v>62</v>
      </c>
      <c r="D11" s="307" t="s">
        <v>63</v>
      </c>
      <c r="E11" s="308" t="s">
        <v>64</v>
      </c>
      <c r="F11" s="308" t="s">
        <v>65</v>
      </c>
      <c r="G11" s="309">
        <v>109947.56</v>
      </c>
      <c r="H11" s="307" t="s">
        <v>60</v>
      </c>
      <c r="I11" s="307" t="s">
        <v>18</v>
      </c>
      <c r="J11" s="307" t="s">
        <v>37</v>
      </c>
      <c r="K11" s="308" t="s">
        <v>66</v>
      </c>
      <c r="L11" s="306">
        <f t="shared" si="0"/>
        <v>46213</v>
      </c>
    </row>
    <row r="12" spans="1:12" ht="43.2" customHeight="1" x14ac:dyDescent="0.3">
      <c r="A12" s="306">
        <v>46195</v>
      </c>
      <c r="B12" s="306">
        <v>46213</v>
      </c>
      <c r="C12" s="307" t="s">
        <v>67</v>
      </c>
      <c r="D12" s="307" t="s">
        <v>68</v>
      </c>
      <c r="E12" s="308" t="s">
        <v>67</v>
      </c>
      <c r="F12" s="308" t="s">
        <v>69</v>
      </c>
      <c r="G12" s="309">
        <v>37443.69</v>
      </c>
      <c r="H12" s="307" t="s">
        <v>70</v>
      </c>
      <c r="I12" s="307" t="s">
        <v>18</v>
      </c>
      <c r="J12" s="307" t="s">
        <v>71</v>
      </c>
      <c r="K12" s="308" t="s">
        <v>72</v>
      </c>
      <c r="L12" s="306">
        <f t="shared" si="0"/>
        <v>46213</v>
      </c>
    </row>
    <row r="13" spans="1:12" ht="28.8" customHeight="1" x14ac:dyDescent="0.3">
      <c r="A13" s="306">
        <v>46171</v>
      </c>
      <c r="B13" s="306">
        <v>46227</v>
      </c>
      <c r="C13" s="307" t="s">
        <v>84</v>
      </c>
      <c r="D13" s="307" t="s">
        <v>85</v>
      </c>
      <c r="E13" s="308" t="s">
        <v>86</v>
      </c>
      <c r="F13" s="308" t="s">
        <v>87</v>
      </c>
      <c r="G13" s="309">
        <v>18400</v>
      </c>
      <c r="H13" s="307" t="s">
        <v>30</v>
      </c>
      <c r="I13" s="307" t="s">
        <v>18</v>
      </c>
      <c r="J13" s="307" t="s">
        <v>31</v>
      </c>
      <c r="K13" s="308" t="s">
        <v>88</v>
      </c>
      <c r="L13" s="306">
        <f t="shared" si="0"/>
        <v>46227</v>
      </c>
    </row>
    <row r="14" spans="1:12" x14ac:dyDescent="0.3">
      <c r="A14" s="302">
        <v>46170</v>
      </c>
      <c r="B14" s="302">
        <v>46233</v>
      </c>
      <c r="C14" s="303" t="s">
        <v>21</v>
      </c>
      <c r="D14" s="303" t="s">
        <v>89</v>
      </c>
      <c r="E14" s="304" t="s">
        <v>90</v>
      </c>
      <c r="F14" s="304" t="s">
        <v>91</v>
      </c>
      <c r="G14" s="305">
        <v>1860403.01</v>
      </c>
      <c r="H14" s="303" t="s">
        <v>30</v>
      </c>
      <c r="I14" s="303" t="s">
        <v>21</v>
      </c>
      <c r="J14" s="303"/>
      <c r="K14" s="304" t="s">
        <v>92</v>
      </c>
      <c r="L14" s="302">
        <f t="shared" si="0"/>
        <v>46233</v>
      </c>
    </row>
    <row r="15" spans="1:12" ht="115.2" customHeight="1" x14ac:dyDescent="0.3">
      <c r="A15" s="302">
        <v>46142</v>
      </c>
      <c r="B15" s="302">
        <v>46234</v>
      </c>
      <c r="C15" s="303" t="s">
        <v>107</v>
      </c>
      <c r="D15" s="303" t="s">
        <v>108</v>
      </c>
      <c r="E15" s="304" t="s">
        <v>109</v>
      </c>
      <c r="F15" s="304" t="s">
        <v>110</v>
      </c>
      <c r="G15" s="305">
        <v>310411</v>
      </c>
      <c r="H15" s="303" t="s">
        <v>111</v>
      </c>
      <c r="I15" s="303" t="s">
        <v>21</v>
      </c>
      <c r="J15" s="303"/>
      <c r="K15" s="304" t="s">
        <v>112</v>
      </c>
      <c r="L15" s="302">
        <f t="shared" si="0"/>
        <v>46234</v>
      </c>
    </row>
    <row r="16" spans="1:12" ht="72" customHeight="1" x14ac:dyDescent="0.3">
      <c r="A16" s="302">
        <v>46142</v>
      </c>
      <c r="B16" s="302">
        <v>46234</v>
      </c>
      <c r="C16" s="303" t="s">
        <v>21</v>
      </c>
      <c r="D16" s="303" t="s">
        <v>113</v>
      </c>
      <c r="E16" s="304" t="s">
        <v>114</v>
      </c>
      <c r="F16" s="304" t="s">
        <v>115</v>
      </c>
      <c r="G16" s="305">
        <v>204447</v>
      </c>
      <c r="H16" s="303" t="s">
        <v>17</v>
      </c>
      <c r="I16" s="303" t="s">
        <v>21</v>
      </c>
      <c r="J16" s="303"/>
      <c r="K16" s="304" t="s">
        <v>116</v>
      </c>
      <c r="L16" s="302">
        <f t="shared" si="0"/>
        <v>46234</v>
      </c>
    </row>
    <row r="17" spans="1:12" ht="115.2" customHeight="1" x14ac:dyDescent="0.3">
      <c r="A17" s="302" t="s">
        <v>329</v>
      </c>
      <c r="B17" s="302">
        <v>46234</v>
      </c>
      <c r="C17" s="303" t="s">
        <v>21</v>
      </c>
      <c r="D17" s="303" t="s">
        <v>103</v>
      </c>
      <c r="E17" s="304" t="s">
        <v>104</v>
      </c>
      <c r="F17" s="304" t="s">
        <v>105</v>
      </c>
      <c r="G17" s="305">
        <v>82900.05</v>
      </c>
      <c r="H17" s="303" t="s">
        <v>30</v>
      </c>
      <c r="I17" s="303" t="s">
        <v>21</v>
      </c>
      <c r="J17" s="303"/>
      <c r="K17" s="304" t="s">
        <v>106</v>
      </c>
      <c r="L17" s="302">
        <f t="shared" si="0"/>
        <v>46234</v>
      </c>
    </row>
    <row r="18" spans="1:12" x14ac:dyDescent="0.3">
      <c r="F18" s="310" t="s">
        <v>117</v>
      </c>
      <c r="G18" s="311">
        <f>SUMIF(I3:I17,"&lt;&gt;Pending",G3:G17)</f>
        <v>1467859.86</v>
      </c>
    </row>
    <row r="20" spans="1:12" x14ac:dyDescent="0.3">
      <c r="F20" s="312" t="s">
        <v>118</v>
      </c>
    </row>
    <row r="21" spans="1:12" x14ac:dyDescent="0.3">
      <c r="F21" t="s">
        <v>119</v>
      </c>
      <c r="G21" s="18">
        <f ca="1">SUMIFS(G3:G17, J3:J17, "*CASH SALE*", L3:L17, "&gt;="&amp;EOMONTH(TODAY(),-1)+1, L3:L17, "&lt;="&amp;EOMONTH(TODAY(),0), I3:I17, "&lt;&gt;Pending")</f>
        <v>169896.97</v>
      </c>
      <c r="I21" t="s">
        <v>120</v>
      </c>
      <c r="J21" s="18">
        <f ca="1">SUMIFS(G3:G17, J3:J17, "*CASH SALE*", L3:L17, "&gt;="&amp;EOMONTH(TODAY(),0)+1, L3:L17, "&lt;="&amp;EOMONTH(TODAY(),1), I3:I17, "&lt;&gt;Pending")</f>
        <v>0</v>
      </c>
    </row>
    <row r="22" spans="1:12" x14ac:dyDescent="0.3">
      <c r="F22" t="s">
        <v>121</v>
      </c>
      <c r="G22" s="18">
        <f ca="1">SUMIFS(G3:G17, J3:J17, "*ACCOUNT*", L3:L17, "&gt;="&amp;EOMONTH(TODAY(),-1)+1, L3:L17, "&lt;="&amp;EOMONTH(TODAY(),0), I3:I17, "&lt;&gt;Pending")</f>
        <v>238905.60000000001</v>
      </c>
      <c r="I22" t="s">
        <v>122</v>
      </c>
      <c r="J22" s="18">
        <f ca="1">SUMIFS(G3:G17, J3:J17, "*ACCOUNT*", L3:L17, "&gt;="&amp;EOMONTH(TODAY(),0)+1, L3:L17, "&lt;="&amp;EOMONTH(TODAY(),1), I3:I17, "&lt;&gt;Pending")</f>
        <v>0</v>
      </c>
    </row>
    <row r="24" spans="1:12" ht="28.8" customHeight="1" x14ac:dyDescent="0.3">
      <c r="A24" s="301" t="s">
        <v>1</v>
      </c>
      <c r="B24" s="301" t="s">
        <v>2</v>
      </c>
      <c r="C24" s="301" t="s">
        <v>3</v>
      </c>
      <c r="D24" s="301" t="s">
        <v>4</v>
      </c>
      <c r="E24" s="301" t="s">
        <v>5</v>
      </c>
      <c r="F24" s="301" t="s">
        <v>6</v>
      </c>
      <c r="G24" s="301" t="s">
        <v>7</v>
      </c>
      <c r="H24" s="301" t="s">
        <v>8</v>
      </c>
      <c r="I24" s="301" t="s">
        <v>9</v>
      </c>
      <c r="J24" s="301" t="s">
        <v>10</v>
      </c>
      <c r="K24" s="301" t="s">
        <v>123</v>
      </c>
    </row>
    <row r="25" spans="1:12" x14ac:dyDescent="0.3">
      <c r="A25" s="313"/>
      <c r="B25" s="313"/>
      <c r="C25" s="314"/>
      <c r="D25" s="314"/>
      <c r="E25" s="314"/>
      <c r="F25" s="314"/>
      <c r="G25" s="309"/>
      <c r="H25" s="307"/>
      <c r="I25" s="314"/>
      <c r="J25" s="314"/>
      <c r="K25" s="308"/>
    </row>
    <row r="26" spans="1:12" x14ac:dyDescent="0.3">
      <c r="F26" s="310" t="s">
        <v>124</v>
      </c>
      <c r="G26" s="311">
        <f>SUM(G25:G25)</f>
        <v>0</v>
      </c>
    </row>
    <row r="28" spans="1:12" x14ac:dyDescent="0.3">
      <c r="F28" s="310" t="s">
        <v>125</v>
      </c>
      <c r="G28" s="311">
        <f>SUMIFS(G3:G17, I3:I17, "*Ready*Dispatch*")</f>
        <v>0</v>
      </c>
    </row>
    <row r="30" spans="1:12" x14ac:dyDescent="0.3">
      <c r="A30" s="388" t="s">
        <v>330</v>
      </c>
      <c r="B30" s="367"/>
      <c r="C30" s="367"/>
      <c r="D30" s="367"/>
    </row>
    <row r="31" spans="1:12" x14ac:dyDescent="0.3">
      <c r="A31" s="388" t="s">
        <v>127</v>
      </c>
      <c r="B31" s="367"/>
      <c r="C31" s="367"/>
      <c r="D31" s="367"/>
    </row>
  </sheetData>
  <mergeCells count="3">
    <mergeCell ref="A1:D1"/>
    <mergeCell ref="A31:D31"/>
    <mergeCell ref="A30:D30"/>
  </mergeCells>
  <pageMargins left="0.25" right="0.25" top="0.75" bottom="0.75" header="0.3" footer="0.3"/>
  <pageSetup scale="43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36"/>
  <sheetViews>
    <sheetView zoomScale="70" zoomScaleNormal="70" workbookViewId="0">
      <pane xSplit="4" ySplit="2" topLeftCell="E1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1.5546875" bestFit="1" customWidth="1"/>
    <col min="3" max="3" width="11.6640625" bestFit="1" customWidth="1"/>
    <col min="4" max="4" width="11.21875" bestFit="1" customWidth="1"/>
    <col min="5" max="5" width="19.77734375" bestFit="1" customWidth="1"/>
    <col min="6" max="6" width="29.109375" bestFit="1" customWidth="1"/>
    <col min="7" max="7" width="14.109375" bestFit="1" customWidth="1"/>
    <col min="8" max="8" width="8.88671875" bestFit="1" customWidth="1"/>
    <col min="9" max="9" width="15.21875" bestFit="1" customWidth="1"/>
    <col min="10" max="10" width="21.21875" bestFit="1" customWidth="1"/>
    <col min="11" max="11" width="68.6640625" bestFit="1" customWidth="1"/>
    <col min="12" max="12" width="12.77734375" bestFit="1" customWidth="1"/>
  </cols>
  <sheetData>
    <row r="1" spans="1:12" ht="18" customHeight="1" x14ac:dyDescent="0.35">
      <c r="A1" s="389" t="s">
        <v>0</v>
      </c>
      <c r="B1" s="369"/>
      <c r="C1" s="369"/>
      <c r="D1" s="369"/>
      <c r="K1" s="315">
        <f ca="1">TODAY()</f>
        <v>46211</v>
      </c>
    </row>
    <row r="2" spans="1:12" ht="28.8" customHeight="1" x14ac:dyDescent="0.3">
      <c r="A2" s="316" t="s">
        <v>1</v>
      </c>
      <c r="B2" s="316" t="s">
        <v>2</v>
      </c>
      <c r="C2" s="316" t="s">
        <v>3</v>
      </c>
      <c r="D2" s="316" t="s">
        <v>4</v>
      </c>
      <c r="E2" s="316" t="s">
        <v>5</v>
      </c>
      <c r="F2" s="316" t="s">
        <v>6</v>
      </c>
      <c r="G2" s="316" t="s">
        <v>7</v>
      </c>
      <c r="H2" s="316" t="s">
        <v>8</v>
      </c>
      <c r="I2" s="316" t="s">
        <v>9</v>
      </c>
      <c r="J2" s="316" t="s">
        <v>10</v>
      </c>
      <c r="K2" s="316" t="s">
        <v>11</v>
      </c>
      <c r="L2" s="316" t="s">
        <v>12</v>
      </c>
    </row>
    <row r="3" spans="1:12" ht="28.8" customHeight="1" x14ac:dyDescent="0.3">
      <c r="A3" s="317">
        <v>46198</v>
      </c>
      <c r="B3" s="317">
        <v>46199.39938357639</v>
      </c>
      <c r="C3" s="318" t="s">
        <v>331</v>
      </c>
      <c r="D3" s="318" t="s">
        <v>332</v>
      </c>
      <c r="E3" s="319" t="s">
        <v>250</v>
      </c>
      <c r="F3" s="319" t="s">
        <v>333</v>
      </c>
      <c r="G3" s="320">
        <v>25400.05</v>
      </c>
      <c r="H3" s="318" t="s">
        <v>43</v>
      </c>
      <c r="I3" s="318" t="s">
        <v>18</v>
      </c>
      <c r="J3" s="318" t="s">
        <v>37</v>
      </c>
      <c r="K3" s="319" t="s">
        <v>334</v>
      </c>
      <c r="L3" s="317">
        <f t="shared" ref="L3:L20" si="0">B3</f>
        <v>46199.39938357639</v>
      </c>
    </row>
    <row r="4" spans="1:12" ht="288" customHeight="1" x14ac:dyDescent="0.3">
      <c r="A4" s="325">
        <v>46142</v>
      </c>
      <c r="B4" s="325">
        <v>46202</v>
      </c>
      <c r="C4" s="326" t="s">
        <v>13</v>
      </c>
      <c r="D4" s="326" t="s">
        <v>14</v>
      </c>
      <c r="E4" s="327" t="s">
        <v>15</v>
      </c>
      <c r="F4" s="327" t="s">
        <v>16</v>
      </c>
      <c r="G4" s="328">
        <v>251413.01</v>
      </c>
      <c r="H4" s="326" t="s">
        <v>17</v>
      </c>
      <c r="I4" s="326" t="s">
        <v>18</v>
      </c>
      <c r="J4" s="326" t="s">
        <v>19</v>
      </c>
      <c r="K4" s="327" t="s">
        <v>20</v>
      </c>
      <c r="L4" s="325">
        <f t="shared" si="0"/>
        <v>46202</v>
      </c>
    </row>
    <row r="5" spans="1:12" ht="28.8" customHeight="1" x14ac:dyDescent="0.3">
      <c r="A5" s="325">
        <v>46155</v>
      </c>
      <c r="B5" s="325">
        <v>46203</v>
      </c>
      <c r="C5" s="326" t="s">
        <v>93</v>
      </c>
      <c r="D5" s="326" t="s">
        <v>94</v>
      </c>
      <c r="E5" s="327" t="s">
        <v>95</v>
      </c>
      <c r="F5" s="327" t="s">
        <v>96</v>
      </c>
      <c r="G5" s="328">
        <v>523356</v>
      </c>
      <c r="H5" s="326" t="s">
        <v>97</v>
      </c>
      <c r="I5" s="326" t="s">
        <v>18</v>
      </c>
      <c r="J5" s="326" t="s">
        <v>31</v>
      </c>
      <c r="K5" s="327" t="s">
        <v>98</v>
      </c>
      <c r="L5" s="325">
        <f t="shared" si="0"/>
        <v>46203</v>
      </c>
    </row>
    <row r="6" spans="1:12" x14ac:dyDescent="0.3">
      <c r="A6" s="325">
        <v>46182</v>
      </c>
      <c r="B6" s="325">
        <v>46203</v>
      </c>
      <c r="C6" s="326" t="s">
        <v>26</v>
      </c>
      <c r="D6" s="326" t="s">
        <v>27</v>
      </c>
      <c r="E6" s="327" t="s">
        <v>28</v>
      </c>
      <c r="F6" s="327" t="s">
        <v>29</v>
      </c>
      <c r="G6" s="328">
        <v>62080.45</v>
      </c>
      <c r="H6" s="326" t="s">
        <v>30</v>
      </c>
      <c r="I6" s="326" t="s">
        <v>18</v>
      </c>
      <c r="J6" s="326" t="s">
        <v>31</v>
      </c>
      <c r="K6" s="327" t="s">
        <v>32</v>
      </c>
      <c r="L6" s="325">
        <f t="shared" si="0"/>
        <v>46203</v>
      </c>
    </row>
    <row r="7" spans="1:12" ht="43.2" customHeight="1" x14ac:dyDescent="0.3">
      <c r="A7" s="325">
        <v>46190</v>
      </c>
      <c r="B7" s="325">
        <v>46203</v>
      </c>
      <c r="C7" s="326" t="s">
        <v>99</v>
      </c>
      <c r="D7" s="326" t="s">
        <v>100</v>
      </c>
      <c r="E7" s="327" t="s">
        <v>101</v>
      </c>
      <c r="F7" s="327" t="s">
        <v>24</v>
      </c>
      <c r="G7" s="328">
        <v>149545.07999999999</v>
      </c>
      <c r="H7" s="326" t="s">
        <v>17</v>
      </c>
      <c r="I7" s="326" t="s">
        <v>18</v>
      </c>
      <c r="J7" s="326" t="s">
        <v>31</v>
      </c>
      <c r="K7" s="327" t="s">
        <v>102</v>
      </c>
      <c r="L7" s="325">
        <f t="shared" si="0"/>
        <v>46203</v>
      </c>
    </row>
    <row r="8" spans="1:12" x14ac:dyDescent="0.3">
      <c r="A8" s="325">
        <v>46197</v>
      </c>
      <c r="B8" s="325">
        <v>46203</v>
      </c>
      <c r="C8" s="326" t="s">
        <v>33</v>
      </c>
      <c r="D8" s="326" t="s">
        <v>34</v>
      </c>
      <c r="E8" s="327" t="s">
        <v>33</v>
      </c>
      <c r="F8" s="327" t="s">
        <v>35</v>
      </c>
      <c r="G8" s="328">
        <v>6013.35</v>
      </c>
      <c r="H8" s="326" t="s">
        <v>36</v>
      </c>
      <c r="I8" s="326" t="s">
        <v>18</v>
      </c>
      <c r="J8" s="326" t="s">
        <v>37</v>
      </c>
      <c r="K8" s="327" t="s">
        <v>38</v>
      </c>
      <c r="L8" s="325">
        <f t="shared" si="0"/>
        <v>46203</v>
      </c>
    </row>
    <row r="9" spans="1:12" ht="129.6" customHeight="1" x14ac:dyDescent="0.3">
      <c r="A9" s="325">
        <v>46198</v>
      </c>
      <c r="B9" s="325">
        <v>46206</v>
      </c>
      <c r="C9" s="326" t="s">
        <v>39</v>
      </c>
      <c r="D9" s="326" t="s">
        <v>40</v>
      </c>
      <c r="E9" s="327" t="s">
        <v>41</v>
      </c>
      <c r="F9" s="327" t="s">
        <v>42</v>
      </c>
      <c r="G9" s="328">
        <v>143822.45000000001</v>
      </c>
      <c r="H9" s="326" t="s">
        <v>43</v>
      </c>
      <c r="I9" s="326" t="s">
        <v>18</v>
      </c>
      <c r="J9" s="326" t="s">
        <v>37</v>
      </c>
      <c r="K9" s="327" t="s">
        <v>44</v>
      </c>
      <c r="L9" s="325">
        <f t="shared" si="0"/>
        <v>46206</v>
      </c>
    </row>
    <row r="10" spans="1:12" x14ac:dyDescent="0.3">
      <c r="A10" s="325">
        <v>46190</v>
      </c>
      <c r="B10" s="325">
        <v>46206</v>
      </c>
      <c r="C10" s="326" t="s">
        <v>51</v>
      </c>
      <c r="D10" s="326" t="s">
        <v>52</v>
      </c>
      <c r="E10" s="327" t="s">
        <v>53</v>
      </c>
      <c r="F10" s="327" t="s">
        <v>54</v>
      </c>
      <c r="G10" s="328">
        <v>22505.72</v>
      </c>
      <c r="H10" s="326" t="s">
        <v>30</v>
      </c>
      <c r="I10" s="326" t="s">
        <v>18</v>
      </c>
      <c r="J10" s="326" t="s">
        <v>37</v>
      </c>
      <c r="K10" s="327" t="s">
        <v>55</v>
      </c>
      <c r="L10" s="325">
        <f t="shared" si="0"/>
        <v>46206</v>
      </c>
    </row>
    <row r="11" spans="1:12" ht="28.8" customHeight="1" x14ac:dyDescent="0.3">
      <c r="A11" s="325">
        <v>46167</v>
      </c>
      <c r="B11" s="325">
        <v>46213</v>
      </c>
      <c r="C11" s="326" t="s">
        <v>56</v>
      </c>
      <c r="D11" s="326" t="s">
        <v>57</v>
      </c>
      <c r="E11" s="327" t="s">
        <v>58</v>
      </c>
      <c r="F11" s="327" t="s">
        <v>59</v>
      </c>
      <c r="G11" s="328">
        <v>220505.60000000001</v>
      </c>
      <c r="H11" s="326" t="s">
        <v>60</v>
      </c>
      <c r="I11" s="326" t="s">
        <v>18</v>
      </c>
      <c r="J11" s="326" t="s">
        <v>31</v>
      </c>
      <c r="K11" s="327" t="s">
        <v>61</v>
      </c>
      <c r="L11" s="325">
        <f t="shared" si="0"/>
        <v>46213</v>
      </c>
    </row>
    <row r="12" spans="1:12" ht="28.8" customHeight="1" x14ac:dyDescent="0.3">
      <c r="A12" s="325">
        <v>46185</v>
      </c>
      <c r="B12" s="325">
        <v>46213</v>
      </c>
      <c r="C12" s="326" t="s">
        <v>62</v>
      </c>
      <c r="D12" s="326" t="s">
        <v>63</v>
      </c>
      <c r="E12" s="327" t="s">
        <v>64</v>
      </c>
      <c r="F12" s="327" t="s">
        <v>65</v>
      </c>
      <c r="G12" s="328">
        <v>109947.56</v>
      </c>
      <c r="H12" s="326" t="s">
        <v>60</v>
      </c>
      <c r="I12" s="326" t="s">
        <v>18</v>
      </c>
      <c r="J12" s="326" t="s">
        <v>37</v>
      </c>
      <c r="K12" s="327" t="s">
        <v>66</v>
      </c>
      <c r="L12" s="325">
        <f t="shared" si="0"/>
        <v>46213</v>
      </c>
    </row>
    <row r="13" spans="1:12" ht="43.2" customHeight="1" x14ac:dyDescent="0.3">
      <c r="A13" s="325">
        <v>46195</v>
      </c>
      <c r="B13" s="325">
        <v>46213</v>
      </c>
      <c r="C13" s="326" t="s">
        <v>67</v>
      </c>
      <c r="D13" s="326" t="s">
        <v>68</v>
      </c>
      <c r="E13" s="327" t="s">
        <v>67</v>
      </c>
      <c r="F13" s="327" t="s">
        <v>69</v>
      </c>
      <c r="G13" s="328">
        <v>37443.69</v>
      </c>
      <c r="H13" s="326" t="s">
        <v>70</v>
      </c>
      <c r="I13" s="326" t="s">
        <v>18</v>
      </c>
      <c r="J13" s="326" t="s">
        <v>71</v>
      </c>
      <c r="K13" s="327" t="s">
        <v>72</v>
      </c>
      <c r="L13" s="325">
        <f t="shared" si="0"/>
        <v>46213</v>
      </c>
    </row>
    <row r="14" spans="1:12" x14ac:dyDescent="0.3">
      <c r="A14" s="325">
        <v>46198</v>
      </c>
      <c r="B14" s="325">
        <v>46213</v>
      </c>
      <c r="C14" s="326" t="s">
        <v>79</v>
      </c>
      <c r="D14" s="326" t="s">
        <v>80</v>
      </c>
      <c r="E14" s="327" t="s">
        <v>75</v>
      </c>
      <c r="F14" s="327" t="s">
        <v>81</v>
      </c>
      <c r="G14" s="328">
        <v>12896.1</v>
      </c>
      <c r="H14" s="326" t="s">
        <v>82</v>
      </c>
      <c r="I14" s="326" t="s">
        <v>18</v>
      </c>
      <c r="J14" s="326" t="s">
        <v>37</v>
      </c>
      <c r="K14" s="327" t="s">
        <v>83</v>
      </c>
      <c r="L14" s="325">
        <f t="shared" si="0"/>
        <v>46213</v>
      </c>
    </row>
    <row r="15" spans="1:12" ht="129.6" customHeight="1" x14ac:dyDescent="0.3">
      <c r="A15" s="325">
        <v>46198</v>
      </c>
      <c r="B15" s="325">
        <v>46213</v>
      </c>
      <c r="C15" s="326" t="s">
        <v>73</v>
      </c>
      <c r="D15" s="326" t="s">
        <v>74</v>
      </c>
      <c r="E15" s="327" t="s">
        <v>75</v>
      </c>
      <c r="F15" s="327" t="s">
        <v>76</v>
      </c>
      <c r="G15" s="328">
        <v>241125</v>
      </c>
      <c r="H15" s="326" t="s">
        <v>77</v>
      </c>
      <c r="I15" s="326" t="s">
        <v>18</v>
      </c>
      <c r="J15" s="326" t="s">
        <v>31</v>
      </c>
      <c r="K15" s="327" t="s">
        <v>78</v>
      </c>
      <c r="L15" s="325">
        <f t="shared" si="0"/>
        <v>46213</v>
      </c>
    </row>
    <row r="16" spans="1:12" x14ac:dyDescent="0.3">
      <c r="A16" s="325">
        <v>46171</v>
      </c>
      <c r="B16" s="325">
        <v>46227</v>
      </c>
      <c r="C16" s="326" t="s">
        <v>84</v>
      </c>
      <c r="D16" s="326" t="s">
        <v>85</v>
      </c>
      <c r="E16" s="327" t="s">
        <v>86</v>
      </c>
      <c r="F16" s="327" t="s">
        <v>87</v>
      </c>
      <c r="G16" s="328">
        <v>18400</v>
      </c>
      <c r="H16" s="326" t="s">
        <v>30</v>
      </c>
      <c r="I16" s="326" t="s">
        <v>18</v>
      </c>
      <c r="J16" s="326" t="s">
        <v>31</v>
      </c>
      <c r="K16" s="327" t="s">
        <v>88</v>
      </c>
      <c r="L16" s="325">
        <f t="shared" si="0"/>
        <v>46227</v>
      </c>
    </row>
    <row r="17" spans="1:12" ht="115.2" customHeight="1" x14ac:dyDescent="0.3">
      <c r="A17" s="321">
        <v>46128</v>
      </c>
      <c r="B17" s="321">
        <v>46234</v>
      </c>
      <c r="C17" s="322" t="s">
        <v>21</v>
      </c>
      <c r="D17" s="322" t="s">
        <v>103</v>
      </c>
      <c r="E17" s="323" t="s">
        <v>104</v>
      </c>
      <c r="F17" s="323" t="s">
        <v>105</v>
      </c>
      <c r="G17" s="324">
        <v>82900.05</v>
      </c>
      <c r="H17" s="322" t="s">
        <v>30</v>
      </c>
      <c r="I17" s="322" t="s">
        <v>21</v>
      </c>
      <c r="J17" s="322"/>
      <c r="K17" s="323" t="s">
        <v>106</v>
      </c>
      <c r="L17" s="321">
        <f t="shared" si="0"/>
        <v>46234</v>
      </c>
    </row>
    <row r="18" spans="1:12" ht="72" customHeight="1" x14ac:dyDescent="0.3">
      <c r="A18" s="321">
        <v>46142</v>
      </c>
      <c r="B18" s="321">
        <v>46234</v>
      </c>
      <c r="C18" s="322" t="s">
        <v>107</v>
      </c>
      <c r="D18" s="322" t="s">
        <v>108</v>
      </c>
      <c r="E18" s="323" t="s">
        <v>109</v>
      </c>
      <c r="F18" s="323" t="s">
        <v>110</v>
      </c>
      <c r="G18" s="324">
        <v>310411</v>
      </c>
      <c r="H18" s="322" t="s">
        <v>111</v>
      </c>
      <c r="I18" s="322" t="s">
        <v>21</v>
      </c>
      <c r="J18" s="322"/>
      <c r="K18" s="323" t="s">
        <v>112</v>
      </c>
      <c r="L18" s="321">
        <f t="shared" si="0"/>
        <v>46234</v>
      </c>
    </row>
    <row r="19" spans="1:12" x14ac:dyDescent="0.3">
      <c r="A19" s="321">
        <v>46142</v>
      </c>
      <c r="B19" s="321">
        <v>46234</v>
      </c>
      <c r="C19" s="322" t="s">
        <v>21</v>
      </c>
      <c r="D19" s="322" t="s">
        <v>113</v>
      </c>
      <c r="E19" s="323" t="s">
        <v>114</v>
      </c>
      <c r="F19" s="323" t="s">
        <v>115</v>
      </c>
      <c r="G19" s="324">
        <v>204447</v>
      </c>
      <c r="H19" s="322" t="s">
        <v>17</v>
      </c>
      <c r="I19" s="322" t="s">
        <v>21</v>
      </c>
      <c r="J19" s="322"/>
      <c r="K19" s="323" t="s">
        <v>116</v>
      </c>
      <c r="L19" s="321">
        <f t="shared" si="0"/>
        <v>46234</v>
      </c>
    </row>
    <row r="20" spans="1:12" x14ac:dyDescent="0.3">
      <c r="A20" s="321">
        <v>46170</v>
      </c>
      <c r="B20" s="321">
        <v>46234</v>
      </c>
      <c r="C20" s="322" t="s">
        <v>21</v>
      </c>
      <c r="D20" s="322" t="s">
        <v>89</v>
      </c>
      <c r="E20" s="323" t="s">
        <v>90</v>
      </c>
      <c r="F20" s="323" t="s">
        <v>91</v>
      </c>
      <c r="G20" s="324">
        <v>1860403.01</v>
      </c>
      <c r="H20" s="322" t="s">
        <v>30</v>
      </c>
      <c r="I20" s="322" t="s">
        <v>21</v>
      </c>
      <c r="J20" s="322"/>
      <c r="K20" s="323" t="s">
        <v>92</v>
      </c>
      <c r="L20" s="321">
        <f t="shared" si="0"/>
        <v>46234</v>
      </c>
    </row>
    <row r="21" spans="1:12" x14ac:dyDescent="0.3">
      <c r="F21" s="329" t="s">
        <v>117</v>
      </c>
      <c r="G21" s="330">
        <f>SUMIF(I3:I20,"&lt;&gt;Pending",G3:G20)</f>
        <v>1824454.06</v>
      </c>
    </row>
    <row r="23" spans="1:12" x14ac:dyDescent="0.3">
      <c r="F23" s="331" t="s">
        <v>118</v>
      </c>
    </row>
    <row r="24" spans="1:12" x14ac:dyDescent="0.3">
      <c r="F24" t="s">
        <v>119</v>
      </c>
      <c r="G24" s="18">
        <f ca="1">SUMIFS(G3:G20, J3:J20, "*CASH SALE*", L3:L20, "&gt;="&amp;EOMONTH(TODAY(),-1)+1, L3:L20, "&lt;="&amp;EOMONTH(TODAY(),0), I3:I20, "&lt;&gt;Pending")</f>
        <v>326615.51999999996</v>
      </c>
      <c r="I24" t="s">
        <v>120</v>
      </c>
      <c r="J24" s="18">
        <f ca="1">SUMIFS(G3:G20, J3:J20, "*CASH SALE*", L3:L20, "&gt;="&amp;EOMONTH(TODAY(),0)+1, L3:L20, "&lt;="&amp;EOMONTH(TODAY(),1), I3:I20, "&lt;&gt;Pending")</f>
        <v>0</v>
      </c>
    </row>
    <row r="25" spans="1:12" x14ac:dyDescent="0.3">
      <c r="F25" t="s">
        <v>121</v>
      </c>
      <c r="G25" s="18">
        <f ca="1">SUMIFS(G3:G20, J3:J20, "*ACCOUNT*", L3:L20, "&gt;="&amp;EOMONTH(TODAY(),-1)+1, L3:L20, "&lt;="&amp;EOMONTH(TODAY(),0), I3:I20, "&lt;&gt;Pending")</f>
        <v>480030.6</v>
      </c>
      <c r="I25" t="s">
        <v>122</v>
      </c>
      <c r="J25" s="18">
        <f ca="1">SUMIFS(G3:G20, J3:J20, "*ACCOUNT*", L3:L20, "&gt;="&amp;EOMONTH(TODAY(),0)+1, L3:L20, "&lt;="&amp;EOMONTH(TODAY(),1), I3:I20, "&lt;&gt;Pending")</f>
        <v>0</v>
      </c>
    </row>
    <row r="28" spans="1:12" ht="28.8" customHeight="1" x14ac:dyDescent="0.3">
      <c r="A28" s="316" t="s">
        <v>1</v>
      </c>
      <c r="B28" s="316" t="s">
        <v>2</v>
      </c>
      <c r="C28" s="316" t="s">
        <v>3</v>
      </c>
      <c r="D28" s="316" t="s">
        <v>4</v>
      </c>
      <c r="E28" s="316" t="s">
        <v>5</v>
      </c>
      <c r="F28" s="316" t="s">
        <v>6</v>
      </c>
      <c r="G28" s="316" t="s">
        <v>7</v>
      </c>
      <c r="H28" s="316" t="s">
        <v>8</v>
      </c>
      <c r="I28" s="316" t="s">
        <v>9</v>
      </c>
      <c r="J28" s="316" t="s">
        <v>10</v>
      </c>
      <c r="K28" s="316" t="s">
        <v>123</v>
      </c>
    </row>
    <row r="29" spans="1:12" x14ac:dyDescent="0.3">
      <c r="A29" s="332">
        <v>46198</v>
      </c>
      <c r="B29" s="332">
        <v>46199.39938357639</v>
      </c>
      <c r="C29" s="333" t="s">
        <v>331</v>
      </c>
      <c r="D29" s="333" t="s">
        <v>332</v>
      </c>
      <c r="E29" s="333" t="s">
        <v>250</v>
      </c>
      <c r="F29" s="333" t="s">
        <v>333</v>
      </c>
      <c r="G29" s="328">
        <v>25400.05</v>
      </c>
      <c r="H29" s="333" t="s">
        <v>43</v>
      </c>
      <c r="I29" s="333" t="s">
        <v>18</v>
      </c>
      <c r="J29" s="333" t="s">
        <v>37</v>
      </c>
      <c r="K29" s="327"/>
    </row>
    <row r="30" spans="1:12" x14ac:dyDescent="0.3">
      <c r="F30" s="329" t="s">
        <v>124</v>
      </c>
      <c r="G30" s="330">
        <f>SUM(G29:G29)</f>
        <v>25400.05</v>
      </c>
    </row>
    <row r="32" spans="1:12" x14ac:dyDescent="0.3">
      <c r="F32" s="329" t="s">
        <v>125</v>
      </c>
      <c r="G32" s="330">
        <f>SUMIFS(G3:G20, I3:I20, "*Ready*Dispatch*")</f>
        <v>0</v>
      </c>
    </row>
    <row r="35" spans="1:4" x14ac:dyDescent="0.3">
      <c r="A35" s="390" t="s">
        <v>126</v>
      </c>
      <c r="B35" s="367"/>
      <c r="C35" s="367"/>
      <c r="D35" s="367"/>
    </row>
    <row r="36" spans="1:4" x14ac:dyDescent="0.3">
      <c r="A36" s="390" t="s">
        <v>127</v>
      </c>
      <c r="B36" s="367"/>
      <c r="C36" s="367"/>
      <c r="D36" s="367"/>
    </row>
  </sheetData>
  <mergeCells count="3">
    <mergeCell ref="A1:D1"/>
    <mergeCell ref="A35:D35"/>
    <mergeCell ref="A36:D36"/>
  </mergeCells>
  <pageMargins left="0.25" right="0.25" top="0.75" bottom="0.7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35"/>
  <sheetViews>
    <sheetView zoomScale="80" zoomScaleNormal="80" workbookViewId="0">
      <pane xSplit="4" ySplit="2" topLeftCell="E15" activePane="bottomRight" state="frozen"/>
      <selection activeCell="A16" sqref="A16"/>
      <selection pane="topRight" activeCell="A16" sqref="A16"/>
      <selection pane="bottomLeft" activeCell="A16" sqref="A16"/>
      <selection pane="bottomRight" activeCell="F13" sqref="F13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9.109375" style="115" bestFit="1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x14ac:dyDescent="0.35">
      <c r="A1" s="335" t="s">
        <v>0</v>
      </c>
      <c r="K1" s="336">
        <f ca="1">TODAY()</f>
        <v>46211</v>
      </c>
    </row>
    <row r="2" spans="1:12" ht="43.2" x14ac:dyDescent="0.3">
      <c r="A2" s="337" t="s">
        <v>1</v>
      </c>
      <c r="B2" s="337" t="s">
        <v>2</v>
      </c>
      <c r="C2" s="337" t="s">
        <v>3</v>
      </c>
      <c r="D2" s="337" t="s">
        <v>4</v>
      </c>
      <c r="E2" s="337" t="s">
        <v>5</v>
      </c>
      <c r="F2" s="337" t="s">
        <v>6</v>
      </c>
      <c r="G2" s="337" t="s">
        <v>7</v>
      </c>
      <c r="H2" s="337" t="s">
        <v>8</v>
      </c>
      <c r="I2" s="337" t="s">
        <v>9</v>
      </c>
      <c r="J2" s="337" t="s">
        <v>10</v>
      </c>
      <c r="K2" s="337" t="s">
        <v>11</v>
      </c>
      <c r="L2" s="337" t="s">
        <v>12</v>
      </c>
    </row>
    <row r="3" spans="1:12" ht="28.8" x14ac:dyDescent="0.3">
      <c r="A3" s="338">
        <v>46155</v>
      </c>
      <c r="B3" s="338">
        <v>46202</v>
      </c>
      <c r="C3" s="339" t="s">
        <v>93</v>
      </c>
      <c r="D3" s="339" t="s">
        <v>94</v>
      </c>
      <c r="E3" s="340" t="s">
        <v>95</v>
      </c>
      <c r="F3" s="340" t="s">
        <v>96</v>
      </c>
      <c r="G3" s="341">
        <v>523356</v>
      </c>
      <c r="H3" s="339" t="s">
        <v>97</v>
      </c>
      <c r="I3" s="339" t="s">
        <v>18</v>
      </c>
      <c r="J3" s="339" t="s">
        <v>31</v>
      </c>
      <c r="K3" s="340" t="s">
        <v>98</v>
      </c>
      <c r="L3" s="338">
        <f t="shared" ref="L3:L20" si="0">B3</f>
        <v>46202</v>
      </c>
    </row>
    <row r="4" spans="1:12" ht="57.6" x14ac:dyDescent="0.3">
      <c r="A4" s="338">
        <v>46190</v>
      </c>
      <c r="B4" s="338">
        <v>46202</v>
      </c>
      <c r="C4" s="339" t="s">
        <v>99</v>
      </c>
      <c r="D4" s="339" t="s">
        <v>100</v>
      </c>
      <c r="E4" s="340" t="s">
        <v>101</v>
      </c>
      <c r="F4" s="340" t="s">
        <v>24</v>
      </c>
      <c r="G4" s="341">
        <v>149545.07999999999</v>
      </c>
      <c r="H4" s="339" t="s">
        <v>17</v>
      </c>
      <c r="I4" s="339" t="s">
        <v>18</v>
      </c>
      <c r="J4" s="339" t="s">
        <v>31</v>
      </c>
      <c r="K4" s="340" t="s">
        <v>102</v>
      </c>
      <c r="L4" s="338">
        <f t="shared" si="0"/>
        <v>46202</v>
      </c>
    </row>
    <row r="5" spans="1:12" ht="409.6" x14ac:dyDescent="0.3">
      <c r="A5" s="338">
        <v>46142</v>
      </c>
      <c r="B5" s="338">
        <v>46202.330806064812</v>
      </c>
      <c r="C5" s="339" t="s">
        <v>13</v>
      </c>
      <c r="D5" s="339" t="s">
        <v>14</v>
      </c>
      <c r="E5" s="340" t="s">
        <v>15</v>
      </c>
      <c r="F5" s="340" t="s">
        <v>16</v>
      </c>
      <c r="G5" s="341">
        <v>251413.01</v>
      </c>
      <c r="H5" s="339" t="s">
        <v>17</v>
      </c>
      <c r="I5" s="339" t="s">
        <v>18</v>
      </c>
      <c r="J5" s="339" t="s">
        <v>19</v>
      </c>
      <c r="K5" s="340" t="s">
        <v>20</v>
      </c>
      <c r="L5" s="338">
        <f t="shared" si="0"/>
        <v>46202.330806064812</v>
      </c>
    </row>
    <row r="6" spans="1:12" x14ac:dyDescent="0.3">
      <c r="A6" s="346">
        <v>46182</v>
      </c>
      <c r="B6" s="346">
        <v>46203</v>
      </c>
      <c r="C6" s="347" t="s">
        <v>26</v>
      </c>
      <c r="D6" s="347" t="s">
        <v>27</v>
      </c>
      <c r="E6" s="348" t="s">
        <v>28</v>
      </c>
      <c r="F6" s="348" t="s">
        <v>29</v>
      </c>
      <c r="G6" s="349">
        <v>62080.45</v>
      </c>
      <c r="H6" s="347" t="s">
        <v>30</v>
      </c>
      <c r="I6" s="347" t="s">
        <v>18</v>
      </c>
      <c r="J6" s="347" t="s">
        <v>31</v>
      </c>
      <c r="K6" s="348" t="s">
        <v>32</v>
      </c>
      <c r="L6" s="346">
        <f t="shared" si="0"/>
        <v>46203</v>
      </c>
    </row>
    <row r="7" spans="1:12" x14ac:dyDescent="0.3">
      <c r="A7" s="346">
        <v>46197</v>
      </c>
      <c r="B7" s="346">
        <v>46203</v>
      </c>
      <c r="C7" s="347" t="s">
        <v>33</v>
      </c>
      <c r="D7" s="347" t="s">
        <v>34</v>
      </c>
      <c r="E7" s="348" t="s">
        <v>33</v>
      </c>
      <c r="F7" s="348" t="s">
        <v>35</v>
      </c>
      <c r="G7" s="349">
        <v>6013.35</v>
      </c>
      <c r="H7" s="347" t="s">
        <v>36</v>
      </c>
      <c r="I7" s="347" t="s">
        <v>18</v>
      </c>
      <c r="J7" s="347" t="s">
        <v>37</v>
      </c>
      <c r="K7" s="348" t="s">
        <v>38</v>
      </c>
      <c r="L7" s="346">
        <f t="shared" si="0"/>
        <v>46203</v>
      </c>
    </row>
    <row r="8" spans="1:12" x14ac:dyDescent="0.3">
      <c r="A8" s="346">
        <v>46199</v>
      </c>
      <c r="B8" s="346">
        <v>46204</v>
      </c>
      <c r="C8" s="347" t="s">
        <v>45</v>
      </c>
      <c r="D8" s="347" t="s">
        <v>46</v>
      </c>
      <c r="E8" s="348" t="s">
        <v>47</v>
      </c>
      <c r="F8" s="348" t="s">
        <v>48</v>
      </c>
      <c r="G8" s="349">
        <v>6996.39</v>
      </c>
      <c r="H8" s="347" t="s">
        <v>49</v>
      </c>
      <c r="I8" s="347" t="s">
        <v>18</v>
      </c>
      <c r="J8" s="347" t="s">
        <v>31</v>
      </c>
      <c r="K8" s="348" t="s">
        <v>50</v>
      </c>
      <c r="L8" s="346">
        <f t="shared" si="0"/>
        <v>46204</v>
      </c>
    </row>
    <row r="9" spans="1:12" x14ac:dyDescent="0.3">
      <c r="A9" s="346">
        <v>46190</v>
      </c>
      <c r="B9" s="346">
        <v>46206</v>
      </c>
      <c r="C9" s="347" t="s">
        <v>51</v>
      </c>
      <c r="D9" s="347" t="s">
        <v>52</v>
      </c>
      <c r="E9" s="348" t="s">
        <v>53</v>
      </c>
      <c r="F9" s="348" t="s">
        <v>54</v>
      </c>
      <c r="G9" s="349">
        <v>22505.72</v>
      </c>
      <c r="H9" s="347" t="s">
        <v>30</v>
      </c>
      <c r="I9" s="347" t="s">
        <v>18</v>
      </c>
      <c r="J9" s="347" t="s">
        <v>37</v>
      </c>
      <c r="K9" s="348" t="s">
        <v>55</v>
      </c>
      <c r="L9" s="346">
        <f t="shared" si="0"/>
        <v>46206</v>
      </c>
    </row>
    <row r="10" spans="1:12" ht="172.8" x14ac:dyDescent="0.3">
      <c r="A10" s="346">
        <v>46198</v>
      </c>
      <c r="B10" s="346">
        <v>46206</v>
      </c>
      <c r="C10" s="347" t="s">
        <v>39</v>
      </c>
      <c r="D10" s="347" t="s">
        <v>40</v>
      </c>
      <c r="E10" s="348" t="s">
        <v>41</v>
      </c>
      <c r="F10" s="348" t="s">
        <v>42</v>
      </c>
      <c r="G10" s="349">
        <v>143822.45000000001</v>
      </c>
      <c r="H10" s="347" t="s">
        <v>43</v>
      </c>
      <c r="I10" s="347" t="s">
        <v>18</v>
      </c>
      <c r="J10" s="347" t="s">
        <v>37</v>
      </c>
      <c r="K10" s="348" t="s">
        <v>44</v>
      </c>
      <c r="L10" s="346">
        <f t="shared" si="0"/>
        <v>46206</v>
      </c>
    </row>
    <row r="11" spans="1:12" ht="28.8" x14ac:dyDescent="0.3">
      <c r="A11" s="346">
        <v>46167</v>
      </c>
      <c r="B11" s="346">
        <v>46213</v>
      </c>
      <c r="C11" s="347" t="s">
        <v>56</v>
      </c>
      <c r="D11" s="347" t="s">
        <v>57</v>
      </c>
      <c r="E11" s="348" t="s">
        <v>58</v>
      </c>
      <c r="F11" s="348" t="s">
        <v>59</v>
      </c>
      <c r="G11" s="349">
        <v>220505.60000000001</v>
      </c>
      <c r="H11" s="347" t="s">
        <v>60</v>
      </c>
      <c r="I11" s="347" t="s">
        <v>18</v>
      </c>
      <c r="J11" s="347" t="s">
        <v>31</v>
      </c>
      <c r="K11" s="348" t="s">
        <v>61</v>
      </c>
      <c r="L11" s="346">
        <f t="shared" si="0"/>
        <v>46213</v>
      </c>
    </row>
    <row r="12" spans="1:12" ht="28.8" x14ac:dyDescent="0.3">
      <c r="A12" s="346">
        <v>46185</v>
      </c>
      <c r="B12" s="346">
        <v>46213</v>
      </c>
      <c r="C12" s="347" t="s">
        <v>62</v>
      </c>
      <c r="D12" s="347" t="s">
        <v>63</v>
      </c>
      <c r="E12" s="348" t="s">
        <v>64</v>
      </c>
      <c r="F12" s="348" t="s">
        <v>65</v>
      </c>
      <c r="G12" s="349">
        <v>109947.56</v>
      </c>
      <c r="H12" s="347" t="s">
        <v>60</v>
      </c>
      <c r="I12" s="347" t="s">
        <v>18</v>
      </c>
      <c r="J12" s="347" t="s">
        <v>37</v>
      </c>
      <c r="K12" s="348" t="s">
        <v>66</v>
      </c>
      <c r="L12" s="346">
        <f t="shared" si="0"/>
        <v>46213</v>
      </c>
    </row>
    <row r="13" spans="1:12" ht="57.6" x14ac:dyDescent="0.3">
      <c r="A13" s="346">
        <v>46195</v>
      </c>
      <c r="B13" s="346">
        <v>46213</v>
      </c>
      <c r="C13" s="347" t="s">
        <v>67</v>
      </c>
      <c r="D13" s="347" t="s">
        <v>68</v>
      </c>
      <c r="E13" s="348" t="s">
        <v>67</v>
      </c>
      <c r="F13" s="348" t="s">
        <v>69</v>
      </c>
      <c r="G13" s="349">
        <v>37443.69</v>
      </c>
      <c r="H13" s="347" t="s">
        <v>70</v>
      </c>
      <c r="I13" s="347" t="s">
        <v>18</v>
      </c>
      <c r="J13" s="347" t="s">
        <v>71</v>
      </c>
      <c r="K13" s="348" t="s">
        <v>72</v>
      </c>
      <c r="L13" s="346">
        <f t="shared" si="0"/>
        <v>46213</v>
      </c>
    </row>
    <row r="14" spans="1:12" ht="187.2" x14ac:dyDescent="0.3">
      <c r="A14" s="346">
        <v>46198</v>
      </c>
      <c r="B14" s="346">
        <v>46213</v>
      </c>
      <c r="C14" s="347" t="s">
        <v>73</v>
      </c>
      <c r="D14" s="347" t="s">
        <v>74</v>
      </c>
      <c r="E14" s="348" t="s">
        <v>75</v>
      </c>
      <c r="F14" s="348" t="s">
        <v>76</v>
      </c>
      <c r="G14" s="349">
        <v>241125</v>
      </c>
      <c r="H14" s="347" t="s">
        <v>77</v>
      </c>
      <c r="I14" s="347" t="s">
        <v>18</v>
      </c>
      <c r="J14" s="347" t="s">
        <v>31</v>
      </c>
      <c r="K14" s="348" t="s">
        <v>78</v>
      </c>
      <c r="L14" s="346">
        <f t="shared" si="0"/>
        <v>46213</v>
      </c>
    </row>
    <row r="15" spans="1:12" ht="43.2" x14ac:dyDescent="0.3">
      <c r="A15" s="346" t="s">
        <v>347</v>
      </c>
      <c r="B15" s="346">
        <v>46213</v>
      </c>
      <c r="C15" s="347" t="s">
        <v>79</v>
      </c>
      <c r="D15" s="347" t="s">
        <v>80</v>
      </c>
      <c r="E15" s="348" t="s">
        <v>75</v>
      </c>
      <c r="F15" s="348" t="s">
        <v>81</v>
      </c>
      <c r="G15" s="349">
        <v>12896.1</v>
      </c>
      <c r="H15" s="347" t="s">
        <v>82</v>
      </c>
      <c r="I15" s="347" t="s">
        <v>18</v>
      </c>
      <c r="J15" s="347" t="s">
        <v>37</v>
      </c>
      <c r="K15" s="348" t="s">
        <v>83</v>
      </c>
      <c r="L15" s="346">
        <f t="shared" si="0"/>
        <v>46213</v>
      </c>
    </row>
    <row r="16" spans="1:12" x14ac:dyDescent="0.3">
      <c r="A16" s="346">
        <v>46171</v>
      </c>
      <c r="B16" s="346">
        <v>46227</v>
      </c>
      <c r="C16" s="347" t="s">
        <v>84</v>
      </c>
      <c r="D16" s="347" t="s">
        <v>85</v>
      </c>
      <c r="E16" s="348" t="s">
        <v>86</v>
      </c>
      <c r="F16" s="348" t="s">
        <v>87</v>
      </c>
      <c r="G16" s="349">
        <v>18400</v>
      </c>
      <c r="H16" s="347" t="s">
        <v>30</v>
      </c>
      <c r="I16" s="347" t="s">
        <v>18</v>
      </c>
      <c r="J16" s="347" t="s">
        <v>31</v>
      </c>
      <c r="K16" s="348" t="s">
        <v>88</v>
      </c>
      <c r="L16" s="346">
        <f t="shared" si="0"/>
        <v>46227</v>
      </c>
    </row>
    <row r="17" spans="1:12" ht="158.4" x14ac:dyDescent="0.3">
      <c r="A17" s="342">
        <v>46128</v>
      </c>
      <c r="B17" s="342">
        <v>46234</v>
      </c>
      <c r="C17" s="343" t="s">
        <v>21</v>
      </c>
      <c r="D17" s="343" t="s">
        <v>103</v>
      </c>
      <c r="E17" s="344" t="s">
        <v>104</v>
      </c>
      <c r="F17" s="344" t="s">
        <v>105</v>
      </c>
      <c r="G17" s="345">
        <v>82900.05</v>
      </c>
      <c r="H17" s="343" t="s">
        <v>30</v>
      </c>
      <c r="I17" s="343" t="s">
        <v>21</v>
      </c>
      <c r="J17" s="343"/>
      <c r="K17" s="344" t="s">
        <v>106</v>
      </c>
      <c r="L17" s="342">
        <f t="shared" si="0"/>
        <v>46234</v>
      </c>
    </row>
    <row r="18" spans="1:12" ht="86.4" x14ac:dyDescent="0.3">
      <c r="A18" s="342">
        <v>46142</v>
      </c>
      <c r="B18" s="342">
        <v>46234</v>
      </c>
      <c r="C18" s="343" t="s">
        <v>107</v>
      </c>
      <c r="D18" s="343" t="s">
        <v>108</v>
      </c>
      <c r="E18" s="344" t="s">
        <v>109</v>
      </c>
      <c r="F18" s="344" t="s">
        <v>110</v>
      </c>
      <c r="G18" s="345">
        <v>310411</v>
      </c>
      <c r="H18" s="343" t="s">
        <v>111</v>
      </c>
      <c r="I18" s="343" t="s">
        <v>21</v>
      </c>
      <c r="J18" s="343"/>
      <c r="K18" s="344" t="s">
        <v>112</v>
      </c>
      <c r="L18" s="342">
        <f t="shared" si="0"/>
        <v>46234</v>
      </c>
    </row>
    <row r="19" spans="1:12" ht="28.8" x14ac:dyDescent="0.3">
      <c r="A19" s="342">
        <v>46142</v>
      </c>
      <c r="B19" s="342">
        <v>46234</v>
      </c>
      <c r="C19" s="343" t="s">
        <v>21</v>
      </c>
      <c r="D19" s="343" t="s">
        <v>113</v>
      </c>
      <c r="E19" s="344" t="s">
        <v>114</v>
      </c>
      <c r="F19" s="344" t="s">
        <v>115</v>
      </c>
      <c r="G19" s="345">
        <v>204447</v>
      </c>
      <c r="H19" s="343" t="s">
        <v>17</v>
      </c>
      <c r="I19" s="343" t="s">
        <v>21</v>
      </c>
      <c r="J19" s="343"/>
      <c r="K19" s="344" t="s">
        <v>116</v>
      </c>
      <c r="L19" s="342">
        <f t="shared" si="0"/>
        <v>46234</v>
      </c>
    </row>
    <row r="20" spans="1:12" x14ac:dyDescent="0.3">
      <c r="A20" s="342">
        <v>46170</v>
      </c>
      <c r="B20" s="342">
        <v>46234</v>
      </c>
      <c r="C20" s="343" t="s">
        <v>21</v>
      </c>
      <c r="D20" s="343" t="s">
        <v>89</v>
      </c>
      <c r="E20" s="344" t="s">
        <v>90</v>
      </c>
      <c r="F20" s="344" t="s">
        <v>91</v>
      </c>
      <c r="G20" s="345">
        <v>1860403.01</v>
      </c>
      <c r="H20" s="343" t="s">
        <v>30</v>
      </c>
      <c r="I20" s="343" t="s">
        <v>21</v>
      </c>
      <c r="J20" s="343"/>
      <c r="K20" s="344" t="s">
        <v>92</v>
      </c>
      <c r="L20" s="342">
        <f t="shared" si="0"/>
        <v>46234</v>
      </c>
    </row>
    <row r="21" spans="1:12" x14ac:dyDescent="0.3">
      <c r="F21" s="350" t="s">
        <v>117</v>
      </c>
      <c r="G21" s="351">
        <f>SUMIF(I3:I20,"&lt;&gt;Pending",G3:G20)</f>
        <v>1806050.4000000001</v>
      </c>
    </row>
    <row r="23" spans="1:12" x14ac:dyDescent="0.3">
      <c r="F23" s="352" t="s">
        <v>118</v>
      </c>
    </row>
    <row r="24" spans="1:12" x14ac:dyDescent="0.3">
      <c r="F24" t="s">
        <v>119</v>
      </c>
      <c r="G24" s="18">
        <f ca="1">SUMIFS(G3:G20, J3:J20, "*CASH SALE*", L3:L20, "&gt;="&amp;EOMONTH(TODAY(),-1)+1, L3:L20, "&lt;="&amp;EOMONTH(TODAY(),0), I3:I20, "&lt;&gt;Pending")</f>
        <v>326615.51999999996</v>
      </c>
      <c r="I24" t="s">
        <v>120</v>
      </c>
      <c r="J24" s="18">
        <f ca="1">SUMIFS(G3:G20, J3:J20, "*CASH SALE*", L3:L20, "&gt;="&amp;EOMONTH(TODAY(),0)+1, L3:L20, "&lt;="&amp;EOMONTH(TODAY(),1), I3:I20, "&lt;&gt;Pending")</f>
        <v>0</v>
      </c>
    </row>
    <row r="25" spans="1:12" x14ac:dyDescent="0.3">
      <c r="F25" t="s">
        <v>121</v>
      </c>
      <c r="G25" s="18">
        <f ca="1">SUMIFS(G3:G20, J3:J20, "*ACCOUNT*", L3:L20, "&gt;="&amp;EOMONTH(TODAY(),-1)+1, L3:L20, "&lt;="&amp;EOMONTH(TODAY(),0), I3:I20, "&lt;&gt;Pending")</f>
        <v>487026.99</v>
      </c>
      <c r="I25" t="s">
        <v>122</v>
      </c>
      <c r="J25" s="18">
        <f ca="1">SUMIFS(G3:G20, J3:J20, "*ACCOUNT*", L3:L20, "&gt;="&amp;EOMONTH(TODAY(),0)+1, L3:L20, "&lt;="&amp;EOMONTH(TODAY(),1), I3:I20, "&lt;&gt;Pending")</f>
        <v>0</v>
      </c>
    </row>
    <row r="27" spans="1:12" ht="28.8" x14ac:dyDescent="0.3">
      <c r="A27" s="337" t="s">
        <v>1</v>
      </c>
      <c r="B27" s="337" t="s">
        <v>2</v>
      </c>
      <c r="C27" s="337" t="s">
        <v>3</v>
      </c>
      <c r="D27" s="337" t="s">
        <v>4</v>
      </c>
      <c r="E27" s="337" t="s">
        <v>5</v>
      </c>
      <c r="F27" s="337" t="s">
        <v>6</v>
      </c>
      <c r="G27" s="337" t="s">
        <v>7</v>
      </c>
      <c r="H27" s="337" t="s">
        <v>8</v>
      </c>
      <c r="I27" s="337" t="s">
        <v>9</v>
      </c>
      <c r="J27" s="337" t="s">
        <v>10</v>
      </c>
      <c r="K27" s="337" t="s">
        <v>123</v>
      </c>
    </row>
    <row r="28" spans="1:12" ht="28.8" x14ac:dyDescent="0.3">
      <c r="A28" s="353">
        <v>46190</v>
      </c>
      <c r="B28" s="353">
        <v>46202</v>
      </c>
      <c r="C28" s="354" t="s">
        <v>99</v>
      </c>
      <c r="D28" s="354" t="s">
        <v>100</v>
      </c>
      <c r="E28" s="354" t="s">
        <v>101</v>
      </c>
      <c r="F28" s="354" t="s">
        <v>24</v>
      </c>
      <c r="G28" s="349">
        <v>149545.07999999999</v>
      </c>
      <c r="H28" s="347" t="s">
        <v>17</v>
      </c>
      <c r="I28" s="354" t="s">
        <v>18</v>
      </c>
      <c r="J28" s="354" t="s">
        <v>31</v>
      </c>
      <c r="K28" s="348"/>
    </row>
    <row r="29" spans="1:12" ht="28.8" x14ac:dyDescent="0.3">
      <c r="A29" s="353">
        <v>46155</v>
      </c>
      <c r="B29" s="353">
        <v>46202</v>
      </c>
      <c r="C29" s="354" t="s">
        <v>93</v>
      </c>
      <c r="D29" s="354" t="s">
        <v>94</v>
      </c>
      <c r="E29" s="354" t="s">
        <v>95</v>
      </c>
      <c r="F29" s="354" t="s">
        <v>96</v>
      </c>
      <c r="G29" s="349">
        <v>523356</v>
      </c>
      <c r="H29" s="347" t="s">
        <v>97</v>
      </c>
      <c r="I29" s="354" t="s">
        <v>18</v>
      </c>
      <c r="J29" s="354" t="s">
        <v>31</v>
      </c>
      <c r="K29" s="348"/>
    </row>
    <row r="30" spans="1:12" x14ac:dyDescent="0.3">
      <c r="A30" s="353">
        <v>46142</v>
      </c>
      <c r="B30" s="353">
        <v>46202.330806064812</v>
      </c>
      <c r="C30" s="354" t="s">
        <v>13</v>
      </c>
      <c r="D30" s="354" t="s">
        <v>14</v>
      </c>
      <c r="E30" s="354" t="s">
        <v>15</v>
      </c>
      <c r="F30" s="354" t="s">
        <v>16</v>
      </c>
      <c r="G30" s="349">
        <v>251413.01</v>
      </c>
      <c r="H30" s="347" t="s">
        <v>17</v>
      </c>
      <c r="I30" s="354" t="s">
        <v>18</v>
      </c>
      <c r="J30" s="354" t="s">
        <v>19</v>
      </c>
      <c r="K30" s="348"/>
    </row>
    <row r="31" spans="1:12" x14ac:dyDescent="0.3">
      <c r="F31" s="350" t="s">
        <v>124</v>
      </c>
      <c r="G31" s="351">
        <f>SUM(G28:G30)</f>
        <v>924314.09</v>
      </c>
    </row>
    <row r="33" spans="1:7" x14ac:dyDescent="0.3">
      <c r="F33" s="350" t="s">
        <v>125</v>
      </c>
      <c r="G33" s="351">
        <f>SUMIFS(G3:G20, I3:I20, "*Ready*Dispatch*")</f>
        <v>0</v>
      </c>
    </row>
    <row r="34" spans="1:7" x14ac:dyDescent="0.3">
      <c r="A34" s="365" t="s">
        <v>126</v>
      </c>
      <c r="B34" s="365"/>
      <c r="C34" s="365"/>
      <c r="D34" s="365"/>
    </row>
    <row r="35" spans="1:7" x14ac:dyDescent="0.3">
      <c r="A35" s="365" t="s">
        <v>127</v>
      </c>
      <c r="B35" s="365"/>
      <c r="C35" s="365"/>
      <c r="D35" s="365"/>
    </row>
  </sheetData>
  <sortState xmlns:xlrd2="http://schemas.microsoft.com/office/spreadsheetml/2017/richdata2" ref="A3:L20">
    <sortCondition ref="B3:B20"/>
    <sortCondition ref="I3:I20"/>
    <sortCondition ref="A3:A20"/>
    <sortCondition ref="D3:D20"/>
  </sortState>
  <mergeCells count="2">
    <mergeCell ref="A34:D34"/>
    <mergeCell ref="A35:D35"/>
  </mergeCells>
  <pageMargins left="0.25" right="0.25" top="0.75" bottom="0.7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5"/>
  <sheetViews>
    <sheetView workbookViewId="0">
      <selection activeCell="F13" sqref="F13"/>
    </sheetView>
  </sheetViews>
  <sheetFormatPr defaultRowHeight="14.4" x14ac:dyDescent="0.3"/>
  <cols>
    <col min="1" max="1" width="16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</cols>
  <sheetData>
    <row r="1" spans="1:6" ht="18" x14ac:dyDescent="0.35">
      <c r="A1" s="355" t="s">
        <v>335</v>
      </c>
      <c r="B1" s="356"/>
      <c r="C1" s="356"/>
      <c r="D1" s="356"/>
      <c r="E1" s="356"/>
      <c r="F1" s="356"/>
    </row>
    <row r="3" spans="1:6" x14ac:dyDescent="0.3">
      <c r="A3" s="357" t="s">
        <v>336</v>
      </c>
      <c r="B3" s="358" t="s">
        <v>337</v>
      </c>
      <c r="C3" s="359">
        <v>677645.83</v>
      </c>
      <c r="E3" s="358" t="s">
        <v>338</v>
      </c>
      <c r="F3" s="360">
        <f ca="1">'29.06.2026'!G24</f>
        <v>326615.51999999996</v>
      </c>
    </row>
    <row r="4" spans="1:6" x14ac:dyDescent="0.3">
      <c r="B4" s="358" t="s">
        <v>339</v>
      </c>
      <c r="C4" s="359">
        <v>804334.4</v>
      </c>
      <c r="E4" s="358" t="s">
        <v>340</v>
      </c>
      <c r="F4" s="360">
        <f ca="1">'29.06.2026'!G25</f>
        <v>487026.99</v>
      </c>
    </row>
    <row r="5" spans="1:6" x14ac:dyDescent="0.3">
      <c r="B5" s="361" t="s">
        <v>341</v>
      </c>
      <c r="C5" s="362">
        <f>SUM(C3:C4)</f>
        <v>1481980.23</v>
      </c>
      <c r="E5" s="361" t="s">
        <v>341</v>
      </c>
      <c r="F5" s="362">
        <f ca="1">SUM(F3:F4)</f>
        <v>813642.51</v>
      </c>
    </row>
    <row r="7" spans="1:6" x14ac:dyDescent="0.3">
      <c r="B7" s="363" t="s">
        <v>342</v>
      </c>
      <c r="C7" s="364">
        <f ca="1">C5+F5</f>
        <v>2295622.7400000002</v>
      </c>
      <c r="D7" s="363" t="s">
        <v>343</v>
      </c>
      <c r="E7" s="364">
        <f ca="1">C7*1.15</f>
        <v>2639966.1510000001</v>
      </c>
      <c r="F7" s="363" t="s">
        <v>344</v>
      </c>
    </row>
    <row r="9" spans="1:6" x14ac:dyDescent="0.3">
      <c r="A9" s="357" t="s">
        <v>345</v>
      </c>
      <c r="B9" s="358" t="s">
        <v>337</v>
      </c>
      <c r="C9" s="359">
        <v>0</v>
      </c>
      <c r="E9" s="358" t="s">
        <v>338</v>
      </c>
      <c r="F9" s="360">
        <f ca="1">'29.06.2026'!J24</f>
        <v>0</v>
      </c>
    </row>
    <row r="10" spans="1:6" x14ac:dyDescent="0.3">
      <c r="B10" s="358" t="s">
        <v>339</v>
      </c>
      <c r="C10" s="359">
        <v>0</v>
      </c>
      <c r="E10" s="358" t="s">
        <v>340</v>
      </c>
      <c r="F10" s="360">
        <f ca="1">'29.06.2026'!J25</f>
        <v>0</v>
      </c>
    </row>
    <row r="11" spans="1:6" x14ac:dyDescent="0.3">
      <c r="B11" s="361" t="s">
        <v>346</v>
      </c>
      <c r="C11" s="362">
        <f>SUM(C9:C10)</f>
        <v>0</v>
      </c>
      <c r="E11" s="361" t="s">
        <v>346</v>
      </c>
      <c r="F11" s="362">
        <f ca="1">SUM(F9:F10)</f>
        <v>0</v>
      </c>
    </row>
    <row r="13" spans="1:6" x14ac:dyDescent="0.3">
      <c r="B13" s="363" t="s">
        <v>342</v>
      </c>
      <c r="C13" s="364">
        <f ca="1">C11+F11</f>
        <v>0</v>
      </c>
      <c r="D13" s="363" t="s">
        <v>343</v>
      </c>
      <c r="E13" s="364">
        <f ca="1">C13*1.15</f>
        <v>0</v>
      </c>
      <c r="F13" s="363" t="s">
        <v>344</v>
      </c>
    </row>
    <row r="15" spans="1:6" x14ac:dyDescent="0.3">
      <c r="A15" s="334" t="s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</vt:i4>
      </vt:variant>
    </vt:vector>
  </HeadingPairs>
  <TitlesOfParts>
    <vt:vector size="39" baseType="lpstr">
      <vt:lpstr>01.06.2026</vt:lpstr>
      <vt:lpstr>02.06.2026</vt:lpstr>
      <vt:lpstr>03.06.2026</vt:lpstr>
      <vt:lpstr>04.06.2026</vt:lpstr>
      <vt:lpstr>05.06.2026</vt:lpstr>
      <vt:lpstr>08.06.2026</vt:lpstr>
      <vt:lpstr>09.06.2026</vt:lpstr>
      <vt:lpstr>10.06.2026</vt:lpstr>
      <vt:lpstr>11.06.2026</vt:lpstr>
      <vt:lpstr>12.06.2026</vt:lpstr>
      <vt:lpstr>17.06.2026</vt:lpstr>
      <vt:lpstr>18.06.2026</vt:lpstr>
      <vt:lpstr>19.06.2026</vt:lpstr>
      <vt:lpstr>22.06.2026</vt:lpstr>
      <vt:lpstr>23.06.2026</vt:lpstr>
      <vt:lpstr>24.06.2026</vt:lpstr>
      <vt:lpstr>25.06.2026</vt:lpstr>
      <vt:lpstr>26.06.2026</vt:lpstr>
      <vt:lpstr>29.06.2026</vt:lpstr>
      <vt:lpstr>Monthly INV - 06.2026</vt:lpstr>
      <vt:lpstr>'01.06.2026'!Print_Area</vt:lpstr>
      <vt:lpstr>'02.06.2026'!Print_Area</vt:lpstr>
      <vt:lpstr>'03.06.2026'!Print_Area</vt:lpstr>
      <vt:lpstr>'04.06.2026'!Print_Area</vt:lpstr>
      <vt:lpstr>'05.06.2026'!Print_Area</vt:lpstr>
      <vt:lpstr>'08.06.2026'!Print_Area</vt:lpstr>
      <vt:lpstr>'09.06.2026'!Print_Area</vt:lpstr>
      <vt:lpstr>'10.06.2026'!Print_Area</vt:lpstr>
      <vt:lpstr>'11.06.2026'!Print_Area</vt:lpstr>
      <vt:lpstr>'12.06.2026'!Print_Area</vt:lpstr>
      <vt:lpstr>'17.06.2026'!Print_Area</vt:lpstr>
      <vt:lpstr>'18.06.2026'!Print_Area</vt:lpstr>
      <vt:lpstr>'19.06.2026'!Print_Area</vt:lpstr>
      <vt:lpstr>'22.06.2026'!Print_Area</vt:lpstr>
      <vt:lpstr>'23.06.2026'!Print_Area</vt:lpstr>
      <vt:lpstr>'24.06.2026'!Print_Area</vt:lpstr>
      <vt:lpstr>'25.06.2026'!Print_Area</vt:lpstr>
      <vt:lpstr>'26.06.2026'!Print_Area</vt:lpstr>
      <vt:lpstr>'29.06.2026'!Print_Area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cp:lastPrinted>2026-06-26T09:25:18Z</cp:lastPrinted>
  <dcterms:created xsi:type="dcterms:W3CDTF">2026-06-01T06:52:08Z</dcterms:created>
  <dcterms:modified xsi:type="dcterms:W3CDTF">2026-07-08T07:24:58Z</dcterms:modified>
</cp:coreProperties>
</file>