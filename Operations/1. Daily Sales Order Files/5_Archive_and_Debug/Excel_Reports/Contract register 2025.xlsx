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ntracts 2025" sheetId="1" state="visible" r:id="rId1"/>
  </sheets>
  <definedNames>
    <definedName name="_xlnm.Print_Area" localSheetId="0">'Contracts 2025'!$A$1:$R$1048552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R-1C09]#,##0.00"/>
    <numFmt numFmtId="165" formatCode="[$-409]d\-mmm\-yy;@"/>
    <numFmt numFmtId="166" formatCode="&quot;R&quot;#,##0.00"/>
  </numFmts>
  <fonts count="8">
    <font>
      <name val="Aptos Narrow"/>
      <family val="2"/>
      <color theme="1"/>
      <sz val="11"/>
      <scheme val="minor"/>
    </font>
    <font>
      <name val="Segoe UI"/>
      <family val="2"/>
      <color rgb="FF242424"/>
      <sz val="8"/>
    </font>
    <font>
      <name val="Arial"/>
      <family val="2"/>
      <b val="1"/>
      <color rgb="FF000000"/>
      <sz val="8"/>
    </font>
    <font>
      <name val="Aptos Narrow"/>
      <family val="2"/>
      <color rgb="FF000000"/>
      <sz val="11"/>
      <scheme val="minor"/>
    </font>
    <font>
      <name val="Aptos Narrow"/>
      <family val="2"/>
      <color rgb="FF242424"/>
      <sz val="11"/>
      <scheme val="minor"/>
    </font>
    <font>
      <name val="Calibri"/>
      <family val="2"/>
      <b val="1"/>
      <color rgb="FF595959"/>
      <sz val="11"/>
    </font>
    <font>
      <name val="Calibri"/>
      <family val="2"/>
      <b val="1"/>
      <color rgb="FF595959"/>
      <sz val="16"/>
    </font>
    <font>
      <name val="Calibri"/>
      <family val="2"/>
      <b val="1"/>
      <color rgb="FF595959"/>
      <sz val="14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EEEE"/>
        <b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center" vertical="top"/>
    </xf>
    <xf numFmtId="14" fontId="0" fillId="0" borderId="0" applyAlignment="1" pivotButton="0" quotePrefix="0" xfId="0">
      <alignment horizontal="right" vertical="top"/>
    </xf>
    <xf numFmtId="1" fontId="0" fillId="0" borderId="0" applyAlignment="1" pivotButton="0" quotePrefix="0" xfId="0">
      <alignment horizontal="center" vertical="top"/>
    </xf>
    <xf numFmtId="164" fontId="0" fillId="0" borderId="0" applyAlignment="1" pivotButton="0" quotePrefix="0" xfId="0">
      <alignment horizontal="right"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14" fontId="0" fillId="0" borderId="0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14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horizontal="left" vertical="top"/>
    </xf>
    <xf numFmtId="14" fontId="0" fillId="0" borderId="1" applyAlignment="1" pivotButton="0" quotePrefix="0" xfId="0">
      <alignment horizontal="right" vertical="top"/>
    </xf>
    <xf numFmtId="1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164" fontId="0" fillId="2" borderId="1" applyAlignment="1" pivotButton="0" quotePrefix="0" xfId="0">
      <alignment horizontal="center" vertical="top"/>
    </xf>
    <xf numFmtId="1" fontId="0" fillId="2" borderId="1" applyAlignment="1" pivotButton="0" quotePrefix="0" xfId="0">
      <alignment horizontal="center" vertical="top"/>
    </xf>
    <xf numFmtId="164" fontId="0" fillId="2" borderId="1" applyAlignment="1" pivotButton="0" quotePrefix="0" xfId="0">
      <alignment horizontal="right" vertical="top"/>
    </xf>
    <xf numFmtId="164" fontId="0" fillId="2" borderId="1" applyAlignment="1" pivotButton="0" quotePrefix="0" xfId="0">
      <alignment vertical="top"/>
    </xf>
    <xf numFmtId="0" fontId="0" fillId="2" borderId="1" applyAlignment="1" pivotButton="0" quotePrefix="0" xfId="0">
      <alignment horizontal="center" vertical="top"/>
    </xf>
    <xf numFmtId="0" fontId="0" fillId="2" borderId="1" applyAlignment="1" pivotButton="0" quotePrefix="0" xfId="0">
      <alignment vertical="top"/>
    </xf>
    <xf numFmtId="0" fontId="0" fillId="2" borderId="1" applyAlignment="1" pivotButton="0" quotePrefix="0" xfId="0">
      <alignment horizontal="left" vertical="top"/>
    </xf>
    <xf numFmtId="14" fontId="0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165" fontId="0" fillId="0" borderId="0" applyAlignment="1" pivotButton="0" quotePrefix="0" xfId="0">
      <alignment horizontal="center" vertical="top"/>
    </xf>
    <xf numFmtId="0" fontId="0" fillId="2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left" vertical="top"/>
    </xf>
    <xf numFmtId="166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vertical="top"/>
    </xf>
    <xf numFmtId="0" fontId="2" fillId="3" borderId="2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top"/>
    </xf>
    <xf numFmtId="166" fontId="0" fillId="0" borderId="1" applyAlignment="1" pivotButton="0" quotePrefix="0" xfId="0">
      <alignment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vertical="top"/>
    </xf>
    <xf numFmtId="164" fontId="0" fillId="5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165" fontId="5" fillId="6" borderId="1" applyAlignment="1" pivotButton="0" quotePrefix="0" xfId="0">
      <alignment horizontal="center" vertical="top" wrapText="1"/>
    </xf>
    <xf numFmtId="164" fontId="5" fillId="6" borderId="1" applyAlignment="1" pivotButton="0" quotePrefix="0" xfId="0">
      <alignment horizontal="center" vertical="top" wrapText="1"/>
    </xf>
    <xf numFmtId="14" fontId="5" fillId="6" borderId="1" applyAlignment="1" pivotButton="0" quotePrefix="0" xfId="0">
      <alignment horizontal="center" vertical="top" wrapText="1"/>
    </xf>
    <xf numFmtId="1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165" fontId="7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</cellXfs>
  <cellStyles count="1">
    <cellStyle name="Normal" xfId="0" builtinId="0"/>
  </cellStyles>
  <dxfs count="42"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"/>
        </patternFill>
      </fill>
    </dxf>
    <dxf>
      <alignment horizontal="general" vertical="top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R-1C09]#,##0.00"/>
      <alignment horizontal="lef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R-1C09]#,##0.00"/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R-1C09]#,##0.00"/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R-1C09]#,##0.00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R-1C09]#,##0.00"/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general" vertical="top"/>
    </dxf>
    <dxf>
      <font>
        <name val="Calibri"/>
        <family val="2"/>
        <b val="1"/>
        <strike val="0"/>
        <outline val="0"/>
        <shadow val="0"/>
        <condense val="0"/>
        <color rgb="FF595959"/>
        <extend val="0"/>
        <sz val="11"/>
        <vertAlign val="baseline"/>
      </font>
      <fill>
        <patternFill patternType="solid">
          <fgColor rgb="FFFFFFFF"/>
          <bgColor rgb="FFEEEEEE"/>
        </patternFill>
      </fill>
      <alignment horizontal="center" vertical="top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19935825" cy="1149056"/>
    <pic>
      <nvPicPr>
        <cNvPr id="2" name="Picture 5" descr="Abstract banner" title="Banner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346960" y="0"/>
          <a:ext cx="19935825" cy="1149056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0</colOff>
      <row>0</row>
      <rowOff>0</rowOff>
    </from>
    <ext cx="3457574" cy="1162050"/>
    <pic>
      <nvPicPr>
        <cNvPr id="4" name="Picture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0" y="0"/>
          <a:ext cx="3457574" cy="1162050"/>
        </a:xfrm>
        <a:prstGeom prst="rect">
          <avLst/>
        </a:prstGeom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ContReg25" displayName="ContReg25" ref="A4:R941" headerRowCount="1" totalsRowShown="0" headerRowDxfId="41" dataDxfId="40" headerRowBorderDxfId="38" tableBorderDxfId="39">
  <autoFilter ref="A4:R941"/>
  <sortState ref="A5:R282">
    <sortCondition ref="F4:F866"/>
  </sortState>
  <tableColumns count="18">
    <tableColumn id="1" name="Contract Number" dataDxfId="37"/>
    <tableColumn id="2" name="Document No." dataDxfId="36"/>
    <tableColumn id="3" name="Date" dataDxfId="35"/>
    <tableColumn id="4" name="Order Number" dataDxfId="34"/>
    <tableColumn id="5" name="Client Name" dataDxfId="33"/>
    <tableColumn id="6" name="Job Description" dataDxfId="32"/>
    <tableColumn id="7" name="Qty" dataDxfId="31"/>
    <tableColumn id="8" name="Value" dataDxfId="30"/>
    <tableColumn id="9" name="Total Value" dataDxfId="29"/>
    <tableColumn id="10" name="Tender No." dataDxfId="28"/>
    <tableColumn id="11" name="LT (DAYS)" dataDxfId="27"/>
    <tableColumn id="12" name="Exp.Cmpl. Date" dataDxfId="26"/>
    <tableColumn id="13" name="Sold By" dataDxfId="25"/>
    <tableColumn id="14" name="Category" dataDxfId="24"/>
    <tableColumn id="15" name="Name and Surname" dataDxfId="23"/>
    <tableColumn id="16" name="Contact Number" dataDxfId="22"/>
    <tableColumn id="17" name="Email" dataDxfId="21"/>
    <tableColumn id="18" name="Notes" dataDxfId="2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48552"/>
  <sheetViews>
    <sheetView tabSelected="1" view="pageBreakPreview" zoomScale="80" zoomScaleNormal="80" zoomScaleSheetLayoutView="80" workbookViewId="0">
      <pane ySplit="4" topLeftCell="A919" activePane="bottomLeft" state="frozen"/>
      <selection pane="bottomLeft" activeCell="L4" sqref="L1:L1048576"/>
    </sheetView>
  </sheetViews>
  <sheetFormatPr baseColWidth="8" defaultColWidth="8.5546875" defaultRowHeight="14.4"/>
  <cols>
    <col width="17.6640625" customWidth="1" style="1" min="1" max="1"/>
    <col width="15.33203125" customWidth="1" style="1" min="2" max="2"/>
    <col width="10.5546875" bestFit="1" customWidth="1" style="10" min="3" max="3"/>
    <col width="24.5546875" customWidth="1" style="9" min="4" max="4"/>
    <col width="35" customWidth="1" style="1" min="5" max="5"/>
    <col width="44" customWidth="1" style="1" min="6" max="6"/>
    <col width="9.5546875" bestFit="1" customWidth="1" style="8" min="7" max="7"/>
    <col width="11.5546875" bestFit="1" customWidth="1" style="7" min="8" max="8"/>
    <col width="16.21875" bestFit="1" customWidth="1" style="6" min="9" max="9"/>
    <col width="16.109375" bestFit="1" customWidth="1" style="3" min="10" max="10"/>
    <col width="14.6640625" bestFit="1" customWidth="1" style="5" min="11" max="11"/>
    <col width="11.6640625" customWidth="1" style="4" min="12" max="12"/>
    <col width="18.44140625" bestFit="1" customWidth="1" style="3" min="13" max="13"/>
    <col width="19.5546875" bestFit="1" customWidth="1" style="2" min="14" max="14"/>
    <col width="31.5546875" bestFit="1" customWidth="1" style="1" min="15" max="15"/>
    <col width="28" bestFit="1" customWidth="1" style="1" min="16" max="16"/>
    <col width="15.5546875" bestFit="1" customWidth="1" style="1" min="17" max="17"/>
    <col width="16.44140625" bestFit="1" customWidth="1" style="1" min="18" max="18"/>
    <col width="8.5546875" customWidth="1" style="1" min="19" max="16384"/>
  </cols>
  <sheetData>
    <row r="1" ht="21" customHeight="1">
      <c r="A1" s="62" t="n"/>
      <c r="B1" s="63" t="n"/>
      <c r="C1" s="63" t="n"/>
      <c r="D1" s="64" t="n"/>
      <c r="E1" s="62" t="n"/>
      <c r="F1" s="63" t="n"/>
      <c r="G1" s="63" t="n"/>
      <c r="H1" s="63" t="n"/>
      <c r="I1" s="63" t="n"/>
      <c r="J1" s="63" t="n"/>
      <c r="K1" s="63" t="n"/>
      <c r="L1" s="63" t="n"/>
      <c r="M1" s="63" t="n"/>
      <c r="N1" s="64" t="n"/>
      <c r="O1" s="61" t="n"/>
      <c r="P1" s="63" t="n"/>
      <c r="Q1" s="63" t="n"/>
      <c r="R1" s="64" t="n"/>
    </row>
    <row r="2" ht="70.5" customHeight="1">
      <c r="A2" s="65" t="n"/>
      <c r="B2" s="66" t="n"/>
      <c r="C2" s="66" t="n"/>
      <c r="D2" s="67" t="n"/>
      <c r="E2" s="65" t="n"/>
      <c r="F2" s="66" t="n"/>
      <c r="G2" s="66" t="n"/>
      <c r="H2" s="66" t="n"/>
      <c r="I2" s="66" t="n"/>
      <c r="J2" s="66" t="n"/>
      <c r="K2" s="66" t="n"/>
      <c r="L2" s="66" t="n"/>
      <c r="M2" s="66" t="n"/>
      <c r="N2" s="67" t="n"/>
      <c r="O2" s="65" t="n"/>
      <c r="P2" s="66" t="n"/>
      <c r="Q2" s="66" t="n"/>
      <c r="R2" s="67" t="n"/>
    </row>
    <row r="3" ht="27.75" customHeight="1">
      <c r="A3" s="60" t="inlineStr">
        <is>
          <t>Contract Information</t>
        </is>
      </c>
      <c r="B3" s="68" t="n"/>
      <c r="C3" s="68" t="n"/>
      <c r="D3" s="68" t="n"/>
      <c r="E3" s="68" t="n"/>
      <c r="F3" s="69" t="n"/>
      <c r="G3" s="60" t="inlineStr">
        <is>
          <t>Pricing &amp; Delivery/Completion</t>
        </is>
      </c>
      <c r="H3" s="68" t="n"/>
      <c r="I3" s="68" t="n"/>
      <c r="J3" s="68" t="n"/>
      <c r="K3" s="68" t="n"/>
      <c r="L3" s="69" t="n"/>
      <c r="M3" s="59" t="inlineStr">
        <is>
          <t>Classification</t>
        </is>
      </c>
      <c r="N3" s="69" t="n"/>
      <c r="O3" s="58" t="inlineStr">
        <is>
          <t>Contact Information</t>
        </is>
      </c>
      <c r="P3" s="68" t="n"/>
      <c r="Q3" s="69" t="n"/>
      <c r="R3" s="58" t="n"/>
    </row>
    <row r="4" ht="27.75" customFormat="1" customHeight="1" s="51">
      <c r="A4" s="52" t="inlineStr">
        <is>
          <t>Contract Number</t>
        </is>
      </c>
      <c r="B4" s="52" t="inlineStr">
        <is>
          <t>Document No.</t>
        </is>
      </c>
      <c r="C4" s="55" t="inlineStr">
        <is>
          <t>Date</t>
        </is>
      </c>
      <c r="D4" s="52" t="inlineStr">
        <is>
          <t>Order Number</t>
        </is>
      </c>
      <c r="E4" s="52" t="inlineStr">
        <is>
          <t>Client Name</t>
        </is>
      </c>
      <c r="F4" s="52" t="inlineStr">
        <is>
          <t>Job Description</t>
        </is>
      </c>
      <c r="G4" s="52" t="inlineStr">
        <is>
          <t>Qty</t>
        </is>
      </c>
      <c r="H4" s="54" t="inlineStr">
        <is>
          <t>Value</t>
        </is>
      </c>
      <c r="I4" s="54" t="inlineStr">
        <is>
          <t>Total Value</t>
        </is>
      </c>
      <c r="J4" s="54" t="inlineStr">
        <is>
          <t>Tender No.</t>
        </is>
      </c>
      <c r="K4" s="56" t="inlineStr">
        <is>
          <t>LT (DAYS)</t>
        </is>
      </c>
      <c r="L4" s="55" t="inlineStr">
        <is>
          <t>Exp.Cmpl. Date</t>
        </is>
      </c>
      <c r="M4" s="54" t="inlineStr">
        <is>
          <t>Sold By</t>
        </is>
      </c>
      <c r="N4" s="53" t="inlineStr">
        <is>
          <t>Category</t>
        </is>
      </c>
      <c r="O4" s="52" t="inlineStr">
        <is>
          <t>Name and Surname</t>
        </is>
      </c>
      <c r="P4" s="52" t="inlineStr">
        <is>
          <t>Contact Number</t>
        </is>
      </c>
      <c r="Q4" s="52" t="inlineStr">
        <is>
          <t>Email</t>
        </is>
      </c>
      <c r="R4" s="52" t="inlineStr">
        <is>
          <t>Notes</t>
        </is>
      </c>
    </row>
    <row r="5">
      <c r="A5" s="14" t="inlineStr">
        <is>
          <t>FM2803</t>
        </is>
      </c>
      <c r="B5" s="14" t="n"/>
      <c r="C5" s="13" t="n">
        <v>45663</v>
      </c>
      <c r="D5" s="12" t="inlineStr">
        <is>
          <t>PC6/PO-1667</t>
        </is>
      </c>
      <c r="E5" s="14" t="inlineStr">
        <is>
          <t>Butec</t>
        </is>
      </c>
      <c r="F5" s="14" t="inlineStr">
        <is>
          <t>Pretoria River Walk Block A</t>
        </is>
      </c>
      <c r="G5" s="20" t="n">
        <v>1</v>
      </c>
      <c r="H5" s="19" t="n">
        <v>33289.59</v>
      </c>
      <c r="I5" s="18">
        <f>H5*G5</f>
        <v/>
      </c>
      <c r="J5" s="11" t="n"/>
      <c r="K5" s="17" t="n"/>
      <c r="L5" s="16">
        <f>K5+C5</f>
        <v/>
      </c>
      <c r="M5" s="11" t="inlineStr">
        <is>
          <t>MT</t>
        </is>
      </c>
      <c r="N5" s="15" t="n"/>
      <c r="O5" s="14" t="n"/>
      <c r="P5" s="14" t="n"/>
      <c r="Q5" s="14" t="n"/>
      <c r="R5" s="14" t="n"/>
    </row>
    <row r="6">
      <c r="A6" s="14" t="inlineStr">
        <is>
          <t>FM2804</t>
        </is>
      </c>
      <c r="B6" s="14" t="n"/>
      <c r="C6" s="13" t="n">
        <v>45663</v>
      </c>
      <c r="D6" s="12" t="inlineStr">
        <is>
          <t>Cash Sale</t>
        </is>
      </c>
      <c r="E6" s="14" t="inlineStr">
        <is>
          <t>Insukamini</t>
        </is>
      </c>
      <c r="F6" s="14" t="inlineStr">
        <is>
          <t>AT18/18 AR c/w 7.5kW 4P 400V</t>
        </is>
      </c>
      <c r="G6" s="20" t="n">
        <v>1</v>
      </c>
      <c r="H6" s="19" t="n">
        <v>33517</v>
      </c>
      <c r="I6" s="18">
        <f>H6*G6</f>
        <v/>
      </c>
      <c r="J6" s="11" t="n"/>
      <c r="K6" s="17" t="n"/>
      <c r="L6" s="16">
        <f>K6+C6</f>
        <v/>
      </c>
      <c r="M6" s="11" t="inlineStr">
        <is>
          <t>SM</t>
        </is>
      </c>
      <c r="N6" s="15" t="n"/>
      <c r="O6" s="14" t="n"/>
      <c r="P6" s="14" t="n"/>
      <c r="Q6" s="14" t="n"/>
      <c r="R6" s="14" t="n"/>
    </row>
    <row r="7">
      <c r="A7" s="14" t="inlineStr">
        <is>
          <t>FM2805</t>
        </is>
      </c>
      <c r="B7" s="14" t="n"/>
      <c r="C7" s="13" t="n">
        <v>45663</v>
      </c>
      <c r="D7" s="12" t="inlineStr">
        <is>
          <t>Cash Sale</t>
        </is>
      </c>
      <c r="E7" s="14" t="inlineStr">
        <is>
          <t>Vortron System</t>
        </is>
      </c>
      <c r="F7" s="14" t="inlineStr">
        <is>
          <t>Majax 2 630 c/w 1,1kW 4Pole</t>
        </is>
      </c>
      <c r="G7" s="20" t="n">
        <v>2</v>
      </c>
      <c r="H7" s="19" t="n">
        <v>18658.05</v>
      </c>
      <c r="I7" s="18">
        <f>H7*G7</f>
        <v/>
      </c>
      <c r="J7" s="11" t="n"/>
      <c r="K7" s="17" t="n"/>
      <c r="L7" s="16">
        <f>K7+C7</f>
        <v/>
      </c>
      <c r="M7" s="11" t="inlineStr">
        <is>
          <t>ST</t>
        </is>
      </c>
      <c r="N7" s="15" t="n"/>
      <c r="O7" s="14" t="n"/>
      <c r="P7" s="14" t="n"/>
      <c r="Q7" s="14" t="n"/>
      <c r="R7" s="14" t="n"/>
    </row>
    <row r="8">
      <c r="A8" s="14" t="inlineStr">
        <is>
          <t>FM2806</t>
        </is>
      </c>
      <c r="B8" s="14" t="n"/>
      <c r="C8" s="13" t="n">
        <v>45663</v>
      </c>
      <c r="D8" s="12" t="inlineStr">
        <is>
          <t>Cash Sale</t>
        </is>
      </c>
      <c r="E8" s="14" t="inlineStr">
        <is>
          <t>Vortron System</t>
        </is>
      </c>
      <c r="F8" s="14" t="inlineStr">
        <is>
          <t>Majax 2 500 c/w 0,55kW 4Pole</t>
        </is>
      </c>
      <c r="G8" s="20" t="n">
        <v>2</v>
      </c>
      <c r="H8" s="19" t="n">
        <v>14080.06</v>
      </c>
      <c r="I8" s="18">
        <f>H8*G8</f>
        <v/>
      </c>
      <c r="J8" s="11" t="n"/>
      <c r="K8" s="17" t="n"/>
      <c r="L8" s="16">
        <f>K8+C8</f>
        <v/>
      </c>
      <c r="M8" s="11" t="inlineStr">
        <is>
          <t>ST</t>
        </is>
      </c>
      <c r="N8" s="15" t="n"/>
      <c r="O8" s="14" t="n"/>
      <c r="P8" s="14" t="n"/>
      <c r="Q8" s="14" t="n"/>
      <c r="R8" s="14" t="n"/>
    </row>
    <row r="9">
      <c r="A9" s="14" t="inlineStr">
        <is>
          <t>FM2807</t>
        </is>
      </c>
      <c r="B9" s="14" t="n"/>
      <c r="C9" s="13" t="n">
        <v>45663</v>
      </c>
      <c r="D9" s="12" t="inlineStr">
        <is>
          <t>Cash Sale</t>
        </is>
      </c>
      <c r="E9" s="14" t="inlineStr">
        <is>
          <t>Vortron System</t>
        </is>
      </c>
      <c r="F9" s="14" t="inlineStr">
        <is>
          <t>Majax 2 500 c/w 0,55kW 4Pole</t>
        </is>
      </c>
      <c r="G9" s="20" t="n">
        <v>2</v>
      </c>
      <c r="H9" s="19" t="n">
        <v>14080.06</v>
      </c>
      <c r="I9" s="18">
        <f>H9*G9</f>
        <v/>
      </c>
      <c r="J9" s="11" t="n"/>
      <c r="K9" s="17" t="n"/>
      <c r="L9" s="16">
        <f>K9+C9</f>
        <v/>
      </c>
      <c r="M9" s="11" t="inlineStr">
        <is>
          <t>ST</t>
        </is>
      </c>
      <c r="N9" s="15" t="n"/>
      <c r="O9" s="14" t="n"/>
      <c r="P9" s="14" t="n"/>
      <c r="Q9" s="14" t="n"/>
      <c r="R9" s="14" t="n"/>
    </row>
    <row r="10">
      <c r="A10" s="14" t="inlineStr">
        <is>
          <t>FM2808</t>
        </is>
      </c>
      <c r="B10" s="14" t="n"/>
      <c r="C10" s="13" t="n">
        <v>45663</v>
      </c>
      <c r="D10" s="12" t="inlineStr">
        <is>
          <t>Cash Sale</t>
        </is>
      </c>
      <c r="E10" s="14" t="inlineStr">
        <is>
          <t>Vortron System</t>
        </is>
      </c>
      <c r="F10" s="14" t="inlineStr">
        <is>
          <t>Majax 2 560 c/w 1,1kW 4Pole</t>
        </is>
      </c>
      <c r="G10" s="20" t="n">
        <v>2</v>
      </c>
      <c r="H10" s="19" t="n">
        <v>17020.54</v>
      </c>
      <c r="I10" s="18">
        <f>H10*G10</f>
        <v/>
      </c>
      <c r="J10" s="11" t="n"/>
      <c r="K10" s="17" t="n"/>
      <c r="L10" s="16">
        <f>K10+C10</f>
        <v/>
      </c>
      <c r="M10" s="11" t="inlineStr">
        <is>
          <t>ST</t>
        </is>
      </c>
      <c r="N10" s="15" t="n"/>
      <c r="O10" s="14" t="n"/>
      <c r="P10" s="14" t="n"/>
      <c r="Q10" s="14" t="n"/>
      <c r="R10" s="14" t="n"/>
    </row>
    <row r="11">
      <c r="A11" s="14" t="inlineStr">
        <is>
          <t>FM2809</t>
        </is>
      </c>
      <c r="B11" s="14" t="n"/>
      <c r="C11" s="13" t="n">
        <v>45663</v>
      </c>
      <c r="D11" s="12" t="inlineStr">
        <is>
          <t>Cash Sale</t>
        </is>
      </c>
      <c r="E11" s="14" t="inlineStr">
        <is>
          <t>Vortron System</t>
        </is>
      </c>
      <c r="F11" s="14" t="inlineStr">
        <is>
          <t>Majax 2 630 c/w 2.2kW 4Pole</t>
        </is>
      </c>
      <c r="G11" s="20" t="n">
        <v>2</v>
      </c>
      <c r="H11" s="19" t="n">
        <v>19808.38</v>
      </c>
      <c r="I11" s="18">
        <f>H11*G11</f>
        <v/>
      </c>
      <c r="J11" s="11" t="n"/>
      <c r="K11" s="17" t="n"/>
      <c r="L11" s="16">
        <f>K11+C11</f>
        <v/>
      </c>
      <c r="M11" s="11" t="inlineStr">
        <is>
          <t>ST</t>
        </is>
      </c>
      <c r="N11" s="15" t="n"/>
      <c r="O11" s="14" t="n"/>
      <c r="P11" s="14" t="n"/>
      <c r="Q11" s="14" t="n"/>
      <c r="R11" s="14" t="n"/>
    </row>
    <row r="12">
      <c r="A12" s="14" t="inlineStr">
        <is>
          <t>FM2810</t>
        </is>
      </c>
      <c r="B12" s="14" t="n"/>
      <c r="C12" s="13" t="n">
        <v>45663</v>
      </c>
      <c r="D12" s="12" t="inlineStr">
        <is>
          <t>Cash Sale</t>
        </is>
      </c>
      <c r="E12" s="14" t="inlineStr">
        <is>
          <t>Vortron System</t>
        </is>
      </c>
      <c r="F12" s="14" t="inlineStr">
        <is>
          <t>Majax 2 800 c/w 3kW 4Pole</t>
        </is>
      </c>
      <c r="G12" s="20" t="n">
        <v>1</v>
      </c>
      <c r="H12" s="19" t="n">
        <v>26321.63</v>
      </c>
      <c r="I12" s="18">
        <f>H12*G12</f>
        <v/>
      </c>
      <c r="J12" s="11" t="n"/>
      <c r="K12" s="17" t="n"/>
      <c r="L12" s="16">
        <f>K12+C12</f>
        <v/>
      </c>
      <c r="M12" s="11" t="inlineStr">
        <is>
          <t>ST</t>
        </is>
      </c>
      <c r="N12" s="15" t="n"/>
      <c r="O12" s="14" t="n"/>
      <c r="P12" s="14" t="n"/>
      <c r="Q12" s="14" t="n"/>
      <c r="R12" s="14" t="n"/>
    </row>
    <row r="13">
      <c r="A13" s="14" t="inlineStr">
        <is>
          <t>FM2811</t>
        </is>
      </c>
      <c r="B13" s="14" t="n"/>
      <c r="C13" s="13" t="n">
        <v>45663</v>
      </c>
      <c r="D13" s="12" t="inlineStr">
        <is>
          <t>Cash Sale</t>
        </is>
      </c>
      <c r="E13" s="14" t="inlineStr">
        <is>
          <t>Vortron System</t>
        </is>
      </c>
      <c r="F13" s="14" t="inlineStr">
        <is>
          <t>Majax 2 710 c/w 3kW 4Pole</t>
        </is>
      </c>
      <c r="G13" s="20" t="n">
        <v>1</v>
      </c>
      <c r="H13" s="19" t="n">
        <v>23290.6</v>
      </c>
      <c r="I13" s="18">
        <f>H13*G13</f>
        <v/>
      </c>
      <c r="J13" s="11" t="n"/>
      <c r="K13" s="17" t="n"/>
      <c r="L13" s="16">
        <f>K13+C13</f>
        <v/>
      </c>
      <c r="M13" s="11" t="inlineStr">
        <is>
          <t>ST</t>
        </is>
      </c>
      <c r="N13" s="15" t="n"/>
      <c r="O13" s="14" t="n"/>
      <c r="P13" s="14" t="n"/>
      <c r="Q13" s="14" t="n"/>
      <c r="R13" s="14" t="n"/>
    </row>
    <row r="14">
      <c r="A14" s="14" t="inlineStr">
        <is>
          <t>FM2812</t>
        </is>
      </c>
      <c r="B14" s="14" t="n"/>
      <c r="C14" s="13" t="n">
        <v>45663</v>
      </c>
      <c r="D14" s="12" t="inlineStr">
        <is>
          <t>PO1906</t>
        </is>
      </c>
      <c r="E14" s="14" t="inlineStr">
        <is>
          <t xml:space="preserve">Hucra Fans </t>
        </is>
      </c>
      <c r="F14" s="14" t="inlineStr">
        <is>
          <t>V230/9 -P-LLS</t>
        </is>
      </c>
      <c r="G14" s="20" t="n">
        <v>1</v>
      </c>
      <c r="H14" s="19" t="n">
        <v>3093</v>
      </c>
      <c r="I14" s="18">
        <f>H14*G14</f>
        <v/>
      </c>
      <c r="J14" s="11" t="n"/>
      <c r="K14" s="17" t="n"/>
      <c r="L14" s="16">
        <f>K14+C14</f>
        <v/>
      </c>
      <c r="M14" s="11" t="inlineStr">
        <is>
          <t>ZX</t>
        </is>
      </c>
      <c r="N14" s="15" t="n"/>
      <c r="O14" s="14" t="n"/>
      <c r="P14" s="14" t="n"/>
      <c r="Q14" s="14" t="n"/>
      <c r="R14" s="14" t="n"/>
    </row>
    <row r="15">
      <c r="A15" s="14" t="inlineStr">
        <is>
          <t>FM2813</t>
        </is>
      </c>
      <c r="B15" s="14" t="n"/>
      <c r="C15" s="13" t="n">
        <v>45665</v>
      </c>
      <c r="D15" s="12" t="inlineStr">
        <is>
          <t xml:space="preserve">PRO5374 SCHORN-CASH </t>
        </is>
      </c>
      <c r="E15" s="14" t="inlineStr">
        <is>
          <t>Schorn Cryogenics CC</t>
        </is>
      </c>
      <c r="F15" s="14" t="inlineStr">
        <is>
          <t>CMP 38 2M</t>
        </is>
      </c>
      <c r="G15" s="20" t="n">
        <v>1</v>
      </c>
      <c r="H15" s="19" t="n">
        <v>5116.62</v>
      </c>
      <c r="I15" s="18">
        <f>H15*G15</f>
        <v/>
      </c>
      <c r="J15" s="11" t="n"/>
      <c r="K15" s="17" t="n"/>
      <c r="L15" s="16">
        <f>K15+C15</f>
        <v/>
      </c>
      <c r="M15" s="11" t="inlineStr">
        <is>
          <t>MT</t>
        </is>
      </c>
      <c r="N15" s="15" t="n"/>
      <c r="O15" s="14" t="n"/>
      <c r="P15" s="14" t="n"/>
      <c r="Q15" s="14" t="n"/>
      <c r="R15" s="14" t="n"/>
    </row>
    <row r="16">
      <c r="A16" s="14" t="inlineStr">
        <is>
          <t>FM2814</t>
        </is>
      </c>
      <c r="B16" s="14" t="n"/>
      <c r="C16" s="13" t="n">
        <v>45665</v>
      </c>
      <c r="D16" s="12" t="inlineStr">
        <is>
          <t>PO1907</t>
        </is>
      </c>
      <c r="E16" s="14" t="inlineStr">
        <is>
          <t xml:space="preserve">Hucra Fans </t>
        </is>
      </c>
      <c r="F16" s="14" t="inlineStr">
        <is>
          <t>RAD 250</t>
        </is>
      </c>
      <c r="G16" s="20" t="n">
        <v>4</v>
      </c>
      <c r="H16" s="19" t="n">
        <v>2097</v>
      </c>
      <c r="I16" s="18">
        <f>H16*G16</f>
        <v/>
      </c>
      <c r="J16" s="11" t="n"/>
      <c r="K16" s="17" t="n"/>
      <c r="L16" s="16">
        <f>K16+C16</f>
        <v/>
      </c>
      <c r="M16" s="11" t="inlineStr">
        <is>
          <t>ZX</t>
        </is>
      </c>
      <c r="N16" s="15" t="n"/>
      <c r="O16" s="14" t="n"/>
      <c r="P16" s="14" t="n"/>
      <c r="Q16" s="14" t="n"/>
      <c r="R16" s="14" t="n"/>
    </row>
    <row r="17">
      <c r="A17" s="14" t="inlineStr">
        <is>
          <t>FM2815</t>
        </is>
      </c>
      <c r="B17" s="14" t="n"/>
      <c r="C17" s="13" t="n">
        <v>45665</v>
      </c>
      <c r="D17" s="12" t="n">
        <v>4500719864</v>
      </c>
      <c r="E17" s="14" t="inlineStr">
        <is>
          <t>Aberdare Cables</t>
        </is>
      </c>
      <c r="F17" s="14" t="inlineStr">
        <is>
          <t>CMP 512 2T</t>
        </is>
      </c>
      <c r="G17" s="20" t="n">
        <v>3</v>
      </c>
      <c r="H17" s="19" t="n">
        <v>4659</v>
      </c>
      <c r="I17" s="18">
        <f>H17*G17</f>
        <v/>
      </c>
      <c r="J17" s="11" t="n"/>
      <c r="K17" s="17" t="n"/>
      <c r="L17" s="16">
        <f>K17+C17</f>
        <v/>
      </c>
      <c r="M17" s="11" t="inlineStr">
        <is>
          <t>ST</t>
        </is>
      </c>
      <c r="N17" s="15" t="n"/>
      <c r="O17" s="14" t="n"/>
      <c r="P17" s="14" t="n"/>
      <c r="Q17" s="14" t="n"/>
      <c r="R17" s="14" t="n"/>
    </row>
    <row r="18">
      <c r="A18" s="14" t="inlineStr">
        <is>
          <t>FM2816</t>
        </is>
      </c>
      <c r="B18" s="14" t="n"/>
      <c r="C18" s="13" t="n">
        <v>45666</v>
      </c>
      <c r="D18" s="12" t="inlineStr">
        <is>
          <t>Cash Sale</t>
        </is>
      </c>
      <c r="E18" s="14" t="inlineStr">
        <is>
          <t>Power Choice</t>
        </is>
      </c>
      <c r="F18" s="14" t="inlineStr">
        <is>
          <t>Majax-2 400 15.B.8 c/w 0.37kW 4 Pole 380V(34degrees)+acc</t>
        </is>
      </c>
      <c r="G18" s="20" t="n">
        <v>5</v>
      </c>
      <c r="H18" s="19" t="n"/>
      <c r="I18" s="18">
        <f>H18*G18</f>
        <v/>
      </c>
      <c r="J18" s="11" t="n"/>
      <c r="K18" s="17" t="n"/>
      <c r="L18" s="16">
        <f>K18+C18</f>
        <v/>
      </c>
      <c r="M18" s="11" t="inlineStr">
        <is>
          <t>SM</t>
        </is>
      </c>
      <c r="N18" s="15" t="n"/>
      <c r="O18" s="14" t="n"/>
      <c r="P18" s="14" t="n"/>
      <c r="Q18" s="14" t="n"/>
      <c r="R18" s="14" t="n"/>
    </row>
    <row r="19">
      <c r="A19" s="14" t="inlineStr">
        <is>
          <t>FM2817</t>
        </is>
      </c>
      <c r="B19" s="14" t="n"/>
      <c r="C19" s="13" t="n">
        <v>45666</v>
      </c>
      <c r="D19" s="12" t="inlineStr">
        <is>
          <t>Cash Sale</t>
        </is>
      </c>
      <c r="E19" s="14" t="inlineStr">
        <is>
          <t>Power Choice</t>
        </is>
      </c>
      <c r="F19" s="14" t="inlineStr">
        <is>
          <t>Majax-2 500 20.C.8 c/w 0.55kW 4 Pole 380V(19degrees)+acc</t>
        </is>
      </c>
      <c r="G19" s="20" t="n">
        <v>1</v>
      </c>
      <c r="H19" s="19" t="n"/>
      <c r="I19" s="18">
        <f>H19*G19</f>
        <v/>
      </c>
      <c r="J19" s="11" t="n"/>
      <c r="K19" s="17" t="n"/>
      <c r="L19" s="16">
        <f>K19+C19</f>
        <v/>
      </c>
      <c r="M19" s="11" t="inlineStr">
        <is>
          <t>SM</t>
        </is>
      </c>
      <c r="N19" s="15" t="n"/>
      <c r="O19" s="14" t="n"/>
      <c r="P19" s="14" t="n"/>
      <c r="Q19" s="14" t="n"/>
      <c r="R19" s="14" t="n"/>
    </row>
    <row r="20">
      <c r="A20" s="14" t="inlineStr">
        <is>
          <t>FM2818</t>
        </is>
      </c>
      <c r="B20" s="14" t="n"/>
      <c r="C20" s="13" t="n">
        <v>45666</v>
      </c>
      <c r="D20" s="12" t="inlineStr">
        <is>
          <t>Cash Sale</t>
        </is>
      </c>
      <c r="E20" s="14" t="inlineStr">
        <is>
          <t>Power Choice</t>
        </is>
      </c>
      <c r="F20" s="14" t="inlineStr">
        <is>
          <t>Majax-2 500 20.C.8 c/w 0.75kW 4 Pole 380V(27degrees)+acc</t>
        </is>
      </c>
      <c r="G20" s="20" t="n">
        <v>1</v>
      </c>
      <c r="H20" s="19" t="n"/>
      <c r="I20" s="18">
        <f>H20*G20</f>
        <v/>
      </c>
      <c r="J20" s="11" t="n"/>
      <c r="K20" s="17" t="n"/>
      <c r="L20" s="16">
        <f>K20+C20</f>
        <v/>
      </c>
      <c r="M20" s="11" t="inlineStr">
        <is>
          <t>SM</t>
        </is>
      </c>
      <c r="N20" s="15" t="n"/>
      <c r="O20" s="14" t="n"/>
      <c r="P20" s="14" t="n"/>
      <c r="Q20" s="14" t="n"/>
      <c r="R20" s="14" t="n"/>
    </row>
    <row r="21">
      <c r="A21" s="14" t="inlineStr">
        <is>
          <t>FM2819</t>
        </is>
      </c>
      <c r="B21" s="14" t="n"/>
      <c r="C21" s="13" t="n">
        <v>45666</v>
      </c>
      <c r="D21" s="12" t="inlineStr">
        <is>
          <t>Cash Sale</t>
        </is>
      </c>
      <c r="E21" s="14" t="inlineStr">
        <is>
          <t>Power Choice</t>
        </is>
      </c>
      <c r="F21" s="14" t="inlineStr">
        <is>
          <t>Majax-2 400 15.B.8 c/w 0.25kW 4 Pole 380V(29degrees)+acc</t>
        </is>
      </c>
      <c r="G21" s="20" t="n">
        <v>2</v>
      </c>
      <c r="H21" s="19" t="n"/>
      <c r="I21" s="18">
        <f>H21*G21</f>
        <v/>
      </c>
      <c r="J21" s="11" t="n"/>
      <c r="K21" s="17" t="n"/>
      <c r="L21" s="16">
        <f>K21+C21</f>
        <v/>
      </c>
      <c r="M21" s="11" t="inlineStr">
        <is>
          <t>SM</t>
        </is>
      </c>
      <c r="N21" s="15" t="n"/>
      <c r="O21" s="14" t="n"/>
      <c r="P21" s="14" t="n"/>
      <c r="Q21" s="14" t="n"/>
      <c r="R21" s="14" t="n"/>
    </row>
    <row r="22">
      <c r="A22" s="14" t="inlineStr">
        <is>
          <t>FM2820</t>
        </is>
      </c>
      <c r="B22" s="14" t="n"/>
      <c r="C22" s="13" t="n">
        <v>45666</v>
      </c>
      <c r="D22" s="12" t="inlineStr">
        <is>
          <t>Cash Sale</t>
        </is>
      </c>
      <c r="E22" s="14" t="inlineStr">
        <is>
          <t>Power Choice</t>
        </is>
      </c>
      <c r="F22" s="14" t="inlineStr">
        <is>
          <t>Majax-2 400 15.B.8 c/w 0.55kW 4 Pole 380V(39degrees)+acc</t>
        </is>
      </c>
      <c r="G22" s="20" t="n">
        <v>2</v>
      </c>
      <c r="H22" s="19" t="n"/>
      <c r="I22" s="18">
        <f>H22*G22</f>
        <v/>
      </c>
      <c r="J22" s="11" t="n"/>
      <c r="K22" s="17" t="n"/>
      <c r="L22" s="16">
        <f>K22+C22</f>
        <v/>
      </c>
      <c r="M22" s="11" t="inlineStr">
        <is>
          <t>SM</t>
        </is>
      </c>
      <c r="N22" s="15" t="n"/>
      <c r="O22" s="14" t="n"/>
      <c r="P22" s="14" t="n"/>
      <c r="Q22" s="14" t="n"/>
      <c r="R22" s="14" t="n"/>
    </row>
    <row r="23">
      <c r="A23" s="14" t="inlineStr">
        <is>
          <t>FM2821</t>
        </is>
      </c>
      <c r="B23" s="14" t="n"/>
      <c r="C23" s="13" t="n">
        <v>45666</v>
      </c>
      <c r="D23" s="12" t="inlineStr">
        <is>
          <t>Cash Sale</t>
        </is>
      </c>
      <c r="E23" s="14" t="inlineStr">
        <is>
          <t>Power Choice</t>
        </is>
      </c>
      <c r="F23" s="14" t="inlineStr">
        <is>
          <t>Box Fans</t>
        </is>
      </c>
      <c r="G23" s="20" t="n">
        <v>1</v>
      </c>
      <c r="H23" s="19" t="n"/>
      <c r="I23" s="18">
        <f>H23*G23</f>
        <v/>
      </c>
      <c r="J23" s="11" t="n"/>
      <c r="K23" s="17" t="n"/>
      <c r="L23" s="16">
        <f>K23+C23</f>
        <v/>
      </c>
      <c r="M23" s="11" t="inlineStr">
        <is>
          <t>SM</t>
        </is>
      </c>
      <c r="N23" s="15" t="n"/>
      <c r="O23" s="14" t="n"/>
      <c r="P23" s="14" t="n"/>
      <c r="Q23" s="14" t="n"/>
      <c r="R23" s="14" t="n"/>
    </row>
    <row r="24">
      <c r="A24" s="14" t="inlineStr">
        <is>
          <t>FM2822</t>
        </is>
      </c>
      <c r="B24" s="14" t="n"/>
      <c r="C24" s="13" t="n">
        <v>45670</v>
      </c>
      <c r="D24" s="12" t="inlineStr">
        <is>
          <t>PO1908</t>
        </is>
      </c>
      <c r="E24" s="14" t="inlineStr">
        <is>
          <t xml:space="preserve">Hucra Fans </t>
        </is>
      </c>
      <c r="F24" s="14" t="inlineStr">
        <is>
          <t xml:space="preserve">Tiracamino </t>
        </is>
      </c>
      <c r="G24" s="20" t="n">
        <v>5</v>
      </c>
      <c r="H24" s="19" t="n">
        <v>11310</v>
      </c>
      <c r="I24" s="18">
        <f>H24*G24</f>
        <v/>
      </c>
      <c r="J24" s="11" t="n"/>
      <c r="K24" s="17" t="n"/>
      <c r="L24" s="16">
        <f>K24+C24</f>
        <v/>
      </c>
      <c r="M24" s="11" t="inlineStr">
        <is>
          <t>ZX</t>
        </is>
      </c>
      <c r="N24" s="15" t="n"/>
      <c r="O24" s="14" t="n"/>
      <c r="P24" s="14" t="n"/>
      <c r="Q24" s="14" t="n"/>
      <c r="R24" s="14" t="n"/>
    </row>
    <row r="25">
      <c r="A25" s="14" t="inlineStr">
        <is>
          <t>FM2823</t>
        </is>
      </c>
      <c r="B25" s="14" t="n"/>
      <c r="C25" s="13" t="n">
        <v>45671</v>
      </c>
      <c r="D25" s="12" t="inlineStr">
        <is>
          <t>Cash Sale</t>
        </is>
      </c>
      <c r="E25" s="14" t="inlineStr">
        <is>
          <t>Johnson Thermal Engineering</t>
        </is>
      </c>
      <c r="F25" s="14" t="inlineStr">
        <is>
          <t>Maxflo 500/150/10A c/w 3 kw 2P 380V</t>
        </is>
      </c>
      <c r="G25" s="20" t="n">
        <v>2</v>
      </c>
      <c r="H25" s="19" t="n">
        <v>11765</v>
      </c>
      <c r="I25" s="18">
        <f>H25*G25</f>
        <v/>
      </c>
      <c r="J25" s="11" t="n"/>
      <c r="K25" s="17" t="n"/>
      <c r="L25" s="16">
        <f>K25+C25</f>
        <v/>
      </c>
      <c r="M25" s="11" t="inlineStr">
        <is>
          <t>SM</t>
        </is>
      </c>
      <c r="N25" s="15" t="n"/>
      <c r="O25" s="14" t="n"/>
      <c r="P25" s="14" t="n"/>
      <c r="Q25" s="14" t="n"/>
      <c r="R25" s="14" t="n"/>
    </row>
    <row r="26">
      <c r="A26" s="14" t="inlineStr">
        <is>
          <t>FM2824</t>
        </is>
      </c>
      <c r="B26" s="14" t="n"/>
      <c r="C26" s="13" t="n">
        <v>45671</v>
      </c>
      <c r="D26" s="12" t="inlineStr">
        <is>
          <t>PO223287</t>
        </is>
      </c>
      <c r="E26" s="14" t="inlineStr">
        <is>
          <t>Minelog</t>
        </is>
      </c>
      <c r="F26" s="14" t="inlineStr">
        <is>
          <t>2 Majax2 315 0.55kw 4P</t>
        </is>
      </c>
      <c r="G26" s="20" t="n">
        <v>2</v>
      </c>
      <c r="H26" s="19" t="n">
        <v>10769</v>
      </c>
      <c r="I26" s="18">
        <f>H26*G26</f>
        <v/>
      </c>
      <c r="J26" s="11" t="n"/>
      <c r="K26" s="17" t="n"/>
      <c r="L26" s="16">
        <f>K26+C26</f>
        <v/>
      </c>
      <c r="M26" s="11" t="inlineStr">
        <is>
          <t>MT</t>
        </is>
      </c>
      <c r="N26" s="15" t="n"/>
      <c r="O26" s="14" t="n"/>
      <c r="P26" s="14" t="n"/>
      <c r="Q26" s="14" t="n"/>
      <c r="R26" s="14" t="n"/>
    </row>
    <row r="27">
      <c r="A27" s="14" t="inlineStr">
        <is>
          <t>FM2825</t>
        </is>
      </c>
      <c r="B27" s="14" t="n"/>
      <c r="C27" s="13" t="n">
        <v>45672</v>
      </c>
      <c r="D27" s="12" t="inlineStr">
        <is>
          <t>PO115487</t>
        </is>
      </c>
      <c r="E27" s="14" t="inlineStr">
        <is>
          <t>Boleng</t>
        </is>
      </c>
      <c r="F27" s="14" t="inlineStr">
        <is>
          <t>CE250/2 150T600 /RAD150</t>
        </is>
      </c>
      <c r="G27" s="20" t="n">
        <v>1</v>
      </c>
      <c r="H27" s="19" t="n">
        <v>3087</v>
      </c>
      <c r="I27" s="18">
        <f>H27*G27</f>
        <v/>
      </c>
      <c r="J27" s="11" t="n"/>
      <c r="K27" s="17" t="n"/>
      <c r="L27" s="16">
        <f>K27+C27</f>
        <v/>
      </c>
      <c r="M27" s="11" t="n"/>
      <c r="N27" s="15" t="n"/>
      <c r="O27" s="14" t="n"/>
      <c r="P27" s="14" t="n"/>
      <c r="Q27" s="14" t="n"/>
      <c r="R27" s="14" t="n"/>
    </row>
    <row r="28">
      <c r="A28" s="14" t="inlineStr">
        <is>
          <t>FM2826</t>
        </is>
      </c>
      <c r="B28" s="14" t="n"/>
      <c r="C28" s="13" t="n">
        <v>45672</v>
      </c>
      <c r="D28" s="12" t="inlineStr">
        <is>
          <t>PO-000005457</t>
        </is>
      </c>
      <c r="E28" s="14" t="inlineStr">
        <is>
          <t>Cape Fans</t>
        </is>
      </c>
      <c r="F28" s="14" t="inlineStr">
        <is>
          <t>CMA 218 2T</t>
        </is>
      </c>
      <c r="G28" s="20" t="n">
        <v>1</v>
      </c>
      <c r="H28" s="19" t="n">
        <v>7216</v>
      </c>
      <c r="I28" s="18">
        <f>H28*G28</f>
        <v/>
      </c>
      <c r="J28" s="11" t="n"/>
      <c r="K28" s="17" t="n"/>
      <c r="L28" s="16">
        <f>K28+C28</f>
        <v/>
      </c>
      <c r="M28" s="11" t="inlineStr">
        <is>
          <t>ST</t>
        </is>
      </c>
      <c r="N28" s="15" t="n"/>
      <c r="O28" s="14" t="n"/>
      <c r="P28" s="14" t="n"/>
      <c r="Q28" s="14" t="n"/>
      <c r="R28" s="14" t="n"/>
    </row>
    <row r="29">
      <c r="A29" s="14" t="inlineStr">
        <is>
          <t>FM2827</t>
        </is>
      </c>
      <c r="B29" s="14" t="n"/>
      <c r="C29" s="13" t="n">
        <v>45672</v>
      </c>
      <c r="D29" s="12" t="inlineStr">
        <is>
          <t>PO132165</t>
        </is>
      </c>
      <c r="E29" s="14" t="inlineStr">
        <is>
          <t>Africa Trading</t>
        </is>
      </c>
      <c r="F29" s="14" t="inlineStr">
        <is>
          <t>FL6-2</t>
        </is>
      </c>
      <c r="G29" s="20" t="n">
        <v>2</v>
      </c>
      <c r="H29" s="19" t="n">
        <v>1865</v>
      </c>
      <c r="I29" s="18">
        <f>H29*G29</f>
        <v/>
      </c>
      <c r="J29" s="11" t="n"/>
      <c r="K29" s="17" t="n"/>
      <c r="L29" s="16">
        <f>K29+C29</f>
        <v/>
      </c>
      <c r="M29" s="11" t="n"/>
      <c r="N29" s="15" t="n"/>
      <c r="O29" s="14" t="n"/>
      <c r="P29" s="14" t="n"/>
      <c r="Q29" s="14" t="n"/>
      <c r="R29" s="14" t="n"/>
    </row>
    <row r="30">
      <c r="A30" s="14" t="inlineStr">
        <is>
          <t>FM2828</t>
        </is>
      </c>
      <c r="B30" s="14" t="n"/>
      <c r="C30" s="13" t="n">
        <v>45673</v>
      </c>
      <c r="D30" s="12" t="inlineStr">
        <is>
          <t>PO4149</t>
        </is>
      </c>
      <c r="E30" s="14" t="inlineStr">
        <is>
          <t>Air Speration</t>
        </is>
      </c>
      <c r="F30" s="14" t="inlineStr">
        <is>
          <t>CMA 527-2T</t>
        </is>
      </c>
      <c r="G30" s="20" t="n">
        <v>1</v>
      </c>
      <c r="H30" s="19" t="n">
        <v>14942</v>
      </c>
      <c r="I30" s="18">
        <f>H30*G30</f>
        <v/>
      </c>
      <c r="J30" s="11" t="n"/>
      <c r="K30" s="17" t="n"/>
      <c r="L30" s="16">
        <f>K30+C30</f>
        <v/>
      </c>
      <c r="M30" s="11" t="inlineStr">
        <is>
          <t>ST</t>
        </is>
      </c>
      <c r="N30" s="15" t="n"/>
      <c r="O30" s="14" t="n"/>
      <c r="P30" s="14" t="n"/>
      <c r="Q30" s="14" t="n"/>
      <c r="R30" s="14" t="n"/>
    </row>
    <row r="31">
      <c r="A31" s="14" t="inlineStr">
        <is>
          <t>FM2829</t>
        </is>
      </c>
      <c r="B31" s="14" t="n"/>
      <c r="C31" s="13" t="n">
        <v>45673</v>
      </c>
      <c r="D31" s="12" t="inlineStr">
        <is>
          <t>DEPO-0090</t>
        </is>
      </c>
      <c r="E31" s="14" t="inlineStr">
        <is>
          <t>Dueltron</t>
        </is>
      </c>
      <c r="F31" s="14" t="inlineStr">
        <is>
          <t>630S1.5D Silencer</t>
        </is>
      </c>
      <c r="G31" s="20" t="n">
        <v>2</v>
      </c>
      <c r="H31" s="19" t="n">
        <v>4354</v>
      </c>
      <c r="I31" s="18" t="n">
        <v>4354</v>
      </c>
      <c r="J31" s="11" t="n"/>
      <c r="K31" s="17" t="n"/>
      <c r="L31" s="16">
        <f>K31+C31</f>
        <v/>
      </c>
      <c r="M31" s="11" t="inlineStr">
        <is>
          <t>MT</t>
        </is>
      </c>
      <c r="N31" s="15" t="n"/>
      <c r="O31" s="14" t="n"/>
      <c r="P31" s="14" t="n"/>
      <c r="Q31" s="14" t="n"/>
      <c r="R31" s="14" t="n"/>
    </row>
    <row r="32">
      <c r="A32" s="14" t="inlineStr">
        <is>
          <t>FM2830</t>
        </is>
      </c>
      <c r="B32" s="14" t="n"/>
      <c r="C32" s="13" t="n">
        <v>45674</v>
      </c>
      <c r="D32" s="12" t="inlineStr">
        <is>
          <t>PO1014</t>
        </is>
      </c>
      <c r="E32" s="14" t="inlineStr">
        <is>
          <t xml:space="preserve">Hucra Fans </t>
        </is>
      </c>
      <c r="F32" s="14" t="inlineStr">
        <is>
          <t>RAD 250</t>
        </is>
      </c>
      <c r="G32" s="20" t="n">
        <v>2</v>
      </c>
      <c r="H32" s="19" t="n">
        <v>2097</v>
      </c>
      <c r="I32" s="18">
        <f>H32*G32</f>
        <v/>
      </c>
      <c r="J32" s="11" t="n"/>
      <c r="K32" s="17" t="n"/>
      <c r="L32" s="16">
        <f>K32+C32</f>
        <v/>
      </c>
      <c r="M32" s="11" t="inlineStr">
        <is>
          <t>ZX</t>
        </is>
      </c>
      <c r="N32" s="15" t="n"/>
      <c r="O32" s="14" t="n"/>
      <c r="P32" s="14" t="n"/>
      <c r="Q32" s="14" t="n"/>
      <c r="R32" s="14" t="n"/>
    </row>
    <row r="33">
      <c r="A33" s="14" t="inlineStr">
        <is>
          <t>FM2831</t>
        </is>
      </c>
      <c r="B33" s="14" t="n"/>
      <c r="C33" s="13" t="n">
        <v>45674</v>
      </c>
      <c r="D33" s="12" t="inlineStr">
        <is>
          <t>POI114448</t>
        </is>
      </c>
      <c r="E33" s="14" t="inlineStr">
        <is>
          <t>Air Filter Maintenance Services International</t>
        </is>
      </c>
      <c r="F33" s="14" t="inlineStr">
        <is>
          <t>DDM 9/7 -6020M - 550W 4P 230V 1Ph</t>
        </is>
      </c>
      <c r="G33" s="20" t="n">
        <v>1</v>
      </c>
      <c r="H33" s="19" t="n">
        <v>7905</v>
      </c>
      <c r="I33" s="18">
        <f>H33*G33</f>
        <v/>
      </c>
      <c r="J33" s="11" t="n"/>
      <c r="K33" s="17" t="n"/>
      <c r="L33" s="16">
        <f>K33+C33</f>
        <v/>
      </c>
      <c r="M33" s="11" t="inlineStr">
        <is>
          <t>SM</t>
        </is>
      </c>
      <c r="N33" s="15" t="n"/>
      <c r="O33" s="14" t="n"/>
      <c r="P33" s="14" t="n"/>
      <c r="Q33" s="14" t="n"/>
      <c r="R33" s="14" t="n"/>
    </row>
    <row r="34">
      <c r="A34" s="14" t="inlineStr">
        <is>
          <t>FM2832</t>
        </is>
      </c>
      <c r="B34" s="14" t="n"/>
      <c r="C34" s="13" t="n">
        <v>45677</v>
      </c>
      <c r="D34" s="12" t="inlineStr">
        <is>
          <t>POEE2932</t>
        </is>
      </c>
      <c r="E34" s="14" t="inlineStr">
        <is>
          <t>Elemecair</t>
        </is>
      </c>
      <c r="F34" s="14" t="inlineStr">
        <is>
          <t>Majax 2 1000 c/w7.5kw 4P 380V</t>
        </is>
      </c>
      <c r="G34" s="20" t="n">
        <v>1</v>
      </c>
      <c r="H34" s="19" t="n">
        <v>16969</v>
      </c>
      <c r="I34" s="18">
        <f>H34*G34</f>
        <v/>
      </c>
      <c r="J34" s="11" t="n"/>
      <c r="K34" s="17" t="n"/>
      <c r="L34" s="16">
        <f>K34+C34</f>
        <v/>
      </c>
      <c r="M34" s="11" t="n"/>
      <c r="N34" s="15" t="n"/>
      <c r="O34" s="14" t="n"/>
      <c r="P34" s="14" t="n"/>
      <c r="Q34" s="14" t="n"/>
      <c r="R34" s="14" t="n"/>
    </row>
    <row r="35">
      <c r="A35" s="14" t="inlineStr">
        <is>
          <t>FM2833</t>
        </is>
      </c>
      <c r="B35" s="14" t="n"/>
      <c r="C35" s="13" t="n">
        <v>45677</v>
      </c>
      <c r="D35" s="12" t="inlineStr">
        <is>
          <t>PO130631</t>
        </is>
      </c>
      <c r="E35" s="14" t="inlineStr">
        <is>
          <t>Howden Power</t>
        </is>
      </c>
      <c r="F35" s="14" t="inlineStr">
        <is>
          <t>Bellax c/w 2.2kW 4Pole</t>
        </is>
      </c>
      <c r="G35" s="20" t="n">
        <v>3</v>
      </c>
      <c r="H35" s="19" t="n">
        <v>17702</v>
      </c>
      <c r="I35" s="18">
        <f>H35*G35</f>
        <v/>
      </c>
      <c r="J35" s="11" t="n"/>
      <c r="K35" s="17" t="n"/>
      <c r="L35" s="16">
        <f>K35+C35</f>
        <v/>
      </c>
      <c r="M35" s="11" t="inlineStr">
        <is>
          <t>ST</t>
        </is>
      </c>
      <c r="N35" s="15" t="n"/>
      <c r="O35" s="14" t="n"/>
      <c r="P35" s="14" t="n"/>
      <c r="Q35" s="14" t="n"/>
      <c r="R35" s="14" t="n"/>
    </row>
    <row r="36">
      <c r="A36" s="14" t="inlineStr">
        <is>
          <t>FM2834</t>
        </is>
      </c>
      <c r="B36" s="14" t="n"/>
      <c r="C36" s="13" t="n">
        <v>45677</v>
      </c>
      <c r="D36" s="12" t="inlineStr">
        <is>
          <t>PO130631</t>
        </is>
      </c>
      <c r="E36" s="14" t="inlineStr">
        <is>
          <t>Howden Power</t>
        </is>
      </c>
      <c r="F36" s="14" t="inlineStr">
        <is>
          <t>Filter Box 1200x1200</t>
        </is>
      </c>
      <c r="G36" s="20" t="n">
        <v>3</v>
      </c>
      <c r="H36" s="19" t="n">
        <v>21081</v>
      </c>
      <c r="I36" s="18">
        <f>H36*G36</f>
        <v/>
      </c>
      <c r="J36" s="11" t="n"/>
      <c r="K36" s="17" t="n"/>
      <c r="L36" s="16">
        <f>K36+C36</f>
        <v/>
      </c>
      <c r="M36" s="11" t="inlineStr">
        <is>
          <t>ST</t>
        </is>
      </c>
      <c r="N36" s="15" t="n"/>
      <c r="O36" s="14" t="n"/>
      <c r="P36" s="14" t="n"/>
      <c r="Q36" s="14" t="n"/>
      <c r="R36" s="14" t="n"/>
    </row>
    <row r="37">
      <c r="A37" s="14" t="inlineStr">
        <is>
          <t>FM2835</t>
        </is>
      </c>
      <c r="B37" s="14" t="n"/>
      <c r="C37" s="13" t="n">
        <v>45677</v>
      </c>
      <c r="D37" s="12" t="inlineStr">
        <is>
          <t>PO130631</t>
        </is>
      </c>
      <c r="E37" s="14" t="inlineStr">
        <is>
          <t>Howden Power</t>
        </is>
      </c>
      <c r="F37" s="14" t="inlineStr">
        <is>
          <t>GLF 7 &amp; 12.5</t>
        </is>
      </c>
      <c r="G37" s="20" t="n">
        <v>8</v>
      </c>
      <c r="H37" s="19" t="n">
        <v>11755</v>
      </c>
      <c r="I37" s="18">
        <f>H37*G37</f>
        <v/>
      </c>
      <c r="J37" s="11" t="n"/>
      <c r="K37" s="17" t="n"/>
      <c r="L37" s="16">
        <f>K37+C37</f>
        <v/>
      </c>
      <c r="M37" s="11" t="inlineStr">
        <is>
          <t>ST</t>
        </is>
      </c>
      <c r="N37" s="15" t="n"/>
      <c r="O37" s="14" t="n"/>
      <c r="P37" s="14" t="n"/>
      <c r="Q37" s="14" t="n"/>
      <c r="R37" s="14" t="n"/>
    </row>
    <row r="38">
      <c r="A38" s="14" t="inlineStr">
        <is>
          <t>FM2836</t>
        </is>
      </c>
      <c r="B38" s="14" t="n"/>
      <c r="C38" s="13" t="n">
        <v>45678</v>
      </c>
      <c r="D38" s="12" t="inlineStr">
        <is>
          <t>PO1920</t>
        </is>
      </c>
      <c r="E38" s="14" t="inlineStr">
        <is>
          <t xml:space="preserve">Hucra Fans </t>
        </is>
      </c>
      <c r="F38" s="14" t="inlineStr">
        <is>
          <t>CF9 - 4''</t>
        </is>
      </c>
      <c r="G38" s="20" t="n">
        <v>9</v>
      </c>
      <c r="H38" s="19" t="n">
        <v>1063</v>
      </c>
      <c r="I38" s="18">
        <f>H38*G38</f>
        <v/>
      </c>
      <c r="J38" s="11" t="n"/>
      <c r="K38" s="17" t="n"/>
      <c r="L38" s="16">
        <f>K38+C38</f>
        <v/>
      </c>
      <c r="M38" s="11" t="inlineStr">
        <is>
          <t>ZX</t>
        </is>
      </c>
      <c r="N38" s="15" t="n"/>
      <c r="O38" s="14" t="n"/>
      <c r="P38" s="14" t="n"/>
      <c r="Q38" s="14" t="n"/>
      <c r="R38" s="14" t="n"/>
    </row>
    <row r="39">
      <c r="A39" s="14" t="inlineStr">
        <is>
          <t>FM2837</t>
        </is>
      </c>
      <c r="B39" s="14" t="n"/>
      <c r="C39" s="13" t="n">
        <v>45678</v>
      </c>
      <c r="D39" s="12" t="inlineStr">
        <is>
          <t>UJ FAN - FMTA3519</t>
        </is>
      </c>
      <c r="E39" s="14" t="inlineStr">
        <is>
          <t>MK Technical Services (Pty) Ltd</t>
        </is>
      </c>
      <c r="F39" s="14" t="inlineStr">
        <is>
          <t>DD 9/7 - 6M0629 - 373W 220V</t>
        </is>
      </c>
      <c r="G39" s="20" t="n">
        <v>1</v>
      </c>
      <c r="H39" s="19" t="n">
        <v>5513</v>
      </c>
      <c r="I39" s="18">
        <f>H39*G39</f>
        <v/>
      </c>
      <c r="J39" s="11" t="n"/>
      <c r="K39" s="17" t="n"/>
      <c r="L39" s="16">
        <f>K39+C39</f>
        <v/>
      </c>
      <c r="M39" s="11" t="inlineStr">
        <is>
          <t>SM</t>
        </is>
      </c>
      <c r="N39" s="15" t="n"/>
      <c r="O39" s="14" t="n"/>
      <c r="P39" s="14" t="n"/>
      <c r="Q39" s="14" t="n"/>
      <c r="R39" s="14" t="n"/>
    </row>
    <row r="40">
      <c r="A40" s="14" t="inlineStr">
        <is>
          <t>FM2838</t>
        </is>
      </c>
      <c r="B40" s="14" t="n"/>
      <c r="C40" s="13" t="n">
        <v>45678</v>
      </c>
      <c r="D40" s="12" t="inlineStr">
        <is>
          <t>PO1921</t>
        </is>
      </c>
      <c r="E40" s="14" t="inlineStr">
        <is>
          <t xml:space="preserve">Hucra Fans </t>
        </is>
      </c>
      <c r="F40" s="14" t="inlineStr">
        <is>
          <t>CMA-426-2T Sodeca</t>
        </is>
      </c>
      <c r="G40" s="20" t="n">
        <v>1</v>
      </c>
      <c r="H40" s="19" t="n">
        <v>10936</v>
      </c>
      <c r="I40" s="18">
        <f>H40*G40</f>
        <v/>
      </c>
      <c r="J40" s="11" t="n"/>
      <c r="K40" s="17" t="n"/>
      <c r="L40" s="16">
        <f>K40+C40</f>
        <v/>
      </c>
      <c r="M40" s="11" t="inlineStr">
        <is>
          <t>ZX</t>
        </is>
      </c>
      <c r="N40" s="15" t="n"/>
      <c r="O40" s="14" t="n"/>
      <c r="P40" s="14" t="n"/>
      <c r="Q40" s="14" t="n"/>
      <c r="R40" s="14" t="n"/>
    </row>
    <row r="41">
      <c r="A41" s="14" t="inlineStr">
        <is>
          <t>FM2839</t>
        </is>
      </c>
      <c r="B41" s="14" t="n"/>
      <c r="C41" s="13" t="n">
        <v>45678</v>
      </c>
      <c r="D41" s="12" t="inlineStr">
        <is>
          <t>PO10286</t>
        </is>
      </c>
      <c r="E41" s="14" t="inlineStr">
        <is>
          <t>Phoenix Fans &amp; Eng</t>
        </is>
      </c>
      <c r="F41" s="14" t="inlineStr">
        <is>
          <t>CMP 512 2M</t>
        </is>
      </c>
      <c r="G41" s="20" t="n">
        <v>1</v>
      </c>
      <c r="H41" s="19" t="n">
        <v>5250</v>
      </c>
      <c r="I41" s="18" t="n">
        <v>5250</v>
      </c>
      <c r="J41" s="11" t="n"/>
      <c r="K41" s="17" t="n"/>
      <c r="L41" s="16">
        <f>K41+C41</f>
        <v/>
      </c>
      <c r="M41" s="11" t="inlineStr">
        <is>
          <t>SM</t>
        </is>
      </c>
      <c r="N41" s="15" t="n"/>
      <c r="O41" s="14" t="n"/>
      <c r="P41" s="14" t="n"/>
      <c r="Q41" s="14" t="n"/>
      <c r="R41" s="14" t="n"/>
    </row>
    <row r="42">
      <c r="A42" s="14" t="inlineStr">
        <is>
          <t>FM2840</t>
        </is>
      </c>
      <c r="B42" s="14" t="n"/>
      <c r="C42" s="13" t="n">
        <v>45678</v>
      </c>
      <c r="D42" s="12" t="inlineStr">
        <is>
          <t>PO0000984</t>
        </is>
      </c>
      <c r="E42" s="14" t="inlineStr">
        <is>
          <t>Denflo Services Pty Ltd</t>
        </is>
      </c>
      <c r="F42" s="14" t="inlineStr">
        <is>
          <t>Airmax-750-Wall EC</t>
        </is>
      </c>
      <c r="G42" s="20" t="n">
        <v>3</v>
      </c>
      <c r="H42" s="19" t="n">
        <v>2872</v>
      </c>
      <c r="I42" s="18">
        <f>H42*G42</f>
        <v/>
      </c>
      <c r="J42" s="11" t="n"/>
      <c r="K42" s="17" t="n"/>
      <c r="L42" s="16">
        <f>K42+C42</f>
        <v/>
      </c>
      <c r="M42" s="11" t="inlineStr">
        <is>
          <t>SM</t>
        </is>
      </c>
      <c r="N42" s="15" t="n"/>
      <c r="O42" s="14" t="n"/>
      <c r="P42" s="14" t="n"/>
      <c r="Q42" s="14" t="n"/>
      <c r="R42" s="14" t="n"/>
    </row>
    <row r="43">
      <c r="A43" s="14" t="inlineStr">
        <is>
          <t>FM2841</t>
        </is>
      </c>
      <c r="B43" s="14" t="n"/>
      <c r="C43" s="13" t="n">
        <v>45679</v>
      </c>
      <c r="D43" s="12" t="inlineStr">
        <is>
          <t>Cash Sale</t>
        </is>
      </c>
      <c r="E43" s="14" t="inlineStr">
        <is>
          <t>GTG CIVILS AND ENGINEERING</t>
        </is>
      </c>
      <c r="F43" s="14" t="inlineStr">
        <is>
          <t>Maxflo 630 c/w 2.2kW 4Pole</t>
        </is>
      </c>
      <c r="G43" s="20" t="n">
        <v>2</v>
      </c>
      <c r="H43" s="19" t="n">
        <v>12342.22</v>
      </c>
      <c r="I43" s="18">
        <f>H43*G43</f>
        <v/>
      </c>
      <c r="J43" s="11" t="n"/>
      <c r="K43" s="17" t="n"/>
      <c r="L43" s="16">
        <f>K43+C43</f>
        <v/>
      </c>
      <c r="M43" s="11" t="inlineStr">
        <is>
          <t>ST</t>
        </is>
      </c>
      <c r="N43" s="15" t="n"/>
      <c r="O43" s="14" t="n"/>
      <c r="P43" s="14" t="n"/>
      <c r="Q43" s="14" t="n"/>
      <c r="R43" s="14" t="n"/>
    </row>
    <row r="44">
      <c r="A44" s="14" t="inlineStr">
        <is>
          <t>FM2842</t>
        </is>
      </c>
      <c r="B44" s="14" t="n"/>
      <c r="C44" s="13" t="n">
        <v>45679</v>
      </c>
      <c r="D44" s="12" t="inlineStr">
        <is>
          <t>Cash Sale</t>
        </is>
      </c>
      <c r="E44" s="14" t="inlineStr">
        <is>
          <t>Reef Lords</t>
        </is>
      </c>
      <c r="F44" s="14" t="inlineStr">
        <is>
          <t xml:space="preserve"> Majax-3 500 20.C c/w 0.37kW 4Pole 380V + Acc</t>
        </is>
      </c>
      <c r="G44" s="20" t="n">
        <v>3</v>
      </c>
      <c r="H44" s="19">
        <f>40866/3</f>
        <v/>
      </c>
      <c r="I44" s="18">
        <f>H44*G44</f>
        <v/>
      </c>
      <c r="J44" s="11" t="n"/>
      <c r="K44" s="17" t="n"/>
      <c r="L44" s="16">
        <f>K44+C44</f>
        <v/>
      </c>
      <c r="M44" s="11" t="inlineStr">
        <is>
          <t>SM</t>
        </is>
      </c>
      <c r="N44" s="15" t="n"/>
      <c r="O44" s="14" t="n"/>
      <c r="P44" s="14" t="n"/>
      <c r="Q44" s="14" t="n"/>
      <c r="R44" s="14" t="n"/>
    </row>
    <row r="45">
      <c r="A45" s="14" t="inlineStr">
        <is>
          <t>FM2843</t>
        </is>
      </c>
      <c r="B45" s="14" t="n"/>
      <c r="C45" s="13" t="n">
        <v>45679</v>
      </c>
      <c r="D45" s="12" t="inlineStr">
        <is>
          <t>Cash Sale</t>
        </is>
      </c>
      <c r="E45" s="14" t="inlineStr">
        <is>
          <t>MK Technical Services (Pty) Ltd</t>
        </is>
      </c>
      <c r="F45" s="14" t="inlineStr">
        <is>
          <t>Majax-2 400 c/w 0.25kw 4P 380V</t>
        </is>
      </c>
      <c r="G45" s="20" t="n">
        <v>1</v>
      </c>
      <c r="H45" s="19" t="n">
        <v>10968</v>
      </c>
      <c r="I45" s="18">
        <f>H45*G45</f>
        <v/>
      </c>
      <c r="J45" s="11" t="n"/>
      <c r="K45" s="17" t="n"/>
      <c r="L45" s="16">
        <f>K45+C45</f>
        <v/>
      </c>
      <c r="M45" s="11" t="inlineStr">
        <is>
          <t>SM</t>
        </is>
      </c>
      <c r="N45" s="15" t="n"/>
      <c r="O45" s="14" t="n"/>
      <c r="P45" s="14" t="n"/>
      <c r="Q45" s="14" t="n"/>
      <c r="R45" s="14" t="n"/>
    </row>
    <row r="46">
      <c r="A46" s="14" t="inlineStr">
        <is>
          <t>FM2844</t>
        </is>
      </c>
      <c r="B46" s="14" t="n"/>
      <c r="C46" s="13" t="n">
        <v>45680</v>
      </c>
      <c r="D46" s="12" t="inlineStr">
        <is>
          <t>Cash Sale</t>
        </is>
      </c>
      <c r="E46" s="14" t="inlineStr">
        <is>
          <t>MK Technical Services (Pty) Ltd</t>
        </is>
      </c>
      <c r="F46" s="14" t="inlineStr">
        <is>
          <t>Lineo 315</t>
        </is>
      </c>
      <c r="G46" s="20" t="n">
        <v>1</v>
      </c>
      <c r="H46" s="19" t="n">
        <v>7062</v>
      </c>
      <c r="I46" s="18">
        <f>H46*G46</f>
        <v/>
      </c>
      <c r="J46" s="11" t="n"/>
      <c r="K46" s="17" t="n"/>
      <c r="L46" s="16">
        <f>K46+C46</f>
        <v/>
      </c>
      <c r="M46" s="11" t="inlineStr">
        <is>
          <t>SM</t>
        </is>
      </c>
      <c r="N46" s="15" t="n"/>
      <c r="O46" s="14" t="n"/>
      <c r="P46" s="14" t="n"/>
      <c r="Q46" s="14" t="n"/>
      <c r="R46" s="14" t="n"/>
    </row>
    <row r="47">
      <c r="A47" s="14" t="inlineStr">
        <is>
          <t>FM2845</t>
        </is>
      </c>
      <c r="B47" s="14" t="n"/>
      <c r="C47" s="13" t="n">
        <v>45680</v>
      </c>
      <c r="D47" s="12" t="inlineStr">
        <is>
          <t>Cash Sale</t>
        </is>
      </c>
      <c r="E47" s="14" t="inlineStr">
        <is>
          <t>Jamarmic Pumps and Valve Engineering</t>
        </is>
      </c>
      <c r="F47" s="14" t="inlineStr">
        <is>
          <t>900/250/12 Impeller</t>
        </is>
      </c>
      <c r="G47" s="20" t="n">
        <v>1</v>
      </c>
      <c r="H47" s="19" t="n">
        <v>5516</v>
      </c>
      <c r="I47" s="18">
        <f>H47*G47</f>
        <v/>
      </c>
      <c r="J47" s="11" t="n"/>
      <c r="K47" s="17" t="n"/>
      <c r="L47" s="16">
        <f>K47+C47</f>
        <v/>
      </c>
      <c r="M47" s="11" t="inlineStr">
        <is>
          <t>SM</t>
        </is>
      </c>
      <c r="N47" s="15" t="n"/>
      <c r="O47" s="14" t="n"/>
      <c r="P47" s="14" t="n"/>
      <c r="Q47" s="14" t="n"/>
      <c r="R47" s="14" t="n"/>
    </row>
    <row r="48">
      <c r="A48" s="14" t="inlineStr">
        <is>
          <t>FM2846</t>
        </is>
      </c>
      <c r="B48" s="14" t="n"/>
      <c r="C48" s="13" t="n">
        <v>45681</v>
      </c>
      <c r="D48" s="12" t="inlineStr">
        <is>
          <t>PO1924</t>
        </is>
      </c>
      <c r="E48" s="14" t="inlineStr">
        <is>
          <t xml:space="preserve">Hucra Fans </t>
        </is>
      </c>
      <c r="F48" s="14" t="inlineStr">
        <is>
          <t>SCL-K06-MS 4.0KW/380V FPZ Blower</t>
        </is>
      </c>
      <c r="G48" s="20" t="n">
        <v>1</v>
      </c>
      <c r="H48" s="19" t="n">
        <v>24059</v>
      </c>
      <c r="I48" s="18">
        <f>H48*G48</f>
        <v/>
      </c>
      <c r="J48" s="11" t="n"/>
      <c r="K48" s="17" t="n"/>
      <c r="L48" s="16">
        <f>K48+C48</f>
        <v/>
      </c>
      <c r="M48" s="11" t="inlineStr">
        <is>
          <t>ZX</t>
        </is>
      </c>
      <c r="N48" s="15" t="n"/>
      <c r="O48" s="14" t="n"/>
      <c r="P48" s="14" t="n"/>
      <c r="Q48" s="14" t="n"/>
      <c r="R48" s="14" t="n"/>
    </row>
    <row r="49">
      <c r="A49" s="14" t="inlineStr">
        <is>
          <t>FM2847</t>
        </is>
      </c>
      <c r="B49" s="14" t="n"/>
      <c r="C49" s="13" t="n">
        <v>45681</v>
      </c>
      <c r="D49" s="12" t="inlineStr">
        <is>
          <t>PO1925</t>
        </is>
      </c>
      <c r="E49" s="14" t="inlineStr">
        <is>
          <t xml:space="preserve">Hucra Fans </t>
        </is>
      </c>
      <c r="F49" s="14" t="inlineStr">
        <is>
          <t>V300/12-AR-LLS</t>
        </is>
      </c>
      <c r="G49" s="20" t="n">
        <v>1</v>
      </c>
      <c r="H49" s="19" t="n">
        <v>6385</v>
      </c>
      <c r="I49" s="18">
        <f>H49*G49</f>
        <v/>
      </c>
      <c r="J49" s="11" t="n"/>
      <c r="K49" s="17" t="n"/>
      <c r="L49" s="16">
        <f>K49+C49</f>
        <v/>
      </c>
      <c r="M49" s="11" t="inlineStr">
        <is>
          <t>ZX</t>
        </is>
      </c>
      <c r="N49" s="15" t="n"/>
      <c r="O49" s="14" t="n"/>
      <c r="P49" s="14" t="n"/>
      <c r="Q49" s="14" t="n"/>
      <c r="R49" s="14" t="n"/>
    </row>
    <row r="50">
      <c r="A50" s="14" t="inlineStr">
        <is>
          <t>FM2848</t>
        </is>
      </c>
      <c r="B50" s="14" t="n"/>
      <c r="C50" s="13" t="n">
        <v>45685</v>
      </c>
      <c r="D50" s="12" t="inlineStr">
        <is>
          <t>PO0002282</t>
        </is>
      </c>
      <c r="E50" s="14" t="inlineStr">
        <is>
          <t>Tru Mining</t>
        </is>
      </c>
      <c r="F50" s="14" t="inlineStr">
        <is>
          <t>JB1948HPLV 630.71 C/W4.0KW 2890RPM 525 Motor</t>
        </is>
      </c>
      <c r="G50" s="20" t="n">
        <v>1</v>
      </c>
      <c r="H50" s="19" t="n">
        <v>48411</v>
      </c>
      <c r="I50" s="18">
        <f>H50*G50</f>
        <v/>
      </c>
      <c r="J50" s="11" t="n"/>
      <c r="K50" s="17" t="n"/>
      <c r="L50" s="16">
        <f>K50+C50</f>
        <v/>
      </c>
      <c r="M50" s="11" t="inlineStr">
        <is>
          <t>MT</t>
        </is>
      </c>
      <c r="N50" s="15" t="n"/>
      <c r="O50" s="14" t="n"/>
      <c r="P50" s="14" t="n"/>
      <c r="Q50" s="14" t="n"/>
      <c r="R50" s="14" t="n"/>
    </row>
    <row r="51">
      <c r="A51" s="14" t="inlineStr">
        <is>
          <t>FM2849</t>
        </is>
      </c>
      <c r="B51" s="14" t="n"/>
      <c r="C51" s="13" t="n">
        <v>45685</v>
      </c>
      <c r="D51" s="12" t="inlineStr">
        <is>
          <t>MP013958</t>
        </is>
      </c>
      <c r="E51" s="14" t="inlineStr">
        <is>
          <t>Midstone Engineering t/a Midair</t>
        </is>
      </c>
      <c r="F51" s="14" t="inlineStr">
        <is>
          <t>E404 T ATEX</t>
        </is>
      </c>
      <c r="G51" s="20" t="n">
        <v>1</v>
      </c>
      <c r="H51" s="19" t="n">
        <v>13806</v>
      </c>
      <c r="I51" s="18">
        <f>H51*G51</f>
        <v/>
      </c>
      <c r="J51" s="11" t="n"/>
      <c r="K51" s="17" t="n"/>
      <c r="L51" s="16">
        <f>K51+C51</f>
        <v/>
      </c>
      <c r="M51" s="11" t="inlineStr">
        <is>
          <t>MT</t>
        </is>
      </c>
      <c r="N51" s="15" t="n"/>
      <c r="O51" s="14" t="n"/>
      <c r="P51" s="14" t="n"/>
      <c r="Q51" s="14" t="n"/>
      <c r="R51" s="14" t="n"/>
    </row>
    <row r="52">
      <c r="A52" s="14" t="inlineStr">
        <is>
          <t>FM2850</t>
        </is>
      </c>
      <c r="B52" s="14" t="n"/>
      <c r="C52" s="13" t="n">
        <v>45685</v>
      </c>
      <c r="D52" s="12" t="inlineStr">
        <is>
          <t>RPO26118</t>
        </is>
      </c>
      <c r="E52" s="14" t="inlineStr">
        <is>
          <t>SAN Refridgeration PTY Ltd</t>
        </is>
      </c>
      <c r="F52" s="14" t="inlineStr">
        <is>
          <t>CMP514 2M</t>
        </is>
      </c>
      <c r="G52" s="20" t="n">
        <v>1</v>
      </c>
      <c r="H52" s="19" t="n">
        <v>6569</v>
      </c>
      <c r="I52" s="18">
        <f>H52*G52</f>
        <v/>
      </c>
      <c r="J52" s="11" t="n"/>
      <c r="K52" s="17" t="n"/>
      <c r="L52" s="16">
        <f>K52+C52</f>
        <v/>
      </c>
      <c r="M52" s="11" t="inlineStr">
        <is>
          <t>MT</t>
        </is>
      </c>
      <c r="N52" s="15" t="n"/>
      <c r="O52" s="14" t="n"/>
      <c r="P52" s="14" t="n"/>
      <c r="Q52" s="14" t="n"/>
      <c r="R52" s="14" t="n"/>
    </row>
    <row r="53">
      <c r="A53" s="14" t="inlineStr">
        <is>
          <t>FM2851</t>
        </is>
      </c>
      <c r="B53" s="14" t="n"/>
      <c r="C53" s="13" t="n">
        <v>45685</v>
      </c>
      <c r="D53" s="12" t="inlineStr">
        <is>
          <t>PO 608522</t>
        </is>
      </c>
      <c r="E53" s="14" t="inlineStr">
        <is>
          <t>Dormas</t>
        </is>
      </c>
      <c r="F53" s="14" t="inlineStr">
        <is>
          <t xml:space="preserve">560 2.0D Podded </t>
        </is>
      </c>
      <c r="G53" s="20" t="n">
        <v>4</v>
      </c>
      <c r="H53" s="19" t="n">
        <v>5223</v>
      </c>
      <c r="I53" s="18">
        <f>H53*G53</f>
        <v/>
      </c>
      <c r="J53" s="11" t="n"/>
      <c r="K53" s="17" t="n"/>
      <c r="L53" s="16">
        <f>K53+C53</f>
        <v/>
      </c>
      <c r="M53" s="11" t="inlineStr">
        <is>
          <t>SM</t>
        </is>
      </c>
      <c r="N53" s="15" t="n"/>
      <c r="O53" s="14" t="n"/>
      <c r="P53" s="14" t="n"/>
      <c r="Q53" s="14" t="n"/>
      <c r="R53" s="14" t="n"/>
    </row>
    <row r="54">
      <c r="A54" s="14" t="inlineStr">
        <is>
          <t>FM2852</t>
        </is>
      </c>
      <c r="B54" s="14" t="n"/>
      <c r="C54" s="13" t="n">
        <v>45686</v>
      </c>
      <c r="D54" s="12" t="inlineStr">
        <is>
          <t>PO131145</t>
        </is>
      </c>
      <c r="E54" s="14" t="inlineStr">
        <is>
          <t>Howden Power</t>
        </is>
      </c>
      <c r="F54" s="14" t="inlineStr">
        <is>
          <t>PVT/50</t>
        </is>
      </c>
      <c r="G54" s="20" t="n">
        <v>1</v>
      </c>
      <c r="H54" s="19" t="n">
        <v>12363</v>
      </c>
      <c r="I54" s="18">
        <f>H54*G54</f>
        <v/>
      </c>
      <c r="J54" s="11" t="n"/>
      <c r="K54" s="17" t="n"/>
      <c r="L54" s="16">
        <f>K54+C54</f>
        <v/>
      </c>
      <c r="M54" s="11" t="inlineStr">
        <is>
          <t>ST</t>
        </is>
      </c>
      <c r="N54" s="15" t="n"/>
      <c r="O54" s="14" t="n"/>
      <c r="P54" s="14" t="n"/>
      <c r="Q54" s="14" t="n"/>
      <c r="R54" s="14" t="n"/>
    </row>
    <row r="55">
      <c r="A55" s="14" t="inlineStr">
        <is>
          <t>FM2853</t>
        </is>
      </c>
      <c r="B55" s="14" t="n"/>
      <c r="C55" s="13" t="n">
        <v>45687</v>
      </c>
      <c r="D55" s="12" t="n">
        <v>201384</v>
      </c>
      <c r="E55" s="14" t="inlineStr">
        <is>
          <t>Kenmare</t>
        </is>
      </c>
      <c r="F55" s="14" t="inlineStr">
        <is>
          <t>K08 MS-7.5KW &amp; K10-MS-11KW</t>
        </is>
      </c>
      <c r="G55" s="20" t="n">
        <v>3</v>
      </c>
      <c r="H55" s="19" t="n">
        <v>84781</v>
      </c>
      <c r="I55" s="18">
        <f>H55*G55</f>
        <v/>
      </c>
      <c r="J55" s="11" t="n"/>
      <c r="K55" s="17" t="n"/>
      <c r="L55" s="16">
        <f>K55+C55</f>
        <v/>
      </c>
      <c r="M55" s="11" t="inlineStr">
        <is>
          <t>ST</t>
        </is>
      </c>
      <c r="N55" s="15" t="n"/>
      <c r="O55" s="14" t="n"/>
      <c r="P55" s="14" t="n"/>
      <c r="Q55" s="14" t="n"/>
      <c r="R55" s="14" t="n"/>
    </row>
    <row r="56">
      <c r="A56" s="14" t="inlineStr">
        <is>
          <t>FM2854</t>
        </is>
      </c>
      <c r="B56" s="14" t="n"/>
      <c r="C56" s="13" t="n">
        <v>45687</v>
      </c>
      <c r="D56" s="12" t="inlineStr">
        <is>
          <t>PO1928</t>
        </is>
      </c>
      <c r="E56" s="14" t="inlineStr">
        <is>
          <t xml:space="preserve">Hucra Fans </t>
        </is>
      </c>
      <c r="F56" s="14" t="inlineStr">
        <is>
          <t>Lineo 150</t>
        </is>
      </c>
      <c r="G56" s="20" t="n">
        <v>1</v>
      </c>
      <c r="H56" s="19" t="n">
        <v>2553</v>
      </c>
      <c r="I56" s="18">
        <f>H56*G56</f>
        <v/>
      </c>
      <c r="J56" s="11" t="n"/>
      <c r="K56" s="17" t="n"/>
      <c r="L56" s="16">
        <f>K56+C56</f>
        <v/>
      </c>
      <c r="M56" s="11" t="inlineStr">
        <is>
          <t>ZX</t>
        </is>
      </c>
      <c r="N56" s="15" t="n"/>
      <c r="O56" s="14" t="n"/>
      <c r="P56" s="14" t="n"/>
      <c r="Q56" s="14" t="n"/>
      <c r="R56" s="14" t="n"/>
    </row>
    <row r="57">
      <c r="A57" s="14" t="inlineStr">
        <is>
          <t>FM2855</t>
        </is>
      </c>
      <c r="B57" s="14" t="n"/>
      <c r="C57" s="13" t="n">
        <v>45687</v>
      </c>
      <c r="D57" s="12" t="inlineStr">
        <is>
          <t>PO1929</t>
        </is>
      </c>
      <c r="E57" s="14" t="inlineStr">
        <is>
          <t xml:space="preserve">Hucra Fans </t>
        </is>
      </c>
      <c r="F57" s="14" t="inlineStr">
        <is>
          <t>Lineo 200</t>
        </is>
      </c>
      <c r="G57" s="20" t="n">
        <v>1</v>
      </c>
      <c r="H57" s="19" t="n">
        <v>3370</v>
      </c>
      <c r="I57" s="18">
        <f>H57*G57</f>
        <v/>
      </c>
      <c r="J57" s="11" t="n"/>
      <c r="K57" s="17" t="n"/>
      <c r="L57" s="16">
        <f>K57+C57</f>
        <v/>
      </c>
      <c r="M57" s="11" t="inlineStr">
        <is>
          <t>ZX</t>
        </is>
      </c>
      <c r="N57" s="15" t="n"/>
      <c r="O57" s="14" t="n"/>
      <c r="P57" s="14" t="n"/>
      <c r="Q57" s="14" t="n"/>
      <c r="R57" s="14" t="n"/>
    </row>
    <row r="58">
      <c r="A58" s="14" t="inlineStr">
        <is>
          <t>FM2856</t>
        </is>
      </c>
      <c r="B58" s="14" t="n"/>
      <c r="C58" s="13" t="n">
        <v>45687</v>
      </c>
      <c r="D58" s="12" t="inlineStr">
        <is>
          <t>Airmax-2 650 Wall</t>
        </is>
      </c>
      <c r="E58" s="14" t="inlineStr">
        <is>
          <t>Forsmay Muslim Butchery</t>
        </is>
      </c>
      <c r="F58" s="14" t="inlineStr">
        <is>
          <t>Airmax-2 650 Wall fan</t>
        </is>
      </c>
      <c r="G58" s="20" t="n">
        <v>4</v>
      </c>
      <c r="H58" s="19" t="n">
        <v>2800</v>
      </c>
      <c r="I58" s="18">
        <f>H58*G58</f>
        <v/>
      </c>
      <c r="J58" s="11" t="n"/>
      <c r="K58" s="17" t="n"/>
      <c r="L58" s="16">
        <f>K58+C58</f>
        <v/>
      </c>
      <c r="M58" s="11" t="inlineStr">
        <is>
          <t>SM</t>
        </is>
      </c>
      <c r="N58" s="15" t="n"/>
      <c r="O58" s="14" t="n"/>
      <c r="P58" s="14" t="n"/>
      <c r="Q58" s="14" t="n"/>
      <c r="R58" s="14" t="n"/>
    </row>
    <row r="59">
      <c r="A59" s="14" t="inlineStr">
        <is>
          <t>FM2857</t>
        </is>
      </c>
      <c r="B59" s="14" t="n"/>
      <c r="C59" s="13" t="n">
        <v>45687</v>
      </c>
      <c r="D59" s="12" t="inlineStr">
        <is>
          <t>PO OA15373</t>
        </is>
      </c>
      <c r="E59" s="14" t="inlineStr">
        <is>
          <t>Optimal Air</t>
        </is>
      </c>
      <c r="F59" s="14" t="inlineStr">
        <is>
          <t>Majax 2 500 c/w1.1kw 2P 220V</t>
        </is>
      </c>
      <c r="G59" s="20" t="n">
        <v>1</v>
      </c>
      <c r="H59" s="19" t="n">
        <v>8672</v>
      </c>
      <c r="I59" s="18">
        <f>H59*G59</f>
        <v/>
      </c>
      <c r="J59" s="11" t="n"/>
      <c r="K59" s="17" t="n"/>
      <c r="L59" s="16">
        <f>K59+C59</f>
        <v/>
      </c>
      <c r="M59" s="11" t="n"/>
      <c r="N59" s="15" t="n"/>
      <c r="O59" s="14" t="n"/>
      <c r="P59" s="14" t="n"/>
      <c r="Q59" s="14" t="n"/>
      <c r="R59" s="14" t="n"/>
    </row>
    <row r="60">
      <c r="A60" s="14" t="inlineStr">
        <is>
          <t>FM2858</t>
        </is>
      </c>
      <c r="B60" s="14" t="n"/>
      <c r="C60" s="13" t="n">
        <v>45688</v>
      </c>
      <c r="D60" s="12" t="inlineStr">
        <is>
          <t>Cash Sale</t>
        </is>
      </c>
      <c r="E60" s="14" t="inlineStr">
        <is>
          <t>JH Cooling</t>
        </is>
      </c>
      <c r="F60" s="14" t="inlineStr">
        <is>
          <t>CMP 820 2T</t>
        </is>
      </c>
      <c r="G60" s="20" t="n">
        <v>1</v>
      </c>
      <c r="H60" s="19" t="n">
        <v>12822</v>
      </c>
      <c r="I60" s="18" t="n">
        <v>12822</v>
      </c>
      <c r="J60" s="11" t="n"/>
      <c r="K60" s="17" t="n"/>
      <c r="L60" s="16">
        <f>K60+C60</f>
        <v/>
      </c>
      <c r="M60" s="11" t="inlineStr">
        <is>
          <t>ST</t>
        </is>
      </c>
      <c r="N60" s="50" t="n"/>
      <c r="O60" s="14" t="n"/>
      <c r="P60" s="14" t="n"/>
      <c r="Q60" s="14" t="n"/>
      <c r="R60" s="14" t="n"/>
    </row>
    <row r="61">
      <c r="A61" s="14" t="inlineStr">
        <is>
          <t>FM2859</t>
        </is>
      </c>
      <c r="B61" s="14" t="n"/>
      <c r="C61" s="13" t="n">
        <v>45688</v>
      </c>
      <c r="D61" s="12" t="n">
        <v>501267</v>
      </c>
      <c r="E61" s="14" t="inlineStr">
        <is>
          <t>Fans Maintenance &amp; More</t>
        </is>
      </c>
      <c r="F61" s="14" t="inlineStr">
        <is>
          <t>RAD100 &amp; RAD200</t>
        </is>
      </c>
      <c r="G61" s="20" t="n">
        <v>4</v>
      </c>
      <c r="H61" s="19" t="n">
        <v>1342.5</v>
      </c>
      <c r="I61" s="18">
        <f>H61*G61</f>
        <v/>
      </c>
      <c r="J61" s="11" t="n"/>
      <c r="K61" s="17" t="n"/>
      <c r="L61" s="16">
        <f>K61+C61</f>
        <v/>
      </c>
      <c r="M61" s="11" t="inlineStr">
        <is>
          <t>ZX</t>
        </is>
      </c>
      <c r="N61" s="15" t="n"/>
      <c r="O61" s="14" t="n"/>
      <c r="P61" s="14" t="n"/>
      <c r="Q61" s="14" t="n"/>
      <c r="R61" s="14" t="n"/>
    </row>
    <row r="62">
      <c r="A62" s="14" t="inlineStr">
        <is>
          <t>FM2860</t>
        </is>
      </c>
      <c r="B62" s="14" t="n"/>
      <c r="C62" s="13" t="n">
        <v>45688</v>
      </c>
      <c r="D62" s="49" t="inlineStr">
        <is>
          <t>PO131268</t>
        </is>
      </c>
      <c r="E62" s="14" t="inlineStr">
        <is>
          <t>Howden Power</t>
        </is>
      </c>
      <c r="F62" s="14" t="inlineStr">
        <is>
          <t>SCL-K09 MS-5.5kW 2P 400V</t>
        </is>
      </c>
      <c r="G62" s="20" t="n">
        <v>1</v>
      </c>
      <c r="H62" s="19" t="n">
        <v>90192</v>
      </c>
      <c r="I62" s="18">
        <f>H62*G62</f>
        <v/>
      </c>
      <c r="J62" s="11" t="n"/>
      <c r="K62" s="17" t="n"/>
      <c r="L62" s="16">
        <f>K62+C62</f>
        <v/>
      </c>
      <c r="M62" s="11" t="inlineStr">
        <is>
          <t>ST</t>
        </is>
      </c>
      <c r="N62" s="15" t="n"/>
      <c r="O62" s="14" t="n"/>
      <c r="P62" s="14" t="n"/>
      <c r="Q62" s="14" t="n"/>
      <c r="R62" s="14" t="n"/>
    </row>
    <row r="63">
      <c r="A63" s="14" t="inlineStr">
        <is>
          <t>FM2861</t>
        </is>
      </c>
      <c r="B63" s="14" t="n"/>
      <c r="C63" s="13" t="n">
        <v>45689</v>
      </c>
      <c r="D63" s="12" t="n"/>
      <c r="E63" s="14" t="inlineStr">
        <is>
          <t>Rey &amp; Leferna</t>
        </is>
      </c>
      <c r="F63" s="14" t="inlineStr">
        <is>
          <t>Maxflo 560 c/w 0.75kW 4P + Accessories</t>
        </is>
      </c>
      <c r="G63" s="20" t="n">
        <v>3</v>
      </c>
      <c r="H63" s="19" t="n">
        <v>13302</v>
      </c>
      <c r="I63" s="18">
        <f>H63*G63</f>
        <v/>
      </c>
      <c r="J63" s="11" t="n"/>
      <c r="K63" s="17" t="n"/>
      <c r="L63" s="16">
        <f>K63+C63</f>
        <v/>
      </c>
      <c r="M63" s="11" t="inlineStr">
        <is>
          <t>ST</t>
        </is>
      </c>
      <c r="N63" s="15" t="n"/>
      <c r="O63" s="14" t="n"/>
      <c r="P63" s="14" t="n"/>
      <c r="Q63" s="14" t="n"/>
      <c r="R63" s="14" t="n"/>
    </row>
    <row r="64">
      <c r="A64" s="14" t="inlineStr">
        <is>
          <t>FM2862</t>
        </is>
      </c>
      <c r="B64" s="14" t="n"/>
      <c r="C64" s="13" t="n">
        <v>45691</v>
      </c>
      <c r="D64" s="12" t="inlineStr">
        <is>
          <t>PC6/PO-1887</t>
        </is>
      </c>
      <c r="E64" s="14" t="inlineStr">
        <is>
          <t>Butec</t>
        </is>
      </c>
      <c r="F64" s="14" t="inlineStr">
        <is>
          <t>Maxflo800/250/14 c/w 3kw 4P 380 + Accessories</t>
        </is>
      </c>
      <c r="G64" s="20" t="n">
        <v>1</v>
      </c>
      <c r="H64" s="19" t="n">
        <v>28947.47</v>
      </c>
      <c r="I64" s="18">
        <f>H64*G64</f>
        <v/>
      </c>
      <c r="J64" s="11" t="n"/>
      <c r="K64" s="17" t="n"/>
      <c r="L64" s="16">
        <f>K64+C64</f>
        <v/>
      </c>
      <c r="M64" s="11" t="inlineStr">
        <is>
          <t>MT</t>
        </is>
      </c>
      <c r="N64" s="15" t="n"/>
      <c r="O64" s="14" t="n"/>
      <c r="P64" s="14" t="n"/>
      <c r="Q64" s="14" t="n"/>
      <c r="R64" s="14" t="n"/>
    </row>
    <row r="65">
      <c r="A65" s="14" t="inlineStr">
        <is>
          <t>FM2863</t>
        </is>
      </c>
      <c r="B65" s="14" t="n"/>
      <c r="C65" s="13" t="n">
        <v>45691</v>
      </c>
      <c r="D65" s="12" t="inlineStr">
        <is>
          <t>PO128033</t>
        </is>
      </c>
      <c r="E65" s="14" t="inlineStr">
        <is>
          <t>Home Fires TVL PTY Ltd</t>
        </is>
      </c>
      <c r="F65" s="14" t="inlineStr">
        <is>
          <t xml:space="preserve">Tiracamino </t>
        </is>
      </c>
      <c r="G65" s="20" t="n">
        <v>1</v>
      </c>
      <c r="H65" s="19" t="n">
        <v>13196</v>
      </c>
      <c r="I65" s="18">
        <f>H65*G65</f>
        <v/>
      </c>
      <c r="J65" s="11" t="n"/>
      <c r="K65" s="17" t="n"/>
      <c r="L65" s="16">
        <f>K65+C65</f>
        <v/>
      </c>
      <c r="M65" s="11" t="inlineStr">
        <is>
          <t>SM</t>
        </is>
      </c>
      <c r="N65" s="15" t="n"/>
      <c r="O65" s="14" t="n"/>
      <c r="P65" s="14" t="n"/>
      <c r="Q65" s="14" t="n"/>
      <c r="R65" s="14" t="n"/>
    </row>
    <row r="66">
      <c r="A66" s="14" t="inlineStr">
        <is>
          <t>FM2864</t>
        </is>
      </c>
      <c r="B66" s="14" t="n"/>
      <c r="C66" s="13" t="n">
        <v>45691</v>
      </c>
      <c r="D66" s="12" t="n"/>
      <c r="E66" s="14" t="inlineStr">
        <is>
          <t>Breezeair</t>
        </is>
      </c>
      <c r="F66" s="14" t="inlineStr">
        <is>
          <t>Various fans</t>
        </is>
      </c>
      <c r="G66" s="20" t="n">
        <v>1</v>
      </c>
      <c r="H66" s="19" t="n">
        <v>81500.75999999999</v>
      </c>
      <c r="I66" s="18">
        <f>H66*G66</f>
        <v/>
      </c>
      <c r="J66" s="11" t="n"/>
      <c r="K66" s="17" t="n"/>
      <c r="L66" s="16">
        <f>K66+C66</f>
        <v/>
      </c>
      <c r="M66" s="11" t="inlineStr">
        <is>
          <t>MT</t>
        </is>
      </c>
      <c r="N66" s="15" t="n"/>
      <c r="O66" s="14" t="n"/>
      <c r="P66" s="14" t="n"/>
      <c r="Q66" s="14" t="n"/>
      <c r="R66" s="14" t="n"/>
    </row>
    <row r="67">
      <c r="A67" s="14" t="inlineStr">
        <is>
          <t>FM2865</t>
        </is>
      </c>
      <c r="B67" s="14" t="n"/>
      <c r="C67" s="13" t="n">
        <v>45692</v>
      </c>
      <c r="D67" s="12" t="inlineStr">
        <is>
          <t>Cash Sale</t>
        </is>
      </c>
      <c r="E67" s="14" t="inlineStr">
        <is>
          <t>Berves Limited</t>
        </is>
      </c>
      <c r="F67" s="14" t="inlineStr">
        <is>
          <t xml:space="preserve">Filters &amp; Airfreight </t>
        </is>
      </c>
      <c r="G67" s="20" t="n">
        <v>1</v>
      </c>
      <c r="H67" s="19" t="n">
        <v>91234.34</v>
      </c>
      <c r="I67" s="18">
        <f>H67*G67</f>
        <v/>
      </c>
      <c r="J67" s="11" t="n"/>
      <c r="K67" s="17" t="n"/>
      <c r="L67" s="16">
        <f>K67+C67</f>
        <v/>
      </c>
      <c r="M67" s="11" t="inlineStr">
        <is>
          <t>ZX</t>
        </is>
      </c>
      <c r="N67" s="15" t="n"/>
      <c r="O67" s="14" t="n"/>
      <c r="P67" s="14" t="n"/>
      <c r="Q67" s="14" t="n"/>
      <c r="R67" s="14" t="n"/>
    </row>
    <row r="68">
      <c r="A68" s="14" t="inlineStr">
        <is>
          <t>FM2866</t>
        </is>
      </c>
      <c r="B68" s="14" t="n"/>
      <c r="C68" s="13" t="n">
        <v>45692</v>
      </c>
      <c r="D68" s="12" t="inlineStr">
        <is>
          <t>Cash Sale</t>
        </is>
      </c>
      <c r="E68" s="14" t="inlineStr">
        <is>
          <t>GTI</t>
        </is>
      </c>
      <c r="F68" s="14" t="inlineStr">
        <is>
          <t>CMA 2324 2M</t>
        </is>
      </c>
      <c r="G68" s="20" t="n">
        <v>2</v>
      </c>
      <c r="H68" s="19" t="n">
        <v>9995</v>
      </c>
      <c r="I68" s="18">
        <f>H68*G68</f>
        <v/>
      </c>
      <c r="J68" s="11" t="n"/>
      <c r="K68" s="17" t="n"/>
      <c r="L68" s="16">
        <f>K68+C68</f>
        <v/>
      </c>
      <c r="M68" s="11" t="inlineStr">
        <is>
          <t>SM</t>
        </is>
      </c>
      <c r="N68" s="15" t="n"/>
      <c r="O68" s="14" t="n"/>
      <c r="P68" s="14" t="n"/>
      <c r="Q68" s="14" t="n"/>
      <c r="R68" s="14" t="n"/>
    </row>
    <row r="69">
      <c r="A69" s="14" t="inlineStr">
        <is>
          <t>FM2867</t>
        </is>
      </c>
      <c r="B69" s="14" t="n"/>
      <c r="C69" s="13" t="n">
        <v>45692</v>
      </c>
      <c r="D69" s="12" t="inlineStr">
        <is>
          <t>Cash Sale</t>
        </is>
      </c>
      <c r="E69" s="14" t="inlineStr">
        <is>
          <t>Gree Products SA pty Ltd</t>
        </is>
      </c>
      <c r="F69" s="14" t="inlineStr">
        <is>
          <t>Majax3 710 c/w 1.1KW 4P 380V</t>
        </is>
      </c>
      <c r="G69" s="20" t="n">
        <v>2</v>
      </c>
      <c r="H69" s="19" t="n">
        <v>8549</v>
      </c>
      <c r="I69" s="18">
        <f>H69*G69</f>
        <v/>
      </c>
      <c r="J69" s="11" t="n"/>
      <c r="K69" s="17" t="n"/>
      <c r="L69" s="16">
        <f>K69+C69</f>
        <v/>
      </c>
      <c r="M69" s="11" t="inlineStr">
        <is>
          <t>SM</t>
        </is>
      </c>
      <c r="N69" s="15" t="n"/>
      <c r="O69" s="14" t="n"/>
      <c r="P69" s="14" t="n"/>
      <c r="Q69" s="14" t="n"/>
      <c r="R69" s="14" t="n"/>
    </row>
    <row r="70">
      <c r="A70" s="14" t="inlineStr">
        <is>
          <t>FM2868</t>
        </is>
      </c>
      <c r="B70" s="14" t="n"/>
      <c r="C70" s="13" t="n">
        <v>45692</v>
      </c>
      <c r="D70" s="12" t="inlineStr">
        <is>
          <t>Cash Sale</t>
        </is>
      </c>
      <c r="E70" s="14" t="inlineStr">
        <is>
          <t>Gree Products SA pty Ltd</t>
        </is>
      </c>
      <c r="F70" s="14" t="inlineStr">
        <is>
          <t>Majax-3 710 c/w 1.1KW 4P 380V</t>
        </is>
      </c>
      <c r="G70" s="20" t="n">
        <v>1</v>
      </c>
      <c r="H70" s="19" t="n">
        <v>9030</v>
      </c>
      <c r="I70" s="18">
        <f>H70*G70</f>
        <v/>
      </c>
      <c r="J70" s="11" t="n"/>
      <c r="K70" s="17" t="n"/>
      <c r="L70" s="16">
        <f>K70+C70</f>
        <v/>
      </c>
      <c r="M70" s="11" t="inlineStr">
        <is>
          <t>SM</t>
        </is>
      </c>
      <c r="N70" s="15" t="n"/>
      <c r="O70" s="14" t="n"/>
      <c r="P70" s="14" t="n"/>
      <c r="Q70" s="14" t="n"/>
      <c r="R70" s="14" t="n"/>
    </row>
    <row r="71">
      <c r="A71" s="14" t="inlineStr">
        <is>
          <t>FM2869</t>
        </is>
      </c>
      <c r="B71" s="14" t="n"/>
      <c r="C71" s="13" t="n">
        <v>45692</v>
      </c>
      <c r="D71" s="12" t="inlineStr">
        <is>
          <t>Cash Sale</t>
        </is>
      </c>
      <c r="E71" s="14" t="inlineStr">
        <is>
          <t>Gree Products SA pty Ltd</t>
        </is>
      </c>
      <c r="F71" s="14" t="inlineStr">
        <is>
          <t>Majax-3 500 c/w 0.55KW 2P 380V (Impeller &amp; Motor only)</t>
        </is>
      </c>
      <c r="G71" s="20" t="n">
        <v>1</v>
      </c>
      <c r="H71" s="19" t="n">
        <v>2863</v>
      </c>
      <c r="I71" s="18">
        <f>H71*G71</f>
        <v/>
      </c>
      <c r="J71" s="11" t="n"/>
      <c r="K71" s="17" t="n"/>
      <c r="L71" s="16">
        <f>K71+C71</f>
        <v/>
      </c>
      <c r="M71" s="11" t="inlineStr">
        <is>
          <t>SM</t>
        </is>
      </c>
      <c r="N71" s="15" t="n"/>
      <c r="O71" s="14" t="n"/>
      <c r="P71" s="14" t="n"/>
      <c r="Q71" s="14" t="n"/>
      <c r="R71" s="14" t="n"/>
    </row>
    <row r="72">
      <c r="A72" s="14" t="inlineStr">
        <is>
          <t>FM2870</t>
        </is>
      </c>
      <c r="B72" s="14" t="n"/>
      <c r="C72" s="13" t="n">
        <v>45692</v>
      </c>
      <c r="D72" s="12" t="inlineStr">
        <is>
          <t>Cash Sale</t>
        </is>
      </c>
      <c r="E72" s="14" t="inlineStr">
        <is>
          <t>Gree Products SA pty Ltd</t>
        </is>
      </c>
      <c r="F72" s="14" t="inlineStr">
        <is>
          <t>Majax-3 710 c/w 1.5KW 4P 380V</t>
        </is>
      </c>
      <c r="G72" s="20" t="n">
        <v>1</v>
      </c>
      <c r="H72" s="19" t="n">
        <v>9030</v>
      </c>
      <c r="I72" s="18">
        <f>H72*G72</f>
        <v/>
      </c>
      <c r="J72" s="11" t="n"/>
      <c r="K72" s="17" t="n"/>
      <c r="L72" s="16">
        <f>K72+C72</f>
        <v/>
      </c>
      <c r="M72" s="11" t="n"/>
      <c r="N72" s="15" t="n"/>
      <c r="O72" s="14" t="n"/>
      <c r="P72" s="14" t="n"/>
      <c r="Q72" s="14" t="n"/>
      <c r="R72" s="14" t="n"/>
    </row>
    <row r="73">
      <c r="A73" s="14" t="inlineStr">
        <is>
          <t>FM2871</t>
        </is>
      </c>
      <c r="B73" s="14" t="n"/>
      <c r="C73" s="13" t="n">
        <v>45692</v>
      </c>
      <c r="D73" s="12" t="inlineStr">
        <is>
          <t>Cash Sale</t>
        </is>
      </c>
      <c r="E73" s="14" t="inlineStr">
        <is>
          <t>Gree Products SA pty Ltd</t>
        </is>
      </c>
      <c r="F73" s="14" t="inlineStr">
        <is>
          <t>Maxflo 400/150/10 p c/w 0.75KW 2P 380V</t>
        </is>
      </c>
      <c r="G73" s="20" t="n">
        <v>1</v>
      </c>
      <c r="H73" s="19" t="n">
        <v>6204</v>
      </c>
      <c r="I73" s="18">
        <f>H73*G73</f>
        <v/>
      </c>
      <c r="J73" s="11" t="n"/>
      <c r="K73" s="17" t="n"/>
      <c r="L73" s="16">
        <f>K73+C73</f>
        <v/>
      </c>
      <c r="M73" s="11" t="inlineStr">
        <is>
          <t>SM</t>
        </is>
      </c>
      <c r="N73" s="15" t="n"/>
      <c r="O73" s="14" t="n"/>
      <c r="P73" s="14" t="n"/>
      <c r="Q73" s="14" t="n"/>
      <c r="R73" s="14" t="n"/>
    </row>
    <row r="74">
      <c r="A74" s="14" t="inlineStr">
        <is>
          <t>FM2872</t>
        </is>
      </c>
      <c r="B74" s="14" t="n"/>
      <c r="C74" s="13" t="n">
        <v>45692</v>
      </c>
      <c r="D74" s="12" t="inlineStr">
        <is>
          <t>Cash Sale</t>
        </is>
      </c>
      <c r="E74" s="14" t="inlineStr">
        <is>
          <t>Gree Products SA pty Ltd</t>
        </is>
      </c>
      <c r="F74" s="14" t="inlineStr">
        <is>
          <t>Fumax 710.20.D.8 c/w 1.5KW 4P 380V</t>
        </is>
      </c>
      <c r="G74" s="20" t="n">
        <v>1</v>
      </c>
      <c r="H74" s="19" t="n">
        <v>15576</v>
      </c>
      <c r="I74" s="18">
        <f>H74*G74</f>
        <v/>
      </c>
      <c r="J74" s="11" t="n"/>
      <c r="K74" s="17" t="n"/>
      <c r="L74" s="16">
        <f>K74+C74</f>
        <v/>
      </c>
      <c r="M74" s="11" t="inlineStr">
        <is>
          <t>SM</t>
        </is>
      </c>
      <c r="N74" s="15" t="n"/>
      <c r="O74" s="14" t="n"/>
      <c r="P74" s="14" t="n"/>
      <c r="Q74" s="14" t="n"/>
      <c r="R74" s="14" t="n"/>
    </row>
    <row r="75">
      <c r="A75" s="14" t="inlineStr">
        <is>
          <t>FM2873</t>
        </is>
      </c>
      <c r="B75" s="14" t="n"/>
      <c r="C75" s="13" t="n">
        <v>45692</v>
      </c>
      <c r="D75" s="12" t="inlineStr">
        <is>
          <t>Cash Sale</t>
        </is>
      </c>
      <c r="E75" s="14" t="inlineStr">
        <is>
          <t>Gree Products SA pty Ltd</t>
        </is>
      </c>
      <c r="F75" s="14" t="inlineStr">
        <is>
          <t>Fumax 800.32.E.8 4KW 4P 380V</t>
        </is>
      </c>
      <c r="G75" s="20" t="n">
        <v>1</v>
      </c>
      <c r="H75" s="19" t="n">
        <v>21777</v>
      </c>
      <c r="I75" s="18">
        <f>H75*G75</f>
        <v/>
      </c>
      <c r="J75" s="11" t="n"/>
      <c r="K75" s="17" t="n"/>
      <c r="L75" s="16">
        <f>K75+C75</f>
        <v/>
      </c>
      <c r="M75" s="11" t="inlineStr">
        <is>
          <t>SM</t>
        </is>
      </c>
      <c r="N75" s="15" t="n"/>
      <c r="O75" s="14" t="n"/>
      <c r="P75" s="14" t="n"/>
      <c r="Q75" s="14" t="n"/>
      <c r="R75" s="14" t="n"/>
    </row>
    <row r="76">
      <c r="A76" s="14" t="inlineStr">
        <is>
          <t>FM2874</t>
        </is>
      </c>
      <c r="B76" s="14" t="n"/>
      <c r="C76" s="13" t="n">
        <v>45692</v>
      </c>
      <c r="D76" s="12" t="inlineStr">
        <is>
          <t>Cash Sale</t>
        </is>
      </c>
      <c r="E76" s="14" t="inlineStr">
        <is>
          <t>Gree Products SA pty Ltd</t>
        </is>
      </c>
      <c r="F76" s="14" t="inlineStr">
        <is>
          <t>Fumax 800.32.E.8 5.5KW 4P 380V</t>
        </is>
      </c>
      <c r="G76" s="20" t="n">
        <v>1</v>
      </c>
      <c r="H76" s="19" t="n">
        <v>25935</v>
      </c>
      <c r="I76" s="18">
        <f>H76*G76</f>
        <v/>
      </c>
      <c r="J76" s="11" t="n"/>
      <c r="K76" s="17" t="n"/>
      <c r="L76" s="16">
        <f>K76+C76</f>
        <v/>
      </c>
      <c r="M76" s="11" t="inlineStr">
        <is>
          <t>SM</t>
        </is>
      </c>
      <c r="N76" s="15" t="n"/>
      <c r="O76" s="14" t="n"/>
      <c r="P76" s="14" t="n"/>
      <c r="Q76" s="14" t="n"/>
      <c r="R76" s="14" t="n"/>
    </row>
    <row r="77">
      <c r="A77" s="14" t="inlineStr">
        <is>
          <t>FM2875</t>
        </is>
      </c>
      <c r="B77" s="14" t="n"/>
      <c r="C77" s="13" t="n">
        <v>45692</v>
      </c>
      <c r="D77" s="12" t="inlineStr">
        <is>
          <t>Cash Sale</t>
        </is>
      </c>
      <c r="E77" s="14" t="inlineStr">
        <is>
          <t>Gree Products SA pty Ltd</t>
        </is>
      </c>
      <c r="F77" s="14" t="inlineStr">
        <is>
          <t>Maxflo 315/150/10 P c/w 0.37KW 2P 380V</t>
        </is>
      </c>
      <c r="G77" s="20" t="n">
        <v>1</v>
      </c>
      <c r="H77" s="19" t="n">
        <v>5299</v>
      </c>
      <c r="I77" s="18">
        <f>H77*G77</f>
        <v/>
      </c>
      <c r="J77" s="11" t="n"/>
      <c r="K77" s="17" t="n"/>
      <c r="L77" s="16">
        <f>K77+C77</f>
        <v/>
      </c>
      <c r="M77" s="11" t="inlineStr">
        <is>
          <t>SM</t>
        </is>
      </c>
      <c r="N77" s="15" t="n"/>
      <c r="O77" s="14" t="n"/>
      <c r="P77" s="14" t="n"/>
      <c r="Q77" s="14" t="n"/>
      <c r="R77" s="14" t="n"/>
    </row>
    <row r="78">
      <c r="A78" s="14" t="inlineStr">
        <is>
          <t>FM2876</t>
        </is>
      </c>
      <c r="B78" s="14" t="n"/>
      <c r="C78" s="13" t="n">
        <v>45692</v>
      </c>
      <c r="D78" s="12" t="inlineStr">
        <is>
          <t>Cash Sale</t>
        </is>
      </c>
      <c r="E78" s="14" t="inlineStr">
        <is>
          <t>Gree Products SA pty Ltd</t>
        </is>
      </c>
      <c r="F78" s="14" t="inlineStr">
        <is>
          <t>Maxflo 315/150/10 P c/w 0.25KW 4P 380V</t>
        </is>
      </c>
      <c r="G78" s="20" t="n">
        <v>2</v>
      </c>
      <c r="H78" s="19" t="n">
        <v>5213</v>
      </c>
      <c r="I78" s="18">
        <f>H78*G78</f>
        <v/>
      </c>
      <c r="J78" s="11" t="n"/>
      <c r="K78" s="17" t="n"/>
      <c r="L78" s="16">
        <f>K78+C78</f>
        <v/>
      </c>
      <c r="M78" s="11" t="inlineStr">
        <is>
          <t>SM</t>
        </is>
      </c>
      <c r="N78" s="15" t="n"/>
      <c r="O78" s="14" t="n"/>
      <c r="P78" s="14" t="n"/>
      <c r="Q78" s="14" t="n"/>
      <c r="R78" s="14" t="n"/>
    </row>
    <row r="79">
      <c r="A79" s="14" t="inlineStr">
        <is>
          <t>FM2877</t>
        </is>
      </c>
      <c r="B79" s="14" t="n"/>
      <c r="C79" s="13" t="n">
        <v>45692</v>
      </c>
      <c r="D79" s="12" t="inlineStr">
        <is>
          <t>Cash Sale</t>
        </is>
      </c>
      <c r="E79" s="14" t="inlineStr">
        <is>
          <t>Gree Products SA pty Ltd</t>
        </is>
      </c>
      <c r="F79" s="14" t="inlineStr">
        <is>
          <t>Fumax 800.32.E.8 4 KW 4P 380V</t>
        </is>
      </c>
      <c r="G79" s="20" t="n">
        <v>1</v>
      </c>
      <c r="H79" s="19" t="n">
        <v>25935</v>
      </c>
      <c r="I79" s="18">
        <f>H79*G79</f>
        <v/>
      </c>
      <c r="J79" s="11" t="n"/>
      <c r="K79" s="17" t="n"/>
      <c r="L79" s="16">
        <f>K79+C79</f>
        <v/>
      </c>
      <c r="M79" s="11" t="inlineStr">
        <is>
          <t>SM</t>
        </is>
      </c>
      <c r="N79" s="15" t="n"/>
      <c r="O79" s="14" t="n"/>
      <c r="P79" s="14" t="n"/>
      <c r="Q79" s="14" t="n"/>
      <c r="R79" s="14" t="n"/>
    </row>
    <row r="80">
      <c r="A80" s="14" t="inlineStr">
        <is>
          <t>FM2878</t>
        </is>
      </c>
      <c r="B80" s="14" t="n"/>
      <c r="C80" s="13" t="n">
        <v>45693</v>
      </c>
      <c r="D80" s="12" t="inlineStr">
        <is>
          <t>Account- Awaiting PO NO:</t>
        </is>
      </c>
      <c r="E80" s="14" t="inlineStr">
        <is>
          <t>Centrifab (PTY) Ltd</t>
        </is>
      </c>
      <c r="F80" s="14" t="inlineStr">
        <is>
          <t>KDAXIS 350</t>
        </is>
      </c>
      <c r="G80" s="20" t="n">
        <v>1</v>
      </c>
      <c r="H80" s="19" t="n">
        <v>2810</v>
      </c>
      <c r="I80" s="18">
        <f>H80*G80</f>
        <v/>
      </c>
      <c r="J80" s="11" t="n"/>
      <c r="K80" s="17" t="n"/>
      <c r="L80" s="16">
        <f>K80+C80</f>
        <v/>
      </c>
      <c r="M80" s="11" t="inlineStr">
        <is>
          <t>MT</t>
        </is>
      </c>
      <c r="N80" s="15" t="n"/>
      <c r="O80" s="14" t="n"/>
      <c r="P80" s="14" t="n"/>
      <c r="Q80" s="14" t="n"/>
      <c r="R80" s="14" t="n"/>
    </row>
    <row r="81">
      <c r="A81" s="14" t="inlineStr">
        <is>
          <t>FM2879</t>
        </is>
      </c>
      <c r="B81" s="14" t="n"/>
      <c r="C81" s="13" t="n">
        <v>45693</v>
      </c>
      <c r="D81" s="14" t="inlineStr">
        <is>
          <t>PO25020500001S</t>
        </is>
      </c>
      <c r="E81" s="14" t="inlineStr">
        <is>
          <t>AGNUS DEI Airconditioning Services (Pty) Ltd</t>
        </is>
      </c>
      <c r="F81" s="14" t="inlineStr">
        <is>
          <t>Vortice Medio I</t>
        </is>
      </c>
      <c r="G81" s="20" t="n">
        <v>1</v>
      </c>
      <c r="H81" s="19" t="n">
        <v>3948</v>
      </c>
      <c r="I81" s="18">
        <f>H81*G81</f>
        <v/>
      </c>
      <c r="J81" s="11" t="n"/>
      <c r="K81" s="17" t="n"/>
      <c r="L81" s="16">
        <f>K81+C81</f>
        <v/>
      </c>
      <c r="M81" s="11" t="inlineStr">
        <is>
          <t>ST</t>
        </is>
      </c>
      <c r="N81" s="15" t="n"/>
      <c r="O81" s="14" t="n"/>
      <c r="P81" s="14" t="n"/>
      <c r="Q81" s="14" t="n"/>
      <c r="R81" s="14" t="n"/>
    </row>
    <row r="82">
      <c r="A82" s="14" t="inlineStr">
        <is>
          <t>FM2880</t>
        </is>
      </c>
      <c r="B82" s="14" t="n"/>
      <c r="C82" s="13" t="n">
        <v>45693</v>
      </c>
      <c r="D82" s="12" t="inlineStr">
        <is>
          <t>Cash Sale</t>
        </is>
      </c>
      <c r="E82" s="14" t="inlineStr">
        <is>
          <t>Pinnecle AC</t>
        </is>
      </c>
      <c r="F82" s="14" t="inlineStr">
        <is>
          <t>HC 25 4M</t>
        </is>
      </c>
      <c r="G82" s="20" t="n">
        <v>2</v>
      </c>
      <c r="H82" s="19">
        <f>6106+958</f>
        <v/>
      </c>
      <c r="I82" s="18">
        <f>H82*G82</f>
        <v/>
      </c>
      <c r="J82" s="11" t="n"/>
      <c r="K82" s="17" t="n"/>
      <c r="L82" s="16">
        <f>K82+C82</f>
        <v/>
      </c>
      <c r="M82" s="11" t="n"/>
      <c r="N82" s="15" t="n"/>
      <c r="O82" s="14" t="n"/>
      <c r="P82" s="14" t="n"/>
      <c r="Q82" s="14" t="n"/>
      <c r="R82" s="14" t="n"/>
    </row>
    <row r="83">
      <c r="A83" s="14" t="inlineStr">
        <is>
          <t>FM2881</t>
        </is>
      </c>
      <c r="B83" s="14" t="n"/>
      <c r="C83" s="13" t="n">
        <v>45694</v>
      </c>
      <c r="D83" s="12" t="inlineStr">
        <is>
          <t>Cash Sale</t>
        </is>
      </c>
      <c r="E83" s="14" t="inlineStr">
        <is>
          <t>Apex Engineering</t>
        </is>
      </c>
      <c r="F83" s="14" t="inlineStr">
        <is>
          <t>CMA-325-2M</t>
        </is>
      </c>
      <c r="G83" s="20" t="n">
        <v>1</v>
      </c>
      <c r="H83" s="19" t="n">
        <v>11644</v>
      </c>
      <c r="I83" s="18">
        <f>H83*G83</f>
        <v/>
      </c>
      <c r="J83" s="11" t="n"/>
      <c r="K83" s="17" t="n"/>
      <c r="L83" s="16">
        <f>K83+C83</f>
        <v/>
      </c>
      <c r="M83" s="11" t="inlineStr">
        <is>
          <t>ST</t>
        </is>
      </c>
      <c r="N83" s="15" t="n"/>
      <c r="O83" s="14" t="n"/>
      <c r="P83" s="14" t="n"/>
      <c r="Q83" s="14" t="n"/>
      <c r="R83" s="14" t="n"/>
    </row>
    <row r="84">
      <c r="A84" s="14" t="inlineStr">
        <is>
          <t>FM2882</t>
        </is>
      </c>
      <c r="B84" s="14" t="n"/>
      <c r="C84" s="13" t="n">
        <v>45694</v>
      </c>
      <c r="D84" s="49" t="inlineStr">
        <is>
          <t>PO131343</t>
        </is>
      </c>
      <c r="E84" s="14" t="inlineStr">
        <is>
          <t>Howden Power</t>
        </is>
      </c>
      <c r="F84" s="14" t="inlineStr">
        <is>
          <t>SCP 315-4</t>
        </is>
      </c>
      <c r="G84" s="20" t="n">
        <v>1</v>
      </c>
      <c r="H84" s="19" t="n">
        <v>7104</v>
      </c>
      <c r="I84" s="18">
        <f>H84*G84</f>
        <v/>
      </c>
      <c r="J84" s="11" t="n"/>
      <c r="K84" s="17" t="n"/>
      <c r="L84" s="16">
        <f>K84+C84</f>
        <v/>
      </c>
      <c r="M84" s="11" t="inlineStr">
        <is>
          <t>ST</t>
        </is>
      </c>
      <c r="N84" s="15" t="n"/>
      <c r="O84" s="14" t="n"/>
      <c r="P84" s="14" t="n"/>
      <c r="Q84" s="14" t="n"/>
      <c r="R84" s="14" t="n"/>
    </row>
    <row r="85">
      <c r="A85" s="14" t="inlineStr">
        <is>
          <t>FM2883</t>
        </is>
      </c>
      <c r="B85" s="14" t="n"/>
      <c r="C85" s="13" t="n">
        <v>45694</v>
      </c>
      <c r="D85" s="12" t="inlineStr">
        <is>
          <t>PO097177</t>
        </is>
      </c>
      <c r="E85" s="14" t="inlineStr">
        <is>
          <t>Calibre Engineering</t>
        </is>
      </c>
      <c r="F85" s="14" t="inlineStr">
        <is>
          <t>CAM 545-2T 4 c/w 3.0KW 2P 400V - Handing LG 90</t>
        </is>
      </c>
      <c r="G85" s="20" t="n">
        <v>1</v>
      </c>
      <c r="H85" s="19" t="n">
        <v>39149</v>
      </c>
      <c r="I85" s="18">
        <f>H85*G85</f>
        <v/>
      </c>
      <c r="J85" s="11" t="n"/>
      <c r="K85" s="17" t="n"/>
      <c r="L85" s="16">
        <f>K85+C85</f>
        <v/>
      </c>
      <c r="M85" s="11" t="inlineStr">
        <is>
          <t>MT</t>
        </is>
      </c>
      <c r="N85" s="15" t="n"/>
      <c r="O85" s="14" t="n"/>
      <c r="P85" s="14" t="n"/>
      <c r="Q85" s="14" t="n"/>
      <c r="R85" s="14" t="n"/>
    </row>
    <row r="86">
      <c r="A86" s="14" t="inlineStr">
        <is>
          <t>FM2884</t>
        </is>
      </c>
      <c r="B86" s="14" t="n"/>
      <c r="C86" s="13" t="n">
        <v>45694</v>
      </c>
      <c r="D86" s="12" t="inlineStr">
        <is>
          <t>PO1935</t>
        </is>
      </c>
      <c r="E86" s="14" t="inlineStr">
        <is>
          <t xml:space="preserve">Hucra Fans </t>
        </is>
      </c>
      <c r="F86" s="14" t="inlineStr">
        <is>
          <t>CMA-527-2T + CMA-528-2T 1.5</t>
        </is>
      </c>
      <c r="G86" s="20" t="n">
        <v>4</v>
      </c>
      <c r="H86" s="19" t="n">
        <v>16562.5</v>
      </c>
      <c r="I86" s="18">
        <f>H86*G86</f>
        <v/>
      </c>
      <c r="J86" s="11" t="n"/>
      <c r="K86" s="17" t="n"/>
      <c r="L86" s="16">
        <f>K86+C86</f>
        <v/>
      </c>
      <c r="M86" s="11" t="inlineStr">
        <is>
          <t>ZX</t>
        </is>
      </c>
      <c r="N86" s="15" t="n"/>
      <c r="O86" s="14" t="n"/>
      <c r="P86" s="14" t="n"/>
      <c r="Q86" s="14" t="n"/>
      <c r="R86" s="14" t="n"/>
    </row>
    <row r="87">
      <c r="A87" s="14" t="inlineStr">
        <is>
          <t>FM2885</t>
        </is>
      </c>
      <c r="B87" s="14" t="n"/>
      <c r="C87" s="13" t="n">
        <v>45694</v>
      </c>
      <c r="D87" s="12" t="inlineStr">
        <is>
          <t>PO1934</t>
        </is>
      </c>
      <c r="E87" s="14" t="inlineStr">
        <is>
          <t xml:space="preserve">Hucra Fans </t>
        </is>
      </c>
      <c r="F87" s="14" t="inlineStr">
        <is>
          <t>CMP-1128-2T-5.5 Sodeca</t>
        </is>
      </c>
      <c r="G87" s="20" t="n">
        <v>4</v>
      </c>
      <c r="H87" s="19" t="n">
        <v>25189</v>
      </c>
      <c r="I87" s="18">
        <f>H87*G87</f>
        <v/>
      </c>
      <c r="J87" s="11" t="n"/>
      <c r="K87" s="17" t="n"/>
      <c r="L87" s="16">
        <f>K87+C87</f>
        <v/>
      </c>
      <c r="M87" s="11" t="inlineStr">
        <is>
          <t>ZX</t>
        </is>
      </c>
      <c r="N87" s="15" t="n"/>
      <c r="O87" s="14" t="n"/>
      <c r="P87" s="14" t="n"/>
      <c r="Q87" s="14" t="n"/>
      <c r="R87" s="14" t="n"/>
    </row>
    <row r="88">
      <c r="A88" s="14" t="inlineStr">
        <is>
          <t>FM2886</t>
        </is>
      </c>
      <c r="B88" s="14" t="n"/>
      <c r="C88" s="13" t="n">
        <v>45694</v>
      </c>
      <c r="D88" s="12" t="inlineStr">
        <is>
          <t>PO 151726</t>
        </is>
      </c>
      <c r="E88" s="14" t="inlineStr">
        <is>
          <t>Auto Industrial Foundry</t>
        </is>
      </c>
      <c r="F88" s="14" t="inlineStr">
        <is>
          <t>CMP 616-2T</t>
        </is>
      </c>
      <c r="G88" s="20" t="n">
        <v>1</v>
      </c>
      <c r="H88" s="19" t="n">
        <v>8290</v>
      </c>
      <c r="I88" s="18">
        <f>H88*G88</f>
        <v/>
      </c>
      <c r="J88" s="11" t="n"/>
      <c r="K88" s="17" t="n"/>
      <c r="L88" s="16">
        <f>K88+C88</f>
        <v/>
      </c>
      <c r="M88" s="11" t="inlineStr">
        <is>
          <t>MT</t>
        </is>
      </c>
      <c r="N88" s="15" t="n"/>
      <c r="O88" s="14" t="n"/>
      <c r="P88" s="14" t="n"/>
      <c r="Q88" s="14" t="n"/>
      <c r="R88" s="14" t="n"/>
    </row>
    <row r="89">
      <c r="A89" s="14" t="inlineStr">
        <is>
          <t>FM2887</t>
        </is>
      </c>
      <c r="B89" s="14" t="n"/>
      <c r="C89" s="13" t="n">
        <v>45694</v>
      </c>
      <c r="D89" s="12" t="inlineStr">
        <is>
          <t>PO1937</t>
        </is>
      </c>
      <c r="E89" s="14" t="inlineStr">
        <is>
          <t xml:space="preserve">Hucra Fans </t>
        </is>
      </c>
      <c r="F89" s="14" t="inlineStr">
        <is>
          <t>Lineo Q VO / RAD 250</t>
        </is>
      </c>
      <c r="G89" s="20" t="n">
        <v>3</v>
      </c>
      <c r="H89" s="19" t="n">
        <v>1929</v>
      </c>
      <c r="I89" s="18">
        <f>H89*G89</f>
        <v/>
      </c>
      <c r="J89" s="11" t="n"/>
      <c r="K89" s="17" t="n"/>
      <c r="L89" s="16">
        <f>K89+C89</f>
        <v/>
      </c>
      <c r="M89" s="11" t="inlineStr">
        <is>
          <t>ZX</t>
        </is>
      </c>
      <c r="N89" s="15" t="n"/>
      <c r="O89" s="14" t="n"/>
      <c r="P89" s="14" t="n"/>
      <c r="Q89" s="14" t="n"/>
      <c r="R89" s="14" t="n"/>
    </row>
    <row r="90">
      <c r="A90" s="14" t="inlineStr">
        <is>
          <t>FM2888</t>
        </is>
      </c>
      <c r="B90" s="14" t="n"/>
      <c r="C90" s="13" t="n">
        <v>45694</v>
      </c>
      <c r="D90" s="12" t="inlineStr">
        <is>
          <t>Cash Sale</t>
        </is>
      </c>
      <c r="E90" s="14" t="inlineStr">
        <is>
          <t>Finestar Jewellery</t>
        </is>
      </c>
      <c r="F90" s="14" t="inlineStr">
        <is>
          <t>Maxflo 315 c/w 0.55kW 2Pole</t>
        </is>
      </c>
      <c r="G90" s="20" t="n">
        <v>6</v>
      </c>
      <c r="H90" s="19" t="n">
        <v>9457</v>
      </c>
      <c r="I90" s="18">
        <f>H90*G90</f>
        <v/>
      </c>
      <c r="J90" s="11" t="n"/>
      <c r="K90" s="17" t="n"/>
      <c r="L90" s="16">
        <f>K90+C90</f>
        <v/>
      </c>
      <c r="M90" s="11" t="inlineStr">
        <is>
          <t>ST</t>
        </is>
      </c>
      <c r="N90" s="15" t="n"/>
      <c r="O90" s="14" t="n"/>
      <c r="P90" s="14" t="n"/>
      <c r="Q90" s="14" t="n"/>
      <c r="R90" s="14" t="n"/>
    </row>
    <row r="91">
      <c r="A91" s="14" t="inlineStr">
        <is>
          <t>FM2889</t>
        </is>
      </c>
      <c r="B91" s="14" t="n"/>
      <c r="C91" s="13" t="n">
        <v>45695</v>
      </c>
      <c r="D91" s="12" t="inlineStr">
        <is>
          <t>DEPO-0091</t>
        </is>
      </c>
      <c r="E91" s="14" t="inlineStr">
        <is>
          <t>Dueltron System Integration</t>
        </is>
      </c>
      <c r="F91" s="14" t="inlineStr">
        <is>
          <t>BCC 21/01 Class1(2A)Belt Driven-BCC 21//0.8 2.2KW 4P 380V</t>
        </is>
      </c>
      <c r="G91" s="20" t="n">
        <v>1</v>
      </c>
      <c r="H91" s="19" t="n">
        <v>59460</v>
      </c>
      <c r="I91" s="18">
        <f>H91*G91</f>
        <v/>
      </c>
      <c r="J91" s="11" t="n"/>
      <c r="K91" s="17" t="n"/>
      <c r="L91" s="16">
        <f>K91+C91</f>
        <v/>
      </c>
      <c r="M91" s="11" t="n"/>
      <c r="N91" s="15" t="n"/>
      <c r="O91" s="14" t="n"/>
      <c r="P91" s="14" t="n"/>
      <c r="Q91" s="14" t="n"/>
      <c r="R91" s="14" t="n"/>
    </row>
    <row r="92">
      <c r="A92" s="14" t="inlineStr">
        <is>
          <t>FM2890</t>
        </is>
      </c>
      <c r="B92" s="14" t="n"/>
      <c r="C92" s="13" t="n">
        <v>45695</v>
      </c>
      <c r="D92" s="12" t="inlineStr">
        <is>
          <t>Cash Sale</t>
        </is>
      </c>
      <c r="E92" s="14" t="inlineStr">
        <is>
          <t>Cash Sale</t>
        </is>
      </c>
      <c r="F92" s="14" t="inlineStr">
        <is>
          <t xml:space="preserve">Airmax 650 </t>
        </is>
      </c>
      <c r="G92" s="20" t="n">
        <v>1</v>
      </c>
      <c r="H92" s="19" t="n"/>
      <c r="I92" s="18">
        <f>H92*G92</f>
        <v/>
      </c>
      <c r="J92" s="11" t="n"/>
      <c r="K92" s="17" t="n"/>
      <c r="L92" s="16">
        <f>K92+C92</f>
        <v/>
      </c>
      <c r="M92" s="11" t="inlineStr">
        <is>
          <t>SM</t>
        </is>
      </c>
      <c r="N92" s="15" t="n"/>
      <c r="O92" s="14" t="n"/>
      <c r="P92" s="14" t="n"/>
      <c r="Q92" s="14" t="n"/>
      <c r="R92" s="14" t="n"/>
    </row>
    <row r="93" ht="28.8" customHeight="1">
      <c r="A93" s="14" t="inlineStr">
        <is>
          <t>FM2891</t>
        </is>
      </c>
      <c r="B93" s="14" t="n"/>
      <c r="C93" s="13" t="n">
        <v>45695</v>
      </c>
      <c r="D93" s="12" t="inlineStr">
        <is>
          <t>PO132404</t>
        </is>
      </c>
      <c r="E93" s="14" t="inlineStr">
        <is>
          <t>Africa Trading</t>
        </is>
      </c>
      <c r="F93" s="22" t="inlineStr">
        <is>
          <t>3" INTAKE FILTER 5KW SCL K07-MS
MOR</t>
        </is>
      </c>
      <c r="G93" s="20" t="n">
        <v>2</v>
      </c>
      <c r="H93" s="19" t="n">
        <v>2258.34</v>
      </c>
      <c r="I93" s="18">
        <f>H93*G93</f>
        <v/>
      </c>
      <c r="J93" s="11" t="n"/>
      <c r="K93" s="17" t="n"/>
      <c r="L93" s="16">
        <f>K93+C93</f>
        <v/>
      </c>
      <c r="M93" s="11" t="n"/>
      <c r="N93" s="15" t="n"/>
      <c r="O93" s="14" t="n"/>
      <c r="P93" s="14" t="n"/>
      <c r="Q93" s="14" t="n"/>
      <c r="R93" s="14" t="n"/>
    </row>
    <row r="94">
      <c r="A94" s="14" t="inlineStr">
        <is>
          <t>FM2892</t>
        </is>
      </c>
      <c r="B94" s="14" t="n"/>
      <c r="C94" s="13" t="n">
        <v>45698</v>
      </c>
      <c r="D94" s="12" t="inlineStr">
        <is>
          <t>PO608781</t>
        </is>
      </c>
      <c r="E94" s="14" t="inlineStr">
        <is>
          <t>Dormas Pty Ltd</t>
        </is>
      </c>
      <c r="F94" s="14" t="inlineStr">
        <is>
          <t>560 1,5D Attenuator</t>
        </is>
      </c>
      <c r="G94" s="20" t="n">
        <v>4</v>
      </c>
      <c r="H94" s="19" t="n">
        <v>3874</v>
      </c>
      <c r="I94" s="18">
        <f>H94*G94</f>
        <v/>
      </c>
      <c r="J94" s="11" t="n"/>
      <c r="K94" s="17" t="n"/>
      <c r="L94" s="16">
        <f>K94+C94</f>
        <v/>
      </c>
      <c r="M94" s="11" t="inlineStr">
        <is>
          <t>SM</t>
        </is>
      </c>
      <c r="N94" s="15" t="n"/>
      <c r="O94" s="14" t="n"/>
      <c r="P94" s="14" t="n"/>
      <c r="Q94" s="14" t="n"/>
      <c r="R94" s="14" t="n"/>
    </row>
    <row r="95">
      <c r="A95" s="14" t="inlineStr">
        <is>
          <t>FM2893</t>
        </is>
      </c>
      <c r="B95" s="14" t="n"/>
      <c r="C95" s="13" t="n">
        <v>45698</v>
      </c>
      <c r="D95" s="12" t="n"/>
      <c r="E95" s="14" t="inlineStr">
        <is>
          <t>Butec</t>
        </is>
      </c>
      <c r="F95" s="14" t="inlineStr">
        <is>
          <t>2 800 Counter flanges</t>
        </is>
      </c>
      <c r="G95" s="20" t="n">
        <v>2</v>
      </c>
      <c r="H95" s="19" t="n">
        <v>608</v>
      </c>
      <c r="I95" s="18">
        <f>H95*G95</f>
        <v/>
      </c>
      <c r="J95" s="11" t="n"/>
      <c r="K95" s="17" t="n"/>
      <c r="L95" s="16">
        <f>K95+C95</f>
        <v/>
      </c>
      <c r="M95" s="11" t="n"/>
      <c r="N95" s="15" t="n"/>
      <c r="O95" s="14" t="n"/>
      <c r="P95" s="14" t="n"/>
      <c r="Q95" s="14" t="n"/>
      <c r="R95" s="14" t="n"/>
    </row>
    <row r="96">
      <c r="A96" s="14" t="inlineStr">
        <is>
          <t>FM2894</t>
        </is>
      </c>
      <c r="B96" s="14" t="n"/>
      <c r="C96" s="13" t="n">
        <v>45698</v>
      </c>
      <c r="D96" s="12" t="inlineStr">
        <is>
          <t>PO OA15425</t>
        </is>
      </c>
      <c r="E96" s="14" t="inlineStr">
        <is>
          <t>Optimal Air</t>
        </is>
      </c>
      <c r="F96" s="14" t="inlineStr">
        <is>
          <t>1 maxflo 560 c/w1.1kw 4p 380v with 1 silencer</t>
        </is>
      </c>
      <c r="G96" s="20" t="n">
        <v>1</v>
      </c>
      <c r="H96" s="19" t="n">
        <v>11693</v>
      </c>
      <c r="I96" s="18">
        <f>H96*G96</f>
        <v/>
      </c>
      <c r="J96" s="11" t="n"/>
      <c r="K96" s="17" t="n"/>
      <c r="L96" s="16">
        <f>K96+C96</f>
        <v/>
      </c>
      <c r="M96" s="11" t="n"/>
      <c r="N96" s="15" t="n"/>
      <c r="O96" s="14" t="n"/>
      <c r="P96" s="14" t="n"/>
      <c r="Q96" s="14" t="n"/>
      <c r="R96" s="14" t="n"/>
    </row>
    <row r="97">
      <c r="A97" s="14" t="inlineStr">
        <is>
          <t>FM2895</t>
        </is>
      </c>
      <c r="B97" s="14" t="n"/>
      <c r="C97" s="13" t="n">
        <v>45698</v>
      </c>
      <c r="D97" s="12" t="inlineStr">
        <is>
          <t>PO-2356</t>
        </is>
      </c>
      <c r="E97" s="14" t="inlineStr">
        <is>
          <t>Olot Engineering</t>
        </is>
      </c>
      <c r="F97" s="14" t="inlineStr">
        <is>
          <t>RAD 315 + Accessories</t>
        </is>
      </c>
      <c r="G97" s="20" t="n">
        <v>1</v>
      </c>
      <c r="H97" s="19" t="n"/>
      <c r="I97" s="18">
        <f>H97*G97</f>
        <v/>
      </c>
      <c r="J97" s="11" t="n"/>
      <c r="K97" s="17" t="n"/>
      <c r="L97" s="16">
        <f>K97+C97</f>
        <v/>
      </c>
      <c r="M97" s="11" t="n"/>
      <c r="N97" s="15" t="n"/>
      <c r="O97" s="14" t="n"/>
      <c r="P97" s="14" t="n"/>
      <c r="Q97" s="14" t="n"/>
      <c r="R97" s="14" t="n"/>
    </row>
    <row r="98">
      <c r="A98" s="14" t="inlineStr">
        <is>
          <t>FM2896</t>
        </is>
      </c>
      <c r="B98" s="14" t="n"/>
      <c r="C98" s="13" t="n">
        <v>45698</v>
      </c>
      <c r="D98" s="12" t="inlineStr">
        <is>
          <t>PO-2356</t>
        </is>
      </c>
      <c r="E98" s="14" t="inlineStr">
        <is>
          <t>Olot Engineering</t>
        </is>
      </c>
      <c r="F98" s="14" t="inlineStr">
        <is>
          <t>Maxflo 560 c/w 0.55kW 4P + Accessories</t>
        </is>
      </c>
      <c r="G98" s="20" t="n">
        <v>1</v>
      </c>
      <c r="H98" s="19" t="n"/>
      <c r="I98" s="18">
        <f>H98*G98</f>
        <v/>
      </c>
      <c r="J98" s="11" t="n"/>
      <c r="K98" s="17" t="n"/>
      <c r="L98" s="16">
        <f>K98+C98</f>
        <v/>
      </c>
      <c r="M98" s="11" t="n"/>
      <c r="N98" s="15" t="n"/>
      <c r="O98" s="14" t="n"/>
      <c r="P98" s="14" t="n"/>
      <c r="Q98" s="14" t="n"/>
      <c r="R98" s="14" t="n"/>
    </row>
    <row r="99">
      <c r="A99" s="14" t="inlineStr">
        <is>
          <t>FM2897</t>
        </is>
      </c>
      <c r="B99" s="14" t="n"/>
      <c r="C99" s="13" t="n">
        <v>45698</v>
      </c>
      <c r="D99" s="12" t="inlineStr">
        <is>
          <t>PO-2356</t>
        </is>
      </c>
      <c r="E99" s="14" t="inlineStr">
        <is>
          <t>Olot Engineering</t>
        </is>
      </c>
      <c r="F99" s="14" t="inlineStr">
        <is>
          <t>Maxflo 500 c/w 0.25kW 4P + Accessories</t>
        </is>
      </c>
      <c r="G99" s="20" t="n">
        <v>1</v>
      </c>
      <c r="H99" s="19" t="n"/>
      <c r="I99" s="18">
        <f>H99*G99</f>
        <v/>
      </c>
      <c r="J99" s="11" t="n"/>
      <c r="K99" s="17" t="n"/>
      <c r="L99" s="16">
        <f>K99+C99</f>
        <v/>
      </c>
      <c r="M99" s="11" t="n"/>
      <c r="N99" s="15" t="n"/>
      <c r="O99" s="14" t="n"/>
      <c r="P99" s="14" t="n"/>
      <c r="Q99" s="14" t="n"/>
      <c r="R99" s="14" t="n"/>
    </row>
    <row r="100">
      <c r="A100" s="14" t="inlineStr">
        <is>
          <t>FM2898</t>
        </is>
      </c>
      <c r="B100" s="14" t="n"/>
      <c r="C100" s="13" t="n">
        <v>45698</v>
      </c>
      <c r="D100" s="12" t="inlineStr">
        <is>
          <t>PO-2356</t>
        </is>
      </c>
      <c r="E100" s="14" t="inlineStr">
        <is>
          <t>Olot Engineering</t>
        </is>
      </c>
      <c r="F100" s="14" t="inlineStr">
        <is>
          <t>Maxflo 500 c/w 0.37kW 4P + Accessories</t>
        </is>
      </c>
      <c r="G100" s="20" t="n">
        <v>2</v>
      </c>
      <c r="H100" s="19" t="n"/>
      <c r="I100" s="18">
        <f>H100*G100</f>
        <v/>
      </c>
      <c r="J100" s="11" t="n"/>
      <c r="K100" s="17" t="n"/>
      <c r="L100" s="16">
        <f>K100+C100</f>
        <v/>
      </c>
      <c r="M100" s="11" t="n"/>
      <c r="N100" s="15" t="n"/>
      <c r="O100" s="14" t="n"/>
      <c r="P100" s="14" t="n"/>
      <c r="Q100" s="14" t="n"/>
      <c r="R100" s="14" t="n"/>
    </row>
    <row r="101">
      <c r="A101" s="14" t="inlineStr">
        <is>
          <t>FM2899</t>
        </is>
      </c>
      <c r="B101" s="14" t="n"/>
      <c r="C101" s="13" t="n">
        <v>45698</v>
      </c>
      <c r="D101" s="12" t="inlineStr">
        <is>
          <t>PO-2356</t>
        </is>
      </c>
      <c r="E101" s="14" t="inlineStr">
        <is>
          <t>Olot Engineering</t>
        </is>
      </c>
      <c r="F101" s="14" t="inlineStr">
        <is>
          <t>Maxflo 560 c/w 0.55kW 4P + Accessories</t>
        </is>
      </c>
      <c r="G101" s="20" t="n">
        <v>1</v>
      </c>
      <c r="H101" s="19" t="n"/>
      <c r="I101" s="18">
        <f>H101*G101</f>
        <v/>
      </c>
      <c r="J101" s="11" t="n"/>
      <c r="K101" s="17" t="n"/>
      <c r="L101" s="16">
        <f>K101+C101</f>
        <v/>
      </c>
      <c r="M101" s="11" t="n"/>
      <c r="N101" s="15" t="n"/>
      <c r="O101" s="14" t="n"/>
      <c r="P101" s="14" t="n"/>
      <c r="Q101" s="14" t="n"/>
      <c r="R101" s="14" t="n"/>
    </row>
    <row r="102">
      <c r="A102" s="14" t="inlineStr">
        <is>
          <t>FM2900</t>
        </is>
      </c>
      <c r="B102" s="14" t="n"/>
      <c r="C102" s="13" t="n">
        <v>45698</v>
      </c>
      <c r="D102" s="12" t="inlineStr">
        <is>
          <t>PO0000525</t>
        </is>
      </c>
      <c r="E102" s="14" t="inlineStr">
        <is>
          <t>ATM TECH</t>
        </is>
      </c>
      <c r="F102" s="14" t="inlineStr">
        <is>
          <t>FAN-FA30/4</t>
        </is>
      </c>
      <c r="G102" s="20" t="n">
        <v>1</v>
      </c>
      <c r="H102" s="19" t="n">
        <v>2227</v>
      </c>
      <c r="I102" s="18">
        <f>H102*G102</f>
        <v/>
      </c>
      <c r="J102" s="11" t="n"/>
      <c r="K102" s="17" t="n"/>
      <c r="L102" s="16">
        <f>K102+C102</f>
        <v/>
      </c>
      <c r="M102" s="11" t="n"/>
      <c r="N102" s="15" t="n"/>
      <c r="O102" s="14" t="n"/>
      <c r="P102" s="14" t="n"/>
      <c r="Q102" s="14" t="n"/>
      <c r="R102" s="14" t="n"/>
    </row>
    <row r="103">
      <c r="A103" s="14" t="inlineStr">
        <is>
          <t>FM2901</t>
        </is>
      </c>
      <c r="B103" s="14" t="n"/>
      <c r="C103" s="13" t="n">
        <v>45699</v>
      </c>
      <c r="D103" s="12" t="inlineStr">
        <is>
          <t>PO151148</t>
        </is>
      </c>
      <c r="E103" s="14" t="inlineStr">
        <is>
          <t>Luft Industries Natal</t>
        </is>
      </c>
      <c r="F103" s="14" t="inlineStr">
        <is>
          <t>CMP-512-2T + CMP 514-2T</t>
        </is>
      </c>
      <c r="G103" s="20" t="n">
        <v>4</v>
      </c>
      <c r="H103" s="19" t="n">
        <v>5049.5</v>
      </c>
      <c r="I103" s="18">
        <f>H103*G103</f>
        <v/>
      </c>
      <c r="J103" s="11" t="n"/>
      <c r="K103" s="17" t="n"/>
      <c r="L103" s="16">
        <f>K103+C103</f>
        <v/>
      </c>
      <c r="M103" s="11" t="inlineStr">
        <is>
          <t>SM</t>
        </is>
      </c>
      <c r="N103" s="15" t="n"/>
      <c r="O103" s="14" t="n"/>
      <c r="P103" s="14" t="n"/>
      <c r="Q103" s="14" t="n"/>
      <c r="R103" s="14" t="n"/>
    </row>
    <row r="104" ht="16.5" customHeight="1">
      <c r="A104" s="14" t="inlineStr">
        <is>
          <t>FM2902</t>
        </is>
      </c>
      <c r="B104" s="14" t="n"/>
      <c r="C104" s="13" t="n">
        <v>45700</v>
      </c>
      <c r="D104" s="12" t="inlineStr">
        <is>
          <t>PO201676</t>
        </is>
      </c>
      <c r="E104" s="14" t="inlineStr">
        <is>
          <t>Kenmare</t>
        </is>
      </c>
      <c r="F104" s="14" t="inlineStr">
        <is>
          <t>K07 Blower</t>
        </is>
      </c>
      <c r="G104" s="20" t="n">
        <v>1</v>
      </c>
      <c r="H104" s="19" t="n">
        <v>55013</v>
      </c>
      <c r="I104" s="18">
        <f>H104*G104</f>
        <v/>
      </c>
      <c r="J104" s="11" t="n"/>
      <c r="K104" s="17" t="n"/>
      <c r="L104" s="16">
        <f>K104+C104</f>
        <v/>
      </c>
      <c r="M104" s="11" t="inlineStr">
        <is>
          <t>ST</t>
        </is>
      </c>
      <c r="N104" s="15" t="n"/>
      <c r="O104" s="14" t="n"/>
      <c r="P104" s="14" t="n"/>
      <c r="Q104" s="14" t="n"/>
      <c r="R104" s="14" t="n"/>
    </row>
    <row r="105">
      <c r="A105" s="14" t="inlineStr">
        <is>
          <t>FM2903</t>
        </is>
      </c>
      <c r="B105" s="14" t="n"/>
      <c r="C105" s="13" t="n">
        <v>45700</v>
      </c>
      <c r="D105" s="12" t="inlineStr">
        <is>
          <t>Cash Sale</t>
        </is>
      </c>
      <c r="E105" s="14" t="inlineStr">
        <is>
          <t>Arrow</t>
        </is>
      </c>
      <c r="F105" s="14" t="inlineStr">
        <is>
          <t>HVF 105N</t>
        </is>
      </c>
      <c r="G105" s="20" t="n">
        <v>1</v>
      </c>
      <c r="H105" s="19" t="n">
        <v>21472</v>
      </c>
      <c r="I105" s="18">
        <f>H105*G105</f>
        <v/>
      </c>
      <c r="J105" s="11" t="n"/>
      <c r="K105" s="17" t="n"/>
      <c r="L105" s="16">
        <f>K105+C105</f>
        <v/>
      </c>
      <c r="M105" s="11" t="inlineStr">
        <is>
          <t>ST</t>
        </is>
      </c>
      <c r="N105" s="15" t="n"/>
      <c r="O105" s="14" t="n"/>
      <c r="P105" s="14" t="n"/>
      <c r="Q105" s="14" t="n"/>
      <c r="R105" s="14" t="n"/>
    </row>
    <row r="106">
      <c r="A106" s="14" t="inlineStr">
        <is>
          <t>FM2904</t>
        </is>
      </c>
      <c r="B106" s="14" t="n"/>
      <c r="C106" s="13" t="n">
        <v>45700</v>
      </c>
      <c r="D106" s="12" t="inlineStr">
        <is>
          <t>Cash Sale</t>
        </is>
      </c>
      <c r="E106" s="14" t="inlineStr">
        <is>
          <t>MT Refrigeration</t>
        </is>
      </c>
      <c r="F106" s="14" t="inlineStr">
        <is>
          <t>RAD 315 + 315 Tube silencers</t>
        </is>
      </c>
      <c r="G106" s="20" t="n">
        <v>3</v>
      </c>
      <c r="H106" s="19" t="n">
        <v>1606.6666</v>
      </c>
      <c r="I106" s="18">
        <f>H106*G106</f>
        <v/>
      </c>
      <c r="J106" s="11" t="n"/>
      <c r="K106" s="17" t="n"/>
      <c r="L106" s="16">
        <f>K106+C106</f>
        <v/>
      </c>
      <c r="M106" s="11" t="inlineStr">
        <is>
          <t>MT</t>
        </is>
      </c>
      <c r="N106" s="15" t="n"/>
      <c r="O106" s="14" t="n"/>
      <c r="P106" s="14" t="n"/>
      <c r="Q106" s="14" t="n"/>
      <c r="R106" s="14" t="n"/>
    </row>
    <row r="107">
      <c r="A107" s="14" t="inlineStr">
        <is>
          <t>FM2905</t>
        </is>
      </c>
      <c r="B107" s="14" t="n"/>
      <c r="C107" s="13" t="n">
        <v>45700</v>
      </c>
      <c r="D107" s="12" t="inlineStr">
        <is>
          <t>PO1940</t>
        </is>
      </c>
      <c r="E107" s="14" t="inlineStr">
        <is>
          <t xml:space="preserve">Hucra Fans </t>
        </is>
      </c>
      <c r="F107" s="14" t="inlineStr">
        <is>
          <t>CMP 616-2T</t>
        </is>
      </c>
      <c r="G107" s="20" t="n">
        <v>2</v>
      </c>
      <c r="H107" s="19" t="n">
        <v>7105</v>
      </c>
      <c r="I107" s="18">
        <f>H107*G107</f>
        <v/>
      </c>
      <c r="J107" s="11" t="n"/>
      <c r="K107" s="17" t="n"/>
      <c r="L107" s="16">
        <f>K107+C107</f>
        <v/>
      </c>
      <c r="M107" s="11" t="inlineStr">
        <is>
          <t>ZX</t>
        </is>
      </c>
      <c r="N107" s="15" t="n"/>
      <c r="O107" s="14" t="n"/>
      <c r="P107" s="14" t="n"/>
      <c r="Q107" s="14" t="n"/>
      <c r="R107" s="14" t="n"/>
    </row>
    <row r="108">
      <c r="A108" s="14" t="inlineStr">
        <is>
          <t>FM2906</t>
        </is>
      </c>
      <c r="B108" s="14" t="n"/>
      <c r="C108" s="13" t="n">
        <v>45701</v>
      </c>
      <c r="D108" s="12" t="inlineStr">
        <is>
          <t>PO25321</t>
        </is>
      </c>
      <c r="E108" s="14" t="inlineStr">
        <is>
          <t>Universal Fans</t>
        </is>
      </c>
      <c r="F108" s="14" t="inlineStr">
        <is>
          <t>CMA-531-2T-3 IE3 - c/w 2.2kw 2P</t>
        </is>
      </c>
      <c r="G108" s="20" t="n">
        <v>1</v>
      </c>
      <c r="H108" s="19" t="n">
        <v>28556</v>
      </c>
      <c r="I108" s="18">
        <f>H108*G108</f>
        <v/>
      </c>
      <c r="J108" s="11" t="n"/>
      <c r="K108" s="17" t="n"/>
      <c r="L108" s="16">
        <f>K108+C108</f>
        <v/>
      </c>
      <c r="M108" s="11" t="inlineStr">
        <is>
          <t>SM</t>
        </is>
      </c>
      <c r="N108" s="15" t="n"/>
      <c r="O108" s="14" t="n"/>
      <c r="P108" s="14" t="n"/>
      <c r="Q108" s="14" t="n"/>
      <c r="R108" s="14" t="n"/>
    </row>
    <row r="109">
      <c r="A109" s="14" t="inlineStr">
        <is>
          <t>FM2907</t>
        </is>
      </c>
      <c r="B109" s="14" t="n"/>
      <c r="C109" s="13" t="n">
        <v>45701</v>
      </c>
      <c r="D109" s="12" t="n">
        <v>501281</v>
      </c>
      <c r="E109" s="14" t="inlineStr">
        <is>
          <t>Fans Maintenance &amp; More</t>
        </is>
      </c>
      <c r="F109" s="14" t="inlineStr">
        <is>
          <t>CMP 718-2T</t>
        </is>
      </c>
      <c r="G109" s="20" t="n">
        <v>1</v>
      </c>
      <c r="H109" s="19" t="n">
        <v>9636</v>
      </c>
      <c r="I109" s="18">
        <f>H109*G109</f>
        <v/>
      </c>
      <c r="J109" s="11" t="n"/>
      <c r="K109" s="17" t="n"/>
      <c r="L109" s="16">
        <f>K109+C109</f>
        <v/>
      </c>
      <c r="M109" s="11" t="inlineStr">
        <is>
          <t>ZX</t>
        </is>
      </c>
      <c r="N109" s="15" t="n"/>
      <c r="O109" s="14" t="n"/>
      <c r="P109" s="14" t="n"/>
      <c r="Q109" s="14" t="n"/>
      <c r="R109" s="14" t="n"/>
    </row>
    <row r="110">
      <c r="A110" s="14" t="inlineStr">
        <is>
          <t>FM2908</t>
        </is>
      </c>
      <c r="B110" s="14" t="n"/>
      <c r="C110" s="13" t="n">
        <v>45701</v>
      </c>
      <c r="D110" s="12" t="inlineStr">
        <is>
          <t>J5366-002ORD</t>
        </is>
      </c>
      <c r="E110" s="14" t="inlineStr">
        <is>
          <t>RTS Africa Engineering (Pty) Ltd</t>
        </is>
      </c>
      <c r="F110" s="14" t="inlineStr">
        <is>
          <t>Maxflo 400/150/10 c/w 1.1 KW 2P 380V + QCP  &amp; Screen</t>
        </is>
      </c>
      <c r="G110" s="20" t="n">
        <v>2</v>
      </c>
      <c r="H110" s="19">
        <f>10159+335+3792.91</f>
        <v/>
      </c>
      <c r="I110" s="18">
        <f>H110*G110</f>
        <v/>
      </c>
      <c r="J110" s="11" t="n"/>
      <c r="K110" s="17" t="n"/>
      <c r="L110" s="16">
        <f>K110+C110</f>
        <v/>
      </c>
      <c r="M110" s="11" t="inlineStr">
        <is>
          <t>SM</t>
        </is>
      </c>
      <c r="N110" s="15" t="n"/>
      <c r="O110" s="14" t="n"/>
      <c r="P110" s="14" t="n"/>
      <c r="Q110" s="14" t="n"/>
      <c r="R110" s="14" t="n"/>
    </row>
    <row r="111">
      <c r="A111" s="14" t="inlineStr">
        <is>
          <t>FM2909</t>
        </is>
      </c>
      <c r="B111" s="14" t="n"/>
      <c r="C111" s="13" t="n">
        <v>45702</v>
      </c>
      <c r="D111" s="12" t="inlineStr">
        <is>
          <t>Cash Sale</t>
        </is>
      </c>
      <c r="E111" s="14" t="inlineStr">
        <is>
          <t xml:space="preserve">Industrial Thermodynamics </t>
        </is>
      </c>
      <c r="F111" s="14" t="inlineStr">
        <is>
          <t>MF 150/6</t>
        </is>
      </c>
      <c r="G111" s="20" t="n">
        <v>1</v>
      </c>
      <c r="H111" s="19" t="n">
        <v>1510</v>
      </c>
      <c r="I111" s="18">
        <f>H111*G111</f>
        <v/>
      </c>
      <c r="J111" s="11" t="n"/>
      <c r="K111" s="17" t="n"/>
      <c r="L111" s="16">
        <f>K111+C111</f>
        <v/>
      </c>
      <c r="M111" s="11" t="inlineStr">
        <is>
          <t>MT</t>
        </is>
      </c>
      <c r="N111" s="15" t="n"/>
      <c r="O111" s="14" t="n"/>
      <c r="P111" s="14" t="n"/>
      <c r="Q111" s="14" t="n"/>
      <c r="R111" s="14" t="n"/>
    </row>
    <row r="112">
      <c r="A112" s="14" t="inlineStr">
        <is>
          <t>FM2910</t>
        </is>
      </c>
      <c r="B112" s="14" t="n"/>
      <c r="C112" s="13" t="n">
        <v>45705</v>
      </c>
      <c r="D112" s="12" t="inlineStr">
        <is>
          <t>PO 30541</t>
        </is>
      </c>
      <c r="E112" s="14" t="inlineStr">
        <is>
          <t>Compu cool (pty) ltd</t>
        </is>
      </c>
      <c r="F112" s="14" t="inlineStr">
        <is>
          <t>200 Diam Tube Silencer</t>
        </is>
      </c>
      <c r="G112" s="20" t="n">
        <v>1</v>
      </c>
      <c r="H112" s="19" t="n">
        <v>694</v>
      </c>
      <c r="I112" s="18">
        <f>H112*G112</f>
        <v/>
      </c>
      <c r="J112" s="11" t="n"/>
      <c r="K112" s="17" t="n"/>
      <c r="L112" s="16">
        <f>K112+C112</f>
        <v/>
      </c>
      <c r="M112" s="11" t="inlineStr">
        <is>
          <t>MT</t>
        </is>
      </c>
      <c r="N112" s="15" t="n"/>
      <c r="O112" s="14" t="n"/>
      <c r="P112" s="14" t="n"/>
      <c r="Q112" s="14" t="n"/>
      <c r="R112" s="14" t="n"/>
    </row>
    <row r="113">
      <c r="A113" s="14" t="inlineStr">
        <is>
          <t>FM2911</t>
        </is>
      </c>
      <c r="B113" s="14" t="n"/>
      <c r="C113" s="13" t="n">
        <v>45705</v>
      </c>
      <c r="D113" s="12" t="n">
        <v>4500196253</v>
      </c>
      <c r="E113" s="14" t="inlineStr">
        <is>
          <t>Rand Refinery</t>
        </is>
      </c>
      <c r="F113" s="14" t="inlineStr">
        <is>
          <t>500mm 1.5D Silencers</t>
        </is>
      </c>
      <c r="G113" s="20" t="n">
        <v>2</v>
      </c>
      <c r="H113" s="19" t="n">
        <v>6325.6</v>
      </c>
      <c r="I113" s="18">
        <f>H113*G113</f>
        <v/>
      </c>
      <c r="J113" s="11" t="n"/>
      <c r="K113" s="17" t="n"/>
      <c r="L113" s="16">
        <f>K113+C113</f>
        <v/>
      </c>
      <c r="M113" s="11" t="inlineStr">
        <is>
          <t>MT</t>
        </is>
      </c>
      <c r="N113" s="15" t="n"/>
      <c r="O113" s="14" t="n"/>
      <c r="P113" s="14" t="n"/>
      <c r="Q113" s="14" t="n"/>
      <c r="R113" s="14" t="n"/>
    </row>
    <row r="114">
      <c r="A114" s="14" t="inlineStr">
        <is>
          <t>FM2912</t>
        </is>
      </c>
      <c r="B114" s="14" t="n"/>
      <c r="C114" s="13" t="n">
        <v>45705</v>
      </c>
      <c r="D114" s="12" t="inlineStr">
        <is>
          <t>PO-000005558</t>
        </is>
      </c>
      <c r="E114" s="14" t="inlineStr">
        <is>
          <t>Cape Fans</t>
        </is>
      </c>
      <c r="F114" s="14" t="inlineStr">
        <is>
          <t>CMA-527-2T</t>
        </is>
      </c>
      <c r="G114" s="20" t="n">
        <v>1</v>
      </c>
      <c r="H114" s="19" t="n">
        <v>14321</v>
      </c>
      <c r="I114" s="18">
        <f>H114*G114</f>
        <v/>
      </c>
      <c r="J114" s="11" t="n"/>
      <c r="K114" s="17" t="n"/>
      <c r="L114" s="16">
        <f>K114+C114</f>
        <v/>
      </c>
      <c r="M114" s="11" t="inlineStr">
        <is>
          <t>ST</t>
        </is>
      </c>
      <c r="N114" s="15" t="n"/>
      <c r="O114" s="14" t="n"/>
      <c r="P114" s="14" t="n"/>
      <c r="Q114" s="14" t="n"/>
      <c r="R114" s="14" t="n"/>
    </row>
    <row r="115">
      <c r="A115" s="14" t="inlineStr">
        <is>
          <t>FM2913</t>
        </is>
      </c>
      <c r="B115" s="14" t="n"/>
      <c r="C115" s="13" t="n">
        <v>45705</v>
      </c>
      <c r="D115" s="12" t="inlineStr">
        <is>
          <t>PO-000005559</t>
        </is>
      </c>
      <c r="E115" s="14" t="inlineStr">
        <is>
          <t>Cape Fans</t>
        </is>
      </c>
      <c r="F115" s="14" t="inlineStr">
        <is>
          <t>CPV-1020-4T + CPV-1325-4T</t>
        </is>
      </c>
      <c r="G115" s="20" t="n">
        <v>2</v>
      </c>
      <c r="H115" s="19" t="n">
        <v>22048.5</v>
      </c>
      <c r="I115" s="18">
        <f>H115*G115</f>
        <v/>
      </c>
      <c r="J115" s="11" t="n"/>
      <c r="K115" s="17" t="n"/>
      <c r="L115" s="16">
        <f>K115+C115</f>
        <v/>
      </c>
      <c r="M115" s="11" t="inlineStr">
        <is>
          <t>ST</t>
        </is>
      </c>
      <c r="N115" s="15" t="n"/>
      <c r="O115" s="14" t="n"/>
      <c r="P115" s="14" t="n"/>
      <c r="Q115" s="14" t="n"/>
      <c r="R115" s="14" t="n"/>
    </row>
    <row r="116">
      <c r="A116" s="14" t="inlineStr">
        <is>
          <t>FM2914</t>
        </is>
      </c>
      <c r="B116" s="14" t="n"/>
      <c r="C116" s="13" t="n">
        <v>45706</v>
      </c>
      <c r="D116" s="12" t="inlineStr">
        <is>
          <t>PO-42</t>
        </is>
      </c>
      <c r="E116" s="14" t="inlineStr">
        <is>
          <t>Sulit</t>
        </is>
      </c>
      <c r="F116" s="14" t="inlineStr">
        <is>
          <t>Rectangular Attenuator/ Fan</t>
        </is>
      </c>
      <c r="G116" s="20" t="n">
        <v>5</v>
      </c>
      <c r="H116" s="19" t="n">
        <v>106515.1</v>
      </c>
      <c r="I116" s="18" t="n">
        <v>106515.1</v>
      </c>
      <c r="J116" s="11" t="n"/>
      <c r="K116" s="17" t="n"/>
      <c r="L116" s="16">
        <f>K116+C116</f>
        <v/>
      </c>
      <c r="M116" s="11" t="inlineStr">
        <is>
          <t>MT</t>
        </is>
      </c>
      <c r="N116" s="15" t="n"/>
      <c r="O116" s="14" t="n"/>
      <c r="P116" s="14" t="n"/>
      <c r="Q116" s="14" t="n"/>
      <c r="R116" s="14" t="n"/>
    </row>
    <row r="117">
      <c r="A117" s="14" t="inlineStr">
        <is>
          <t>FM2915</t>
        </is>
      </c>
      <c r="B117" s="14" t="n"/>
      <c r="C117" s="13" t="n">
        <v>45706</v>
      </c>
      <c r="D117" s="12" t="n">
        <v>201873</v>
      </c>
      <c r="E117" s="14" t="inlineStr">
        <is>
          <t>Kenmare</t>
        </is>
      </c>
      <c r="F117" s="14" t="inlineStr">
        <is>
          <t>K05 Blower</t>
        </is>
      </c>
      <c r="G117" s="20" t="n">
        <v>1</v>
      </c>
      <c r="H117" s="19" t="n">
        <v>21322</v>
      </c>
      <c r="I117" s="18">
        <f>H117*G117</f>
        <v/>
      </c>
      <c r="J117" s="11" t="n"/>
      <c r="K117" s="17" t="n"/>
      <c r="L117" s="16">
        <f>K117+C117</f>
        <v/>
      </c>
      <c r="M117" s="11" t="inlineStr">
        <is>
          <t>ST</t>
        </is>
      </c>
      <c r="N117" s="15" t="n"/>
      <c r="O117" s="14" t="n"/>
      <c r="P117" s="14" t="n"/>
      <c r="Q117" s="14" t="n"/>
      <c r="R117" s="14" t="n"/>
    </row>
    <row r="118">
      <c r="A118" s="14" t="inlineStr">
        <is>
          <t>FM2916</t>
        </is>
      </c>
      <c r="B118" s="14" t="n"/>
      <c r="C118" s="13" t="n">
        <v>45707</v>
      </c>
      <c r="D118" s="12" t="inlineStr">
        <is>
          <t>PO1950</t>
        </is>
      </c>
      <c r="E118" s="14" t="inlineStr">
        <is>
          <t xml:space="preserve">Hucra Fans </t>
        </is>
      </c>
      <c r="F118" s="14" t="inlineStr">
        <is>
          <t>CMA-426-2M</t>
        </is>
      </c>
      <c r="G118" s="20" t="n">
        <v>4</v>
      </c>
      <c r="H118" s="19" t="n">
        <v>10933</v>
      </c>
      <c r="I118" s="18">
        <f>H118*G118</f>
        <v/>
      </c>
      <c r="J118" s="11" t="n"/>
      <c r="K118" s="17" t="n"/>
      <c r="L118" s="16">
        <f>K118+C118</f>
        <v/>
      </c>
      <c r="M118" s="11" t="inlineStr">
        <is>
          <t>ZX</t>
        </is>
      </c>
      <c r="N118" s="15" t="n"/>
      <c r="O118" s="14" t="n"/>
      <c r="P118" s="14" t="n"/>
      <c r="Q118" s="14" t="n"/>
      <c r="R118" s="14" t="n"/>
    </row>
    <row r="119">
      <c r="A119" s="14" t="inlineStr">
        <is>
          <t>FM2917</t>
        </is>
      </c>
      <c r="B119" s="14" t="n"/>
      <c r="C119" s="13" t="n">
        <v>45707</v>
      </c>
      <c r="D119" s="12" t="inlineStr">
        <is>
          <t>PO1952</t>
        </is>
      </c>
      <c r="E119" s="14" t="inlineStr">
        <is>
          <t xml:space="preserve">Hucra Fans </t>
        </is>
      </c>
      <c r="F119" s="14" t="inlineStr">
        <is>
          <t>KAZ-140 Kayites</t>
        </is>
      </c>
      <c r="G119" s="20" t="n">
        <v>3</v>
      </c>
      <c r="H119" s="19" t="n">
        <v>1819</v>
      </c>
      <c r="I119" s="18">
        <f>H119*G119</f>
        <v/>
      </c>
      <c r="J119" s="11" t="n"/>
      <c r="K119" s="17" t="n"/>
      <c r="L119" s="16">
        <f>K119+C119</f>
        <v/>
      </c>
      <c r="M119" s="11" t="inlineStr">
        <is>
          <t>ZX</t>
        </is>
      </c>
      <c r="N119" s="15" t="n"/>
      <c r="O119" s="14" t="n"/>
      <c r="P119" s="14" t="n"/>
      <c r="Q119" s="14" t="n"/>
      <c r="R119" s="14" t="n"/>
    </row>
    <row r="120">
      <c r="A120" s="14" t="inlineStr">
        <is>
          <t>FM2918</t>
        </is>
      </c>
      <c r="B120" s="14" t="n"/>
      <c r="C120" s="13" t="n">
        <v>45708</v>
      </c>
      <c r="D120" s="12" t="inlineStr">
        <is>
          <t>PO-169</t>
        </is>
      </c>
      <c r="E120" s="14" t="inlineStr">
        <is>
          <t>Sulit</t>
        </is>
      </c>
      <c r="F120" s="14" t="inlineStr">
        <is>
          <t>RAD200 and accesorries</t>
        </is>
      </c>
      <c r="G120" s="20" t="n">
        <v>1</v>
      </c>
      <c r="H120" s="19" t="n">
        <v>5046</v>
      </c>
      <c r="I120" s="18">
        <f>H120*G120</f>
        <v/>
      </c>
      <c r="J120" s="11" t="n"/>
      <c r="K120" s="17" t="n"/>
      <c r="L120" s="16">
        <f>K120+C120</f>
        <v/>
      </c>
      <c r="M120" s="11" t="n"/>
      <c r="N120" s="15" t="n"/>
      <c r="O120" s="14" t="n"/>
      <c r="P120" s="14" t="n"/>
      <c r="Q120" s="14" t="n"/>
      <c r="R120" s="14" t="n"/>
    </row>
    <row r="121">
      <c r="A121" s="14" t="inlineStr">
        <is>
          <t>FM2919</t>
        </is>
      </c>
      <c r="B121" s="14" t="n"/>
      <c r="C121" s="13" t="n">
        <v>45708</v>
      </c>
      <c r="D121" s="12" t="inlineStr">
        <is>
          <t>Cash Sale</t>
        </is>
      </c>
      <c r="E121" s="14" t="inlineStr">
        <is>
          <t>Prospec Engineering</t>
        </is>
      </c>
      <c r="F121" s="14" t="inlineStr">
        <is>
          <t>Maxflo 400 + Accessories</t>
        </is>
      </c>
      <c r="G121" s="20" t="n">
        <v>1</v>
      </c>
      <c r="H121" s="19" t="n">
        <v>10627</v>
      </c>
      <c r="I121" s="18">
        <f>H121*G121</f>
        <v/>
      </c>
      <c r="J121" s="11" t="n"/>
      <c r="K121" s="17" t="n"/>
      <c r="L121" s="16">
        <f>K121+C121</f>
        <v/>
      </c>
      <c r="M121" s="11" t="inlineStr">
        <is>
          <t>ST</t>
        </is>
      </c>
      <c r="N121" s="15" t="n"/>
      <c r="O121" s="14" t="n"/>
      <c r="P121" s="14" t="n"/>
      <c r="Q121" s="14" t="n"/>
      <c r="R121" s="14" t="n"/>
    </row>
    <row r="122">
      <c r="A122" s="14" t="inlineStr">
        <is>
          <t>FM2920</t>
        </is>
      </c>
      <c r="B122" s="14" t="n"/>
      <c r="C122" s="13" t="n">
        <v>45708</v>
      </c>
      <c r="D122" s="12" t="inlineStr">
        <is>
          <t>PO1955</t>
        </is>
      </c>
      <c r="E122" s="14" t="inlineStr">
        <is>
          <t xml:space="preserve">Hucra Fans </t>
        </is>
      </c>
      <c r="F122" s="14" t="inlineStr">
        <is>
          <t>MF 150/6 LL - Vortice Punto Filo Extract Fan 150mm</t>
        </is>
      </c>
      <c r="G122" s="20" t="n">
        <v>6</v>
      </c>
      <c r="H122" s="19" t="n">
        <v>1695</v>
      </c>
      <c r="I122" s="18">
        <f>H122*G122</f>
        <v/>
      </c>
      <c r="J122" s="11" t="n"/>
      <c r="K122" s="17" t="n"/>
      <c r="L122" s="16">
        <f>K122+C122</f>
        <v/>
      </c>
      <c r="M122" s="11" t="inlineStr">
        <is>
          <t>ZX</t>
        </is>
      </c>
      <c r="N122" s="15" t="n"/>
      <c r="O122" s="14" t="n"/>
      <c r="P122" s="14" t="n"/>
      <c r="Q122" s="14" t="n"/>
      <c r="R122" s="14" t="n"/>
    </row>
    <row r="123">
      <c r="A123" s="14" t="inlineStr">
        <is>
          <t>FM2921</t>
        </is>
      </c>
      <c r="B123" s="14" t="n"/>
      <c r="C123" s="13" t="n">
        <v>45708</v>
      </c>
      <c r="D123" s="12" t="inlineStr">
        <is>
          <t>Credit-Cash sale</t>
        </is>
      </c>
      <c r="E123" s="14" t="inlineStr">
        <is>
          <t>Jamarmic Pumps and Valve Engineering</t>
        </is>
      </c>
      <c r="F123" s="14" t="inlineStr">
        <is>
          <t>DD 9/9 373W 4P 220V + DD12/9 1100W 6P 400V 3Ph</t>
        </is>
      </c>
      <c r="G123" s="20" t="n">
        <v>3</v>
      </c>
      <c r="H123" s="19" t="n">
        <v>7334.33</v>
      </c>
      <c r="I123" s="18">
        <f>H123*G123</f>
        <v/>
      </c>
      <c r="J123" s="11" t="n"/>
      <c r="K123" s="17" t="n"/>
      <c r="L123" s="16">
        <f>K123+C123</f>
        <v/>
      </c>
      <c r="M123" s="11" t="inlineStr">
        <is>
          <t>SM</t>
        </is>
      </c>
      <c r="N123" s="15" t="n"/>
      <c r="O123" s="14" t="n"/>
      <c r="P123" s="14" t="n"/>
      <c r="Q123" s="14" t="n"/>
      <c r="R123" s="14" t="n"/>
    </row>
    <row r="124">
      <c r="A124" s="14" t="inlineStr">
        <is>
          <t>FM2922</t>
        </is>
      </c>
      <c r="B124" s="14" t="n"/>
      <c r="C124" s="13" t="n">
        <v>45708</v>
      </c>
      <c r="D124" s="12" t="inlineStr">
        <is>
          <t>Cash Sale</t>
        </is>
      </c>
      <c r="E124" s="14" t="inlineStr">
        <is>
          <t>Bilva Enterprise</t>
        </is>
      </c>
      <c r="F124" s="14" t="inlineStr">
        <is>
          <t>Sodeca Motors</t>
        </is>
      </c>
      <c r="G124" s="20" t="n">
        <v>2</v>
      </c>
      <c r="H124" s="19" t="n">
        <v>3021</v>
      </c>
      <c r="I124" s="18">
        <f>H124*G124</f>
        <v/>
      </c>
      <c r="J124" s="11" t="n"/>
      <c r="K124" s="17" t="n"/>
      <c r="L124" s="16">
        <f>K124+C124</f>
        <v/>
      </c>
      <c r="M124" s="11" t="inlineStr">
        <is>
          <t>MT</t>
        </is>
      </c>
      <c r="N124" s="15" t="n"/>
      <c r="O124" s="14" t="n"/>
      <c r="P124" s="14" t="n"/>
      <c r="Q124" s="14" t="n"/>
      <c r="R124" s="14" t="n"/>
    </row>
    <row r="125">
      <c r="A125" s="14" t="inlineStr">
        <is>
          <t>FM2923</t>
        </is>
      </c>
      <c r="B125" s="14" t="n"/>
      <c r="C125" s="13" t="n">
        <v>45708</v>
      </c>
      <c r="D125" s="12" t="inlineStr">
        <is>
          <t>PO1956</t>
        </is>
      </c>
      <c r="E125" s="14" t="inlineStr">
        <is>
          <t xml:space="preserve">Hucra Fans </t>
        </is>
      </c>
      <c r="F125" s="14" t="inlineStr">
        <is>
          <t>V230/9-AR-LL-S</t>
        </is>
      </c>
      <c r="G125" s="20" t="n">
        <v>2</v>
      </c>
      <c r="H125" s="19" t="n">
        <v>3756</v>
      </c>
      <c r="I125" s="18">
        <f>H125*G125</f>
        <v/>
      </c>
      <c r="J125" s="11" t="n"/>
      <c r="K125" s="17" t="n"/>
      <c r="L125" s="16">
        <f>K125+C125</f>
        <v/>
      </c>
      <c r="M125" s="11" t="inlineStr">
        <is>
          <t>ZX</t>
        </is>
      </c>
      <c r="N125" s="15" t="n"/>
      <c r="O125" s="14" t="n"/>
      <c r="P125" s="14" t="n"/>
      <c r="Q125" s="14" t="n"/>
      <c r="R125" s="14" t="n"/>
    </row>
    <row r="126">
      <c r="A126" s="14" t="inlineStr">
        <is>
          <t>FM2924</t>
        </is>
      </c>
      <c r="B126" s="14" t="n"/>
      <c r="C126" s="13" t="n">
        <v>45708</v>
      </c>
      <c r="D126" s="12" t="inlineStr">
        <is>
          <t>MP014072</t>
        </is>
      </c>
      <c r="E126" s="14" t="inlineStr">
        <is>
          <t>Midstone Engineering t/a Midair</t>
        </is>
      </c>
      <c r="F126" s="14" t="inlineStr">
        <is>
          <t>Tiracamino 220V Fan</t>
        </is>
      </c>
      <c r="G126" s="20" t="n">
        <v>1</v>
      </c>
      <c r="H126" s="19" t="n">
        <v>11500</v>
      </c>
      <c r="I126" s="18">
        <f>H126*G126</f>
        <v/>
      </c>
      <c r="J126" s="11" t="n"/>
      <c r="K126" s="17" t="n"/>
      <c r="L126" s="16">
        <f>K126+C126</f>
        <v/>
      </c>
      <c r="M126" s="11" t="inlineStr">
        <is>
          <t>MT</t>
        </is>
      </c>
      <c r="N126" s="15" t="n"/>
      <c r="O126" s="14" t="n"/>
      <c r="P126" s="14" t="n"/>
      <c r="Q126" s="14" t="n"/>
      <c r="R126" s="14" t="n"/>
    </row>
    <row r="127">
      <c r="A127" s="14" t="inlineStr">
        <is>
          <t>FM2925</t>
        </is>
      </c>
      <c r="B127" s="14" t="n"/>
      <c r="C127" s="13" t="n">
        <v>45709</v>
      </c>
      <c r="D127" s="12" t="inlineStr">
        <is>
          <t>PO1957</t>
        </is>
      </c>
      <c r="E127" s="14" t="inlineStr">
        <is>
          <t xml:space="preserve">Hucra Fans </t>
        </is>
      </c>
      <c r="F127" s="14" t="inlineStr">
        <is>
          <t>CUB-355</t>
        </is>
      </c>
      <c r="G127" s="20" t="n">
        <v>1</v>
      </c>
      <c r="H127" s="19" t="n">
        <v>5518</v>
      </c>
      <c r="I127" s="18">
        <f>H127*G127</f>
        <v/>
      </c>
      <c r="J127" s="11" t="n"/>
      <c r="K127" s="17" t="n"/>
      <c r="L127" s="16">
        <f>K127+C127</f>
        <v/>
      </c>
      <c r="M127" s="11" t="inlineStr">
        <is>
          <t>ZX</t>
        </is>
      </c>
      <c r="N127" s="15" t="n"/>
      <c r="O127" s="14" t="n"/>
      <c r="P127" s="14" t="n"/>
      <c r="Q127" s="14" t="n"/>
      <c r="R127" s="14" t="n"/>
    </row>
    <row r="128">
      <c r="A128" s="14" t="inlineStr">
        <is>
          <t>FM2926</t>
        </is>
      </c>
      <c r="B128" s="14" t="n"/>
      <c r="C128" s="13" t="n">
        <v>45709</v>
      </c>
      <c r="D128" s="12" t="inlineStr">
        <is>
          <t>PO1959</t>
        </is>
      </c>
      <c r="E128" s="14" t="inlineStr">
        <is>
          <t xml:space="preserve">Hucra Fans </t>
        </is>
      </c>
      <c r="F128" s="14" t="inlineStr">
        <is>
          <t>Lineo 200</t>
        </is>
      </c>
      <c r="G128" s="20" t="n">
        <v>2</v>
      </c>
      <c r="H128" s="19" t="n">
        <v>3370</v>
      </c>
      <c r="I128" s="18">
        <f>H128*G128</f>
        <v/>
      </c>
      <c r="J128" s="11" t="n"/>
      <c r="K128" s="17" t="n"/>
      <c r="L128" s="16">
        <f>K128+C128</f>
        <v/>
      </c>
      <c r="M128" s="11" t="inlineStr">
        <is>
          <t>ZX</t>
        </is>
      </c>
      <c r="N128" s="15" t="n"/>
      <c r="O128" s="14" t="n"/>
      <c r="P128" s="14" t="n"/>
      <c r="Q128" s="14" t="n"/>
      <c r="R128" s="14" t="n"/>
    </row>
    <row r="129">
      <c r="A129" s="14" t="inlineStr">
        <is>
          <t>FM2927</t>
        </is>
      </c>
      <c r="B129" s="14" t="n"/>
      <c r="C129" s="13" t="n">
        <v>45709</v>
      </c>
      <c r="D129" s="12" t="inlineStr">
        <is>
          <t>PO1960</t>
        </is>
      </c>
      <c r="E129" s="14" t="inlineStr">
        <is>
          <t xml:space="preserve">Hucra Fans </t>
        </is>
      </c>
      <c r="F129" s="14" t="inlineStr">
        <is>
          <t>CPV-1020-4T</t>
        </is>
      </c>
      <c r="G129" s="20" t="n">
        <v>1</v>
      </c>
      <c r="H129" s="19" t="n">
        <v>19517</v>
      </c>
      <c r="I129" s="18">
        <f>H129*G129</f>
        <v/>
      </c>
      <c r="J129" s="11" t="n"/>
      <c r="K129" s="17" t="n"/>
      <c r="L129" s="16">
        <f>K129+C129</f>
        <v/>
      </c>
      <c r="M129" s="11" t="inlineStr">
        <is>
          <t>ZX</t>
        </is>
      </c>
      <c r="N129" s="15" t="n"/>
      <c r="O129" s="14" t="n"/>
      <c r="P129" s="14" t="n"/>
      <c r="Q129" s="14" t="n"/>
      <c r="R129" s="14" t="n"/>
    </row>
    <row r="130">
      <c r="A130" s="14" t="inlineStr">
        <is>
          <t>FM2928</t>
        </is>
      </c>
      <c r="B130" s="14" t="n"/>
      <c r="C130" s="13" t="n">
        <v>45712</v>
      </c>
      <c r="D130" s="12" t="inlineStr">
        <is>
          <t>PO223501</t>
        </is>
      </c>
      <c r="E130" s="14" t="inlineStr">
        <is>
          <t>Minelog</t>
        </is>
      </c>
      <c r="F130" s="14" t="inlineStr">
        <is>
          <t>2 315 Majax2 0.55kw 4p 380v</t>
        </is>
      </c>
      <c r="G130" s="20" t="n">
        <v>2</v>
      </c>
      <c r="H130" s="19" t="n">
        <v>21538</v>
      </c>
      <c r="I130" s="18" t="n">
        <v>21538</v>
      </c>
      <c r="J130" s="11" t="n"/>
      <c r="K130" s="17" t="n"/>
      <c r="L130" s="16">
        <f>K130+C130</f>
        <v/>
      </c>
      <c r="M130" s="11" t="inlineStr">
        <is>
          <t>MT</t>
        </is>
      </c>
      <c r="N130" s="15" t="n"/>
      <c r="O130" s="14" t="n"/>
      <c r="P130" s="14" t="n"/>
      <c r="Q130" s="14" t="n"/>
      <c r="R130" s="14" t="n"/>
    </row>
    <row r="131">
      <c r="A131" s="14" t="inlineStr">
        <is>
          <t>FM2929</t>
        </is>
      </c>
      <c r="B131" s="14" t="n"/>
      <c r="C131" s="13" t="n">
        <v>45712</v>
      </c>
      <c r="D131" s="12" t="n">
        <v>13523</v>
      </c>
      <c r="E131" s="14" t="inlineStr">
        <is>
          <t>Arta Masjinerie</t>
        </is>
      </c>
      <c r="F131" s="14" t="inlineStr">
        <is>
          <t xml:space="preserve"> Majax 800.20.D.8 c/w 3 kW 4P 380V</t>
        </is>
      </c>
      <c r="G131" s="20" t="n">
        <v>1</v>
      </c>
      <c r="H131" s="19" t="n">
        <v>12742</v>
      </c>
      <c r="I131" s="18">
        <f>H131*G131</f>
        <v/>
      </c>
      <c r="J131" s="11" t="n"/>
      <c r="K131" s="17" t="n"/>
      <c r="L131" s="16">
        <f>K131+C131</f>
        <v/>
      </c>
      <c r="M131" s="11" t="inlineStr">
        <is>
          <t>SM</t>
        </is>
      </c>
      <c r="N131" s="15" t="n"/>
      <c r="O131" s="14" t="n"/>
      <c r="P131" s="14" t="n"/>
      <c r="Q131" s="14" t="n"/>
      <c r="R131" s="14" t="n"/>
    </row>
    <row r="132">
      <c r="A132" s="14" t="inlineStr">
        <is>
          <t>FM2930</t>
        </is>
      </c>
      <c r="B132" s="14" t="n"/>
      <c r="C132" s="13" t="n">
        <v>45712</v>
      </c>
      <c r="D132" s="12" t="inlineStr">
        <is>
          <t>POOSG105432</t>
        </is>
      </c>
      <c r="E132" s="14" t="inlineStr">
        <is>
          <t>On site Gas System International</t>
        </is>
      </c>
      <c r="F132" s="14" t="inlineStr">
        <is>
          <t>Box Fans</t>
        </is>
      </c>
      <c r="G132" s="20" t="n">
        <v>1</v>
      </c>
      <c r="H132" s="19" t="n">
        <v>12042</v>
      </c>
      <c r="I132" s="18">
        <f>H132*G132</f>
        <v/>
      </c>
      <c r="J132" s="11" t="n"/>
      <c r="K132" s="17" t="n"/>
      <c r="L132" s="16">
        <f>K132+C132</f>
        <v/>
      </c>
      <c r="M132" s="11" t="inlineStr">
        <is>
          <t>SM</t>
        </is>
      </c>
      <c r="N132" s="15" t="n"/>
      <c r="O132" s="14" t="n"/>
      <c r="P132" s="14" t="n"/>
      <c r="Q132" s="14" t="n"/>
      <c r="R132" s="14" t="n"/>
    </row>
    <row r="133">
      <c r="A133" s="14" t="inlineStr">
        <is>
          <t>FM2931</t>
        </is>
      </c>
      <c r="B133" s="14" t="n"/>
      <c r="C133" s="13" t="n">
        <v>45712</v>
      </c>
      <c r="D133" s="12" t="inlineStr">
        <is>
          <t>POOSG105432</t>
        </is>
      </c>
      <c r="E133" s="14" t="inlineStr">
        <is>
          <t>On site Gas System International</t>
        </is>
      </c>
      <c r="F133" s="14" t="inlineStr">
        <is>
          <t>Maxflo 560/250/14 c/w 0.75kW 4P + Accessories</t>
        </is>
      </c>
      <c r="G133" s="20" t="n">
        <v>1</v>
      </c>
      <c r="H133" s="19">
        <f>8983.33+(3787*2)+(2*441)+(4*319)</f>
        <v/>
      </c>
      <c r="I133" s="18">
        <f>H133*G133</f>
        <v/>
      </c>
      <c r="J133" s="11" t="n"/>
      <c r="K133" s="17" t="n"/>
      <c r="L133" s="16">
        <f>K133+C133</f>
        <v/>
      </c>
      <c r="M133" s="11" t="inlineStr">
        <is>
          <t>SM</t>
        </is>
      </c>
      <c r="N133" s="15" t="n"/>
      <c r="O133" s="14" t="n"/>
      <c r="P133" s="14" t="n"/>
      <c r="Q133" s="14" t="n"/>
      <c r="R133" s="14" t="n"/>
    </row>
    <row r="134">
      <c r="A134" s="14" t="inlineStr">
        <is>
          <t>FM2932</t>
        </is>
      </c>
      <c r="B134" s="14" t="n"/>
      <c r="C134" s="13" t="n">
        <v>45712</v>
      </c>
      <c r="D134" s="12" t="inlineStr">
        <is>
          <t>POOSG105432</t>
        </is>
      </c>
      <c r="E134" s="14" t="inlineStr">
        <is>
          <t>On site Gas System International</t>
        </is>
      </c>
      <c r="F134" s="14" t="inlineStr">
        <is>
          <t>Maxflo 560/250/14 c/w 0.75kW 4P + Accessories</t>
        </is>
      </c>
      <c r="G134" s="20" t="n">
        <v>1</v>
      </c>
      <c r="H134" s="19">
        <f>(3*8983.33)+(3787*6)+(6*441)+(12*319)</f>
        <v/>
      </c>
      <c r="I134" s="18">
        <f>H134*G134</f>
        <v/>
      </c>
      <c r="J134" s="11" t="n"/>
      <c r="K134" s="17" t="n"/>
      <c r="L134" s="16">
        <f>K134+C134</f>
        <v/>
      </c>
      <c r="M134" s="11" t="inlineStr">
        <is>
          <t>SM</t>
        </is>
      </c>
      <c r="N134" s="15" t="n"/>
      <c r="O134" s="14" t="n"/>
      <c r="P134" s="14" t="n"/>
      <c r="Q134" s="14" t="n"/>
      <c r="R134" s="14" t="n"/>
    </row>
    <row r="135">
      <c r="A135" s="14" t="inlineStr">
        <is>
          <t>FM2933</t>
        </is>
      </c>
      <c r="B135" s="14" t="n"/>
      <c r="C135" s="13" t="n">
        <v>45713</v>
      </c>
      <c r="D135" s="12" t="inlineStr">
        <is>
          <t>PO6153</t>
        </is>
      </c>
      <c r="E135" s="14" t="inlineStr">
        <is>
          <t>Bircraft Geared Motors-Linear Actuators</t>
        </is>
      </c>
      <c r="F135" s="14" t="inlineStr">
        <is>
          <t>CMP 616-2T</t>
        </is>
      </c>
      <c r="G135" s="20" t="n">
        <v>1</v>
      </c>
      <c r="H135" s="19" t="n">
        <v>8466.24</v>
      </c>
      <c r="I135" s="18">
        <f>H135*G135</f>
        <v/>
      </c>
      <c r="J135" s="11" t="n"/>
      <c r="K135" s="17" t="n"/>
      <c r="L135" s="16">
        <f>K135+C135</f>
        <v/>
      </c>
      <c r="M135" s="11" t="inlineStr">
        <is>
          <t>SM</t>
        </is>
      </c>
      <c r="N135" s="15" t="n"/>
      <c r="O135" s="14" t="n"/>
      <c r="P135" s="14" t="n"/>
      <c r="Q135" s="14" t="n"/>
      <c r="R135" s="14" t="n"/>
    </row>
    <row r="136">
      <c r="A136" s="14" t="inlineStr">
        <is>
          <t>FM2934</t>
        </is>
      </c>
      <c r="B136" s="14" t="n"/>
      <c r="C136" s="13" t="n">
        <v>45713</v>
      </c>
      <c r="D136" s="12" t="inlineStr">
        <is>
          <t>A1213 - FRED SUITE 2</t>
        </is>
      </c>
      <c r="E136" s="14" t="inlineStr">
        <is>
          <t xml:space="preserve">Industrial Thermodynamics </t>
        </is>
      </c>
      <c r="F136" s="14" t="inlineStr">
        <is>
          <t>CAM 545 2T 4 c/w 3.0kw 2P 400V - Handing LG 90</t>
        </is>
      </c>
      <c r="G136" s="20" t="n">
        <v>1</v>
      </c>
      <c r="H136" s="19" t="n">
        <v>39149.48</v>
      </c>
      <c r="I136" s="18">
        <f>H136*G136</f>
        <v/>
      </c>
      <c r="J136" s="11" t="n"/>
      <c r="K136" s="17" t="n"/>
      <c r="L136" s="16">
        <f>K136+C136</f>
        <v/>
      </c>
      <c r="M136" s="11" t="inlineStr">
        <is>
          <t>MT</t>
        </is>
      </c>
      <c r="N136" s="15" t="n"/>
      <c r="O136" s="14" t="n"/>
      <c r="P136" s="14" t="n"/>
      <c r="Q136" s="14" t="n"/>
      <c r="R136" s="14" t="n"/>
    </row>
    <row r="137">
      <c r="A137" s="14" t="inlineStr">
        <is>
          <t>FM2935</t>
        </is>
      </c>
      <c r="B137" s="14" t="n"/>
      <c r="C137" s="13" t="n">
        <v>45713</v>
      </c>
      <c r="D137" s="12" t="inlineStr">
        <is>
          <t>1898C/1002</t>
        </is>
      </c>
      <c r="E137" s="14" t="inlineStr">
        <is>
          <t>Enviroware Construction</t>
        </is>
      </c>
      <c r="F137" s="14" t="inlineStr">
        <is>
          <t>RAD 315*2 + RAD 250*1</t>
        </is>
      </c>
      <c r="G137" s="20" t="n">
        <v>1</v>
      </c>
      <c r="H137" s="19" t="n">
        <v>8410</v>
      </c>
      <c r="I137" s="18">
        <f>H137*G137</f>
        <v/>
      </c>
      <c r="J137" s="11" t="n"/>
      <c r="K137" s="17" t="n"/>
      <c r="L137" s="16">
        <f>K137+C137</f>
        <v/>
      </c>
      <c r="M137" s="11" t="n"/>
      <c r="N137" s="15" t="n"/>
      <c r="O137" s="14" t="n"/>
      <c r="P137" s="14" t="n"/>
      <c r="Q137" s="14" t="n"/>
      <c r="R137" s="14" t="n"/>
    </row>
    <row r="138">
      <c r="A138" s="14" t="inlineStr">
        <is>
          <t>FM2936</t>
        </is>
      </c>
      <c r="B138" s="14" t="n"/>
      <c r="C138" s="13" t="n">
        <v>45714</v>
      </c>
      <c r="D138" s="12" t="inlineStr">
        <is>
          <t>PO-000005602</t>
        </is>
      </c>
      <c r="E138" s="14" t="inlineStr">
        <is>
          <t>Cape Fans</t>
        </is>
      </c>
      <c r="F138" s="14" t="inlineStr">
        <is>
          <t>CMP-512-2T</t>
        </is>
      </c>
      <c r="G138" s="20" t="n">
        <v>2</v>
      </c>
      <c r="H138" s="19" t="n">
        <v>4125</v>
      </c>
      <c r="I138" s="18">
        <f>H138*G138</f>
        <v/>
      </c>
      <c r="J138" s="11" t="n"/>
      <c r="K138" s="17" t="n"/>
      <c r="L138" s="16">
        <f>K138+C138</f>
        <v/>
      </c>
      <c r="M138" s="11" t="inlineStr">
        <is>
          <t>ST</t>
        </is>
      </c>
      <c r="N138" s="15" t="n"/>
      <c r="O138" s="14" t="n"/>
      <c r="P138" s="14" t="n"/>
      <c r="Q138" s="14" t="n"/>
      <c r="R138" s="14" t="n"/>
    </row>
    <row r="139">
      <c r="A139" s="14" t="inlineStr">
        <is>
          <t>FM2937</t>
        </is>
      </c>
      <c r="B139" s="14" t="n"/>
      <c r="C139" s="13" t="n">
        <v>45714</v>
      </c>
      <c r="D139" s="12" t="inlineStr">
        <is>
          <t>PO.3347</t>
        </is>
      </c>
      <c r="E139" s="14" t="inlineStr">
        <is>
          <t>Af Fans</t>
        </is>
      </c>
      <c r="F139" s="14" t="inlineStr">
        <is>
          <t>Tiracamino 220V Fan</t>
        </is>
      </c>
      <c r="G139" s="20" t="n">
        <v>1</v>
      </c>
      <c r="H139" s="19" t="n">
        <v>11310</v>
      </c>
      <c r="I139" s="18">
        <f>H139*G139</f>
        <v/>
      </c>
      <c r="J139" s="11" t="n"/>
      <c r="K139" s="17" t="n"/>
      <c r="L139" s="16">
        <f>K139+C139</f>
        <v/>
      </c>
      <c r="M139" s="11" t="inlineStr">
        <is>
          <t>SM</t>
        </is>
      </c>
      <c r="N139" s="15" t="n"/>
      <c r="O139" s="14" t="n"/>
      <c r="P139" s="14" t="n"/>
      <c r="Q139" s="14" t="n"/>
      <c r="R139" s="14" t="n"/>
    </row>
    <row r="140" ht="16.35" customHeight="1">
      <c r="A140" s="14" t="inlineStr">
        <is>
          <t>FM2938</t>
        </is>
      </c>
      <c r="B140" s="14" t="n"/>
      <c r="C140" s="13" t="n">
        <v>45715</v>
      </c>
      <c r="D140" s="48" t="n">
        <v>60238</v>
      </c>
      <c r="E140" s="14" t="inlineStr">
        <is>
          <t>Chabo &amp; Joubert</t>
        </is>
      </c>
      <c r="F140" s="14" t="inlineStr">
        <is>
          <t>Majax 2 630 c/w 0.75kW 4Pole</t>
        </is>
      </c>
      <c r="G140" s="20" t="n">
        <v>1</v>
      </c>
      <c r="H140" s="19" t="n">
        <v>23457.31</v>
      </c>
      <c r="I140" s="18">
        <f>H140*G140</f>
        <v/>
      </c>
      <c r="J140" s="11" t="n"/>
      <c r="K140" s="17" t="n"/>
      <c r="L140" s="16">
        <f>K140+C140</f>
        <v/>
      </c>
      <c r="M140" s="11" t="inlineStr">
        <is>
          <t>ST</t>
        </is>
      </c>
      <c r="N140" s="15" t="n"/>
      <c r="O140" s="14" t="n"/>
      <c r="P140" s="14" t="n"/>
      <c r="Q140" s="14" t="n"/>
      <c r="R140" s="14" t="n"/>
    </row>
    <row r="141">
      <c r="A141" s="14" t="inlineStr">
        <is>
          <t>FM2939</t>
        </is>
      </c>
      <c r="B141" s="14" t="n"/>
      <c r="C141" s="13" t="n">
        <v>45716</v>
      </c>
      <c r="D141" s="14" t="inlineStr">
        <is>
          <t>Base Supply Trading</t>
        </is>
      </c>
      <c r="E141" s="14" t="inlineStr">
        <is>
          <t>FAN001</t>
        </is>
      </c>
      <c r="F141" s="14" t="inlineStr">
        <is>
          <t>Majax 2 800 c/w 3kW 4Pole</t>
        </is>
      </c>
      <c r="G141" s="20" t="n">
        <v>5</v>
      </c>
      <c r="H141" s="19" t="n">
        <v>16823</v>
      </c>
      <c r="I141" s="18">
        <f>H141*G141</f>
        <v/>
      </c>
      <c r="J141" s="11" t="n"/>
      <c r="K141" s="17" t="n"/>
      <c r="L141" s="16">
        <f>K141+C141</f>
        <v/>
      </c>
      <c r="M141" s="11" t="inlineStr">
        <is>
          <t>ST</t>
        </is>
      </c>
      <c r="N141" s="15" t="n"/>
      <c r="O141" s="14" t="n"/>
      <c r="P141" s="14" t="n"/>
      <c r="Q141" s="14" t="n"/>
      <c r="R141" s="14" t="n"/>
    </row>
    <row r="142">
      <c r="A142" s="14" t="inlineStr">
        <is>
          <t>FM2940</t>
        </is>
      </c>
      <c r="B142" s="14" t="n"/>
      <c r="C142" s="13" t="n">
        <v>45716</v>
      </c>
      <c r="D142" s="12" t="inlineStr">
        <is>
          <t>Cash Sale</t>
        </is>
      </c>
      <c r="E142" s="14" t="inlineStr">
        <is>
          <t>Q-TIQUE 28</t>
        </is>
      </c>
      <c r="F142" s="14" t="inlineStr">
        <is>
          <t>Majax 2 315 c/w 0.55kW 2Pole</t>
        </is>
      </c>
      <c r="G142" s="20" t="n">
        <v>1</v>
      </c>
      <c r="H142" s="19" t="n">
        <v>5697</v>
      </c>
      <c r="I142" s="18">
        <f>H142*G142</f>
        <v/>
      </c>
      <c r="J142" s="11" t="n"/>
      <c r="K142" s="17" t="n"/>
      <c r="L142" s="16">
        <f>K142+C142</f>
        <v/>
      </c>
      <c r="M142" s="11" t="inlineStr">
        <is>
          <t>SM</t>
        </is>
      </c>
      <c r="N142" s="15" t="n"/>
      <c r="O142" s="14" t="n"/>
      <c r="P142" s="14" t="n"/>
      <c r="Q142" s="14" t="n"/>
      <c r="R142" s="14" t="n"/>
    </row>
    <row r="143">
      <c r="A143" s="14" t="inlineStr">
        <is>
          <t>FM2941</t>
        </is>
      </c>
      <c r="B143" s="14" t="n"/>
      <c r="C143" s="13" t="n">
        <v>45716</v>
      </c>
      <c r="D143" s="12" t="inlineStr">
        <is>
          <t>PO-009921</t>
        </is>
      </c>
      <c r="E143" s="14" t="inlineStr">
        <is>
          <t>Kenred</t>
        </is>
      </c>
      <c r="F143" s="14" t="inlineStr">
        <is>
          <t>LCF56</t>
        </is>
      </c>
      <c r="G143" s="20" t="n">
        <v>1</v>
      </c>
      <c r="H143" s="19" t="n">
        <v>1043</v>
      </c>
      <c r="I143" s="18">
        <f>H143*G143</f>
        <v/>
      </c>
      <c r="J143" s="11" t="n"/>
      <c r="K143" s="17" t="n"/>
      <c r="L143" s="16">
        <f>K143+C143</f>
        <v/>
      </c>
      <c r="M143" s="11" t="inlineStr">
        <is>
          <t>MT</t>
        </is>
      </c>
      <c r="N143" s="15" t="n"/>
      <c r="O143" s="14" t="n"/>
      <c r="P143" s="14" t="n"/>
      <c r="Q143" s="14" t="n"/>
      <c r="R143" s="14" t="n"/>
    </row>
    <row r="144">
      <c r="A144" s="14" t="inlineStr">
        <is>
          <t>FM2942</t>
        </is>
      </c>
      <c r="B144" s="14" t="n"/>
      <c r="C144" s="13" t="n">
        <v>45716</v>
      </c>
      <c r="D144" s="12" t="inlineStr">
        <is>
          <t>PO132561</t>
        </is>
      </c>
      <c r="E144" s="14" t="inlineStr">
        <is>
          <t>Africa Trading</t>
        </is>
      </c>
      <c r="F144" s="14" t="inlineStr">
        <is>
          <t>VKMK150</t>
        </is>
      </c>
      <c r="G144" s="20" t="n">
        <v>1</v>
      </c>
      <c r="H144" s="19" t="n">
        <v>4745</v>
      </c>
      <c r="I144" s="18">
        <f>H144*G144</f>
        <v/>
      </c>
      <c r="J144" s="11" t="n"/>
      <c r="K144" s="17" t="n"/>
      <c r="L144" s="16">
        <f>K144+C144</f>
        <v/>
      </c>
      <c r="M144" s="11" t="inlineStr">
        <is>
          <t>MT</t>
        </is>
      </c>
      <c r="N144" s="15" t="n"/>
      <c r="O144" s="14" t="n"/>
      <c r="P144" s="14" t="n"/>
      <c r="Q144" s="14" t="n"/>
      <c r="R144" s="14" t="n"/>
    </row>
    <row r="145">
      <c r="A145" s="14" t="inlineStr">
        <is>
          <t>FM2943</t>
        </is>
      </c>
      <c r="B145" s="14" t="n"/>
      <c r="C145" s="13" t="n">
        <v>45716</v>
      </c>
      <c r="D145" s="12" t="n"/>
      <c r="E145" s="14" t="inlineStr">
        <is>
          <t>New Life Embassy</t>
        </is>
      </c>
      <c r="F145" s="14" t="inlineStr">
        <is>
          <t>RAD200 + KSB250</t>
        </is>
      </c>
      <c r="G145" s="20" t="n">
        <v>2</v>
      </c>
      <c r="H145" s="19" t="n">
        <v>2789.5</v>
      </c>
      <c r="I145" s="18">
        <f>H145*G145</f>
        <v/>
      </c>
      <c r="J145" s="11" t="n"/>
      <c r="K145" s="17" t="n"/>
      <c r="L145" s="16">
        <f>K145+C145</f>
        <v/>
      </c>
      <c r="M145" s="11" t="inlineStr">
        <is>
          <t>SM</t>
        </is>
      </c>
      <c r="N145" s="15" t="n"/>
      <c r="O145" s="14" t="n"/>
      <c r="P145" s="14" t="n"/>
      <c r="Q145" s="14" t="n"/>
      <c r="R145" s="14" t="n"/>
    </row>
    <row r="146">
      <c r="A146" s="14" t="inlineStr">
        <is>
          <t>FM2944</t>
        </is>
      </c>
      <c r="B146" s="14" t="n"/>
      <c r="C146" s="13" t="n">
        <v>45716</v>
      </c>
      <c r="D146" s="12" t="inlineStr">
        <is>
          <t>PO1964</t>
        </is>
      </c>
      <c r="E146" s="14" t="inlineStr">
        <is>
          <t xml:space="preserve">Hucra Fans </t>
        </is>
      </c>
      <c r="F146" s="14" t="inlineStr">
        <is>
          <t>Lineo 100 VO T</t>
        </is>
      </c>
      <c r="G146" s="20" t="n">
        <v>4</v>
      </c>
      <c r="H146" s="19" t="n">
        <v>2130</v>
      </c>
      <c r="I146" s="18">
        <f>H146*G146</f>
        <v/>
      </c>
      <c r="J146" s="11" t="n"/>
      <c r="K146" s="17" t="n"/>
      <c r="L146" s="16">
        <f>K146+C146</f>
        <v/>
      </c>
      <c r="M146" s="11" t="inlineStr">
        <is>
          <t>ZX</t>
        </is>
      </c>
      <c r="N146" s="15" t="n"/>
      <c r="O146" s="14" t="n"/>
      <c r="P146" s="14" t="n"/>
      <c r="Q146" s="14" t="n"/>
      <c r="R146" s="14" t="n"/>
    </row>
    <row r="147">
      <c r="A147" s="14" t="inlineStr">
        <is>
          <t>FM2945</t>
        </is>
      </c>
      <c r="B147" s="14" t="n"/>
      <c r="C147" s="13" t="n">
        <v>45716</v>
      </c>
      <c r="D147" s="12" t="inlineStr">
        <is>
          <t>PO0000131</t>
        </is>
      </c>
      <c r="E147" s="14" t="inlineStr">
        <is>
          <t>HVAC PARTNERS PTY LTD</t>
        </is>
      </c>
      <c r="F147" s="14" t="inlineStr">
        <is>
          <t>Majax 2 315 c/w 0.37kW 2Pole</t>
        </is>
      </c>
      <c r="G147" s="20" t="n">
        <v>1</v>
      </c>
      <c r="H147" s="19">
        <f>5857.6+424+500+560</f>
        <v/>
      </c>
      <c r="I147" s="18">
        <f>H147*G147</f>
        <v/>
      </c>
      <c r="J147" s="11" t="n"/>
      <c r="K147" s="17" t="n"/>
      <c r="L147" s="16">
        <f>K147+C147</f>
        <v/>
      </c>
      <c r="M147" s="11" t="inlineStr">
        <is>
          <t>SM</t>
        </is>
      </c>
      <c r="N147" s="15" t="n"/>
      <c r="O147" s="14" t="n"/>
      <c r="P147" s="14" t="n"/>
      <c r="Q147" s="14" t="n"/>
      <c r="R147" s="14" t="n"/>
    </row>
    <row r="148">
      <c r="A148" s="14" t="inlineStr">
        <is>
          <t>FM2946</t>
        </is>
      </c>
      <c r="B148" s="14" t="n"/>
      <c r="C148" s="13" t="n">
        <v>45716</v>
      </c>
      <c r="D148" s="12" t="inlineStr">
        <is>
          <t>PO0000131</t>
        </is>
      </c>
      <c r="E148" s="14" t="inlineStr">
        <is>
          <t>HVAC PARTNERS PTY LTD</t>
        </is>
      </c>
      <c r="F148" s="14" t="inlineStr">
        <is>
          <t>Majax 2 560 c/w 0.37kW 4Pole</t>
        </is>
      </c>
      <c r="G148" s="20" t="n">
        <v>1</v>
      </c>
      <c r="H148" s="19">
        <f>7414+326+1036+560</f>
        <v/>
      </c>
      <c r="I148" s="18">
        <f>H148*G148</f>
        <v/>
      </c>
      <c r="J148" s="11" t="n"/>
      <c r="K148" s="17" t="n"/>
      <c r="L148" s="16">
        <f>K148+C148</f>
        <v/>
      </c>
      <c r="M148" s="11" t="inlineStr">
        <is>
          <t>SM</t>
        </is>
      </c>
      <c r="N148" s="15" t="n"/>
      <c r="O148" s="14" t="n"/>
      <c r="P148" s="14" t="n"/>
      <c r="Q148" s="14" t="n"/>
      <c r="R148" s="14" t="n"/>
    </row>
    <row r="149">
      <c r="A149" s="14" t="inlineStr">
        <is>
          <t>FM2947</t>
        </is>
      </c>
      <c r="B149" s="14" t="n"/>
      <c r="C149" s="13" t="n">
        <v>45719</v>
      </c>
      <c r="D149" s="12" t="inlineStr">
        <is>
          <t>PO11862</t>
        </is>
      </c>
      <c r="E149" s="14" t="inlineStr">
        <is>
          <t>G.O. Plastics</t>
        </is>
      </c>
      <c r="F149" s="14" t="inlineStr">
        <is>
          <t>CMP 514 2T</t>
        </is>
      </c>
      <c r="G149" s="20" t="n">
        <v>4</v>
      </c>
      <c r="H149" s="19" t="n">
        <v>24808</v>
      </c>
      <c r="I149" s="18" t="n">
        <v>24808</v>
      </c>
      <c r="J149" s="11" t="n"/>
      <c r="K149" s="17" t="n"/>
      <c r="L149" s="16">
        <f>K149+C149</f>
        <v/>
      </c>
      <c r="M149" s="11" t="inlineStr">
        <is>
          <t>MT</t>
        </is>
      </c>
      <c r="N149" s="15" t="n"/>
      <c r="O149" s="14" t="n"/>
      <c r="P149" s="14" t="n"/>
      <c r="Q149" s="14" t="n"/>
      <c r="R149" s="14" t="n"/>
    </row>
    <row r="150">
      <c r="A150" s="14" t="inlineStr">
        <is>
          <t>FM2948</t>
        </is>
      </c>
      <c r="B150" s="14" t="n"/>
      <c r="C150" s="13" t="n">
        <v>45719</v>
      </c>
      <c r="D150" s="12" t="inlineStr">
        <is>
          <t>PO0000134</t>
        </is>
      </c>
      <c r="E150" s="14" t="inlineStr">
        <is>
          <t>HVAC PARTNERS PTY LTD</t>
        </is>
      </c>
      <c r="F150" s="14" t="inlineStr">
        <is>
          <t>Fumax 630.20.D.4 c/w 1.1 kW 4 Pole 380V</t>
        </is>
      </c>
      <c r="G150" s="20" t="n">
        <v>1</v>
      </c>
      <c r="H150" s="19" t="n"/>
      <c r="I150" s="18">
        <f>H150*G150</f>
        <v/>
      </c>
      <c r="J150" s="11" t="n"/>
      <c r="K150" s="17" t="n"/>
      <c r="L150" s="16">
        <f>K150+C150</f>
        <v/>
      </c>
      <c r="M150" s="11" t="n"/>
      <c r="N150" s="15" t="n"/>
      <c r="O150" s="14" t="n"/>
      <c r="P150" s="14" t="n"/>
      <c r="Q150" s="14" t="n"/>
      <c r="R150" s="14" t="n"/>
    </row>
    <row r="151">
      <c r="A151" s="14" t="inlineStr">
        <is>
          <t>FM2949</t>
        </is>
      </c>
      <c r="B151" s="14" t="n"/>
      <c r="C151" s="13" t="n">
        <v>45719</v>
      </c>
      <c r="D151" s="12" t="inlineStr">
        <is>
          <t>PO0000134</t>
        </is>
      </c>
      <c r="E151" s="14" t="inlineStr">
        <is>
          <t>HVAC PARTNERS PTY LTD</t>
        </is>
      </c>
      <c r="F151" s="14" t="inlineStr">
        <is>
          <t>Fumax 900.20.E.4 c/w 4 kW 4 Pole 380V</t>
        </is>
      </c>
      <c r="G151" s="20" t="n">
        <v>1</v>
      </c>
      <c r="H151" s="19" t="n"/>
      <c r="I151" s="18">
        <f>H151*G151</f>
        <v/>
      </c>
      <c r="J151" s="11" t="n"/>
      <c r="K151" s="17" t="n"/>
      <c r="L151" s="16">
        <f>K151+C151</f>
        <v/>
      </c>
      <c r="M151" s="11" t="n"/>
      <c r="N151" s="15" t="n"/>
      <c r="O151" s="14" t="n"/>
      <c r="P151" s="14" t="n"/>
      <c r="Q151" s="14" t="n"/>
      <c r="R151" s="14" t="n"/>
    </row>
    <row r="152">
      <c r="A152" s="14" t="inlineStr">
        <is>
          <t>FM2950</t>
        </is>
      </c>
      <c r="B152" s="14" t="n"/>
      <c r="C152" s="13" t="n">
        <v>45719</v>
      </c>
      <c r="D152" s="12" t="inlineStr">
        <is>
          <t>PO0000134</t>
        </is>
      </c>
      <c r="E152" s="14" t="inlineStr">
        <is>
          <t>HVAC PARTNERS PTY LTD</t>
        </is>
      </c>
      <c r="F152" s="14" t="inlineStr">
        <is>
          <t>Fumax 630.20.D.4 c/w 1.1 kW 4 Pole 380V</t>
        </is>
      </c>
      <c r="G152" s="20" t="n">
        <v>1</v>
      </c>
      <c r="H152" s="19" t="n"/>
      <c r="I152" s="18">
        <f>H152*G152</f>
        <v/>
      </c>
      <c r="J152" s="11" t="n"/>
      <c r="K152" s="17" t="n"/>
      <c r="L152" s="16">
        <f>K152+C152</f>
        <v/>
      </c>
      <c r="M152" s="11" t="n"/>
      <c r="N152" s="15" t="n"/>
      <c r="O152" s="14" t="n"/>
      <c r="P152" s="14" t="n"/>
      <c r="Q152" s="14" t="n"/>
      <c r="R152" s="14" t="n"/>
    </row>
    <row r="153">
      <c r="A153" s="14" t="inlineStr">
        <is>
          <t>FM2951</t>
        </is>
      </c>
      <c r="B153" s="14" t="n"/>
      <c r="C153" s="13" t="n">
        <v>45719</v>
      </c>
      <c r="D153" s="12" t="inlineStr">
        <is>
          <t>PO0000134</t>
        </is>
      </c>
      <c r="E153" s="14" t="inlineStr">
        <is>
          <t>HVAC PARTNERS PTY LTD</t>
        </is>
      </c>
      <c r="F153" s="14" t="inlineStr">
        <is>
          <t>Fumax 710.20.D.4 c/w 4 kW 4 Pole 380V</t>
        </is>
      </c>
      <c r="G153" s="20" t="n">
        <v>1</v>
      </c>
      <c r="H153" s="19" t="n"/>
      <c r="I153" s="18">
        <f>H153*G153</f>
        <v/>
      </c>
      <c r="J153" s="11" t="n"/>
      <c r="K153" s="17" t="n"/>
      <c r="L153" s="16">
        <f>K153+C153</f>
        <v/>
      </c>
      <c r="M153" s="11" t="n"/>
      <c r="N153" s="15" t="n"/>
      <c r="O153" s="14" t="n"/>
      <c r="P153" s="14" t="n"/>
      <c r="Q153" s="14" t="n"/>
      <c r="R153" s="14" t="n"/>
    </row>
    <row r="154">
      <c r="A154" s="14" t="inlineStr">
        <is>
          <t>FM2952</t>
        </is>
      </c>
      <c r="B154" s="14" t="n"/>
      <c r="C154" s="13" t="n">
        <v>45719</v>
      </c>
      <c r="D154" s="12" t="inlineStr">
        <is>
          <t>PO0000134</t>
        </is>
      </c>
      <c r="E154" s="14" t="inlineStr">
        <is>
          <t>HVAC PARTNERS PTY LTD</t>
        </is>
      </c>
      <c r="F154" s="14" t="inlineStr">
        <is>
          <t>Fumax 630.20.D.4 c/w 1.1 kW 4 Pole 380V</t>
        </is>
      </c>
      <c r="G154" s="20" t="n">
        <v>1</v>
      </c>
      <c r="H154" s="19" t="n"/>
      <c r="I154" s="18">
        <f>H154*G154</f>
        <v/>
      </c>
      <c r="J154" s="11" t="n"/>
      <c r="K154" s="17" t="n"/>
      <c r="L154" s="16">
        <f>K154+C154</f>
        <v/>
      </c>
      <c r="M154" s="11" t="n"/>
      <c r="N154" s="15" t="n"/>
      <c r="O154" s="14" t="n"/>
      <c r="P154" s="14" t="n"/>
      <c r="Q154" s="14" t="n"/>
      <c r="R154" s="14" t="n"/>
    </row>
    <row r="155">
      <c r="A155" s="14" t="inlineStr">
        <is>
          <t>FM2953</t>
        </is>
      </c>
      <c r="B155" s="14" t="n"/>
      <c r="C155" s="13" t="n">
        <v>45719</v>
      </c>
      <c r="D155" s="12" t="inlineStr">
        <is>
          <t>PO0000134</t>
        </is>
      </c>
      <c r="E155" s="14" t="inlineStr">
        <is>
          <t>HVAC PARTNERS PTY LTD</t>
        </is>
      </c>
      <c r="F155" s="14" t="inlineStr">
        <is>
          <t>Majax-3 560.20.D.4 c/w 0.37 kW 4 Pole 380V</t>
        </is>
      </c>
      <c r="G155" s="20" t="n">
        <v>1</v>
      </c>
      <c r="H155" s="19" t="n"/>
      <c r="I155" s="18">
        <f>H155*G155</f>
        <v/>
      </c>
      <c r="J155" s="11" t="n"/>
      <c r="K155" s="17" t="n"/>
      <c r="L155" s="16">
        <f>K155+C155</f>
        <v/>
      </c>
      <c r="M155" s="11" t="n"/>
      <c r="N155" s="15" t="n"/>
      <c r="O155" s="14" t="n"/>
      <c r="P155" s="14" t="n"/>
      <c r="Q155" s="14" t="n"/>
      <c r="R155" s="14" t="n"/>
    </row>
    <row r="156">
      <c r="A156" s="14" t="inlineStr">
        <is>
          <t>FM2954</t>
        </is>
      </c>
      <c r="B156" s="14" t="n"/>
      <c r="C156" s="13" t="n">
        <v>45719</v>
      </c>
      <c r="D156" s="12" t="inlineStr">
        <is>
          <t>PO0000134</t>
        </is>
      </c>
      <c r="E156" s="14" t="inlineStr">
        <is>
          <t>HVAC PARTNERS PTY LTD</t>
        </is>
      </c>
      <c r="F156" s="14" t="inlineStr">
        <is>
          <t>Maxflo 400/150/10 c/w 0.25 kW 4 Pole 380V</t>
        </is>
      </c>
      <c r="G156" s="20" t="n">
        <v>1</v>
      </c>
      <c r="H156" s="19" t="n"/>
      <c r="I156" s="18">
        <f>H156*G156</f>
        <v/>
      </c>
      <c r="J156" s="11" t="n"/>
      <c r="K156" s="17" t="n"/>
      <c r="L156" s="16">
        <f>K156+C156</f>
        <v/>
      </c>
      <c r="M156" s="11" t="n"/>
      <c r="N156" s="15" t="n"/>
      <c r="O156" s="14" t="n"/>
      <c r="P156" s="14" t="n"/>
      <c r="Q156" s="14" t="n"/>
      <c r="R156" s="14" t="n"/>
    </row>
    <row r="157">
      <c r="A157" s="14" t="inlineStr">
        <is>
          <t>FM2955</t>
        </is>
      </c>
      <c r="B157" s="14" t="n"/>
      <c r="C157" s="13" t="n">
        <v>45719</v>
      </c>
      <c r="D157" s="12" t="inlineStr">
        <is>
          <t>PO0000134</t>
        </is>
      </c>
      <c r="E157" s="14" t="inlineStr">
        <is>
          <t>HVAC PARTNERS PTY LTD</t>
        </is>
      </c>
      <c r="F157" s="14" t="inlineStr">
        <is>
          <t>Maxflo 315/150/10 c/w 0.25 kW 4 Pole 380V</t>
        </is>
      </c>
      <c r="G157" s="20" t="n">
        <v>1</v>
      </c>
      <c r="H157" s="19" t="n"/>
      <c r="I157" s="18">
        <f>H157*G157</f>
        <v/>
      </c>
      <c r="J157" s="11" t="n"/>
      <c r="K157" s="17" t="n"/>
      <c r="L157" s="16">
        <f>K157+C157</f>
        <v/>
      </c>
      <c r="M157" s="11" t="n"/>
      <c r="N157" s="15" t="n"/>
      <c r="O157" s="14" t="n"/>
      <c r="P157" s="14" t="n"/>
      <c r="Q157" s="14" t="n"/>
      <c r="R157" s="14" t="n"/>
    </row>
    <row r="158">
      <c r="A158" s="14" t="inlineStr">
        <is>
          <t>FM2956</t>
        </is>
      </c>
      <c r="B158" s="14" t="n"/>
      <c r="C158" s="13" t="n">
        <v>45720</v>
      </c>
      <c r="D158" s="12" t="n">
        <v>501299</v>
      </c>
      <c r="E158" s="14" t="inlineStr">
        <is>
          <t>Fans Maintenance &amp; More</t>
        </is>
      </c>
      <c r="F158" s="14" t="inlineStr">
        <is>
          <t>CMA-528-2T-1</t>
        </is>
      </c>
      <c r="G158" s="20" t="n">
        <v>2</v>
      </c>
      <c r="H158" s="19" t="n">
        <v>17356</v>
      </c>
      <c r="I158" s="18">
        <f>H158*G158</f>
        <v/>
      </c>
      <c r="J158" s="11" t="n"/>
      <c r="K158" s="17" t="n"/>
      <c r="L158" s="16">
        <f>K158+C158</f>
        <v/>
      </c>
      <c r="M158" s="11" t="inlineStr">
        <is>
          <t>ZX</t>
        </is>
      </c>
      <c r="N158" s="15" t="n"/>
      <c r="O158" s="14" t="n"/>
      <c r="P158" s="14" t="n"/>
      <c r="Q158" s="14" t="n"/>
      <c r="R158" s="14" t="n"/>
    </row>
    <row r="159">
      <c r="A159" s="14" t="inlineStr">
        <is>
          <t>FM2957</t>
        </is>
      </c>
      <c r="B159" s="14" t="n"/>
      <c r="C159" s="13" t="n">
        <v>45720</v>
      </c>
      <c r="D159" s="12" t="inlineStr">
        <is>
          <t>PO946</t>
        </is>
      </c>
      <c r="E159" s="14" t="inlineStr">
        <is>
          <t>Sulit</t>
        </is>
      </c>
      <c r="F159" s="14" t="inlineStr">
        <is>
          <t>Maxflo 315/150/10 c/w .055kw 2p 380v</t>
        </is>
      </c>
      <c r="G159" s="20" t="n">
        <v>2</v>
      </c>
      <c r="H159" s="19" t="n">
        <v>19754</v>
      </c>
      <c r="I159" s="18" t="n">
        <v>19754</v>
      </c>
      <c r="J159" s="11" t="n"/>
      <c r="K159" s="17" t="n"/>
      <c r="L159" s="16">
        <f>K159+C159</f>
        <v/>
      </c>
      <c r="M159" s="11" t="n"/>
      <c r="N159" s="15" t="n"/>
      <c r="O159" s="14" t="n"/>
      <c r="P159" s="14" t="n"/>
      <c r="Q159" s="14" t="n"/>
      <c r="R159" s="14" t="n"/>
    </row>
    <row r="160">
      <c r="A160" s="14" t="inlineStr">
        <is>
          <t>FM2958</t>
        </is>
      </c>
      <c r="B160" s="14" t="n"/>
      <c r="C160" s="13" t="n">
        <v>45722</v>
      </c>
      <c r="D160" s="12" t="inlineStr">
        <is>
          <t>Cash Sale</t>
        </is>
      </c>
      <c r="E160" s="14" t="inlineStr">
        <is>
          <t>Zefs</t>
        </is>
      </c>
      <c r="F160" s="14" t="inlineStr">
        <is>
          <t>Majax-3 630.20.D.4 c/w1.5 kW 4 Pole 380V</t>
        </is>
      </c>
      <c r="G160" s="20" t="n">
        <v>1</v>
      </c>
      <c r="H160" s="19" t="n"/>
      <c r="I160" s="18">
        <f>H160*G160</f>
        <v/>
      </c>
      <c r="J160" s="11" t="n"/>
      <c r="K160" s="17" t="n"/>
      <c r="L160" s="16">
        <f>K160+C160</f>
        <v/>
      </c>
      <c r="M160" s="11" t="n"/>
      <c r="N160" s="15" t="n"/>
      <c r="O160" s="14" t="n"/>
      <c r="P160" s="14" t="n"/>
      <c r="Q160" s="14" t="n"/>
      <c r="R160" s="14" t="n"/>
    </row>
    <row r="161">
      <c r="A161" s="14" t="inlineStr">
        <is>
          <t>FM2959</t>
        </is>
      </c>
      <c r="B161" s="14" t="n"/>
      <c r="C161" s="13" t="n">
        <v>45722</v>
      </c>
      <c r="D161" s="12" t="inlineStr">
        <is>
          <t>Cash Sale</t>
        </is>
      </c>
      <c r="E161" s="14" t="inlineStr">
        <is>
          <t>J.B Refrigeration</t>
        </is>
      </c>
      <c r="F161" s="14" t="inlineStr">
        <is>
          <t xml:space="preserve">RAD 150 &amp; Tube silencers </t>
        </is>
      </c>
      <c r="G161" s="20" t="n">
        <v>3</v>
      </c>
      <c r="H161" s="19" t="n">
        <v>962.333</v>
      </c>
      <c r="I161" s="18">
        <f>H161*G161</f>
        <v/>
      </c>
      <c r="J161" s="11" t="n"/>
      <c r="K161" s="17" t="n"/>
      <c r="L161" s="16">
        <f>K161+C161</f>
        <v/>
      </c>
      <c r="M161" s="11" t="inlineStr">
        <is>
          <t>SM</t>
        </is>
      </c>
      <c r="N161" s="15" t="n"/>
      <c r="O161" s="14" t="n"/>
      <c r="P161" s="14" t="n"/>
      <c r="Q161" s="14" t="n"/>
      <c r="R161" s="14" t="n"/>
    </row>
    <row r="162">
      <c r="A162" s="14" t="inlineStr">
        <is>
          <t>FM2960</t>
        </is>
      </c>
      <c r="B162" s="14" t="n"/>
      <c r="C162" s="13" t="n">
        <v>45722</v>
      </c>
      <c r="D162" s="12" t="inlineStr">
        <is>
          <t>Cash Sale</t>
        </is>
      </c>
      <c r="E162" s="14" t="inlineStr">
        <is>
          <t>Ubuntu Pty Ltd</t>
        </is>
      </c>
      <c r="F162" s="14" t="inlineStr">
        <is>
          <t xml:space="preserve">Lineo 250 Quite </t>
        </is>
      </c>
      <c r="G162" s="20" t="n">
        <v>10</v>
      </c>
      <c r="H162" s="19">
        <f>81247.2/10</f>
        <v/>
      </c>
      <c r="I162" s="18">
        <f>H162*G162</f>
        <v/>
      </c>
      <c r="J162" s="11" t="n"/>
      <c r="K162" s="17" t="n"/>
      <c r="L162" s="16">
        <f>K162+C162</f>
        <v/>
      </c>
      <c r="M162" s="11" t="inlineStr">
        <is>
          <t>SM</t>
        </is>
      </c>
      <c r="N162" s="15" t="n"/>
      <c r="O162" s="14" t="n"/>
      <c r="P162" s="14" t="n"/>
      <c r="Q162" s="14" t="n"/>
      <c r="R162" s="14" t="n"/>
    </row>
    <row r="163">
      <c r="A163" s="14" t="inlineStr">
        <is>
          <t>FM2961</t>
        </is>
      </c>
      <c r="B163" s="14" t="n"/>
      <c r="C163" s="13" t="n">
        <v>45723</v>
      </c>
      <c r="D163" s="12" t="inlineStr">
        <is>
          <t>Cash Sale</t>
        </is>
      </c>
      <c r="E163" s="14" t="inlineStr">
        <is>
          <t>Inlanda HVAC</t>
        </is>
      </c>
      <c r="F163" s="14" t="inlineStr">
        <is>
          <t>315 Diam Tube Silencer 600L</t>
        </is>
      </c>
      <c r="G163" s="20" t="n">
        <v>2</v>
      </c>
      <c r="H163" s="19" t="n">
        <v>884</v>
      </c>
      <c r="I163" s="18">
        <f>H163*G163</f>
        <v/>
      </c>
      <c r="J163" s="11" t="n"/>
      <c r="K163" s="17" t="n"/>
      <c r="L163" s="16">
        <f>K163+C163</f>
        <v/>
      </c>
      <c r="M163" s="11" t="inlineStr">
        <is>
          <t>SM</t>
        </is>
      </c>
      <c r="N163" s="15" t="n"/>
      <c r="O163" s="14" t="n"/>
      <c r="P163" s="14" t="n"/>
      <c r="Q163" s="14" t="n"/>
      <c r="R163" s="14" t="n"/>
    </row>
    <row r="164">
      <c r="A164" s="14" t="inlineStr">
        <is>
          <t>FM2962</t>
        </is>
      </c>
      <c r="B164" s="14" t="n"/>
      <c r="C164" s="13" t="n">
        <v>45723</v>
      </c>
      <c r="D164" s="12" t="inlineStr">
        <is>
          <t>Cash Sale</t>
        </is>
      </c>
      <c r="E164" s="14" t="inlineStr">
        <is>
          <t>Prospec Engineering</t>
        </is>
      </c>
      <c r="F164" s="14" t="inlineStr">
        <is>
          <t>V150/6 AR</t>
        </is>
      </c>
      <c r="G164" s="20" t="n">
        <v>7</v>
      </c>
      <c r="H164" s="19" t="n">
        <v>1582</v>
      </c>
      <c r="I164" s="18">
        <f>H164*G164</f>
        <v/>
      </c>
      <c r="J164" s="11" t="n"/>
      <c r="K164" s="17" t="n"/>
      <c r="L164" s="16">
        <f>K164+C164</f>
        <v/>
      </c>
      <c r="M164" s="11" t="inlineStr">
        <is>
          <t>ST</t>
        </is>
      </c>
      <c r="N164" s="15" t="n"/>
      <c r="O164" s="14" t="n"/>
      <c r="P164" s="14" t="n"/>
      <c r="Q164" s="14" t="n"/>
      <c r="R164" s="14" t="n"/>
    </row>
    <row r="165">
      <c r="A165" s="14" t="inlineStr">
        <is>
          <t>FM2963</t>
        </is>
      </c>
      <c r="B165" s="14" t="n"/>
      <c r="C165" s="13" t="n">
        <v>45723</v>
      </c>
      <c r="D165" s="12" t="inlineStr">
        <is>
          <t xml:space="preserve">P1970 </t>
        </is>
      </c>
      <c r="E165" s="14" t="inlineStr">
        <is>
          <t xml:space="preserve">Hucra Fans </t>
        </is>
      </c>
      <c r="F165" s="14" t="inlineStr">
        <is>
          <t>SCL-K11-MS-11KW - 525V</t>
        </is>
      </c>
      <c r="G165" s="20" t="n">
        <v>3</v>
      </c>
      <c r="H165" s="19" t="n">
        <v>103534</v>
      </c>
      <c r="I165" s="18">
        <f>H165*G165</f>
        <v/>
      </c>
      <c r="J165" s="11" t="n"/>
      <c r="K165" s="17" t="n"/>
      <c r="L165" s="16">
        <f>K165+C165</f>
        <v/>
      </c>
      <c r="M165" s="11" t="inlineStr">
        <is>
          <t>ZX</t>
        </is>
      </c>
      <c r="N165" s="15" t="n"/>
      <c r="O165" s="14" t="n"/>
      <c r="P165" s="14" t="n"/>
      <c r="Q165" s="14" t="n"/>
      <c r="R165" s="14" t="n"/>
    </row>
    <row r="166">
      <c r="A166" s="14" t="inlineStr">
        <is>
          <t>FM2964</t>
        </is>
      </c>
      <c r="B166" s="14" t="n"/>
      <c r="C166" s="13" t="n">
        <v>45726</v>
      </c>
      <c r="D166" s="12" t="inlineStr">
        <is>
          <t>PO30201</t>
        </is>
      </c>
      <c r="E166" s="14" t="inlineStr">
        <is>
          <t>Radel</t>
        </is>
      </c>
      <c r="F166" s="14" t="inlineStr">
        <is>
          <t>Lineo Q 100</t>
        </is>
      </c>
      <c r="G166" s="20" t="n">
        <v>1</v>
      </c>
      <c r="H166" s="19" t="n">
        <v>3006</v>
      </c>
      <c r="I166" s="18">
        <f>H166*G166</f>
        <v/>
      </c>
      <c r="J166" s="11" t="n"/>
      <c r="K166" s="17" t="n"/>
      <c r="L166" s="16">
        <f>K166+C166</f>
        <v/>
      </c>
      <c r="M166" s="11" t="inlineStr">
        <is>
          <t>MT</t>
        </is>
      </c>
      <c r="N166" s="15" t="n"/>
      <c r="O166" s="14" t="n"/>
      <c r="P166" s="14" t="n"/>
      <c r="Q166" s="14" t="n"/>
      <c r="R166" s="14" t="n"/>
    </row>
    <row r="167">
      <c r="A167" s="14" t="inlineStr">
        <is>
          <t>FM2965</t>
        </is>
      </c>
      <c r="B167" s="14" t="n"/>
      <c r="C167" s="13" t="n">
        <v>45726</v>
      </c>
      <c r="D167" s="12" t="inlineStr">
        <is>
          <t>Cash Sale</t>
        </is>
      </c>
      <c r="E167" s="14" t="inlineStr">
        <is>
          <t>Airventfil</t>
        </is>
      </c>
      <c r="F167" s="14" t="inlineStr">
        <is>
          <t>2 Impellers &amp; 2 Shaft</t>
        </is>
      </c>
      <c r="G167" s="20" t="n">
        <v>4</v>
      </c>
      <c r="H167" s="19" t="n">
        <v>6544</v>
      </c>
      <c r="I167" s="18" t="n">
        <v>6544</v>
      </c>
      <c r="J167" s="11" t="n"/>
      <c r="K167" s="17" t="n"/>
      <c r="L167" s="16">
        <f>K167+C167</f>
        <v/>
      </c>
      <c r="M167" s="11" t="inlineStr">
        <is>
          <t>MT</t>
        </is>
      </c>
      <c r="N167" s="15" t="n"/>
      <c r="O167" s="14" t="n"/>
      <c r="P167" s="14" t="n"/>
      <c r="Q167" s="14" t="n"/>
      <c r="R167" s="14" t="n"/>
    </row>
    <row r="168">
      <c r="A168" s="14" t="inlineStr">
        <is>
          <t>FM2966</t>
        </is>
      </c>
      <c r="B168" s="14" t="n"/>
      <c r="C168" s="13" t="n">
        <v>45727</v>
      </c>
      <c r="D168" s="12" t="inlineStr">
        <is>
          <t>J5368-001ORD</t>
        </is>
      </c>
      <c r="E168" s="14" t="inlineStr">
        <is>
          <t>RTS Africa Engineering (Pty) Ltd</t>
        </is>
      </c>
      <c r="F168" s="14" t="inlineStr">
        <is>
          <t xml:space="preserve">Majax-3 500 c/w 1.1KW 2P 380V </t>
        </is>
      </c>
      <c r="G168" s="20" t="n">
        <v>1</v>
      </c>
      <c r="H168" s="19" t="n">
        <v>12240.44</v>
      </c>
      <c r="I168" s="18">
        <f>G168*H168</f>
        <v/>
      </c>
      <c r="J168" s="11" t="n"/>
      <c r="K168" s="17" t="n"/>
      <c r="L168" s="16">
        <f>K168+C168</f>
        <v/>
      </c>
      <c r="M168" s="11" t="inlineStr">
        <is>
          <t>SM</t>
        </is>
      </c>
      <c r="N168" s="15" t="n"/>
      <c r="O168" s="14" t="n"/>
      <c r="P168" s="14" t="n"/>
      <c r="Q168" s="14" t="n"/>
      <c r="R168" s="14" t="n"/>
    </row>
    <row r="169">
      <c r="A169" s="14" t="inlineStr">
        <is>
          <t>FM2967</t>
        </is>
      </c>
      <c r="B169" s="14" t="n"/>
      <c r="C169" s="13" t="n">
        <v>45726</v>
      </c>
      <c r="D169" s="12" t="inlineStr">
        <is>
          <t>PO174010040</t>
        </is>
      </c>
      <c r="E169" s="14" t="inlineStr">
        <is>
          <t>Dust-A-Side Central (Pty) Ltd</t>
        </is>
      </c>
      <c r="F169" s="14" t="inlineStr">
        <is>
          <t>Majax-2 630-20-D-8 Impeller</t>
        </is>
      </c>
      <c r="G169" s="20" t="n">
        <v>3</v>
      </c>
      <c r="H169" s="19" t="n">
        <v>5029.19</v>
      </c>
      <c r="I169" s="18">
        <f>G169*H169</f>
        <v/>
      </c>
      <c r="J169" s="11" t="n"/>
      <c r="K169" s="17" t="n"/>
      <c r="L169" s="16">
        <f>K169+C169</f>
        <v/>
      </c>
      <c r="M169" s="11" t="inlineStr">
        <is>
          <t>SM</t>
        </is>
      </c>
      <c r="N169" s="15" t="n"/>
      <c r="O169" s="14" t="n"/>
      <c r="P169" s="14" t="n"/>
      <c r="Q169" s="14" t="n"/>
      <c r="R169" s="14" t="n"/>
    </row>
    <row r="170">
      <c r="A170" s="14" t="inlineStr">
        <is>
          <t>FM2968</t>
        </is>
      </c>
      <c r="B170" s="14" t="n"/>
      <c r="C170" s="13" t="n">
        <v>45727</v>
      </c>
      <c r="D170" s="12" t="inlineStr">
        <is>
          <t>PO-OA15607</t>
        </is>
      </c>
      <c r="E170" s="14" t="inlineStr">
        <is>
          <t>Optimal Air</t>
        </is>
      </c>
      <c r="F170" s="14" t="inlineStr">
        <is>
          <t>315-600L attenuators</t>
        </is>
      </c>
      <c r="G170" s="20" t="n">
        <v>2</v>
      </c>
      <c r="H170" s="19" t="n">
        <v>884</v>
      </c>
      <c r="I170" s="18">
        <f>G170*H170</f>
        <v/>
      </c>
      <c r="J170" s="11" t="n"/>
      <c r="K170" s="17" t="n"/>
      <c r="L170" s="16">
        <f>K170+C170</f>
        <v/>
      </c>
      <c r="M170" s="11" t="inlineStr">
        <is>
          <t>MT</t>
        </is>
      </c>
      <c r="N170" s="15" t="n"/>
      <c r="O170" s="14" t="n"/>
      <c r="P170" s="14" t="n"/>
      <c r="Q170" s="14" t="n"/>
      <c r="R170" s="14" t="n"/>
    </row>
    <row r="171">
      <c r="A171" s="14" t="inlineStr">
        <is>
          <t>FM2969</t>
        </is>
      </c>
      <c r="B171" s="14" t="n"/>
      <c r="C171" s="13" t="n">
        <v>45727</v>
      </c>
      <c r="D171" s="12" t="inlineStr">
        <is>
          <t>PO 53118</t>
        </is>
      </c>
      <c r="E171" s="14" t="inlineStr">
        <is>
          <t>Aircontec</t>
        </is>
      </c>
      <c r="F171" s="14" t="inlineStr">
        <is>
          <t xml:space="preserve"> 500/15/10 c/w 2.2KW 2P 380V </t>
        </is>
      </c>
      <c r="G171" s="20" t="n"/>
      <c r="H171" s="19" t="n"/>
      <c r="I171" s="18">
        <f>G171*H171</f>
        <v/>
      </c>
      <c r="J171" s="11" t="n"/>
      <c r="K171" s="17" t="n"/>
      <c r="L171" s="16">
        <f>K171+C171</f>
        <v/>
      </c>
      <c r="M171" s="11" t="n"/>
      <c r="N171" s="15" t="n"/>
      <c r="O171" s="14" t="n"/>
      <c r="P171" s="14" t="n"/>
      <c r="Q171" s="14" t="n"/>
      <c r="R171" s="14" t="n"/>
    </row>
    <row r="172">
      <c r="A172" s="14" t="inlineStr">
        <is>
          <t>FM2970</t>
        </is>
      </c>
      <c r="B172" s="14" t="n"/>
      <c r="C172" s="13" t="n">
        <v>45727</v>
      </c>
      <c r="D172" s="12" t="inlineStr">
        <is>
          <t>PO1971</t>
        </is>
      </c>
      <c r="E172" s="14" t="inlineStr">
        <is>
          <t xml:space="preserve">Hucra Fans </t>
        </is>
      </c>
      <c r="F172" s="14" t="inlineStr">
        <is>
          <t>Lineo 100 Q VO</t>
        </is>
      </c>
      <c r="G172" s="20" t="n">
        <v>1</v>
      </c>
      <c r="H172" s="19" t="n">
        <v>1593</v>
      </c>
      <c r="I172" s="18">
        <f>G172*H172</f>
        <v/>
      </c>
      <c r="J172" s="11" t="n"/>
      <c r="K172" s="17" t="n"/>
      <c r="L172" s="16">
        <f>K172+C172</f>
        <v/>
      </c>
      <c r="M172" s="11" t="inlineStr">
        <is>
          <t>ZX</t>
        </is>
      </c>
      <c r="N172" s="15" t="n"/>
      <c r="O172" s="14" t="n"/>
      <c r="P172" s="14" t="n"/>
      <c r="Q172" s="14" t="n"/>
      <c r="R172" s="14" t="n"/>
    </row>
    <row r="173">
      <c r="A173" s="14" t="inlineStr">
        <is>
          <t>FM2971</t>
        </is>
      </c>
      <c r="B173" s="14" t="n"/>
      <c r="C173" s="13" t="n">
        <v>45727</v>
      </c>
      <c r="D173" s="12" t="inlineStr">
        <is>
          <t>PO1972</t>
        </is>
      </c>
      <c r="E173" s="14" t="inlineStr">
        <is>
          <t xml:space="preserve">Hucra Fans </t>
        </is>
      </c>
      <c r="F173" s="14" t="inlineStr">
        <is>
          <t>CMA-324-2T</t>
        </is>
      </c>
      <c r="G173" s="20" t="n">
        <v>1</v>
      </c>
      <c r="H173" s="19" t="n">
        <v>8581</v>
      </c>
      <c r="I173" s="18">
        <f>G173*H173</f>
        <v/>
      </c>
      <c r="J173" s="11" t="n"/>
      <c r="K173" s="17" t="n"/>
      <c r="L173" s="16">
        <f>K173+C173</f>
        <v/>
      </c>
      <c r="M173" s="11" t="inlineStr">
        <is>
          <t>ZX</t>
        </is>
      </c>
      <c r="N173" s="15" t="n"/>
      <c r="O173" s="14" t="n"/>
      <c r="P173" s="14" t="n"/>
      <c r="Q173" s="14" t="n"/>
      <c r="R173" s="14" t="n"/>
    </row>
    <row r="174">
      <c r="A174" s="14" t="inlineStr">
        <is>
          <t>FM2972</t>
        </is>
      </c>
      <c r="B174" s="14" t="n"/>
      <c r="C174" s="13" t="n">
        <v>45727</v>
      </c>
      <c r="D174" s="12" t="n">
        <v>202481</v>
      </c>
      <c r="E174" s="14" t="inlineStr">
        <is>
          <t>Kenmare</t>
        </is>
      </c>
      <c r="F174" s="14" t="inlineStr">
        <is>
          <t>K10 Blower</t>
        </is>
      </c>
      <c r="G174" s="20" t="n">
        <v>2</v>
      </c>
      <c r="H174" s="47" t="n">
        <v>97489</v>
      </c>
      <c r="I174" s="18">
        <f>G174*H174</f>
        <v/>
      </c>
      <c r="J174" s="11" t="n"/>
      <c r="K174" s="17" t="n"/>
      <c r="L174" s="16">
        <f>K174+C174</f>
        <v/>
      </c>
      <c r="M174" s="11" t="inlineStr">
        <is>
          <t>ST</t>
        </is>
      </c>
      <c r="N174" s="15" t="n"/>
      <c r="O174" s="14" t="n"/>
      <c r="P174" s="14" t="n"/>
      <c r="Q174" s="14" t="n"/>
      <c r="R174" s="14" t="n"/>
    </row>
    <row r="175">
      <c r="A175" s="14" t="inlineStr">
        <is>
          <t>FM2973</t>
        </is>
      </c>
      <c r="B175" s="14" t="n"/>
      <c r="C175" s="13" t="n">
        <v>45728</v>
      </c>
      <c r="D175" s="12" t="inlineStr">
        <is>
          <t>Cash Sales</t>
        </is>
      </c>
      <c r="E175" s="14" t="inlineStr">
        <is>
          <t>Sulit Projects</t>
        </is>
      </c>
      <c r="F175" s="14" t="inlineStr">
        <is>
          <t>maxflo 710/250/14 c/w 2.2kw 4P 380V</t>
        </is>
      </c>
      <c r="G175" s="20" t="n">
        <v>1</v>
      </c>
      <c r="H175" s="19" t="n">
        <v>22116.52</v>
      </c>
      <c r="I175" s="18">
        <f>G175*H175</f>
        <v/>
      </c>
      <c r="J175" s="11" t="n"/>
      <c r="K175" s="17" t="n"/>
      <c r="L175" s="16">
        <f>K175+C175</f>
        <v/>
      </c>
      <c r="M175" s="11" t="inlineStr">
        <is>
          <t>MT</t>
        </is>
      </c>
      <c r="N175" s="15" t="n"/>
      <c r="O175" s="14" t="n"/>
      <c r="P175" s="14" t="n"/>
      <c r="Q175" s="14" t="n"/>
      <c r="R175" s="14" t="n"/>
    </row>
    <row r="176">
      <c r="A176" s="14" t="inlineStr">
        <is>
          <t>FM2974</t>
        </is>
      </c>
      <c r="B176" s="14" t="n"/>
      <c r="C176" s="13" t="n">
        <v>45728</v>
      </c>
      <c r="D176" s="12" t="inlineStr">
        <is>
          <t>PO-000021</t>
        </is>
      </c>
      <c r="E176" s="14" t="inlineStr">
        <is>
          <t>Compu- Cool</t>
        </is>
      </c>
      <c r="F176" s="14" t="inlineStr">
        <is>
          <t>Maxflo 500/150/10 c/w 1.5kw 4P 380V</t>
        </is>
      </c>
      <c r="G176" s="20" t="n">
        <v>1</v>
      </c>
      <c r="H176" s="19" t="n">
        <v>7036.65</v>
      </c>
      <c r="I176" s="18">
        <f>G176*H176</f>
        <v/>
      </c>
      <c r="J176" s="11" t="n"/>
      <c r="K176" s="17" t="n"/>
      <c r="L176" s="16">
        <f>K176+C176</f>
        <v/>
      </c>
      <c r="M176" s="11" t="inlineStr">
        <is>
          <t>MT</t>
        </is>
      </c>
      <c r="N176" s="15" t="n"/>
      <c r="O176" s="14" t="n"/>
      <c r="P176" s="14" t="n"/>
      <c r="Q176" s="14" t="n"/>
      <c r="R176" s="14" t="n"/>
    </row>
    <row r="177">
      <c r="A177" s="14" t="inlineStr">
        <is>
          <t>FM2975</t>
        </is>
      </c>
      <c r="B177" s="14" t="n"/>
      <c r="C177" s="13" t="n">
        <v>45729</v>
      </c>
      <c r="D177" s="12" t="inlineStr">
        <is>
          <t>PO151814</t>
        </is>
      </c>
      <c r="E177" s="14" t="inlineStr">
        <is>
          <t>Luft Industries Natal</t>
        </is>
      </c>
      <c r="F177" s="14" t="inlineStr">
        <is>
          <t>CMP 514 2T</t>
        </is>
      </c>
      <c r="G177" s="20" t="n">
        <v>4</v>
      </c>
      <c r="H177" s="19" t="n">
        <v>5767</v>
      </c>
      <c r="I177" s="18">
        <f>G177*H177</f>
        <v/>
      </c>
      <c r="J177" s="11" t="n"/>
      <c r="K177" s="17" t="n"/>
      <c r="L177" s="16">
        <f>K177+C177</f>
        <v/>
      </c>
      <c r="M177" s="11" t="inlineStr">
        <is>
          <t>SM</t>
        </is>
      </c>
      <c r="N177" s="15" t="n"/>
      <c r="O177" s="14" t="n"/>
      <c r="P177" s="14" t="n"/>
      <c r="Q177" s="14" t="n"/>
      <c r="R177" s="14" t="n"/>
    </row>
    <row r="178">
      <c r="A178" s="14" t="inlineStr">
        <is>
          <t>FM2976</t>
        </is>
      </c>
      <c r="B178" s="14" t="n"/>
      <c r="C178" s="13" t="n">
        <v>45729</v>
      </c>
      <c r="D178" s="12" t="inlineStr">
        <is>
          <t>P.O.No. 4650</t>
        </is>
      </c>
      <c r="E178" s="14" t="inlineStr">
        <is>
          <t>Attenu-tec</t>
        </is>
      </c>
      <c r="F178" s="14" t="inlineStr">
        <is>
          <t>315, 400, &amp; 500 Counter Flange - Raw</t>
        </is>
      </c>
      <c r="G178" s="20" t="n">
        <v>138</v>
      </c>
      <c r="H178" s="19" t="n">
        <v>85.5797</v>
      </c>
      <c r="I178" s="18">
        <f>G178*H178</f>
        <v/>
      </c>
      <c r="J178" s="11" t="n"/>
      <c r="K178" s="17" t="n"/>
      <c r="L178" s="16">
        <f>K178+C178</f>
        <v/>
      </c>
      <c r="M178" s="11" t="inlineStr">
        <is>
          <t>MT</t>
        </is>
      </c>
      <c r="N178" s="15" t="n"/>
      <c r="O178" s="14" t="n"/>
      <c r="P178" s="14" t="n"/>
      <c r="Q178" s="14" t="n"/>
      <c r="R178" s="14" t="n"/>
    </row>
    <row r="179">
      <c r="A179" s="14" t="inlineStr">
        <is>
          <t>FM2977</t>
        </is>
      </c>
      <c r="B179" s="14" t="n"/>
      <c r="C179" s="13" t="n">
        <v>45730</v>
      </c>
      <c r="D179" s="46" t="inlineStr">
        <is>
          <t xml:space="preserve">Cancelled </t>
        </is>
      </c>
      <c r="E179" s="14" t="inlineStr">
        <is>
          <t>LJ Trading</t>
        </is>
      </c>
      <c r="F179" s="14" t="inlineStr">
        <is>
          <t>Maxflo 630/250/14 c/w 0.75kw 4P</t>
        </is>
      </c>
      <c r="G179" s="20" t="n">
        <v>6</v>
      </c>
      <c r="H179" s="19" t="n">
        <v>11747</v>
      </c>
      <c r="I179" s="18">
        <f>G179*H179</f>
        <v/>
      </c>
      <c r="J179" s="11" t="n"/>
      <c r="K179" s="17" t="n"/>
      <c r="L179" s="16">
        <f>K179+C179</f>
        <v/>
      </c>
      <c r="M179" s="11" t="inlineStr">
        <is>
          <t>SM</t>
        </is>
      </c>
      <c r="N179" s="15" t="n"/>
      <c r="O179" s="14" t="n"/>
      <c r="P179" s="14" t="n"/>
      <c r="Q179" s="14" t="n"/>
      <c r="R179" s="14" t="n"/>
    </row>
    <row r="180">
      <c r="A180" s="14" t="inlineStr">
        <is>
          <t>FM2978</t>
        </is>
      </c>
      <c r="B180" s="14" t="n"/>
      <c r="C180" s="13" t="n">
        <v>45730</v>
      </c>
      <c r="D180" s="46" t="inlineStr">
        <is>
          <t xml:space="preserve">Cancelled </t>
        </is>
      </c>
      <c r="E180" s="14" t="inlineStr">
        <is>
          <t>LJ Trading</t>
        </is>
      </c>
      <c r="F180" s="14" t="inlineStr">
        <is>
          <t>Maxflo 800/150/10 c/w 2.2kw 4P</t>
        </is>
      </c>
      <c r="G180" s="20" t="n">
        <v>2</v>
      </c>
      <c r="H180" s="19" t="n">
        <v>12872</v>
      </c>
      <c r="I180" s="18">
        <f>G180*H180</f>
        <v/>
      </c>
      <c r="J180" s="11" t="n"/>
      <c r="K180" s="17" t="n"/>
      <c r="L180" s="16">
        <f>K180+C180</f>
        <v/>
      </c>
      <c r="M180" s="11" t="inlineStr">
        <is>
          <t>SM</t>
        </is>
      </c>
      <c r="N180" s="15" t="n"/>
      <c r="O180" s="14" t="n"/>
      <c r="P180" s="14" t="n"/>
      <c r="Q180" s="14" t="n"/>
      <c r="R180" s="14" t="n"/>
    </row>
    <row r="181">
      <c r="A181" s="14" t="inlineStr">
        <is>
          <t>FM2979</t>
        </is>
      </c>
      <c r="B181" s="14" t="n"/>
      <c r="C181" s="13" t="n">
        <v>45730</v>
      </c>
      <c r="D181" s="46" t="inlineStr">
        <is>
          <t xml:space="preserve">Cancelled </t>
        </is>
      </c>
      <c r="E181" s="14" t="inlineStr">
        <is>
          <t>LJ Trading</t>
        </is>
      </c>
      <c r="F181" s="14" t="inlineStr">
        <is>
          <t>Maxflo 630/250/14 c/w 1.1kw 4P</t>
        </is>
      </c>
      <c r="G181" s="20" t="n">
        <v>1</v>
      </c>
      <c r="H181" s="19" t="n">
        <v>11886</v>
      </c>
      <c r="I181" s="18">
        <f>G181*H181</f>
        <v/>
      </c>
      <c r="J181" s="11" t="n"/>
      <c r="K181" s="17" t="n"/>
      <c r="L181" s="16">
        <f>K181+C181</f>
        <v/>
      </c>
      <c r="M181" s="11" t="inlineStr">
        <is>
          <t>SM</t>
        </is>
      </c>
      <c r="N181" s="15" t="n"/>
      <c r="O181" s="14" t="n"/>
      <c r="P181" s="14" t="n"/>
      <c r="Q181" s="14" t="n"/>
      <c r="R181" s="14" t="n"/>
    </row>
    <row r="182">
      <c r="A182" s="14" t="inlineStr">
        <is>
          <t>FM2980</t>
        </is>
      </c>
      <c r="B182" s="14" t="n"/>
      <c r="C182" s="13" t="n">
        <v>45730</v>
      </c>
      <c r="D182" s="46" t="inlineStr">
        <is>
          <t xml:space="preserve">Cancelled </t>
        </is>
      </c>
      <c r="E182" s="14" t="inlineStr">
        <is>
          <t>LJ Trading</t>
        </is>
      </c>
      <c r="F182" s="14" t="inlineStr">
        <is>
          <t>Maxflo 400/150/5 c/w 0.55kw 2P</t>
        </is>
      </c>
      <c r="G182" s="20">
        <f>11+3-1</f>
        <v/>
      </c>
      <c r="H182" s="19" t="n">
        <v>4745</v>
      </c>
      <c r="I182" s="18">
        <f>G182*H182</f>
        <v/>
      </c>
      <c r="J182" s="11" t="n"/>
      <c r="K182" s="17" t="n"/>
      <c r="L182" s="16">
        <f>K182+C182</f>
        <v/>
      </c>
      <c r="M182" s="11" t="inlineStr">
        <is>
          <t>SM</t>
        </is>
      </c>
      <c r="N182" s="15" t="n"/>
      <c r="O182" s="14" t="n"/>
      <c r="P182" s="14" t="n"/>
      <c r="Q182" s="14" t="n"/>
      <c r="R182" s="14" t="n"/>
    </row>
    <row r="183">
      <c r="A183" s="14" t="inlineStr">
        <is>
          <t>FM2981</t>
        </is>
      </c>
      <c r="B183" s="14" t="n"/>
      <c r="C183" s="13" t="n">
        <v>45730</v>
      </c>
      <c r="D183" s="46" t="inlineStr">
        <is>
          <t xml:space="preserve">Cancelled </t>
        </is>
      </c>
      <c r="E183" s="14" t="inlineStr">
        <is>
          <t>LJ Trading</t>
        </is>
      </c>
      <c r="F183" s="14" t="inlineStr">
        <is>
          <t xml:space="preserve">Maxflo 710/150/10 c/w 1.5Kw 4P </t>
        </is>
      </c>
      <c r="G183" s="20" t="n">
        <v>2</v>
      </c>
      <c r="H183" s="19" t="n">
        <v>11682</v>
      </c>
      <c r="I183" s="18">
        <f>G183*H183</f>
        <v/>
      </c>
      <c r="J183" s="11" t="n"/>
      <c r="K183" s="17" t="n"/>
      <c r="L183" s="16">
        <f>K183+C183</f>
        <v/>
      </c>
      <c r="M183" s="11" t="inlineStr">
        <is>
          <t>SM</t>
        </is>
      </c>
      <c r="N183" s="15" t="n"/>
      <c r="O183" s="14" t="n"/>
      <c r="P183" s="14" t="n"/>
      <c r="Q183" s="14" t="n"/>
      <c r="R183" s="14" t="n"/>
    </row>
    <row r="184">
      <c r="A184" s="14" t="inlineStr">
        <is>
          <t>FM2982</t>
        </is>
      </c>
      <c r="B184" s="14" t="n"/>
      <c r="C184" s="13" t="n">
        <v>45730</v>
      </c>
      <c r="D184" s="46" t="inlineStr">
        <is>
          <t xml:space="preserve">Cancelled </t>
        </is>
      </c>
      <c r="E184" s="14" t="inlineStr">
        <is>
          <t>LJ Trading</t>
        </is>
      </c>
      <c r="F184" s="14" t="inlineStr">
        <is>
          <t>Maxflo 560/250/14 c/w 0.55kW 4P</t>
        </is>
      </c>
      <c r="G184" s="20" t="n">
        <v>1</v>
      </c>
      <c r="H184" s="19" t="n">
        <v>6265</v>
      </c>
      <c r="I184" s="18">
        <f>G184*H184</f>
        <v/>
      </c>
      <c r="J184" s="11" t="n"/>
      <c r="K184" s="17" t="n"/>
      <c r="L184" s="16">
        <f>K184+C184</f>
        <v/>
      </c>
      <c r="M184" s="11" t="inlineStr">
        <is>
          <t>SM</t>
        </is>
      </c>
      <c r="N184" s="15" t="n"/>
      <c r="O184" s="14" t="n"/>
      <c r="P184" s="14" t="n"/>
      <c r="Q184" s="14" t="n"/>
      <c r="R184" s="14" t="n"/>
    </row>
    <row r="185">
      <c r="A185" s="14" t="inlineStr">
        <is>
          <t>FM2983</t>
        </is>
      </c>
      <c r="B185" s="14" t="n"/>
      <c r="C185" s="13" t="n">
        <v>45730</v>
      </c>
      <c r="D185" s="46" t="inlineStr">
        <is>
          <t xml:space="preserve">Cancelled </t>
        </is>
      </c>
      <c r="E185" s="14" t="inlineStr">
        <is>
          <t>LJ Trading</t>
        </is>
      </c>
      <c r="F185" s="14" t="inlineStr">
        <is>
          <t>Maxflo 315/150/5 c/w 0.55kw 2P</t>
        </is>
      </c>
      <c r="G185" s="20" t="n">
        <v>1</v>
      </c>
      <c r="H185" s="19" t="n">
        <v>6505</v>
      </c>
      <c r="I185" s="18">
        <f>G185*H185</f>
        <v/>
      </c>
      <c r="J185" s="11" t="n"/>
      <c r="K185" s="17" t="n"/>
      <c r="L185" s="16">
        <f>K185+C185</f>
        <v/>
      </c>
      <c r="M185" s="11" t="inlineStr">
        <is>
          <t>SM</t>
        </is>
      </c>
      <c r="N185" s="15" t="n"/>
      <c r="O185" s="14" t="n"/>
      <c r="P185" s="14" t="n"/>
      <c r="Q185" s="14" t="n"/>
      <c r="R185" s="14" t="n"/>
    </row>
    <row r="186">
      <c r="A186" s="14" t="inlineStr">
        <is>
          <t>FM2984</t>
        </is>
      </c>
      <c r="B186" s="14" t="n"/>
      <c r="C186" s="13" t="n">
        <v>45730</v>
      </c>
      <c r="D186" s="46" t="inlineStr">
        <is>
          <t xml:space="preserve">Cancelled </t>
        </is>
      </c>
      <c r="E186" s="14" t="inlineStr">
        <is>
          <t>LJ Trading</t>
        </is>
      </c>
      <c r="F186" s="14" t="inlineStr">
        <is>
          <t>Maxflo 630/150/10 c/w 0.55kw 4P</t>
        </is>
      </c>
      <c r="G186" s="20" t="n">
        <v>2</v>
      </c>
      <c r="H186" s="19" t="n">
        <v>9138</v>
      </c>
      <c r="I186" s="18">
        <f>G186*H186</f>
        <v/>
      </c>
      <c r="J186" s="11" t="n"/>
      <c r="K186" s="17" t="n"/>
      <c r="L186" s="16">
        <f>K186+C186</f>
        <v/>
      </c>
      <c r="M186" s="11" t="inlineStr">
        <is>
          <t>SM</t>
        </is>
      </c>
      <c r="N186" s="15" t="n"/>
      <c r="O186" s="14" t="n"/>
      <c r="P186" s="14" t="n"/>
      <c r="Q186" s="14" t="n"/>
      <c r="R186" s="14" t="n"/>
    </row>
    <row r="187">
      <c r="A187" s="14" t="inlineStr">
        <is>
          <t>FM2985</t>
        </is>
      </c>
      <c r="B187" s="14" t="n"/>
      <c r="C187" s="13" t="n">
        <v>45730</v>
      </c>
      <c r="D187" s="46" t="inlineStr">
        <is>
          <t xml:space="preserve">Cancelled </t>
        </is>
      </c>
      <c r="E187" s="14" t="inlineStr">
        <is>
          <t>LJ Trading</t>
        </is>
      </c>
      <c r="F187" s="14" t="inlineStr">
        <is>
          <t>Maxflo 630/150/10 c/w 0.75kw 4P</t>
        </is>
      </c>
      <c r="G187" s="20" t="n">
        <v>1</v>
      </c>
      <c r="H187" s="19" t="n">
        <v>9562</v>
      </c>
      <c r="I187" s="18">
        <f>G187*H187</f>
        <v/>
      </c>
      <c r="J187" s="11" t="n"/>
      <c r="K187" s="17" t="n"/>
      <c r="L187" s="16">
        <f>K187+C187</f>
        <v/>
      </c>
      <c r="M187" s="11" t="inlineStr">
        <is>
          <t>SM</t>
        </is>
      </c>
      <c r="N187" s="15" t="n"/>
      <c r="O187" s="14" t="n"/>
      <c r="P187" s="14" t="n"/>
      <c r="Q187" s="14" t="n"/>
      <c r="R187" s="14" t="n"/>
    </row>
    <row r="188">
      <c r="A188" s="14" t="inlineStr">
        <is>
          <t>FM2986</t>
        </is>
      </c>
      <c r="B188" s="14" t="n"/>
      <c r="C188" s="13" t="n">
        <v>45730</v>
      </c>
      <c r="D188" s="46" t="inlineStr">
        <is>
          <t xml:space="preserve">Cancelled </t>
        </is>
      </c>
      <c r="E188" s="14" t="inlineStr">
        <is>
          <t>LJ Trading</t>
        </is>
      </c>
      <c r="F188" s="14" t="inlineStr">
        <is>
          <t>Box Fans</t>
        </is>
      </c>
      <c r="G188" s="20" t="n">
        <v>1</v>
      </c>
      <c r="H188" s="19">
        <f>444706-SUM(I179:I187)</f>
        <v/>
      </c>
      <c r="I188" s="18">
        <f>G188*H188</f>
        <v/>
      </c>
      <c r="J188" s="11" t="n"/>
      <c r="K188" s="17" t="n"/>
      <c r="L188" s="16">
        <f>K188+C188</f>
        <v/>
      </c>
      <c r="M188" s="11" t="inlineStr">
        <is>
          <t>SM</t>
        </is>
      </c>
      <c r="N188" s="15" t="n"/>
      <c r="O188" s="14" t="n"/>
      <c r="P188" s="14" t="n"/>
      <c r="Q188" s="14" t="n"/>
      <c r="R188" s="14" t="n"/>
    </row>
    <row r="189" ht="16.35" customHeight="1">
      <c r="A189" s="14" t="inlineStr">
        <is>
          <t>FM2987</t>
        </is>
      </c>
      <c r="B189" s="14" t="n"/>
      <c r="C189" s="13" t="n">
        <v>45730</v>
      </c>
      <c r="D189" s="12" t="n">
        <v>60305</v>
      </c>
      <c r="E189" s="14" t="inlineStr">
        <is>
          <t>Chabo &amp; Joubert</t>
        </is>
      </c>
      <c r="F189" s="14" t="inlineStr">
        <is>
          <t>MAXFLO 710/250/14 A c/w 4,00KW 4P 380V</t>
        </is>
      </c>
      <c r="G189" s="20" t="n">
        <v>1</v>
      </c>
      <c r="H189" s="19" t="n">
        <v>25762</v>
      </c>
      <c r="I189" s="18">
        <f>G189*H189</f>
        <v/>
      </c>
      <c r="J189" s="11" t="n"/>
      <c r="K189" s="17" t="n"/>
      <c r="L189" s="16">
        <f>K189+C189</f>
        <v/>
      </c>
      <c r="M189" s="11" t="inlineStr">
        <is>
          <t>ST</t>
        </is>
      </c>
      <c r="N189" s="15" t="n"/>
      <c r="O189" s="14" t="n"/>
      <c r="P189" s="14" t="n"/>
      <c r="Q189" s="14" t="n"/>
      <c r="R189" s="14" t="n"/>
    </row>
    <row r="190">
      <c r="A190" s="14" t="inlineStr">
        <is>
          <t>FM2988</t>
        </is>
      </c>
      <c r="B190" s="14" t="n"/>
      <c r="C190" s="13" t="n">
        <v>45730</v>
      </c>
      <c r="D190" s="12" t="n">
        <v>60305</v>
      </c>
      <c r="E190" s="14" t="inlineStr">
        <is>
          <t>Chabo &amp; Joubert</t>
        </is>
      </c>
      <c r="F190" s="14" t="inlineStr">
        <is>
          <t>MAXFLO 630/250/14 A c/w 1,50KW 4P 380V</t>
        </is>
      </c>
      <c r="G190" s="20" t="n">
        <v>1</v>
      </c>
      <c r="H190" s="19" t="n">
        <v>25357</v>
      </c>
      <c r="I190" s="18">
        <f>G190*H190</f>
        <v/>
      </c>
      <c r="J190" s="11" t="n"/>
      <c r="K190" s="17" t="n"/>
      <c r="L190" s="16">
        <f>K190+C190</f>
        <v/>
      </c>
      <c r="M190" s="11" t="inlineStr">
        <is>
          <t>ST</t>
        </is>
      </c>
      <c r="N190" s="15" t="n"/>
      <c r="O190" s="14" t="n"/>
      <c r="P190" s="14" t="n"/>
      <c r="Q190" s="14" t="n"/>
      <c r="R190" s="14" t="n"/>
    </row>
    <row r="191">
      <c r="A191" s="14" t="inlineStr">
        <is>
          <t>FM2989</t>
        </is>
      </c>
      <c r="B191" s="14" t="n"/>
      <c r="C191" s="13" t="n">
        <v>45730</v>
      </c>
      <c r="D191" s="12" t="n">
        <v>60305</v>
      </c>
      <c r="E191" s="14" t="inlineStr">
        <is>
          <t>Chabo &amp; Joubert</t>
        </is>
      </c>
      <c r="F191" s="14" t="inlineStr">
        <is>
          <t>MAXFLO 630/250/14 A c/w 1,50KW 4P 380V</t>
        </is>
      </c>
      <c r="G191" s="20" t="n">
        <v>1</v>
      </c>
      <c r="H191" s="19" t="n">
        <v>25357</v>
      </c>
      <c r="I191" s="18">
        <f>G191*H191</f>
        <v/>
      </c>
      <c r="J191" s="11" t="n"/>
      <c r="K191" s="17" t="n"/>
      <c r="L191" s="16">
        <f>K191+C191</f>
        <v/>
      </c>
      <c r="M191" s="11" t="inlineStr">
        <is>
          <t>ST</t>
        </is>
      </c>
      <c r="N191" s="15" t="n"/>
      <c r="O191" s="14" t="n"/>
      <c r="P191" s="14" t="n"/>
      <c r="Q191" s="14" t="n"/>
      <c r="R191" s="14" t="n"/>
    </row>
    <row r="192">
      <c r="A192" s="14" t="inlineStr">
        <is>
          <t>FM2990</t>
        </is>
      </c>
      <c r="B192" s="14" t="n"/>
      <c r="C192" s="13" t="n">
        <v>45730</v>
      </c>
      <c r="D192" s="12" t="n">
        <v>60305</v>
      </c>
      <c r="E192" s="14" t="inlineStr">
        <is>
          <t>Chabo &amp; Joubert</t>
        </is>
      </c>
      <c r="F192" s="14" t="inlineStr">
        <is>
          <t>MAXFLO 560/250/14 A c/w 0,75KW 4P 380V</t>
        </is>
      </c>
      <c r="G192" s="20" t="n">
        <v>1</v>
      </c>
      <c r="H192" s="19" t="n">
        <v>22914</v>
      </c>
      <c r="I192" s="18">
        <f>G192*H192</f>
        <v/>
      </c>
      <c r="J192" s="11" t="n"/>
      <c r="K192" s="17" t="n"/>
      <c r="L192" s="16">
        <f>K192+C192</f>
        <v/>
      </c>
      <c r="M192" s="11" t="inlineStr">
        <is>
          <t>ST</t>
        </is>
      </c>
      <c r="N192" s="15" t="n"/>
      <c r="O192" s="14" t="n"/>
      <c r="P192" s="14" t="n"/>
      <c r="Q192" s="14" t="n"/>
      <c r="R192" s="14" t="n"/>
    </row>
    <row r="193" ht="16.35" customHeight="1">
      <c r="A193" s="14" t="inlineStr">
        <is>
          <t>FM2991</t>
        </is>
      </c>
      <c r="B193" s="14" t="n"/>
      <c r="C193" s="13" t="n">
        <v>45730</v>
      </c>
      <c r="D193" s="12" t="n">
        <v>60315</v>
      </c>
      <c r="E193" s="14" t="inlineStr">
        <is>
          <t>Chabo &amp; Joubert</t>
        </is>
      </c>
      <c r="F193" s="14" t="inlineStr">
        <is>
          <t>Fumax 900 c/w 5.5kW 4Pole</t>
        </is>
      </c>
      <c r="G193" s="20" t="n">
        <v>3</v>
      </c>
      <c r="H193" s="19" t="n">
        <v>34924</v>
      </c>
      <c r="I193" s="18">
        <f>G193*H193</f>
        <v/>
      </c>
      <c r="J193" s="11" t="n"/>
      <c r="K193" s="17" t="n"/>
      <c r="L193" s="16">
        <f>K193+C193</f>
        <v/>
      </c>
      <c r="M193" s="11" t="inlineStr">
        <is>
          <t>ST</t>
        </is>
      </c>
      <c r="N193" s="15" t="n"/>
      <c r="O193" s="14" t="n"/>
      <c r="P193" s="14" t="n"/>
      <c r="Q193" s="14" t="n"/>
      <c r="R193" s="14" t="n"/>
    </row>
    <row r="194">
      <c r="A194" s="14" t="inlineStr">
        <is>
          <t>FM2992</t>
        </is>
      </c>
      <c r="B194" s="14" t="n"/>
      <c r="C194" s="13" t="n">
        <v>45730</v>
      </c>
      <c r="D194" s="14" t="inlineStr">
        <is>
          <t>PO132703</t>
        </is>
      </c>
      <c r="E194" s="14" t="inlineStr">
        <is>
          <t>Howden Power</t>
        </is>
      </c>
      <c r="F194" s="14" t="inlineStr">
        <is>
          <t>SCL−K08MS−5,5/5 _x0013_ Blower c/w 5,5kW 525V motor</t>
        </is>
      </c>
      <c r="G194" s="20" t="n">
        <v>1</v>
      </c>
      <c r="H194" s="19" t="n">
        <v>88484</v>
      </c>
      <c r="I194" s="18">
        <f>G194*H194</f>
        <v/>
      </c>
      <c r="J194" s="11" t="n"/>
      <c r="K194" s="17" t="n"/>
      <c r="L194" s="16">
        <f>K194+C194</f>
        <v/>
      </c>
      <c r="M194" s="11" t="inlineStr">
        <is>
          <t>ST</t>
        </is>
      </c>
      <c r="N194" s="15" t="n"/>
      <c r="O194" s="14" t="n"/>
      <c r="P194" s="14" t="n"/>
      <c r="Q194" s="14" t="n"/>
      <c r="R194" s="14" t="n"/>
    </row>
    <row r="195">
      <c r="A195" s="14" t="inlineStr">
        <is>
          <t>FM2993</t>
        </is>
      </c>
      <c r="B195" s="14" t="n"/>
      <c r="C195" s="13" t="n">
        <v>45733</v>
      </c>
      <c r="D195" s="12" t="inlineStr">
        <is>
          <t>Cash Sale</t>
        </is>
      </c>
      <c r="E195" s="14" t="inlineStr">
        <is>
          <t>Sulit</t>
        </is>
      </c>
      <c r="F195" s="14" t="inlineStr">
        <is>
          <t>CDC100 and accesories</t>
        </is>
      </c>
      <c r="G195" s="20" t="n">
        <v>1</v>
      </c>
      <c r="H195" s="19" t="n">
        <v>2562</v>
      </c>
      <c r="I195" s="18">
        <f>G195*H195</f>
        <v/>
      </c>
      <c r="J195" s="11" t="n"/>
      <c r="K195" s="17" t="n"/>
      <c r="L195" s="16">
        <f>K195+C195</f>
        <v/>
      </c>
      <c r="M195" s="11" t="inlineStr">
        <is>
          <t>MT</t>
        </is>
      </c>
      <c r="N195" s="15" t="n"/>
      <c r="O195" s="14" t="n"/>
      <c r="P195" s="14" t="n"/>
      <c r="Q195" s="14" t="n"/>
      <c r="R195" s="14" t="n"/>
    </row>
    <row r="196">
      <c r="A196" s="14" t="inlineStr">
        <is>
          <t>FM2994</t>
        </is>
      </c>
      <c r="B196" s="14" t="n"/>
      <c r="C196" s="13" t="n">
        <v>45733</v>
      </c>
      <c r="D196" s="12" t="inlineStr">
        <is>
          <t>P262898HS</t>
        </is>
      </c>
      <c r="E196" s="14" t="inlineStr">
        <is>
          <t>Noble Motors</t>
        </is>
      </c>
      <c r="F196" s="14" t="inlineStr">
        <is>
          <t>HV 12</t>
        </is>
      </c>
      <c r="G196" s="20" t="n">
        <v>3</v>
      </c>
      <c r="H196" s="19" t="n">
        <v>13900</v>
      </c>
      <c r="I196" s="18">
        <f>G196*H196</f>
        <v/>
      </c>
      <c r="J196" s="11" t="n"/>
      <c r="K196" s="17" t="n"/>
      <c r="L196" s="16">
        <f>K196+C196</f>
        <v/>
      </c>
      <c r="M196" s="11" t="inlineStr">
        <is>
          <t>SM</t>
        </is>
      </c>
      <c r="N196" s="15" t="n"/>
      <c r="O196" s="14" t="n"/>
      <c r="P196" s="14" t="n"/>
      <c r="Q196" s="14" t="n"/>
      <c r="R196" s="14" t="n"/>
    </row>
    <row r="197">
      <c r="A197" s="14" t="inlineStr">
        <is>
          <t>FM2995</t>
        </is>
      </c>
      <c r="B197" s="14" t="n"/>
      <c r="C197" s="13" t="n">
        <v>45733</v>
      </c>
      <c r="D197" s="12" t="inlineStr">
        <is>
          <t>PO-2534411452</t>
        </is>
      </c>
      <c r="E197" s="14" t="inlineStr">
        <is>
          <t>Randblower</t>
        </is>
      </c>
      <c r="F197" s="14" t="inlineStr">
        <is>
          <t>BCC2 c/w2.2kw 4P 400V</t>
        </is>
      </c>
      <c r="G197" s="20" t="n">
        <v>1</v>
      </c>
      <c r="H197" s="19" t="n">
        <v>54719.32</v>
      </c>
      <c r="I197" s="18">
        <f>G197*H197</f>
        <v/>
      </c>
      <c r="J197" s="11" t="n"/>
      <c r="K197" s="17" t="n"/>
      <c r="L197" s="16">
        <f>K197+C197</f>
        <v/>
      </c>
      <c r="M197" s="11" t="inlineStr">
        <is>
          <t>MT</t>
        </is>
      </c>
      <c r="N197" s="15" t="n"/>
      <c r="O197" s="14" t="n"/>
      <c r="P197" s="14" t="n"/>
      <c r="Q197" s="14" t="n"/>
      <c r="R197" s="14" t="n"/>
    </row>
    <row r="198">
      <c r="A198" s="14" t="inlineStr">
        <is>
          <t>FM2996</t>
        </is>
      </c>
      <c r="B198" s="14" t="n"/>
      <c r="C198" s="13" t="n">
        <v>45734</v>
      </c>
      <c r="D198" s="12" t="inlineStr">
        <is>
          <t>PO-000027</t>
        </is>
      </c>
      <c r="E198" s="14" t="inlineStr">
        <is>
          <t>Compu Cool</t>
        </is>
      </c>
      <c r="F198" s="14" t="inlineStr">
        <is>
          <t>Kdaxis 350</t>
        </is>
      </c>
      <c r="G198" s="20" t="n">
        <v>1</v>
      </c>
      <c r="H198" s="19" t="n">
        <v>1966</v>
      </c>
      <c r="I198" s="18">
        <f>G198*H198</f>
        <v/>
      </c>
      <c r="J198" s="11" t="n"/>
      <c r="K198" s="17" t="n"/>
      <c r="L198" s="16">
        <f>K198+C198</f>
        <v/>
      </c>
      <c r="M198" s="11" t="inlineStr">
        <is>
          <t>MT</t>
        </is>
      </c>
      <c r="N198" s="15" t="n"/>
      <c r="O198" s="14" t="n"/>
      <c r="P198" s="14" t="n"/>
      <c r="Q198" s="14" t="n"/>
      <c r="R198" s="14" t="n"/>
    </row>
    <row r="199">
      <c r="A199" s="14" t="inlineStr">
        <is>
          <t>FM2997</t>
        </is>
      </c>
      <c r="B199" s="14" t="n"/>
      <c r="C199" s="13" t="n">
        <v>45734</v>
      </c>
      <c r="D199" s="12" t="inlineStr">
        <is>
          <t>Cash Sale</t>
        </is>
      </c>
      <c r="E199" s="14" t="inlineStr">
        <is>
          <t>AM Electricidade</t>
        </is>
      </c>
      <c r="F199" s="14" t="inlineStr">
        <is>
          <t>AT 18/18</t>
        </is>
      </c>
      <c r="G199" s="20" t="n">
        <v>1</v>
      </c>
      <c r="H199" s="19" t="n">
        <v>7742</v>
      </c>
      <c r="I199" s="18">
        <f>G199*H199</f>
        <v/>
      </c>
      <c r="J199" s="11" t="n"/>
      <c r="K199" s="17" t="n"/>
      <c r="L199" s="16">
        <f>K199+C199</f>
        <v/>
      </c>
      <c r="M199" s="11" t="inlineStr">
        <is>
          <t>ST</t>
        </is>
      </c>
      <c r="N199" s="15" t="n"/>
      <c r="O199" s="14" t="n"/>
      <c r="P199" s="14" t="n"/>
      <c r="Q199" s="14" t="n"/>
      <c r="R199" s="14" t="n"/>
    </row>
    <row r="200">
      <c r="A200" s="14" t="inlineStr">
        <is>
          <t>FM2998</t>
        </is>
      </c>
      <c r="B200" s="14" t="n"/>
      <c r="C200" s="13" t="n">
        <v>45734</v>
      </c>
      <c r="D200" s="12" t="inlineStr">
        <is>
          <t>PO1975</t>
        </is>
      </c>
      <c r="E200" s="14" t="inlineStr">
        <is>
          <t xml:space="preserve">Hucra Fans </t>
        </is>
      </c>
      <c r="F200" s="14" t="inlineStr">
        <is>
          <t>RAD 250</t>
        </is>
      </c>
      <c r="G200" s="20" t="n">
        <v>2</v>
      </c>
      <c r="H200" s="19" t="n">
        <v>2097</v>
      </c>
      <c r="I200" s="18">
        <f>G200*H200</f>
        <v/>
      </c>
      <c r="J200" s="11" t="n"/>
      <c r="K200" s="17" t="n"/>
      <c r="L200" s="16">
        <f>K200+C200</f>
        <v/>
      </c>
      <c r="M200" s="11" t="inlineStr">
        <is>
          <t>ZX</t>
        </is>
      </c>
      <c r="N200" s="15" t="n"/>
      <c r="O200" s="14" t="n"/>
      <c r="P200" s="14" t="n"/>
      <c r="Q200" s="14" t="n"/>
      <c r="R200" s="14" t="n"/>
    </row>
    <row r="201">
      <c r="A201" s="14" t="inlineStr">
        <is>
          <t>FM2999</t>
        </is>
      </c>
      <c r="B201" s="14" t="n"/>
      <c r="C201" s="13" t="n">
        <v>45735</v>
      </c>
      <c r="D201" s="12" t="inlineStr">
        <is>
          <t>PO115725</t>
        </is>
      </c>
      <c r="E201" s="14" t="inlineStr">
        <is>
          <t>Boleng</t>
        </is>
      </c>
      <c r="F201" s="14" t="inlineStr">
        <is>
          <t>CE200/RAD200 &amp; Accesories</t>
        </is>
      </c>
      <c r="G201" s="20" t="n">
        <v>1</v>
      </c>
      <c r="H201" s="19" t="n">
        <v>3965</v>
      </c>
      <c r="I201" s="18">
        <f>G201*H201</f>
        <v/>
      </c>
      <c r="J201" s="11" t="n"/>
      <c r="K201" s="17" t="n"/>
      <c r="L201" s="16">
        <f>K201+C201</f>
        <v/>
      </c>
      <c r="M201" s="11" t="n"/>
      <c r="N201" s="15" t="n"/>
      <c r="O201" s="14" t="n"/>
      <c r="P201" s="14" t="n"/>
      <c r="Q201" s="14" t="n"/>
      <c r="R201" s="14" t="n"/>
    </row>
    <row r="202">
      <c r="A202" s="14" t="inlineStr">
        <is>
          <t>FM3000</t>
        </is>
      </c>
      <c r="B202" s="14" t="n"/>
      <c r="C202" s="13" t="n">
        <v>45735</v>
      </c>
      <c r="D202" s="14" t="inlineStr">
        <is>
          <t>PO138129</t>
        </is>
      </c>
      <c r="E202" s="14" t="inlineStr">
        <is>
          <t>Lumen</t>
        </is>
      </c>
      <c r="F202" s="14" t="inlineStr">
        <is>
          <t xml:space="preserve">UV 710 c/w 2.2kW </t>
        </is>
      </c>
      <c r="G202" s="20" t="n">
        <v>1</v>
      </c>
      <c r="H202" s="19" t="n">
        <v>23265</v>
      </c>
      <c r="I202" s="18">
        <f>G202*H202</f>
        <v/>
      </c>
      <c r="J202" s="11" t="n"/>
      <c r="K202" s="17" t="n"/>
      <c r="L202" s="16">
        <f>K202+C202</f>
        <v/>
      </c>
      <c r="M202" s="11" t="inlineStr">
        <is>
          <t>ST</t>
        </is>
      </c>
      <c r="N202" s="15" t="n"/>
      <c r="O202" s="14" t="n"/>
      <c r="P202" s="14" t="n"/>
      <c r="Q202" s="14" t="n"/>
      <c r="R202" s="14" t="n"/>
    </row>
    <row r="203">
      <c r="A203" s="14" t="inlineStr">
        <is>
          <t>FM3001</t>
        </is>
      </c>
      <c r="B203" s="14" t="n"/>
      <c r="C203" s="13" t="n">
        <v>45735</v>
      </c>
      <c r="D203" s="12" t="n">
        <v>501324</v>
      </c>
      <c r="E203" s="14" t="inlineStr">
        <is>
          <t>Fans Maintenance &amp; More</t>
        </is>
      </c>
      <c r="F203" s="14" t="inlineStr">
        <is>
          <t>Lineo 315</t>
        </is>
      </c>
      <c r="G203" s="20" t="n">
        <v>1</v>
      </c>
      <c r="H203" s="19" t="n">
        <v>6726</v>
      </c>
      <c r="I203" s="18">
        <f>G203*H203</f>
        <v/>
      </c>
      <c r="J203" s="11" t="n"/>
      <c r="K203" s="17" t="n"/>
      <c r="L203" s="16">
        <f>K203+C203</f>
        <v/>
      </c>
      <c r="M203" s="11" t="inlineStr">
        <is>
          <t>ZX</t>
        </is>
      </c>
      <c r="N203" s="15" t="n"/>
      <c r="O203" s="14" t="n"/>
      <c r="P203" s="14" t="n"/>
      <c r="Q203" s="14" t="n"/>
      <c r="R203" s="14" t="n"/>
    </row>
    <row r="204">
      <c r="A204" s="14" t="inlineStr">
        <is>
          <t>FM3002</t>
        </is>
      </c>
      <c r="B204" s="14" t="n"/>
      <c r="C204" s="13" t="n">
        <v>45735</v>
      </c>
      <c r="D204" s="12" t="inlineStr">
        <is>
          <t>PO1976</t>
        </is>
      </c>
      <c r="E204" s="14" t="inlineStr">
        <is>
          <t xml:space="preserve">Hucra Fans </t>
        </is>
      </c>
      <c r="F204" s="14" t="inlineStr">
        <is>
          <t>Tiracamino</t>
        </is>
      </c>
      <c r="G204" s="20" t="n">
        <v>3</v>
      </c>
      <c r="H204" s="19" t="n">
        <v>11310</v>
      </c>
      <c r="I204" s="18">
        <f>G204*H204</f>
        <v/>
      </c>
      <c r="J204" s="11" t="n"/>
      <c r="K204" s="17" t="n"/>
      <c r="L204" s="16">
        <f>K204+C204</f>
        <v/>
      </c>
      <c r="M204" s="11" t="inlineStr">
        <is>
          <t>ZX</t>
        </is>
      </c>
      <c r="N204" s="15" t="n"/>
      <c r="O204" s="14" t="n"/>
      <c r="P204" s="14" t="n"/>
      <c r="Q204" s="14" t="n"/>
      <c r="R204" s="14" t="n"/>
    </row>
    <row r="205">
      <c r="A205" s="14" t="inlineStr">
        <is>
          <t>FM3003</t>
        </is>
      </c>
      <c r="B205" s="14" t="n"/>
      <c r="C205" s="13" t="n">
        <v>45735</v>
      </c>
      <c r="D205" s="12" t="inlineStr">
        <is>
          <t>Cash Sale</t>
        </is>
      </c>
      <c r="E205" s="14" t="inlineStr">
        <is>
          <t>Prexos Engineering</t>
        </is>
      </c>
      <c r="F205" s="14" t="inlineStr">
        <is>
          <t>Maxflo 400/150/10 c/w 1.1 KW 2P 380V</t>
        </is>
      </c>
      <c r="G205" s="20" t="n">
        <v>1</v>
      </c>
      <c r="H205" s="19">
        <f>6094+4570+566+672</f>
        <v/>
      </c>
      <c r="I205" s="18">
        <f>G205*H205</f>
        <v/>
      </c>
      <c r="J205" s="11" t="n"/>
      <c r="K205" s="17" t="n"/>
      <c r="L205" s="16">
        <f>K205+C205</f>
        <v/>
      </c>
      <c r="M205" s="11" t="n"/>
      <c r="N205" s="15" t="n"/>
      <c r="O205" s="14" t="n"/>
      <c r="P205" s="14" t="n"/>
      <c r="Q205" s="14" t="n"/>
      <c r="R205" s="14" t="n"/>
    </row>
    <row r="206">
      <c r="A206" s="14" t="inlineStr">
        <is>
          <t>FM3004</t>
        </is>
      </c>
      <c r="B206" s="14" t="n"/>
      <c r="C206" s="13" t="n">
        <v>45735</v>
      </c>
      <c r="D206" s="12" t="inlineStr">
        <is>
          <t>Cash Sale</t>
        </is>
      </c>
      <c r="E206" s="14" t="inlineStr">
        <is>
          <t>Prexos Engineering</t>
        </is>
      </c>
      <c r="F206" s="14" t="inlineStr">
        <is>
          <t>Maxflo 315/150/10 c/w 0.55 KW 2P 380V</t>
        </is>
      </c>
      <c r="G206" s="20" t="n">
        <v>1</v>
      </c>
      <c r="H206" s="19">
        <f>6146+3490+424+500</f>
        <v/>
      </c>
      <c r="I206" s="18">
        <f>G206*H206</f>
        <v/>
      </c>
      <c r="J206" s="11" t="n"/>
      <c r="K206" s="17" t="n"/>
      <c r="L206" s="16">
        <f>K206+C206</f>
        <v/>
      </c>
      <c r="M206" s="11" t="n"/>
      <c r="N206" s="15" t="n"/>
      <c r="O206" s="14" t="n"/>
      <c r="P206" s="14" t="n"/>
      <c r="Q206" s="14" t="n"/>
      <c r="R206" s="14" t="n"/>
    </row>
    <row r="207">
      <c r="A207" s="14" t="inlineStr">
        <is>
          <t>FM3005</t>
        </is>
      </c>
      <c r="B207" s="14" t="n"/>
      <c r="C207" s="13" t="n">
        <v>45735</v>
      </c>
      <c r="D207" s="14" t="inlineStr">
        <is>
          <t>PO0000999</t>
        </is>
      </c>
      <c r="E207" s="14" t="inlineStr">
        <is>
          <t>St Air</t>
        </is>
      </c>
      <c r="F207" s="14" t="inlineStr">
        <is>
          <t xml:space="preserve">RAD 150 &amp; Tube silencers </t>
        </is>
      </c>
      <c r="G207" s="20" t="n">
        <v>1</v>
      </c>
      <c r="H207" s="19" t="n">
        <v>2898</v>
      </c>
      <c r="I207" s="18">
        <f>G207*H207</f>
        <v/>
      </c>
      <c r="J207" s="11" t="n"/>
      <c r="K207" s="17" t="n"/>
      <c r="L207" s="16">
        <f>K207+C207</f>
        <v/>
      </c>
      <c r="M207" s="11" t="inlineStr">
        <is>
          <t>SM</t>
        </is>
      </c>
      <c r="N207" s="15" t="n"/>
      <c r="O207" s="14" t="n"/>
      <c r="P207" s="14" t="n"/>
      <c r="Q207" s="14" t="n"/>
      <c r="R207" s="14" t="n"/>
    </row>
    <row r="208">
      <c r="A208" s="14" t="inlineStr">
        <is>
          <t>FM3006</t>
        </is>
      </c>
      <c r="B208" s="14" t="n"/>
      <c r="C208" s="13" t="n">
        <v>45736</v>
      </c>
      <c r="D208" s="12" t="inlineStr">
        <is>
          <t>PO1977</t>
        </is>
      </c>
      <c r="E208" s="14" t="inlineStr">
        <is>
          <t xml:space="preserve">Hucra Fans </t>
        </is>
      </c>
      <c r="F208" s="14" t="inlineStr">
        <is>
          <t>V150/6 AR LLS</t>
        </is>
      </c>
      <c r="G208" s="20" t="n">
        <v>3</v>
      </c>
      <c r="H208" s="19" t="n">
        <v>1942</v>
      </c>
      <c r="I208" s="18">
        <f>G208*H208</f>
        <v/>
      </c>
      <c r="J208" s="11" t="n"/>
      <c r="K208" s="17" t="n"/>
      <c r="L208" s="16">
        <f>K208+C208</f>
        <v/>
      </c>
      <c r="M208" s="11" t="inlineStr">
        <is>
          <t>ZX</t>
        </is>
      </c>
      <c r="N208" s="15" t="n"/>
      <c r="O208" s="14" t="n"/>
      <c r="P208" s="14" t="n"/>
      <c r="Q208" s="14" t="n"/>
      <c r="R208" s="14" t="n"/>
    </row>
    <row r="209">
      <c r="A209" s="14" t="inlineStr">
        <is>
          <t>FM3007</t>
        </is>
      </c>
      <c r="B209" s="14" t="n"/>
      <c r="C209" s="13" t="n">
        <v>45736</v>
      </c>
      <c r="D209" s="12" t="inlineStr">
        <is>
          <t>Cash Sale</t>
        </is>
      </c>
      <c r="E209" s="14" t="inlineStr">
        <is>
          <t>Apex Engineering</t>
        </is>
      </c>
      <c r="F209" s="14" t="inlineStr">
        <is>
          <t>CMP 718-2T</t>
        </is>
      </c>
      <c r="G209" s="20" t="n">
        <v>1</v>
      </c>
      <c r="H209" s="19" t="n">
        <v>10118</v>
      </c>
      <c r="I209" s="18">
        <f>G209*H209</f>
        <v/>
      </c>
      <c r="J209" s="11" t="n"/>
      <c r="K209" s="17" t="n"/>
      <c r="L209" s="16">
        <f>K209+C209</f>
        <v/>
      </c>
      <c r="M209" s="11" t="inlineStr">
        <is>
          <t>ST</t>
        </is>
      </c>
      <c r="N209" s="15" t="n"/>
      <c r="O209" s="14" t="n"/>
      <c r="P209" s="14" t="n"/>
      <c r="Q209" s="14" t="n"/>
      <c r="R209" s="14" t="n"/>
    </row>
    <row r="210">
      <c r="A210" s="14" t="inlineStr">
        <is>
          <t>FM3008</t>
        </is>
      </c>
      <c r="B210" s="14" t="n"/>
      <c r="C210" s="13" t="n">
        <v>45736</v>
      </c>
      <c r="D210" s="12" t="inlineStr">
        <is>
          <t>PO0000004</t>
        </is>
      </c>
      <c r="E210" s="14" t="inlineStr">
        <is>
          <t xml:space="preserve">Meka Industrial </t>
        </is>
      </c>
      <c r="F210" s="14" t="inlineStr">
        <is>
          <t xml:space="preserve">UV 710 c/w 2.2kW </t>
        </is>
      </c>
      <c r="G210" s="20" t="n">
        <v>1</v>
      </c>
      <c r="H210" s="19" t="n">
        <v>20643</v>
      </c>
      <c r="I210" s="18">
        <f>G210*H210</f>
        <v/>
      </c>
      <c r="J210" s="11" t="n"/>
      <c r="K210" s="17" t="n"/>
      <c r="L210" s="16">
        <f>K210+C210</f>
        <v/>
      </c>
      <c r="M210" s="11" t="inlineStr">
        <is>
          <t>ST</t>
        </is>
      </c>
      <c r="N210" s="45" t="n"/>
      <c r="O210" s="45" t="n"/>
      <c r="P210" s="45" t="n"/>
      <c r="Q210" s="45" t="n"/>
      <c r="R210" s="45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>
      <c r="A211" s="14" t="inlineStr">
        <is>
          <t>FM3009</t>
        </is>
      </c>
      <c r="B211" s="14" t="n"/>
      <c r="C211" s="13" t="n">
        <v>45740</v>
      </c>
      <c r="D211" s="12" t="inlineStr">
        <is>
          <t>PO-0000543</t>
        </is>
      </c>
      <c r="E211" s="14" t="inlineStr">
        <is>
          <t>Jaft Aircon</t>
        </is>
      </c>
      <c r="F211" s="14" t="inlineStr">
        <is>
          <t>Lineo Q 315</t>
        </is>
      </c>
      <c r="G211" s="20" t="n">
        <v>1</v>
      </c>
      <c r="H211" s="19" t="n">
        <v>10328</v>
      </c>
      <c r="I211" s="18">
        <f>G211*H211</f>
        <v/>
      </c>
      <c r="J211" s="11" t="n"/>
      <c r="K211" s="17" t="n"/>
      <c r="L211" s="16">
        <f>K211+C211</f>
        <v/>
      </c>
      <c r="M211" s="40" t="inlineStr">
        <is>
          <t>MT</t>
        </is>
      </c>
      <c r="N211" s="39" t="n"/>
      <c r="O211" s="39" t="n"/>
      <c r="P211" s="39" t="n"/>
      <c r="Q211" s="39" t="n"/>
      <c r="R211" s="39" t="n"/>
      <c r="S211" s="43" t="n"/>
      <c r="T211" s="39" t="n"/>
      <c r="U211" s="39" t="n"/>
      <c r="V211" s="39" t="n"/>
      <c r="W211" s="39" t="n"/>
      <c r="X211" s="39" t="n"/>
      <c r="Y211" s="39" t="n"/>
      <c r="Z211" s="39" t="n"/>
      <c r="AA211" s="39" t="n"/>
      <c r="AB211" s="39" t="n"/>
    </row>
    <row r="212">
      <c r="A212" s="14" t="inlineStr">
        <is>
          <t>FM3010</t>
        </is>
      </c>
      <c r="B212" s="14" t="n"/>
      <c r="C212" s="13" t="n">
        <v>45740</v>
      </c>
      <c r="D212" s="12" t="inlineStr">
        <is>
          <t>DPO0862</t>
        </is>
      </c>
      <c r="E212" s="42" t="inlineStr">
        <is>
          <t>Dueltron</t>
        </is>
      </c>
      <c r="F212" s="41" t="inlineStr">
        <is>
          <t>1000 Counter Flanges</t>
        </is>
      </c>
      <c r="G212" s="40" t="n">
        <v>8</v>
      </c>
      <c r="H212" s="19" t="n">
        <v>777</v>
      </c>
      <c r="I212" s="18">
        <f>G212*H212</f>
        <v/>
      </c>
      <c r="J212" s="11" t="n"/>
      <c r="K212" s="17" t="n"/>
      <c r="L212" s="16">
        <f>K212+C212</f>
        <v/>
      </c>
      <c r="M212" s="40" t="inlineStr">
        <is>
          <t>MT</t>
        </is>
      </c>
      <c r="N212" s="39" t="n"/>
      <c r="O212" s="39" t="n"/>
      <c r="P212" s="39" t="n"/>
      <c r="Q212" s="39" t="n"/>
      <c r="R212" s="39" t="n"/>
      <c r="S212" s="38" t="n"/>
      <c r="T212" s="38" t="n"/>
      <c r="U212" s="38" t="n"/>
      <c r="V212" s="38" t="n"/>
      <c r="W212" s="38" t="n"/>
      <c r="X212" s="38" t="n"/>
      <c r="Y212" s="38" t="n"/>
      <c r="Z212" s="38" t="n"/>
      <c r="AA212" s="38" t="n"/>
      <c r="AB212" s="38" t="n"/>
    </row>
    <row r="213">
      <c r="A213" s="14" t="inlineStr">
        <is>
          <t>FM3011</t>
        </is>
      </c>
      <c r="B213" s="14" t="n"/>
      <c r="C213" s="13" t="n">
        <v>45741</v>
      </c>
      <c r="D213" s="12" t="inlineStr">
        <is>
          <t>PO0001405</t>
        </is>
      </c>
      <c r="E213" s="14" t="inlineStr">
        <is>
          <t>Wagner Systems</t>
        </is>
      </c>
      <c r="F213" s="14" t="inlineStr">
        <is>
          <t>V150/6 AR</t>
        </is>
      </c>
      <c r="G213" s="20" t="n">
        <v>4</v>
      </c>
      <c r="H213" s="19" t="n">
        <v>1937</v>
      </c>
      <c r="I213" s="18">
        <f>G213*H213</f>
        <v/>
      </c>
      <c r="J213" s="11" t="n"/>
      <c r="K213" s="17" t="n"/>
      <c r="L213" s="16">
        <f>K213+C213</f>
        <v/>
      </c>
      <c r="M213" s="11" t="inlineStr">
        <is>
          <t>ST</t>
        </is>
      </c>
      <c r="N213" s="15" t="n"/>
      <c r="O213" s="14" t="n"/>
      <c r="P213" s="14" t="n"/>
      <c r="Q213" s="14" t="n"/>
      <c r="R213" s="14" t="n"/>
    </row>
    <row r="214">
      <c r="A214" s="14" t="inlineStr">
        <is>
          <t>FM3012</t>
        </is>
      </c>
      <c r="B214" s="14" t="n"/>
      <c r="C214" s="13" t="n">
        <v>45741</v>
      </c>
      <c r="D214" s="12" t="inlineStr">
        <is>
          <t>Cash sale</t>
        </is>
      </c>
      <c r="E214" s="14" t="inlineStr">
        <is>
          <t>Zefs</t>
        </is>
      </c>
      <c r="F214" s="14" t="inlineStr">
        <is>
          <t>Maxflo 630 c/w1.5kw 4P 380V &amp; Avms</t>
        </is>
      </c>
      <c r="G214" s="20" t="n">
        <v>1</v>
      </c>
      <c r="H214" s="19" t="n">
        <v>9575</v>
      </c>
      <c r="I214" s="18">
        <f>G214*H214</f>
        <v/>
      </c>
      <c r="J214" s="11" t="n"/>
      <c r="K214" s="17" t="n"/>
      <c r="L214" s="16">
        <f>K214+C214</f>
        <v/>
      </c>
      <c r="M214" s="11" t="inlineStr">
        <is>
          <t>MT</t>
        </is>
      </c>
      <c r="N214" s="15" t="n"/>
      <c r="O214" s="14" t="n"/>
      <c r="P214" s="14" t="n"/>
      <c r="Q214" s="14" t="n"/>
      <c r="R214" s="14" t="n"/>
    </row>
    <row r="215">
      <c r="A215" s="14" t="inlineStr">
        <is>
          <t>FM3013</t>
        </is>
      </c>
      <c r="B215" s="14" t="n"/>
      <c r="C215" s="13" t="n">
        <v>45741</v>
      </c>
      <c r="D215" s="12" t="inlineStr">
        <is>
          <t>PURO0000045393</t>
        </is>
      </c>
      <c r="E215" s="14" t="inlineStr">
        <is>
          <t>Rey &amp; Leferna</t>
        </is>
      </c>
      <c r="F215" s="14" t="inlineStr">
        <is>
          <t>Lineo Quiet Fans</t>
        </is>
      </c>
      <c r="G215" s="20" t="n"/>
      <c r="H215" s="19" t="n"/>
      <c r="I215" s="18">
        <f>G215*H215</f>
        <v/>
      </c>
      <c r="J215" s="11" t="n"/>
      <c r="K215" s="17" t="n"/>
      <c r="L215" s="16">
        <f>K215+C215</f>
        <v/>
      </c>
      <c r="M215" s="11" t="n"/>
      <c r="N215" s="15" t="n"/>
      <c r="O215" s="14" t="n"/>
      <c r="P215" s="14" t="n"/>
      <c r="Q215" s="14" t="n"/>
      <c r="R215" s="14" t="n"/>
    </row>
    <row r="216">
      <c r="A216" s="14" t="inlineStr">
        <is>
          <t>FM3014</t>
        </is>
      </c>
      <c r="B216" s="14" t="n"/>
      <c r="C216" s="13" t="n">
        <v>45741</v>
      </c>
      <c r="D216" s="12" t="inlineStr">
        <is>
          <t>PURO0000045393</t>
        </is>
      </c>
      <c r="E216" s="14" t="inlineStr">
        <is>
          <t>Rey &amp; Leferna</t>
        </is>
      </c>
      <c r="F216" s="14" t="inlineStr">
        <is>
          <t>Maxflo 900 c/w 4kW 4Pole</t>
        </is>
      </c>
      <c r="G216" s="20" t="n">
        <v>1</v>
      </c>
      <c r="H216" s="19" t="n">
        <v>67429</v>
      </c>
      <c r="I216" s="18">
        <f>G216*H216</f>
        <v/>
      </c>
      <c r="J216" s="11" t="n"/>
      <c r="K216" s="17" t="n"/>
      <c r="L216" s="16">
        <f>K216+C216</f>
        <v/>
      </c>
      <c r="M216" s="11" t="inlineStr">
        <is>
          <t>ST</t>
        </is>
      </c>
      <c r="N216" s="15" t="n"/>
      <c r="O216" s="14" t="n"/>
      <c r="P216" s="14" t="n"/>
      <c r="Q216" s="14" t="n"/>
      <c r="R216" s="14" t="n"/>
    </row>
    <row r="217">
      <c r="A217" s="14" t="inlineStr">
        <is>
          <t>FM3015</t>
        </is>
      </c>
      <c r="B217" s="14" t="n"/>
      <c r="C217" s="13" t="n">
        <v>45741</v>
      </c>
      <c r="D217" s="12" t="inlineStr">
        <is>
          <t>PURO0000045393</t>
        </is>
      </c>
      <c r="E217" s="14" t="inlineStr">
        <is>
          <t>Rey &amp; Leferna</t>
        </is>
      </c>
      <c r="F217" s="14" t="inlineStr">
        <is>
          <t>Maxflo 800 c/w 2.2kW 4Pole</t>
        </is>
      </c>
      <c r="G217" s="20" t="n">
        <v>1</v>
      </c>
      <c r="H217" s="19" t="n">
        <v>49851</v>
      </c>
      <c r="I217" s="18">
        <f>G217*H217</f>
        <v/>
      </c>
      <c r="J217" s="11" t="n"/>
      <c r="K217" s="17" t="n"/>
      <c r="L217" s="16">
        <f>K217+C217</f>
        <v/>
      </c>
      <c r="M217" s="11" t="inlineStr">
        <is>
          <t>ST</t>
        </is>
      </c>
      <c r="N217" s="15" t="n"/>
      <c r="O217" s="14" t="n"/>
      <c r="P217" s="14" t="n"/>
      <c r="Q217" s="14" t="n"/>
      <c r="R217" s="14" t="n"/>
    </row>
    <row r="218">
      <c r="A218" s="14" t="inlineStr">
        <is>
          <t>FM3016</t>
        </is>
      </c>
      <c r="B218" s="14" t="n"/>
      <c r="C218" s="13" t="n">
        <v>45741</v>
      </c>
      <c r="D218" s="12" t="inlineStr">
        <is>
          <t>PURO0000045393</t>
        </is>
      </c>
      <c r="E218" s="14" t="inlineStr">
        <is>
          <t>Rey &amp; Leferna</t>
        </is>
      </c>
      <c r="F218" s="14" t="inlineStr">
        <is>
          <t>Maxflo 400 c/w 1.1kW 2Pole</t>
        </is>
      </c>
      <c r="G218" s="20" t="n">
        <v>1</v>
      </c>
      <c r="H218" s="19" t="n">
        <v>25900</v>
      </c>
      <c r="I218" s="18">
        <f>G218*H218</f>
        <v/>
      </c>
      <c r="J218" s="11" t="n"/>
      <c r="K218" s="17" t="n"/>
      <c r="L218" s="16">
        <f>K218+C218</f>
        <v/>
      </c>
      <c r="M218" s="11" t="inlineStr">
        <is>
          <t>ST</t>
        </is>
      </c>
      <c r="N218" s="15" t="n"/>
      <c r="O218" s="14" t="n"/>
      <c r="P218" s="14" t="n"/>
      <c r="Q218" s="14" t="n"/>
      <c r="R218" s="14" t="n"/>
    </row>
    <row r="219">
      <c r="A219" s="14" t="inlineStr">
        <is>
          <t>FM3017</t>
        </is>
      </c>
      <c r="B219" s="14" t="n"/>
      <c r="C219" s="13" t="n">
        <v>45741</v>
      </c>
      <c r="D219" s="12" t="inlineStr">
        <is>
          <t>PURO0000045393</t>
        </is>
      </c>
      <c r="E219" s="14" t="inlineStr">
        <is>
          <t>Rey &amp; Leferna</t>
        </is>
      </c>
      <c r="F219" s="14" t="inlineStr">
        <is>
          <t>Maxflo 1000 c/w 15kW 4Pole</t>
        </is>
      </c>
      <c r="G219" s="20" t="n">
        <v>1</v>
      </c>
      <c r="H219" s="19" t="n">
        <v>119783</v>
      </c>
      <c r="I219" s="18">
        <f>G219*H219</f>
        <v/>
      </c>
      <c r="J219" s="11" t="n"/>
      <c r="K219" s="17" t="n"/>
      <c r="L219" s="16">
        <f>K219+C219</f>
        <v/>
      </c>
      <c r="M219" s="11" t="inlineStr">
        <is>
          <t>ST</t>
        </is>
      </c>
      <c r="N219" s="15" t="n"/>
      <c r="O219" s="14" t="n"/>
      <c r="P219" s="14" t="n"/>
      <c r="Q219" s="14" t="n"/>
      <c r="R219" s="14" t="n"/>
    </row>
    <row r="220">
      <c r="A220" s="14" t="inlineStr">
        <is>
          <t>FM3018</t>
        </is>
      </c>
      <c r="B220" s="14" t="n"/>
      <c r="C220" s="13" t="n">
        <v>45741</v>
      </c>
      <c r="D220" s="12" t="inlineStr">
        <is>
          <t>PURO0000045393</t>
        </is>
      </c>
      <c r="E220" s="14" t="inlineStr">
        <is>
          <t>Rey &amp; Leferna</t>
        </is>
      </c>
      <c r="F220" s="14" t="inlineStr">
        <is>
          <t>Maxflo 1000 c/w 5.5kW 4Pole</t>
        </is>
      </c>
      <c r="G220" s="20" t="n">
        <v>1</v>
      </c>
      <c r="H220" s="19" t="n">
        <v>76526</v>
      </c>
      <c r="I220" s="18">
        <f>G220*H220</f>
        <v/>
      </c>
      <c r="J220" s="11" t="n"/>
      <c r="K220" s="17" t="n"/>
      <c r="L220" s="16">
        <f>K220+C220</f>
        <v/>
      </c>
      <c r="M220" s="11" t="inlineStr">
        <is>
          <t>ST</t>
        </is>
      </c>
      <c r="N220" s="15" t="n"/>
      <c r="O220" s="14" t="n"/>
      <c r="P220" s="14" t="n"/>
      <c r="Q220" s="14" t="n"/>
      <c r="R220" s="14" t="n"/>
    </row>
    <row r="221">
      <c r="A221" s="14" t="inlineStr">
        <is>
          <t>FM3019</t>
        </is>
      </c>
      <c r="B221" s="14" t="n"/>
      <c r="C221" s="13" t="n">
        <v>45741</v>
      </c>
      <c r="D221" s="12" t="inlineStr">
        <is>
          <t>PURO0000045393</t>
        </is>
      </c>
      <c r="E221" s="14" t="inlineStr">
        <is>
          <t>Rey &amp; Leferna</t>
        </is>
      </c>
      <c r="F221" s="14" t="inlineStr">
        <is>
          <t>Maxflo 315 c/w 0.37kW 2Pole</t>
        </is>
      </c>
      <c r="G221" s="20" t="n">
        <v>1</v>
      </c>
      <c r="H221" s="19" t="n">
        <v>22775</v>
      </c>
      <c r="I221" s="18">
        <f>G221*H221</f>
        <v/>
      </c>
      <c r="J221" s="11" t="n"/>
      <c r="K221" s="17" t="n"/>
      <c r="L221" s="16">
        <f>K221+C221</f>
        <v/>
      </c>
      <c r="M221" s="11" t="inlineStr">
        <is>
          <t>ST</t>
        </is>
      </c>
      <c r="N221" s="15" t="n"/>
      <c r="O221" s="14" t="n"/>
      <c r="P221" s="14" t="n"/>
      <c r="Q221" s="14" t="n"/>
      <c r="R221" s="14" t="n"/>
    </row>
    <row r="222">
      <c r="A222" s="14" t="inlineStr">
        <is>
          <t>FM3020</t>
        </is>
      </c>
      <c r="B222" s="14" t="n"/>
      <c r="C222" s="13" t="n">
        <v>45741</v>
      </c>
      <c r="D222" s="12" t="inlineStr">
        <is>
          <t>PURO0000045393</t>
        </is>
      </c>
      <c r="E222" s="14" t="inlineStr">
        <is>
          <t>Rey &amp; Leferna</t>
        </is>
      </c>
      <c r="F222" s="14" t="inlineStr">
        <is>
          <t>Maxflo 560 c/w 0.75kW 4P + Accessories</t>
        </is>
      </c>
      <c r="G222" s="20" t="n">
        <v>1</v>
      </c>
      <c r="H222" s="19" t="n">
        <v>33538</v>
      </c>
      <c r="I222" s="18">
        <f>G222*H222</f>
        <v/>
      </c>
      <c r="J222" s="11" t="n"/>
      <c r="K222" s="17" t="n"/>
      <c r="L222" s="16">
        <f>K222+C222</f>
        <v/>
      </c>
      <c r="M222" s="11" t="inlineStr">
        <is>
          <t>ST</t>
        </is>
      </c>
      <c r="N222" s="15" t="n"/>
      <c r="O222" s="14" t="n"/>
      <c r="P222" s="14" t="n"/>
      <c r="Q222" s="14" t="n"/>
      <c r="R222" s="14" t="n"/>
    </row>
    <row r="223">
      <c r="A223" s="14" t="inlineStr">
        <is>
          <t>FM3021</t>
        </is>
      </c>
      <c r="B223" s="14" t="n"/>
      <c r="C223" s="13" t="n">
        <v>45741</v>
      </c>
      <c r="D223" s="12" t="inlineStr">
        <is>
          <t>PURO0000045393</t>
        </is>
      </c>
      <c r="E223" s="14" t="inlineStr">
        <is>
          <t>Rey &amp; Leferna</t>
        </is>
      </c>
      <c r="F223" s="14" t="inlineStr">
        <is>
          <t>Maxflo 560 c/w 0.75kW 4P + Accessories</t>
        </is>
      </c>
      <c r="G223" s="20" t="n">
        <v>1</v>
      </c>
      <c r="H223" s="19" t="n">
        <v>31492</v>
      </c>
      <c r="I223" s="18">
        <f>G223*H223</f>
        <v/>
      </c>
      <c r="J223" s="11" t="n"/>
      <c r="K223" s="17" t="n"/>
      <c r="L223" s="16">
        <f>K223+C223</f>
        <v/>
      </c>
      <c r="M223" s="11" t="inlineStr">
        <is>
          <t>ST</t>
        </is>
      </c>
      <c r="N223" s="15" t="n"/>
      <c r="O223" s="14" t="n"/>
      <c r="P223" s="14" t="n"/>
      <c r="Q223" s="14" t="n"/>
      <c r="R223" s="14" t="n"/>
    </row>
    <row r="224">
      <c r="A224" s="14" t="inlineStr">
        <is>
          <t>FM3022</t>
        </is>
      </c>
      <c r="B224" s="14" t="n"/>
      <c r="C224" s="13" t="n">
        <v>45741</v>
      </c>
      <c r="D224" s="12" t="inlineStr">
        <is>
          <t>PURO0000045393</t>
        </is>
      </c>
      <c r="E224" s="14" t="inlineStr">
        <is>
          <t>Rey &amp; Leferna</t>
        </is>
      </c>
      <c r="F224" s="14" t="inlineStr">
        <is>
          <t>Maxflo 900 c/w 4kW 4Pole</t>
        </is>
      </c>
      <c r="G224" s="20" t="n">
        <v>1</v>
      </c>
      <c r="H224" s="19" t="n">
        <v>65725</v>
      </c>
      <c r="I224" s="18">
        <f>G224*H224</f>
        <v/>
      </c>
      <c r="J224" s="11" t="n"/>
      <c r="K224" s="17" t="n"/>
      <c r="L224" s="16">
        <f>K224+C224</f>
        <v/>
      </c>
      <c r="M224" s="11" t="inlineStr">
        <is>
          <t>ST</t>
        </is>
      </c>
      <c r="N224" s="15" t="n"/>
      <c r="O224" s="14" t="n"/>
      <c r="P224" s="14" t="n"/>
      <c r="Q224" s="14" t="n"/>
      <c r="R224" s="14" t="n"/>
    </row>
    <row r="225">
      <c r="A225" s="14" t="inlineStr">
        <is>
          <t>FM3023</t>
        </is>
      </c>
      <c r="B225" s="14" t="n"/>
      <c r="C225" s="13" t="n">
        <v>45741</v>
      </c>
      <c r="D225" s="12" t="inlineStr">
        <is>
          <t>PURO0000045393</t>
        </is>
      </c>
      <c r="E225" s="14" t="inlineStr">
        <is>
          <t>Rey &amp; Leferna</t>
        </is>
      </c>
      <c r="F225" s="14" t="inlineStr">
        <is>
          <t>Maxflo 630 c/w 1.5kW 4Pole</t>
        </is>
      </c>
      <c r="G225" s="20" t="n">
        <v>1</v>
      </c>
      <c r="H225" s="19" t="n">
        <v>35787</v>
      </c>
      <c r="I225" s="18">
        <f>G225*H225</f>
        <v/>
      </c>
      <c r="J225" s="11" t="n"/>
      <c r="K225" s="17" t="n"/>
      <c r="L225" s="16">
        <f>K225+C225</f>
        <v/>
      </c>
      <c r="M225" s="11" t="inlineStr">
        <is>
          <t>ST</t>
        </is>
      </c>
      <c r="N225" s="15" t="n"/>
      <c r="O225" s="14" t="n"/>
      <c r="P225" s="14" t="n"/>
      <c r="Q225" s="14" t="n"/>
      <c r="R225" s="14" t="n"/>
    </row>
    <row r="226">
      <c r="A226" s="14" t="inlineStr">
        <is>
          <t>FM3024</t>
        </is>
      </c>
      <c r="B226" s="14" t="n"/>
      <c r="C226" s="13" t="n">
        <v>45741</v>
      </c>
      <c r="D226" s="12" t="inlineStr">
        <is>
          <t>PURO0000045393</t>
        </is>
      </c>
      <c r="E226" s="14" t="inlineStr">
        <is>
          <t>Rey &amp; Leferna</t>
        </is>
      </c>
      <c r="F226" s="14" t="inlineStr">
        <is>
          <t>Maxflo 500 c/w 0.37kW 4P + Accessories</t>
        </is>
      </c>
      <c r="G226" s="20" t="n">
        <v>1</v>
      </c>
      <c r="H226" s="19" t="n">
        <v>28448</v>
      </c>
      <c r="I226" s="18">
        <f>G226*H226</f>
        <v/>
      </c>
      <c r="J226" s="11" t="n"/>
      <c r="K226" s="17" t="n"/>
      <c r="L226" s="16">
        <f>K226+C226</f>
        <v/>
      </c>
      <c r="M226" s="11" t="inlineStr">
        <is>
          <t>ST</t>
        </is>
      </c>
      <c r="N226" s="15" t="n"/>
      <c r="O226" s="14" t="n"/>
      <c r="P226" s="14" t="n"/>
      <c r="Q226" s="14" t="n"/>
      <c r="R226" s="14" t="n"/>
    </row>
    <row r="227">
      <c r="A227" s="14" t="inlineStr">
        <is>
          <t>FM3025</t>
        </is>
      </c>
      <c r="B227" s="14" t="n"/>
      <c r="C227" s="13" t="n">
        <v>45741</v>
      </c>
      <c r="D227" s="12" t="inlineStr">
        <is>
          <t>PURO0000045393</t>
        </is>
      </c>
      <c r="E227" s="14" t="inlineStr">
        <is>
          <t>Rey &amp; Leferna</t>
        </is>
      </c>
      <c r="F227" s="14" t="inlineStr">
        <is>
          <t>Maxflo 500 c/w 0.25kW 4P + Accessories</t>
        </is>
      </c>
      <c r="G227" s="20" t="n">
        <v>1</v>
      </c>
      <c r="H227" s="19" t="n">
        <v>28128</v>
      </c>
      <c r="I227" s="18">
        <f>G227*H227</f>
        <v/>
      </c>
      <c r="J227" s="11" t="n"/>
      <c r="K227" s="17" t="n"/>
      <c r="L227" s="16">
        <f>K227+C227</f>
        <v/>
      </c>
      <c r="M227" s="11" t="inlineStr">
        <is>
          <t>ST</t>
        </is>
      </c>
      <c r="N227" s="15" t="n"/>
      <c r="O227" s="14" t="n"/>
      <c r="P227" s="14" t="n"/>
      <c r="Q227" s="14" t="n"/>
      <c r="R227" s="14" t="n"/>
    </row>
    <row r="228">
      <c r="A228" s="14" t="inlineStr">
        <is>
          <t>FM3026</t>
        </is>
      </c>
      <c r="B228" s="14" t="n"/>
      <c r="C228" s="13" t="n">
        <v>45741</v>
      </c>
      <c r="D228" s="12" t="inlineStr">
        <is>
          <t>PURO0000045393</t>
        </is>
      </c>
      <c r="E228" s="14" t="inlineStr">
        <is>
          <t>Rey &amp; Leferna</t>
        </is>
      </c>
      <c r="F228" s="14" t="inlineStr">
        <is>
          <t>Maxflo 500 c/w 0.37kW 4P + Accessories</t>
        </is>
      </c>
      <c r="G228" s="20" t="n">
        <v>1</v>
      </c>
      <c r="H228" s="19" t="n">
        <v>28488</v>
      </c>
      <c r="I228" s="18">
        <f>G228*H228</f>
        <v/>
      </c>
      <c r="J228" s="11" t="n"/>
      <c r="K228" s="17" t="n"/>
      <c r="L228" s="16">
        <f>K228+C228</f>
        <v/>
      </c>
      <c r="M228" s="11" t="inlineStr">
        <is>
          <t>ST</t>
        </is>
      </c>
      <c r="N228" s="15" t="n"/>
      <c r="O228" s="14" t="n"/>
      <c r="P228" s="14" t="n"/>
      <c r="Q228" s="14" t="n"/>
      <c r="R228" s="14" t="n"/>
    </row>
    <row r="229">
      <c r="A229" s="14" t="inlineStr">
        <is>
          <t>FM3027</t>
        </is>
      </c>
      <c r="B229" s="14" t="n"/>
      <c r="C229" s="13" t="n">
        <v>45742</v>
      </c>
      <c r="D229" s="12" t="inlineStr">
        <is>
          <t>Cash</t>
        </is>
      </c>
      <c r="E229" s="14" t="inlineStr">
        <is>
          <t>Drake &amp; Gorham (Zambia) LTD</t>
        </is>
      </c>
      <c r="F229" s="14" t="inlineStr">
        <is>
          <t>Maxflo 630/250/14 P c/w 3 kW 4 P + Accessories</t>
        </is>
      </c>
      <c r="G229" s="20" t="n">
        <v>1</v>
      </c>
      <c r="H229" s="19">
        <f>8967.84+7266+(2*3919)+(443*2)+(288*4)</f>
        <v/>
      </c>
      <c r="I229" s="18">
        <f>G229*H229</f>
        <v/>
      </c>
      <c r="J229" s="11" t="n"/>
      <c r="K229" s="17" t="n"/>
      <c r="L229" s="16">
        <f>K229+C229</f>
        <v/>
      </c>
      <c r="M229" s="11" t="inlineStr">
        <is>
          <t>SM</t>
        </is>
      </c>
      <c r="N229" s="15" t="n"/>
      <c r="O229" s="14" t="n"/>
      <c r="P229" s="14" t="n"/>
      <c r="Q229" s="14" t="n"/>
      <c r="R229" s="14" t="n"/>
    </row>
    <row r="230">
      <c r="A230" s="14" t="inlineStr">
        <is>
          <t>FM3028</t>
        </is>
      </c>
      <c r="B230" s="14" t="n"/>
      <c r="C230" s="13" t="n">
        <v>45742</v>
      </c>
      <c r="D230" s="12" t="inlineStr">
        <is>
          <t>Cash</t>
        </is>
      </c>
      <c r="E230" s="14" t="inlineStr">
        <is>
          <t>Drake &amp; Gorham (Zambia) LTD</t>
        </is>
      </c>
      <c r="F230" s="14" t="inlineStr">
        <is>
          <t>Maxflo 710/250/14 A c/w 4 kW 4 P + Accessories</t>
        </is>
      </c>
      <c r="G230" s="20" t="n">
        <v>1</v>
      </c>
      <c r="H230" s="19">
        <f>(12438.98+7778+5377+(501*2)+(413*4))</f>
        <v/>
      </c>
      <c r="I230" s="18">
        <f>G230*H230</f>
        <v/>
      </c>
      <c r="J230" s="11" t="n"/>
      <c r="K230" s="17" t="n"/>
      <c r="L230" s="16">
        <f>K230+C230</f>
        <v/>
      </c>
      <c r="M230" s="11" t="inlineStr">
        <is>
          <t>SM</t>
        </is>
      </c>
      <c r="N230" s="15" t="n"/>
      <c r="O230" s="14" t="n"/>
      <c r="P230" s="14" t="n"/>
      <c r="Q230" s="14" t="n"/>
      <c r="R230" s="14" t="n"/>
    </row>
    <row r="231">
      <c r="A231" s="14" t="inlineStr">
        <is>
          <t>FM3029</t>
        </is>
      </c>
      <c r="B231" s="14" t="n"/>
      <c r="C231" s="13" t="n">
        <v>45742</v>
      </c>
      <c r="D231" s="12" t="inlineStr">
        <is>
          <t>Cash</t>
        </is>
      </c>
      <c r="E231" s="14" t="inlineStr">
        <is>
          <t>Drake &amp; Gorham (Zambia) LTD</t>
        </is>
      </c>
      <c r="F231" s="14" t="inlineStr">
        <is>
          <t>Maxflo 630/250/14 P c/w 3 kW 4 P + Accessories</t>
        </is>
      </c>
      <c r="G231" s="20" t="n">
        <v>1</v>
      </c>
      <c r="H231" s="19">
        <f>8967.84+7266+(2*3919)+(443*2)+(288*4)</f>
        <v/>
      </c>
      <c r="I231" s="18">
        <f>G231*H231</f>
        <v/>
      </c>
      <c r="J231" s="11" t="n"/>
      <c r="K231" s="17" t="n"/>
      <c r="L231" s="16">
        <f>K231+C231</f>
        <v/>
      </c>
      <c r="M231" s="11" t="inlineStr">
        <is>
          <t>SM</t>
        </is>
      </c>
      <c r="N231" s="15" t="n"/>
      <c r="O231" s="14" t="n"/>
      <c r="P231" s="14" t="n"/>
      <c r="Q231" s="14" t="n"/>
      <c r="R231" s="14" t="n"/>
    </row>
    <row r="232">
      <c r="A232" s="14" t="inlineStr">
        <is>
          <t>FM3030</t>
        </is>
      </c>
      <c r="B232" s="14" t="n"/>
      <c r="C232" s="13" t="n">
        <v>45742</v>
      </c>
      <c r="D232" s="12" t="inlineStr">
        <is>
          <t>Cash</t>
        </is>
      </c>
      <c r="E232" s="14" t="inlineStr">
        <is>
          <t>Drake &amp; Gorham (Zambia) LTD</t>
        </is>
      </c>
      <c r="F232" s="14" t="inlineStr">
        <is>
          <t>Maxflo 710/250/14 A c/w 4 kW 4 P + Accessories</t>
        </is>
      </c>
      <c r="G232" s="20" t="n">
        <v>1</v>
      </c>
      <c r="H232" s="19">
        <f>(12438.98+7778+5377+(501*2)+(413*4))</f>
        <v/>
      </c>
      <c r="I232" s="18">
        <f>G232*H232</f>
        <v/>
      </c>
      <c r="J232" s="11" t="n"/>
      <c r="K232" s="17" t="n"/>
      <c r="L232" s="16">
        <f>K232+C232</f>
        <v/>
      </c>
      <c r="M232" s="11" t="inlineStr">
        <is>
          <t>SM</t>
        </is>
      </c>
      <c r="N232" s="15" t="n"/>
      <c r="O232" s="14" t="n"/>
      <c r="P232" s="14" t="n"/>
      <c r="Q232" s="14" t="n"/>
      <c r="R232" s="14" t="n"/>
    </row>
    <row r="233">
      <c r="A233" s="14" t="inlineStr">
        <is>
          <t>FM3031</t>
        </is>
      </c>
      <c r="B233" s="14" t="n"/>
      <c r="C233" s="13" t="n">
        <v>45742</v>
      </c>
      <c r="D233" s="12" t="inlineStr">
        <is>
          <t>PO-25852</t>
        </is>
      </c>
      <c r="E233" s="14" t="inlineStr">
        <is>
          <t>Aircycle Engineering</t>
        </is>
      </c>
      <c r="F233" s="14" t="inlineStr">
        <is>
          <t>Majax-3 500 15.B.8 c/w 0.37kW 2P + Accessories</t>
        </is>
      </c>
      <c r="G233" s="20" t="n">
        <v>2</v>
      </c>
      <c r="H233" s="19">
        <f>4823+212</f>
        <v/>
      </c>
      <c r="I233" s="18">
        <f>G233*H233</f>
        <v/>
      </c>
      <c r="J233" s="11" t="n"/>
      <c r="K233" s="17" t="n"/>
      <c r="L233" s="16">
        <f>K233+C233</f>
        <v/>
      </c>
      <c r="M233" s="11" t="inlineStr">
        <is>
          <t>SM</t>
        </is>
      </c>
      <c r="N233" s="15" t="n"/>
      <c r="O233" s="14" t="n"/>
      <c r="P233" s="14" t="n"/>
      <c r="Q233" s="14" t="n"/>
      <c r="R233" s="14" t="n"/>
    </row>
    <row r="234">
      <c r="A234" s="14" t="inlineStr">
        <is>
          <t>FM3032</t>
        </is>
      </c>
      <c r="B234" s="14" t="n"/>
      <c r="C234" s="13" t="n">
        <v>45743</v>
      </c>
      <c r="D234" s="12" t="inlineStr">
        <is>
          <t>Cash Sale</t>
        </is>
      </c>
      <c r="E234" s="14" t="inlineStr">
        <is>
          <t>Zefs</t>
        </is>
      </c>
      <c r="F234" s="14" t="inlineStr">
        <is>
          <t>Majax 710/630 fans</t>
        </is>
      </c>
      <c r="G234" s="20" t="n">
        <v>2</v>
      </c>
      <c r="H234" s="19" t="n">
        <v>19100</v>
      </c>
      <c r="I234" s="18" t="n">
        <v>19100</v>
      </c>
      <c r="J234" s="11" t="n"/>
      <c r="K234" s="17" t="n"/>
      <c r="L234" s="16">
        <f>K234+C234</f>
        <v/>
      </c>
      <c r="M234" s="11" t="inlineStr">
        <is>
          <t>MT</t>
        </is>
      </c>
      <c r="N234" s="15" t="n"/>
      <c r="O234" s="14" t="n"/>
      <c r="P234" s="14" t="n"/>
      <c r="Q234" s="14" t="n"/>
      <c r="R234" s="14" t="n"/>
    </row>
    <row r="235">
      <c r="A235" s="14" t="inlineStr">
        <is>
          <t>FM3033</t>
        </is>
      </c>
      <c r="B235" s="14" t="n"/>
      <c r="C235" s="13" t="n">
        <v>45743</v>
      </c>
      <c r="D235" s="12" t="inlineStr">
        <is>
          <t>POE11779</t>
        </is>
      </c>
      <c r="E235" s="14" t="inlineStr">
        <is>
          <t>LJ Trading</t>
        </is>
      </c>
      <c r="F235" s="14" t="inlineStr">
        <is>
          <t>RAD FANS</t>
        </is>
      </c>
      <c r="G235" s="20" t="n">
        <v>1</v>
      </c>
      <c r="H235" s="19" t="n">
        <v>9891</v>
      </c>
      <c r="I235" s="18">
        <f>G235*H235</f>
        <v/>
      </c>
      <c r="J235" s="11" t="n"/>
      <c r="K235" s="17" t="n"/>
      <c r="L235" s="16">
        <f>K235+C235</f>
        <v/>
      </c>
      <c r="M235" s="11" t="inlineStr">
        <is>
          <t>SM</t>
        </is>
      </c>
      <c r="N235" s="15" t="n"/>
      <c r="O235" s="14" t="n"/>
      <c r="P235" s="14" t="n"/>
      <c r="Q235" s="14" t="n"/>
      <c r="R235" s="14" t="n"/>
    </row>
    <row r="236">
      <c r="A236" s="14" t="inlineStr">
        <is>
          <t>FM3034</t>
        </is>
      </c>
      <c r="B236" s="14" t="n"/>
      <c r="C236" s="13" t="n">
        <v>45743</v>
      </c>
      <c r="D236" s="12" t="inlineStr">
        <is>
          <t>POE11779</t>
        </is>
      </c>
      <c r="E236" s="14" t="inlineStr">
        <is>
          <t>LJ Trading</t>
        </is>
      </c>
      <c r="F236" s="14" t="inlineStr">
        <is>
          <t>Maxflo 400 c/w 1.1kW 2Pole</t>
        </is>
      </c>
      <c r="G236" s="20" t="n">
        <v>1</v>
      </c>
      <c r="H236" s="19" t="n"/>
      <c r="I236" s="18">
        <f>G236*H236</f>
        <v/>
      </c>
      <c r="J236" s="11" t="n"/>
      <c r="K236" s="17" t="n"/>
      <c r="L236" s="16">
        <f>K236+C236</f>
        <v/>
      </c>
      <c r="M236" s="11" t="inlineStr">
        <is>
          <t>SM</t>
        </is>
      </c>
      <c r="N236" s="15" t="n"/>
      <c r="O236" s="14" t="n"/>
      <c r="P236" s="14" t="n"/>
      <c r="Q236" s="14" t="n"/>
      <c r="R236" s="14" t="n"/>
    </row>
    <row r="237">
      <c r="A237" s="14" t="inlineStr">
        <is>
          <t>FM3035</t>
        </is>
      </c>
      <c r="B237" s="14" t="n"/>
      <c r="C237" s="13" t="n">
        <v>45743</v>
      </c>
      <c r="D237" s="12" t="inlineStr">
        <is>
          <t>POE11779</t>
        </is>
      </c>
      <c r="E237" s="14" t="inlineStr">
        <is>
          <t>LJ Trading</t>
        </is>
      </c>
      <c r="F237" s="14" t="inlineStr">
        <is>
          <t>Maxflo 630 c/w 2.2kW 4Pole</t>
        </is>
      </c>
      <c r="G237" s="20" t="n">
        <v>1</v>
      </c>
      <c r="H237" s="19" t="n"/>
      <c r="I237" s="18">
        <f>G237*H237</f>
        <v/>
      </c>
      <c r="J237" s="11" t="n"/>
      <c r="K237" s="17" t="n"/>
      <c r="L237" s="16">
        <f>K237+C237</f>
        <v/>
      </c>
      <c r="M237" s="11" t="inlineStr">
        <is>
          <t>SM</t>
        </is>
      </c>
      <c r="N237" s="15" t="n"/>
      <c r="O237" s="14" t="n"/>
      <c r="P237" s="14" t="n"/>
      <c r="Q237" s="14" t="n"/>
      <c r="R237" s="14" t="n"/>
    </row>
    <row r="238">
      <c r="A238" s="14" t="inlineStr">
        <is>
          <t>FM3036</t>
        </is>
      </c>
      <c r="B238" s="14" t="n"/>
      <c r="C238" s="13" t="n">
        <v>45743</v>
      </c>
      <c r="D238" s="12" t="inlineStr">
        <is>
          <t>POE11779</t>
        </is>
      </c>
      <c r="E238" s="14" t="inlineStr">
        <is>
          <t>LJ Trading</t>
        </is>
      </c>
      <c r="F238" s="14" t="inlineStr">
        <is>
          <t>Maxflo 560 c/w 0.75kW 4P + Accessories</t>
        </is>
      </c>
      <c r="G238" s="20" t="n">
        <v>1</v>
      </c>
      <c r="H238" s="19" t="n"/>
      <c r="I238" s="18">
        <f>G238*H238</f>
        <v/>
      </c>
      <c r="J238" s="11" t="n"/>
      <c r="K238" s="17" t="n"/>
      <c r="L238" s="16">
        <f>K238+C238</f>
        <v/>
      </c>
      <c r="M238" s="11" t="inlineStr">
        <is>
          <t>SM</t>
        </is>
      </c>
      <c r="N238" s="15" t="n"/>
      <c r="O238" s="14" t="n"/>
      <c r="P238" s="14" t="n"/>
      <c r="Q238" s="14" t="n"/>
      <c r="R238" s="14" t="n"/>
    </row>
    <row r="239">
      <c r="A239" s="14" t="inlineStr">
        <is>
          <t>FM3037</t>
        </is>
      </c>
      <c r="B239" s="14" t="n"/>
      <c r="C239" s="13" t="n">
        <v>45743</v>
      </c>
      <c r="D239" s="12" t="inlineStr">
        <is>
          <t>POE11779</t>
        </is>
      </c>
      <c r="E239" s="14" t="inlineStr">
        <is>
          <t>LJ Trading</t>
        </is>
      </c>
      <c r="F239" s="14" t="inlineStr">
        <is>
          <t>Maxflo 560 c/w 0.55kW 4P + Accessories</t>
        </is>
      </c>
      <c r="G239" s="20" t="n">
        <v>1</v>
      </c>
      <c r="H239" s="19" t="n"/>
      <c r="I239" s="18">
        <f>G239*H239</f>
        <v/>
      </c>
      <c r="J239" s="11" t="n"/>
      <c r="K239" s="17" t="n"/>
      <c r="L239" s="16">
        <f>K239+C239</f>
        <v/>
      </c>
      <c r="M239" s="11" t="inlineStr">
        <is>
          <t>SM</t>
        </is>
      </c>
      <c r="N239" s="15" t="n"/>
      <c r="O239" s="14" t="n"/>
      <c r="P239" s="14" t="n"/>
      <c r="Q239" s="14" t="n"/>
      <c r="R239" s="14" t="n"/>
    </row>
    <row r="240">
      <c r="A240" s="14" t="inlineStr">
        <is>
          <t>FM3038</t>
        </is>
      </c>
      <c r="B240" s="14" t="n"/>
      <c r="C240" s="13" t="n">
        <v>45743</v>
      </c>
      <c r="D240" s="12" t="inlineStr">
        <is>
          <t>POE11779</t>
        </is>
      </c>
      <c r="E240" s="14" t="inlineStr">
        <is>
          <t>LJ Trading</t>
        </is>
      </c>
      <c r="F240" s="14" t="inlineStr">
        <is>
          <t>Maxflo 400 c/w 1.1kW 2Pole</t>
        </is>
      </c>
      <c r="G240" s="20" t="n">
        <v>1</v>
      </c>
      <c r="H240" s="19" t="n"/>
      <c r="I240" s="18">
        <f>G240*H240</f>
        <v/>
      </c>
      <c r="J240" s="11" t="n"/>
      <c r="K240" s="17" t="n"/>
      <c r="L240" s="16">
        <f>K240+C240</f>
        <v/>
      </c>
      <c r="M240" s="11" t="inlineStr">
        <is>
          <t>SM</t>
        </is>
      </c>
      <c r="N240" s="15" t="n"/>
      <c r="O240" s="14" t="n"/>
      <c r="P240" s="14" t="n"/>
      <c r="Q240" s="14" t="n"/>
      <c r="R240" s="14" t="n"/>
    </row>
    <row r="241">
      <c r="A241" s="14" t="inlineStr">
        <is>
          <t>FM3039</t>
        </is>
      </c>
      <c r="B241" s="14" t="n"/>
      <c r="C241" s="13" t="n">
        <v>45743</v>
      </c>
      <c r="D241" s="12" t="inlineStr">
        <is>
          <t>Cash Sale</t>
        </is>
      </c>
      <c r="E241" s="14" t="inlineStr">
        <is>
          <t>Orion Property Holding Trust</t>
        </is>
      </c>
      <c r="F241" s="14" t="inlineStr">
        <is>
          <t>Fumax 900 c/w 5,50KW 4P 380V</t>
        </is>
      </c>
      <c r="G241" s="20" t="n">
        <v>4</v>
      </c>
      <c r="H241" s="19">
        <f>34461+(2*777)+(2*1018)</f>
        <v/>
      </c>
      <c r="I241" s="18">
        <f>G241*H241</f>
        <v/>
      </c>
      <c r="J241" s="11" t="n"/>
      <c r="K241" s="17" t="n"/>
      <c r="L241" s="16">
        <f>K241+C241</f>
        <v/>
      </c>
      <c r="M241" s="11" t="inlineStr">
        <is>
          <t>SM</t>
        </is>
      </c>
      <c r="N241" s="15" t="n"/>
      <c r="O241" s="14" t="n"/>
      <c r="P241" s="14" t="n"/>
      <c r="Q241" s="14" t="n"/>
      <c r="R241" s="14" t="n"/>
    </row>
    <row r="242">
      <c r="A242" s="14" t="inlineStr">
        <is>
          <t>FM3040</t>
        </is>
      </c>
      <c r="B242" s="14" t="n"/>
      <c r="C242" s="13" t="n">
        <v>45744</v>
      </c>
      <c r="D242" s="12" t="inlineStr">
        <is>
          <t>PO 17458</t>
        </is>
      </c>
      <c r="E242" s="12" t="inlineStr">
        <is>
          <t>Wubbeling Airconditioning</t>
        </is>
      </c>
      <c r="F242" s="12" t="inlineStr">
        <is>
          <t>Lineo 200</t>
        </is>
      </c>
      <c r="G242" s="20" t="n">
        <v>1</v>
      </c>
      <c r="H242" s="19" t="n">
        <v>3806</v>
      </c>
      <c r="I242" s="18">
        <f>G242*H242</f>
        <v/>
      </c>
      <c r="J242" s="11" t="n"/>
      <c r="K242" s="17" t="n"/>
      <c r="L242" s="16">
        <f>K242+C242</f>
        <v/>
      </c>
      <c r="M242" s="11" t="n"/>
      <c r="N242" s="15" t="n"/>
      <c r="O242" s="14" t="n"/>
      <c r="P242" s="14" t="n"/>
      <c r="Q242" s="14" t="n"/>
      <c r="R242" s="14" t="n"/>
    </row>
    <row r="243">
      <c r="A243" s="14" t="inlineStr">
        <is>
          <t>FM3041</t>
        </is>
      </c>
      <c r="B243" s="14" t="n"/>
      <c r="C243" s="13" t="n">
        <v>45744</v>
      </c>
      <c r="D243" s="12" t="inlineStr">
        <is>
          <t>PO1984</t>
        </is>
      </c>
      <c r="E243" s="12" t="inlineStr">
        <is>
          <t xml:space="preserve">Hucra Fans </t>
        </is>
      </c>
      <c r="F243" s="12" t="inlineStr">
        <is>
          <t>V150/6 AR-LLS &amp; V230/9 AR-LLS</t>
        </is>
      </c>
      <c r="G243" s="20" t="n">
        <v>1</v>
      </c>
      <c r="H243" s="19" t="n">
        <v>3151.333</v>
      </c>
      <c r="I243" s="18">
        <f>G243*H243</f>
        <v/>
      </c>
      <c r="J243" s="11" t="n"/>
      <c r="K243" s="17" t="n"/>
      <c r="L243" s="16">
        <f>K243+C243</f>
        <v/>
      </c>
      <c r="M243" s="11" t="n"/>
      <c r="N243" s="15" t="n"/>
      <c r="O243" s="14" t="n"/>
      <c r="P243" s="14" t="n"/>
      <c r="Q243" s="14" t="n"/>
      <c r="R243" s="14" t="n"/>
    </row>
    <row r="244">
      <c r="A244" s="14" t="inlineStr">
        <is>
          <t>FM3042</t>
        </is>
      </c>
      <c r="B244" s="14" t="n"/>
      <c r="C244" s="13" t="n">
        <v>45744</v>
      </c>
      <c r="D244" s="12" t="inlineStr">
        <is>
          <t>Cash Sale</t>
        </is>
      </c>
      <c r="E244" s="12" t="inlineStr">
        <is>
          <t>Prexos Engineering</t>
        </is>
      </c>
      <c r="F244" s="12" t="inlineStr">
        <is>
          <t>Maxflo 710/250/14 c/w 1.5 kW 4 Pole 380V</t>
        </is>
      </c>
      <c r="G244" s="20" t="n">
        <v>1</v>
      </c>
      <c r="H244" s="19" t="n"/>
      <c r="I244" s="18">
        <f>G244*H244</f>
        <v/>
      </c>
      <c r="J244" s="11" t="n"/>
      <c r="K244" s="17" t="n"/>
      <c r="L244" s="16">
        <f>K244+C244</f>
        <v/>
      </c>
      <c r="M244" s="11" t="n"/>
      <c r="N244" s="15" t="n"/>
      <c r="O244" s="14" t="n"/>
      <c r="P244" s="14" t="n"/>
      <c r="Q244" s="14" t="n"/>
      <c r="R244" s="14" t="n"/>
    </row>
    <row r="245">
      <c r="A245" s="14" t="inlineStr">
        <is>
          <t>FM3043</t>
        </is>
      </c>
      <c r="B245" s="14" t="n"/>
      <c r="C245" s="13" t="n">
        <v>45747</v>
      </c>
      <c r="D245" s="12" t="inlineStr">
        <is>
          <t>cash sales</t>
        </is>
      </c>
      <c r="E245" s="14" t="inlineStr">
        <is>
          <t>Sulit</t>
        </is>
      </c>
      <c r="F245" s="14" t="inlineStr">
        <is>
          <t>Kdaxis 250 &amp; Louvers</t>
        </is>
      </c>
      <c r="G245" s="20" t="n">
        <v>3</v>
      </c>
      <c r="H245" s="19" t="n">
        <v>6195</v>
      </c>
      <c r="I245" s="18" t="n">
        <v>6195</v>
      </c>
      <c r="J245" s="11" t="n"/>
      <c r="K245" s="17" t="n"/>
      <c r="L245" s="16">
        <f>K245+C245</f>
        <v/>
      </c>
      <c r="M245" s="11" t="inlineStr">
        <is>
          <t>MT</t>
        </is>
      </c>
      <c r="N245" s="15" t="n"/>
      <c r="O245" s="14" t="n"/>
      <c r="P245" s="14" t="n"/>
      <c r="Q245" s="14" t="n"/>
      <c r="R245" s="14" t="n"/>
    </row>
    <row r="246">
      <c r="A246" s="14" t="inlineStr">
        <is>
          <t>FM3044</t>
        </is>
      </c>
      <c r="B246" s="14" t="n"/>
      <c r="C246" s="13" t="n">
        <v>45748</v>
      </c>
      <c r="D246" s="12" t="inlineStr">
        <is>
          <t>MFE6715</t>
        </is>
      </c>
      <c r="E246" s="14" t="inlineStr">
        <is>
          <t>Morlyn Fans</t>
        </is>
      </c>
      <c r="F246" s="14" t="inlineStr">
        <is>
          <t>CMP 718-2M</t>
        </is>
      </c>
      <c r="G246" s="20" t="n">
        <v>1</v>
      </c>
      <c r="H246" s="19" t="n">
        <v>10250</v>
      </c>
      <c r="I246" s="18">
        <f>G246*H246</f>
        <v/>
      </c>
      <c r="J246" s="11" t="n"/>
      <c r="K246" s="17" t="n"/>
      <c r="L246" s="16">
        <f>K246+C246</f>
        <v/>
      </c>
      <c r="M246" s="11" t="inlineStr">
        <is>
          <t>MT</t>
        </is>
      </c>
      <c r="N246" s="15" t="n"/>
      <c r="O246" s="14" t="n"/>
      <c r="P246" s="14" t="n"/>
      <c r="Q246" s="14" t="n"/>
      <c r="R246" s="14" t="n"/>
    </row>
    <row r="247">
      <c r="A247" s="14" t="inlineStr">
        <is>
          <t>FM3045</t>
        </is>
      </c>
      <c r="B247" s="14" t="n"/>
      <c r="C247" s="13" t="n">
        <v>45748</v>
      </c>
      <c r="D247" s="12" t="inlineStr">
        <is>
          <t>MFE6716</t>
        </is>
      </c>
      <c r="E247" s="14" t="inlineStr">
        <is>
          <t>Morlyn Fans</t>
        </is>
      </c>
      <c r="F247" s="14" t="inlineStr">
        <is>
          <t>CMP 718-2M</t>
        </is>
      </c>
      <c r="G247" s="20" t="n">
        <v>4</v>
      </c>
      <c r="H247" s="19" t="n">
        <v>10250</v>
      </c>
      <c r="I247" s="18">
        <f>G247*H247</f>
        <v/>
      </c>
      <c r="J247" s="11" t="n"/>
      <c r="K247" s="17" t="n"/>
      <c r="L247" s="16">
        <f>K247+C247</f>
        <v/>
      </c>
      <c r="M247" s="11" t="inlineStr">
        <is>
          <t>MT</t>
        </is>
      </c>
      <c r="N247" s="15" t="n"/>
      <c r="O247" s="14" t="n"/>
      <c r="P247" s="14" t="n"/>
      <c r="Q247" s="14" t="n"/>
      <c r="R247" s="14" t="n"/>
    </row>
    <row r="248">
      <c r="A248" s="14" t="inlineStr">
        <is>
          <t>FM3046</t>
        </is>
      </c>
      <c r="B248" s="14" t="n"/>
      <c r="C248" s="13" t="n">
        <v>45748</v>
      </c>
      <c r="D248" s="12" t="inlineStr">
        <is>
          <t>PO174331</t>
        </is>
      </c>
      <c r="E248" s="14" t="inlineStr">
        <is>
          <t>CABMED</t>
        </is>
      </c>
      <c r="F248" s="14" t="inlineStr">
        <is>
          <t>K04 1.1KW 2P 220V</t>
        </is>
      </c>
      <c r="G248" s="20" t="n">
        <v>2</v>
      </c>
      <c r="H248" s="19" t="n">
        <v>15680</v>
      </c>
      <c r="I248" s="18">
        <f>G248*H248</f>
        <v/>
      </c>
      <c r="J248" s="11" t="n"/>
      <c r="K248" s="17" t="n"/>
      <c r="L248" s="16">
        <f>K248+C248</f>
        <v/>
      </c>
      <c r="M248" s="11" t="inlineStr">
        <is>
          <t>MT</t>
        </is>
      </c>
      <c r="N248" s="15" t="n"/>
      <c r="O248" s="14" t="n"/>
      <c r="P248" s="14" t="n"/>
      <c r="Q248" s="14" t="n"/>
      <c r="R248" s="14" t="n"/>
    </row>
    <row r="249">
      <c r="A249" s="14" t="inlineStr">
        <is>
          <t>FM3047</t>
        </is>
      </c>
      <c r="B249" s="14" t="n"/>
      <c r="C249" s="13" t="n">
        <v>45748</v>
      </c>
      <c r="D249" s="12" t="inlineStr">
        <is>
          <t>Cash Sale</t>
        </is>
      </c>
      <c r="E249" s="14" t="inlineStr">
        <is>
          <t>Da Salva Projects</t>
        </is>
      </c>
      <c r="F249" s="14" t="inlineStr">
        <is>
          <t>AT 18/18</t>
        </is>
      </c>
      <c r="G249" s="20" t="n">
        <v>1</v>
      </c>
      <c r="H249" s="19" t="n">
        <v>7570</v>
      </c>
      <c r="I249" s="18">
        <f>G249*H249</f>
        <v/>
      </c>
      <c r="J249" s="11" t="n"/>
      <c r="K249" s="17" t="n"/>
      <c r="L249" s="16">
        <f>K249+C249</f>
        <v/>
      </c>
      <c r="M249" s="11" t="inlineStr">
        <is>
          <t>ST</t>
        </is>
      </c>
      <c r="N249" s="15" t="n"/>
      <c r="O249" s="14" t="n"/>
      <c r="P249" s="14" t="n"/>
      <c r="Q249" s="14" t="n"/>
      <c r="R249" s="14" t="n"/>
    </row>
    <row r="250">
      <c r="A250" s="14" t="inlineStr">
        <is>
          <t>FM3048</t>
        </is>
      </c>
      <c r="B250" s="14" t="n"/>
      <c r="C250" s="13" t="n">
        <v>45749</v>
      </c>
      <c r="D250" s="12" t="inlineStr">
        <is>
          <t>PO53176</t>
        </is>
      </c>
      <c r="E250" s="14" t="inlineStr">
        <is>
          <t>Aircontec</t>
        </is>
      </c>
      <c r="F250" s="14" t="inlineStr">
        <is>
          <t>710 Wall Cowl</t>
        </is>
      </c>
      <c r="G250" s="20" t="n">
        <v>6</v>
      </c>
      <c r="H250" s="19" t="n">
        <v>1950</v>
      </c>
      <c r="I250" s="18">
        <f>G250*H250</f>
        <v/>
      </c>
      <c r="J250" s="11" t="n"/>
      <c r="K250" s="17" t="n"/>
      <c r="L250" s="16">
        <f>K250+C250</f>
        <v/>
      </c>
      <c r="M250" s="11" t="inlineStr">
        <is>
          <t>SM</t>
        </is>
      </c>
      <c r="N250" s="15" t="n"/>
      <c r="O250" s="14" t="n"/>
      <c r="P250" s="14" t="n"/>
      <c r="Q250" s="14" t="n"/>
      <c r="R250" s="14" t="n"/>
    </row>
    <row r="251">
      <c r="A251" s="14" t="inlineStr">
        <is>
          <t>FM3049</t>
        </is>
      </c>
      <c r="B251" s="14" t="n"/>
      <c r="C251" s="13" t="n">
        <v>45750</v>
      </c>
      <c r="D251" s="12" t="inlineStr">
        <is>
          <t>PO1988</t>
        </is>
      </c>
      <c r="E251" s="14" t="inlineStr">
        <is>
          <t xml:space="preserve">Hucra Fans </t>
        </is>
      </c>
      <c r="F251" s="14" t="inlineStr">
        <is>
          <t>CPV 1020-4T</t>
        </is>
      </c>
      <c r="G251" s="20" t="n">
        <v>2</v>
      </c>
      <c r="H251" s="19" t="n">
        <v>19517</v>
      </c>
      <c r="I251" s="18">
        <f>G251*H251</f>
        <v/>
      </c>
      <c r="J251" s="11" t="n"/>
      <c r="K251" s="17" t="n"/>
      <c r="L251" s="16">
        <f>K251+C251</f>
        <v/>
      </c>
      <c r="M251" s="11" t="inlineStr">
        <is>
          <t>ZX</t>
        </is>
      </c>
      <c r="N251" s="15" t="n"/>
      <c r="O251" s="14" t="n"/>
      <c r="P251" s="14" t="n"/>
      <c r="Q251" s="14" t="n"/>
      <c r="R251" s="14" t="n"/>
    </row>
    <row r="252" ht="28.8" customHeight="1">
      <c r="A252" s="14" t="inlineStr">
        <is>
          <t>FM3050</t>
        </is>
      </c>
      <c r="B252" s="14" t="n"/>
      <c r="C252" s="13" t="n">
        <v>45750</v>
      </c>
      <c r="D252" s="12" t="inlineStr">
        <is>
          <t>Cash Sale</t>
        </is>
      </c>
      <c r="E252" s="22" t="inlineStr">
        <is>
          <t>SESBUYILE PROJECTS &amp; MAINTENANCE CC</t>
        </is>
      </c>
      <c r="F252" s="12" t="inlineStr">
        <is>
          <t>Maxflo 710/250/14 c/w 1.5 kW 4 Pole 380V + Acc</t>
        </is>
      </c>
      <c r="G252" s="20" t="n">
        <v>1</v>
      </c>
      <c r="H252" s="19" t="n">
        <v>17766</v>
      </c>
      <c r="I252" s="18">
        <f>G252*H252</f>
        <v/>
      </c>
      <c r="J252" s="11" t="n"/>
      <c r="K252" s="17" t="n"/>
      <c r="L252" s="16">
        <f>K252+C252</f>
        <v/>
      </c>
      <c r="M252" s="11" t="inlineStr">
        <is>
          <t>SM</t>
        </is>
      </c>
      <c r="N252" s="15" t="n"/>
      <c r="O252" s="14" t="n"/>
      <c r="P252" s="14" t="n"/>
      <c r="Q252" s="14" t="n"/>
      <c r="R252" s="14" t="n"/>
    </row>
    <row r="253">
      <c r="A253" s="14" t="inlineStr">
        <is>
          <t>FM3051</t>
        </is>
      </c>
      <c r="B253" s="14" t="n"/>
      <c r="C253" s="13" t="n">
        <v>45751</v>
      </c>
      <c r="D253" s="12" t="inlineStr">
        <is>
          <t>Cash Sale</t>
        </is>
      </c>
      <c r="E253" s="14" t="inlineStr">
        <is>
          <t>Prestige Auto Body</t>
        </is>
      </c>
      <c r="F253" s="14" t="inlineStr">
        <is>
          <t>HC45 6H/T</t>
        </is>
      </c>
      <c r="G253" s="20" t="n">
        <v>1</v>
      </c>
      <c r="H253" s="19" t="n">
        <v>8932</v>
      </c>
      <c r="I253" s="18">
        <f>G253*H253</f>
        <v/>
      </c>
      <c r="J253" s="11" t="n"/>
      <c r="K253" s="17" t="n"/>
      <c r="L253" s="16">
        <f>K253+C253</f>
        <v/>
      </c>
      <c r="M253" s="11" t="inlineStr">
        <is>
          <t>MT</t>
        </is>
      </c>
      <c r="N253" s="15" t="n"/>
      <c r="O253" s="14" t="n"/>
      <c r="P253" s="14" t="n"/>
      <c r="Q253" s="14" t="n"/>
      <c r="R253" s="14" t="n"/>
    </row>
    <row r="254">
      <c r="A254" s="14" t="inlineStr">
        <is>
          <t>FM3052</t>
        </is>
      </c>
      <c r="B254" s="14" t="n"/>
      <c r="C254" s="13" t="n">
        <v>45751</v>
      </c>
      <c r="D254" s="12" t="inlineStr">
        <is>
          <t>PC6/PO-2433</t>
        </is>
      </c>
      <c r="E254" s="14" t="inlineStr">
        <is>
          <t>Butec</t>
        </is>
      </c>
      <c r="F254" s="14" t="inlineStr">
        <is>
          <t>CE250</t>
        </is>
      </c>
      <c r="G254" s="20" t="n">
        <v>1</v>
      </c>
      <c r="H254" s="19" t="n">
        <v>450</v>
      </c>
      <c r="I254" s="18">
        <f>G254*H254</f>
        <v/>
      </c>
      <c r="J254" s="11" t="n"/>
      <c r="K254" s="17" t="n"/>
      <c r="L254" s="16">
        <f>K254+C254</f>
        <v/>
      </c>
      <c r="M254" s="11" t="inlineStr">
        <is>
          <t>MT</t>
        </is>
      </c>
      <c r="N254" s="15" t="n"/>
      <c r="O254" s="14" t="n"/>
      <c r="P254" s="14" t="n"/>
      <c r="Q254" s="14" t="n"/>
      <c r="R254" s="14" t="n"/>
    </row>
    <row r="255">
      <c r="A255" s="14" t="inlineStr">
        <is>
          <t>FM3053</t>
        </is>
      </c>
      <c r="B255" s="14" t="n"/>
      <c r="C255" s="13" t="n">
        <v>45751</v>
      </c>
      <c r="D255" s="12" t="inlineStr">
        <is>
          <t>Cash sale</t>
        </is>
      </c>
      <c r="E255" s="14" t="inlineStr">
        <is>
          <t xml:space="preserve">Zefs </t>
        </is>
      </c>
      <c r="F255" s="14" t="inlineStr">
        <is>
          <t>630 2D poded</t>
        </is>
      </c>
      <c r="G255" s="20" t="n">
        <v>1</v>
      </c>
      <c r="H255" s="19" t="n">
        <v>5117</v>
      </c>
      <c r="I255" s="18">
        <f>G255*H255</f>
        <v/>
      </c>
      <c r="J255" s="11" t="n"/>
      <c r="K255" s="17" t="n"/>
      <c r="L255" s="16">
        <f>K255+C255</f>
        <v/>
      </c>
      <c r="M255" s="11" t="inlineStr">
        <is>
          <t>MT</t>
        </is>
      </c>
      <c r="N255" s="15" t="n"/>
      <c r="O255" s="14" t="n"/>
      <c r="P255" s="14" t="n"/>
      <c r="Q255" s="14" t="n"/>
      <c r="R255" s="14" t="n"/>
    </row>
    <row r="256">
      <c r="A256" s="14" t="inlineStr">
        <is>
          <t>FM3054</t>
        </is>
      </c>
      <c r="B256" s="14" t="n"/>
      <c r="C256" s="13" t="n">
        <v>45754</v>
      </c>
      <c r="D256" s="12" t="inlineStr">
        <is>
          <t>Cash sale</t>
        </is>
      </c>
      <c r="E256" s="14" t="inlineStr">
        <is>
          <t>Dawaila Group</t>
        </is>
      </c>
      <c r="F256" s="14" t="inlineStr">
        <is>
          <t>Majax-2 710.20.D.8 c/w 3.0KW 4P 380V - ( J62771/1)</t>
        </is>
      </c>
      <c r="G256" s="20" t="n">
        <v>1</v>
      </c>
      <c r="H256" s="19" t="n">
        <v>13475</v>
      </c>
      <c r="I256" s="18">
        <f>G256*H256</f>
        <v/>
      </c>
      <c r="J256" s="11" t="n"/>
      <c r="K256" s="17" t="n"/>
      <c r="L256" s="16">
        <f>K256+C256</f>
        <v/>
      </c>
      <c r="M256" s="11" t="inlineStr">
        <is>
          <t>SM</t>
        </is>
      </c>
      <c r="N256" s="15" t="n"/>
      <c r="O256" s="14" t="n"/>
      <c r="P256" s="14" t="n"/>
      <c r="Q256" s="14" t="n"/>
      <c r="R256" s="14" t="n"/>
    </row>
    <row r="257">
      <c r="A257" s="14" t="inlineStr">
        <is>
          <t>FM3055</t>
        </is>
      </c>
      <c r="B257" s="14" t="n"/>
      <c r="C257" s="13" t="n">
        <v>45754</v>
      </c>
      <c r="D257" s="12" t="inlineStr">
        <is>
          <t>Cash sale</t>
        </is>
      </c>
      <c r="E257" s="14" t="inlineStr">
        <is>
          <t>Dawaila Group</t>
        </is>
      </c>
      <c r="F257" s="14" t="inlineStr">
        <is>
          <t>Majax-2 710.20.D.8 c/w 2.2KW 4P 380V  - (J62770/1)</t>
        </is>
      </c>
      <c r="G257" s="20" t="n">
        <v>1</v>
      </c>
      <c r="H257" s="19" t="n">
        <v>12898</v>
      </c>
      <c r="I257" s="18">
        <f>G257*H257</f>
        <v/>
      </c>
      <c r="J257" s="11" t="n"/>
      <c r="K257" s="17" t="n"/>
      <c r="L257" s="16">
        <f>K257+C257</f>
        <v/>
      </c>
      <c r="M257" s="11" t="inlineStr">
        <is>
          <t>SM</t>
        </is>
      </c>
      <c r="N257" s="15" t="n"/>
      <c r="O257" s="14" t="n"/>
      <c r="P257" s="14" t="n"/>
      <c r="Q257" s="14" t="n"/>
      <c r="R257" s="14" t="n"/>
    </row>
    <row r="258">
      <c r="A258" s="14" t="inlineStr">
        <is>
          <t>FM3056</t>
        </is>
      </c>
      <c r="B258" s="14" t="n"/>
      <c r="C258" s="13" t="n">
        <v>45754</v>
      </c>
      <c r="D258" s="12" t="inlineStr">
        <is>
          <t>Cash sale</t>
        </is>
      </c>
      <c r="E258" s="14" t="inlineStr">
        <is>
          <t>Dawaila Group</t>
        </is>
      </c>
      <c r="F258" s="14" t="inlineStr">
        <is>
          <t>Majax-2 710.20.D.8 c/w 4.0KW 4P 380V - (J62769/1)</t>
        </is>
      </c>
      <c r="G258" s="20" t="n">
        <v>1</v>
      </c>
      <c r="H258" s="19" t="n">
        <v>14920</v>
      </c>
      <c r="I258" s="18">
        <f>G258*H258</f>
        <v/>
      </c>
      <c r="J258" s="11" t="n"/>
      <c r="K258" s="17" t="n"/>
      <c r="L258" s="16">
        <f>K258+C258</f>
        <v/>
      </c>
      <c r="M258" s="11" t="inlineStr">
        <is>
          <t>SM</t>
        </is>
      </c>
      <c r="N258" s="15" t="n"/>
      <c r="O258" s="14" t="n"/>
      <c r="P258" s="14" t="n"/>
      <c r="Q258" s="14" t="n"/>
      <c r="R258" s="14" t="n"/>
    </row>
    <row r="259">
      <c r="A259" s="14" t="inlineStr">
        <is>
          <t>FM3057</t>
        </is>
      </c>
      <c r="B259" s="14" t="n"/>
      <c r="C259" s="13" t="n">
        <v>45754</v>
      </c>
      <c r="D259" s="12" t="inlineStr">
        <is>
          <t>Cash sale</t>
        </is>
      </c>
      <c r="E259" s="14" t="inlineStr">
        <is>
          <t>Dawaila Group</t>
        </is>
      </c>
      <c r="F259" s="14" t="inlineStr">
        <is>
          <t>Majax-2 710.20.D.8 c/w 2.2KW 4P 380V  - (J62762/1)</t>
        </is>
      </c>
      <c r="G259" s="20" t="n">
        <v>1</v>
      </c>
      <c r="H259" s="19" t="n">
        <v>12898</v>
      </c>
      <c r="I259" s="18">
        <f>G259*H259</f>
        <v/>
      </c>
      <c r="J259" s="11" t="n"/>
      <c r="K259" s="17" t="n"/>
      <c r="L259" s="16">
        <f>K259+C259</f>
        <v/>
      </c>
      <c r="M259" s="11" t="inlineStr">
        <is>
          <t>SM</t>
        </is>
      </c>
      <c r="N259" s="15" t="n"/>
      <c r="O259" s="14" t="n"/>
      <c r="P259" s="14" t="n"/>
      <c r="Q259" s="14" t="n"/>
      <c r="R259" s="14" t="n"/>
    </row>
    <row r="260">
      <c r="A260" s="14" t="inlineStr">
        <is>
          <t>FM3058</t>
        </is>
      </c>
      <c r="B260" s="14" t="n"/>
      <c r="C260" s="13" t="n">
        <v>45754</v>
      </c>
      <c r="D260" s="12" t="inlineStr">
        <is>
          <t>Cash sale</t>
        </is>
      </c>
      <c r="E260" s="14" t="inlineStr">
        <is>
          <t>Dawaila Group</t>
        </is>
      </c>
      <c r="F260" s="14" t="inlineStr">
        <is>
          <t>Majax-2 630.20.D.8 c/w 1.5KW 4P 380V - (J62764/1)</t>
        </is>
      </c>
      <c r="G260" s="20" t="n">
        <v>1</v>
      </c>
      <c r="H260" s="19" t="n">
        <v>11832</v>
      </c>
      <c r="I260" s="18">
        <f>G260*H260</f>
        <v/>
      </c>
      <c r="J260" s="11" t="n"/>
      <c r="K260" s="17" t="n"/>
      <c r="L260" s="16">
        <f>K260+C260</f>
        <v/>
      </c>
      <c r="M260" s="11" t="inlineStr">
        <is>
          <t>SM</t>
        </is>
      </c>
      <c r="N260" s="15" t="n"/>
      <c r="O260" s="14" t="n"/>
      <c r="P260" s="14" t="n"/>
      <c r="Q260" s="14" t="n"/>
      <c r="R260" s="14" t="n"/>
    </row>
    <row r="261">
      <c r="A261" s="14" t="inlineStr">
        <is>
          <t>FM3059</t>
        </is>
      </c>
      <c r="B261" s="14" t="n"/>
      <c r="C261" s="13" t="n">
        <v>45754</v>
      </c>
      <c r="D261" s="12" t="inlineStr">
        <is>
          <t>Cash sale</t>
        </is>
      </c>
      <c r="E261" s="14" t="inlineStr">
        <is>
          <t>Dawaila Group</t>
        </is>
      </c>
      <c r="F261" s="14" t="inlineStr">
        <is>
          <t>Majax-2 710.20.D.8 c/w 2.2KW 4P 380V - (J62760/1)</t>
        </is>
      </c>
      <c r="G261" s="20" t="n">
        <v>1</v>
      </c>
      <c r="H261" s="19" t="n">
        <v>12898</v>
      </c>
      <c r="I261" s="18">
        <f>G261*H261</f>
        <v/>
      </c>
      <c r="J261" s="11" t="n"/>
      <c r="K261" s="17" t="n"/>
      <c r="L261" s="16">
        <f>K261+C261</f>
        <v/>
      </c>
      <c r="M261" s="11" t="inlineStr">
        <is>
          <t>SM</t>
        </is>
      </c>
      <c r="N261" s="15" t="n"/>
      <c r="O261" s="14" t="n"/>
      <c r="P261" s="14" t="n"/>
      <c r="Q261" s="14" t="n"/>
      <c r="R261" s="14" t="n"/>
    </row>
    <row r="262">
      <c r="A262" s="14" t="inlineStr">
        <is>
          <t>FM3060</t>
        </is>
      </c>
      <c r="B262" s="14" t="n"/>
      <c r="C262" s="13" t="n">
        <v>45754</v>
      </c>
      <c r="D262" s="12" t="inlineStr">
        <is>
          <t>Cash sale</t>
        </is>
      </c>
      <c r="E262" s="14" t="inlineStr">
        <is>
          <t>Dawaila Group</t>
        </is>
      </c>
      <c r="F262" s="14" t="inlineStr">
        <is>
          <t>Majax-2 1000.32.F.8 c/w 11KW 4P 400V - (J57606/1)</t>
        </is>
      </c>
      <c r="G262" s="20" t="n">
        <v>1</v>
      </c>
      <c r="H262" s="19" t="n">
        <v>27778</v>
      </c>
      <c r="I262" s="18">
        <f>G262*H262</f>
        <v/>
      </c>
      <c r="J262" s="11" t="n"/>
      <c r="K262" s="17" t="n"/>
      <c r="L262" s="16">
        <f>K262+C262</f>
        <v/>
      </c>
      <c r="M262" s="11" t="inlineStr">
        <is>
          <t>SM</t>
        </is>
      </c>
      <c r="N262" s="15" t="n"/>
      <c r="O262" s="14" t="n"/>
      <c r="P262" s="14" t="n"/>
      <c r="Q262" s="14" t="n"/>
      <c r="R262" s="14" t="n"/>
    </row>
    <row r="263">
      <c r="A263" s="14" t="inlineStr">
        <is>
          <t>FM3061</t>
        </is>
      </c>
      <c r="B263" s="14" t="n"/>
      <c r="C263" s="13" t="n">
        <v>45754</v>
      </c>
      <c r="D263" s="12" t="inlineStr">
        <is>
          <t>Cash sale</t>
        </is>
      </c>
      <c r="E263" s="14" t="inlineStr">
        <is>
          <t>Dawaila Group</t>
        </is>
      </c>
      <c r="F263" s="14" t="inlineStr">
        <is>
          <t>Majax-2 1000.32.F.8 c/w 11KW 4P 400V - (J57606/3)</t>
        </is>
      </c>
      <c r="G263" s="20" t="n">
        <v>1</v>
      </c>
      <c r="H263" s="19" t="n">
        <v>27778</v>
      </c>
      <c r="I263" s="18">
        <f>G263*H263</f>
        <v/>
      </c>
      <c r="J263" s="11" t="n"/>
      <c r="K263" s="17" t="n"/>
      <c r="L263" s="16">
        <f>K263+C263</f>
        <v/>
      </c>
      <c r="M263" s="11" t="inlineStr">
        <is>
          <t>SM</t>
        </is>
      </c>
      <c r="N263" s="15" t="n"/>
      <c r="O263" s="14" t="n"/>
      <c r="P263" s="14" t="n"/>
      <c r="Q263" s="14" t="n"/>
      <c r="R263" s="14" t="n"/>
    </row>
    <row r="264">
      <c r="A264" s="14" t="inlineStr">
        <is>
          <t>FM3062</t>
        </is>
      </c>
      <c r="B264" s="14" t="n"/>
      <c r="C264" s="13" t="n">
        <v>45754</v>
      </c>
      <c r="D264" s="12" t="inlineStr">
        <is>
          <t>Cash sale</t>
        </is>
      </c>
      <c r="E264" s="14" t="inlineStr">
        <is>
          <t>Dawaila Group</t>
        </is>
      </c>
      <c r="F264" s="14" t="inlineStr">
        <is>
          <t>Majax-2 1000.32.F.8 c/w 11KW 4P 400V - (J57606/4)</t>
        </is>
      </c>
      <c r="G264" s="20" t="n">
        <v>1</v>
      </c>
      <c r="H264" s="19" t="n">
        <v>27778</v>
      </c>
      <c r="I264" s="18">
        <f>G264*H264</f>
        <v/>
      </c>
      <c r="J264" s="11" t="n"/>
      <c r="K264" s="17" t="n"/>
      <c r="L264" s="16">
        <f>K264+C264</f>
        <v/>
      </c>
      <c r="M264" s="11" t="inlineStr">
        <is>
          <t>SM</t>
        </is>
      </c>
      <c r="N264" s="15" t="n"/>
      <c r="O264" s="14" t="n"/>
      <c r="P264" s="14" t="n"/>
      <c r="Q264" s="14" t="n"/>
      <c r="R264" s="14" t="n"/>
    </row>
    <row r="265" customFormat="1" s="34">
      <c r="A265" s="14" t="inlineStr">
        <is>
          <t>FM3063</t>
        </is>
      </c>
      <c r="B265" s="14" t="n"/>
      <c r="C265" s="13" t="n">
        <v>45754</v>
      </c>
      <c r="D265" s="12" t="inlineStr">
        <is>
          <t>Cash sale</t>
        </is>
      </c>
      <c r="E265" s="14" t="inlineStr">
        <is>
          <t>Dawaila Group</t>
        </is>
      </c>
      <c r="F265" s="14" t="inlineStr">
        <is>
          <t>Majax-2 1000.32.F.4 c/w 7.5KW 4P 400V - (J62749/1)</t>
        </is>
      </c>
      <c r="G265" s="20" t="n">
        <v>1</v>
      </c>
      <c r="H265" s="19" t="n">
        <v>23666</v>
      </c>
      <c r="I265" s="18">
        <f>G265*H265</f>
        <v/>
      </c>
      <c r="J265" s="11" t="n"/>
      <c r="K265" s="17" t="n"/>
      <c r="L265" s="16">
        <f>K265+C265</f>
        <v/>
      </c>
      <c r="M265" s="11" t="inlineStr">
        <is>
          <t>SM</t>
        </is>
      </c>
      <c r="N265" s="15" t="n"/>
      <c r="O265" s="14" t="n"/>
      <c r="P265" s="14" t="n"/>
      <c r="Q265" s="14" t="n"/>
      <c r="R265" s="14" t="n"/>
    </row>
    <row r="266" customFormat="1" s="34">
      <c r="A266" s="14" t="inlineStr">
        <is>
          <t>FM3064</t>
        </is>
      </c>
      <c r="B266" s="14" t="n"/>
      <c r="C266" s="13" t="n">
        <v>45754</v>
      </c>
      <c r="D266" s="12" t="inlineStr">
        <is>
          <t>Cash sale</t>
        </is>
      </c>
      <c r="E266" s="14" t="inlineStr">
        <is>
          <t>Dawaila Group</t>
        </is>
      </c>
      <c r="F266" s="14" t="inlineStr">
        <is>
          <t>Majax-2 630.20.D.8 c/w 1.1KW 4P 380V - (J62767/1)</t>
        </is>
      </c>
      <c r="G266" s="20" t="n">
        <v>1</v>
      </c>
      <c r="H266" s="19" t="n">
        <v>11304</v>
      </c>
      <c r="I266" s="18">
        <f>G266*H266</f>
        <v/>
      </c>
      <c r="J266" s="11" t="n"/>
      <c r="K266" s="17" t="n"/>
      <c r="L266" s="16">
        <f>K266+C266</f>
        <v/>
      </c>
      <c r="M266" s="11" t="inlineStr">
        <is>
          <t>SM</t>
        </is>
      </c>
      <c r="N266" s="15" t="n"/>
      <c r="O266" s="14" t="n"/>
      <c r="P266" s="14" t="n"/>
      <c r="Q266" s="14" t="n"/>
      <c r="R266" s="14" t="n"/>
    </row>
    <row r="267" customFormat="1" s="34">
      <c r="A267" s="14" t="inlineStr">
        <is>
          <t>FM3065</t>
        </is>
      </c>
      <c r="B267" s="14" t="n"/>
      <c r="C267" s="13" t="n">
        <v>45754</v>
      </c>
      <c r="D267" s="12" t="inlineStr">
        <is>
          <t>Cash sale</t>
        </is>
      </c>
      <c r="E267" s="14" t="inlineStr">
        <is>
          <t>Dawaila Group</t>
        </is>
      </c>
      <c r="F267" s="14" t="inlineStr">
        <is>
          <t>Majax-2 535 Two Stage 4.0KW 2P 400V - (J57605/1)</t>
        </is>
      </c>
      <c r="G267" s="20" t="n">
        <v>1</v>
      </c>
      <c r="H267" s="19" t="n">
        <v>26129</v>
      </c>
      <c r="I267" s="18">
        <f>G267*H267</f>
        <v/>
      </c>
      <c r="J267" s="11" t="n"/>
      <c r="K267" s="17" t="n"/>
      <c r="L267" s="16">
        <f>K267+C267</f>
        <v/>
      </c>
      <c r="M267" s="11" t="inlineStr">
        <is>
          <t>SM</t>
        </is>
      </c>
      <c r="N267" s="15" t="n"/>
      <c r="O267" s="14" t="n"/>
      <c r="P267" s="14" t="n"/>
      <c r="Q267" s="14" t="n"/>
      <c r="R267" s="14" t="n"/>
    </row>
    <row r="268" customFormat="1" s="34">
      <c r="A268" s="14" t="inlineStr">
        <is>
          <t>FM3066</t>
        </is>
      </c>
      <c r="B268" s="14" t="n"/>
      <c r="C268" s="13" t="n">
        <v>45754</v>
      </c>
      <c r="D268" s="12" t="inlineStr">
        <is>
          <t>Roedolf</t>
        </is>
      </c>
      <c r="E268" s="14" t="inlineStr">
        <is>
          <t>Fans Maintenance &amp; More</t>
        </is>
      </c>
      <c r="F268" s="14" t="inlineStr">
        <is>
          <t>CMA-531-2T-3 IE3</t>
        </is>
      </c>
      <c r="G268" s="20" t="n">
        <v>1</v>
      </c>
      <c r="H268" s="19" t="n">
        <v>25291</v>
      </c>
      <c r="I268" s="18">
        <f>G268*H268</f>
        <v/>
      </c>
      <c r="J268" s="11" t="n"/>
      <c r="K268" s="17" t="n"/>
      <c r="L268" s="16">
        <f>K268+C268</f>
        <v/>
      </c>
      <c r="M268" s="11" t="inlineStr">
        <is>
          <t>ZX</t>
        </is>
      </c>
      <c r="N268" s="15" t="n"/>
      <c r="O268" s="14" t="n"/>
      <c r="P268" s="14" t="n"/>
      <c r="Q268" s="14" t="n"/>
      <c r="R268" s="14" t="n"/>
    </row>
    <row r="269" customFormat="1" s="34">
      <c r="A269" s="14" t="inlineStr">
        <is>
          <t>FM3067</t>
        </is>
      </c>
      <c r="B269" s="14" t="n"/>
      <c r="C269" s="13" t="n">
        <v>45755</v>
      </c>
      <c r="D269" s="12" t="inlineStr">
        <is>
          <t>Cash sale</t>
        </is>
      </c>
      <c r="E269" s="14" t="inlineStr">
        <is>
          <t>LJ Trading</t>
        </is>
      </c>
      <c r="F269" s="14" t="inlineStr">
        <is>
          <t>M150/6 + Grill</t>
        </is>
      </c>
      <c r="G269" s="20" t="n">
        <v>1</v>
      </c>
      <c r="H269" s="19" t="n">
        <v>1559</v>
      </c>
      <c r="I269" s="18">
        <f>G269*H269</f>
        <v/>
      </c>
      <c r="J269" s="11" t="n"/>
      <c r="K269" s="17" t="n"/>
      <c r="L269" s="16">
        <f>K269+C269</f>
        <v/>
      </c>
      <c r="M269" s="11" t="inlineStr">
        <is>
          <t>SM</t>
        </is>
      </c>
      <c r="N269" s="15" t="n"/>
      <c r="O269" s="14" t="n"/>
      <c r="P269" s="14" t="n"/>
      <c r="Q269" s="14" t="n"/>
      <c r="R269" s="14" t="n"/>
    </row>
    <row r="270" customFormat="1" s="34">
      <c r="A270" s="14" t="inlineStr">
        <is>
          <t>FM3068</t>
        </is>
      </c>
      <c r="B270" s="14" t="n"/>
      <c r="C270" s="13" t="n">
        <v>45756</v>
      </c>
      <c r="D270" s="12" t="inlineStr">
        <is>
          <t>Cash sale</t>
        </is>
      </c>
      <c r="E270" s="14" t="inlineStr">
        <is>
          <t>KwaNgwane Construction</t>
        </is>
      </c>
      <c r="F270" s="14" t="inlineStr">
        <is>
          <t>Vario fans</t>
        </is>
      </c>
      <c r="G270" s="20" t="n">
        <v>1</v>
      </c>
      <c r="H270" s="19" t="n"/>
      <c r="I270" s="18">
        <f>G270*H270</f>
        <v/>
      </c>
      <c r="J270" s="11" t="n"/>
      <c r="K270" s="17" t="n"/>
      <c r="L270" s="16">
        <f>K270+C270</f>
        <v/>
      </c>
      <c r="M270" s="11" t="n"/>
      <c r="N270" s="15" t="n"/>
      <c r="O270" s="14" t="n"/>
      <c r="P270" s="14" t="n"/>
      <c r="Q270" s="14" t="n"/>
      <c r="R270" s="14" t="n"/>
    </row>
    <row r="271" customFormat="1" s="34">
      <c r="A271" s="14" t="inlineStr">
        <is>
          <t>FM3069</t>
        </is>
      </c>
      <c r="B271" s="14" t="n"/>
      <c r="C271" s="13" t="n">
        <v>45756</v>
      </c>
      <c r="D271" s="12" t="inlineStr">
        <is>
          <t>Cash sale</t>
        </is>
      </c>
      <c r="E271" s="14" t="inlineStr">
        <is>
          <t>Sulit Projects</t>
        </is>
      </c>
      <c r="F271" s="14" t="inlineStr">
        <is>
          <t>Airmax-2 500 wall</t>
        </is>
      </c>
      <c r="G271" s="20" t="n">
        <v>1</v>
      </c>
      <c r="H271" s="19" t="n">
        <v>1637</v>
      </c>
      <c r="I271" s="18">
        <f>G271*H271</f>
        <v/>
      </c>
      <c r="J271" s="11" t="n"/>
      <c r="K271" s="17" t="n"/>
      <c r="L271" s="16">
        <f>K271+C271</f>
        <v/>
      </c>
      <c r="M271" s="11" t="inlineStr">
        <is>
          <t>MT</t>
        </is>
      </c>
      <c r="N271" s="15" t="n"/>
      <c r="O271" s="14" t="n"/>
      <c r="P271" s="14" t="n"/>
      <c r="Q271" s="14" t="n"/>
      <c r="R271" s="14" t="n"/>
    </row>
    <row r="272" customFormat="1" s="34">
      <c r="A272" s="14" t="inlineStr">
        <is>
          <t>FM3070</t>
        </is>
      </c>
      <c r="B272" s="14" t="n"/>
      <c r="C272" s="13" t="n">
        <v>45756</v>
      </c>
      <c r="D272" s="12" t="inlineStr">
        <is>
          <t>Cash sale</t>
        </is>
      </c>
      <c r="E272" s="14" t="inlineStr">
        <is>
          <t>Apex Engineering</t>
        </is>
      </c>
      <c r="F272" s="14" t="inlineStr">
        <is>
          <t>CMA-325-2M</t>
        </is>
      </c>
      <c r="G272" s="20" t="n">
        <v>3</v>
      </c>
      <c r="H272" s="19" t="n">
        <v>11090</v>
      </c>
      <c r="I272" s="18">
        <f>G272*H272</f>
        <v/>
      </c>
      <c r="J272" s="11" t="n"/>
      <c r="K272" s="17" t="n"/>
      <c r="L272" s="16">
        <f>K272+C272</f>
        <v/>
      </c>
      <c r="M272" s="11" t="inlineStr">
        <is>
          <t>ST</t>
        </is>
      </c>
      <c r="N272" s="15" t="n"/>
      <c r="O272" s="14" t="n"/>
      <c r="P272" s="14" t="n"/>
      <c r="Q272" s="14" t="n"/>
      <c r="R272" s="14" t="n"/>
    </row>
    <row r="273" customFormat="1" s="34">
      <c r="A273" s="14" t="inlineStr">
        <is>
          <t>FM3071</t>
        </is>
      </c>
      <c r="B273" s="14" t="n"/>
      <c r="C273" s="13" t="n">
        <v>45757</v>
      </c>
      <c r="D273" s="12" t="inlineStr">
        <is>
          <t>Cash sale</t>
        </is>
      </c>
      <c r="E273" s="14" t="inlineStr">
        <is>
          <t>Stephen Richard</t>
        </is>
      </c>
      <c r="F273" s="14" t="inlineStr">
        <is>
          <t>Tiracamino</t>
        </is>
      </c>
      <c r="G273" s="20" t="n">
        <v>1</v>
      </c>
      <c r="H273" s="19" t="n">
        <v>12403.83</v>
      </c>
      <c r="I273" s="18">
        <f>G273*H273</f>
        <v/>
      </c>
      <c r="J273" s="11" t="n"/>
      <c r="K273" s="17" t="n"/>
      <c r="L273" s="16">
        <f>K273+C273</f>
        <v/>
      </c>
      <c r="M273" s="11" t="inlineStr">
        <is>
          <t>SM</t>
        </is>
      </c>
      <c r="N273" s="15" t="n"/>
      <c r="O273" s="14" t="n"/>
      <c r="P273" s="14" t="n"/>
      <c r="Q273" s="14" t="n"/>
      <c r="R273" s="14" t="n"/>
    </row>
    <row r="274" customFormat="1" s="34">
      <c r="A274" s="14" t="inlineStr">
        <is>
          <t>FM3072</t>
        </is>
      </c>
      <c r="B274" s="14" t="n"/>
      <c r="C274" s="13" t="n">
        <v>45757</v>
      </c>
      <c r="D274" s="12" t="inlineStr">
        <is>
          <t>PO143187</t>
        </is>
      </c>
      <c r="E274" s="14" t="inlineStr">
        <is>
          <t>Total Mining</t>
        </is>
      </c>
      <c r="F274" s="14" t="inlineStr">
        <is>
          <t>Majax 2 400 0.75kw 2p 525V</t>
        </is>
      </c>
      <c r="G274" s="20" t="n">
        <v>2</v>
      </c>
      <c r="H274" s="19" t="n">
        <v>11595</v>
      </c>
      <c r="I274" s="18">
        <f>G274*H274</f>
        <v/>
      </c>
      <c r="J274" s="11" t="n"/>
      <c r="K274" s="17" t="n"/>
      <c r="L274" s="16">
        <f>K274+C274</f>
        <v/>
      </c>
      <c r="M274" s="11" t="inlineStr">
        <is>
          <t>MT</t>
        </is>
      </c>
      <c r="N274" s="15" t="n"/>
      <c r="O274" s="14" t="n"/>
      <c r="P274" s="14" t="n"/>
      <c r="Q274" s="14" t="n"/>
      <c r="R274" s="14" t="n"/>
    </row>
    <row r="275" customFormat="1" s="34">
      <c r="A275" s="14" t="inlineStr">
        <is>
          <t>FM3073</t>
        </is>
      </c>
      <c r="B275" s="14" t="n"/>
      <c r="C275" s="13" t="n">
        <v>45758</v>
      </c>
      <c r="D275" s="12" t="n">
        <v>13917</v>
      </c>
      <c r="E275" s="14" t="inlineStr">
        <is>
          <t>Arta Masjinerie</t>
        </is>
      </c>
      <c r="F275" s="14" t="inlineStr">
        <is>
          <t xml:space="preserve"> Majax 800.20.D.8 c/w 3 kW 4P 380V</t>
        </is>
      </c>
      <c r="G275" s="20" t="n">
        <v>4</v>
      </c>
      <c r="H275" s="19" t="n">
        <v>12742</v>
      </c>
      <c r="I275" s="18">
        <f>H275*G275</f>
        <v/>
      </c>
      <c r="J275" s="11" t="n"/>
      <c r="K275" s="17" t="n"/>
      <c r="L275" s="16">
        <f>K275+C275</f>
        <v/>
      </c>
      <c r="M275" s="11" t="inlineStr">
        <is>
          <t>SM</t>
        </is>
      </c>
      <c r="N275" s="15" t="n"/>
      <c r="O275" s="14" t="n"/>
      <c r="P275" s="14" t="n"/>
      <c r="Q275" s="14" t="n"/>
      <c r="R275" s="14" t="n"/>
    </row>
    <row r="276" customFormat="1" s="34">
      <c r="A276" s="14" t="inlineStr">
        <is>
          <t>FM3074</t>
        </is>
      </c>
      <c r="B276" s="14" t="n"/>
      <c r="C276" s="13" t="n">
        <v>45758</v>
      </c>
      <c r="D276" s="12" t="n"/>
      <c r="E276" s="14" t="inlineStr">
        <is>
          <t>Butec</t>
        </is>
      </c>
      <c r="F276" s="14" t="inlineStr">
        <is>
          <t>Maxflo 630 c/w 0.75kw 4p 380v &amp; other accesories</t>
        </is>
      </c>
      <c r="G276" s="20" t="n">
        <v>1</v>
      </c>
      <c r="H276" s="19" t="n">
        <v>22146.82</v>
      </c>
      <c r="I276" s="18">
        <f>G276*H276</f>
        <v/>
      </c>
      <c r="J276" s="11" t="n"/>
      <c r="K276" s="17" t="n"/>
      <c r="L276" s="16">
        <f>K276+C276</f>
        <v/>
      </c>
      <c r="M276" s="11" t="inlineStr">
        <is>
          <t>MT</t>
        </is>
      </c>
      <c r="N276" s="15" t="n"/>
      <c r="O276" s="14" t="n"/>
      <c r="P276" s="14" t="n"/>
      <c r="Q276" s="14" t="n"/>
      <c r="R276" s="14" t="n"/>
    </row>
    <row r="277" customFormat="1" s="34">
      <c r="A277" s="14" t="inlineStr">
        <is>
          <t>FM3075</t>
        </is>
      </c>
      <c r="B277" s="14" t="n"/>
      <c r="C277" s="13" t="n">
        <v>45758</v>
      </c>
      <c r="D277" s="12" t="inlineStr">
        <is>
          <t>MP014283</t>
        </is>
      </c>
      <c r="E277" s="14" t="inlineStr">
        <is>
          <t>Midstone Engineering t/a Midair</t>
        </is>
      </c>
      <c r="F277" s="14" t="inlineStr">
        <is>
          <t xml:space="preserve">Tiracamino </t>
        </is>
      </c>
      <c r="G277" s="20" t="n">
        <v>2</v>
      </c>
      <c r="H277" s="19" t="n">
        <v>11500</v>
      </c>
      <c r="I277" s="18">
        <f>G277*H277</f>
        <v/>
      </c>
      <c r="J277" s="11" t="n"/>
      <c r="K277" s="17" t="n"/>
      <c r="L277" s="16">
        <f>K277+C277</f>
        <v/>
      </c>
      <c r="M277" s="11" t="inlineStr">
        <is>
          <t>MT</t>
        </is>
      </c>
      <c r="N277" s="15" t="n"/>
      <c r="O277" s="14" t="n"/>
      <c r="P277" s="14" t="n"/>
      <c r="Q277" s="14" t="n"/>
      <c r="R277" s="14" t="n"/>
    </row>
    <row r="278" customFormat="1" s="34">
      <c r="A278" s="14" t="inlineStr">
        <is>
          <t>FM3076</t>
        </is>
      </c>
      <c r="B278" s="14" t="n"/>
      <c r="C278" s="13" t="n">
        <v>45761</v>
      </c>
      <c r="D278" s="12" t="inlineStr">
        <is>
          <t>Cash Sale</t>
        </is>
      </c>
      <c r="E278" s="14" t="inlineStr">
        <is>
          <t>Pinanncle Aircondition</t>
        </is>
      </c>
      <c r="F278" s="14" t="inlineStr">
        <is>
          <t>HC25 &amp; Lineo 150</t>
        </is>
      </c>
      <c r="G278" s="20" t="n">
        <v>2</v>
      </c>
      <c r="H278" s="19" t="n">
        <v>6826.4</v>
      </c>
      <c r="I278" s="18" t="n">
        <v>6826.4</v>
      </c>
      <c r="J278" s="11" t="n"/>
      <c r="K278" s="17" t="n"/>
      <c r="L278" s="16">
        <f>K278+C278</f>
        <v/>
      </c>
      <c r="M278" s="11" t="inlineStr">
        <is>
          <t>MT</t>
        </is>
      </c>
      <c r="N278" s="15" t="n"/>
      <c r="O278" s="14" t="n"/>
      <c r="P278" s="14" t="n"/>
      <c r="Q278" s="14" t="n"/>
      <c r="R278" s="14" t="n"/>
    </row>
    <row r="279" customFormat="1" s="34">
      <c r="A279" s="14" t="inlineStr">
        <is>
          <t>FM3077</t>
        </is>
      </c>
      <c r="B279" s="14" t="n"/>
      <c r="C279" s="13" t="n">
        <v>45761</v>
      </c>
      <c r="D279" s="12" t="inlineStr">
        <is>
          <t>Cash Sale</t>
        </is>
      </c>
      <c r="E279" s="14" t="inlineStr">
        <is>
          <t>Tavish Exports</t>
        </is>
      </c>
      <c r="F279" s="14" t="inlineStr">
        <is>
          <t>Majax 2 560 c/w 2.2kW 2Pole</t>
        </is>
      </c>
      <c r="G279" s="20" t="n">
        <v>5</v>
      </c>
      <c r="H279" s="19" t="n">
        <v>9015</v>
      </c>
      <c r="I279" s="18">
        <f>G279*H279</f>
        <v/>
      </c>
      <c r="J279" s="11" t="n"/>
      <c r="K279" s="17" t="n"/>
      <c r="L279" s="16">
        <f>K279+C279</f>
        <v/>
      </c>
      <c r="M279" s="11" t="inlineStr">
        <is>
          <t>SM</t>
        </is>
      </c>
      <c r="N279" s="15" t="n"/>
      <c r="O279" s="14" t="n"/>
      <c r="P279" s="14" t="n"/>
      <c r="Q279" s="14" t="n"/>
      <c r="R279" s="14" t="n"/>
    </row>
    <row r="280" customFormat="1" s="34">
      <c r="A280" s="14" t="inlineStr">
        <is>
          <t>FM3078</t>
        </is>
      </c>
      <c r="B280" s="14" t="n"/>
      <c r="C280" s="13" t="n">
        <v>45761</v>
      </c>
      <c r="D280" s="12" t="inlineStr">
        <is>
          <t>PO 51</t>
        </is>
      </c>
      <c r="E280" s="14" t="inlineStr">
        <is>
          <t>Arta Masjinerie</t>
        </is>
      </c>
      <c r="F280" s="14" t="inlineStr">
        <is>
          <t>800 Impeller</t>
        </is>
      </c>
      <c r="G280" s="20" t="n">
        <v>1</v>
      </c>
      <c r="H280" s="19" t="n">
        <v>3529</v>
      </c>
      <c r="I280" s="18">
        <f>G280*H280</f>
        <v/>
      </c>
      <c r="J280" s="11" t="n"/>
      <c r="K280" s="17" t="n"/>
      <c r="L280" s="16">
        <f>K280+C280</f>
        <v/>
      </c>
      <c r="M280" s="11" t="inlineStr">
        <is>
          <t>SM</t>
        </is>
      </c>
      <c r="N280" s="15" t="n"/>
      <c r="O280" s="14" t="n"/>
      <c r="P280" s="14" t="n"/>
      <c r="Q280" s="14" t="n"/>
      <c r="R280" s="14" t="n"/>
    </row>
    <row r="281" customFormat="1" s="34">
      <c r="A281" s="14" t="inlineStr">
        <is>
          <t>FM3079</t>
        </is>
      </c>
      <c r="B281" s="14" t="n"/>
      <c r="C281" s="13" t="n">
        <v>45761</v>
      </c>
      <c r="D281" s="12" t="inlineStr">
        <is>
          <t>PO-0000574</t>
        </is>
      </c>
      <c r="E281" s="14" t="inlineStr">
        <is>
          <t>Jaft Aircon Service</t>
        </is>
      </c>
      <c r="F281" s="14" t="inlineStr">
        <is>
          <t>Lineo fans</t>
        </is>
      </c>
      <c r="G281" s="20" t="n">
        <v>4</v>
      </c>
      <c r="H281" s="19" t="n">
        <v>34175</v>
      </c>
      <c r="I281" s="18" t="n">
        <v>34175</v>
      </c>
      <c r="J281" s="11" t="n"/>
      <c r="K281" s="17" t="n"/>
      <c r="L281" s="16">
        <f>K281+C281</f>
        <v/>
      </c>
      <c r="M281" s="11" t="inlineStr">
        <is>
          <t>MT</t>
        </is>
      </c>
      <c r="N281" s="15" t="n"/>
      <c r="O281" s="14" t="n"/>
      <c r="P281" s="14" t="n"/>
      <c r="Q281" s="14" t="n"/>
      <c r="R281" s="14" t="n"/>
    </row>
    <row r="282" customFormat="1" s="34">
      <c r="A282" s="14" t="inlineStr">
        <is>
          <t>FM3080</t>
        </is>
      </c>
      <c r="B282" s="14" t="n"/>
      <c r="C282" s="13" t="n">
        <v>45761</v>
      </c>
      <c r="D282" s="12" t="inlineStr">
        <is>
          <t>PO1992</t>
        </is>
      </c>
      <c r="E282" s="14" t="inlineStr">
        <is>
          <t xml:space="preserve">Hucra Fans </t>
        </is>
      </c>
      <c r="F282" s="14" t="inlineStr">
        <is>
          <t>CMA-426-2T Sodeca</t>
        </is>
      </c>
      <c r="G282" s="20" t="n">
        <v>1</v>
      </c>
      <c r="H282" s="19" t="n">
        <v>10936</v>
      </c>
      <c r="I282" s="18">
        <f>G282*H282</f>
        <v/>
      </c>
      <c r="J282" s="11" t="n"/>
      <c r="K282" s="17" t="n"/>
      <c r="L282" s="16">
        <f>K282+C282</f>
        <v/>
      </c>
      <c r="M282" s="11" t="inlineStr">
        <is>
          <t>ZX</t>
        </is>
      </c>
      <c r="N282" s="15" t="n"/>
      <c r="O282" s="14" t="n"/>
      <c r="P282" s="14" t="n"/>
      <c r="Q282" s="14" t="n"/>
      <c r="R282" s="14" t="n"/>
    </row>
    <row r="283" customFormat="1" s="34">
      <c r="A283" s="14" t="inlineStr">
        <is>
          <t>FM3081</t>
        </is>
      </c>
      <c r="B283" s="14" t="n"/>
      <c r="C283" s="13" t="n">
        <v>45761</v>
      </c>
      <c r="D283" s="12" t="n">
        <v>501350</v>
      </c>
      <c r="E283" s="14" t="inlineStr">
        <is>
          <t>Fans Maintenance &amp; More</t>
        </is>
      </c>
      <c r="F283" s="14" t="inlineStr">
        <is>
          <t>CPV-1020-4T</t>
        </is>
      </c>
      <c r="G283" s="20" t="n">
        <v>1</v>
      </c>
      <c r="H283" s="19" t="n">
        <v>19517</v>
      </c>
      <c r="I283" s="18">
        <f>G283*H283</f>
        <v/>
      </c>
      <c r="J283" s="11" t="n"/>
      <c r="K283" s="17" t="n"/>
      <c r="L283" s="16">
        <f>K283+C283</f>
        <v/>
      </c>
      <c r="M283" s="11" t="inlineStr">
        <is>
          <t>ZX</t>
        </is>
      </c>
      <c r="N283" s="15" t="n"/>
      <c r="O283" s="14" t="n"/>
      <c r="P283" s="14" t="n"/>
      <c r="Q283" s="14" t="n"/>
      <c r="R283" s="14" t="n"/>
    </row>
    <row r="284" customFormat="1" s="34">
      <c r="A284" s="14" t="inlineStr">
        <is>
          <t>FM3082</t>
        </is>
      </c>
      <c r="B284" s="14" t="n"/>
      <c r="C284" s="13" t="n">
        <v>45762</v>
      </c>
      <c r="D284" s="12" t="inlineStr">
        <is>
          <t>PO-000090</t>
        </is>
      </c>
      <c r="E284" s="14" t="inlineStr">
        <is>
          <t>Compu Cool</t>
        </is>
      </c>
      <c r="F284" s="14" t="inlineStr">
        <is>
          <t>Uv630/3/6/W 1.5kw</t>
        </is>
      </c>
      <c r="G284" s="20" t="n">
        <v>3</v>
      </c>
      <c r="H284" s="19" t="n">
        <v>18803</v>
      </c>
      <c r="I284" s="18">
        <f>G284*H284</f>
        <v/>
      </c>
      <c r="J284" s="11" t="n"/>
      <c r="K284" s="17" t="n"/>
      <c r="L284" s="16">
        <f>K284+C284</f>
        <v/>
      </c>
      <c r="M284" s="11" t="inlineStr">
        <is>
          <t>MT</t>
        </is>
      </c>
      <c r="N284" s="15" t="n"/>
      <c r="O284" s="14" t="n"/>
      <c r="P284" s="14" t="n"/>
      <c r="Q284" s="14" t="n"/>
      <c r="R284" s="14" t="n"/>
    </row>
    <row r="285" customFormat="1" s="34">
      <c r="A285" s="14" t="inlineStr">
        <is>
          <t>FM3083</t>
        </is>
      </c>
      <c r="B285" s="14" t="n"/>
      <c r="C285" s="13" t="n">
        <v>45762</v>
      </c>
      <c r="D285" s="12" t="n"/>
      <c r="E285" s="14" t="inlineStr">
        <is>
          <t>Bidvest Moz</t>
        </is>
      </c>
      <c r="F285" s="14" t="inlineStr">
        <is>
          <t>Grilles</t>
        </is>
      </c>
      <c r="G285" s="20" t="n">
        <v>1</v>
      </c>
      <c r="H285" s="19" t="n">
        <v>9880</v>
      </c>
      <c r="I285" s="18">
        <f>G285*H285</f>
        <v/>
      </c>
      <c r="J285" s="11" t="n"/>
      <c r="K285" s="17" t="n"/>
      <c r="L285" s="16">
        <f>K285+C285</f>
        <v/>
      </c>
      <c r="M285" s="11" t="inlineStr">
        <is>
          <t>ST</t>
        </is>
      </c>
      <c r="N285" s="15" t="n"/>
      <c r="O285" s="14" t="n"/>
      <c r="P285" s="14" t="n"/>
      <c r="Q285" s="14" t="n"/>
      <c r="R285" s="14" t="n"/>
    </row>
    <row r="286" customFormat="1" s="34">
      <c r="A286" s="14" t="inlineStr">
        <is>
          <t>FM3084</t>
        </is>
      </c>
      <c r="B286" s="14" t="n"/>
      <c r="C286" s="13" t="n">
        <v>45762</v>
      </c>
      <c r="D286" s="12" t="inlineStr">
        <is>
          <t>PO1993</t>
        </is>
      </c>
      <c r="E286" s="14" t="inlineStr">
        <is>
          <t xml:space="preserve">Hucra Fans </t>
        </is>
      </c>
      <c r="F286" s="14" t="inlineStr">
        <is>
          <t>RAD 315</t>
        </is>
      </c>
      <c r="G286" s="20" t="n">
        <v>1</v>
      </c>
      <c r="H286" s="19" t="n">
        <v>2774</v>
      </c>
      <c r="I286" s="18">
        <f>G286*H286</f>
        <v/>
      </c>
      <c r="J286" s="11" t="n"/>
      <c r="K286" s="17" t="n"/>
      <c r="L286" s="16">
        <f>K286+C286</f>
        <v/>
      </c>
      <c r="M286" s="11" t="inlineStr">
        <is>
          <t>ZX</t>
        </is>
      </c>
      <c r="N286" s="15" t="n"/>
      <c r="O286" s="14" t="n"/>
      <c r="P286" s="14" t="n"/>
      <c r="Q286" s="14" t="n"/>
      <c r="R286" s="14" t="n"/>
    </row>
    <row r="287" customFormat="1" s="34">
      <c r="A287" s="14" t="inlineStr">
        <is>
          <t>FM3085</t>
        </is>
      </c>
      <c r="B287" s="14" t="n"/>
      <c r="C287" s="13" t="n">
        <v>45763</v>
      </c>
      <c r="D287" s="12" t="inlineStr">
        <is>
          <t>Cash Sale</t>
        </is>
      </c>
      <c r="E287" s="14" t="inlineStr">
        <is>
          <t>Alberton Labels</t>
        </is>
      </c>
      <c r="F287" s="14" t="inlineStr">
        <is>
          <t>CMP-514-2M</t>
        </is>
      </c>
      <c r="G287" s="20" t="n">
        <v>1</v>
      </c>
      <c r="H287" s="19" t="n">
        <v>6988.19</v>
      </c>
      <c r="I287" s="18">
        <f>G287*H287</f>
        <v/>
      </c>
      <c r="J287" s="11" t="n"/>
      <c r="K287" s="17" t="n"/>
      <c r="L287" s="16">
        <f>K287+C287</f>
        <v/>
      </c>
      <c r="M287" s="11" t="inlineStr">
        <is>
          <t>SM</t>
        </is>
      </c>
      <c r="N287" s="15" t="n"/>
      <c r="O287" s="14" t="n"/>
      <c r="P287" s="14" t="n"/>
      <c r="Q287" s="14" t="n"/>
      <c r="R287" s="14" t="n"/>
    </row>
    <row r="288" customFormat="1" s="34">
      <c r="A288" s="14" t="inlineStr">
        <is>
          <t>FM3086</t>
        </is>
      </c>
      <c r="B288" s="14" t="n"/>
      <c r="C288" s="13" t="n">
        <v>45763</v>
      </c>
      <c r="D288" s="12" t="inlineStr">
        <is>
          <t>MP014303</t>
        </is>
      </c>
      <c r="E288" s="14" t="inlineStr">
        <is>
          <t>Midstone Engineering t/a Midair</t>
        </is>
      </c>
      <c r="F288" s="14" t="inlineStr">
        <is>
          <t>Tiracamino</t>
        </is>
      </c>
      <c r="G288" s="20" t="n">
        <v>2</v>
      </c>
      <c r="H288" s="19" t="n">
        <v>11500</v>
      </c>
      <c r="I288" s="18">
        <f>G288*H288</f>
        <v/>
      </c>
      <c r="J288" s="11" t="n"/>
      <c r="K288" s="17" t="n"/>
      <c r="L288" s="16">
        <f>K288+C288</f>
        <v/>
      </c>
      <c r="M288" s="11" t="inlineStr">
        <is>
          <t>MT</t>
        </is>
      </c>
      <c r="N288" s="15" t="n"/>
      <c r="O288" s="14" t="n"/>
      <c r="P288" s="14" t="n"/>
      <c r="Q288" s="14" t="n"/>
      <c r="R288" s="14" t="n"/>
    </row>
    <row r="289" customFormat="1" s="34">
      <c r="A289" s="14" t="inlineStr">
        <is>
          <t>FM3087</t>
        </is>
      </c>
      <c r="B289" s="14" t="n"/>
      <c r="C289" s="13" t="n">
        <v>45763</v>
      </c>
      <c r="D289" s="12" t="inlineStr">
        <is>
          <t>PO1994</t>
        </is>
      </c>
      <c r="E289" s="14" t="inlineStr">
        <is>
          <t xml:space="preserve">Hucra Fans </t>
        </is>
      </c>
      <c r="F289" s="14" t="inlineStr">
        <is>
          <t>RAD 315</t>
        </is>
      </c>
      <c r="G289" s="20" t="n">
        <v>1</v>
      </c>
      <c r="H289" s="19" t="n">
        <v>2774</v>
      </c>
      <c r="I289" s="18">
        <f>G289*H289</f>
        <v/>
      </c>
      <c r="J289" s="11" t="n"/>
      <c r="K289" s="17" t="n"/>
      <c r="L289" s="16">
        <f>K289+C289</f>
        <v/>
      </c>
      <c r="M289" s="11" t="inlineStr">
        <is>
          <t>ZX</t>
        </is>
      </c>
      <c r="N289" s="15" t="n"/>
      <c r="O289" s="14" t="n"/>
      <c r="P289" s="14" t="n"/>
      <c r="Q289" s="14" t="n"/>
      <c r="R289" s="14" t="n"/>
    </row>
    <row r="290" customFormat="1" s="34">
      <c r="A290" s="14" t="inlineStr">
        <is>
          <t>FM3088</t>
        </is>
      </c>
      <c r="B290" s="14" t="n"/>
      <c r="C290" s="13" t="n">
        <v>45763</v>
      </c>
      <c r="D290" s="12" t="inlineStr">
        <is>
          <t>PO-098265</t>
        </is>
      </c>
      <c r="E290" s="14" t="inlineStr">
        <is>
          <t xml:space="preserve">Industrial Thermodynamics  </t>
        </is>
      </c>
      <c r="F290" s="14" t="inlineStr">
        <is>
          <t>Fans Accessories</t>
        </is>
      </c>
      <c r="G290" s="20" t="n">
        <v>17</v>
      </c>
      <c r="H290" s="19" t="n">
        <v>19072</v>
      </c>
      <c r="I290" s="18" t="n">
        <v>19072</v>
      </c>
      <c r="J290" s="11" t="n"/>
      <c r="K290" s="17" t="n"/>
      <c r="L290" s="16">
        <f>K290+C290</f>
        <v/>
      </c>
      <c r="M290" s="11" t="inlineStr">
        <is>
          <t>MT</t>
        </is>
      </c>
      <c r="N290" s="15" t="n"/>
      <c r="O290" s="14" t="n"/>
      <c r="P290" s="14" t="n"/>
      <c r="Q290" s="14" t="n"/>
      <c r="R290" s="14" t="n"/>
    </row>
    <row r="291" customFormat="1" s="34">
      <c r="A291" s="14" t="inlineStr">
        <is>
          <t>FM3089</t>
        </is>
      </c>
      <c r="B291" s="14" t="n"/>
      <c r="C291" s="13" t="n">
        <v>45763</v>
      </c>
      <c r="D291" s="12" t="inlineStr">
        <is>
          <t>PO 40735</t>
        </is>
      </c>
      <c r="E291" s="14" t="inlineStr">
        <is>
          <t>Rey &amp; Leferna</t>
        </is>
      </c>
      <c r="F291" s="14" t="inlineStr">
        <is>
          <t>Sound Attenuators</t>
        </is>
      </c>
      <c r="G291" s="20" t="n">
        <v>1</v>
      </c>
      <c r="H291" s="19" t="n">
        <v>445544</v>
      </c>
      <c r="I291" s="18">
        <f>G291*H291</f>
        <v/>
      </c>
      <c r="J291" s="11" t="n"/>
      <c r="K291" s="17" t="n"/>
      <c r="L291" s="16">
        <f>K291+C291</f>
        <v/>
      </c>
      <c r="M291" s="11" t="inlineStr">
        <is>
          <t>ST</t>
        </is>
      </c>
      <c r="N291" s="15" t="n"/>
      <c r="O291" s="14" t="n"/>
      <c r="P291" s="14" t="n"/>
      <c r="Q291" s="14" t="n"/>
      <c r="R291" s="14" t="n"/>
    </row>
    <row r="292" customFormat="1" s="34">
      <c r="A292" s="14" t="inlineStr">
        <is>
          <t>FM3090</t>
        </is>
      </c>
      <c r="B292" s="14" t="n"/>
      <c r="C292" s="13" t="n">
        <v>45764</v>
      </c>
      <c r="D292" s="12" t="inlineStr">
        <is>
          <t>Cash Sale</t>
        </is>
      </c>
      <c r="E292" s="14" t="inlineStr">
        <is>
          <t>Orion Property Holding Trust</t>
        </is>
      </c>
      <c r="F292" s="14" t="inlineStr">
        <is>
          <t>Fumax 900 c/w 5,50KW 4P 380V</t>
        </is>
      </c>
      <c r="G292" s="20" t="n">
        <v>3</v>
      </c>
      <c r="H292" s="19">
        <f>34461+(2*777)+(2*1018)</f>
        <v/>
      </c>
      <c r="I292" s="18">
        <f>G292*H292</f>
        <v/>
      </c>
      <c r="J292" s="11" t="n"/>
      <c r="K292" s="17" t="n"/>
      <c r="L292" s="16">
        <f>K292+C292</f>
        <v/>
      </c>
      <c r="M292" s="11" t="inlineStr">
        <is>
          <t>SM</t>
        </is>
      </c>
      <c r="N292" s="15" t="n"/>
      <c r="O292" s="14" t="n"/>
      <c r="P292" s="14" t="n"/>
      <c r="Q292" s="14" t="n"/>
      <c r="R292" s="14" t="n"/>
    </row>
    <row r="293" customFormat="1" s="34">
      <c r="A293" s="14" t="inlineStr">
        <is>
          <t>FM3091</t>
        </is>
      </c>
      <c r="B293" s="14" t="n"/>
      <c r="C293" s="13" t="n">
        <v>45764</v>
      </c>
      <c r="D293" s="12" t="inlineStr">
        <is>
          <t>Cash Sale</t>
        </is>
      </c>
      <c r="E293" s="14" t="inlineStr">
        <is>
          <t>SJ Global Construction</t>
        </is>
      </c>
      <c r="F293" s="14" t="inlineStr">
        <is>
          <t>Box Fans</t>
        </is>
      </c>
      <c r="G293" s="20" t="n">
        <v>1</v>
      </c>
      <c r="H293" s="19" t="n">
        <v>146703</v>
      </c>
      <c r="I293" s="18">
        <f>G293*H293</f>
        <v/>
      </c>
      <c r="J293" s="11" t="n"/>
      <c r="K293" s="17" t="n"/>
      <c r="L293" s="16">
        <f>K293+C293</f>
        <v/>
      </c>
      <c r="M293" s="11" t="inlineStr">
        <is>
          <t>SM</t>
        </is>
      </c>
      <c r="N293" s="15" t="n"/>
      <c r="O293" s="14" t="n"/>
      <c r="P293" s="14" t="n"/>
      <c r="Q293" s="14" t="n"/>
      <c r="R293" s="14" t="n"/>
    </row>
    <row r="294" customFormat="1" s="34">
      <c r="A294" s="14" t="inlineStr">
        <is>
          <t>FM3092</t>
        </is>
      </c>
      <c r="B294" s="14" t="n"/>
      <c r="C294" s="13" t="n">
        <v>45764</v>
      </c>
      <c r="D294" s="12" t="n"/>
      <c r="E294" s="14" t="inlineStr">
        <is>
          <t>Butec</t>
        </is>
      </c>
      <c r="F294" s="14" t="n"/>
      <c r="G294" s="20" t="n">
        <v>1</v>
      </c>
      <c r="H294" s="19" t="n">
        <v>9636</v>
      </c>
      <c r="I294" s="18">
        <f>G294*H294</f>
        <v/>
      </c>
      <c r="J294" s="11" t="n"/>
      <c r="K294" s="17" t="n"/>
      <c r="L294" s="16">
        <f>K294+C294</f>
        <v/>
      </c>
      <c r="M294" s="11" t="inlineStr">
        <is>
          <t>ST</t>
        </is>
      </c>
      <c r="N294" s="15" t="n"/>
      <c r="O294" s="14" t="n"/>
      <c r="P294" s="14" t="n"/>
      <c r="Q294" s="14" t="n"/>
      <c r="R294" s="14" t="n"/>
    </row>
    <row r="295" customFormat="1" s="34">
      <c r="A295" s="14" t="inlineStr">
        <is>
          <t>FM3093</t>
        </is>
      </c>
      <c r="B295" s="14" t="n"/>
      <c r="C295" s="13" t="n">
        <v>45764</v>
      </c>
      <c r="D295" s="12" t="inlineStr">
        <is>
          <t>Cash Sale</t>
        </is>
      </c>
      <c r="E295" s="14" t="inlineStr">
        <is>
          <t>Apex Engineering</t>
        </is>
      </c>
      <c r="F295" s="14" t="inlineStr">
        <is>
          <t>CMP 718-2T</t>
        </is>
      </c>
      <c r="G295" s="20" t="n">
        <v>1</v>
      </c>
      <c r="H295" s="19" t="n">
        <v>9636</v>
      </c>
      <c r="I295" s="18">
        <f>G295*H295</f>
        <v/>
      </c>
      <c r="J295" s="11" t="n"/>
      <c r="K295" s="17" t="n"/>
      <c r="L295" s="16">
        <f>K295+C295</f>
        <v/>
      </c>
      <c r="M295" s="11" t="inlineStr">
        <is>
          <t>ST</t>
        </is>
      </c>
      <c r="N295" s="15" t="n"/>
      <c r="O295" s="14" t="n"/>
      <c r="P295" s="14" t="n"/>
      <c r="Q295" s="14" t="n"/>
      <c r="R295" s="14" t="n"/>
    </row>
    <row r="296" customFormat="1" s="34">
      <c r="A296" s="14" t="inlineStr">
        <is>
          <t>FM3094</t>
        </is>
      </c>
      <c r="B296" s="14" t="n"/>
      <c r="C296" s="13" t="n">
        <v>45769</v>
      </c>
      <c r="D296" s="12" t="inlineStr">
        <is>
          <t>PC6/PO-2665</t>
        </is>
      </c>
      <c r="E296" s="14" t="inlineStr">
        <is>
          <t>Butec</t>
        </is>
      </c>
      <c r="F296" s="14" t="inlineStr">
        <is>
          <t>Various Fans</t>
        </is>
      </c>
      <c r="G296" s="20" t="n">
        <v>18</v>
      </c>
      <c r="H296" s="19" t="n">
        <v>145198</v>
      </c>
      <c r="I296" s="18" t="n">
        <v>145198</v>
      </c>
      <c r="J296" s="11" t="n"/>
      <c r="K296" s="17" t="n"/>
      <c r="L296" s="16">
        <f>K296+C296</f>
        <v/>
      </c>
      <c r="M296" s="11" t="inlineStr">
        <is>
          <t>MT</t>
        </is>
      </c>
      <c r="N296" s="15" t="n"/>
      <c r="O296" s="14" t="n"/>
      <c r="P296" s="14" t="n"/>
      <c r="Q296" s="14" t="n"/>
      <c r="R296" s="14" t="n"/>
    </row>
    <row r="297" customFormat="1" s="34">
      <c r="A297" s="14" t="inlineStr">
        <is>
          <t>FM3095</t>
        </is>
      </c>
      <c r="B297" s="14" t="n"/>
      <c r="C297" s="13" t="n">
        <v>45770</v>
      </c>
      <c r="D297" s="12" t="inlineStr">
        <is>
          <t>PO1997</t>
        </is>
      </c>
      <c r="E297" s="14" t="inlineStr">
        <is>
          <t xml:space="preserve">Hucra Fans </t>
        </is>
      </c>
      <c r="F297" s="14" t="inlineStr">
        <is>
          <t>Lineo 125</t>
        </is>
      </c>
      <c r="G297" s="20" t="n">
        <v>1</v>
      </c>
      <c r="H297" s="19" t="n">
        <v>2171</v>
      </c>
      <c r="I297" s="18">
        <f>G297*H297</f>
        <v/>
      </c>
      <c r="J297" s="11" t="n"/>
      <c r="K297" s="17" t="n"/>
      <c r="L297" s="16">
        <f>K297+C297</f>
        <v/>
      </c>
      <c r="M297" s="11" t="inlineStr">
        <is>
          <t>ZX</t>
        </is>
      </c>
      <c r="N297" s="15" t="n"/>
      <c r="O297" s="14" t="n"/>
      <c r="P297" s="14" t="n"/>
      <c r="Q297" s="14" t="n"/>
      <c r="R297" s="14" t="n"/>
    </row>
    <row r="298" customFormat="1" s="34">
      <c r="A298" s="14" t="inlineStr">
        <is>
          <t>FM3096</t>
        </is>
      </c>
      <c r="B298" s="14" t="n"/>
      <c r="C298" s="13" t="n">
        <v>45770</v>
      </c>
      <c r="D298" s="12" t="n">
        <v>25619</v>
      </c>
      <c r="E298" s="14" t="inlineStr">
        <is>
          <t>Maddox Adams International</t>
        </is>
      </c>
      <c r="F298" s="14" t="inlineStr">
        <is>
          <t>SCL-K04-1.1KW 380V</t>
        </is>
      </c>
      <c r="G298" s="20" t="n">
        <v>1</v>
      </c>
      <c r="H298" s="19" t="n">
        <v>15020.21</v>
      </c>
      <c r="I298" s="18">
        <f>G298*H298</f>
        <v/>
      </c>
      <c r="J298" s="11" t="n"/>
      <c r="K298" s="17" t="n"/>
      <c r="L298" s="16">
        <f>K298+C298</f>
        <v/>
      </c>
      <c r="M298" s="11" t="inlineStr">
        <is>
          <t>MT</t>
        </is>
      </c>
      <c r="N298" s="15" t="n"/>
      <c r="O298" s="14" t="n"/>
      <c r="P298" s="14" t="n"/>
      <c r="Q298" s="14" t="n"/>
      <c r="R298" s="14" t="n"/>
    </row>
    <row r="299" customFormat="1" s="34">
      <c r="A299" s="14" t="inlineStr">
        <is>
          <t>FM3097</t>
        </is>
      </c>
      <c r="B299" s="14" t="n"/>
      <c r="C299" s="13" t="n">
        <v>45771</v>
      </c>
      <c r="D299" s="12" t="inlineStr">
        <is>
          <t>PO-0246</t>
        </is>
      </c>
      <c r="E299" s="36" t="inlineStr">
        <is>
          <t>Resonant Environmental Tech</t>
        </is>
      </c>
      <c r="F299" s="14" t="inlineStr">
        <is>
          <t>CMA-527-2T - IP65</t>
        </is>
      </c>
      <c r="G299" s="20" t="n">
        <v>2</v>
      </c>
      <c r="H299" s="19" t="n">
        <v>18109</v>
      </c>
      <c r="I299" s="18">
        <f>G299*H299</f>
        <v/>
      </c>
      <c r="J299" s="11" t="n"/>
      <c r="K299" s="17" t="n"/>
      <c r="L299" s="16">
        <f>K299+C299</f>
        <v/>
      </c>
      <c r="M299" s="11" t="inlineStr">
        <is>
          <t>SM</t>
        </is>
      </c>
      <c r="N299" s="15" t="n"/>
      <c r="O299" s="14" t="n"/>
      <c r="P299" s="14" t="n"/>
      <c r="Q299" s="14" t="n"/>
      <c r="R299" s="14" t="n"/>
    </row>
    <row r="300" customFormat="1" s="34">
      <c r="A300" s="14" t="inlineStr">
        <is>
          <t>FM3098</t>
        </is>
      </c>
      <c r="B300" s="14" t="n"/>
      <c r="C300" s="13" t="n">
        <v>45772</v>
      </c>
      <c r="D300" s="12" t="inlineStr">
        <is>
          <t>PC6/PO-2719</t>
        </is>
      </c>
      <c r="E300" s="14" t="inlineStr">
        <is>
          <t>Butec</t>
        </is>
      </c>
      <c r="F300" s="14" t="inlineStr">
        <is>
          <t>Various Fans</t>
        </is>
      </c>
      <c r="G300" s="20" t="n">
        <v>14</v>
      </c>
      <c r="H300" s="19" t="n">
        <v>39838</v>
      </c>
      <c r="I300" s="18" t="n">
        <v>39838</v>
      </c>
      <c r="J300" s="11" t="n"/>
      <c r="K300" s="17" t="n"/>
      <c r="L300" s="16">
        <f>K300+C300</f>
        <v/>
      </c>
      <c r="M300" s="11" t="inlineStr">
        <is>
          <t>MT</t>
        </is>
      </c>
      <c r="N300" s="15" t="n"/>
      <c r="O300" s="14" t="n"/>
      <c r="P300" s="14" t="n"/>
      <c r="Q300" s="14" t="n"/>
      <c r="R300" s="14" t="n"/>
    </row>
    <row r="301" customFormat="1" s="34">
      <c r="A301" s="14" t="inlineStr">
        <is>
          <t>FM3099</t>
        </is>
      </c>
      <c r="B301" s="14" t="n"/>
      <c r="C301" s="13" t="n">
        <v>45772</v>
      </c>
      <c r="D301" s="12" t="inlineStr">
        <is>
          <t>PO…....</t>
        </is>
      </c>
      <c r="E301" s="14" t="inlineStr">
        <is>
          <t xml:space="preserve">Hucra Fans </t>
        </is>
      </c>
      <c r="F301" s="14" t="inlineStr">
        <is>
          <t>ME 120/5</t>
        </is>
      </c>
      <c r="G301" s="20" t="n">
        <v>2</v>
      </c>
      <c r="H301" s="19" t="n">
        <v>1552</v>
      </c>
      <c r="I301" s="18">
        <f>G301*H301</f>
        <v/>
      </c>
      <c r="J301" s="11" t="n"/>
      <c r="K301" s="17" t="n"/>
      <c r="L301" s="16">
        <f>K301+C301</f>
        <v/>
      </c>
      <c r="M301" s="11" t="inlineStr">
        <is>
          <t>ZX</t>
        </is>
      </c>
      <c r="N301" s="15" t="n"/>
      <c r="O301" s="14" t="n"/>
      <c r="P301" s="14" t="n"/>
      <c r="Q301" s="14" t="n"/>
      <c r="R301" s="14" t="n"/>
    </row>
    <row r="302" customFormat="1" s="34">
      <c r="A302" s="14" t="inlineStr">
        <is>
          <t>FM3100</t>
        </is>
      </c>
      <c r="B302" s="14" t="n"/>
      <c r="C302" s="13" t="n">
        <v>45772</v>
      </c>
      <c r="D302" s="12" t="n">
        <v>203592</v>
      </c>
      <c r="E302" s="14" t="inlineStr">
        <is>
          <t>Kenmare</t>
        </is>
      </c>
      <c r="F302" s="14" t="inlineStr">
        <is>
          <t>K11 TD - 22KW</t>
        </is>
      </c>
      <c r="G302" s="20" t="n">
        <v>2</v>
      </c>
      <c r="H302" s="19" t="n">
        <v>245978</v>
      </c>
      <c r="I302" s="18">
        <f>G302*H302</f>
        <v/>
      </c>
      <c r="J302" s="11" t="n"/>
      <c r="K302" s="17" t="n"/>
      <c r="L302" s="16">
        <f>K302+C302</f>
        <v/>
      </c>
      <c r="M302" s="11" t="inlineStr">
        <is>
          <t>ST</t>
        </is>
      </c>
      <c r="N302" s="15" t="n"/>
      <c r="O302" s="14" t="n"/>
      <c r="P302" s="14" t="n"/>
      <c r="Q302" s="14" t="n"/>
      <c r="R302" s="14" t="n"/>
    </row>
    <row r="303" customFormat="1" s="34">
      <c r="A303" s="14" t="inlineStr">
        <is>
          <t>FM3101</t>
        </is>
      </c>
      <c r="B303" s="14" t="n"/>
      <c r="C303" s="13" t="n">
        <v>45773</v>
      </c>
      <c r="D303" s="12" t="inlineStr">
        <is>
          <t>POM90415</t>
        </is>
      </c>
      <c r="E303" s="14" t="inlineStr">
        <is>
          <t>Airex</t>
        </is>
      </c>
      <c r="F303" s="14" t="inlineStr">
        <is>
          <t>Majax-2 630 20.D.8 c/w 2.2 kW 4Pole 380V</t>
        </is>
      </c>
      <c r="G303" s="20" t="n">
        <v>1</v>
      </c>
      <c r="H303" s="19" t="n">
        <v>9133</v>
      </c>
      <c r="I303" s="18">
        <f>G303*H303</f>
        <v/>
      </c>
      <c r="J303" s="11" t="n"/>
      <c r="K303" s="17" t="n"/>
      <c r="L303" s="16">
        <f>K303+C303</f>
        <v/>
      </c>
      <c r="M303" s="11" t="inlineStr">
        <is>
          <t>SM</t>
        </is>
      </c>
      <c r="N303" s="15" t="n"/>
      <c r="O303" s="14" t="n"/>
      <c r="P303" s="14" t="n"/>
      <c r="Q303" s="14" t="n"/>
      <c r="R303" s="14" t="n"/>
    </row>
    <row r="304" customFormat="1" s="34">
      <c r="A304" s="14" t="inlineStr">
        <is>
          <t>FM3102</t>
        </is>
      </c>
      <c r="B304" s="14" t="n"/>
      <c r="C304" s="13" t="n">
        <v>45776</v>
      </c>
      <c r="D304" s="12" t="inlineStr">
        <is>
          <t>PO-0000579</t>
        </is>
      </c>
      <c r="E304" s="14" t="inlineStr">
        <is>
          <t>ATM TECH</t>
        </is>
      </c>
      <c r="F304" s="14" t="inlineStr">
        <is>
          <t>Majax 630 Belt Driven</t>
        </is>
      </c>
      <c r="G304" s="20" t="n">
        <v>1</v>
      </c>
      <c r="H304" s="19" t="n">
        <v>24043</v>
      </c>
      <c r="I304" s="18">
        <f>G304*H304</f>
        <v/>
      </c>
      <c r="J304" s="11" t="n"/>
      <c r="K304" s="17" t="n"/>
      <c r="L304" s="16">
        <f>K304+C304</f>
        <v/>
      </c>
      <c r="M304" s="11" t="inlineStr">
        <is>
          <t>MT</t>
        </is>
      </c>
      <c r="N304" s="15" t="n"/>
      <c r="O304" s="14" t="n"/>
      <c r="P304" s="14" t="n"/>
      <c r="Q304" s="14" t="n"/>
      <c r="R304" s="14" t="n"/>
    </row>
    <row r="305" customFormat="1" s="34">
      <c r="A305" s="14" t="inlineStr">
        <is>
          <t>FM3103</t>
        </is>
      </c>
      <c r="B305" s="14" t="n"/>
      <c r="C305" s="13" t="n">
        <v>45779</v>
      </c>
      <c r="D305" s="12" t="inlineStr">
        <is>
          <t>Cash sale</t>
        </is>
      </c>
      <c r="E305" s="14" t="inlineStr">
        <is>
          <t>TSI Projects</t>
        </is>
      </c>
      <c r="F305" s="14" t="inlineStr">
        <is>
          <t>Box Fans</t>
        </is>
      </c>
      <c r="G305" s="20" t="n">
        <v>1</v>
      </c>
      <c r="H305" s="19" t="n">
        <v>21571</v>
      </c>
      <c r="I305" s="18">
        <f>G305*H305</f>
        <v/>
      </c>
      <c r="J305" s="11" t="n"/>
      <c r="K305" s="17" t="n"/>
      <c r="L305" s="16">
        <f>K305+C305</f>
        <v/>
      </c>
      <c r="M305" s="11" t="inlineStr">
        <is>
          <t>SM</t>
        </is>
      </c>
      <c r="N305" s="15" t="n"/>
      <c r="O305" s="14" t="n"/>
      <c r="P305" s="14" t="n"/>
      <c r="Q305" s="14" t="n"/>
      <c r="R305" s="14" t="n"/>
    </row>
    <row r="306" customFormat="1" s="34">
      <c r="A306" s="14" t="inlineStr">
        <is>
          <t>FM3104</t>
        </is>
      </c>
      <c r="B306" s="14" t="n"/>
      <c r="C306" s="13" t="n">
        <v>45782</v>
      </c>
      <c r="D306" s="12" t="inlineStr">
        <is>
          <t>PO2010</t>
        </is>
      </c>
      <c r="E306" s="14" t="inlineStr">
        <is>
          <t xml:space="preserve">Hucra Fans </t>
        </is>
      </c>
      <c r="F306" s="14" t="inlineStr">
        <is>
          <t>SCL-K05-2.2 380V TO 525V</t>
        </is>
      </c>
      <c r="G306" s="20" t="n">
        <v>2</v>
      </c>
      <c r="H306" s="19" t="n">
        <v>17564</v>
      </c>
      <c r="I306" s="18">
        <f>G306*H306</f>
        <v/>
      </c>
      <c r="J306" s="11" t="n"/>
      <c r="K306" s="17" t="n"/>
      <c r="L306" s="16">
        <f>K306+C306</f>
        <v/>
      </c>
      <c r="M306" s="11" t="inlineStr">
        <is>
          <t>ZX</t>
        </is>
      </c>
      <c r="N306" s="15" t="n"/>
      <c r="O306" s="14" t="n"/>
      <c r="P306" s="14" t="n"/>
      <c r="Q306" s="14" t="n"/>
      <c r="R306" s="14" t="n"/>
    </row>
    <row r="307" customFormat="1" s="34">
      <c r="A307" s="14" t="inlineStr">
        <is>
          <t>FM3105</t>
        </is>
      </c>
      <c r="B307" s="14" t="n"/>
      <c r="C307" s="13" t="n">
        <v>45782</v>
      </c>
      <c r="D307" s="12" t="inlineStr">
        <is>
          <t>PO2002</t>
        </is>
      </c>
      <c r="E307" s="14" t="inlineStr">
        <is>
          <t xml:space="preserve">Hucra Fans </t>
        </is>
      </c>
      <c r="F307" s="14" t="inlineStr">
        <is>
          <t>CMA-528-2T-1 &amp; RAD250</t>
        </is>
      </c>
      <c r="G307" s="20" t="n">
        <v>3</v>
      </c>
      <c r="H307" s="19" t="n">
        <v>6907.66</v>
      </c>
      <c r="I307" s="18">
        <f>G307*H307</f>
        <v/>
      </c>
      <c r="J307" s="11" t="n"/>
      <c r="K307" s="17" t="n"/>
      <c r="L307" s="16">
        <f>K307+C307</f>
        <v/>
      </c>
      <c r="M307" s="11" t="inlineStr">
        <is>
          <t>ZX</t>
        </is>
      </c>
      <c r="N307" s="15" t="n"/>
      <c r="O307" s="14" t="n"/>
      <c r="P307" s="14" t="n"/>
      <c r="Q307" s="14" t="n"/>
      <c r="R307" s="14" t="n"/>
    </row>
    <row r="308" customFormat="1" s="34">
      <c r="A308" s="14" t="inlineStr">
        <is>
          <t>FM3106</t>
        </is>
      </c>
      <c r="B308" s="14" t="n"/>
      <c r="C308" s="13" t="n">
        <v>45782</v>
      </c>
      <c r="D308" s="12" t="inlineStr">
        <is>
          <t>PO-0000588</t>
        </is>
      </c>
      <c r="E308" s="14" t="inlineStr">
        <is>
          <t>Jaft Aircon Services</t>
        </is>
      </c>
      <c r="F308" s="14" t="inlineStr">
        <is>
          <t>Lineo Q250</t>
        </is>
      </c>
      <c r="G308" s="20" t="n">
        <v>2</v>
      </c>
      <c r="H308" s="19" t="n">
        <v>7789</v>
      </c>
      <c r="I308" s="18">
        <f>G308*H308</f>
        <v/>
      </c>
      <c r="J308" s="11" t="n"/>
      <c r="K308" s="17" t="n"/>
      <c r="L308" s="16">
        <f>K308+C308</f>
        <v/>
      </c>
      <c r="M308" s="11" t="inlineStr">
        <is>
          <t>MT</t>
        </is>
      </c>
      <c r="N308" s="15" t="n"/>
      <c r="O308" s="14" t="n"/>
      <c r="P308" s="14" t="n"/>
      <c r="Q308" s="14" t="n"/>
      <c r="R308" s="14" t="n"/>
    </row>
    <row r="309" customFormat="1" s="34">
      <c r="A309" s="14" t="inlineStr">
        <is>
          <t>FM3107</t>
        </is>
      </c>
      <c r="B309" s="14" t="n"/>
      <c r="C309" s="13" t="n">
        <v>45782</v>
      </c>
      <c r="D309" s="12" t="inlineStr">
        <is>
          <t>PO-0000589</t>
        </is>
      </c>
      <c r="E309" s="14" t="inlineStr">
        <is>
          <t>Jaft Aircon Services</t>
        </is>
      </c>
      <c r="F309" s="14" t="inlineStr">
        <is>
          <t>Lineo Q315 &amp; 1 315L 600 attenuator</t>
        </is>
      </c>
      <c r="G309" s="20" t="n">
        <v>2</v>
      </c>
      <c r="H309" s="19" t="n">
        <v>11212</v>
      </c>
      <c r="I309" s="18" t="n">
        <v>11212</v>
      </c>
      <c r="J309" s="11" t="n"/>
      <c r="K309" s="17" t="n"/>
      <c r="L309" s="16">
        <f>K309+C309</f>
        <v/>
      </c>
      <c r="M309" s="11" t="inlineStr">
        <is>
          <t>MT</t>
        </is>
      </c>
      <c r="N309" s="15" t="n"/>
      <c r="O309" s="14" t="n"/>
      <c r="P309" s="14" t="n"/>
      <c r="Q309" s="14" t="n"/>
      <c r="R309" s="14" t="n"/>
    </row>
    <row r="310" customFormat="1" s="34">
      <c r="A310" s="14" t="inlineStr">
        <is>
          <t>FM3108</t>
        </is>
      </c>
      <c r="B310" s="14" t="n"/>
      <c r="C310" s="13" t="n">
        <v>45782</v>
      </c>
      <c r="D310" s="12" t="inlineStr">
        <is>
          <t>PC6/PO-275</t>
        </is>
      </c>
      <c r="E310" s="14" t="inlineStr">
        <is>
          <t>Butec</t>
        </is>
      </c>
      <c r="F310" s="14" t="inlineStr">
        <is>
          <t>Rad 315 &amp; Accessories</t>
        </is>
      </c>
      <c r="G310" s="20" t="n">
        <v>6</v>
      </c>
      <c r="H310" s="19" t="n">
        <v>9640</v>
      </c>
      <c r="I310" s="18" t="n">
        <v>9640</v>
      </c>
      <c r="J310" s="11" t="n"/>
      <c r="K310" s="17" t="n"/>
      <c r="L310" s="16">
        <f>K310+C310</f>
        <v/>
      </c>
      <c r="M310" s="11" t="inlineStr">
        <is>
          <t>MT</t>
        </is>
      </c>
      <c r="N310" s="15" t="n"/>
      <c r="O310" s="14" t="n"/>
      <c r="P310" s="14" t="n"/>
      <c r="Q310" s="14" t="n"/>
      <c r="R310" s="14" t="n"/>
    </row>
    <row r="311" customFormat="1" s="34">
      <c r="A311" s="14" t="inlineStr">
        <is>
          <t>FM3109</t>
        </is>
      </c>
      <c r="B311" s="14" t="n"/>
      <c r="C311" s="13" t="n">
        <v>45783</v>
      </c>
      <c r="D311" s="12" t="inlineStr">
        <is>
          <t>PO2011</t>
        </is>
      </c>
      <c r="E311" s="14" t="inlineStr">
        <is>
          <t xml:space="preserve">Hucra Fans </t>
        </is>
      </c>
      <c r="F311" s="14" t="inlineStr">
        <is>
          <t>SCL-K05-2.2KW 525V</t>
        </is>
      </c>
      <c r="G311" s="20" t="n">
        <v>1</v>
      </c>
      <c r="H311" s="19" t="n">
        <v>21125</v>
      </c>
      <c r="I311" s="18">
        <f>G311*H311</f>
        <v/>
      </c>
      <c r="J311" s="11" t="n"/>
      <c r="K311" s="17" t="n"/>
      <c r="L311" s="16">
        <f>K311+C311</f>
        <v/>
      </c>
      <c r="M311" s="11" t="inlineStr">
        <is>
          <t>ZX</t>
        </is>
      </c>
      <c r="N311" s="15" t="n"/>
      <c r="O311" s="14" t="n"/>
      <c r="P311" s="14" t="n"/>
      <c r="Q311" s="14" t="n"/>
      <c r="R311" s="14" t="n"/>
    </row>
    <row r="312" customFormat="1" s="34">
      <c r="A312" s="14" t="inlineStr">
        <is>
          <t>FM3110</t>
        </is>
      </c>
      <c r="B312" s="14" t="n"/>
      <c r="C312" s="13" t="n">
        <v>45783</v>
      </c>
      <c r="D312" s="12" t="inlineStr">
        <is>
          <t>PO2012</t>
        </is>
      </c>
      <c r="E312" s="14" t="inlineStr">
        <is>
          <t xml:space="preserve">Hucra Fans </t>
        </is>
      </c>
      <c r="F312" s="14" t="inlineStr">
        <is>
          <t>RAD 250</t>
        </is>
      </c>
      <c r="G312" s="20" t="n">
        <v>1</v>
      </c>
      <c r="H312" s="19" t="n">
        <v>2097</v>
      </c>
      <c r="I312" s="18">
        <f>G312*H312</f>
        <v/>
      </c>
      <c r="J312" s="11" t="n"/>
      <c r="K312" s="17" t="n"/>
      <c r="L312" s="16">
        <f>K312+C312</f>
        <v/>
      </c>
      <c r="M312" s="11" t="inlineStr">
        <is>
          <t>ZX</t>
        </is>
      </c>
      <c r="N312" s="15" t="n"/>
      <c r="O312" s="14" t="n"/>
      <c r="P312" s="14" t="n"/>
      <c r="Q312" s="14" t="n"/>
      <c r="R312" s="14" t="n"/>
    </row>
    <row r="313" customFormat="1" s="34">
      <c r="A313" s="14" t="inlineStr">
        <is>
          <t>FM3111</t>
        </is>
      </c>
      <c r="B313" s="14" t="n"/>
      <c r="C313" s="13" t="n">
        <v>45783</v>
      </c>
      <c r="D313" s="12" t="inlineStr">
        <is>
          <t>PO2014</t>
        </is>
      </c>
      <c r="E313" s="14" t="inlineStr">
        <is>
          <t xml:space="preserve">Hucra Fans </t>
        </is>
      </c>
      <c r="F313" s="14" t="inlineStr">
        <is>
          <t>CMA-324-2T</t>
        </is>
      </c>
      <c r="G313" s="20" t="n">
        <v>1</v>
      </c>
      <c r="H313" s="19" t="n">
        <v>8581</v>
      </c>
      <c r="I313" s="18">
        <f>G313*H313</f>
        <v/>
      </c>
      <c r="J313" s="11" t="n"/>
      <c r="K313" s="17" t="n"/>
      <c r="L313" s="16">
        <f>K313+C313</f>
        <v/>
      </c>
      <c r="M313" s="11" t="inlineStr">
        <is>
          <t>ZX</t>
        </is>
      </c>
      <c r="N313" s="15" t="n"/>
      <c r="O313" s="14" t="n"/>
      <c r="P313" s="14" t="n"/>
      <c r="Q313" s="14" t="n"/>
      <c r="R313" s="14" t="n"/>
    </row>
    <row r="314" customFormat="1" s="34">
      <c r="A314" s="14" t="inlineStr">
        <is>
          <t>FM3112</t>
        </is>
      </c>
      <c r="B314" s="14" t="n"/>
      <c r="C314" s="13" t="n">
        <v>45783</v>
      </c>
      <c r="D314" s="12" t="inlineStr">
        <is>
          <t>Cash Sale</t>
        </is>
      </c>
      <c r="E314" s="14" t="inlineStr">
        <is>
          <t>Brother Cash &amp; Carry CC</t>
        </is>
      </c>
      <c r="F314" s="14" t="inlineStr">
        <is>
          <t>KDAXIS 350</t>
        </is>
      </c>
      <c r="G314" s="20" t="n">
        <v>1</v>
      </c>
      <c r="H314" s="19" t="n">
        <v>2500</v>
      </c>
      <c r="I314" s="18">
        <f>G314*H314</f>
        <v/>
      </c>
      <c r="J314" s="11" t="n"/>
      <c r="K314" s="17" t="n"/>
      <c r="L314" s="16">
        <f>K314+C314</f>
        <v/>
      </c>
      <c r="M314" s="11" t="inlineStr">
        <is>
          <t>SM</t>
        </is>
      </c>
      <c r="N314" s="15" t="n"/>
      <c r="O314" s="14" t="n"/>
      <c r="P314" s="14" t="n"/>
      <c r="Q314" s="14" t="n"/>
      <c r="R314" s="14" t="n"/>
    </row>
    <row r="315" customFormat="1" s="34">
      <c r="A315" s="14" t="inlineStr">
        <is>
          <t>FM3113</t>
        </is>
      </c>
      <c r="B315" s="14" t="n"/>
      <c r="C315" s="13" t="n">
        <v>45784</v>
      </c>
      <c r="D315" s="12" t="inlineStr">
        <is>
          <t>MP014358</t>
        </is>
      </c>
      <c r="E315" s="14" t="inlineStr">
        <is>
          <t>Midstone Engineering t/a Midair</t>
        </is>
      </c>
      <c r="F315" s="14" t="inlineStr">
        <is>
          <t>Tiracamino 220V CHIMNEY FAN</t>
        </is>
      </c>
      <c r="G315" s="20" t="n">
        <v>1</v>
      </c>
      <c r="H315" s="19" t="n">
        <v>11500</v>
      </c>
      <c r="I315" s="18">
        <f>G315*H315</f>
        <v/>
      </c>
      <c r="J315" s="11" t="n"/>
      <c r="K315" s="17" t="n"/>
      <c r="L315" s="16">
        <f>K315+C315</f>
        <v/>
      </c>
      <c r="M315" s="11" t="inlineStr">
        <is>
          <t>MT</t>
        </is>
      </c>
      <c r="N315" s="15" t="n"/>
      <c r="O315" s="14" t="n"/>
      <c r="P315" s="14" t="n"/>
      <c r="Q315" s="14" t="n"/>
      <c r="R315" s="14" t="n"/>
    </row>
    <row r="316" customFormat="1" s="34">
      <c r="A316" s="14" t="inlineStr">
        <is>
          <t>FM3114</t>
        </is>
      </c>
      <c r="B316" s="14" t="n"/>
      <c r="C316" s="13" t="n">
        <v>45784</v>
      </c>
      <c r="D316" s="12" t="inlineStr">
        <is>
          <t>Cash Sale</t>
        </is>
      </c>
      <c r="E316" s="14" t="inlineStr">
        <is>
          <t>Lure Holdings</t>
        </is>
      </c>
      <c r="F316" s="14" t="inlineStr">
        <is>
          <t>AT 15/15</t>
        </is>
      </c>
      <c r="G316" s="20" t="n">
        <v>1</v>
      </c>
      <c r="H316" s="19" t="n">
        <v>7813</v>
      </c>
      <c r="I316" s="18">
        <f>G316*H316</f>
        <v/>
      </c>
      <c r="J316" s="11" t="n"/>
      <c r="K316" s="17" t="n"/>
      <c r="L316" s="16">
        <f>K316+C316</f>
        <v/>
      </c>
      <c r="M316" s="11" t="inlineStr">
        <is>
          <t>SM</t>
        </is>
      </c>
      <c r="N316" s="15" t="n"/>
      <c r="O316" s="14" t="n"/>
      <c r="P316" s="14" t="n"/>
      <c r="Q316" s="14" t="n"/>
      <c r="R316" s="14" t="n"/>
    </row>
    <row r="317" customFormat="1" s="34">
      <c r="A317" s="14" t="inlineStr">
        <is>
          <t>FM3115</t>
        </is>
      </c>
      <c r="B317" s="14" t="n"/>
      <c r="C317" s="13" t="n">
        <v>45784</v>
      </c>
      <c r="D317" s="12" t="inlineStr">
        <is>
          <t>PO223785</t>
        </is>
      </c>
      <c r="E317" s="14" t="inlineStr">
        <is>
          <t>Minelog</t>
        </is>
      </c>
      <c r="F317" s="14" t="inlineStr">
        <is>
          <t>Majax-2 315 0.55KW 4P 380V &amp; Accessories</t>
        </is>
      </c>
      <c r="G317" s="20" t="n">
        <v>1</v>
      </c>
      <c r="H317" s="19" t="n">
        <v>21538</v>
      </c>
      <c r="I317" s="18">
        <f>G317*H317</f>
        <v/>
      </c>
      <c r="J317" s="11" t="n"/>
      <c r="K317" s="17" t="n"/>
      <c r="L317" s="16">
        <f>K317+C317</f>
        <v/>
      </c>
      <c r="M317" s="11" t="inlineStr">
        <is>
          <t>MT</t>
        </is>
      </c>
      <c r="N317" s="15" t="n"/>
      <c r="O317" s="14" t="n"/>
      <c r="P317" s="14" t="n"/>
      <c r="Q317" s="14" t="n"/>
      <c r="R317" s="14" t="n"/>
    </row>
    <row r="318" customFormat="1" s="34">
      <c r="A318" s="14" t="inlineStr">
        <is>
          <t>FM3116</t>
        </is>
      </c>
      <c r="B318" s="14" t="n"/>
      <c r="C318" s="13" t="n">
        <v>45785</v>
      </c>
      <c r="D318" s="12" t="inlineStr">
        <is>
          <t>PO:2528</t>
        </is>
      </c>
      <c r="E318" s="14" t="inlineStr">
        <is>
          <t>Sulit</t>
        </is>
      </c>
      <c r="F318" s="14" t="inlineStr">
        <is>
          <t>Kdaxis 200</t>
        </is>
      </c>
      <c r="G318" s="20" t="n">
        <v>2</v>
      </c>
      <c r="H318" s="19" t="n">
        <v>1269</v>
      </c>
      <c r="I318" s="18">
        <f>G318*H318</f>
        <v/>
      </c>
      <c r="J318" s="11" t="n"/>
      <c r="K318" s="17" t="n"/>
      <c r="L318" s="16">
        <f>K318+C318</f>
        <v/>
      </c>
      <c r="M318" s="11" t="inlineStr">
        <is>
          <t>MT</t>
        </is>
      </c>
      <c r="N318" s="15" t="n"/>
      <c r="O318" s="14" t="n"/>
      <c r="P318" s="14" t="n"/>
      <c r="Q318" s="14" t="n"/>
      <c r="R318" s="14" t="n"/>
    </row>
    <row r="319" customFormat="1" s="34">
      <c r="A319" s="14" t="inlineStr">
        <is>
          <t>FM3117</t>
        </is>
      </c>
      <c r="B319" s="14" t="n"/>
      <c r="C319" s="13" t="n">
        <v>45785</v>
      </c>
      <c r="D319" s="12" t="inlineStr">
        <is>
          <t>Cash sale</t>
        </is>
      </c>
      <c r="E319" s="14" t="inlineStr">
        <is>
          <t>Apex Engineering</t>
        </is>
      </c>
      <c r="F319" s="14" t="inlineStr">
        <is>
          <t>CMP-38-2M</t>
        </is>
      </c>
      <c r="G319" s="20" t="n">
        <v>2</v>
      </c>
      <c r="H319" s="19" t="n">
        <v>4137</v>
      </c>
      <c r="I319" s="18">
        <f>G319*H319</f>
        <v/>
      </c>
      <c r="J319" s="11" t="n"/>
      <c r="K319" s="17" t="n"/>
      <c r="L319" s="16">
        <f>K319+C319</f>
        <v/>
      </c>
      <c r="M319" s="11" t="inlineStr">
        <is>
          <t>ST</t>
        </is>
      </c>
      <c r="N319" s="15" t="n"/>
      <c r="O319" s="14" t="n"/>
      <c r="P319" s="14" t="n"/>
      <c r="Q319" s="14" t="n"/>
      <c r="R319" s="14" t="n"/>
    </row>
    <row r="320" customFormat="1" s="34">
      <c r="A320" s="14" t="inlineStr">
        <is>
          <t>FM3118</t>
        </is>
      </c>
      <c r="B320" s="14" t="n"/>
      <c r="C320" s="13" t="n">
        <v>45785</v>
      </c>
      <c r="D320" s="12" t="inlineStr">
        <is>
          <t>PO0000402</t>
        </is>
      </c>
      <c r="E320" s="14" t="inlineStr">
        <is>
          <t>St Air Services &amp; Maintenance</t>
        </is>
      </c>
      <c r="F320" s="14" t="inlineStr">
        <is>
          <t>Lineo 250 Quite &amp; Tube Silencers</t>
        </is>
      </c>
      <c r="G320" s="20" t="n">
        <v>2</v>
      </c>
      <c r="H320" s="19" t="n">
        <v>10043</v>
      </c>
      <c r="I320" s="18">
        <f>G320*H320</f>
        <v/>
      </c>
      <c r="J320" s="11" t="n"/>
      <c r="K320" s="17" t="n"/>
      <c r="L320" s="16">
        <f>K320+C320</f>
        <v/>
      </c>
      <c r="M320" s="11" t="inlineStr">
        <is>
          <t>SM</t>
        </is>
      </c>
      <c r="N320" s="15" t="n"/>
      <c r="O320" s="14" t="n"/>
      <c r="P320" s="14" t="n"/>
      <c r="Q320" s="14" t="n"/>
      <c r="R320" s="14" t="n"/>
    </row>
    <row r="321" customFormat="1" s="34">
      <c r="A321" s="14" t="inlineStr">
        <is>
          <t>FM3119</t>
        </is>
      </c>
      <c r="B321" s="14" t="n"/>
      <c r="C321" s="13" t="n">
        <v>45786</v>
      </c>
      <c r="D321" s="12" t="n">
        <v>15399</v>
      </c>
      <c r="E321" s="14" t="inlineStr">
        <is>
          <t>DRAKE &amp; GORHAM (Zambia) Ltd.</t>
        </is>
      </c>
      <c r="F321" s="14" t="inlineStr">
        <is>
          <t>Maxflo 400/150/10 c/w 0,37 kW 4P 380V</t>
        </is>
      </c>
      <c r="G321" s="20" t="n">
        <v>1</v>
      </c>
      <c r="H321" s="19" t="n">
        <v>6641.94</v>
      </c>
      <c r="I321" s="18">
        <f>G321*H321</f>
        <v/>
      </c>
      <c r="J321" s="11" t="n"/>
      <c r="K321" s="17" t="n"/>
      <c r="L321" s="16">
        <f>K321+C321</f>
        <v/>
      </c>
      <c r="M321" s="11" t="inlineStr">
        <is>
          <t>SM</t>
        </is>
      </c>
      <c r="N321" s="15" t="n"/>
      <c r="O321" s="14" t="n"/>
      <c r="P321" s="14" t="n"/>
      <c r="Q321" s="14" t="n"/>
      <c r="R321" s="14" t="n"/>
    </row>
    <row r="322" customFormat="1" s="34">
      <c r="A322" s="14" t="inlineStr">
        <is>
          <t>FM3120</t>
        </is>
      </c>
      <c r="B322" s="14" t="n"/>
      <c r="C322" s="13" t="n">
        <v>45786</v>
      </c>
      <c r="D322" s="12" t="inlineStr">
        <is>
          <t>PO2017</t>
        </is>
      </c>
      <c r="E322" s="14" t="inlineStr">
        <is>
          <t xml:space="preserve">Hucra Fans </t>
        </is>
      </c>
      <c r="F322" s="14" t="inlineStr">
        <is>
          <t>CMP 514 2T</t>
        </is>
      </c>
      <c r="G322" s="20" t="n">
        <v>1</v>
      </c>
      <c r="H322" s="19" t="n">
        <v>5493</v>
      </c>
      <c r="I322" s="18">
        <f>G322*H322</f>
        <v/>
      </c>
      <c r="J322" s="11" t="n"/>
      <c r="K322" s="17" t="n"/>
      <c r="L322" s="16">
        <f>K322+C322</f>
        <v/>
      </c>
      <c r="M322" s="11" t="inlineStr">
        <is>
          <t>ZX</t>
        </is>
      </c>
      <c r="N322" s="15" t="n"/>
      <c r="O322" s="14" t="n"/>
      <c r="P322" s="14" t="n"/>
      <c r="Q322" s="14" t="n"/>
      <c r="R322" s="14" t="n"/>
    </row>
    <row r="323" customFormat="1" s="34">
      <c r="A323" s="14" t="inlineStr">
        <is>
          <t>FM3121</t>
        </is>
      </c>
      <c r="B323" s="14" t="n"/>
      <c r="C323" s="13" t="n">
        <v>45786</v>
      </c>
      <c r="D323" s="12" t="inlineStr">
        <is>
          <t>PO2016</t>
        </is>
      </c>
      <c r="E323" s="14" t="inlineStr">
        <is>
          <t xml:space="preserve">Hucra Fans </t>
        </is>
      </c>
      <c r="F323" s="14" t="inlineStr">
        <is>
          <t>HCT-25-2T/PL</t>
        </is>
      </c>
      <c r="G323" s="20" t="n">
        <v>1</v>
      </c>
      <c r="H323" s="19" t="n">
        <v>7434</v>
      </c>
      <c r="I323" s="18">
        <f>G323*H323</f>
        <v/>
      </c>
      <c r="J323" s="11" t="n"/>
      <c r="K323" s="17" t="n"/>
      <c r="L323" s="16">
        <f>K323+C323</f>
        <v/>
      </c>
      <c r="M323" s="11" t="inlineStr">
        <is>
          <t>ZX</t>
        </is>
      </c>
      <c r="N323" s="15" t="n"/>
      <c r="O323" s="14" t="n"/>
      <c r="P323" s="14" t="n"/>
      <c r="Q323" s="14" t="n"/>
      <c r="R323" s="14" t="n"/>
    </row>
    <row r="324" customFormat="1" s="34">
      <c r="A324" s="14" t="inlineStr">
        <is>
          <t>FM3122</t>
        </is>
      </c>
      <c r="B324" s="14" t="n"/>
      <c r="C324" s="13" t="n">
        <v>45786</v>
      </c>
      <c r="D324" s="12" t="inlineStr">
        <is>
          <t>Cash Sale</t>
        </is>
      </c>
      <c r="E324" s="14" t="inlineStr">
        <is>
          <t>Raptor</t>
        </is>
      </c>
      <c r="F324" s="14" t="inlineStr">
        <is>
          <t>V230 AR</t>
        </is>
      </c>
      <c r="G324" s="20" t="n">
        <v>5</v>
      </c>
      <c r="H324" s="19" t="n">
        <v>3708</v>
      </c>
      <c r="I324" s="18">
        <f>G324*H324</f>
        <v/>
      </c>
      <c r="J324" s="11" t="n"/>
      <c r="K324" s="17" t="n"/>
      <c r="L324" s="16">
        <f>K324+C324</f>
        <v/>
      </c>
      <c r="M324" s="11" t="inlineStr">
        <is>
          <t>MT</t>
        </is>
      </c>
      <c r="N324" s="15" t="n"/>
      <c r="O324" s="14" t="n"/>
      <c r="P324" s="14" t="n"/>
      <c r="Q324" s="14" t="n"/>
      <c r="R324" s="14" t="n"/>
    </row>
    <row r="325" customFormat="1" s="34">
      <c r="A325" s="14" t="inlineStr">
        <is>
          <t>FM3123</t>
        </is>
      </c>
      <c r="B325" s="14" t="n"/>
      <c r="C325" s="13" t="n">
        <v>45786</v>
      </c>
      <c r="D325" s="12" t="inlineStr">
        <is>
          <t>PC6/PO-2828</t>
        </is>
      </c>
      <c r="E325" s="14" t="inlineStr">
        <is>
          <t>Butec</t>
        </is>
      </c>
      <c r="F325" s="14" t="inlineStr">
        <is>
          <t>Maxflo710 1.5kw 4p/Maxflo500 0.37kw 4p 380v</t>
        </is>
      </c>
      <c r="G325" s="20" t="n">
        <v>2</v>
      </c>
      <c r="H325" s="19" t="n">
        <v>36258.44</v>
      </c>
      <c r="I325" s="18" t="n">
        <v>36258.44</v>
      </c>
      <c r="J325" s="11" t="n"/>
      <c r="K325" s="17" t="n"/>
      <c r="L325" s="16">
        <f>K325+C325</f>
        <v/>
      </c>
      <c r="M325" s="11" t="inlineStr">
        <is>
          <t>MT</t>
        </is>
      </c>
      <c r="N325" s="15" t="n"/>
      <c r="O325" s="14" t="n"/>
      <c r="P325" s="14" t="n"/>
      <c r="Q325" s="14" t="n"/>
      <c r="R325" s="14" t="n"/>
    </row>
    <row r="326" customFormat="1" s="34">
      <c r="A326" s="14" t="inlineStr">
        <is>
          <t>FM3124</t>
        </is>
      </c>
      <c r="B326" s="14" t="n"/>
      <c r="C326" s="13" t="n">
        <v>45787</v>
      </c>
      <c r="D326" s="12" t="inlineStr">
        <is>
          <t>Cash Sale</t>
        </is>
      </c>
      <c r="E326" s="14" t="inlineStr">
        <is>
          <t>Setati Sol</t>
        </is>
      </c>
      <c r="F326" s="14" t="inlineStr">
        <is>
          <t>V300/12 AR</t>
        </is>
      </c>
      <c r="G326" s="20" t="n">
        <v>6</v>
      </c>
      <c r="H326" s="19" t="n">
        <v>5438</v>
      </c>
      <c r="I326" s="18">
        <f>G326*H326</f>
        <v/>
      </c>
      <c r="J326" s="11" t="n"/>
      <c r="K326" s="17" t="n"/>
      <c r="L326" s="16">
        <f>K326+C326</f>
        <v/>
      </c>
      <c r="M326" s="11" t="inlineStr">
        <is>
          <t>ST</t>
        </is>
      </c>
      <c r="N326" s="15" t="n"/>
      <c r="O326" s="14" t="n"/>
      <c r="P326" s="14" t="n"/>
      <c r="Q326" s="14" t="n"/>
      <c r="R326" s="14" t="n"/>
    </row>
    <row r="327" customFormat="1" s="34">
      <c r="A327" s="14" t="inlineStr">
        <is>
          <t>FM3125</t>
        </is>
      </c>
      <c r="B327" s="14" t="n"/>
      <c r="C327" s="13" t="n">
        <v>45789</v>
      </c>
      <c r="D327" s="12" t="inlineStr">
        <is>
          <t>P264208 HS</t>
        </is>
      </c>
      <c r="E327" s="14" t="inlineStr">
        <is>
          <t>Noble Motors</t>
        </is>
      </c>
      <c r="F327" s="14" t="inlineStr">
        <is>
          <t xml:space="preserve">Majax-2 630Plate Mount </t>
        </is>
      </c>
      <c r="G327" s="20" t="n">
        <v>1</v>
      </c>
      <c r="H327" s="19" t="n">
        <v>18635</v>
      </c>
      <c r="I327" s="18">
        <f>G327*H327</f>
        <v/>
      </c>
      <c r="J327" s="11" t="n"/>
      <c r="K327" s="17" t="n"/>
      <c r="L327" s="16">
        <f>K327+C327</f>
        <v/>
      </c>
      <c r="M327" s="11" t="inlineStr">
        <is>
          <t>SM</t>
        </is>
      </c>
      <c r="N327" s="15" t="n"/>
      <c r="O327" s="14" t="n"/>
      <c r="P327" s="14" t="n"/>
      <c r="Q327" s="14" t="n"/>
      <c r="R327" s="14" t="n"/>
    </row>
    <row r="328" customFormat="1" s="34">
      <c r="A328" s="14" t="inlineStr">
        <is>
          <t>FM3126</t>
        </is>
      </c>
      <c r="B328" s="14" t="n"/>
      <c r="C328" s="13" t="n">
        <v>45789</v>
      </c>
      <c r="D328" s="12" t="n">
        <v>35342</v>
      </c>
      <c r="E328" s="14" t="inlineStr">
        <is>
          <t>SASCOM Maintenance Services CC</t>
        </is>
      </c>
      <c r="F328" s="14" t="inlineStr">
        <is>
          <t>Majax-2 710 Fan Blades only</t>
        </is>
      </c>
      <c r="G328" s="20" t="n">
        <v>80</v>
      </c>
      <c r="H328" s="19" t="n">
        <v>250</v>
      </c>
      <c r="I328" s="18">
        <f>G328*H328</f>
        <v/>
      </c>
      <c r="J328" s="11" t="n"/>
      <c r="K328" s="17" t="n"/>
      <c r="L328" s="16">
        <f>K328+C328</f>
        <v/>
      </c>
      <c r="M328" s="11" t="inlineStr">
        <is>
          <t>ST</t>
        </is>
      </c>
      <c r="N328" s="15" t="n"/>
      <c r="O328" s="14" t="n"/>
      <c r="P328" s="14" t="n"/>
      <c r="Q328" s="14" t="n"/>
      <c r="R328" s="14" t="n"/>
    </row>
    <row r="329" customFormat="1" s="34">
      <c r="A329" s="14" t="inlineStr">
        <is>
          <t>FM3127</t>
        </is>
      </c>
      <c r="B329" s="14" t="n"/>
      <c r="C329" s="13" t="n">
        <v>45789</v>
      </c>
      <c r="D329" s="12" t="inlineStr">
        <is>
          <t>F04791205</t>
        </is>
      </c>
      <c r="E329" s="14" t="inlineStr">
        <is>
          <t>Fans Unlimitted</t>
        </is>
      </c>
      <c r="F329" s="14" t="inlineStr">
        <is>
          <t>CMP 514 2T</t>
        </is>
      </c>
      <c r="G329" s="20" t="n">
        <v>1</v>
      </c>
      <c r="H329" s="19" t="n">
        <v>5493</v>
      </c>
      <c r="I329" s="18">
        <f>G329*H329</f>
        <v/>
      </c>
      <c r="J329" s="11" t="n"/>
      <c r="K329" s="17" t="n"/>
      <c r="L329" s="16">
        <f>K329+C329</f>
        <v/>
      </c>
      <c r="M329" s="11" t="inlineStr">
        <is>
          <t>MT</t>
        </is>
      </c>
      <c r="N329" s="15" t="n"/>
      <c r="O329" s="14" t="n"/>
      <c r="P329" s="14" t="n"/>
      <c r="Q329" s="14" t="n"/>
      <c r="R329" s="14" t="n"/>
    </row>
    <row r="330" customFormat="1" s="34">
      <c r="A330" s="14" t="inlineStr">
        <is>
          <t>FM3128</t>
        </is>
      </c>
      <c r="B330" s="14" t="n"/>
      <c r="C330" s="13" t="n">
        <v>45789</v>
      </c>
      <c r="D330" s="12" t="inlineStr">
        <is>
          <t>Cash sale</t>
        </is>
      </c>
      <c r="E330" s="14" t="inlineStr">
        <is>
          <t>ADC Engineers</t>
        </is>
      </c>
      <c r="F330" s="14" t="inlineStr">
        <is>
          <t>Lineo 150</t>
        </is>
      </c>
      <c r="G330" s="20" t="n">
        <v>1</v>
      </c>
      <c r="H330" s="19" t="n">
        <v>2979</v>
      </c>
      <c r="I330" s="18">
        <f>G330*H330</f>
        <v/>
      </c>
      <c r="J330" s="11" t="n"/>
      <c r="K330" s="17" t="n"/>
      <c r="L330" s="16">
        <f>K330+C330</f>
        <v/>
      </c>
      <c r="M330" s="11" t="inlineStr">
        <is>
          <t>MT</t>
        </is>
      </c>
      <c r="N330" s="15" t="n"/>
      <c r="O330" s="14" t="n"/>
      <c r="P330" s="14" t="n"/>
      <c r="Q330" s="14" t="n"/>
      <c r="R330" s="14" t="n"/>
    </row>
    <row r="331" customFormat="1" s="34">
      <c r="A331" s="14" t="inlineStr">
        <is>
          <t>FM3129</t>
        </is>
      </c>
      <c r="B331" s="14" t="n"/>
      <c r="C331" s="13" t="n">
        <v>45789</v>
      </c>
      <c r="D331" s="12" t="inlineStr">
        <is>
          <t>Cash Sale</t>
        </is>
      </c>
      <c r="E331" s="14" t="inlineStr">
        <is>
          <t>Mekan Group</t>
        </is>
      </c>
      <c r="F331" s="14" t="inlineStr">
        <is>
          <t>Rad 315</t>
        </is>
      </c>
      <c r="G331" s="20" t="n">
        <v>1</v>
      </c>
      <c r="H331" s="19" t="n">
        <v>3052</v>
      </c>
      <c r="I331" s="18">
        <f>G331*H331</f>
        <v/>
      </c>
      <c r="J331" s="11" t="n"/>
      <c r="K331" s="17" t="n"/>
      <c r="L331" s="16">
        <f>K331+C331</f>
        <v/>
      </c>
      <c r="M331" s="11" t="inlineStr">
        <is>
          <t>MT</t>
        </is>
      </c>
      <c r="N331" s="15" t="n"/>
      <c r="O331" s="14" t="n"/>
      <c r="P331" s="14" t="n"/>
      <c r="Q331" s="14" t="n"/>
      <c r="R331" s="14" t="n"/>
    </row>
    <row r="332" customFormat="1" s="34">
      <c r="A332" s="14" t="inlineStr">
        <is>
          <t>FM3130</t>
        </is>
      </c>
      <c r="B332" s="14" t="n"/>
      <c r="C332" s="13" t="n">
        <v>45790</v>
      </c>
      <c r="D332" s="12" t="inlineStr">
        <is>
          <t>Cash Sale</t>
        </is>
      </c>
      <c r="E332" s="14" t="inlineStr">
        <is>
          <t>Merwanes</t>
        </is>
      </c>
      <c r="F332" s="14" t="inlineStr">
        <is>
          <t>Tiracamino spare motor</t>
        </is>
      </c>
      <c r="G332" s="20" t="n">
        <v>1</v>
      </c>
      <c r="H332" s="19" t="n">
        <v>4182</v>
      </c>
      <c r="I332" s="18">
        <f>G332*H332</f>
        <v/>
      </c>
      <c r="J332" s="11" t="n"/>
      <c r="K332" s="17" t="n"/>
      <c r="L332" s="16">
        <f>K332+C332</f>
        <v/>
      </c>
      <c r="M332" s="11" t="inlineStr">
        <is>
          <t>ST</t>
        </is>
      </c>
      <c r="N332" s="15" t="n"/>
      <c r="O332" s="14" t="n"/>
      <c r="P332" s="14" t="n"/>
      <c r="Q332" s="14" t="n"/>
      <c r="R332" s="14" t="n"/>
    </row>
    <row r="333" customFormat="1" s="34">
      <c r="A333" s="14" t="inlineStr">
        <is>
          <t>FM3131</t>
        </is>
      </c>
      <c r="B333" s="14" t="n"/>
      <c r="C333" s="13" t="n">
        <v>45790</v>
      </c>
      <c r="D333" s="12" t="n">
        <v>60495</v>
      </c>
      <c r="E333" s="14" t="inlineStr">
        <is>
          <t>Chabo &amp; Joubert</t>
        </is>
      </c>
      <c r="F333" s="14" t="inlineStr">
        <is>
          <t>630 CF</t>
        </is>
      </c>
      <c r="G333" s="20" t="n">
        <v>1</v>
      </c>
      <c r="H333" s="19" t="n">
        <v>476</v>
      </c>
      <c r="I333" s="18">
        <f>G333*H333</f>
        <v/>
      </c>
      <c r="J333" s="11" t="n"/>
      <c r="K333" s="17" t="n"/>
      <c r="L333" s="16">
        <f>K333+C333</f>
        <v/>
      </c>
      <c r="M333" s="11" t="inlineStr">
        <is>
          <t>ST</t>
        </is>
      </c>
      <c r="N333" s="15" t="n"/>
      <c r="O333" s="14" t="n"/>
      <c r="P333" s="14" t="n"/>
      <c r="Q333" s="14" t="n"/>
      <c r="R333" s="14" t="n"/>
    </row>
    <row r="334" customFormat="1" s="34">
      <c r="A334" s="14" t="inlineStr">
        <is>
          <t>FM3132</t>
        </is>
      </c>
      <c r="B334" s="14" t="n"/>
      <c r="C334" s="13" t="n">
        <v>45790</v>
      </c>
      <c r="D334" s="12" t="n">
        <v>60497</v>
      </c>
      <c r="E334" s="14" t="inlineStr">
        <is>
          <t>Chabo &amp; Joubert</t>
        </is>
      </c>
      <c r="F334" s="14" t="inlineStr">
        <is>
          <t>710 Silencer</t>
        </is>
      </c>
      <c r="G334" s="20" t="n">
        <v>1</v>
      </c>
      <c r="H334" s="19" t="n">
        <v>5160</v>
      </c>
      <c r="I334" s="18">
        <f>G334*H334</f>
        <v/>
      </c>
      <c r="J334" s="11" t="n"/>
      <c r="K334" s="17" t="n"/>
      <c r="L334" s="16">
        <f>K334+C334</f>
        <v/>
      </c>
      <c r="M334" s="11" t="inlineStr">
        <is>
          <t>ST</t>
        </is>
      </c>
      <c r="N334" s="15" t="n"/>
      <c r="O334" s="14" t="n"/>
      <c r="P334" s="14" t="n"/>
      <c r="Q334" s="14" t="n"/>
      <c r="R334" s="14" t="n"/>
    </row>
    <row r="335" customFormat="1" s="34">
      <c r="A335" s="14" t="inlineStr">
        <is>
          <t>FM3133</t>
        </is>
      </c>
      <c r="B335" s="14" t="n"/>
      <c r="C335" s="13" t="n">
        <v>45790</v>
      </c>
      <c r="D335" s="12" t="inlineStr">
        <is>
          <t>PO115838</t>
        </is>
      </c>
      <c r="E335" s="14" t="inlineStr">
        <is>
          <t>Boleng</t>
        </is>
      </c>
      <c r="F335" s="14" t="inlineStr">
        <is>
          <t>Maxflo710/315 &amp; accesorries</t>
        </is>
      </c>
      <c r="G335" s="20" t="n">
        <v>2</v>
      </c>
      <c r="H335" s="19" t="n">
        <v>39708.6</v>
      </c>
      <c r="I335" s="18" t="n">
        <v>39708.6</v>
      </c>
      <c r="J335" s="11" t="n"/>
      <c r="K335" s="17" t="n"/>
      <c r="L335" s="16">
        <f>K335+C335</f>
        <v/>
      </c>
      <c r="M335" s="11" t="inlineStr">
        <is>
          <t>MT</t>
        </is>
      </c>
      <c r="N335" s="15" t="n"/>
      <c r="O335" s="14" t="n"/>
      <c r="P335" s="14" t="n"/>
      <c r="Q335" s="14" t="n"/>
      <c r="R335" s="14" t="n"/>
    </row>
    <row r="336" customFormat="1" s="34">
      <c r="A336" s="14" t="inlineStr">
        <is>
          <t>FM3134</t>
        </is>
      </c>
      <c r="B336" s="14" t="n"/>
      <c r="C336" s="13" t="n">
        <v>45790</v>
      </c>
      <c r="D336" s="12" t="inlineStr">
        <is>
          <t>MP014388</t>
        </is>
      </c>
      <c r="E336" s="14" t="inlineStr">
        <is>
          <t>Midstone Engineering t/a Midair</t>
        </is>
      </c>
      <c r="F336" s="14" t="inlineStr">
        <is>
          <t>Tiracamino</t>
        </is>
      </c>
      <c r="G336" s="20" t="n">
        <v>2</v>
      </c>
      <c r="H336" s="19" t="n">
        <v>11500</v>
      </c>
      <c r="I336" s="18">
        <f>G336*H336</f>
        <v/>
      </c>
      <c r="J336" s="11" t="n"/>
      <c r="K336" s="17" t="n"/>
      <c r="L336" s="16">
        <f>K336+C336</f>
        <v/>
      </c>
      <c r="M336" s="11" t="inlineStr">
        <is>
          <t>MT</t>
        </is>
      </c>
      <c r="N336" s="15" t="n"/>
      <c r="O336" s="14" t="n"/>
      <c r="P336" s="14" t="n"/>
      <c r="Q336" s="14" t="n"/>
      <c r="R336" s="14" t="n"/>
    </row>
    <row r="337" customFormat="1" s="34">
      <c r="A337" s="14" t="inlineStr">
        <is>
          <t>FM3135</t>
        </is>
      </c>
      <c r="B337" s="14" t="n"/>
      <c r="C337" s="13" t="n">
        <v>45729</v>
      </c>
      <c r="D337" s="12" t="inlineStr">
        <is>
          <t>PO:52</t>
        </is>
      </c>
      <c r="E337" s="14" t="inlineStr">
        <is>
          <t>Sulit Projects</t>
        </is>
      </c>
      <c r="F337" s="14" t="inlineStr">
        <is>
          <t>Rectangular Attenuator</t>
        </is>
      </c>
      <c r="G337" s="20" t="n">
        <v>1</v>
      </c>
      <c r="H337" s="19" t="n">
        <v>6386</v>
      </c>
      <c r="I337" s="18">
        <f>G337*H337</f>
        <v/>
      </c>
      <c r="J337" s="11" t="n"/>
      <c r="K337" s="17" t="n"/>
      <c r="L337" s="16">
        <f>K337+C337</f>
        <v/>
      </c>
      <c r="M337" s="11" t="inlineStr">
        <is>
          <t>MT</t>
        </is>
      </c>
      <c r="N337" s="15" t="n"/>
      <c r="O337" s="14" t="n"/>
      <c r="P337" s="14" t="n"/>
      <c r="Q337" s="14" t="n"/>
      <c r="R337" s="14" t="n"/>
    </row>
    <row r="338" customFormat="1" s="34">
      <c r="A338" s="14" t="inlineStr">
        <is>
          <t>FM3136</t>
        </is>
      </c>
      <c r="B338" s="14" t="n"/>
      <c r="C338" s="13" t="n">
        <v>45791</v>
      </c>
      <c r="D338" s="12" t="inlineStr">
        <is>
          <t>PO2022</t>
        </is>
      </c>
      <c r="E338" s="14" t="inlineStr">
        <is>
          <t xml:space="preserve">Hucra Fans </t>
        </is>
      </c>
      <c r="F338" s="14" t="inlineStr">
        <is>
          <t xml:space="preserve">V300/12-AR LLS &amp; V230/9-AR LLS </t>
        </is>
      </c>
      <c r="G338" s="20" t="n">
        <v>2</v>
      </c>
      <c r="H338" s="19" t="n">
        <v>5070.5</v>
      </c>
      <c r="I338" s="18">
        <f>G338*H338</f>
        <v/>
      </c>
      <c r="J338" s="11" t="n"/>
      <c r="K338" s="17" t="n"/>
      <c r="L338" s="16">
        <f>K338+C338</f>
        <v/>
      </c>
      <c r="M338" s="11" t="inlineStr">
        <is>
          <t>ZX</t>
        </is>
      </c>
      <c r="N338" s="15" t="n"/>
      <c r="O338" s="14" t="n"/>
      <c r="P338" s="14" t="n"/>
      <c r="Q338" s="14" t="n"/>
      <c r="R338" s="14" t="n"/>
    </row>
    <row r="339" customFormat="1" s="34">
      <c r="A339" s="14" t="inlineStr">
        <is>
          <t>FM3137</t>
        </is>
      </c>
      <c r="B339" s="14" t="n"/>
      <c r="C339" s="13" t="n">
        <v>45791</v>
      </c>
      <c r="D339" s="12" t="inlineStr">
        <is>
          <t>PO2024</t>
        </is>
      </c>
      <c r="E339" s="14" t="inlineStr">
        <is>
          <t xml:space="preserve">Hucra Fans </t>
        </is>
      </c>
      <c r="F339" s="14" t="inlineStr">
        <is>
          <t>CF4 - FPZ Replacement Filter Cartridge</t>
        </is>
      </c>
      <c r="G339" s="20" t="n">
        <v>4</v>
      </c>
      <c r="H339" s="19" t="n">
        <v>177</v>
      </c>
      <c r="I339" s="18">
        <f>G339*H339</f>
        <v/>
      </c>
      <c r="J339" s="11" t="n"/>
      <c r="K339" s="17" t="n"/>
      <c r="L339" s="16">
        <f>K339+C339</f>
        <v/>
      </c>
      <c r="M339" s="11" t="inlineStr">
        <is>
          <t>ZX</t>
        </is>
      </c>
      <c r="N339" s="15" t="n"/>
      <c r="O339" s="14" t="n"/>
      <c r="P339" s="14" t="n"/>
      <c r="Q339" s="14" t="n"/>
      <c r="R339" s="14" t="n"/>
    </row>
    <row r="340" customFormat="1" s="34">
      <c r="A340" s="14" t="inlineStr">
        <is>
          <t>FM3138</t>
        </is>
      </c>
      <c r="B340" s="14" t="n"/>
      <c r="C340" s="13" t="n">
        <v>45791</v>
      </c>
      <c r="D340" s="12" t="inlineStr">
        <is>
          <t>PO0000224</t>
        </is>
      </c>
      <c r="E340" s="14" t="inlineStr">
        <is>
          <t>Prexoz Engineering</t>
        </is>
      </c>
      <c r="F340" s="14" t="inlineStr">
        <is>
          <t>Maxflo 560/250/14 c/w 0.75kW 4P + Accessories</t>
        </is>
      </c>
      <c r="G340" s="20" t="n">
        <v>1</v>
      </c>
      <c r="H340" s="19">
        <f>9849+(3666*2)+(447*2)+(268*4)+(8*100)</f>
        <v/>
      </c>
      <c r="I340" s="18">
        <f>G340*H340</f>
        <v/>
      </c>
      <c r="J340" s="11" t="n"/>
      <c r="K340" s="17" t="n"/>
      <c r="L340" s="16">
        <f>K340+C340</f>
        <v/>
      </c>
      <c r="M340" s="11" t="inlineStr">
        <is>
          <t>SM</t>
        </is>
      </c>
      <c r="N340" s="15" t="n"/>
      <c r="O340" s="14" t="n"/>
      <c r="P340" s="14" t="n"/>
      <c r="Q340" s="14" t="n"/>
      <c r="R340" s="14" t="n"/>
    </row>
    <row r="341" customFormat="1" s="34">
      <c r="A341" s="14" t="inlineStr">
        <is>
          <t>FM3139</t>
        </is>
      </c>
      <c r="B341" s="14" t="n"/>
      <c r="C341" s="13" t="n">
        <v>45791</v>
      </c>
      <c r="D341" s="12" t="inlineStr">
        <is>
          <t>PO0000224</t>
        </is>
      </c>
      <c r="E341" s="14" t="inlineStr">
        <is>
          <t>Prexoz Engineering</t>
        </is>
      </c>
      <c r="F341" s="14" t="inlineStr">
        <is>
          <t>Lineo 315 + Acc</t>
        </is>
      </c>
      <c r="G341" s="20" t="n">
        <v>1</v>
      </c>
      <c r="H341" s="19">
        <f>(7594+(981*2))</f>
        <v/>
      </c>
      <c r="I341" s="18">
        <f>G341*H341</f>
        <v/>
      </c>
      <c r="J341" s="11" t="n"/>
      <c r="K341" s="17" t="n"/>
      <c r="L341" s="16">
        <f>K341+C341</f>
        <v/>
      </c>
      <c r="M341" s="11" t="inlineStr">
        <is>
          <t>SM</t>
        </is>
      </c>
      <c r="N341" s="15" t="n"/>
      <c r="O341" s="14" t="n"/>
      <c r="P341" s="14" t="n"/>
      <c r="Q341" s="14" t="n"/>
      <c r="R341" s="14" t="n"/>
    </row>
    <row r="342" customFormat="1" s="34">
      <c r="A342" s="14" t="inlineStr">
        <is>
          <t>FM3140</t>
        </is>
      </c>
      <c r="B342" s="14" t="n"/>
      <c r="C342" s="13" t="n">
        <v>45792</v>
      </c>
      <c r="D342" s="12" t="inlineStr">
        <is>
          <t>PO0000587</t>
        </is>
      </c>
      <c r="E342" s="14" t="inlineStr">
        <is>
          <t>ATM Technical Power</t>
        </is>
      </c>
      <c r="F342" s="14" t="inlineStr">
        <is>
          <t>Majax 630 Belt Driven</t>
        </is>
      </c>
      <c r="G342" s="20" t="n">
        <v>1</v>
      </c>
      <c r="H342" s="19" t="n">
        <v>24043</v>
      </c>
      <c r="I342" s="18">
        <f>G342*H342</f>
        <v/>
      </c>
      <c r="J342" s="11" t="n"/>
      <c r="K342" s="17" t="n"/>
      <c r="L342" s="16">
        <f>K342+C342</f>
        <v/>
      </c>
      <c r="M342" s="11" t="inlineStr">
        <is>
          <t>MT</t>
        </is>
      </c>
      <c r="N342" s="15" t="n"/>
      <c r="O342" s="14" t="n"/>
      <c r="P342" s="14" t="n"/>
      <c r="Q342" s="14" t="n"/>
      <c r="R342" s="14" t="n"/>
    </row>
    <row r="343" customFormat="1" s="34">
      <c r="A343" s="14" t="inlineStr">
        <is>
          <t>FM3141</t>
        </is>
      </c>
      <c r="B343" s="14" t="n"/>
      <c r="C343" s="13" t="n">
        <v>45793</v>
      </c>
      <c r="D343" s="12" t="inlineStr">
        <is>
          <t>PO:OA16010</t>
        </is>
      </c>
      <c r="E343" s="14" t="inlineStr">
        <is>
          <t>Optimal Air</t>
        </is>
      </c>
      <c r="F343" s="14" t="inlineStr">
        <is>
          <t>Maxflo400/150/10 0.75kw 2p/Maxflo500 1.1kw 2p 380v</t>
        </is>
      </c>
      <c r="G343" s="20" t="n">
        <v>2</v>
      </c>
      <c r="H343" s="19" t="n">
        <v>21692</v>
      </c>
      <c r="I343" s="18" t="n">
        <v>21692</v>
      </c>
      <c r="J343" s="11" t="n"/>
      <c r="K343" s="17" t="n"/>
      <c r="L343" s="16">
        <f>K343+C343</f>
        <v/>
      </c>
      <c r="M343" s="11" t="inlineStr">
        <is>
          <t>MT</t>
        </is>
      </c>
      <c r="N343" s="15" t="n"/>
      <c r="O343" s="14" t="n"/>
      <c r="P343" s="14" t="n"/>
      <c r="Q343" s="14" t="n"/>
      <c r="R343" s="14" t="n"/>
    </row>
    <row r="344" customFormat="1" s="34">
      <c r="A344" s="14" t="inlineStr">
        <is>
          <t>FM3142</t>
        </is>
      </c>
      <c r="B344" s="14" t="n"/>
      <c r="C344" s="13" t="n">
        <v>45793</v>
      </c>
      <c r="D344" s="12" t="inlineStr">
        <is>
          <t>Cash Sale</t>
        </is>
      </c>
      <c r="E344" s="14" t="inlineStr">
        <is>
          <t>Sizanzni</t>
        </is>
      </c>
      <c r="F344" s="14" t="inlineStr">
        <is>
          <t>630 Impeller</t>
        </is>
      </c>
      <c r="G344" s="20" t="n">
        <v>1</v>
      </c>
      <c r="H344" s="19" t="n">
        <v>6215</v>
      </c>
      <c r="I344" s="18">
        <f>G344*H344</f>
        <v/>
      </c>
      <c r="J344" s="11" t="n"/>
      <c r="K344" s="17" t="n"/>
      <c r="L344" s="16">
        <f>K344+C344</f>
        <v/>
      </c>
      <c r="M344" s="11" t="n"/>
      <c r="N344" s="15" t="n"/>
      <c r="O344" s="14" t="n"/>
      <c r="P344" s="14" t="n"/>
      <c r="Q344" s="14" t="n"/>
      <c r="R344" s="14" t="n"/>
    </row>
    <row r="345" customFormat="1" s="34">
      <c r="A345" s="14" t="inlineStr">
        <is>
          <t>FM3143</t>
        </is>
      </c>
      <c r="B345" s="14" t="n"/>
      <c r="C345" s="13" t="n">
        <v>45793</v>
      </c>
      <c r="D345" s="12" t="inlineStr">
        <is>
          <t>PO:0000608</t>
        </is>
      </c>
      <c r="E345" s="14" t="inlineStr">
        <is>
          <t>Jaft Aircon</t>
        </is>
      </c>
      <c r="F345" s="14" t="inlineStr">
        <is>
          <t>Lineo 315Q</t>
        </is>
      </c>
      <c r="G345" s="20" t="n">
        <v>1</v>
      </c>
      <c r="H345" s="19" t="n">
        <v>10328</v>
      </c>
      <c r="I345" s="18">
        <f>G345*H345</f>
        <v/>
      </c>
      <c r="J345" s="11" t="n"/>
      <c r="K345" s="17" t="n"/>
      <c r="L345" s="16">
        <f>K345+C345</f>
        <v/>
      </c>
      <c r="M345" s="11" t="inlineStr">
        <is>
          <t>MT</t>
        </is>
      </c>
      <c r="N345" s="15" t="n"/>
      <c r="O345" s="14" t="n"/>
      <c r="P345" s="14" t="n"/>
      <c r="Q345" s="14" t="n"/>
      <c r="R345" s="14" t="n"/>
    </row>
    <row r="346" customFormat="1" s="34">
      <c r="A346" s="14" t="inlineStr">
        <is>
          <t>FM3144</t>
        </is>
      </c>
      <c r="B346" s="14" t="n"/>
      <c r="C346" s="13" t="n">
        <v>45793</v>
      </c>
      <c r="D346" s="12" t="inlineStr">
        <is>
          <t>Cash Sale</t>
        </is>
      </c>
      <c r="E346" s="14" t="inlineStr">
        <is>
          <t>Bidvest Moz</t>
        </is>
      </c>
      <c r="F346" s="14" t="inlineStr">
        <is>
          <t>Grilles</t>
        </is>
      </c>
      <c r="G346" s="20" t="n">
        <v>2</v>
      </c>
      <c r="H346" s="19" t="n">
        <v>2315</v>
      </c>
      <c r="I346" s="18">
        <f>G346*H346</f>
        <v/>
      </c>
      <c r="J346" s="11" t="n"/>
      <c r="K346" s="17" t="n"/>
      <c r="L346" s="16">
        <f>K346+C346</f>
        <v/>
      </c>
      <c r="M346" s="11" t="inlineStr">
        <is>
          <t>ST</t>
        </is>
      </c>
      <c r="N346" s="15" t="n"/>
      <c r="O346" s="14" t="n"/>
      <c r="P346" s="14" t="n"/>
      <c r="Q346" s="14" t="n"/>
      <c r="R346" s="14" t="n"/>
    </row>
    <row r="347" customFormat="1" s="34">
      <c r="A347" s="14" t="inlineStr">
        <is>
          <t>FM3145</t>
        </is>
      </c>
      <c r="B347" s="14" t="n"/>
      <c r="C347" s="13" t="n">
        <v>45796</v>
      </c>
      <c r="D347" s="12" t="inlineStr">
        <is>
          <t>Cash Sale</t>
        </is>
      </c>
      <c r="E347" s="14" t="inlineStr">
        <is>
          <t>Phoenix Fans &amp; Eng</t>
        </is>
      </c>
      <c r="F347" s="14" t="inlineStr">
        <is>
          <t xml:space="preserve">DD 9/9 373W 4P 220V </t>
        </is>
      </c>
      <c r="G347" s="20" t="n">
        <v>1</v>
      </c>
      <c r="H347" s="19" t="n"/>
      <c r="I347" s="18">
        <f>G347*H347</f>
        <v/>
      </c>
      <c r="J347" s="11" t="n"/>
      <c r="K347" s="17" t="n"/>
      <c r="L347" s="16">
        <f>K347+C347</f>
        <v/>
      </c>
      <c r="M347" s="11" t="inlineStr">
        <is>
          <t>ZX</t>
        </is>
      </c>
      <c r="N347" s="15" t="n"/>
      <c r="O347" s="14" t="n"/>
      <c r="P347" s="14" t="n"/>
      <c r="Q347" s="14" t="n"/>
      <c r="R347" s="14" t="n"/>
    </row>
    <row r="348" customFormat="1" s="34">
      <c r="A348" s="14" t="inlineStr">
        <is>
          <t>FM3146</t>
        </is>
      </c>
      <c r="B348" s="14" t="n"/>
      <c r="C348" s="13" t="n">
        <v>45796</v>
      </c>
      <c r="D348" s="12" t="inlineStr">
        <is>
          <t>MP014408</t>
        </is>
      </c>
      <c r="E348" s="14" t="inlineStr">
        <is>
          <t>Midstone Engineering t/a Midair</t>
        </is>
      </c>
      <c r="F348" s="14" t="inlineStr">
        <is>
          <t>Tiracamino</t>
        </is>
      </c>
      <c r="G348" s="20" t="n">
        <v>1</v>
      </c>
      <c r="H348" s="19" t="n">
        <v>11500</v>
      </c>
      <c r="I348" s="18">
        <f>G348*H348</f>
        <v/>
      </c>
      <c r="J348" s="11" t="n"/>
      <c r="K348" s="17" t="n"/>
      <c r="L348" s="16">
        <f>K348+C348</f>
        <v/>
      </c>
      <c r="M348" s="11" t="inlineStr">
        <is>
          <t>MT</t>
        </is>
      </c>
      <c r="N348" s="15" t="n"/>
      <c r="O348" s="14" t="n"/>
      <c r="P348" s="14" t="n"/>
      <c r="Q348" s="14" t="n"/>
      <c r="R348" s="14" t="n"/>
    </row>
    <row r="349" customFormat="1" s="34">
      <c r="A349" s="14" t="inlineStr">
        <is>
          <t>FM3147</t>
        </is>
      </c>
      <c r="B349" s="14" t="n"/>
      <c r="C349" s="13" t="n">
        <v>45796</v>
      </c>
      <c r="D349" s="12" t="inlineStr">
        <is>
          <t>FAM202501P</t>
        </is>
      </c>
      <c r="E349" s="14" t="inlineStr">
        <is>
          <t>Ndalama Amarture Winders</t>
        </is>
      </c>
      <c r="F349" s="14" t="inlineStr">
        <is>
          <t>1250 Impeller</t>
        </is>
      </c>
      <c r="G349" s="20" t="n">
        <v>1</v>
      </c>
      <c r="H349" s="19" t="n">
        <v>15202</v>
      </c>
      <c r="I349" s="18">
        <f>G349*H349</f>
        <v/>
      </c>
      <c r="J349" s="11" t="n"/>
      <c r="K349" s="17" t="n"/>
      <c r="L349" s="16">
        <f>K349+C349</f>
        <v/>
      </c>
      <c r="M349" s="11" t="inlineStr">
        <is>
          <t>MT</t>
        </is>
      </c>
      <c r="N349" s="15" t="n"/>
      <c r="O349" s="14" t="n"/>
      <c r="P349" s="14" t="n"/>
      <c r="Q349" s="14" t="n"/>
      <c r="R349" s="14" t="n"/>
    </row>
    <row r="350" customFormat="1" s="34">
      <c r="A350" s="14" t="inlineStr">
        <is>
          <t>FM3148</t>
        </is>
      </c>
      <c r="B350" s="14" t="n"/>
      <c r="C350" s="13" t="n">
        <v>45796</v>
      </c>
      <c r="D350" s="12" t="inlineStr">
        <is>
          <t>PO-00021</t>
        </is>
      </c>
      <c r="E350" s="14" t="inlineStr">
        <is>
          <t>Nompelo Engineering</t>
        </is>
      </c>
      <c r="F350" s="14" t="inlineStr">
        <is>
          <t>VSDs</t>
        </is>
      </c>
      <c r="G350" s="20" t="n">
        <v>1</v>
      </c>
      <c r="H350" s="19" t="n">
        <v>28760</v>
      </c>
      <c r="I350" s="18">
        <f>G350*H350</f>
        <v/>
      </c>
      <c r="J350" s="11" t="n"/>
      <c r="K350" s="17" t="n"/>
      <c r="L350" s="16">
        <f>K350+C350</f>
        <v/>
      </c>
      <c r="M350" s="11" t="inlineStr">
        <is>
          <t>SM</t>
        </is>
      </c>
      <c r="N350" s="15" t="n"/>
      <c r="O350" s="14" t="n"/>
      <c r="P350" s="14" t="n"/>
      <c r="Q350" s="14" t="n"/>
      <c r="R350" s="14" t="n"/>
    </row>
    <row r="351" customFormat="1" s="34">
      <c r="A351" s="14" t="inlineStr">
        <is>
          <t>FM3149</t>
        </is>
      </c>
      <c r="B351" s="14" t="n"/>
      <c r="C351" s="13" t="n">
        <v>45796</v>
      </c>
      <c r="D351" s="12" t="inlineStr">
        <is>
          <t>PO0000225</t>
        </is>
      </c>
      <c r="E351" s="12" t="inlineStr">
        <is>
          <t>Prexoz Engineering</t>
        </is>
      </c>
      <c r="F351" s="14" t="inlineStr">
        <is>
          <t>Box Fans</t>
        </is>
      </c>
      <c r="G351" s="20" t="n">
        <v>1</v>
      </c>
      <c r="H351" s="19" t="n">
        <v>31577</v>
      </c>
      <c r="I351" s="18">
        <f>G351*H351</f>
        <v/>
      </c>
      <c r="J351" s="11" t="n"/>
      <c r="K351" s="17" t="n"/>
      <c r="L351" s="16">
        <f>K351+C351</f>
        <v/>
      </c>
      <c r="M351" s="11" t="inlineStr">
        <is>
          <t>SM</t>
        </is>
      </c>
      <c r="N351" s="15" t="n"/>
      <c r="O351" s="14" t="n"/>
      <c r="P351" s="14" t="n"/>
      <c r="Q351" s="14" t="n"/>
      <c r="R351" s="14" t="n"/>
    </row>
    <row r="352" customFormat="1" s="34">
      <c r="A352" s="14" t="inlineStr">
        <is>
          <t>FM3150</t>
        </is>
      </c>
      <c r="B352" s="14" t="n"/>
      <c r="C352" s="13" t="n">
        <v>45798</v>
      </c>
      <c r="D352" s="12" t="inlineStr">
        <is>
          <t>Cash Trip</t>
        </is>
      </c>
      <c r="E352" s="14" t="inlineStr">
        <is>
          <t>Sulit</t>
        </is>
      </c>
      <c r="F352" s="14" t="inlineStr">
        <is>
          <t>BAF125</t>
        </is>
      </c>
      <c r="G352" s="20" t="n">
        <v>2</v>
      </c>
      <c r="H352" s="19" t="n">
        <v>515</v>
      </c>
      <c r="I352" s="18">
        <f>G352*H352</f>
        <v/>
      </c>
      <c r="J352" s="11" t="n"/>
      <c r="K352" s="17" t="n"/>
      <c r="L352" s="16">
        <f>K352+C352</f>
        <v/>
      </c>
      <c r="M352" s="11" t="inlineStr">
        <is>
          <t>MT</t>
        </is>
      </c>
      <c r="N352" s="15" t="n"/>
      <c r="O352" s="14" t="n"/>
      <c r="P352" s="14" t="n"/>
      <c r="Q352" s="14" t="n"/>
      <c r="R352" s="14" t="n"/>
    </row>
    <row r="353" customFormat="1" s="34">
      <c r="A353" s="14" t="inlineStr">
        <is>
          <t>FM3151</t>
        </is>
      </c>
      <c r="B353" s="14" t="n"/>
      <c r="C353" s="13" t="n">
        <v>45798</v>
      </c>
      <c r="D353" s="12" t="inlineStr">
        <is>
          <t>PO 49263</t>
        </is>
      </c>
      <c r="E353" s="14" t="inlineStr">
        <is>
          <t>Rey &amp; Leferna</t>
        </is>
      </c>
      <c r="F353" s="14" t="inlineStr">
        <is>
          <t>SEF 100</t>
        </is>
      </c>
      <c r="G353" s="20" t="n">
        <v>9</v>
      </c>
      <c r="H353" s="19" t="n">
        <v>855</v>
      </c>
      <c r="I353" s="18">
        <f>G353*H353</f>
        <v/>
      </c>
      <c r="J353" s="11" t="n"/>
      <c r="K353" s="17" t="n"/>
      <c r="L353" s="16">
        <f>K353+C353</f>
        <v/>
      </c>
      <c r="M353" s="11" t="inlineStr">
        <is>
          <t>ST</t>
        </is>
      </c>
      <c r="N353" s="15" t="n"/>
      <c r="O353" s="14" t="n"/>
      <c r="P353" s="14" t="n"/>
      <c r="Q353" s="14" t="n"/>
      <c r="R353" s="14" t="n"/>
    </row>
    <row r="354" customFormat="1" s="34">
      <c r="A354" s="14" t="inlineStr">
        <is>
          <t>FM3152</t>
        </is>
      </c>
      <c r="B354" s="14" t="n"/>
      <c r="C354" s="13" t="n">
        <v>45798</v>
      </c>
      <c r="D354" s="12" t="inlineStr">
        <is>
          <t>PO 0000527</t>
        </is>
      </c>
      <c r="E354" s="14" t="inlineStr">
        <is>
          <t>MK Technical Services (Pty) Ltd</t>
        </is>
      </c>
      <c r="F354" s="14" t="inlineStr">
        <is>
          <t>Maxflo 500/150/10 A c/w 3,0KW 4P 380V</t>
        </is>
      </c>
      <c r="G354" s="20" t="n">
        <v>1</v>
      </c>
      <c r="H354" s="19" t="n">
        <v>9685.299999999999</v>
      </c>
      <c r="I354" s="18">
        <f>G354*H354</f>
        <v/>
      </c>
      <c r="J354" s="11" t="n"/>
      <c r="K354" s="17" t="n"/>
      <c r="L354" s="16">
        <f>K354+C354</f>
        <v/>
      </c>
      <c r="M354" s="11" t="inlineStr">
        <is>
          <t>SM</t>
        </is>
      </c>
      <c r="N354" s="15" t="n"/>
      <c r="O354" s="14" t="n"/>
      <c r="P354" s="14" t="n"/>
      <c r="Q354" s="14" t="n"/>
      <c r="R354" s="14" t="n"/>
    </row>
    <row r="355" customFormat="1" s="34">
      <c r="A355" s="14" t="inlineStr">
        <is>
          <t>FM3153</t>
        </is>
      </c>
      <c r="B355" s="14" t="n"/>
      <c r="C355" s="13" t="n">
        <v>45799</v>
      </c>
      <c r="D355" s="12" t="inlineStr">
        <is>
          <t>Cash Sale - Manzi</t>
        </is>
      </c>
      <c r="E355" s="14" t="inlineStr">
        <is>
          <t>Axton Matrix Constraction</t>
        </is>
      </c>
      <c r="F355" s="14" t="inlineStr">
        <is>
          <t>Box Fans</t>
        </is>
      </c>
      <c r="G355" s="20" t="n">
        <v>1</v>
      </c>
      <c r="H355" s="19" t="n">
        <v>123964</v>
      </c>
      <c r="I355" s="18">
        <f>G355*H355</f>
        <v/>
      </c>
      <c r="J355" s="11" t="n"/>
      <c r="K355" s="17" t="n"/>
      <c r="L355" s="16">
        <f>K355+C355</f>
        <v/>
      </c>
      <c r="M355" s="11" t="inlineStr">
        <is>
          <t>SM</t>
        </is>
      </c>
      <c r="N355" s="15" t="n"/>
      <c r="O355" s="14" t="n"/>
      <c r="P355" s="14" t="n"/>
      <c r="Q355" s="14" t="n"/>
      <c r="R355" s="14" t="n"/>
    </row>
    <row r="356" customFormat="1" s="34">
      <c r="A356" s="14" t="inlineStr">
        <is>
          <t>FM3154</t>
        </is>
      </c>
      <c r="B356" s="14" t="n"/>
      <c r="C356" s="13" t="n">
        <v>45799</v>
      </c>
      <c r="D356" s="12" t="inlineStr">
        <is>
          <t>Cash Sale - NM Cleaners</t>
        </is>
      </c>
      <c r="E356" s="14" t="inlineStr">
        <is>
          <t>Axton Matrix Constraction</t>
        </is>
      </c>
      <c r="F356" s="14" t="inlineStr">
        <is>
          <t>Box Fans</t>
        </is>
      </c>
      <c r="G356" s="20" t="n">
        <v>1</v>
      </c>
      <c r="H356" s="19" t="n">
        <v>88777</v>
      </c>
      <c r="I356" s="18">
        <f>G356*H356</f>
        <v/>
      </c>
      <c r="J356" s="11" t="n"/>
      <c r="K356" s="17" t="n"/>
      <c r="L356" s="16">
        <f>K356+C356</f>
        <v/>
      </c>
      <c r="M356" s="11" t="inlineStr">
        <is>
          <t>SM</t>
        </is>
      </c>
      <c r="N356" s="15" t="n"/>
      <c r="O356" s="14" t="n"/>
      <c r="P356" s="14" t="n"/>
      <c r="Q356" s="14" t="n"/>
      <c r="R356" s="14" t="n"/>
    </row>
    <row r="357" customFormat="1" s="34">
      <c r="A357" s="14" t="inlineStr">
        <is>
          <t>FM3155</t>
        </is>
      </c>
      <c r="B357" s="14" t="n"/>
      <c r="C357" s="13" t="n">
        <v>45799</v>
      </c>
      <c r="D357" s="12" t="inlineStr">
        <is>
          <t>Cash Sale - Busanani JV</t>
        </is>
      </c>
      <c r="E357" s="14" t="inlineStr">
        <is>
          <t>Axton Matrix Constraction</t>
        </is>
      </c>
      <c r="F357" s="14" t="inlineStr">
        <is>
          <t>Box Fans</t>
        </is>
      </c>
      <c r="G357" s="20" t="n">
        <v>1</v>
      </c>
      <c r="H357" s="19" t="n">
        <v>12586</v>
      </c>
      <c r="I357" s="18">
        <f>G357*H357</f>
        <v/>
      </c>
      <c r="J357" s="11" t="n"/>
      <c r="K357" s="17" t="n"/>
      <c r="L357" s="16">
        <f>K357+C357</f>
        <v/>
      </c>
      <c r="M357" s="11" t="inlineStr">
        <is>
          <t>SM</t>
        </is>
      </c>
      <c r="N357" s="15" t="n"/>
      <c r="O357" s="14" t="n"/>
      <c r="P357" s="14" t="n"/>
      <c r="Q357" s="14" t="n"/>
      <c r="R357" s="14" t="n"/>
    </row>
    <row r="358" customFormat="1" s="34">
      <c r="A358" s="14" t="inlineStr">
        <is>
          <t>FM3156</t>
        </is>
      </c>
      <c r="B358" s="14" t="n"/>
      <c r="C358" s="13" t="n">
        <v>45799</v>
      </c>
      <c r="D358" s="12" t="inlineStr">
        <is>
          <t>Cash Sale - Palipa</t>
        </is>
      </c>
      <c r="E358" s="14" t="inlineStr">
        <is>
          <t>Axton Matrix Constraction</t>
        </is>
      </c>
      <c r="F358" s="14" t="inlineStr">
        <is>
          <t>Box Fans</t>
        </is>
      </c>
      <c r="G358" s="20" t="n">
        <v>1</v>
      </c>
      <c r="H358" s="19" t="n">
        <v>50682</v>
      </c>
      <c r="I358" s="18">
        <f>G358*H358</f>
        <v/>
      </c>
      <c r="J358" s="11" t="n"/>
      <c r="K358" s="17" t="n"/>
      <c r="L358" s="16">
        <f>K358+C358</f>
        <v/>
      </c>
      <c r="M358" s="11" t="inlineStr">
        <is>
          <t>SM</t>
        </is>
      </c>
      <c r="N358" s="15" t="n"/>
      <c r="O358" s="14" t="n"/>
      <c r="P358" s="14" t="n"/>
      <c r="Q358" s="14" t="n"/>
      <c r="R358" s="14" t="n"/>
    </row>
    <row r="359" customFormat="1" s="34">
      <c r="A359" s="14" t="inlineStr">
        <is>
          <t>FM3157</t>
        </is>
      </c>
      <c r="B359" s="14" t="n"/>
      <c r="C359" s="13" t="n">
        <v>45799</v>
      </c>
      <c r="D359" s="12" t="inlineStr">
        <is>
          <t>Cash Sale</t>
        </is>
      </c>
      <c r="E359" s="14" t="inlineStr">
        <is>
          <t>Apex Engineering</t>
        </is>
      </c>
      <c r="F359" s="14" t="inlineStr">
        <is>
          <t>CMP 718-2T</t>
        </is>
      </c>
      <c r="G359" s="20" t="n">
        <v>1</v>
      </c>
      <c r="H359" s="19" t="n">
        <v>9636</v>
      </c>
      <c r="I359" s="18">
        <f>G359*H359</f>
        <v/>
      </c>
      <c r="J359" s="11" t="n"/>
      <c r="K359" s="17" t="n"/>
      <c r="L359" s="16">
        <f>K359+C359</f>
        <v/>
      </c>
      <c r="M359" s="11" t="inlineStr">
        <is>
          <t>ST</t>
        </is>
      </c>
      <c r="N359" s="15" t="n"/>
      <c r="O359" s="14" t="n"/>
      <c r="P359" s="14" t="n"/>
      <c r="Q359" s="14" t="n"/>
      <c r="R359" s="14" t="n"/>
    </row>
    <row r="360" customFormat="1" s="34">
      <c r="A360" s="14" t="inlineStr">
        <is>
          <t>FM3158</t>
        </is>
      </c>
      <c r="B360" s="14" t="n"/>
      <c r="C360" s="13" t="n">
        <v>45800</v>
      </c>
      <c r="D360" s="12" t="inlineStr">
        <is>
          <t>PO124095</t>
        </is>
      </c>
      <c r="E360" s="14" t="inlineStr">
        <is>
          <t>Calibre Engineering</t>
        </is>
      </c>
      <c r="F360" s="14" t="inlineStr">
        <is>
          <t>CPV 1020-2T</t>
        </is>
      </c>
      <c r="G360" s="20" t="n">
        <v>2</v>
      </c>
      <c r="H360" s="19" t="n">
        <v>24407</v>
      </c>
      <c r="I360" s="18">
        <f>G360*H360</f>
        <v/>
      </c>
      <c r="J360" s="11" t="n"/>
      <c r="K360" s="17" t="n"/>
      <c r="L360" s="16">
        <f>K360+C360</f>
        <v/>
      </c>
      <c r="M360" s="11" t="inlineStr">
        <is>
          <t>ST</t>
        </is>
      </c>
      <c r="N360" s="15" t="n"/>
      <c r="O360" s="14" t="n"/>
      <c r="P360" s="14" t="n"/>
      <c r="Q360" s="14" t="n"/>
      <c r="R360" s="14" t="n"/>
    </row>
    <row r="361" customFormat="1" s="34">
      <c r="A361" s="14" t="inlineStr">
        <is>
          <t>FM3159</t>
        </is>
      </c>
      <c r="B361" s="14" t="n"/>
      <c r="C361" s="13" t="n">
        <v>45803</v>
      </c>
      <c r="D361" s="12" t="inlineStr">
        <is>
          <t>Cash Sale</t>
        </is>
      </c>
      <c r="E361" s="14" t="inlineStr">
        <is>
          <t>Zefs More Vision</t>
        </is>
      </c>
      <c r="F361" s="14" t="inlineStr">
        <is>
          <t>Maxflo 560/150/10 c/w1.1kw 4P 380V</t>
        </is>
      </c>
      <c r="G361" s="20" t="n">
        <v>1</v>
      </c>
      <c r="H361" s="19" t="n">
        <v>8659.190000000001</v>
      </c>
      <c r="I361" s="18">
        <f>G361*H361</f>
        <v/>
      </c>
      <c r="J361" s="11" t="n"/>
      <c r="K361" s="17" t="n"/>
      <c r="L361" s="16">
        <f>K361+C361</f>
        <v/>
      </c>
      <c r="M361" s="11" t="inlineStr">
        <is>
          <t>MT</t>
        </is>
      </c>
      <c r="N361" s="15" t="n"/>
      <c r="O361" s="14" t="n"/>
      <c r="P361" s="14" t="n"/>
      <c r="Q361" s="14" t="n"/>
      <c r="R361" s="14" t="n"/>
    </row>
    <row r="362" customFormat="1" s="34">
      <c r="A362" s="14" t="inlineStr">
        <is>
          <t>FM3160</t>
        </is>
      </c>
      <c r="B362" s="14" t="n"/>
      <c r="C362" s="13" t="n">
        <v>45803</v>
      </c>
      <c r="D362" s="12" t="inlineStr">
        <is>
          <t>Cash Sale</t>
        </is>
      </c>
      <c r="E362" s="14" t="inlineStr">
        <is>
          <t>IEPS</t>
        </is>
      </c>
      <c r="F362" s="14" t="inlineStr">
        <is>
          <t>Majax 2 630 c/w 1,1kW 4Pole</t>
        </is>
      </c>
      <c r="G362" s="20" t="n">
        <v>2</v>
      </c>
      <c r="H362" s="19" t="n">
        <v>8464.549999999999</v>
      </c>
      <c r="I362" s="18">
        <f>G362*H362</f>
        <v/>
      </c>
      <c r="J362" s="11" t="n"/>
      <c r="K362" s="17" t="n"/>
      <c r="L362" s="16">
        <f>K362+C362</f>
        <v/>
      </c>
      <c r="M362" s="11" t="inlineStr">
        <is>
          <t>SM</t>
        </is>
      </c>
      <c r="N362" s="15" t="n"/>
      <c r="O362" s="14" t="n"/>
      <c r="P362" s="14" t="n"/>
      <c r="Q362" s="14" t="n"/>
      <c r="R362" s="14" t="n"/>
    </row>
    <row r="363" customFormat="1" s="34">
      <c r="A363" s="14" t="inlineStr">
        <is>
          <t>FM3161</t>
        </is>
      </c>
      <c r="B363" s="14" t="n"/>
      <c r="C363" s="13" t="n">
        <v>45804</v>
      </c>
      <c r="D363" s="12" t="inlineStr">
        <is>
          <t>Cash Sale</t>
        </is>
      </c>
      <c r="E363" s="14" t="inlineStr">
        <is>
          <t>G and S Winders Luck and King</t>
        </is>
      </c>
      <c r="F363" s="14" t="inlineStr">
        <is>
          <t>Maxflo 630/250/6</t>
        </is>
      </c>
      <c r="G363" s="20" t="n">
        <v>1</v>
      </c>
      <c r="H363" s="19" t="n">
        <v>3790</v>
      </c>
      <c r="I363" s="18">
        <f>G363*H363</f>
        <v/>
      </c>
      <c r="J363" s="11" t="n"/>
      <c r="K363" s="17" t="n"/>
      <c r="L363" s="16">
        <f>K363+C363</f>
        <v/>
      </c>
      <c r="M363" s="11" t="inlineStr">
        <is>
          <t>SM</t>
        </is>
      </c>
      <c r="N363" s="15" t="n"/>
      <c r="O363" s="14" t="n"/>
      <c r="P363" s="14" t="n"/>
      <c r="Q363" s="14" t="n"/>
      <c r="R363" s="14" t="n"/>
    </row>
    <row r="364" customFormat="1" s="34">
      <c r="A364" s="14" t="inlineStr">
        <is>
          <t>FM3162</t>
        </is>
      </c>
      <c r="B364" s="14" t="n"/>
      <c r="C364" s="13" t="n">
        <v>45804</v>
      </c>
      <c r="D364" s="12" t="inlineStr">
        <is>
          <t>PO-000005855</t>
        </is>
      </c>
      <c r="E364" s="14" t="inlineStr">
        <is>
          <t>Cape Fans (Pty) Ltd</t>
        </is>
      </c>
      <c r="F364" s="14" t="inlineStr">
        <is>
          <t>CMA-218-2T</t>
        </is>
      </c>
      <c r="G364" s="20" t="n">
        <v>4</v>
      </c>
      <c r="H364" s="19" t="n">
        <v>7577</v>
      </c>
      <c r="I364" s="18">
        <f>G364*H364</f>
        <v/>
      </c>
      <c r="J364" s="11" t="n"/>
      <c r="K364" s="17" t="n"/>
      <c r="L364" s="16">
        <f>K364+C364</f>
        <v/>
      </c>
      <c r="M364" s="11" t="inlineStr">
        <is>
          <t>ST</t>
        </is>
      </c>
      <c r="N364" s="15" t="n"/>
      <c r="O364" s="14" t="n"/>
      <c r="P364" s="14" t="n"/>
      <c r="Q364" s="14" t="n"/>
      <c r="R364" s="14" t="n"/>
    </row>
    <row r="365" customFormat="1" s="34">
      <c r="A365" s="14" t="inlineStr">
        <is>
          <t>FM3163</t>
        </is>
      </c>
      <c r="B365" s="14" t="n"/>
      <c r="C365" s="13" t="n">
        <v>45804</v>
      </c>
      <c r="D365" s="12" t="inlineStr">
        <is>
          <t>PO134997</t>
        </is>
      </c>
      <c r="E365" s="14" t="inlineStr">
        <is>
          <t>Howden Power</t>
        </is>
      </c>
      <c r="F365" s="14" t="inlineStr">
        <is>
          <t>Wall fans</t>
        </is>
      </c>
      <c r="G365" s="20" t="n">
        <v>1</v>
      </c>
      <c r="H365" s="19" t="n">
        <v>8520</v>
      </c>
      <c r="I365" s="18">
        <f>G365*H365</f>
        <v/>
      </c>
      <c r="J365" s="11" t="n"/>
      <c r="K365" s="17" t="n"/>
      <c r="L365" s="16">
        <f>K365+C365</f>
        <v/>
      </c>
      <c r="M365" s="11" t="inlineStr">
        <is>
          <t>ST</t>
        </is>
      </c>
      <c r="N365" s="15" t="n"/>
      <c r="O365" s="14" t="n"/>
      <c r="P365" s="14" t="n"/>
      <c r="Q365" s="14" t="n"/>
      <c r="R365" s="14" t="n"/>
    </row>
    <row r="366" customFormat="1" s="34">
      <c r="A366" s="14" t="inlineStr">
        <is>
          <t>FM3164</t>
        </is>
      </c>
      <c r="B366" s="14" t="n"/>
      <c r="C366" s="13" t="n">
        <v>45805</v>
      </c>
      <c r="D366" s="12" t="inlineStr">
        <is>
          <t>PO-00024</t>
        </is>
      </c>
      <c r="E366" s="14" t="inlineStr">
        <is>
          <t>Nompilo Engineering</t>
        </is>
      </c>
      <c r="F366" s="14" t="inlineStr">
        <is>
          <t xml:space="preserve">Attenuators </t>
        </is>
      </c>
      <c r="G366" s="20" t="n">
        <v>1</v>
      </c>
      <c r="H366" s="19" t="n">
        <v>79818</v>
      </c>
      <c r="I366" s="18">
        <f>G366*H366</f>
        <v/>
      </c>
      <c r="J366" s="11" t="n"/>
      <c r="K366" s="17" t="n"/>
      <c r="L366" s="16">
        <f>K366+C366</f>
        <v/>
      </c>
      <c r="M366" s="11" t="inlineStr">
        <is>
          <t>SM</t>
        </is>
      </c>
      <c r="N366" s="15" t="n"/>
      <c r="O366" s="14" t="n"/>
      <c r="P366" s="14" t="n"/>
      <c r="Q366" s="14" t="n"/>
      <c r="R366" s="14" t="n"/>
    </row>
    <row r="367" customFormat="1" s="34">
      <c r="A367" s="14" t="inlineStr">
        <is>
          <t>FM3165</t>
        </is>
      </c>
      <c r="B367" s="14" t="n"/>
      <c r="C367" s="13" t="n">
        <v>45805</v>
      </c>
      <c r="D367" s="12" t="inlineStr">
        <is>
          <t>PO2030</t>
        </is>
      </c>
      <c r="E367" s="14" t="inlineStr">
        <is>
          <t xml:space="preserve">Hucra Fans </t>
        </is>
      </c>
      <c r="F367" s="14" t="inlineStr">
        <is>
          <t>Tiracamino - Vortice Chimney Extractor Fan 230V</t>
        </is>
      </c>
      <c r="G367" s="20" t="n">
        <v>2</v>
      </c>
      <c r="H367" s="19" t="n">
        <v>12114</v>
      </c>
      <c r="I367" s="18">
        <f>G367*H367</f>
        <v/>
      </c>
      <c r="J367" s="11" t="n"/>
      <c r="K367" s="17" t="n"/>
      <c r="L367" s="16">
        <f>K367+C367</f>
        <v/>
      </c>
      <c r="M367" s="11" t="inlineStr">
        <is>
          <t>ZX</t>
        </is>
      </c>
      <c r="N367" s="15" t="n"/>
      <c r="O367" s="14" t="n"/>
      <c r="P367" s="14" t="n"/>
      <c r="Q367" s="14" t="n"/>
      <c r="R367" s="14" t="n"/>
    </row>
    <row r="368" customFormat="1" s="34">
      <c r="A368" s="14" t="inlineStr">
        <is>
          <t>FM3166</t>
        </is>
      </c>
      <c r="B368" s="14" t="n"/>
      <c r="C368" s="13" t="n"/>
      <c r="D368" s="12" t="n"/>
      <c r="E368" s="14" t="inlineStr">
        <is>
          <t>MK Technical Services (Pty) Ltd</t>
        </is>
      </c>
      <c r="F368" s="14" t="inlineStr">
        <is>
          <t>Majax-2 760</t>
        </is>
      </c>
      <c r="G368" s="20" t="n">
        <v>1</v>
      </c>
      <c r="H368" s="19" t="n">
        <v>12226</v>
      </c>
      <c r="I368" s="18">
        <f>G368*H368</f>
        <v/>
      </c>
      <c r="J368" s="11" t="n"/>
      <c r="K368" s="17" t="n"/>
      <c r="L368" s="16">
        <f>K368+C368</f>
        <v/>
      </c>
      <c r="M368" s="11" t="n"/>
      <c r="N368" s="15" t="n"/>
      <c r="O368" s="14" t="n"/>
      <c r="P368" s="14" t="n"/>
      <c r="Q368" s="14" t="n"/>
      <c r="R368" s="14" t="n"/>
    </row>
    <row r="369" customFormat="1" s="34">
      <c r="A369" s="14" t="inlineStr">
        <is>
          <t>FM3167</t>
        </is>
      </c>
      <c r="B369" s="14" t="n"/>
      <c r="C369" s="13" t="n">
        <v>45807</v>
      </c>
      <c r="D369" s="12" t="n">
        <v>501382</v>
      </c>
      <c r="E369" s="14" t="inlineStr">
        <is>
          <t>Fans Maintenance &amp; More</t>
        </is>
      </c>
      <c r="F369" s="14" t="inlineStr">
        <is>
          <t>RAD 355</t>
        </is>
      </c>
      <c r="G369" s="20" t="n">
        <v>1</v>
      </c>
      <c r="H369" s="19" t="n">
        <v>3797</v>
      </c>
      <c r="I369" s="18">
        <f>G369*H369</f>
        <v/>
      </c>
      <c r="J369" s="11" t="n"/>
      <c r="K369" s="17" t="n"/>
      <c r="L369" s="16">
        <f>K369+C369</f>
        <v/>
      </c>
      <c r="M369" s="11" t="inlineStr">
        <is>
          <t>ZX</t>
        </is>
      </c>
      <c r="N369" s="15" t="n"/>
      <c r="O369" s="14" t="n"/>
      <c r="P369" s="14" t="n"/>
      <c r="Q369" s="14" t="n"/>
      <c r="R369" s="14" t="n"/>
    </row>
    <row r="370" customFormat="1" s="34">
      <c r="A370" s="14" t="inlineStr">
        <is>
          <t>FM3168</t>
        </is>
      </c>
      <c r="B370" s="14" t="n"/>
      <c r="C370" s="13" t="n">
        <v>45807</v>
      </c>
      <c r="D370" s="12" t="inlineStr">
        <is>
          <t>P264752HS</t>
        </is>
      </c>
      <c r="E370" s="14" t="inlineStr">
        <is>
          <t>Noble Motors</t>
        </is>
      </c>
      <c r="F370" s="14" t="inlineStr">
        <is>
          <t>HV 1250</t>
        </is>
      </c>
      <c r="G370" s="20" t="n">
        <v>1</v>
      </c>
      <c r="H370" s="19" t="n">
        <v>13900</v>
      </c>
      <c r="I370" s="18">
        <f>G370*H370</f>
        <v/>
      </c>
      <c r="J370" s="11" t="n"/>
      <c r="K370" s="17" t="n"/>
      <c r="L370" s="16">
        <f>K370+C370</f>
        <v/>
      </c>
      <c r="M370" s="11" t="inlineStr">
        <is>
          <t>SM</t>
        </is>
      </c>
      <c r="N370" s="15" t="n"/>
      <c r="O370" s="14" t="n"/>
      <c r="P370" s="14" t="n"/>
      <c r="Q370" s="14" t="n"/>
      <c r="R370" s="14" t="n"/>
    </row>
    <row r="371" customFormat="1" s="34">
      <c r="A371" s="14" t="inlineStr">
        <is>
          <t>FM3169</t>
        </is>
      </c>
      <c r="B371" s="14" t="n"/>
      <c r="C371" s="13" t="n">
        <v>45810</v>
      </c>
      <c r="D371" s="14" t="inlineStr">
        <is>
          <t>PO00020977</t>
        </is>
      </c>
      <c r="E371" s="14" t="inlineStr">
        <is>
          <t>Craig International Supplier</t>
        </is>
      </c>
      <c r="F371" s="14" t="inlineStr">
        <is>
          <t>DDM 10/10 6P 3F 550W 460V</t>
        </is>
      </c>
      <c r="G371" s="20" t="n">
        <v>3</v>
      </c>
      <c r="H371" s="19" t="n">
        <v>18805</v>
      </c>
      <c r="I371" s="18">
        <f>G371*H371</f>
        <v/>
      </c>
      <c r="J371" s="11" t="n"/>
      <c r="K371" s="17" t="n"/>
      <c r="L371" s="16">
        <f>K371+C371</f>
        <v/>
      </c>
      <c r="M371" s="11" t="inlineStr">
        <is>
          <t>ST</t>
        </is>
      </c>
      <c r="N371" s="15" t="n"/>
      <c r="O371" s="14" t="n"/>
      <c r="P371" s="14" t="n"/>
      <c r="Q371" s="14" t="n"/>
      <c r="R371" s="14" t="n"/>
    </row>
    <row r="372" customFormat="1" s="34">
      <c r="A372" s="14" t="inlineStr">
        <is>
          <t>FM3170</t>
        </is>
      </c>
      <c r="B372" s="14" t="n"/>
      <c r="C372" s="13" t="n">
        <v>45810</v>
      </c>
      <c r="D372" s="14" t="inlineStr">
        <is>
          <t>KPO169815</t>
        </is>
      </c>
      <c r="E372" s="14" t="inlineStr">
        <is>
          <t>Karan Beef</t>
        </is>
      </c>
      <c r="F372" s="14" t="inlineStr">
        <is>
          <t>HVJ-2S</t>
        </is>
      </c>
      <c r="G372" s="20" t="n">
        <v>2</v>
      </c>
      <c r="H372" s="19" t="n">
        <v>4848</v>
      </c>
      <c r="I372" s="18">
        <f>G372*H372</f>
        <v/>
      </c>
      <c r="J372" s="11" t="n"/>
      <c r="K372" s="17" t="n"/>
      <c r="L372" s="16">
        <f>K372+C372</f>
        <v/>
      </c>
      <c r="M372" s="11" t="inlineStr">
        <is>
          <t>ST</t>
        </is>
      </c>
      <c r="N372" s="15" t="n"/>
      <c r="O372" s="14" t="n"/>
      <c r="P372" s="14" t="n"/>
      <c r="Q372" s="14" t="n"/>
      <c r="R372" s="14" t="n"/>
    </row>
    <row r="373" customFormat="1" s="34">
      <c r="A373" s="14" t="inlineStr">
        <is>
          <t>FM3171</t>
        </is>
      </c>
      <c r="B373" s="14" t="n"/>
      <c r="C373" s="13" t="n">
        <v>45810</v>
      </c>
      <c r="D373" s="14" t="inlineStr">
        <is>
          <t>KPO169816</t>
        </is>
      </c>
      <c r="E373" s="14" t="inlineStr">
        <is>
          <t>Karan Beef</t>
        </is>
      </c>
      <c r="F373" s="14" t="inlineStr">
        <is>
          <t>HVJ-2S</t>
        </is>
      </c>
      <c r="G373" s="20" t="n">
        <v>4</v>
      </c>
      <c r="H373" s="19" t="n">
        <v>4848</v>
      </c>
      <c r="I373" s="18">
        <f>G373*H373</f>
        <v/>
      </c>
      <c r="J373" s="11" t="n"/>
      <c r="K373" s="17" t="n"/>
      <c r="L373" s="16">
        <f>K373+C373</f>
        <v/>
      </c>
      <c r="M373" s="11" t="inlineStr">
        <is>
          <t>ST</t>
        </is>
      </c>
      <c r="N373" s="15" t="n"/>
      <c r="O373" s="14" t="n"/>
      <c r="P373" s="14" t="n"/>
      <c r="Q373" s="14" t="n"/>
      <c r="R373" s="14" t="n"/>
    </row>
    <row r="374" customFormat="1" s="34">
      <c r="A374" s="14" t="inlineStr">
        <is>
          <t>FM3172</t>
        </is>
      </c>
      <c r="B374" s="14" t="n"/>
      <c r="C374" s="13" t="n">
        <v>45810</v>
      </c>
      <c r="D374" s="12" t="inlineStr">
        <is>
          <t>PO2039</t>
        </is>
      </c>
      <c r="E374" s="14" t="inlineStr">
        <is>
          <t xml:space="preserve">Hucra Fans </t>
        </is>
      </c>
      <c r="F374" s="14" t="inlineStr">
        <is>
          <t>CPV 1020-4T</t>
        </is>
      </c>
      <c r="G374" s="20" t="n">
        <v>1</v>
      </c>
      <c r="H374" s="19" t="n">
        <v>20493</v>
      </c>
      <c r="I374" s="18">
        <f>G374*H374</f>
        <v/>
      </c>
      <c r="J374" s="11" t="n"/>
      <c r="K374" s="17" t="n"/>
      <c r="L374" s="16">
        <f>K374+C374</f>
        <v/>
      </c>
      <c r="M374" s="11" t="inlineStr">
        <is>
          <t>ZX</t>
        </is>
      </c>
      <c r="N374" s="15" t="n"/>
      <c r="O374" s="14" t="n"/>
      <c r="P374" s="14" t="n"/>
      <c r="Q374" s="14" t="n"/>
      <c r="R374" s="14" t="n"/>
    </row>
    <row r="375" customFormat="1" s="34">
      <c r="A375" s="14" t="inlineStr">
        <is>
          <t>FM3173</t>
        </is>
      </c>
      <c r="B375" s="14" t="n"/>
      <c r="C375" s="13" t="n">
        <v>45810</v>
      </c>
      <c r="D375" s="12" t="inlineStr">
        <is>
          <t>PO349</t>
        </is>
      </c>
      <c r="E375" s="22" t="inlineStr">
        <is>
          <t>Dawaila Group</t>
        </is>
      </c>
      <c r="F375" s="22" t="inlineStr">
        <is>
          <t>Majax-2 710.20.D.8 c/w 4Kw 4P 400V</t>
        </is>
      </c>
      <c r="G375" s="20" t="n">
        <v>1</v>
      </c>
      <c r="H375" s="37" t="n">
        <v>14695</v>
      </c>
      <c r="I375" s="18">
        <f>G375*H375</f>
        <v/>
      </c>
      <c r="J375" s="11" t="n"/>
      <c r="K375" s="17" t="n"/>
      <c r="L375" s="16">
        <f>K375+C375</f>
        <v/>
      </c>
      <c r="M375" s="11" t="inlineStr">
        <is>
          <t>SM</t>
        </is>
      </c>
      <c r="N375" s="15" t="n"/>
      <c r="O375" s="14" t="n"/>
      <c r="P375" s="14" t="n"/>
      <c r="Q375" s="14" t="n"/>
      <c r="R375" s="14" t="n"/>
    </row>
    <row r="376" customFormat="1" s="34">
      <c r="A376" s="14" t="inlineStr">
        <is>
          <t>FM3174</t>
        </is>
      </c>
      <c r="B376" s="14" t="n"/>
      <c r="C376" s="13" t="n">
        <v>45810</v>
      </c>
      <c r="D376" s="12" t="inlineStr">
        <is>
          <t>PO349</t>
        </is>
      </c>
      <c r="E376" s="22" t="inlineStr">
        <is>
          <t>Dawaila Group</t>
        </is>
      </c>
      <c r="F376" s="22" t="inlineStr">
        <is>
          <t>Majax-2 710.20.D.8 c/w 2.2Kw 4P 400V</t>
        </is>
      </c>
      <c r="G376" s="20" t="n">
        <v>1</v>
      </c>
      <c r="H376" s="37" t="n">
        <v>12898</v>
      </c>
      <c r="I376" s="18">
        <f>G376*H376</f>
        <v/>
      </c>
      <c r="J376" s="11" t="n"/>
      <c r="K376" s="17" t="n"/>
      <c r="L376" s="16">
        <f>K376+C376</f>
        <v/>
      </c>
      <c r="M376" s="11" t="inlineStr">
        <is>
          <t>SM</t>
        </is>
      </c>
      <c r="N376" s="15" t="n"/>
      <c r="O376" s="14" t="n"/>
      <c r="P376" s="14" t="n"/>
      <c r="Q376" s="14" t="n"/>
      <c r="R376" s="14" t="n"/>
    </row>
    <row r="377" customFormat="1" s="34">
      <c r="A377" s="14" t="inlineStr">
        <is>
          <t>FM3175</t>
        </is>
      </c>
      <c r="B377" s="14" t="n"/>
      <c r="C377" s="13" t="n">
        <v>45810</v>
      </c>
      <c r="D377" s="12" t="inlineStr">
        <is>
          <t>PO349</t>
        </is>
      </c>
      <c r="E377" s="22" t="inlineStr">
        <is>
          <t>Dawaila Group</t>
        </is>
      </c>
      <c r="F377" s="22" t="inlineStr">
        <is>
          <t>Majax-2 630.20.D.8 c/w 1.5Kw 4P 400V</t>
        </is>
      </c>
      <c r="G377" s="20" t="n">
        <v>1</v>
      </c>
      <c r="H377" s="37" t="n">
        <v>11832</v>
      </c>
      <c r="I377" s="18">
        <f>G377*H377</f>
        <v/>
      </c>
      <c r="J377" s="11" t="n"/>
      <c r="K377" s="17" t="n"/>
      <c r="L377" s="16">
        <f>K377+C377</f>
        <v/>
      </c>
      <c r="M377" s="11" t="inlineStr">
        <is>
          <t>SM</t>
        </is>
      </c>
      <c r="N377" s="15" t="n"/>
      <c r="O377" s="14" t="n"/>
      <c r="P377" s="14" t="n"/>
      <c r="Q377" s="14" t="n"/>
      <c r="R377" s="14" t="n"/>
    </row>
    <row r="378" customFormat="1" s="34">
      <c r="A378" s="14" t="inlineStr">
        <is>
          <t>FM3176</t>
        </is>
      </c>
      <c r="B378" s="14" t="n"/>
      <c r="C378" s="13" t="n">
        <v>45810</v>
      </c>
      <c r="D378" s="12" t="inlineStr">
        <is>
          <t>PO349</t>
        </is>
      </c>
      <c r="E378" s="22" t="inlineStr">
        <is>
          <t>Dawaila Group</t>
        </is>
      </c>
      <c r="F378" s="22" t="inlineStr">
        <is>
          <t>Majax-2 800.32.E.8 c/w 4.0Kw 4P 400V</t>
        </is>
      </c>
      <c r="G378" s="20" t="n">
        <v>1</v>
      </c>
      <c r="H378" s="37" t="n">
        <v>16128</v>
      </c>
      <c r="I378" s="18">
        <f>G378*H378</f>
        <v/>
      </c>
      <c r="J378" s="11" t="n"/>
      <c r="K378" s="17" t="n"/>
      <c r="L378" s="16">
        <f>K378+C378</f>
        <v/>
      </c>
      <c r="M378" s="11" t="inlineStr">
        <is>
          <t>SM</t>
        </is>
      </c>
      <c r="N378" s="15" t="n"/>
      <c r="O378" s="14" t="n"/>
      <c r="P378" s="14" t="n"/>
      <c r="Q378" s="14" t="n"/>
      <c r="R378" s="14" t="n"/>
    </row>
    <row r="379" customFormat="1" s="34">
      <c r="A379" s="14" t="inlineStr">
        <is>
          <t>FM3177</t>
        </is>
      </c>
      <c r="B379" s="14" t="n"/>
      <c r="C379" s="13" t="n">
        <v>45810</v>
      </c>
      <c r="D379" s="12" t="inlineStr">
        <is>
          <t>PO349</t>
        </is>
      </c>
      <c r="E379" s="22" t="inlineStr">
        <is>
          <t>Dawaila Group</t>
        </is>
      </c>
      <c r="F379" s="22" t="inlineStr">
        <is>
          <t>Majax-2 630.20.D.8 c/w 1.5Kw 4P 400V</t>
        </is>
      </c>
      <c r="G379" s="20" t="n">
        <v>1</v>
      </c>
      <c r="H379" s="37" t="n">
        <v>11832</v>
      </c>
      <c r="I379" s="18">
        <f>G379*H379</f>
        <v/>
      </c>
      <c r="J379" s="11" t="n"/>
      <c r="K379" s="17" t="n"/>
      <c r="L379" s="16">
        <f>K379+C379</f>
        <v/>
      </c>
      <c r="M379" s="11" t="inlineStr">
        <is>
          <t>SM</t>
        </is>
      </c>
      <c r="N379" s="15" t="n"/>
      <c r="O379" s="14" t="n"/>
      <c r="P379" s="14" t="n"/>
      <c r="Q379" s="14" t="n"/>
      <c r="R379" s="14" t="n"/>
    </row>
    <row r="380" customFormat="1" s="34">
      <c r="A380" s="14" t="inlineStr">
        <is>
          <t>FM3178</t>
        </is>
      </c>
      <c r="B380" s="14" t="n"/>
      <c r="C380" s="13" t="n">
        <v>45810</v>
      </c>
      <c r="D380" s="12" t="inlineStr">
        <is>
          <t>PO349</t>
        </is>
      </c>
      <c r="E380" s="22" t="inlineStr">
        <is>
          <t>Dawaila Group</t>
        </is>
      </c>
      <c r="F380" s="22" t="inlineStr">
        <is>
          <t>Majax-2 630.20.D.8 c/w 1.5Kw 4P 400V</t>
        </is>
      </c>
      <c r="G380" s="20" t="n">
        <v>1</v>
      </c>
      <c r="H380" s="37" t="n">
        <v>11832</v>
      </c>
      <c r="I380" s="18">
        <f>G380*H380</f>
        <v/>
      </c>
      <c r="J380" s="11" t="n"/>
      <c r="K380" s="17" t="n"/>
      <c r="L380" s="16">
        <f>K380+C380</f>
        <v/>
      </c>
      <c r="M380" s="11" t="inlineStr">
        <is>
          <t>SM</t>
        </is>
      </c>
      <c r="N380" s="15" t="n"/>
      <c r="O380" s="14" t="n"/>
      <c r="P380" s="14" t="n"/>
      <c r="Q380" s="14" t="n"/>
      <c r="R380" s="14" t="n"/>
    </row>
    <row r="381" customFormat="1" s="34">
      <c r="A381" s="14" t="inlineStr">
        <is>
          <t>FM3179</t>
        </is>
      </c>
      <c r="B381" s="14" t="n"/>
      <c r="C381" s="13" t="n">
        <v>45810</v>
      </c>
      <c r="D381" s="12" t="inlineStr">
        <is>
          <t>PO349</t>
        </is>
      </c>
      <c r="E381" s="22" t="inlineStr">
        <is>
          <t>Dawaila Group</t>
        </is>
      </c>
      <c r="F381" s="22" t="inlineStr">
        <is>
          <t>Majax-2 710.20.D.8 c/w 2.2Kw 4P 400V</t>
        </is>
      </c>
      <c r="G381" s="20" t="n">
        <v>1</v>
      </c>
      <c r="H381" s="37" t="n">
        <v>12898</v>
      </c>
      <c r="I381" s="18">
        <f>G381*H381</f>
        <v/>
      </c>
      <c r="J381" s="11" t="n"/>
      <c r="K381" s="17" t="n"/>
      <c r="L381" s="16">
        <f>K381+C381</f>
        <v/>
      </c>
      <c r="M381" s="11" t="inlineStr">
        <is>
          <t>SM</t>
        </is>
      </c>
      <c r="N381" s="15" t="n"/>
      <c r="O381" s="14" t="n"/>
      <c r="P381" s="14" t="n"/>
      <c r="Q381" s="14" t="n"/>
      <c r="R381" s="14" t="n"/>
    </row>
    <row r="382" customFormat="1" s="34">
      <c r="A382" s="14" t="inlineStr">
        <is>
          <t>FM3180</t>
        </is>
      </c>
      <c r="B382" s="14" t="n"/>
      <c r="C382" s="13" t="n">
        <v>45810</v>
      </c>
      <c r="D382" s="12" t="inlineStr">
        <is>
          <t>PO349</t>
        </is>
      </c>
      <c r="E382" s="22" t="inlineStr">
        <is>
          <t>Dawaila Group</t>
        </is>
      </c>
      <c r="F382" s="22" t="inlineStr">
        <is>
          <t>Majax-2 630.20.D.8 c/w 0.75Kw 6P 400V</t>
        </is>
      </c>
      <c r="G382" s="20" t="n">
        <v>1</v>
      </c>
      <c r="H382" s="37" t="n">
        <v>11012</v>
      </c>
      <c r="I382" s="18">
        <f>G382*H382</f>
        <v/>
      </c>
      <c r="J382" s="11" t="n"/>
      <c r="K382" s="17" t="n"/>
      <c r="L382" s="16">
        <f>K382+C382</f>
        <v/>
      </c>
      <c r="M382" s="11" t="inlineStr">
        <is>
          <t>SM</t>
        </is>
      </c>
      <c r="N382" s="15" t="n"/>
      <c r="O382" s="14" t="n"/>
      <c r="P382" s="14" t="n"/>
      <c r="Q382" s="14" t="n"/>
      <c r="R382" s="14" t="n"/>
    </row>
    <row r="383" customFormat="1" s="34">
      <c r="A383" s="14" t="inlineStr">
        <is>
          <t>FM3181</t>
        </is>
      </c>
      <c r="B383" s="14" t="n"/>
      <c r="C383" s="13" t="n">
        <v>45810</v>
      </c>
      <c r="D383" s="12" t="inlineStr">
        <is>
          <t>PO349</t>
        </is>
      </c>
      <c r="E383" s="22" t="inlineStr">
        <is>
          <t>Dawaila Group</t>
        </is>
      </c>
      <c r="F383" s="22" t="inlineStr">
        <is>
          <t>Majax-2 560.20.D.8 c/w 0.75Kw 4P 400V</t>
        </is>
      </c>
      <c r="G383" s="20" t="n">
        <v>1</v>
      </c>
      <c r="H383" s="37" t="n">
        <v>10209</v>
      </c>
      <c r="I383" s="18">
        <f>G383*H383</f>
        <v/>
      </c>
      <c r="J383" s="11" t="n"/>
      <c r="K383" s="17" t="n"/>
      <c r="L383" s="16">
        <f>K383+C383</f>
        <v/>
      </c>
      <c r="M383" s="11" t="inlineStr">
        <is>
          <t>SM</t>
        </is>
      </c>
      <c r="N383" s="15" t="n"/>
      <c r="O383" s="14" t="n"/>
      <c r="P383" s="14" t="n"/>
      <c r="Q383" s="14" t="n"/>
      <c r="R383" s="14" t="n"/>
    </row>
    <row r="384" customFormat="1" s="34">
      <c r="A384" s="14" t="inlineStr">
        <is>
          <t>FM3182</t>
        </is>
      </c>
      <c r="B384" s="14" t="n"/>
      <c r="C384" s="13" t="n">
        <v>45811</v>
      </c>
      <c r="D384" s="12" t="n">
        <v>1210</v>
      </c>
      <c r="E384" s="14" t="inlineStr">
        <is>
          <t>Prospec Engineering</t>
        </is>
      </c>
      <c r="F384" s="14" t="inlineStr">
        <is>
          <t>Boxed Fans</t>
        </is>
      </c>
      <c r="G384" s="20" t="n">
        <v>1</v>
      </c>
      <c r="H384" s="19" t="n">
        <v>11485</v>
      </c>
      <c r="I384" s="18">
        <f>G384*H384</f>
        <v/>
      </c>
      <c r="J384" s="11" t="n"/>
      <c r="K384" s="17" t="n"/>
      <c r="L384" s="16">
        <f>K384+C384</f>
        <v/>
      </c>
      <c r="M384" s="11" t="inlineStr">
        <is>
          <t>ST</t>
        </is>
      </c>
      <c r="N384" s="15" t="n"/>
      <c r="O384" s="14" t="n"/>
      <c r="P384" s="14" t="n"/>
      <c r="Q384" s="14" t="n"/>
      <c r="R384" s="14" t="n"/>
    </row>
    <row r="385" customFormat="1" s="34">
      <c r="A385" s="14" t="inlineStr">
        <is>
          <t>FM3183</t>
        </is>
      </c>
      <c r="B385" s="14" t="n"/>
      <c r="C385" s="13" t="n">
        <v>45812</v>
      </c>
      <c r="D385" s="12" t="inlineStr">
        <is>
          <t>Cash Sale</t>
        </is>
      </c>
      <c r="E385" s="14" t="inlineStr">
        <is>
          <t>Loumine</t>
        </is>
      </c>
      <c r="F385" s="14" t="inlineStr">
        <is>
          <t>HV 1250 c/w 1.1kW 525v</t>
        </is>
      </c>
      <c r="G385" s="20" t="n">
        <v>6</v>
      </c>
      <c r="H385" s="19" t="n">
        <v>12058</v>
      </c>
      <c r="I385" s="18">
        <f>G385*H385</f>
        <v/>
      </c>
      <c r="J385" s="11" t="n"/>
      <c r="K385" s="17" t="n"/>
      <c r="L385" s="16">
        <f>K385+C385</f>
        <v/>
      </c>
      <c r="M385" s="11" t="inlineStr">
        <is>
          <t>SM</t>
        </is>
      </c>
      <c r="N385" s="15" t="n"/>
      <c r="O385" s="14" t="n"/>
      <c r="P385" s="14" t="n"/>
      <c r="Q385" s="14" t="n"/>
      <c r="R385" s="14" t="n"/>
    </row>
    <row r="386" customFormat="1" s="34">
      <c r="A386" s="14" t="inlineStr">
        <is>
          <t>FM3184</t>
        </is>
      </c>
      <c r="B386" s="14" t="n"/>
      <c r="C386" s="13" t="n">
        <v>45817</v>
      </c>
      <c r="D386" s="12" t="inlineStr">
        <is>
          <t>PO7059</t>
        </is>
      </c>
      <c r="E386" s="14" t="inlineStr">
        <is>
          <t>LOJ Trade and Export (Pty) Ltd</t>
        </is>
      </c>
      <c r="F386" s="14" t="inlineStr">
        <is>
          <t>Maxflo Fan 710/150/10 A C/W 4.0kw 4P 380</t>
        </is>
      </c>
      <c r="G386" s="20" t="n">
        <v>4</v>
      </c>
      <c r="H386" s="19" t="n">
        <v>29632</v>
      </c>
      <c r="I386" s="18">
        <f>G386*H386</f>
        <v/>
      </c>
      <c r="J386" s="11" t="n"/>
      <c r="K386" s="17" t="n"/>
      <c r="L386" s="16">
        <f>K386+C386</f>
        <v/>
      </c>
      <c r="M386" s="11" t="inlineStr">
        <is>
          <t>SM</t>
        </is>
      </c>
      <c r="N386" s="15" t="n"/>
      <c r="O386" s="14" t="n"/>
      <c r="P386" s="14" t="n"/>
      <c r="Q386" s="14" t="n"/>
      <c r="R386" s="14" t="n"/>
    </row>
    <row r="387" customFormat="1" s="34">
      <c r="A387" s="14" t="inlineStr">
        <is>
          <t>FM3185</t>
        </is>
      </c>
      <c r="B387" s="14" t="n"/>
      <c r="C387" s="13" t="n">
        <v>45817</v>
      </c>
      <c r="D387" s="12" t="inlineStr">
        <is>
          <t>PO153504</t>
        </is>
      </c>
      <c r="E387" s="14" t="inlineStr">
        <is>
          <t>Luft Industries Natal</t>
        </is>
      </c>
      <c r="F387" s="14" t="inlineStr">
        <is>
          <t>V 150/6 ARI</t>
        </is>
      </c>
      <c r="G387" s="20" t="n">
        <v>1</v>
      </c>
      <c r="H387" s="19" t="n">
        <v>3026</v>
      </c>
      <c r="I387" s="18">
        <f>G387*H387</f>
        <v/>
      </c>
      <c r="J387" s="11" t="n"/>
      <c r="K387" s="17" t="n"/>
      <c r="L387" s="16">
        <f>K387+C387</f>
        <v/>
      </c>
      <c r="M387" s="11" t="inlineStr">
        <is>
          <t>SM</t>
        </is>
      </c>
      <c r="N387" s="15" t="n"/>
      <c r="O387" s="14" t="n"/>
      <c r="P387" s="14" t="n"/>
      <c r="Q387" s="14" t="n"/>
      <c r="R387" s="14" t="n"/>
    </row>
    <row r="388" customFormat="1" s="34">
      <c r="A388" s="14" t="inlineStr">
        <is>
          <t>FM3186</t>
        </is>
      </c>
      <c r="B388" s="14" t="n"/>
      <c r="C388" s="13" t="n">
        <v>45817</v>
      </c>
      <c r="D388" s="12" t="n"/>
      <c r="E388" s="14" t="inlineStr">
        <is>
          <t>Rey &amp; Leferna</t>
        </is>
      </c>
      <c r="F388" s="14" t="inlineStr">
        <is>
          <t>Boxed Fans</t>
        </is>
      </c>
      <c r="G388" s="20" t="n">
        <v>1</v>
      </c>
      <c r="H388" s="19" t="n"/>
      <c r="I388" s="18">
        <f>G388*H388</f>
        <v/>
      </c>
      <c r="J388" s="11" t="n"/>
      <c r="K388" s="17" t="n"/>
      <c r="L388" s="16">
        <f>K388+C388</f>
        <v/>
      </c>
      <c r="M388" s="11" t="n"/>
      <c r="N388" s="15" t="n"/>
      <c r="O388" s="14" t="n"/>
      <c r="P388" s="14" t="n"/>
      <c r="Q388" s="14" t="n"/>
      <c r="R388" s="14" t="n"/>
    </row>
    <row r="389" customFormat="1" s="34">
      <c r="A389" s="14" t="inlineStr">
        <is>
          <t>FM3187</t>
        </is>
      </c>
      <c r="B389" s="14" t="n"/>
      <c r="C389" s="13" t="n">
        <v>45817</v>
      </c>
      <c r="D389" s="12" t="n"/>
      <c r="E389" s="14" t="inlineStr">
        <is>
          <t>Rey &amp; Leferna</t>
        </is>
      </c>
      <c r="F389" s="14" t="inlineStr">
        <is>
          <t>Maxflo 900 c/w 5.5kW 4Pole 380v</t>
        </is>
      </c>
      <c r="G389" s="20" t="n">
        <v>1</v>
      </c>
      <c r="H389" s="19" t="n">
        <v>66032.71000000001</v>
      </c>
      <c r="I389" s="18">
        <f>G389*H389</f>
        <v/>
      </c>
      <c r="J389" s="11" t="n"/>
      <c r="K389" s="17" t="n"/>
      <c r="L389" s="16">
        <f>K389+C389</f>
        <v/>
      </c>
      <c r="M389" s="11" t="inlineStr">
        <is>
          <t>ST</t>
        </is>
      </c>
      <c r="N389" s="15" t="n"/>
      <c r="O389" s="14" t="n"/>
      <c r="P389" s="14" t="n"/>
      <c r="Q389" s="14" t="n"/>
      <c r="R389" s="14" t="n"/>
    </row>
    <row r="390" customFormat="1" s="34">
      <c r="A390" s="14" t="inlineStr">
        <is>
          <t>FM3188</t>
        </is>
      </c>
      <c r="B390" s="14" t="n"/>
      <c r="C390" s="13" t="n">
        <v>45817</v>
      </c>
      <c r="D390" s="12" t="n"/>
      <c r="E390" s="14" t="inlineStr">
        <is>
          <t>Rey &amp; Leferna</t>
        </is>
      </c>
      <c r="F390" s="14" t="inlineStr">
        <is>
          <t>Maxflo 900 c/w 3kW 4Pole 380v</t>
        </is>
      </c>
      <c r="G390" s="20" t="n">
        <v>1</v>
      </c>
      <c r="H390" s="19" t="n">
        <v>60632.9</v>
      </c>
      <c r="I390" s="18">
        <f>G390*H390</f>
        <v/>
      </c>
      <c r="J390" s="11" t="n"/>
      <c r="K390" s="17" t="n"/>
      <c r="L390" s="16">
        <f>K390+C390</f>
        <v/>
      </c>
      <c r="M390" s="11" t="inlineStr">
        <is>
          <t>ST</t>
        </is>
      </c>
      <c r="N390" s="15" t="n"/>
      <c r="O390" s="14" t="n"/>
      <c r="P390" s="14" t="n"/>
      <c r="Q390" s="14" t="n"/>
      <c r="R390" s="14" t="n"/>
    </row>
    <row r="391" customFormat="1" s="34">
      <c r="A391" s="14" t="inlineStr">
        <is>
          <t>FM3189</t>
        </is>
      </c>
      <c r="B391" s="14" t="n"/>
      <c r="C391" s="13" t="n">
        <v>45817</v>
      </c>
      <c r="D391" s="12" t="n"/>
      <c r="E391" s="14" t="inlineStr">
        <is>
          <t>Rey &amp; Leferna</t>
        </is>
      </c>
      <c r="F391" s="14" t="inlineStr">
        <is>
          <t>Maxflo 315 c/w 0.25kW 4Pole 380v</t>
        </is>
      </c>
      <c r="G391" s="20" t="n">
        <v>1</v>
      </c>
      <c r="H391" s="19" t="n">
        <v>21972.92</v>
      </c>
      <c r="I391" s="18">
        <f>G391*H391</f>
        <v/>
      </c>
      <c r="J391" s="11" t="n"/>
      <c r="K391" s="17" t="n"/>
      <c r="L391" s="16">
        <f>K391+C391</f>
        <v/>
      </c>
      <c r="M391" s="11" t="inlineStr">
        <is>
          <t>ST</t>
        </is>
      </c>
      <c r="N391" s="15" t="n"/>
      <c r="O391" s="14" t="n"/>
      <c r="P391" s="14" t="n"/>
      <c r="Q391" s="14" t="n"/>
      <c r="R391" s="14" t="n"/>
    </row>
    <row r="392" customFormat="1" s="34">
      <c r="A392" s="14" t="inlineStr">
        <is>
          <t>FM3190</t>
        </is>
      </c>
      <c r="B392" s="14" t="n"/>
      <c r="C392" s="13" t="n">
        <v>45817</v>
      </c>
      <c r="D392" s="12" t="n"/>
      <c r="E392" s="14" t="inlineStr">
        <is>
          <t>Rey &amp; Leferna</t>
        </is>
      </c>
      <c r="F392" s="14" t="inlineStr">
        <is>
          <t>Maxflo 500 c/w 0.75kW 4Ppole 380v</t>
        </is>
      </c>
      <c r="G392" s="20" t="n">
        <v>1</v>
      </c>
      <c r="H392" s="19" t="n">
        <v>27885.22</v>
      </c>
      <c r="I392" s="18">
        <f>G392*H392</f>
        <v/>
      </c>
      <c r="J392" s="11" t="n"/>
      <c r="K392" s="17" t="n"/>
      <c r="L392" s="16">
        <f>K392+C392</f>
        <v/>
      </c>
      <c r="M392" s="11" t="inlineStr">
        <is>
          <t>ST</t>
        </is>
      </c>
      <c r="N392" s="15" t="n"/>
      <c r="O392" s="14" t="n"/>
      <c r="P392" s="14" t="n"/>
      <c r="Q392" s="14" t="n"/>
      <c r="R392" s="14" t="n"/>
    </row>
    <row r="393" customFormat="1" s="34">
      <c r="A393" s="14" t="inlineStr">
        <is>
          <t>FM3191</t>
        </is>
      </c>
      <c r="B393" s="14" t="n"/>
      <c r="C393" s="13" t="n">
        <v>45817</v>
      </c>
      <c r="D393" s="12" t="n"/>
      <c r="E393" s="14" t="inlineStr">
        <is>
          <t>Rey &amp; Leferna</t>
        </is>
      </c>
      <c r="F393" s="14" t="inlineStr">
        <is>
          <t>Maxflo 500 c/w 0.55kW 4Pole 380v</t>
        </is>
      </c>
      <c r="G393" s="20" t="n">
        <v>1</v>
      </c>
      <c r="H393" s="19" t="n">
        <v>27601.91</v>
      </c>
      <c r="I393" s="18">
        <f>G393*H393</f>
        <v/>
      </c>
      <c r="J393" s="11" t="n"/>
      <c r="K393" s="17" t="n"/>
      <c r="L393" s="16">
        <f>K393+C393</f>
        <v/>
      </c>
      <c r="M393" s="11" t="inlineStr">
        <is>
          <t>ST</t>
        </is>
      </c>
      <c r="N393" s="15" t="n"/>
      <c r="O393" s="14" t="n"/>
      <c r="P393" s="14" t="n"/>
      <c r="Q393" s="14" t="n"/>
      <c r="R393" s="14" t="n"/>
    </row>
    <row r="394" customFormat="1" s="34">
      <c r="A394" s="14" t="inlineStr">
        <is>
          <t>FM3192</t>
        </is>
      </c>
      <c r="B394" s="14" t="n"/>
      <c r="C394" s="13" t="n">
        <v>45817</v>
      </c>
      <c r="D394" s="12" t="n"/>
      <c r="E394" s="14" t="inlineStr">
        <is>
          <t>Rey &amp; Leferna</t>
        </is>
      </c>
      <c r="F394" s="14" t="inlineStr">
        <is>
          <t>Maxflo 315 c/w 0.25kW 4Pole 380v</t>
        </is>
      </c>
      <c r="G394" s="20" t="n">
        <v>1</v>
      </c>
      <c r="H394" s="19" t="n">
        <v>22537.15</v>
      </c>
      <c r="I394" s="18">
        <f>G394*H394</f>
        <v/>
      </c>
      <c r="J394" s="11" t="n"/>
      <c r="K394" s="17" t="n"/>
      <c r="L394" s="16">
        <f>K394+C394</f>
        <v/>
      </c>
      <c r="M394" s="11" t="inlineStr">
        <is>
          <t>ST</t>
        </is>
      </c>
      <c r="N394" s="15" t="n"/>
      <c r="O394" s="14" t="n"/>
      <c r="P394" s="14" t="n"/>
      <c r="Q394" s="14" t="n"/>
      <c r="R394" s="14" t="n"/>
    </row>
    <row r="395" customFormat="1" s="34">
      <c r="A395" s="14" t="inlineStr">
        <is>
          <t>FM3193</t>
        </is>
      </c>
      <c r="B395" s="14" t="n"/>
      <c r="C395" s="13" t="n">
        <v>45817</v>
      </c>
      <c r="D395" s="12" t="n"/>
      <c r="E395" s="14" t="inlineStr">
        <is>
          <t>Rey &amp; Leferna</t>
        </is>
      </c>
      <c r="F395" s="14" t="inlineStr">
        <is>
          <t>Maxflo 500 c/w 3kW 2Pole 380v Motor</t>
        </is>
      </c>
      <c r="G395" s="20" t="n">
        <v>1</v>
      </c>
      <c r="H395" s="19" t="n">
        <v>37489.88</v>
      </c>
      <c r="I395" s="18">
        <f>G395*H395</f>
        <v/>
      </c>
      <c r="J395" s="11" t="n"/>
      <c r="K395" s="17" t="n"/>
      <c r="L395" s="16">
        <f>K395+C395</f>
        <v/>
      </c>
      <c r="M395" s="11" t="inlineStr">
        <is>
          <t>ST</t>
        </is>
      </c>
      <c r="N395" s="15" t="n"/>
      <c r="O395" s="14" t="n"/>
      <c r="P395" s="14" t="n"/>
      <c r="Q395" s="14" t="n"/>
      <c r="R395" s="14" t="n"/>
    </row>
    <row r="396" customFormat="1" s="34">
      <c r="A396" s="14" t="inlineStr">
        <is>
          <t>FM3194</t>
        </is>
      </c>
      <c r="B396" s="14" t="n"/>
      <c r="C396" s="13" t="n">
        <v>45817</v>
      </c>
      <c r="D396" s="12" t="n"/>
      <c r="E396" s="14" t="inlineStr">
        <is>
          <t>Rey &amp; Leferna</t>
        </is>
      </c>
      <c r="F396" s="14" t="inlineStr">
        <is>
          <t>Maxflo 400 c/w 2.2kW 2Pole 380v</t>
        </is>
      </c>
      <c r="G396" s="20" t="n">
        <v>1</v>
      </c>
      <c r="H396" s="19" t="n">
        <v>25065.97</v>
      </c>
      <c r="I396" s="18">
        <f>G396*H396</f>
        <v/>
      </c>
      <c r="J396" s="11" t="n"/>
      <c r="K396" s="17" t="n"/>
      <c r="L396" s="16">
        <f>K396+C396</f>
        <v/>
      </c>
      <c r="M396" s="11" t="inlineStr">
        <is>
          <t>ST</t>
        </is>
      </c>
      <c r="N396" s="15" t="n"/>
      <c r="O396" s="14" t="n"/>
      <c r="P396" s="14" t="n"/>
      <c r="Q396" s="14" t="n"/>
      <c r="R396" s="14" t="n"/>
    </row>
    <row r="397" customFormat="1" s="34">
      <c r="A397" s="14" t="inlineStr">
        <is>
          <t>FM3195</t>
        </is>
      </c>
      <c r="B397" s="14" t="n"/>
      <c r="C397" s="13" t="n">
        <v>45817</v>
      </c>
      <c r="D397" s="12" t="n"/>
      <c r="E397" s="14" t="inlineStr">
        <is>
          <t>Rey &amp; Leferna</t>
        </is>
      </c>
      <c r="F397" s="14" t="inlineStr">
        <is>
          <t>Maxflo 400 c/w 2.2kW 2Pole 380v</t>
        </is>
      </c>
      <c r="G397" s="20" t="n">
        <v>1</v>
      </c>
      <c r="H397" s="19" t="n">
        <v>25065.97</v>
      </c>
      <c r="I397" s="18">
        <f>G397*H397</f>
        <v/>
      </c>
      <c r="J397" s="11" t="n"/>
      <c r="K397" s="17" t="n"/>
      <c r="L397" s="16">
        <f>K397+C397</f>
        <v/>
      </c>
      <c r="M397" s="11" t="inlineStr">
        <is>
          <t>ST</t>
        </is>
      </c>
      <c r="N397" s="15" t="n"/>
      <c r="O397" s="14" t="n"/>
      <c r="P397" s="14" t="n"/>
      <c r="Q397" s="14" t="n"/>
      <c r="R397" s="14" t="n"/>
    </row>
    <row r="398" customFormat="1" s="34">
      <c r="A398" s="14" t="inlineStr">
        <is>
          <t>FM3196</t>
        </is>
      </c>
      <c r="B398" s="14" t="n"/>
      <c r="C398" s="13" t="n">
        <v>45817</v>
      </c>
      <c r="D398" s="12" t="n"/>
      <c r="E398" s="14" t="inlineStr">
        <is>
          <t>Rey &amp; Leferna</t>
        </is>
      </c>
      <c r="F398" s="14" t="inlineStr">
        <is>
          <t>Maxflo 315 c/w 0.37kW 2Pole</t>
        </is>
      </c>
      <c r="G398" s="20" t="n">
        <v>1</v>
      </c>
      <c r="H398" s="19" t="n">
        <v>21919.72</v>
      </c>
      <c r="I398" s="18">
        <f>G398*H398</f>
        <v/>
      </c>
      <c r="J398" s="11" t="n"/>
      <c r="K398" s="17" t="n"/>
      <c r="L398" s="16">
        <f>K398+C398</f>
        <v/>
      </c>
      <c r="M398" s="11" t="inlineStr">
        <is>
          <t>ST</t>
        </is>
      </c>
      <c r="N398" s="15" t="n"/>
      <c r="O398" s="14" t="n"/>
      <c r="P398" s="14" t="n"/>
      <c r="Q398" s="14" t="n"/>
      <c r="R398" s="14" t="n"/>
    </row>
    <row r="399" customFormat="1" s="34">
      <c r="A399" s="14" t="inlineStr">
        <is>
          <t>FM3197</t>
        </is>
      </c>
      <c r="B399" s="14" t="n"/>
      <c r="C399" s="13" t="n">
        <v>45817</v>
      </c>
      <c r="D399" s="12" t="inlineStr">
        <is>
          <t>PO3495</t>
        </is>
      </c>
      <c r="E399" s="14" t="inlineStr">
        <is>
          <t>Midrand Air</t>
        </is>
      </c>
      <c r="F399" s="14" t="inlineStr">
        <is>
          <t xml:space="preserve">MAJAX-3 710Plate Mount c/w 4,00KW 4P 380V </t>
        </is>
      </c>
      <c r="G399" s="20" t="n">
        <v>2</v>
      </c>
      <c r="H399" s="19" t="n">
        <v>13525</v>
      </c>
      <c r="I399" s="18">
        <f>G399*H399</f>
        <v/>
      </c>
      <c r="J399" s="11" t="n"/>
      <c r="K399" s="17" t="n"/>
      <c r="L399" s="16">
        <f>K399+C399</f>
        <v/>
      </c>
      <c r="M399" s="11" t="inlineStr">
        <is>
          <t>SM</t>
        </is>
      </c>
      <c r="N399" s="15" t="n"/>
      <c r="O399" s="14" t="n"/>
      <c r="P399" s="14" t="n"/>
      <c r="Q399" s="14" t="n"/>
      <c r="R399" s="14" t="n"/>
    </row>
    <row r="400" customFormat="1" s="34">
      <c r="A400" s="14" t="inlineStr">
        <is>
          <t>FM3198</t>
        </is>
      </c>
      <c r="B400" s="14" t="n"/>
      <c r="C400" s="13" t="n">
        <v>45817</v>
      </c>
      <c r="D400" s="12" t="inlineStr">
        <is>
          <t>Cash Sale</t>
        </is>
      </c>
      <c r="E400" s="14" t="inlineStr">
        <is>
          <t>HVAC PARTNERS PTY LTD</t>
        </is>
      </c>
      <c r="F400" s="14" t="inlineStr">
        <is>
          <t>Majax-3 315 Repaire</t>
        </is>
      </c>
      <c r="G400" s="20" t="n">
        <v>1</v>
      </c>
      <c r="H400" s="19" t="n">
        <v>3100</v>
      </c>
      <c r="I400" s="18">
        <f>G400*H400</f>
        <v/>
      </c>
      <c r="J400" s="11" t="n"/>
      <c r="K400" s="17" t="n"/>
      <c r="L400" s="16">
        <f>K400+C400</f>
        <v/>
      </c>
      <c r="M400" s="11" t="inlineStr">
        <is>
          <t>SM</t>
        </is>
      </c>
      <c r="N400" s="15" t="n"/>
      <c r="O400" s="14" t="n"/>
      <c r="P400" s="14" t="n"/>
      <c r="Q400" s="14" t="n"/>
      <c r="R400" s="14" t="n"/>
    </row>
    <row r="401" customFormat="1" s="34">
      <c r="A401" s="14" t="inlineStr">
        <is>
          <t>FM3199</t>
        </is>
      </c>
      <c r="B401" s="14" t="n"/>
      <c r="C401" s="13" t="n">
        <v>45817</v>
      </c>
      <c r="D401" s="12" t="inlineStr">
        <is>
          <t>PO7059</t>
        </is>
      </c>
      <c r="E401" s="14" t="inlineStr">
        <is>
          <t>LOJ Trade and Export (Pty) Ltd</t>
        </is>
      </c>
      <c r="F401" s="14" t="inlineStr">
        <is>
          <t>MAJAX-3 710Plate Mount c/w 4,00KW 4P 380V Form B</t>
        </is>
      </c>
      <c r="G401" s="20" t="n">
        <v>2</v>
      </c>
      <c r="H401" s="19" t="n">
        <v>29632</v>
      </c>
      <c r="I401" s="18">
        <f>G401*H401</f>
        <v/>
      </c>
      <c r="J401" s="11" t="n"/>
      <c r="K401" s="17" t="n"/>
      <c r="L401" s="16">
        <f>K401+C401</f>
        <v/>
      </c>
      <c r="M401" s="11" t="inlineStr">
        <is>
          <t>SM</t>
        </is>
      </c>
      <c r="N401" s="15" t="n"/>
      <c r="O401" s="14" t="n"/>
      <c r="P401" s="14" t="n"/>
      <c r="Q401" s="14" t="n"/>
      <c r="R401" s="14" t="n"/>
    </row>
    <row r="402" customFormat="1" s="34">
      <c r="A402" s="14" t="inlineStr">
        <is>
          <t>FM3200</t>
        </is>
      </c>
      <c r="B402" s="14" t="n"/>
      <c r="C402" s="13" t="n">
        <v>45817</v>
      </c>
      <c r="D402" s="12" t="inlineStr">
        <is>
          <t>PO7059</t>
        </is>
      </c>
      <c r="E402" s="14" t="inlineStr">
        <is>
          <t>LOJ Trade and Export (Pty) Ltd</t>
        </is>
      </c>
      <c r="F402" s="14" t="inlineStr">
        <is>
          <t>MAJAX-3 710Plate Mount c/w 4,00KW 4P 380V Form A</t>
        </is>
      </c>
      <c r="G402" s="20" t="n">
        <v>2</v>
      </c>
      <c r="H402" s="19" t="n">
        <v>29632</v>
      </c>
      <c r="I402" s="18">
        <f>G402*H402</f>
        <v/>
      </c>
      <c r="J402" s="11" t="n"/>
      <c r="K402" s="17" t="n"/>
      <c r="L402" s="16">
        <f>K402+C402</f>
        <v/>
      </c>
      <c r="M402" s="11" t="inlineStr">
        <is>
          <t>SM</t>
        </is>
      </c>
      <c r="N402" s="15" t="n"/>
      <c r="O402" s="14" t="n"/>
      <c r="P402" s="14" t="n"/>
      <c r="Q402" s="14" t="n"/>
      <c r="R402" s="14" t="n"/>
    </row>
    <row r="403" customFormat="1" s="34">
      <c r="A403" s="14" t="inlineStr">
        <is>
          <t>FM3201</t>
        </is>
      </c>
      <c r="B403" s="14" t="n"/>
      <c r="C403" s="13" t="n">
        <v>45817</v>
      </c>
      <c r="D403" s="12" t="inlineStr">
        <is>
          <t>PO7059</t>
        </is>
      </c>
      <c r="E403" s="14" t="inlineStr">
        <is>
          <t>Prexoz Engineering</t>
        </is>
      </c>
      <c r="F403" s="14" t="inlineStr">
        <is>
          <t>Box Fans</t>
        </is>
      </c>
      <c r="G403" s="20" t="n">
        <v>1</v>
      </c>
      <c r="H403" s="19" t="n">
        <v>7573</v>
      </c>
      <c r="I403" s="18">
        <f>G403*H403</f>
        <v/>
      </c>
      <c r="J403" s="11" t="n"/>
      <c r="K403" s="17" t="n"/>
      <c r="L403" s="16">
        <f>K403+C403</f>
        <v/>
      </c>
      <c r="M403" s="11" t="inlineStr">
        <is>
          <t>SM</t>
        </is>
      </c>
      <c r="N403" s="15" t="n"/>
      <c r="O403" s="14" t="n"/>
      <c r="P403" s="14" t="n"/>
      <c r="Q403" s="14" t="n"/>
      <c r="R403" s="14" t="n"/>
    </row>
    <row r="404" customFormat="1" s="34">
      <c r="A404" s="14" t="inlineStr">
        <is>
          <t>FM3202</t>
        </is>
      </c>
      <c r="B404" s="14" t="n"/>
      <c r="C404" s="13" t="n">
        <v>45819</v>
      </c>
      <c r="D404" s="12" t="inlineStr">
        <is>
          <t>Cash Sale</t>
        </is>
      </c>
      <c r="E404" s="14" t="inlineStr">
        <is>
          <t>Count Air Conditioning</t>
        </is>
      </c>
      <c r="F404" s="14" t="inlineStr">
        <is>
          <t>Impeller 500/150/10 A - Set Pitch 27DEG</t>
        </is>
      </c>
      <c r="G404" s="20" t="n">
        <v>1</v>
      </c>
      <c r="H404" s="19" t="n">
        <v>300</v>
      </c>
      <c r="I404" s="18">
        <f>G404*H404</f>
        <v/>
      </c>
      <c r="J404" s="11" t="n"/>
      <c r="K404" s="17" t="n"/>
      <c r="L404" s="16">
        <f>K404+C404</f>
        <v/>
      </c>
      <c r="M404" s="11" t="inlineStr">
        <is>
          <t>MT</t>
        </is>
      </c>
      <c r="N404" s="15" t="n"/>
      <c r="O404" s="14" t="n"/>
      <c r="P404" s="14" t="n"/>
      <c r="Q404" s="14" t="n"/>
      <c r="R404" s="14" t="n"/>
    </row>
    <row r="405" customFormat="1" s="34">
      <c r="A405" s="14" t="inlineStr">
        <is>
          <t>FM3203</t>
        </is>
      </c>
      <c r="B405" s="14" t="n"/>
      <c r="C405" s="13" t="n">
        <v>45819</v>
      </c>
      <c r="D405" s="12" t="inlineStr">
        <is>
          <t>PO2047</t>
        </is>
      </c>
      <c r="E405" s="14" t="inlineStr">
        <is>
          <t xml:space="preserve">Hucra Fans </t>
        </is>
      </c>
      <c r="F405" s="14" t="inlineStr">
        <is>
          <t xml:space="preserve">Vortice C2.5 Speed Controller </t>
        </is>
      </c>
      <c r="G405" s="20" t="n">
        <v>1</v>
      </c>
      <c r="H405" s="19" t="n">
        <v>1215</v>
      </c>
      <c r="I405" s="18">
        <f>G405*H405</f>
        <v/>
      </c>
      <c r="J405" s="11" t="n"/>
      <c r="K405" s="17" t="n"/>
      <c r="L405" s="16">
        <f>K405+C405</f>
        <v/>
      </c>
      <c r="M405" s="11" t="inlineStr">
        <is>
          <t>ZX</t>
        </is>
      </c>
      <c r="N405" s="15" t="n"/>
      <c r="O405" s="14" t="n"/>
      <c r="P405" s="14" t="n"/>
      <c r="Q405" s="14" t="n"/>
      <c r="R405" s="14" t="n"/>
    </row>
    <row r="406" customFormat="1" s="34">
      <c r="A406" s="14" t="inlineStr">
        <is>
          <t>FM3204</t>
        </is>
      </c>
      <c r="B406" s="14" t="n"/>
      <c r="C406" s="13" t="n">
        <v>45820</v>
      </c>
      <c r="D406" s="12" t="inlineStr">
        <is>
          <t>PO:SP731488</t>
        </is>
      </c>
      <c r="E406" s="14" t="inlineStr">
        <is>
          <t>Dteq</t>
        </is>
      </c>
      <c r="F406" s="14" t="inlineStr">
        <is>
          <t>BAF100 &amp; Grills</t>
        </is>
      </c>
      <c r="G406" s="20" t="n">
        <v>2</v>
      </c>
      <c r="H406" s="19" t="n">
        <v>1292</v>
      </c>
      <c r="I406" s="18" t="n">
        <v>1292</v>
      </c>
      <c r="J406" s="11" t="n"/>
      <c r="K406" s="17" t="n"/>
      <c r="L406" s="16">
        <f>K406+C406</f>
        <v/>
      </c>
      <c r="M406" s="11" t="inlineStr">
        <is>
          <t>MT</t>
        </is>
      </c>
      <c r="N406" s="15" t="n"/>
      <c r="O406" s="14" t="n"/>
      <c r="P406" s="14" t="n"/>
      <c r="Q406" s="14" t="n"/>
      <c r="R406" s="14" t="n"/>
    </row>
    <row r="407" customFormat="1" s="34">
      <c r="A407" s="14" t="inlineStr">
        <is>
          <t>FM3205</t>
        </is>
      </c>
      <c r="B407" s="14" t="n"/>
      <c r="C407" s="13" t="n">
        <v>45821</v>
      </c>
      <c r="D407" s="12" t="inlineStr">
        <is>
          <t>PC6/PO-3234</t>
        </is>
      </c>
      <c r="E407" s="14" t="inlineStr">
        <is>
          <t>Butec</t>
        </is>
      </c>
      <c r="F407" s="14" t="inlineStr">
        <is>
          <t>CE250</t>
        </is>
      </c>
      <c r="G407" s="20" t="n">
        <v>7</v>
      </c>
      <c r="H407" s="19" t="n">
        <v>450</v>
      </c>
      <c r="I407" s="18">
        <f>G407*H407</f>
        <v/>
      </c>
      <c r="J407" s="11" t="n"/>
      <c r="K407" s="17" t="n"/>
      <c r="L407" s="16">
        <f>K407+C407</f>
        <v/>
      </c>
      <c r="M407" s="11" t="inlineStr">
        <is>
          <t>MT</t>
        </is>
      </c>
      <c r="N407" s="15" t="n"/>
      <c r="O407" s="14" t="n"/>
      <c r="P407" s="14" t="n"/>
      <c r="Q407" s="14" t="n"/>
      <c r="R407" s="14" t="n"/>
    </row>
    <row r="408" customFormat="1" s="34">
      <c r="A408" s="14" t="inlineStr">
        <is>
          <t>FM3206</t>
        </is>
      </c>
      <c r="B408" s="14" t="n"/>
      <c r="C408" s="13" t="n">
        <v>45824</v>
      </c>
      <c r="D408" s="36" t="inlineStr">
        <is>
          <t>PO21644</t>
        </is>
      </c>
      <c r="E408" s="36" t="inlineStr">
        <is>
          <t>Bearing Services Lydenburg</t>
        </is>
      </c>
      <c r="F408" s="36" t="inlineStr">
        <is>
          <t>Majax 800 c/w 1.5kW 6Pole</t>
        </is>
      </c>
      <c r="G408" s="20" t="n">
        <v>10</v>
      </c>
      <c r="H408" s="19" t="n">
        <v>19320</v>
      </c>
      <c r="I408" s="18">
        <f>G408*H408</f>
        <v/>
      </c>
      <c r="J408" s="11" t="n"/>
      <c r="K408" s="17" t="n"/>
      <c r="L408" s="16">
        <f>K408+C408</f>
        <v/>
      </c>
      <c r="M408" s="11" t="inlineStr">
        <is>
          <t>ST</t>
        </is>
      </c>
      <c r="N408" s="15" t="n"/>
      <c r="O408" s="14" t="n"/>
      <c r="P408" s="14" t="n"/>
      <c r="Q408" s="14" t="n"/>
      <c r="R408" s="14" t="n"/>
    </row>
    <row r="409" customFormat="1" s="34">
      <c r="A409" s="14" t="inlineStr">
        <is>
          <t>FM3207</t>
        </is>
      </c>
      <c r="B409" s="14" t="n"/>
      <c r="C409" s="13" t="n">
        <v>45825</v>
      </c>
      <c r="D409" s="12" t="inlineStr">
        <is>
          <t>PO2049</t>
        </is>
      </c>
      <c r="E409" s="14" t="inlineStr">
        <is>
          <t xml:space="preserve">Hucra Fans </t>
        </is>
      </c>
      <c r="F409" s="14" t="inlineStr">
        <is>
          <t>CMP 820-4T</t>
        </is>
      </c>
      <c r="G409" s="20" t="n">
        <v>1</v>
      </c>
      <c r="H409" s="19" t="n">
        <v>7794</v>
      </c>
      <c r="I409" s="18">
        <f>G409*H409</f>
        <v/>
      </c>
      <c r="J409" s="11" t="n"/>
      <c r="K409" s="17" t="n"/>
      <c r="L409" s="16">
        <f>K409+C409</f>
        <v/>
      </c>
      <c r="M409" s="11" t="inlineStr">
        <is>
          <t>ZX</t>
        </is>
      </c>
      <c r="N409" s="15" t="n"/>
      <c r="O409" s="14" t="n"/>
      <c r="P409" s="14" t="n"/>
      <c r="Q409" s="14" t="n"/>
      <c r="R409" s="14" t="n"/>
    </row>
    <row r="410" customFormat="1" s="34">
      <c r="A410" s="14" t="inlineStr">
        <is>
          <t>FM3208</t>
        </is>
      </c>
      <c r="B410" s="14" t="n"/>
      <c r="C410" s="13" t="n">
        <v>45825</v>
      </c>
      <c r="D410" s="12" t="inlineStr">
        <is>
          <t>Cash Sale</t>
        </is>
      </c>
      <c r="E410" s="14" t="inlineStr">
        <is>
          <t>Gree Products SA pty Ltd</t>
        </is>
      </c>
      <c r="F410" s="14" t="inlineStr">
        <is>
          <t>315 2.0D Podded Attenuators, 710 and 800 Couter Flange</t>
        </is>
      </c>
      <c r="G410" s="20" t="n">
        <v>1</v>
      </c>
      <c r="H410" s="19" t="n">
        <v>6562</v>
      </c>
      <c r="I410" s="18">
        <f>G410*H410</f>
        <v/>
      </c>
      <c r="J410" s="11" t="n"/>
      <c r="K410" s="17" t="n"/>
      <c r="L410" s="16">
        <f>K410+C410</f>
        <v/>
      </c>
      <c r="M410" s="11" t="inlineStr">
        <is>
          <t>ST</t>
        </is>
      </c>
      <c r="N410" s="15" t="n"/>
      <c r="O410" s="14" t="n"/>
      <c r="P410" s="14" t="n"/>
      <c r="Q410" s="14" t="n"/>
      <c r="R410" s="14" t="n"/>
    </row>
    <row r="411" customFormat="1" s="34">
      <c r="A411" s="14" t="inlineStr">
        <is>
          <t>FM3209</t>
        </is>
      </c>
      <c r="B411" s="14" t="n"/>
      <c r="C411" s="13" t="n">
        <v>45826</v>
      </c>
      <c r="D411" s="23" t="inlineStr">
        <is>
          <t>PO0000632</t>
        </is>
      </c>
      <c r="E411" s="14" t="inlineStr">
        <is>
          <t>ATM TECH</t>
        </is>
      </c>
      <c r="F411" s="14" t="inlineStr">
        <is>
          <t>Majax1 965 c/w5.5 kw belt driven</t>
        </is>
      </c>
      <c r="G411" s="20" t="n">
        <v>1</v>
      </c>
      <c r="H411" s="19" t="n">
        <v>39143</v>
      </c>
      <c r="I411" s="18">
        <f>G411*H411</f>
        <v/>
      </c>
      <c r="J411" s="11" t="n"/>
      <c r="K411" s="17" t="n"/>
      <c r="L411" s="16">
        <f>K411+C411</f>
        <v/>
      </c>
      <c r="M411" s="11" t="inlineStr">
        <is>
          <t>MT</t>
        </is>
      </c>
      <c r="N411" s="15" t="n"/>
      <c r="O411" s="14" t="n"/>
      <c r="P411" s="14" t="n"/>
      <c r="Q411" s="14" t="n"/>
      <c r="R411" s="14" t="n"/>
    </row>
    <row r="412" customFormat="1" s="34">
      <c r="A412" s="14" t="inlineStr">
        <is>
          <t>FM3210</t>
        </is>
      </c>
      <c r="B412" s="14" t="n"/>
      <c r="C412" s="13" t="n">
        <v>45826</v>
      </c>
      <c r="D412" s="12" t="inlineStr">
        <is>
          <t>Cash Sale</t>
        </is>
      </c>
      <c r="E412" s="14" t="inlineStr">
        <is>
          <t>BTS Breezeair</t>
        </is>
      </c>
      <c r="F412" s="14" t="inlineStr">
        <is>
          <t>Boxed Fans</t>
        </is>
      </c>
      <c r="G412" s="20" t="n">
        <v>1</v>
      </c>
      <c r="H412" s="19" t="n">
        <v>67363</v>
      </c>
      <c r="I412" s="18">
        <f>G412*H412</f>
        <v/>
      </c>
      <c r="J412" s="11" t="n"/>
      <c r="K412" s="17" t="n"/>
      <c r="L412" s="16">
        <f>K412+C412</f>
        <v/>
      </c>
      <c r="M412" s="11" t="inlineStr">
        <is>
          <t>MT</t>
        </is>
      </c>
      <c r="N412" s="15" t="n"/>
      <c r="O412" s="14" t="n"/>
      <c r="P412" s="14" t="n"/>
      <c r="Q412" s="14" t="n"/>
      <c r="R412" s="14" t="n"/>
    </row>
    <row r="413" customFormat="1" s="34">
      <c r="A413" s="14" t="inlineStr">
        <is>
          <t>FM3211</t>
        </is>
      </c>
      <c r="B413" s="14" t="n"/>
      <c r="C413" s="13" t="n">
        <v>45826</v>
      </c>
      <c r="D413" s="12" t="inlineStr">
        <is>
          <t>PO:OA16182</t>
        </is>
      </c>
      <c r="E413" s="14" t="inlineStr">
        <is>
          <t>Optimal Air</t>
        </is>
      </c>
      <c r="F413" s="14" t="inlineStr">
        <is>
          <t>Maxflo 560/150/5 c/w3kw 2p 380V</t>
        </is>
      </c>
      <c r="G413" s="20" t="n">
        <v>2</v>
      </c>
      <c r="H413" s="19" t="n">
        <v>32986</v>
      </c>
      <c r="I413" s="18" t="n">
        <v>32986</v>
      </c>
      <c r="J413" s="11" t="n"/>
      <c r="K413" s="17" t="n"/>
      <c r="L413" s="16">
        <f>K413+C413</f>
        <v/>
      </c>
      <c r="M413" s="11" t="inlineStr">
        <is>
          <t>MT</t>
        </is>
      </c>
      <c r="N413" s="15" t="n"/>
      <c r="O413" s="14" t="n"/>
      <c r="P413" s="14" t="n"/>
      <c r="Q413" s="14" t="n"/>
      <c r="R413" s="14" t="n"/>
    </row>
    <row r="414" customFormat="1" s="34">
      <c r="A414" s="14" t="inlineStr">
        <is>
          <t>FM3212</t>
        </is>
      </c>
      <c r="B414" s="14" t="n"/>
      <c r="C414" s="13" t="n">
        <v>45827</v>
      </c>
      <c r="D414" s="12" t="inlineStr">
        <is>
          <t>PO:079759</t>
        </is>
      </c>
      <c r="E414" s="14" t="inlineStr">
        <is>
          <t>Total Comfort</t>
        </is>
      </c>
      <c r="F414" s="14" t="inlineStr">
        <is>
          <t>AT 15/15 SC2</t>
        </is>
      </c>
      <c r="G414" s="20" t="n">
        <v>1</v>
      </c>
      <c r="H414" s="19" t="n">
        <v>16812</v>
      </c>
      <c r="I414" s="18">
        <f>G414*H414</f>
        <v/>
      </c>
      <c r="J414" s="11" t="n"/>
      <c r="K414" s="17" t="n"/>
      <c r="L414" s="16">
        <f>K414+C414</f>
        <v/>
      </c>
      <c r="M414" s="11" t="inlineStr">
        <is>
          <t>SM</t>
        </is>
      </c>
      <c r="N414" s="15" t="n"/>
      <c r="O414" s="14" t="n"/>
      <c r="P414" s="14" t="n"/>
      <c r="Q414" s="14" t="n"/>
      <c r="R414" s="14" t="n"/>
    </row>
    <row r="415" customFormat="1" s="34">
      <c r="A415" s="14" t="inlineStr">
        <is>
          <t>FM3213</t>
        </is>
      </c>
      <c r="B415" s="14" t="n"/>
      <c r="C415" s="13" t="n">
        <v>45828</v>
      </c>
      <c r="D415" s="12" t="n"/>
      <c r="E415" s="14" t="inlineStr">
        <is>
          <t xml:space="preserve">Howden  </t>
        </is>
      </c>
      <c r="F415" s="14" t="inlineStr">
        <is>
          <t>Duct Assembly</t>
        </is>
      </c>
      <c r="G415" s="20" t="n">
        <v>5</v>
      </c>
      <c r="H415" s="19" t="n">
        <v>37864</v>
      </c>
      <c r="I415" s="18">
        <f>G415*H415</f>
        <v/>
      </c>
      <c r="J415" s="11" t="n"/>
      <c r="K415" s="17" t="n"/>
      <c r="L415" s="16">
        <f>K415+C415</f>
        <v/>
      </c>
      <c r="M415" s="11" t="inlineStr">
        <is>
          <t>ST</t>
        </is>
      </c>
      <c r="N415" s="15" t="n"/>
      <c r="O415" s="14" t="n"/>
      <c r="P415" s="14" t="n"/>
      <c r="Q415" s="14" t="n"/>
      <c r="R415" s="14" t="n"/>
    </row>
    <row r="416" customFormat="1" s="34">
      <c r="A416" s="14" t="inlineStr">
        <is>
          <t>FM3214</t>
        </is>
      </c>
      <c r="B416" s="14" t="n"/>
      <c r="C416" s="13" t="n">
        <v>45828</v>
      </c>
      <c r="D416" s="12" t="inlineStr">
        <is>
          <t>PC6/PO-3275</t>
        </is>
      </c>
      <c r="E416" s="14" t="inlineStr">
        <is>
          <t>Butec</t>
        </is>
      </c>
      <c r="F416" s="14" t="inlineStr">
        <is>
          <t>RAD150</t>
        </is>
      </c>
      <c r="G416" s="20" t="n">
        <v>1</v>
      </c>
      <c r="H416" s="19" t="n">
        <v>1453</v>
      </c>
      <c r="I416" s="18">
        <f>G416*H416</f>
        <v/>
      </c>
      <c r="J416" s="11" t="n"/>
      <c r="K416" s="17" t="n"/>
      <c r="L416" s="16">
        <f>K416+C416</f>
        <v/>
      </c>
      <c r="M416" s="11" t="inlineStr">
        <is>
          <t>MT</t>
        </is>
      </c>
      <c r="N416" s="15" t="n"/>
      <c r="O416" s="14" t="n"/>
      <c r="P416" s="14" t="n"/>
      <c r="Q416" s="14" t="n"/>
      <c r="R416" s="14" t="n"/>
    </row>
    <row r="417" customFormat="1" s="34">
      <c r="A417" s="14" t="inlineStr">
        <is>
          <t>FM3215</t>
        </is>
      </c>
      <c r="B417" s="14" t="n"/>
      <c r="C417" s="13" t="n">
        <v>45828</v>
      </c>
      <c r="D417" s="12" t="inlineStr">
        <is>
          <t>PO:OA16195</t>
        </is>
      </c>
      <c r="E417" s="14" t="inlineStr">
        <is>
          <t>Optimal Air</t>
        </is>
      </c>
      <c r="F417" s="14" t="inlineStr">
        <is>
          <t>Maxflo 315/150/10 c/w0.55kw2p 380v</t>
        </is>
      </c>
      <c r="G417" s="20" t="n">
        <v>1</v>
      </c>
      <c r="H417" s="19" t="n">
        <v>5075.74</v>
      </c>
      <c r="I417" s="18">
        <f>G417*H417</f>
        <v/>
      </c>
      <c r="J417" s="11" t="n"/>
      <c r="K417" s="17" t="n"/>
      <c r="L417" s="16">
        <f>K417+C417</f>
        <v/>
      </c>
      <c r="M417" s="11" t="inlineStr">
        <is>
          <t>MT</t>
        </is>
      </c>
      <c r="N417" s="15" t="n"/>
      <c r="O417" s="14" t="n"/>
      <c r="P417" s="14" t="n"/>
      <c r="Q417" s="14" t="n"/>
      <c r="R417" s="14" t="n"/>
    </row>
    <row r="418" customFormat="1" s="34">
      <c r="A418" s="14" t="inlineStr">
        <is>
          <t>FM3216</t>
        </is>
      </c>
      <c r="B418" s="14" t="n"/>
      <c r="C418" s="13" t="n">
        <v>45828</v>
      </c>
      <c r="D418" s="12" t="inlineStr">
        <is>
          <t>LAP2965-01 Cash sale</t>
        </is>
      </c>
      <c r="E418" s="14" t="inlineStr">
        <is>
          <t>Wito Plastics</t>
        </is>
      </c>
      <c r="F418" s="14" t="inlineStr">
        <is>
          <t>KAF200 &amp; 200 Attenuators</t>
        </is>
      </c>
      <c r="G418" s="20" t="n">
        <v>1</v>
      </c>
      <c r="H418" s="19" t="n">
        <v>4260</v>
      </c>
      <c r="I418" s="18">
        <f>G418*H418</f>
        <v/>
      </c>
      <c r="J418" s="11" t="n"/>
      <c r="K418" s="17" t="n"/>
      <c r="L418" s="16">
        <f>K418+C418</f>
        <v/>
      </c>
      <c r="M418" s="11" t="inlineStr">
        <is>
          <t>MT</t>
        </is>
      </c>
      <c r="N418" s="15" t="n"/>
      <c r="O418" s="14" t="n"/>
      <c r="P418" s="14" t="n"/>
      <c r="Q418" s="14" t="n"/>
      <c r="R418" s="14" t="n"/>
    </row>
    <row r="419" customFormat="1" s="34">
      <c r="A419" s="14" t="inlineStr">
        <is>
          <t>FM3217</t>
        </is>
      </c>
      <c r="B419" s="14" t="n"/>
      <c r="C419" s="13" t="n">
        <v>45828</v>
      </c>
      <c r="D419" s="12" t="inlineStr">
        <is>
          <t>Cash Sale</t>
        </is>
      </c>
      <c r="E419" s="14" t="inlineStr">
        <is>
          <t>Prexoz Engineering</t>
        </is>
      </c>
      <c r="F419" s="14" t="inlineStr">
        <is>
          <t>Lineo 250 &amp; 250 Attenuators</t>
        </is>
      </c>
      <c r="G419" s="20" t="n">
        <v>1</v>
      </c>
      <c r="H419" s="19" t="n">
        <v>6865.66</v>
      </c>
      <c r="I419" s="18">
        <f>G419*H419</f>
        <v/>
      </c>
      <c r="J419" s="11" t="n"/>
      <c r="K419" s="17" t="n"/>
      <c r="L419" s="16">
        <f>K419+C419</f>
        <v/>
      </c>
      <c r="M419" s="11" t="inlineStr">
        <is>
          <t>SM</t>
        </is>
      </c>
      <c r="N419" s="15" t="n"/>
      <c r="O419" s="14" t="n"/>
      <c r="P419" s="14" t="n"/>
      <c r="Q419" s="14" t="n"/>
      <c r="R419" s="14" t="n"/>
    </row>
    <row r="420" customFormat="1" s="34">
      <c r="A420" s="14" t="inlineStr">
        <is>
          <t>FM3218</t>
        </is>
      </c>
      <c r="B420" s="14" t="n"/>
      <c r="C420" s="13" t="n">
        <v>45831</v>
      </c>
      <c r="D420" s="12" t="inlineStr">
        <is>
          <t>PO:OA16205</t>
        </is>
      </c>
      <c r="E420" s="14" t="inlineStr">
        <is>
          <t>Optimal Air</t>
        </is>
      </c>
      <c r="F420" s="14" t="inlineStr">
        <is>
          <t>RAD315/ Accessories</t>
        </is>
      </c>
      <c r="G420" s="20" t="n">
        <v>1</v>
      </c>
      <c r="H420" s="19" t="n">
        <v>4820</v>
      </c>
      <c r="I420" s="18">
        <f>G420*H420</f>
        <v/>
      </c>
      <c r="J420" s="11" t="n"/>
      <c r="K420" s="17" t="n"/>
      <c r="L420" s="16">
        <f>K420+C420</f>
        <v/>
      </c>
      <c r="M420" s="11" t="inlineStr">
        <is>
          <t>MT</t>
        </is>
      </c>
      <c r="N420" s="15" t="n"/>
      <c r="O420" s="14" t="n"/>
      <c r="P420" s="14" t="n"/>
      <c r="Q420" s="14" t="n"/>
      <c r="R420" s="14" t="n"/>
    </row>
    <row r="421" customFormat="1" s="34">
      <c r="A421" s="14" t="inlineStr">
        <is>
          <t>FM3219</t>
        </is>
      </c>
      <c r="B421" s="14" t="n"/>
      <c r="C421" s="13" t="n">
        <v>45831</v>
      </c>
      <c r="D421" s="12" t="inlineStr">
        <is>
          <t>PC6/PO-3310</t>
        </is>
      </c>
      <c r="E421" s="14" t="inlineStr">
        <is>
          <t>Butec</t>
        </is>
      </c>
      <c r="F421" s="14" t="inlineStr">
        <is>
          <t>CE250</t>
        </is>
      </c>
      <c r="G421" s="20" t="n">
        <v>6</v>
      </c>
      <c r="H421" s="19" t="n">
        <v>429</v>
      </c>
      <c r="I421" s="18">
        <f>G421*H421</f>
        <v/>
      </c>
      <c r="J421" s="11" t="n"/>
      <c r="K421" s="17" t="n"/>
      <c r="L421" s="16">
        <f>K421+C421</f>
        <v/>
      </c>
      <c r="M421" s="11" t="inlineStr">
        <is>
          <t>MT</t>
        </is>
      </c>
      <c r="N421" s="15" t="n"/>
      <c r="O421" s="14" t="n"/>
      <c r="P421" s="14" t="n"/>
      <c r="Q421" s="14" t="n"/>
      <c r="R421" s="14" t="n"/>
    </row>
    <row r="422" customFormat="1" s="34">
      <c r="A422" s="14" t="inlineStr">
        <is>
          <t>FM3220</t>
        </is>
      </c>
      <c r="B422" s="14" t="n"/>
      <c r="C422" s="13" t="n">
        <v>45831</v>
      </c>
      <c r="D422" s="12" t="inlineStr">
        <is>
          <t>PO028698</t>
        </is>
      </c>
      <c r="E422" s="14" t="inlineStr">
        <is>
          <t>Atlas Air</t>
        </is>
      </c>
      <c r="F422" s="14" t="inlineStr">
        <is>
          <t>AT 15/15</t>
        </is>
      </c>
      <c r="G422" s="20" t="n">
        <v>1</v>
      </c>
      <c r="H422" s="19" t="n">
        <v>6150</v>
      </c>
      <c r="I422" s="18">
        <f>G422*H422</f>
        <v/>
      </c>
      <c r="J422" s="11" t="n"/>
      <c r="K422" s="17" t="n"/>
      <c r="L422" s="16">
        <f>K422+C422</f>
        <v/>
      </c>
      <c r="M422" s="11" t="inlineStr">
        <is>
          <t>MT</t>
        </is>
      </c>
      <c r="N422" s="15" t="n"/>
      <c r="O422" s="14" t="n"/>
      <c r="P422" s="14" t="n"/>
      <c r="Q422" s="14" t="n"/>
      <c r="R422" s="14" t="n"/>
    </row>
    <row r="423" customFormat="1" s="34">
      <c r="A423" s="14" t="inlineStr">
        <is>
          <t>FM3221</t>
        </is>
      </c>
      <c r="B423" s="14" t="n"/>
      <c r="C423" s="13" t="n">
        <v>45831</v>
      </c>
      <c r="D423" s="12" t="n">
        <v>205176</v>
      </c>
      <c r="E423" s="14" t="inlineStr">
        <is>
          <t>Kenmare</t>
        </is>
      </c>
      <c r="F423" s="14" t="inlineStr">
        <is>
          <t>SCL K10-MS MOR 11Kw</t>
        </is>
      </c>
      <c r="G423" s="20" t="n">
        <v>1</v>
      </c>
      <c r="H423" s="19" t="n">
        <v>97489</v>
      </c>
      <c r="I423" s="18">
        <f>G423*H423</f>
        <v/>
      </c>
      <c r="J423" s="11" t="n"/>
      <c r="K423" s="17" t="n"/>
      <c r="L423" s="16">
        <f>K423+C423</f>
        <v/>
      </c>
      <c r="M423" s="11" t="inlineStr">
        <is>
          <t>ST</t>
        </is>
      </c>
      <c r="N423" s="15" t="n"/>
      <c r="O423" s="14" t="n"/>
      <c r="P423" s="14" t="n"/>
      <c r="Q423" s="14" t="n"/>
      <c r="R423" s="14" t="n"/>
    </row>
    <row r="424" customFormat="1" s="34">
      <c r="A424" s="14" t="inlineStr">
        <is>
          <t>FM3222</t>
        </is>
      </c>
      <c r="B424" s="14" t="n"/>
      <c r="C424" s="13" t="n">
        <v>45831</v>
      </c>
      <c r="D424" s="12" t="inlineStr">
        <is>
          <t>PO115904</t>
        </is>
      </c>
      <c r="E424" s="14" t="inlineStr">
        <is>
          <t>Boleng</t>
        </is>
      </c>
      <c r="F424" s="14" t="inlineStr">
        <is>
          <t>Maxflo 560 c/w1.5kw 4P 380V &amp;Accessories</t>
        </is>
      </c>
      <c r="G424" s="20" t="n">
        <v>1</v>
      </c>
      <c r="H424" s="19" t="n">
        <v>17130.59</v>
      </c>
      <c r="I424" s="18" t="n">
        <v>17130.59</v>
      </c>
      <c r="J424" s="11" t="n"/>
      <c r="K424" s="17" t="n"/>
      <c r="L424" s="16">
        <f>K424+C424</f>
        <v/>
      </c>
      <c r="M424" s="11" t="inlineStr">
        <is>
          <t>MT</t>
        </is>
      </c>
      <c r="N424" s="15" t="n"/>
      <c r="O424" s="14" t="n"/>
      <c r="P424" s="14" t="n"/>
      <c r="Q424" s="14" t="n"/>
      <c r="R424" s="14" t="n"/>
    </row>
    <row r="425" customFormat="1" s="34">
      <c r="A425" s="14" t="inlineStr">
        <is>
          <t>FM3223</t>
        </is>
      </c>
      <c r="B425" s="14" t="n"/>
      <c r="C425" s="13" t="n">
        <v>45832</v>
      </c>
      <c r="D425" s="12" t="n">
        <v>22086</v>
      </c>
      <c r="E425" s="14" t="inlineStr">
        <is>
          <t>National Industrial Supplies</t>
        </is>
      </c>
      <c r="F425" s="14" t="inlineStr">
        <is>
          <t>CMP 616-2T 525V</t>
        </is>
      </c>
      <c r="G425" s="20" t="n">
        <v>4</v>
      </c>
      <c r="H425" s="19" t="n">
        <v>11961.29</v>
      </c>
      <c r="I425" s="18">
        <f>G425*H425</f>
        <v/>
      </c>
      <c r="J425" s="11" t="n"/>
      <c r="K425" s="17" t="n"/>
      <c r="L425" s="16">
        <f>K425+C425</f>
        <v/>
      </c>
      <c r="M425" s="11" t="inlineStr">
        <is>
          <t>ST</t>
        </is>
      </c>
      <c r="N425" s="15" t="n"/>
      <c r="O425" s="14" t="n"/>
      <c r="P425" s="14" t="n"/>
      <c r="Q425" s="14" t="n"/>
      <c r="R425" s="14" t="n"/>
    </row>
    <row r="426" customFormat="1" s="34">
      <c r="A426" s="14" t="inlineStr">
        <is>
          <t>FM3224</t>
        </is>
      </c>
      <c r="B426" s="14" t="n"/>
      <c r="C426" s="13" t="n">
        <v>45833</v>
      </c>
      <c r="D426" s="12" t="inlineStr">
        <is>
          <t>PO804072</t>
        </is>
      </c>
      <c r="E426" s="14" t="inlineStr">
        <is>
          <t>Bi-tron Technical Services</t>
        </is>
      </c>
      <c r="F426" s="14" t="inlineStr">
        <is>
          <t>CA 250 VO</t>
        </is>
      </c>
      <c r="G426" s="20" t="n">
        <v>1</v>
      </c>
      <c r="H426" s="19" t="n">
        <v>5453</v>
      </c>
      <c r="I426" s="18">
        <f>G426*H426</f>
        <v/>
      </c>
      <c r="J426" s="11" t="n"/>
      <c r="K426" s="17" t="n"/>
      <c r="L426" s="16">
        <f>K426+C426</f>
        <v/>
      </c>
      <c r="M426" s="11" t="inlineStr">
        <is>
          <t>ST</t>
        </is>
      </c>
      <c r="N426" s="15" t="n"/>
      <c r="O426" s="14" t="n"/>
      <c r="P426" s="14" t="n"/>
      <c r="Q426" s="14" t="n"/>
      <c r="R426" s="14" t="n"/>
    </row>
    <row r="427" customFormat="1" s="34">
      <c r="A427" s="14" t="inlineStr">
        <is>
          <t>FM3225</t>
        </is>
      </c>
      <c r="B427" s="14" t="n"/>
      <c r="C427" s="13" t="n">
        <v>45833</v>
      </c>
      <c r="D427" s="12" t="inlineStr">
        <is>
          <t>Cash Sale</t>
        </is>
      </c>
      <c r="E427" s="14" t="inlineStr">
        <is>
          <t>Cash Sale</t>
        </is>
      </c>
      <c r="F427" s="14" t="inlineStr">
        <is>
          <t>RAD 315 &amp; 315 Diam Tube Silencers</t>
        </is>
      </c>
      <c r="G427" s="20" t="n">
        <v>6</v>
      </c>
      <c r="H427" s="19" t="n">
        <v>1691.333</v>
      </c>
      <c r="I427" s="18">
        <f>G427*H427</f>
        <v/>
      </c>
      <c r="J427" s="11" t="n"/>
      <c r="K427" s="17" t="n"/>
      <c r="L427" s="16">
        <f>K427+C427</f>
        <v/>
      </c>
      <c r="M427" s="11" t="inlineStr">
        <is>
          <t>SM</t>
        </is>
      </c>
      <c r="N427" s="15" t="n"/>
      <c r="O427" s="14" t="n"/>
      <c r="P427" s="14" t="n"/>
      <c r="Q427" s="14" t="n"/>
      <c r="R427" s="14" t="n"/>
    </row>
    <row r="428" customFormat="1" s="34">
      <c r="A428" s="14" t="inlineStr">
        <is>
          <t>FM3226</t>
        </is>
      </c>
      <c r="B428" s="14" t="n"/>
      <c r="C428" s="13" t="n">
        <v>45833</v>
      </c>
      <c r="D428" s="12" t="inlineStr">
        <is>
          <t>PO052956</t>
        </is>
      </c>
      <c r="E428" s="14" t="inlineStr">
        <is>
          <t>Airetronic</t>
        </is>
      </c>
      <c r="F428" s="14" t="inlineStr">
        <is>
          <t>M 100/4 Window Mount Extract and fixed Grill</t>
        </is>
      </c>
      <c r="G428" s="20" t="n">
        <v>1</v>
      </c>
      <c r="H428" s="19" t="n">
        <v>1506</v>
      </c>
      <c r="I428" s="18">
        <f>G428*H428</f>
        <v/>
      </c>
      <c r="J428" s="11" t="n"/>
      <c r="K428" s="17" t="n"/>
      <c r="L428" s="16">
        <f>K428+C428</f>
        <v/>
      </c>
      <c r="M428" s="11" t="inlineStr">
        <is>
          <t>SM</t>
        </is>
      </c>
      <c r="N428" s="15" t="n"/>
      <c r="O428" s="14" t="n"/>
      <c r="P428" s="14" t="n"/>
      <c r="Q428" s="14" t="n"/>
      <c r="R428" s="14" t="n"/>
    </row>
    <row r="429" customFormat="1" s="34">
      <c r="A429" s="14" t="inlineStr">
        <is>
          <t>FM3227</t>
        </is>
      </c>
      <c r="B429" s="14" t="n"/>
      <c r="C429" s="13" t="n">
        <v>45833</v>
      </c>
      <c r="D429" s="12" t="inlineStr">
        <is>
          <t>Cash Sale</t>
        </is>
      </c>
      <c r="E429" s="14" t="inlineStr">
        <is>
          <t>Lynx Motorsport</t>
        </is>
      </c>
      <c r="F429" s="14" t="inlineStr">
        <is>
          <t>M150/6 Motor</t>
        </is>
      </c>
      <c r="G429" s="20" t="n">
        <v>1</v>
      </c>
      <c r="H429" s="19" t="n">
        <v>1299</v>
      </c>
      <c r="I429" s="18">
        <f>G429*H429</f>
        <v/>
      </c>
      <c r="J429" s="11" t="n"/>
      <c r="K429" s="17" t="n"/>
      <c r="L429" s="16">
        <f>K429+C429</f>
        <v/>
      </c>
      <c r="M429" s="11" t="inlineStr">
        <is>
          <t>ST</t>
        </is>
      </c>
      <c r="N429" s="15" t="n"/>
      <c r="O429" s="14" t="n"/>
      <c r="P429" s="14" t="n"/>
      <c r="Q429" s="14" t="n"/>
      <c r="R429" s="14" t="n"/>
    </row>
    <row r="430" customFormat="1" s="34">
      <c r="A430" s="14" t="inlineStr">
        <is>
          <t>FM3228</t>
        </is>
      </c>
      <c r="B430" s="14" t="n"/>
      <c r="C430" s="13" t="n">
        <v>45833</v>
      </c>
      <c r="D430" s="12" t="inlineStr">
        <is>
          <t>DAI/2025/29001</t>
        </is>
      </c>
      <c r="E430" s="14" t="inlineStr">
        <is>
          <t>GMN Trading Enterprise</t>
        </is>
      </c>
      <c r="F430" s="14" t="inlineStr">
        <is>
          <t>Maxflo 560 c/w1.5kw 4P 380V</t>
        </is>
      </c>
      <c r="G430" s="20" t="n">
        <v>1</v>
      </c>
      <c r="H430" s="19" t="n">
        <v>9564</v>
      </c>
      <c r="I430" s="18">
        <f>G430*H430</f>
        <v/>
      </c>
      <c r="J430" s="11" t="n"/>
      <c r="K430" s="17" t="n"/>
      <c r="L430" s="16">
        <f>K430+C430</f>
        <v/>
      </c>
      <c r="M430" s="11" t="inlineStr">
        <is>
          <t>SM</t>
        </is>
      </c>
      <c r="N430" s="15" t="n"/>
      <c r="O430" s="14" t="n"/>
      <c r="P430" s="14" t="n"/>
      <c r="Q430" s="14" t="n"/>
      <c r="R430" s="14" t="n"/>
    </row>
    <row r="431" customFormat="1" s="34">
      <c r="A431" s="14" t="inlineStr">
        <is>
          <t>FM3229</t>
        </is>
      </c>
      <c r="B431" s="14" t="n"/>
      <c r="C431" s="13" t="n">
        <v>45833</v>
      </c>
      <c r="D431" s="12" t="inlineStr">
        <is>
          <t>cash Sale</t>
        </is>
      </c>
      <c r="E431" s="14" t="inlineStr">
        <is>
          <t xml:space="preserve">Global Cooling </t>
        </is>
      </c>
      <c r="F431" s="14" t="inlineStr">
        <is>
          <t>RAD 250</t>
        </is>
      </c>
      <c r="G431" s="20" t="n">
        <v>1</v>
      </c>
      <c r="H431" s="19" t="n">
        <v>3620</v>
      </c>
      <c r="I431" s="18">
        <f>G431*H431</f>
        <v/>
      </c>
      <c r="J431" s="11" t="n"/>
      <c r="K431" s="17" t="n"/>
      <c r="L431" s="16">
        <f>K431+C431</f>
        <v/>
      </c>
      <c r="M431" s="11" t="inlineStr">
        <is>
          <t>SM</t>
        </is>
      </c>
      <c r="N431" s="15" t="n"/>
      <c r="O431" s="14" t="n"/>
      <c r="P431" s="14" t="n"/>
      <c r="Q431" s="14" t="n"/>
      <c r="R431" s="14" t="n"/>
    </row>
    <row r="432" customFormat="1" s="34">
      <c r="A432" s="14" t="inlineStr">
        <is>
          <t>FM3230</t>
        </is>
      </c>
      <c r="B432" s="14" t="n"/>
      <c r="C432" s="13" t="n">
        <v>45834</v>
      </c>
      <c r="D432" s="12" t="inlineStr">
        <is>
          <t>Cash sale</t>
        </is>
      </c>
      <c r="E432" s="14" t="inlineStr">
        <is>
          <t>Breezeair Technical Service</t>
        </is>
      </c>
      <c r="F432" s="14" t="inlineStr">
        <is>
          <t>Maxflo 900/250/14 c/w 4kw 4P 380V</t>
        </is>
      </c>
      <c r="G432" s="20" t="n">
        <v>1</v>
      </c>
      <c r="H432" s="19" t="n">
        <v>14405</v>
      </c>
      <c r="I432" s="18">
        <f>G432*H432</f>
        <v/>
      </c>
      <c r="J432" s="11" t="n"/>
      <c r="K432" s="17" t="n"/>
      <c r="L432" s="16">
        <f>K432+C432</f>
        <v/>
      </c>
      <c r="M432" s="11" t="inlineStr">
        <is>
          <t>MT</t>
        </is>
      </c>
      <c r="N432" s="15" t="n"/>
      <c r="O432" s="14" t="n"/>
      <c r="P432" s="14" t="n"/>
      <c r="Q432" s="14" t="n"/>
      <c r="R432" s="14" t="n"/>
    </row>
    <row r="433" customFormat="1" s="34">
      <c r="A433" s="14" t="inlineStr">
        <is>
          <t>FM3231</t>
        </is>
      </c>
      <c r="B433" s="14" t="n"/>
      <c r="C433" s="13" t="n">
        <v>45834</v>
      </c>
      <c r="D433" s="12" t="inlineStr">
        <is>
          <t>PO2055</t>
        </is>
      </c>
      <c r="E433" s="14" t="inlineStr">
        <is>
          <t xml:space="preserve">Hucra Fans </t>
        </is>
      </c>
      <c r="F433" s="14" t="inlineStr">
        <is>
          <t>AT 12/12 SC</t>
        </is>
      </c>
      <c r="G433" s="20" t="n">
        <v>1</v>
      </c>
      <c r="H433" s="19" t="n">
        <v>5073</v>
      </c>
      <c r="I433" s="18">
        <f>G433*H433</f>
        <v/>
      </c>
      <c r="J433" s="11" t="n"/>
      <c r="K433" s="17" t="n"/>
      <c r="L433" s="16">
        <f>K433+C433</f>
        <v/>
      </c>
      <c r="M433" s="11" t="inlineStr">
        <is>
          <t>ZX</t>
        </is>
      </c>
      <c r="N433" s="15" t="n"/>
      <c r="O433" s="14" t="n"/>
      <c r="P433" s="14" t="n"/>
      <c r="Q433" s="14" t="n"/>
      <c r="R433" s="14" t="n"/>
    </row>
    <row r="434" customFormat="1" s="34">
      <c r="A434" s="14" t="inlineStr">
        <is>
          <t>FM3232</t>
        </is>
      </c>
      <c r="B434" s="14" t="n"/>
      <c r="C434" s="13" t="n">
        <v>45834</v>
      </c>
      <c r="D434" s="12" t="inlineStr">
        <is>
          <t>AAP 441/66</t>
        </is>
      </c>
      <c r="E434" s="14" t="inlineStr">
        <is>
          <t xml:space="preserve">Ar Azul </t>
        </is>
      </c>
      <c r="F434" s="14" t="inlineStr">
        <is>
          <t>AT 18/18 SC</t>
        </is>
      </c>
      <c r="G434" s="20" t="n">
        <v>5</v>
      </c>
      <c r="H434" s="19" t="n">
        <v>28376.52</v>
      </c>
      <c r="I434" s="18">
        <f>G434*H434</f>
        <v/>
      </c>
      <c r="J434" s="11" t="n"/>
      <c r="K434" s="17" t="n"/>
      <c r="L434" s="16">
        <f>K434+C434</f>
        <v/>
      </c>
      <c r="M434" s="11" t="inlineStr">
        <is>
          <t>SM</t>
        </is>
      </c>
      <c r="N434" s="15" t="n"/>
      <c r="O434" s="14" t="n"/>
      <c r="P434" s="14" t="n"/>
      <c r="Q434" s="14" t="n"/>
      <c r="R434" s="14" t="n"/>
    </row>
    <row r="435" customFormat="1" s="34">
      <c r="A435" s="14" t="inlineStr">
        <is>
          <t>FM3233</t>
        </is>
      </c>
      <c r="B435" s="14" t="n"/>
      <c r="C435" s="13" t="n">
        <v>45834</v>
      </c>
      <c r="D435" s="12" t="inlineStr">
        <is>
          <t>PO:OA16245</t>
        </is>
      </c>
      <c r="E435" s="14" t="inlineStr">
        <is>
          <t>Optimal Air</t>
        </is>
      </c>
      <c r="F435" s="14" t="inlineStr">
        <is>
          <t>RAD 200 &amp; 315 &amp;Accessories</t>
        </is>
      </c>
      <c r="G435" s="20" t="n">
        <v>3</v>
      </c>
      <c r="H435" s="19" t="n">
        <v>9004</v>
      </c>
      <c r="I435" s="18" t="n">
        <v>9004</v>
      </c>
      <c r="J435" s="11" t="n"/>
      <c r="K435" s="17" t="n"/>
      <c r="L435" s="16">
        <f>K435+C435</f>
        <v/>
      </c>
      <c r="M435" s="11" t="inlineStr">
        <is>
          <t>MT</t>
        </is>
      </c>
      <c r="N435" s="15" t="n"/>
      <c r="O435" s="14" t="n"/>
      <c r="P435" s="14" t="n"/>
      <c r="Q435" s="14" t="n"/>
      <c r="R435" s="14" t="n"/>
    </row>
    <row r="436" customFormat="1" s="34">
      <c r="A436" s="14" t="inlineStr">
        <is>
          <t>FM3234</t>
        </is>
      </c>
      <c r="B436" s="14" t="n"/>
      <c r="C436" s="13" t="n">
        <v>45835</v>
      </c>
      <c r="D436" s="12" t="inlineStr">
        <is>
          <t>Cash Sale</t>
        </is>
      </c>
      <c r="E436" s="14" t="inlineStr">
        <is>
          <t>Mega Winds</t>
        </is>
      </c>
      <c r="F436" s="14" t="inlineStr">
        <is>
          <t>CMP 514 2T</t>
        </is>
      </c>
      <c r="G436" s="20" t="n">
        <v>1</v>
      </c>
      <c r="H436" s="19" t="n">
        <v>6158</v>
      </c>
      <c r="I436" s="18">
        <f>G436*H436</f>
        <v/>
      </c>
      <c r="J436" s="11" t="n"/>
      <c r="K436" s="17" t="n"/>
      <c r="L436" s="16">
        <f>K436+C436</f>
        <v/>
      </c>
      <c r="M436" s="11" t="inlineStr">
        <is>
          <t>SM</t>
        </is>
      </c>
      <c r="N436" s="15" t="n"/>
      <c r="O436" s="14" t="n"/>
      <c r="P436" s="14" t="n"/>
      <c r="Q436" s="14" t="n"/>
      <c r="R436" s="14" t="n"/>
    </row>
    <row r="437" customFormat="1" s="34">
      <c r="A437" s="14" t="inlineStr">
        <is>
          <t>FM3235</t>
        </is>
      </c>
      <c r="B437" s="14" t="n"/>
      <c r="C437" s="13" t="n">
        <v>45835</v>
      </c>
      <c r="D437" s="12" t="inlineStr">
        <is>
          <t>POA10035</t>
        </is>
      </c>
      <c r="E437" s="14" t="inlineStr">
        <is>
          <t>Compu Cool</t>
        </is>
      </c>
      <c r="F437" s="14" t="inlineStr">
        <is>
          <t>RAD 200 &amp; Accessories</t>
        </is>
      </c>
      <c r="G437" s="20" t="n">
        <v>1</v>
      </c>
      <c r="H437" s="19" t="n">
        <v>3575</v>
      </c>
      <c r="I437" s="18">
        <f>G437*H437</f>
        <v/>
      </c>
      <c r="J437" s="11" t="n"/>
      <c r="K437" s="17" t="n"/>
      <c r="L437" s="16">
        <f>K437+C437</f>
        <v/>
      </c>
      <c r="M437" s="11" t="inlineStr">
        <is>
          <t>MT</t>
        </is>
      </c>
      <c r="N437" s="15" t="n"/>
      <c r="O437" s="14" t="n"/>
      <c r="P437" s="14" t="n"/>
      <c r="Q437" s="14" t="n"/>
      <c r="R437" s="14" t="n"/>
    </row>
    <row r="438" customFormat="1" s="34">
      <c r="A438" s="14" t="inlineStr">
        <is>
          <t>FM3236</t>
        </is>
      </c>
      <c r="B438" s="14" t="n"/>
      <c r="C438" s="13" t="n">
        <v>45835</v>
      </c>
      <c r="D438" s="23" t="inlineStr">
        <is>
          <t>Cash Sale</t>
        </is>
      </c>
      <c r="E438" s="14" t="inlineStr">
        <is>
          <t>Jaft Aircon</t>
        </is>
      </c>
      <c r="F438" s="14" t="inlineStr">
        <is>
          <t>maxflo710/250/14 1.1kw 4P 380V</t>
        </is>
      </c>
      <c r="G438" s="20" t="n">
        <v>1</v>
      </c>
      <c r="H438" s="19" t="n">
        <v>9116</v>
      </c>
      <c r="I438" s="18">
        <f>G438*H438</f>
        <v/>
      </c>
      <c r="J438" s="11" t="n"/>
      <c r="K438" s="17" t="n"/>
      <c r="L438" s="16">
        <f>K438+C438</f>
        <v/>
      </c>
      <c r="M438" s="11" t="inlineStr">
        <is>
          <t>MT</t>
        </is>
      </c>
      <c r="N438" s="15" t="n"/>
      <c r="O438" s="14" t="n"/>
      <c r="P438" s="14" t="n"/>
      <c r="Q438" s="14" t="n"/>
      <c r="R438" s="14" t="n"/>
    </row>
    <row r="439" customFormat="1" s="34">
      <c r="A439" s="14" t="inlineStr">
        <is>
          <t>FM3237</t>
        </is>
      </c>
      <c r="B439" s="14" t="n"/>
      <c r="C439" s="13" t="n">
        <v>45835</v>
      </c>
      <c r="D439" s="12" t="inlineStr">
        <is>
          <t>PO2056</t>
        </is>
      </c>
      <c r="E439" s="14" t="inlineStr">
        <is>
          <t xml:space="preserve">Hucra Fans </t>
        </is>
      </c>
      <c r="F439" s="14" t="inlineStr">
        <is>
          <t>CF9 - FPZ Filter Element 4inch</t>
        </is>
      </c>
      <c r="G439" s="20" t="n">
        <v>2</v>
      </c>
      <c r="H439" s="19" t="n">
        <v>1116</v>
      </c>
      <c r="I439" s="18">
        <f>G439*H439</f>
        <v/>
      </c>
      <c r="J439" s="11" t="n"/>
      <c r="K439" s="17" t="n"/>
      <c r="L439" s="16">
        <f>K439+C439</f>
        <v/>
      </c>
      <c r="M439" s="11" t="inlineStr">
        <is>
          <t>ZX</t>
        </is>
      </c>
      <c r="N439" s="15" t="n"/>
      <c r="O439" s="14" t="n"/>
      <c r="P439" s="14" t="n"/>
      <c r="Q439" s="14" t="n"/>
      <c r="R439" s="14" t="n"/>
    </row>
    <row r="440" customFormat="1" s="34">
      <c r="A440" s="14" t="inlineStr">
        <is>
          <t>FM3238</t>
        </is>
      </c>
      <c r="B440" s="14" t="n"/>
      <c r="C440" s="13" t="n">
        <v>45835</v>
      </c>
      <c r="D440" s="12" t="inlineStr">
        <is>
          <t>PC6/PO-3396</t>
        </is>
      </c>
      <c r="E440" s="14" t="inlineStr">
        <is>
          <t>Butec</t>
        </is>
      </c>
      <c r="F440" s="14" t="inlineStr">
        <is>
          <t>Various Fans</t>
        </is>
      </c>
      <c r="G440" s="20" t="n">
        <v>1</v>
      </c>
      <c r="H440" s="19" t="n">
        <v>138704</v>
      </c>
      <c r="I440" s="18" t="n">
        <v>138704</v>
      </c>
      <c r="J440" s="11" t="n"/>
      <c r="K440" s="17" t="n"/>
      <c r="L440" s="16">
        <f>K440+C440</f>
        <v/>
      </c>
      <c r="M440" s="11" t="inlineStr">
        <is>
          <t>MT</t>
        </is>
      </c>
      <c r="N440" s="15" t="n"/>
      <c r="O440" s="14" t="n"/>
      <c r="P440" s="14" t="n"/>
      <c r="Q440" s="14" t="n"/>
      <c r="R440" s="14" t="n"/>
    </row>
    <row r="441" customFormat="1" s="34">
      <c r="A441" s="14" t="inlineStr">
        <is>
          <t>FM3239</t>
        </is>
      </c>
      <c r="B441" s="14" t="n"/>
      <c r="C441" s="13" t="n">
        <v>45835</v>
      </c>
      <c r="D441" s="12" t="n"/>
      <c r="E441" s="14" t="inlineStr">
        <is>
          <t>Arctic Air</t>
        </is>
      </c>
      <c r="F441" s="14" t="inlineStr">
        <is>
          <t>Various Fans</t>
        </is>
      </c>
      <c r="G441" s="20" t="n">
        <v>1</v>
      </c>
      <c r="H441" s="19" t="n">
        <v>22349.29</v>
      </c>
      <c r="I441" s="18">
        <f>G441*H441</f>
        <v/>
      </c>
      <c r="J441" s="11" t="n"/>
      <c r="K441" s="17" t="n"/>
      <c r="L441" s="16">
        <f>K441+C441</f>
        <v/>
      </c>
      <c r="M441" s="11" t="inlineStr">
        <is>
          <t>MT</t>
        </is>
      </c>
      <c r="N441" s="15" t="n"/>
      <c r="O441" s="14" t="n"/>
      <c r="P441" s="14" t="n"/>
      <c r="Q441" s="14" t="n"/>
      <c r="R441" s="14" t="n"/>
    </row>
    <row r="442" customFormat="1" s="34">
      <c r="A442" s="14" t="inlineStr">
        <is>
          <t>FM3240</t>
        </is>
      </c>
      <c r="B442" s="14" t="n"/>
      <c r="C442" s="13" t="n">
        <v>45838</v>
      </c>
      <c r="D442" s="12" t="inlineStr">
        <is>
          <t>PO 4240</t>
        </is>
      </c>
      <c r="E442" s="14" t="inlineStr">
        <is>
          <t>Air Speration</t>
        </is>
      </c>
      <c r="F442" s="14" t="inlineStr">
        <is>
          <t>Tiracamino - Vortice Chimney Extractor Fan 230V</t>
        </is>
      </c>
      <c r="G442" s="20" t="n">
        <v>1</v>
      </c>
      <c r="H442" s="19" t="n">
        <v>11876</v>
      </c>
      <c r="I442" s="18">
        <f>G442*H442</f>
        <v/>
      </c>
      <c r="J442" s="11" t="n"/>
      <c r="K442" s="17" t="n"/>
      <c r="L442" s="16">
        <f>K442+C442</f>
        <v/>
      </c>
      <c r="M442" s="11" t="inlineStr">
        <is>
          <t>MT</t>
        </is>
      </c>
      <c r="N442" s="15" t="n"/>
      <c r="O442" s="14" t="n"/>
      <c r="P442" s="14" t="n"/>
      <c r="Q442" s="14" t="n"/>
      <c r="R442" s="14" t="n"/>
    </row>
    <row r="443" customFormat="1" s="34">
      <c r="A443" s="14" t="inlineStr">
        <is>
          <t>FM3241</t>
        </is>
      </c>
      <c r="B443" s="14" t="n"/>
      <c r="C443" s="13" t="n">
        <v>45838</v>
      </c>
      <c r="D443" s="12" t="inlineStr">
        <is>
          <t>Cash Sale</t>
        </is>
      </c>
      <c r="E443" s="14" t="inlineStr">
        <is>
          <t>Kusasa Electrical solutions</t>
        </is>
      </c>
      <c r="F443" s="14" t="inlineStr">
        <is>
          <t>HCDF-50-4T Flameproof &amp; Louvre Shutter Alum. 18</t>
        </is>
      </c>
      <c r="G443" s="20" t="n">
        <v>1</v>
      </c>
      <c r="H443" s="19" t="n">
        <v>36807</v>
      </c>
      <c r="I443" s="18">
        <f>G443*H443</f>
        <v/>
      </c>
      <c r="J443" s="11" t="n"/>
      <c r="K443" s="17" t="n"/>
      <c r="L443" s="16">
        <f>K443+C443</f>
        <v/>
      </c>
      <c r="M443" s="11" t="inlineStr">
        <is>
          <t>SM</t>
        </is>
      </c>
      <c r="N443" s="15" t="n"/>
      <c r="O443" s="14" t="n"/>
      <c r="P443" s="14" t="n"/>
      <c r="Q443" s="14" t="n"/>
      <c r="R443" s="14" t="n"/>
    </row>
    <row r="444" customFormat="1" s="34">
      <c r="A444" s="14" t="inlineStr">
        <is>
          <t>FM3242</t>
        </is>
      </c>
      <c r="B444" s="14" t="n"/>
      <c r="C444" s="13" t="n">
        <v>45839</v>
      </c>
      <c r="D444" s="12" t="inlineStr">
        <is>
          <t>PO0000209</t>
        </is>
      </c>
      <c r="E444" s="14" t="inlineStr">
        <is>
          <t>HVAC PARTNERS PTY LTD</t>
        </is>
      </c>
      <c r="F444" s="14" t="inlineStr">
        <is>
          <t>500S2.0DP - 500 Diam Silencer 2.0DPodded</t>
        </is>
      </c>
      <c r="G444" s="20" t="n">
        <v>8</v>
      </c>
      <c r="H444" s="19" t="n">
        <v>3115</v>
      </c>
      <c r="I444" s="18">
        <f>G444*H444</f>
        <v/>
      </c>
      <c r="J444" s="11" t="n"/>
      <c r="K444" s="17" t="n"/>
      <c r="L444" s="16">
        <f>K444+C444</f>
        <v/>
      </c>
      <c r="M444" s="11" t="inlineStr">
        <is>
          <t>SM</t>
        </is>
      </c>
      <c r="N444" s="15" t="n"/>
      <c r="O444" s="14" t="n"/>
      <c r="P444" s="14" t="n"/>
      <c r="Q444" s="14" t="n"/>
      <c r="R444" s="14" t="n"/>
    </row>
    <row r="445" customFormat="1" s="34">
      <c r="A445" s="14" t="inlineStr">
        <is>
          <t>FM3243</t>
        </is>
      </c>
      <c r="B445" s="14" t="n"/>
      <c r="C445" s="13" t="n">
        <v>45839</v>
      </c>
      <c r="D445" s="12" t="inlineStr">
        <is>
          <t>PO0000019</t>
        </is>
      </c>
      <c r="E445" s="14" t="inlineStr">
        <is>
          <t>Gree Products SA pty Ltd</t>
        </is>
      </c>
      <c r="F445" s="14" t="inlineStr">
        <is>
          <t>Box Fans</t>
        </is>
      </c>
      <c r="G445" s="20" t="n">
        <v>1</v>
      </c>
      <c r="H445" s="19" t="n">
        <v>166597</v>
      </c>
      <c r="I445" s="18">
        <f>G445*H445</f>
        <v/>
      </c>
      <c r="J445" s="11" t="n"/>
      <c r="K445" s="17" t="n"/>
      <c r="L445" s="16">
        <f>K445+C445</f>
        <v/>
      </c>
      <c r="M445" s="11" t="inlineStr">
        <is>
          <t>SM</t>
        </is>
      </c>
      <c r="N445" s="15" t="n"/>
      <c r="O445" s="14" t="n"/>
      <c r="P445" s="14" t="n"/>
      <c r="Q445" s="14" t="n"/>
      <c r="R445" s="14" t="n"/>
    </row>
    <row r="446" customFormat="1" s="34">
      <c r="A446" s="14" t="inlineStr">
        <is>
          <t>FM3244</t>
        </is>
      </c>
      <c r="B446" s="14" t="n"/>
      <c r="C446" s="13" t="n">
        <v>45839</v>
      </c>
      <c r="D446" s="12" t="inlineStr">
        <is>
          <t>PO2059</t>
        </is>
      </c>
      <c r="E446" s="14" t="inlineStr">
        <is>
          <t xml:space="preserve">Hucra Fans </t>
        </is>
      </c>
      <c r="F446" s="14" t="inlineStr">
        <is>
          <t>V230/9 AR LLS</t>
        </is>
      </c>
      <c r="G446" s="20" t="n">
        <v>1</v>
      </c>
      <c r="H446" s="19" t="n">
        <v>4061</v>
      </c>
      <c r="I446" s="18">
        <f>G446*H446</f>
        <v/>
      </c>
      <c r="J446" s="11" t="n"/>
      <c r="K446" s="17" t="n"/>
      <c r="L446" s="16">
        <f>K446+C446</f>
        <v/>
      </c>
      <c r="M446" s="11" t="inlineStr">
        <is>
          <t>ZX</t>
        </is>
      </c>
      <c r="N446" s="15" t="n"/>
      <c r="O446" s="14" t="n"/>
      <c r="P446" s="14" t="n"/>
      <c r="Q446" s="14" t="n"/>
      <c r="R446" s="14" t="n"/>
    </row>
    <row r="447" customFormat="1" s="34">
      <c r="A447" s="14" t="inlineStr">
        <is>
          <t>FM3245</t>
        </is>
      </c>
      <c r="B447" s="14" t="n"/>
      <c r="C447" s="13" t="n">
        <v>45839</v>
      </c>
      <c r="D447" s="12" t="n">
        <v>205364</v>
      </c>
      <c r="E447" s="14" t="inlineStr">
        <is>
          <t>Kenmare</t>
        </is>
      </c>
      <c r="F447" s="14" t="inlineStr">
        <is>
          <t>K11 TD - 22KW</t>
        </is>
      </c>
      <c r="G447" s="20" t="n">
        <v>1</v>
      </c>
      <c r="H447" s="19" t="n">
        <v>245978</v>
      </c>
      <c r="I447" s="18">
        <f>G447*H447</f>
        <v/>
      </c>
      <c r="J447" s="11" t="n"/>
      <c r="K447" s="17" t="n"/>
      <c r="L447" s="16">
        <f>K447+C447</f>
        <v/>
      </c>
      <c r="M447" s="11" t="inlineStr">
        <is>
          <t>ST</t>
        </is>
      </c>
      <c r="N447" s="15" t="n"/>
      <c r="O447" s="14" t="n"/>
      <c r="P447" s="14" t="n"/>
      <c r="Q447" s="14" t="n"/>
      <c r="R447" s="14" t="n"/>
    </row>
    <row r="448" customFormat="1" s="34">
      <c r="A448" s="30" t="inlineStr">
        <is>
          <t>FM3246</t>
        </is>
      </c>
      <c r="B448" s="30" t="n"/>
      <c r="C448" s="32" t="n">
        <v>45839</v>
      </c>
      <c r="D448" s="31" t="inlineStr">
        <is>
          <t>PO0000134</t>
        </is>
      </c>
      <c r="E448" s="30" t="inlineStr">
        <is>
          <t>HVAC PARTNERS PTY LTD</t>
        </is>
      </c>
      <c r="F448" s="30" t="inlineStr">
        <is>
          <t>560 Dia Silencer 2.0D Podded</t>
        </is>
      </c>
      <c r="G448" s="29" t="n">
        <v>2</v>
      </c>
      <c r="H448" s="19" t="n">
        <v>4084</v>
      </c>
      <c r="I448" s="18">
        <f>G448*H448</f>
        <v/>
      </c>
      <c r="J448" s="11" t="n"/>
      <c r="K448" s="17" t="n"/>
      <c r="L448" s="16">
        <f>K448+C448</f>
        <v/>
      </c>
      <c r="M448" s="11" t="inlineStr">
        <is>
          <t>SM</t>
        </is>
      </c>
      <c r="N448" s="15" t="n"/>
      <c r="O448" s="14" t="n"/>
      <c r="P448" s="14" t="n"/>
      <c r="Q448" s="14" t="n"/>
      <c r="R448" s="14" t="n"/>
    </row>
    <row r="449" ht="16.35" customFormat="1" customHeight="1" s="34">
      <c r="A449" s="30" t="inlineStr">
        <is>
          <t>FM3247</t>
        </is>
      </c>
      <c r="B449" s="30" t="n"/>
      <c r="C449" s="32" t="n">
        <v>45839</v>
      </c>
      <c r="D449" s="31" t="inlineStr">
        <is>
          <t>PO0000134</t>
        </is>
      </c>
      <c r="E449" s="30" t="inlineStr">
        <is>
          <t>HVAC PARTNERS PTY LTD</t>
        </is>
      </c>
      <c r="F449" s="35" t="inlineStr">
        <is>
          <t>MT5600374 - MAJAX-3 560 c/w 0,37KW 4P380V(FA03/ICC/FR) + Acc</t>
        </is>
      </c>
      <c r="G449" s="29" t="n">
        <v>1</v>
      </c>
      <c r="H449" s="19" t="n">
        <v>17818</v>
      </c>
      <c r="I449" s="18">
        <f>G449*H449</f>
        <v/>
      </c>
      <c r="J449" s="11" t="n"/>
      <c r="K449" s="17" t="n"/>
      <c r="L449" s="16">
        <f>K449+C449</f>
        <v/>
      </c>
      <c r="M449" s="11" t="inlineStr">
        <is>
          <t>SM</t>
        </is>
      </c>
      <c r="N449" s="15" t="n"/>
      <c r="O449" s="14" t="n"/>
      <c r="P449" s="14" t="n"/>
      <c r="Q449" s="14" t="n"/>
      <c r="R449" s="14" t="n"/>
    </row>
    <row r="450" ht="16.35" customFormat="1" customHeight="1" s="34">
      <c r="A450" s="30" t="inlineStr">
        <is>
          <t>FM3248</t>
        </is>
      </c>
      <c r="B450" s="30" t="n"/>
      <c r="C450" s="32" t="n">
        <v>45839</v>
      </c>
      <c r="D450" s="31" t="inlineStr">
        <is>
          <t>PO0000134</t>
        </is>
      </c>
      <c r="E450" s="30" t="inlineStr">
        <is>
          <t>HVAC PARTNERS PTY LTD</t>
        </is>
      </c>
      <c r="F450" s="35" t="inlineStr">
        <is>
          <t>MT5000374 - MAJAX-3 500 c/w 0,37KW 4P380V(FA04/ICC/FR) + Acc</t>
        </is>
      </c>
      <c r="G450" s="29" t="n">
        <v>1</v>
      </c>
      <c r="H450" s="19" t="n">
        <v>15865.9</v>
      </c>
      <c r="I450" s="18">
        <f>G450*H450</f>
        <v/>
      </c>
      <c r="J450" s="11" t="n"/>
      <c r="K450" s="17" t="n"/>
      <c r="L450" s="16">
        <f>K450+C450</f>
        <v/>
      </c>
      <c r="M450" s="11" t="inlineStr">
        <is>
          <t>SM</t>
        </is>
      </c>
      <c r="N450" s="15" t="n"/>
      <c r="O450" s="14" t="n"/>
      <c r="P450" s="14" t="n"/>
      <c r="Q450" s="14" t="n"/>
      <c r="R450" s="14" t="n"/>
    </row>
    <row r="451" ht="16.35" customFormat="1" customHeight="1" s="34">
      <c r="A451" s="30" t="inlineStr">
        <is>
          <t>FM3249</t>
        </is>
      </c>
      <c r="B451" s="30" t="n"/>
      <c r="C451" s="32" t="n">
        <v>45839</v>
      </c>
      <c r="D451" s="31" t="inlineStr">
        <is>
          <t>PO0000134</t>
        </is>
      </c>
      <c r="E451" s="30" t="inlineStr">
        <is>
          <t>HVAC PARTNERS PTY LTD</t>
        </is>
      </c>
      <c r="F451" s="30" t="inlineStr">
        <is>
          <t>560 Dia Silencer 2.0D Podded (FA04/ICC/FR) + CF , MF &amp; AVMs</t>
        </is>
      </c>
      <c r="G451" s="29" t="n">
        <v>1</v>
      </c>
      <c r="H451" s="19" t="n">
        <v>8252</v>
      </c>
      <c r="I451" s="18">
        <f>G451*H451</f>
        <v/>
      </c>
      <c r="J451" s="11" t="n"/>
      <c r="K451" s="17" t="n"/>
      <c r="L451" s="16">
        <f>K451+C451</f>
        <v/>
      </c>
      <c r="M451" s="11" t="inlineStr">
        <is>
          <t>SM</t>
        </is>
      </c>
      <c r="N451" s="15" t="n"/>
      <c r="O451" s="14" t="n"/>
      <c r="P451" s="14" t="n"/>
      <c r="Q451" s="14" t="n"/>
      <c r="R451" s="14" t="n"/>
    </row>
    <row r="452" ht="16.35" customFormat="1" customHeight="1" s="34">
      <c r="A452" s="30" t="inlineStr">
        <is>
          <t>FM3250</t>
        </is>
      </c>
      <c r="B452" s="30" t="n"/>
      <c r="C452" s="32" t="n">
        <v>45839</v>
      </c>
      <c r="D452" s="31" t="inlineStr">
        <is>
          <t>PO0000134</t>
        </is>
      </c>
      <c r="E452" s="30" t="inlineStr">
        <is>
          <t>HVAC PARTNERS PTY LTD</t>
        </is>
      </c>
      <c r="F452" s="35" t="inlineStr">
        <is>
          <t>MT5600374 - MAJAX-3 560 c/w 0,75KW 4P380V(FA03/ICC/FR) + Acc</t>
        </is>
      </c>
      <c r="G452" s="29" t="n">
        <v>1</v>
      </c>
      <c r="H452" s="19">
        <f>13052+8168+794+1036+560</f>
        <v/>
      </c>
      <c r="I452" s="18">
        <f>G452*H452</f>
        <v/>
      </c>
      <c r="J452" s="11" t="n"/>
      <c r="K452" s="17" t="n"/>
      <c r="L452" s="16">
        <f>K452+C452</f>
        <v/>
      </c>
      <c r="M452" s="11" t="inlineStr">
        <is>
          <t>SM</t>
        </is>
      </c>
      <c r="N452" s="15" t="n"/>
      <c r="O452" s="14" t="n"/>
      <c r="P452" s="14" t="n"/>
      <c r="Q452" s="14" t="n"/>
      <c r="R452" s="14" t="n"/>
    </row>
    <row r="453" customFormat="1" s="34">
      <c r="A453" s="30" t="inlineStr">
        <is>
          <t>FM3251</t>
        </is>
      </c>
      <c r="B453" s="30" t="n"/>
      <c r="C453" s="32" t="n">
        <v>45839</v>
      </c>
      <c r="D453" s="31" t="inlineStr">
        <is>
          <t>PO0000134</t>
        </is>
      </c>
      <c r="E453" s="30" t="inlineStr">
        <is>
          <t>HVAC PARTNERS PTY LTD</t>
        </is>
      </c>
      <c r="F453" s="30" t="inlineStr">
        <is>
          <t>Fumax 630 c/w 1.1 KW 4P 380V + Acc</t>
        </is>
      </c>
      <c r="G453" s="29" t="n">
        <v>1</v>
      </c>
      <c r="H453" s="19">
        <f>16332.74+10000+886+1040+800</f>
        <v/>
      </c>
      <c r="I453" s="18">
        <f>G453*H453</f>
        <v/>
      </c>
      <c r="J453" s="11" t="n"/>
      <c r="K453" s="17" t="n"/>
      <c r="L453" s="16">
        <f>K453+C453</f>
        <v/>
      </c>
      <c r="M453" s="11" t="inlineStr">
        <is>
          <t>SM</t>
        </is>
      </c>
      <c r="N453" s="15" t="n"/>
      <c r="O453" s="14" t="n"/>
      <c r="P453" s="14" t="n"/>
      <c r="Q453" s="14" t="n"/>
      <c r="R453" s="14" t="n"/>
    </row>
    <row r="454" customFormat="1" s="34">
      <c r="A454" s="30" t="inlineStr">
        <is>
          <t>FM3252</t>
        </is>
      </c>
      <c r="B454" s="30" t="n"/>
      <c r="C454" s="32" t="n">
        <v>45839</v>
      </c>
      <c r="D454" s="31" t="inlineStr">
        <is>
          <t>PO0000134</t>
        </is>
      </c>
      <c r="E454" s="30" t="inlineStr">
        <is>
          <t>HVAC PARTNERS PTY LTD</t>
        </is>
      </c>
      <c r="F454" s="30" t="inlineStr">
        <is>
          <t>500 Dia Silencer 2.0D Podded (FA04/ICC/FR) + CF , MF &amp; AVMs</t>
        </is>
      </c>
      <c r="G454" s="29" t="n">
        <v>1</v>
      </c>
      <c r="H454" s="19">
        <f>6230+542+920</f>
        <v/>
      </c>
      <c r="I454" s="18">
        <f>G454*H454</f>
        <v/>
      </c>
      <c r="J454" s="11" t="n"/>
      <c r="K454" s="17" t="n"/>
      <c r="L454" s="16">
        <f>K454+C454</f>
        <v/>
      </c>
      <c r="M454" s="11" t="inlineStr">
        <is>
          <t>SM</t>
        </is>
      </c>
      <c r="N454" s="15" t="n"/>
      <c r="O454" s="14" t="n"/>
      <c r="P454" s="14" t="n"/>
      <c r="Q454" s="14" t="n"/>
      <c r="R454" s="14" t="n"/>
    </row>
    <row r="455" customFormat="1" s="34">
      <c r="A455" s="30" t="inlineStr">
        <is>
          <t>FM3253</t>
        </is>
      </c>
      <c r="B455" s="30" t="n"/>
      <c r="C455" s="32" t="n">
        <v>45839</v>
      </c>
      <c r="D455" s="31" t="inlineStr">
        <is>
          <t>PO0000134</t>
        </is>
      </c>
      <c r="E455" s="30" t="inlineStr">
        <is>
          <t>HVAC PARTNERS PTY LTD</t>
        </is>
      </c>
      <c r="F455" s="30" t="inlineStr">
        <is>
          <t>500 Dia Silencer 2.0D Podded (FA04/ICC/FR) + CF , MF &amp; AVMs</t>
        </is>
      </c>
      <c r="G455" s="29" t="n">
        <v>1</v>
      </c>
      <c r="H455" s="19">
        <f>6230+542+920</f>
        <v/>
      </c>
      <c r="I455" s="18">
        <f>G455*H455</f>
        <v/>
      </c>
      <c r="J455" s="11" t="n"/>
      <c r="K455" s="17" t="n"/>
      <c r="L455" s="16">
        <f>K455+C455</f>
        <v/>
      </c>
      <c r="M455" s="11" t="inlineStr">
        <is>
          <t>SM</t>
        </is>
      </c>
      <c r="N455" s="15" t="n"/>
      <c r="O455" s="14" t="n"/>
      <c r="P455" s="14" t="n"/>
      <c r="Q455" s="14" t="n"/>
      <c r="R455" s="14" t="n"/>
    </row>
    <row r="456" ht="16.35" customFormat="1" customHeight="1" s="34">
      <c r="A456" s="30" t="inlineStr">
        <is>
          <t>FM3254</t>
        </is>
      </c>
      <c r="B456" s="30" t="n"/>
      <c r="C456" s="32" t="n">
        <v>45839</v>
      </c>
      <c r="D456" s="31" t="inlineStr">
        <is>
          <t>PO0000134</t>
        </is>
      </c>
      <c r="E456" s="30" t="inlineStr">
        <is>
          <t>HVAC PARTNERS PTY LTD</t>
        </is>
      </c>
      <c r="F456" s="35" t="inlineStr">
        <is>
          <t>MT5000374 - MAJAX-3 500 c/w 1.1KW 2P380V(FA04/ICC/FR) + Acc</t>
        </is>
      </c>
      <c r="G456" s="29" t="n">
        <v>1</v>
      </c>
      <c r="H456" s="19" t="n">
        <v>12922</v>
      </c>
      <c r="I456" s="18">
        <f>G456*H456</f>
        <v/>
      </c>
      <c r="J456" s="11" t="n"/>
      <c r="K456" s="17" t="n"/>
      <c r="L456" s="16">
        <f>K456+C456</f>
        <v/>
      </c>
      <c r="M456" s="11" t="inlineStr">
        <is>
          <t>SM</t>
        </is>
      </c>
      <c r="N456" s="15" t="n"/>
      <c r="O456" s="14" t="n"/>
      <c r="P456" s="14" t="n"/>
      <c r="Q456" s="14" t="n"/>
      <c r="R456" s="14" t="n"/>
    </row>
    <row r="457" ht="16.35" customFormat="1" customHeight="1" s="34">
      <c r="A457" s="30" t="inlineStr">
        <is>
          <t>FM3255</t>
        </is>
      </c>
      <c r="B457" s="30" t="n"/>
      <c r="C457" s="32" t="n">
        <v>45839</v>
      </c>
      <c r="D457" s="31" t="inlineStr">
        <is>
          <t>PO0000134</t>
        </is>
      </c>
      <c r="E457" s="30" t="inlineStr">
        <is>
          <t>HVAC PARTNERS PTY LTD</t>
        </is>
      </c>
      <c r="F457" s="35" t="inlineStr">
        <is>
          <t>MT5000374 - MAJAX-3 500 c/w 1.5KW 2P380V(FA04/ICC/FR) + Acc</t>
        </is>
      </c>
      <c r="G457" s="29" t="n">
        <v>1</v>
      </c>
      <c r="H457" s="19" t="n">
        <v>16635</v>
      </c>
      <c r="I457" s="18">
        <f>G457*H457</f>
        <v/>
      </c>
      <c r="J457" s="11" t="n"/>
      <c r="K457" s="17" t="n"/>
      <c r="L457" s="16">
        <f>K457+C457</f>
        <v/>
      </c>
      <c r="M457" s="11" t="inlineStr">
        <is>
          <t>SM</t>
        </is>
      </c>
      <c r="N457" s="15" t="n"/>
      <c r="O457" s="14" t="n"/>
      <c r="P457" s="14" t="n"/>
      <c r="Q457" s="14" t="n"/>
      <c r="R457" s="14" t="n"/>
    </row>
    <row r="458" customFormat="1" s="34">
      <c r="A458" s="14" t="inlineStr">
        <is>
          <t>FM3256</t>
        </is>
      </c>
      <c r="B458" s="14" t="n"/>
      <c r="C458" s="13" t="n">
        <v>45839</v>
      </c>
      <c r="D458" s="12" t="n"/>
      <c r="E458" s="14" t="inlineStr">
        <is>
          <t>Mpumalanga Duct</t>
        </is>
      </c>
      <c r="F458" s="14" t="inlineStr">
        <is>
          <t xml:space="preserve">Fumax Motor 5.5kW </t>
        </is>
      </c>
      <c r="G458" s="20" t="n">
        <v>3</v>
      </c>
      <c r="H458" s="19" t="n">
        <v>16520</v>
      </c>
      <c r="I458" s="18">
        <f>G458*H458</f>
        <v/>
      </c>
      <c r="J458" s="11" t="n"/>
      <c r="K458" s="17" t="n"/>
      <c r="L458" s="16">
        <f>K458+C458</f>
        <v/>
      </c>
      <c r="M458" s="11" t="inlineStr">
        <is>
          <t>ST</t>
        </is>
      </c>
      <c r="N458" s="15" t="n"/>
      <c r="O458" s="14" t="n"/>
      <c r="P458" s="14" t="n"/>
      <c r="Q458" s="14" t="n"/>
      <c r="R458" s="14" t="n"/>
    </row>
    <row r="459" customFormat="1" s="34">
      <c r="A459" s="14" t="inlineStr">
        <is>
          <t>FM3257</t>
        </is>
      </c>
      <c r="B459" s="14" t="n"/>
      <c r="C459" s="13" t="n">
        <v>45839</v>
      </c>
      <c r="D459" s="12" t="inlineStr">
        <is>
          <t>PO101080</t>
        </is>
      </c>
      <c r="E459" s="14" t="inlineStr">
        <is>
          <t>JAMARMIC PUMP AND VALVE</t>
        </is>
      </c>
      <c r="F459" s="14" t="inlineStr">
        <is>
          <t>Impeller 710  - Set Pitch 28DEG</t>
        </is>
      </c>
      <c r="G459" s="20" t="n">
        <v>1</v>
      </c>
      <c r="H459" s="19" t="n">
        <v>3077</v>
      </c>
      <c r="I459" s="18">
        <f>G459*H459</f>
        <v/>
      </c>
      <c r="J459" s="11" t="n"/>
      <c r="K459" s="17" t="n"/>
      <c r="L459" s="16">
        <f>K459+C459</f>
        <v/>
      </c>
      <c r="M459" s="11" t="inlineStr">
        <is>
          <t>SM</t>
        </is>
      </c>
      <c r="N459" s="15" t="n"/>
      <c r="O459" s="14" t="n"/>
      <c r="P459" s="14" t="n"/>
      <c r="Q459" s="14" t="n"/>
      <c r="R459" s="14" t="n"/>
    </row>
    <row r="460" customFormat="1" s="34">
      <c r="A460" s="14" t="inlineStr">
        <is>
          <t>FM3258</t>
        </is>
      </c>
      <c r="B460" s="14" t="n"/>
      <c r="C460" s="13" t="n">
        <v>45839</v>
      </c>
      <c r="D460" s="12" t="inlineStr">
        <is>
          <t>Cash Sale</t>
        </is>
      </c>
      <c r="E460" s="14" t="inlineStr">
        <is>
          <t>Prexoz(Pty) Ltd</t>
        </is>
      </c>
      <c r="F460" s="14" t="inlineStr">
        <is>
          <t>BD 12/12 1.1KW 6P + DD 9/9 300W 4P</t>
        </is>
      </c>
      <c r="G460" s="20" t="n">
        <v>1</v>
      </c>
      <c r="H460" s="19" t="n">
        <v>23256.54</v>
      </c>
      <c r="I460" s="18">
        <f>G460*H460</f>
        <v/>
      </c>
      <c r="J460" s="11" t="n"/>
      <c r="K460" s="17" t="n"/>
      <c r="L460" s="16">
        <f>K460+C460</f>
        <v/>
      </c>
      <c r="M460" s="11" t="inlineStr">
        <is>
          <t>SM</t>
        </is>
      </c>
      <c r="N460" s="15" t="n"/>
      <c r="O460" s="14" t="n"/>
      <c r="P460" s="14" t="n"/>
      <c r="Q460" s="14" t="n"/>
      <c r="R460" s="14" t="n"/>
    </row>
    <row r="461" customFormat="1" s="34">
      <c r="A461" s="14" t="inlineStr">
        <is>
          <t>FM3259</t>
        </is>
      </c>
      <c r="B461" s="14" t="n"/>
      <c r="C461" s="13" t="n">
        <v>45840</v>
      </c>
      <c r="D461" s="12" t="inlineStr">
        <is>
          <t>Cash Sale</t>
        </is>
      </c>
      <c r="E461" s="14" t="inlineStr">
        <is>
          <t>Wax Comple Tech Projects</t>
        </is>
      </c>
      <c r="F461" s="14" t="inlineStr">
        <is>
          <t>Boxed Fans</t>
        </is>
      </c>
      <c r="G461" s="20" t="n">
        <v>1</v>
      </c>
      <c r="H461" s="19" t="n">
        <v>3052</v>
      </c>
      <c r="I461" s="18">
        <f>G461*H461</f>
        <v/>
      </c>
      <c r="J461" s="11" t="n"/>
      <c r="K461" s="17" t="n"/>
      <c r="L461" s="16">
        <f>K461+C461</f>
        <v/>
      </c>
      <c r="M461" s="11" t="inlineStr">
        <is>
          <t>SM</t>
        </is>
      </c>
      <c r="N461" s="15" t="n"/>
      <c r="O461" s="14" t="n"/>
      <c r="P461" s="14" t="n"/>
      <c r="Q461" s="14" t="n"/>
      <c r="R461" s="14" t="n"/>
    </row>
    <row r="462" customFormat="1" s="34">
      <c r="A462" s="14" t="inlineStr">
        <is>
          <t>FM3260</t>
        </is>
      </c>
      <c r="B462" s="14" t="n"/>
      <c r="C462" s="13" t="n">
        <v>45840</v>
      </c>
      <c r="D462" s="12" t="inlineStr">
        <is>
          <t>Cash Sale</t>
        </is>
      </c>
      <c r="E462" s="14" t="inlineStr">
        <is>
          <t>Wax Comple Tech Projects</t>
        </is>
      </c>
      <c r="F462" s="14" t="inlineStr">
        <is>
          <t>Maxflo 400 c/w 1.5kW 2p</t>
        </is>
      </c>
      <c r="G462" s="20" t="n">
        <v>1</v>
      </c>
      <c r="H462" s="19" t="n"/>
      <c r="I462" s="18">
        <f>G462*H462</f>
        <v/>
      </c>
      <c r="J462" s="11" t="n"/>
      <c r="K462" s="17" t="n"/>
      <c r="L462" s="16">
        <f>K462+C462</f>
        <v/>
      </c>
      <c r="M462" s="11" t="inlineStr">
        <is>
          <t>SM</t>
        </is>
      </c>
      <c r="N462" s="15" t="n"/>
      <c r="O462" s="14" t="n"/>
      <c r="P462" s="14" t="n"/>
      <c r="Q462" s="14" t="n"/>
      <c r="R462" s="14" t="n"/>
    </row>
    <row r="463" customFormat="1" s="34">
      <c r="A463" s="14" t="inlineStr">
        <is>
          <t>FM3261</t>
        </is>
      </c>
      <c r="B463" s="14" t="n"/>
      <c r="C463" s="13" t="n">
        <v>45840</v>
      </c>
      <c r="D463" s="12" t="inlineStr">
        <is>
          <t>Cash Sale</t>
        </is>
      </c>
      <c r="E463" s="14" t="inlineStr">
        <is>
          <t>Wax Comple Tech Projects</t>
        </is>
      </c>
      <c r="F463" s="14" t="inlineStr">
        <is>
          <t>Maxflo 800 c/w 3kW</t>
        </is>
      </c>
      <c r="G463" s="20" t="n">
        <v>1</v>
      </c>
      <c r="H463" s="19" t="n"/>
      <c r="I463" s="18">
        <f>G463*H463</f>
        <v/>
      </c>
      <c r="J463" s="11" t="n"/>
      <c r="K463" s="17" t="n"/>
      <c r="L463" s="16">
        <f>K463+C463</f>
        <v/>
      </c>
      <c r="M463" s="11" t="inlineStr">
        <is>
          <t>SM</t>
        </is>
      </c>
      <c r="N463" s="15" t="n"/>
      <c r="O463" s="14" t="n"/>
      <c r="P463" s="14" t="n"/>
      <c r="Q463" s="14" t="n"/>
      <c r="R463" s="14" t="n"/>
    </row>
    <row r="464" customFormat="1" s="34">
      <c r="A464" s="14" t="inlineStr">
        <is>
          <t>FM3262</t>
        </is>
      </c>
      <c r="B464" s="14" t="n"/>
      <c r="C464" s="13" t="n">
        <v>45840</v>
      </c>
      <c r="D464" s="12" t="inlineStr">
        <is>
          <t>Cash Sale</t>
        </is>
      </c>
      <c r="E464" s="14" t="inlineStr">
        <is>
          <t>Global Cooling Air</t>
        </is>
      </c>
      <c r="F464" s="14" t="inlineStr">
        <is>
          <t>Majax-2 315 0.55KW 2P 230V &amp; Accessories</t>
        </is>
      </c>
      <c r="G464" s="20" t="n">
        <v>1</v>
      </c>
      <c r="H464" s="19" t="n">
        <v>9838</v>
      </c>
      <c r="I464" s="18">
        <f>G464*H464</f>
        <v/>
      </c>
      <c r="J464" s="11" t="n"/>
      <c r="K464" s="17" t="n"/>
      <c r="L464" s="16">
        <f>K464+C464</f>
        <v/>
      </c>
      <c r="M464" s="11" t="inlineStr">
        <is>
          <t>SM</t>
        </is>
      </c>
      <c r="N464" s="15" t="n"/>
      <c r="O464" s="14" t="n"/>
      <c r="P464" s="14" t="n"/>
      <c r="Q464" s="14" t="n"/>
      <c r="R464" s="14" t="n"/>
    </row>
    <row r="465" customFormat="1" s="34">
      <c r="A465" s="14" t="inlineStr">
        <is>
          <t>FM3263</t>
        </is>
      </c>
      <c r="B465" s="14" t="n"/>
      <c r="C465" s="13" t="n">
        <v>45840</v>
      </c>
      <c r="D465" s="12" t="inlineStr">
        <is>
          <t>Cash Sale</t>
        </is>
      </c>
      <c r="E465" s="14" t="inlineStr">
        <is>
          <t>Lynx Motorsport</t>
        </is>
      </c>
      <c r="F465" s="14" t="inlineStr">
        <is>
          <t>Punto</t>
        </is>
      </c>
      <c r="G465" s="20" t="n">
        <v>1</v>
      </c>
      <c r="H465" s="19" t="n">
        <v>1018</v>
      </c>
      <c r="I465" s="18">
        <f>G465*H465</f>
        <v/>
      </c>
      <c r="J465" s="11" t="n"/>
      <c r="K465" s="17" t="n"/>
      <c r="L465" s="16">
        <f>K465+C465</f>
        <v/>
      </c>
      <c r="M465" s="11" t="inlineStr">
        <is>
          <t>ST</t>
        </is>
      </c>
      <c r="N465" s="15" t="n"/>
      <c r="O465" s="14" t="n"/>
      <c r="P465" s="14" t="n"/>
      <c r="Q465" s="14" t="n"/>
      <c r="R465" s="14" t="n"/>
    </row>
    <row r="466" customFormat="1" s="34">
      <c r="A466" s="14" t="inlineStr">
        <is>
          <t>FM3264</t>
        </is>
      </c>
      <c r="B466" s="14" t="n"/>
      <c r="C466" s="13" t="n">
        <v>45841</v>
      </c>
      <c r="D466" s="12" t="inlineStr">
        <is>
          <t>PO2058 - cancelled</t>
        </is>
      </c>
      <c r="E466" s="14" t="inlineStr">
        <is>
          <t xml:space="preserve">Hucra Fans </t>
        </is>
      </c>
      <c r="F466" s="14" t="inlineStr">
        <is>
          <t>CPV-1020-4T</t>
        </is>
      </c>
      <c r="G466" s="20" t="n">
        <v>1</v>
      </c>
      <c r="H466" s="19" t="n">
        <v>20493</v>
      </c>
      <c r="I466" s="18">
        <f>G466*H466</f>
        <v/>
      </c>
      <c r="J466" s="11" t="n"/>
      <c r="K466" s="17" t="n"/>
      <c r="L466" s="16">
        <f>K466+C466</f>
        <v/>
      </c>
      <c r="M466" s="11" t="inlineStr">
        <is>
          <t>ZX</t>
        </is>
      </c>
      <c r="N466" s="15" t="n"/>
      <c r="O466" s="14" t="n"/>
      <c r="P466" s="14" t="n"/>
      <c r="Q466" s="14" t="n"/>
      <c r="R466" s="14" t="n"/>
    </row>
    <row r="467" customFormat="1" s="34">
      <c r="A467" s="14" t="inlineStr">
        <is>
          <t>FM3265</t>
        </is>
      </c>
      <c r="B467" s="14" t="n"/>
      <c r="C467" s="13" t="n">
        <v>45841</v>
      </c>
      <c r="D467" s="12" t="n">
        <v>22102</v>
      </c>
      <c r="E467" s="14" t="inlineStr">
        <is>
          <t>National Industrial Supplies</t>
        </is>
      </c>
      <c r="F467" s="14" t="inlineStr">
        <is>
          <t>CMP 616-2T 525V</t>
        </is>
      </c>
      <c r="G467" s="20" t="n">
        <v>4</v>
      </c>
      <c r="H467" s="19" t="n">
        <v>11961.29</v>
      </c>
      <c r="I467" s="18">
        <f>G467*H467</f>
        <v/>
      </c>
      <c r="J467" s="11" t="n"/>
      <c r="K467" s="17" t="n"/>
      <c r="L467" s="16">
        <f>K467+C467</f>
        <v/>
      </c>
      <c r="M467" s="11" t="inlineStr">
        <is>
          <t>ST</t>
        </is>
      </c>
      <c r="N467" s="15" t="n"/>
      <c r="O467" s="14" t="n"/>
      <c r="P467" s="14" t="n"/>
      <c r="Q467" s="14" t="n"/>
      <c r="R467" s="14" t="n"/>
    </row>
    <row r="468" customFormat="1" s="34">
      <c r="A468" s="14" t="inlineStr">
        <is>
          <t>FM3266</t>
        </is>
      </c>
      <c r="B468" s="14" t="n"/>
      <c r="C468" s="13" t="n">
        <v>45841</v>
      </c>
      <c r="D468" s="12" t="inlineStr">
        <is>
          <t>PO2061</t>
        </is>
      </c>
      <c r="E468" s="14" t="inlineStr">
        <is>
          <t xml:space="preserve">Hucra Fans </t>
        </is>
      </c>
      <c r="F468" s="14" t="inlineStr">
        <is>
          <t>Tiracamino - Vortice Chimney Extractor Fan 230V</t>
        </is>
      </c>
      <c r="G468" s="20" t="n">
        <v>3</v>
      </c>
      <c r="H468" s="19" t="n">
        <v>12114</v>
      </c>
      <c r="I468" s="18">
        <f>G468*H468</f>
        <v/>
      </c>
      <c r="J468" s="11" t="n"/>
      <c r="K468" s="17" t="n"/>
      <c r="L468" s="16">
        <f>K468+C468</f>
        <v/>
      </c>
      <c r="M468" s="11" t="inlineStr">
        <is>
          <t>ZX</t>
        </is>
      </c>
      <c r="N468" s="15" t="n"/>
      <c r="O468" s="14" t="n"/>
      <c r="P468" s="14" t="n"/>
      <c r="Q468" s="14" t="n"/>
      <c r="R468" s="14" t="n"/>
    </row>
    <row r="469" customFormat="1" s="34">
      <c r="A469" s="14" t="inlineStr">
        <is>
          <t>FM3267</t>
        </is>
      </c>
      <c r="B469" s="14" t="n"/>
      <c r="C469" s="13" t="n">
        <v>45841</v>
      </c>
      <c r="D469" s="12" t="inlineStr">
        <is>
          <t>PO111951</t>
        </is>
      </c>
      <c r="E469" s="14" t="inlineStr">
        <is>
          <t>Ikhephu</t>
        </is>
      </c>
      <c r="F469" s="14" t="inlineStr">
        <is>
          <t>Vario 150/6 AR</t>
        </is>
      </c>
      <c r="G469" s="20" t="n">
        <v>1</v>
      </c>
      <c r="H469" s="19" t="n">
        <v>1656</v>
      </c>
      <c r="I469" s="18">
        <f>G469*H469</f>
        <v/>
      </c>
      <c r="J469" s="11" t="n"/>
      <c r="K469" s="17" t="n"/>
      <c r="L469" s="16">
        <f>K469+C469</f>
        <v/>
      </c>
      <c r="M469" s="11" t="inlineStr">
        <is>
          <t>SM</t>
        </is>
      </c>
      <c r="N469" s="15" t="n"/>
      <c r="O469" s="14" t="n"/>
      <c r="P469" s="14" t="n"/>
      <c r="Q469" s="14" t="n"/>
      <c r="R469" s="14" t="n"/>
    </row>
    <row r="470" customFormat="1" s="34">
      <c r="A470" s="14" t="inlineStr">
        <is>
          <t>FM3268</t>
        </is>
      </c>
      <c r="B470" s="14" t="n"/>
      <c r="C470" s="13" t="n">
        <v>45842</v>
      </c>
      <c r="D470" s="12" t="inlineStr">
        <is>
          <t>PO53602</t>
        </is>
      </c>
      <c r="E470" s="14" t="inlineStr">
        <is>
          <t>Aircontech</t>
        </is>
      </c>
      <c r="F470" s="14" t="inlineStr">
        <is>
          <t>Maxflo 500/150/10 A c/w 3,0KW 2P 380V &amp; Accessories</t>
        </is>
      </c>
      <c r="G470" s="20" t="n">
        <v>1</v>
      </c>
      <c r="H470" s="19" t="n">
        <v>19901</v>
      </c>
      <c r="I470" s="18">
        <f>G470*H470</f>
        <v/>
      </c>
      <c r="J470" s="11" t="n"/>
      <c r="K470" s="17" t="n"/>
      <c r="L470" s="16">
        <f>K470+C470</f>
        <v/>
      </c>
      <c r="M470" s="11" t="inlineStr">
        <is>
          <t>SM</t>
        </is>
      </c>
      <c r="N470" s="15" t="n"/>
      <c r="O470" s="14" t="n"/>
      <c r="P470" s="14" t="n"/>
      <c r="Q470" s="14" t="n"/>
      <c r="R470" s="14" t="n"/>
    </row>
    <row r="471" customFormat="1" s="34">
      <c r="A471" s="14" t="inlineStr">
        <is>
          <t>FM3269</t>
        </is>
      </c>
      <c r="B471" s="14" t="n"/>
      <c r="C471" s="13" t="n">
        <v>45842</v>
      </c>
      <c r="D471" s="12" t="inlineStr">
        <is>
          <t>Cash Sale</t>
        </is>
      </c>
      <c r="E471" s="14" t="inlineStr">
        <is>
          <t>Lubeng</t>
        </is>
      </c>
      <c r="F471" s="14" t="inlineStr">
        <is>
          <t>Majax 1000 c/w 9.2kW 4Pole</t>
        </is>
      </c>
      <c r="G471" s="20" t="n">
        <v>1</v>
      </c>
      <c r="H471" s="19" t="n"/>
      <c r="I471" s="18">
        <f>G471*H471</f>
        <v/>
      </c>
      <c r="J471" s="11" t="n"/>
      <c r="K471" s="17" t="n"/>
      <c r="L471" s="16">
        <f>K471+C471</f>
        <v/>
      </c>
      <c r="M471" s="11" t="inlineStr">
        <is>
          <t>ST</t>
        </is>
      </c>
      <c r="N471" s="15" t="n"/>
      <c r="O471" s="14" t="n"/>
      <c r="P471" s="14" t="n"/>
      <c r="Q471" s="14" t="n"/>
      <c r="R471" s="14" t="n"/>
    </row>
    <row r="472" customFormat="1" s="34">
      <c r="A472" s="14" t="inlineStr">
        <is>
          <t>FM3270</t>
        </is>
      </c>
      <c r="B472" s="14" t="n"/>
      <c r="C472" s="13" t="n">
        <v>45842</v>
      </c>
      <c r="D472" s="23" t="inlineStr">
        <is>
          <t>FAM202502P</t>
        </is>
      </c>
      <c r="E472" s="14" t="inlineStr">
        <is>
          <t>Ndalama</t>
        </is>
      </c>
      <c r="F472" s="14" t="inlineStr">
        <is>
          <t>Plate axial Fans</t>
        </is>
      </c>
      <c r="G472" s="20" t="n">
        <v>2</v>
      </c>
      <c r="H472" s="19" t="n">
        <v>22241</v>
      </c>
      <c r="I472" s="18" t="n">
        <v>22241</v>
      </c>
      <c r="J472" s="11" t="n"/>
      <c r="K472" s="17" t="n"/>
      <c r="L472" s="16">
        <f>K472+C472</f>
        <v/>
      </c>
      <c r="M472" s="11" t="inlineStr">
        <is>
          <t>MT</t>
        </is>
      </c>
      <c r="N472" s="15" t="n"/>
      <c r="O472" s="14" t="n"/>
      <c r="P472" s="14" t="n"/>
      <c r="Q472" s="14" t="n"/>
      <c r="R472" s="14" t="n"/>
    </row>
    <row r="473" customFormat="1" s="34">
      <c r="A473" s="14" t="inlineStr">
        <is>
          <t>FM3271</t>
        </is>
      </c>
      <c r="B473" s="14" t="n"/>
      <c r="C473" s="13" t="n">
        <v>45845</v>
      </c>
      <c r="D473" s="12" t="inlineStr">
        <is>
          <t>A3412092593</t>
        </is>
      </c>
      <c r="E473" s="14" t="inlineStr">
        <is>
          <t>NWK</t>
        </is>
      </c>
      <c r="F473" s="14" t="inlineStr">
        <is>
          <t>Majax 2 500 c/w 2.2kW 2Pole</t>
        </is>
      </c>
      <c r="G473" s="20" t="n">
        <v>1</v>
      </c>
      <c r="H473" s="19" t="n"/>
      <c r="I473" s="18">
        <f>G473*H473</f>
        <v/>
      </c>
      <c r="J473" s="11" t="n"/>
      <c r="K473" s="17" t="n"/>
      <c r="L473" s="16">
        <f>K473+C473</f>
        <v/>
      </c>
      <c r="M473" s="11" t="inlineStr">
        <is>
          <t>ST</t>
        </is>
      </c>
      <c r="N473" s="15" t="n"/>
      <c r="O473" s="14" t="n"/>
      <c r="P473" s="14" t="n"/>
      <c r="Q473" s="14" t="n"/>
      <c r="R473" s="14" t="n"/>
    </row>
    <row r="474" customFormat="1" s="34">
      <c r="A474" s="14" t="inlineStr">
        <is>
          <t>FM3272</t>
        </is>
      </c>
      <c r="B474" s="14" t="n"/>
      <c r="C474" s="13" t="n">
        <v>45845</v>
      </c>
      <c r="D474" s="12" t="inlineStr">
        <is>
          <t>MFE6727</t>
        </is>
      </c>
      <c r="E474" s="14" t="inlineStr">
        <is>
          <t>Morlyn Fans</t>
        </is>
      </c>
      <c r="F474" s="14" t="inlineStr">
        <is>
          <t>HCD 25-4M &amp; Louvre Shutter PVC Gravity - 9''</t>
        </is>
      </c>
      <c r="G474" s="20" t="n">
        <v>1</v>
      </c>
      <c r="H474" s="19" t="n">
        <v>3860.57</v>
      </c>
      <c r="I474" s="18">
        <f>G474*H474</f>
        <v/>
      </c>
      <c r="J474" s="11" t="n"/>
      <c r="K474" s="17" t="n"/>
      <c r="L474" s="16">
        <f>K474+C474</f>
        <v/>
      </c>
      <c r="M474" s="11" t="inlineStr">
        <is>
          <t>MT</t>
        </is>
      </c>
      <c r="N474" s="15" t="n"/>
      <c r="O474" s="14" t="n"/>
      <c r="P474" s="14" t="n"/>
      <c r="Q474" s="14" t="n"/>
      <c r="R474" s="14" t="n"/>
    </row>
    <row r="475" customFormat="1" s="34">
      <c r="A475" s="14" t="inlineStr">
        <is>
          <t>FM3273</t>
        </is>
      </c>
      <c r="B475" s="14" t="n"/>
      <c r="C475" s="13" t="n">
        <v>45846</v>
      </c>
      <c r="D475" s="12" t="inlineStr">
        <is>
          <t>PO-000005990</t>
        </is>
      </c>
      <c r="E475" s="14" t="inlineStr">
        <is>
          <t>Cape Fans (Pty) Ltd</t>
        </is>
      </c>
      <c r="F475" s="14" t="inlineStr">
        <is>
          <t>DDM 9/7 6M020M - 550W 220/1/50 - 4P</t>
        </is>
      </c>
      <c r="G475" s="20" t="n">
        <v>1</v>
      </c>
      <c r="H475" s="19" t="n">
        <v>7905</v>
      </c>
      <c r="I475" s="18">
        <f>G475*H475</f>
        <v/>
      </c>
      <c r="J475" s="11" t="n"/>
      <c r="K475" s="17" t="n"/>
      <c r="L475" s="16">
        <f>K475+C475</f>
        <v/>
      </c>
      <c r="M475" s="11" t="inlineStr">
        <is>
          <t>ST</t>
        </is>
      </c>
      <c r="N475" s="15" t="n"/>
      <c r="O475" s="14" t="n"/>
      <c r="P475" s="14" t="n"/>
      <c r="Q475" s="14" t="n"/>
      <c r="R475" s="14" t="n"/>
    </row>
    <row r="476" customFormat="1" s="34">
      <c r="A476" s="14" t="inlineStr">
        <is>
          <t>FM3274</t>
        </is>
      </c>
      <c r="B476" s="14" t="n"/>
      <c r="C476" s="13" t="n">
        <v>45847</v>
      </c>
      <c r="D476" s="12" t="n">
        <v>501408</v>
      </c>
      <c r="E476" s="14" t="inlineStr">
        <is>
          <t>Fans Maintenance &amp; More</t>
        </is>
      </c>
      <c r="F476" s="14" t="inlineStr">
        <is>
          <t>RAD 355</t>
        </is>
      </c>
      <c r="G476" s="20" t="n">
        <v>2</v>
      </c>
      <c r="H476" s="19" t="n">
        <v>3979</v>
      </c>
      <c r="I476" s="18">
        <f>G476*H476</f>
        <v/>
      </c>
      <c r="J476" s="11" t="n"/>
      <c r="K476" s="17" t="n"/>
      <c r="L476" s="16">
        <f>K476+C476</f>
        <v/>
      </c>
      <c r="M476" s="11" t="inlineStr">
        <is>
          <t>ZX</t>
        </is>
      </c>
      <c r="N476" s="15" t="n"/>
      <c r="O476" s="14" t="n"/>
      <c r="P476" s="14" t="n"/>
      <c r="Q476" s="14" t="n"/>
      <c r="R476" s="14" t="n"/>
    </row>
    <row r="477" customFormat="1" s="34">
      <c r="A477" s="14" t="inlineStr">
        <is>
          <t>FM3275</t>
        </is>
      </c>
      <c r="B477" s="14" t="n"/>
      <c r="C477" s="13" t="n">
        <v>45847</v>
      </c>
      <c r="D477" s="12" t="inlineStr">
        <is>
          <t>Cash Sale</t>
        </is>
      </c>
      <c r="E477" s="14" t="inlineStr">
        <is>
          <t>Ref Air Services</t>
        </is>
      </c>
      <c r="F477" s="14" t="inlineStr">
        <is>
          <t>HCD 30 4M &amp; Louvre Shutter</t>
        </is>
      </c>
      <c r="G477" s="20" t="n">
        <v>1</v>
      </c>
      <c r="H477" s="19" t="n">
        <v>4113</v>
      </c>
      <c r="I477" s="18">
        <f>G477*H477</f>
        <v/>
      </c>
      <c r="J477" s="11" t="n"/>
      <c r="K477" s="17" t="n"/>
      <c r="L477" s="16">
        <f>K477+C477</f>
        <v/>
      </c>
      <c r="M477" s="11" t="inlineStr">
        <is>
          <t>SM</t>
        </is>
      </c>
      <c r="N477" s="15" t="n"/>
      <c r="O477" s="14" t="n"/>
      <c r="P477" s="14" t="n"/>
      <c r="Q477" s="14" t="n"/>
      <c r="R477" s="14" t="n"/>
    </row>
    <row r="478" customFormat="1" s="34">
      <c r="A478" s="14" t="inlineStr">
        <is>
          <t>FM3276</t>
        </is>
      </c>
      <c r="B478" s="14" t="n"/>
      <c r="C478" s="13" t="n">
        <v>45847</v>
      </c>
      <c r="D478" s="12" t="inlineStr">
        <is>
          <t>COLIN</t>
        </is>
      </c>
      <c r="E478" s="14" t="inlineStr">
        <is>
          <t>JAMARMIC PUMP AND VALVE</t>
        </is>
      </c>
      <c r="F478" s="14" t="inlineStr">
        <is>
          <t>BD 12/9 1.1KW 6P 400V &amp; DDM 9/7 300W 400-440V 4P</t>
        </is>
      </c>
      <c r="G478" s="20" t="n">
        <v>1</v>
      </c>
      <c r="H478" s="19" t="n">
        <v>17259</v>
      </c>
      <c r="I478" s="18">
        <f>G478*H478</f>
        <v/>
      </c>
      <c r="J478" s="11" t="n"/>
      <c r="K478" s="17" t="n"/>
      <c r="L478" s="16">
        <f>K478+C478</f>
        <v/>
      </c>
      <c r="M478" s="11" t="inlineStr">
        <is>
          <t>SM</t>
        </is>
      </c>
      <c r="N478" s="15" t="n"/>
      <c r="O478" s="14" t="n"/>
      <c r="P478" s="14" t="n"/>
      <c r="Q478" s="14" t="n"/>
      <c r="R478" s="14" t="n"/>
    </row>
    <row r="479" customFormat="1" s="34">
      <c r="A479" s="14" t="inlineStr">
        <is>
          <t>FM3277</t>
        </is>
      </c>
      <c r="B479" s="14" t="n"/>
      <c r="C479" s="13" t="n">
        <v>45847</v>
      </c>
      <c r="D479" s="12" t="inlineStr">
        <is>
          <t>Cash sale</t>
        </is>
      </c>
      <c r="E479" s="14" t="inlineStr">
        <is>
          <t>Technomobile</t>
        </is>
      </c>
      <c r="F479" s="22" t="inlineStr">
        <is>
          <t>BCC-2 500/1.0 D1(Belt Driven)c/w 0.75kw 4P 380v</t>
        </is>
      </c>
      <c r="G479" s="20" t="n">
        <v>2</v>
      </c>
      <c r="H479" s="19" t="n">
        <v>121398</v>
      </c>
      <c r="I479" s="18" t="n">
        <v>121398</v>
      </c>
      <c r="J479" s="11" t="n"/>
      <c r="K479" s="17" t="n"/>
      <c r="L479" s="16">
        <f>K479+C479</f>
        <v/>
      </c>
      <c r="M479" s="11" t="inlineStr">
        <is>
          <t>MT</t>
        </is>
      </c>
      <c r="N479" s="15" t="n"/>
      <c r="O479" s="14" t="n"/>
      <c r="P479" s="14" t="n"/>
      <c r="Q479" s="14" t="n"/>
      <c r="R479" s="14" t="n"/>
    </row>
    <row r="480" customFormat="1" s="34">
      <c r="A480" s="14" t="inlineStr">
        <is>
          <t>FM3278</t>
        </is>
      </c>
      <c r="B480" s="14" t="n"/>
      <c r="C480" s="13" t="n">
        <v>45848</v>
      </c>
      <c r="D480" s="12" t="inlineStr">
        <is>
          <t>Cash Sale</t>
        </is>
      </c>
      <c r="E480" s="14" t="inlineStr">
        <is>
          <t>DJ Airconditioning</t>
        </is>
      </c>
      <c r="F480" s="14" t="inlineStr">
        <is>
          <t xml:space="preserve">RAD 250 &amp; 1 Sillencer </t>
        </is>
      </c>
      <c r="G480" s="20" t="n">
        <v>1</v>
      </c>
      <c r="H480" s="19" t="n">
        <v>3081</v>
      </c>
      <c r="I480" s="18">
        <f>G480*H480</f>
        <v/>
      </c>
      <c r="J480" s="11" t="n"/>
      <c r="K480" s="17" t="n"/>
      <c r="L480" s="16">
        <f>K480+C480</f>
        <v/>
      </c>
      <c r="M480" s="11" t="inlineStr">
        <is>
          <t>SM</t>
        </is>
      </c>
      <c r="N480" s="15" t="n"/>
      <c r="O480" s="14" t="n"/>
      <c r="P480" s="14" t="n"/>
      <c r="Q480" s="14" t="n"/>
      <c r="R480" s="14" t="n"/>
    </row>
    <row r="481" customFormat="1" s="34">
      <c r="A481" s="14" t="inlineStr">
        <is>
          <t>FM3279</t>
        </is>
      </c>
      <c r="B481" s="14" t="n"/>
      <c r="C481" s="13" t="n">
        <v>45848</v>
      </c>
      <c r="D481" s="12" t="inlineStr">
        <is>
          <t>PO2066</t>
        </is>
      </c>
      <c r="E481" s="14" t="inlineStr">
        <is>
          <t xml:space="preserve">Hucra Fans </t>
        </is>
      </c>
      <c r="F481" s="14" t="inlineStr">
        <is>
          <t>M120/5 &amp; F120 Vortice Punto Window Kit  120mm</t>
        </is>
      </c>
      <c r="G481" s="20" t="n">
        <v>1</v>
      </c>
      <c r="H481" s="19" t="n">
        <v>1078</v>
      </c>
      <c r="I481" s="18">
        <f>G481*H481</f>
        <v/>
      </c>
      <c r="J481" s="11" t="n"/>
      <c r="K481" s="17" t="n"/>
      <c r="L481" s="16">
        <f>K481+C481</f>
        <v/>
      </c>
      <c r="M481" s="11" t="inlineStr">
        <is>
          <t>ZX</t>
        </is>
      </c>
      <c r="N481" s="15" t="n"/>
      <c r="O481" s="14" t="n"/>
      <c r="P481" s="14" t="n"/>
      <c r="Q481" s="14" t="n"/>
      <c r="R481" s="14" t="n"/>
    </row>
    <row r="482" customFormat="1" s="34">
      <c r="A482" s="14" t="inlineStr">
        <is>
          <t>FM3280</t>
        </is>
      </c>
      <c r="B482" s="14" t="n"/>
      <c r="C482" s="13" t="n">
        <v>45848</v>
      </c>
      <c r="D482" s="12" t="inlineStr">
        <is>
          <t>PO136399</t>
        </is>
      </c>
      <c r="E482" s="14" t="inlineStr">
        <is>
          <t>Howden Power</t>
        </is>
      </c>
      <c r="F482" s="14" t="inlineStr">
        <is>
          <t>MEX 100 c/w speed controller</t>
        </is>
      </c>
      <c r="G482" s="20" t="n">
        <v>6</v>
      </c>
      <c r="H482" s="19" t="n">
        <v>2280.59</v>
      </c>
      <c r="I482" s="18">
        <f>G482*H482</f>
        <v/>
      </c>
      <c r="J482" s="11" t="n"/>
      <c r="K482" s="17" t="n"/>
      <c r="L482" s="16">
        <f>K482+C482</f>
        <v/>
      </c>
      <c r="M482" s="11" t="inlineStr">
        <is>
          <t>ST</t>
        </is>
      </c>
      <c r="N482" s="15" t="n"/>
      <c r="O482" s="14" t="n"/>
      <c r="P482" s="14" t="n"/>
      <c r="Q482" s="14" t="n"/>
      <c r="R482" s="14" t="n"/>
    </row>
    <row r="483" customFormat="1" s="34">
      <c r="A483" s="14" t="inlineStr">
        <is>
          <t>FM3281</t>
        </is>
      </c>
      <c r="B483" s="14" t="n"/>
      <c r="C483" s="13" t="n">
        <v>45849</v>
      </c>
      <c r="D483" s="12" t="n">
        <v>4500729371</v>
      </c>
      <c r="E483" s="14" t="inlineStr">
        <is>
          <t>Aberdare Cables</t>
        </is>
      </c>
      <c r="F483" s="14" t="inlineStr">
        <is>
          <t>CMP-718-2T</t>
        </is>
      </c>
      <c r="G483" s="20" t="n">
        <v>3</v>
      </c>
      <c r="H483" s="19" t="n">
        <v>10879</v>
      </c>
      <c r="I483" s="18">
        <f>G483*H483</f>
        <v/>
      </c>
      <c r="J483" s="11" t="n"/>
      <c r="K483" s="17" t="n"/>
      <c r="L483" s="16">
        <f>K483+C483</f>
        <v/>
      </c>
      <c r="M483" s="11" t="inlineStr">
        <is>
          <t>MT</t>
        </is>
      </c>
      <c r="N483" s="15" t="n"/>
      <c r="O483" s="14" t="n"/>
      <c r="P483" s="14" t="n"/>
      <c r="Q483" s="14" t="n"/>
      <c r="R483" s="14" t="n"/>
    </row>
    <row r="484" customFormat="1" s="34">
      <c r="A484" s="14" t="inlineStr">
        <is>
          <t>FM3282</t>
        </is>
      </c>
      <c r="B484" s="14" t="n"/>
      <c r="C484" s="13" t="n">
        <v>45852</v>
      </c>
      <c r="D484" s="23" t="inlineStr">
        <is>
          <t>PO0000647</t>
        </is>
      </c>
      <c r="E484" s="14" t="inlineStr">
        <is>
          <t>ATM TECH</t>
        </is>
      </c>
      <c r="F484" s="14" t="inlineStr">
        <is>
          <t>Majax1 610 c/w0.55kw 4p 380v</t>
        </is>
      </c>
      <c r="G484" s="20" t="n">
        <v>1</v>
      </c>
      <c r="H484" s="19" t="n">
        <v>29025</v>
      </c>
      <c r="I484" s="18">
        <f>G484*H484</f>
        <v/>
      </c>
      <c r="J484" s="11" t="n"/>
      <c r="K484" s="17" t="n"/>
      <c r="L484" s="16">
        <f>K484+C484</f>
        <v/>
      </c>
      <c r="M484" s="11" t="inlineStr">
        <is>
          <t>MT</t>
        </is>
      </c>
      <c r="N484" s="15" t="n"/>
      <c r="O484" s="14" t="n"/>
      <c r="P484" s="14" t="n"/>
      <c r="Q484" s="14" t="n"/>
      <c r="R484" s="14" t="n"/>
    </row>
    <row r="485" customFormat="1" s="34">
      <c r="A485" s="14" t="inlineStr">
        <is>
          <t>FM3283</t>
        </is>
      </c>
      <c r="B485" s="14" t="n"/>
      <c r="C485" s="13" t="n">
        <v>45852</v>
      </c>
      <c r="D485" s="12" t="inlineStr">
        <is>
          <t xml:space="preserve">PO2068 </t>
        </is>
      </c>
      <c r="E485" s="14" t="inlineStr">
        <is>
          <t xml:space="preserve">Hucra Fans </t>
        </is>
      </c>
      <c r="F485" s="14" t="inlineStr">
        <is>
          <t xml:space="preserve">Tiracamino Motors &amp; C1.5 Speed controllers -  </t>
        </is>
      </c>
      <c r="G485" s="20" t="n">
        <v>1</v>
      </c>
      <c r="H485" s="19" t="n">
        <v>19892</v>
      </c>
      <c r="I485" s="18">
        <f>G485*H485</f>
        <v/>
      </c>
      <c r="J485" s="11" t="n"/>
      <c r="K485" s="17" t="n"/>
      <c r="L485" s="16">
        <f>K485+C485</f>
        <v/>
      </c>
      <c r="M485" s="11" t="inlineStr">
        <is>
          <t>ZX</t>
        </is>
      </c>
      <c r="N485" s="15" t="n"/>
      <c r="O485" s="14" t="n"/>
      <c r="P485" s="14" t="n"/>
      <c r="Q485" s="14" t="n"/>
      <c r="R485" s="14" t="n"/>
    </row>
    <row r="486" customFormat="1" s="34">
      <c r="A486" s="14" t="inlineStr">
        <is>
          <t>FM3284</t>
        </is>
      </c>
      <c r="B486" s="14" t="n"/>
      <c r="C486" s="13" t="n">
        <v>45852</v>
      </c>
      <c r="D486" s="12" t="inlineStr">
        <is>
          <t>PO0000663</t>
        </is>
      </c>
      <c r="E486" s="14" t="inlineStr">
        <is>
          <t>Jaft-Aircon</t>
        </is>
      </c>
      <c r="F486" s="14" t="inlineStr">
        <is>
          <t>Majax 400 c/w 1.1kw 2P 380V</t>
        </is>
      </c>
      <c r="G486" s="20" t="n">
        <v>1</v>
      </c>
      <c r="H486" s="19" t="n">
        <v>11113</v>
      </c>
      <c r="I486" s="18">
        <f>G486*H486</f>
        <v/>
      </c>
      <c r="J486" s="11" t="n"/>
      <c r="K486" s="17" t="n"/>
      <c r="L486" s="16">
        <f>K486+C486</f>
        <v/>
      </c>
      <c r="M486" s="11" t="inlineStr">
        <is>
          <t>MT</t>
        </is>
      </c>
      <c r="N486" s="15" t="n"/>
      <c r="O486" s="14" t="n"/>
      <c r="P486" s="14" t="n"/>
      <c r="Q486" s="14" t="n"/>
      <c r="R486" s="14" t="n"/>
    </row>
    <row r="487" customFormat="1" s="34">
      <c r="A487" s="14" t="inlineStr">
        <is>
          <t>FM3285</t>
        </is>
      </c>
      <c r="B487" s="14" t="n"/>
      <c r="C487" s="13" t="n">
        <v>45852</v>
      </c>
      <c r="D487" s="12" t="n"/>
      <c r="E487" s="14" t="inlineStr">
        <is>
          <t>Matla</t>
        </is>
      </c>
      <c r="F487" s="14" t="inlineStr">
        <is>
          <t>Various Fans</t>
        </is>
      </c>
      <c r="G487" s="20" t="n">
        <v>13</v>
      </c>
      <c r="H487" s="19" t="n">
        <v>50838</v>
      </c>
      <c r="I487" s="18" t="n">
        <v>50838</v>
      </c>
      <c r="J487" s="11" t="n"/>
      <c r="K487" s="17" t="n"/>
      <c r="L487" s="16">
        <f>K487+C487</f>
        <v/>
      </c>
      <c r="M487" s="11" t="inlineStr">
        <is>
          <t>MT</t>
        </is>
      </c>
      <c r="N487" s="15" t="n"/>
      <c r="O487" s="14" t="n"/>
      <c r="P487" s="14" t="n"/>
      <c r="Q487" s="14" t="n"/>
      <c r="R487" s="14" t="n"/>
    </row>
    <row r="488" customFormat="1" s="34">
      <c r="A488" s="14" t="inlineStr">
        <is>
          <t>FM3286</t>
        </is>
      </c>
      <c r="B488" s="14" t="n"/>
      <c r="C488" s="13" t="n">
        <v>45852</v>
      </c>
      <c r="D488" s="12" t="inlineStr">
        <is>
          <t>PR025135</t>
        </is>
      </c>
      <c r="E488" s="14" t="inlineStr">
        <is>
          <t>Butec</t>
        </is>
      </c>
      <c r="F488" s="14" t="inlineStr">
        <is>
          <t>Maxflo 630 c/w2.2kw 4p 380v &amp; Accesorries</t>
        </is>
      </c>
      <c r="G488" s="20" t="n">
        <v>1</v>
      </c>
      <c r="H488" s="19" t="n">
        <v>18298</v>
      </c>
      <c r="I488" s="18">
        <f>G488*H488</f>
        <v/>
      </c>
      <c r="J488" s="11" t="n"/>
      <c r="K488" s="17" t="n"/>
      <c r="L488" s="16">
        <f>K488+C488</f>
        <v/>
      </c>
      <c r="M488" s="11" t="inlineStr">
        <is>
          <t>MT</t>
        </is>
      </c>
      <c r="N488" s="15" t="n"/>
      <c r="O488" s="14" t="n"/>
      <c r="P488" s="14" t="n"/>
      <c r="Q488" s="14" t="n"/>
      <c r="R488" s="14" t="n"/>
    </row>
    <row r="489" customFormat="1" s="34">
      <c r="A489" s="14" t="inlineStr">
        <is>
          <t>FM3287</t>
        </is>
      </c>
      <c r="B489" s="14" t="n"/>
      <c r="C489" s="13" t="n">
        <v>45853</v>
      </c>
      <c r="D489" s="12" t="inlineStr">
        <is>
          <t>PO2069</t>
        </is>
      </c>
      <c r="E489" s="14" t="inlineStr">
        <is>
          <t xml:space="preserve">Hucra Fans </t>
        </is>
      </c>
      <c r="F489" s="14" t="inlineStr">
        <is>
          <t>CMA-527-2T</t>
        </is>
      </c>
      <c r="G489" s="20" t="n">
        <v>2</v>
      </c>
      <c r="H489" s="19" t="n">
        <v>14942</v>
      </c>
      <c r="I489" s="18">
        <f>G489*H489</f>
        <v/>
      </c>
      <c r="J489" s="11" t="n"/>
      <c r="K489" s="17" t="n"/>
      <c r="L489" s="16">
        <f>K489+C489</f>
        <v/>
      </c>
      <c r="M489" s="11" t="inlineStr">
        <is>
          <t>ZX</t>
        </is>
      </c>
      <c r="N489" s="15" t="n"/>
      <c r="O489" s="14" t="n"/>
      <c r="P489" s="14" t="n"/>
      <c r="Q489" s="14" t="n"/>
      <c r="R489" s="14" t="n"/>
    </row>
    <row r="490" customFormat="1" s="34">
      <c r="A490" s="14" t="inlineStr">
        <is>
          <t>FM3288</t>
        </is>
      </c>
      <c r="B490" s="14" t="n"/>
      <c r="C490" s="13" t="n">
        <v>45853</v>
      </c>
      <c r="D490" s="12" t="inlineStr">
        <is>
          <t>PO2070</t>
        </is>
      </c>
      <c r="E490" s="14" t="inlineStr">
        <is>
          <t xml:space="preserve">Hucra Fans </t>
        </is>
      </c>
      <c r="F490" s="14" t="inlineStr">
        <is>
          <t xml:space="preserve">Tiracamino Motors-10-Off &amp; C1.5 Speed controllers -5-off  </t>
        </is>
      </c>
      <c r="G490" s="20" t="n">
        <v>1</v>
      </c>
      <c r="H490" s="19" t="n">
        <v>37030</v>
      </c>
      <c r="I490" s="18">
        <f>G490*H490</f>
        <v/>
      </c>
      <c r="J490" s="11" t="n"/>
      <c r="K490" s="17" t="n"/>
      <c r="L490" s="16">
        <f>K490+C490</f>
        <v/>
      </c>
      <c r="M490" s="11" t="inlineStr">
        <is>
          <t>ZX</t>
        </is>
      </c>
      <c r="N490" s="15" t="n"/>
      <c r="O490" s="14" t="n"/>
      <c r="P490" s="14" t="n"/>
      <c r="Q490" s="14" t="n"/>
      <c r="R490" s="14" t="n"/>
    </row>
    <row r="491" customFormat="1" s="34">
      <c r="A491" s="14" t="inlineStr">
        <is>
          <t>FM3289</t>
        </is>
      </c>
      <c r="B491" s="14" t="n"/>
      <c r="C491" s="13" t="n">
        <v>45853</v>
      </c>
      <c r="D491" s="12" t="inlineStr">
        <is>
          <t>PO:4500203527</t>
        </is>
      </c>
      <c r="E491" s="14" t="inlineStr">
        <is>
          <t>Rand refinery</t>
        </is>
      </c>
      <c r="F491" s="14" t="inlineStr">
        <is>
          <t>Maxflo 500 c/w 4 kw 2P 380V &amp;Accessories.</t>
        </is>
      </c>
      <c r="G491" s="20" t="n">
        <v>4</v>
      </c>
      <c r="H491" s="19" t="n">
        <v>85078.39999999999</v>
      </c>
      <c r="I491" s="18" t="n">
        <v>85078.39999999999</v>
      </c>
      <c r="J491" s="11" t="n"/>
      <c r="K491" s="17" t="n"/>
      <c r="L491" s="16">
        <f>K491+C491</f>
        <v/>
      </c>
      <c r="M491" s="11" t="inlineStr">
        <is>
          <t>MT</t>
        </is>
      </c>
      <c r="N491" s="15" t="n"/>
      <c r="O491" s="14" t="n"/>
      <c r="P491" s="14" t="n"/>
      <c r="Q491" s="14" t="n"/>
      <c r="R491" s="14" t="n"/>
    </row>
    <row r="492" customFormat="1" s="34">
      <c r="A492" s="14" t="inlineStr">
        <is>
          <t>FM3290</t>
        </is>
      </c>
      <c r="B492" s="14" t="n"/>
      <c r="C492" s="13" t="n">
        <v>45854</v>
      </c>
      <c r="D492" s="12" t="inlineStr">
        <is>
          <t xml:space="preserve">PO2071 </t>
        </is>
      </c>
      <c r="E492" s="14" t="inlineStr">
        <is>
          <t xml:space="preserve">Hucra Fans </t>
        </is>
      </c>
      <c r="F492" s="14" t="inlineStr">
        <is>
          <t>CMA-324-2T</t>
        </is>
      </c>
      <c r="G492" s="20" t="n">
        <v>1</v>
      </c>
      <c r="H492" s="19" t="n">
        <v>9010</v>
      </c>
      <c r="I492" s="18">
        <f>G492*H492</f>
        <v/>
      </c>
      <c r="J492" s="11" t="n"/>
      <c r="K492" s="17" t="n"/>
      <c r="L492" s="16">
        <f>K492+C492</f>
        <v/>
      </c>
      <c r="M492" s="11" t="inlineStr">
        <is>
          <t>ZX</t>
        </is>
      </c>
      <c r="N492" s="15" t="n"/>
      <c r="O492" s="14" t="n"/>
      <c r="P492" s="14" t="n"/>
      <c r="Q492" s="14" t="n"/>
      <c r="R492" s="14" t="n"/>
    </row>
    <row r="493" customFormat="1" s="34">
      <c r="A493" s="14" t="inlineStr">
        <is>
          <t>FM3291</t>
        </is>
      </c>
      <c r="B493" s="14" t="n"/>
      <c r="C493" s="13" t="n">
        <v>45854</v>
      </c>
      <c r="D493" s="14" t="inlineStr">
        <is>
          <t>PO0000338</t>
        </is>
      </c>
      <c r="E493" s="14" t="inlineStr">
        <is>
          <t>E&amp;S Balancing Solution</t>
        </is>
      </c>
      <c r="F493" s="14" t="inlineStr">
        <is>
          <t>Maxflo 560/150/10 c/w 1,1kw 4p 380v &amp; Accesorries</t>
        </is>
      </c>
      <c r="G493" s="20" t="n">
        <v>1</v>
      </c>
      <c r="H493" s="19" t="n">
        <v>13718</v>
      </c>
      <c r="I493" s="18">
        <f>G493*H493</f>
        <v/>
      </c>
      <c r="J493" s="11" t="n"/>
      <c r="K493" s="17" t="n"/>
      <c r="L493" s="16">
        <f>K493+C493</f>
        <v/>
      </c>
      <c r="M493" s="11" t="inlineStr">
        <is>
          <t>MT</t>
        </is>
      </c>
      <c r="N493" s="15" t="n"/>
      <c r="O493" s="14" t="n"/>
      <c r="P493" s="14" t="n"/>
      <c r="Q493" s="14" t="n"/>
      <c r="R493" s="14" t="n"/>
    </row>
    <row r="494" customFormat="1" s="34">
      <c r="A494" s="14" t="inlineStr">
        <is>
          <t>FM3292</t>
        </is>
      </c>
      <c r="B494" s="14" t="n"/>
      <c r="C494" s="13" t="n">
        <v>45855</v>
      </c>
      <c r="D494" s="12" t="inlineStr">
        <is>
          <t>MP014640</t>
        </is>
      </c>
      <c r="E494" s="14" t="inlineStr">
        <is>
          <t>Midstone Engineering t/a Midair</t>
        </is>
      </c>
      <c r="F494" s="14" t="inlineStr">
        <is>
          <t>Tiracamino Chimney Fan 220V</t>
        </is>
      </c>
      <c r="G494" s="20" t="n">
        <v>1</v>
      </c>
      <c r="H494" s="19" t="n">
        <v>12302</v>
      </c>
      <c r="I494" s="18">
        <f>G494*H494</f>
        <v/>
      </c>
      <c r="J494" s="11" t="n"/>
      <c r="K494" s="17" t="n"/>
      <c r="L494" s="16">
        <f>K494+C494</f>
        <v/>
      </c>
      <c r="M494" s="11" t="inlineStr">
        <is>
          <t>ZX</t>
        </is>
      </c>
      <c r="N494" s="15" t="n"/>
      <c r="O494" s="14" t="n"/>
      <c r="P494" s="14" t="n"/>
      <c r="Q494" s="14" t="n"/>
      <c r="R494" s="14" t="n"/>
    </row>
    <row r="495" customFormat="1" s="34">
      <c r="A495" s="14" t="inlineStr">
        <is>
          <t>FM3293</t>
        </is>
      </c>
      <c r="B495" s="14" t="n"/>
      <c r="C495" s="13" t="n">
        <v>45855</v>
      </c>
      <c r="D495" s="12" t="inlineStr">
        <is>
          <t>PO:OA16333</t>
        </is>
      </c>
      <c r="E495" s="14" t="inlineStr">
        <is>
          <t>Optimal Air</t>
        </is>
      </c>
      <c r="F495" s="14" t="inlineStr">
        <is>
          <t>Kdaxis 350 &amp; 400 Louver shutter</t>
        </is>
      </c>
      <c r="G495" s="20" t="n">
        <v>1</v>
      </c>
      <c r="H495" s="19" t="n">
        <v>3369</v>
      </c>
      <c r="I495" s="18">
        <f>G495*H495</f>
        <v/>
      </c>
      <c r="J495" s="11" t="n"/>
      <c r="K495" s="17" t="n"/>
      <c r="L495" s="16">
        <f>K495+C495</f>
        <v/>
      </c>
      <c r="M495" s="11" t="inlineStr">
        <is>
          <t>MT</t>
        </is>
      </c>
      <c r="N495" s="15" t="n"/>
      <c r="O495" s="14" t="n"/>
      <c r="P495" s="14" t="n"/>
      <c r="Q495" s="14" t="n"/>
      <c r="R495" s="14" t="n"/>
    </row>
    <row r="496" customFormat="1" s="34">
      <c r="A496" s="14" t="inlineStr">
        <is>
          <t>FM3294</t>
        </is>
      </c>
      <c r="B496" s="14" t="n"/>
      <c r="C496" s="13" t="n">
        <v>45855</v>
      </c>
      <c r="D496" s="12" t="inlineStr">
        <is>
          <t>PO115976</t>
        </is>
      </c>
      <c r="E496" s="14" t="inlineStr">
        <is>
          <t>Boleng</t>
        </is>
      </c>
      <c r="F496" s="14" t="inlineStr">
        <is>
          <t>Maxflo 560 c/w 1.1kw 4P 380V &amp; Accessories</t>
        </is>
      </c>
      <c r="G496" s="20" t="n">
        <v>1</v>
      </c>
      <c r="H496" s="19" t="n">
        <v>17426.52</v>
      </c>
      <c r="I496" s="18">
        <f>G496*H496</f>
        <v/>
      </c>
      <c r="J496" s="11" t="n"/>
      <c r="K496" s="17" t="n"/>
      <c r="L496" s="16">
        <f>K496+C496</f>
        <v/>
      </c>
      <c r="M496" s="11" t="inlineStr">
        <is>
          <t>MT</t>
        </is>
      </c>
      <c r="N496" s="15" t="n"/>
      <c r="O496" s="14" t="n"/>
      <c r="P496" s="14" t="n"/>
      <c r="Q496" s="14" t="n"/>
      <c r="R496" s="14" t="n"/>
    </row>
    <row r="497" customFormat="1" s="34">
      <c r="A497" s="14" t="inlineStr">
        <is>
          <t>FM3295</t>
        </is>
      </c>
      <c r="B497" s="14" t="n"/>
      <c r="C497" s="13" t="n">
        <v>45855</v>
      </c>
      <c r="D497" s="12" t="inlineStr">
        <is>
          <t>Cash</t>
        </is>
      </c>
      <c r="E497" s="30" t="inlineStr">
        <is>
          <t>Natal Airconditioning Solutions</t>
        </is>
      </c>
      <c r="F497" s="30" t="inlineStr">
        <is>
          <t>Lineo 315</t>
        </is>
      </c>
      <c r="G497" s="20" t="n">
        <v>1</v>
      </c>
      <c r="H497" s="19" t="n">
        <v>8266</v>
      </c>
      <c r="I497" s="18">
        <f>G497*H497</f>
        <v/>
      </c>
      <c r="J497" s="11" t="n"/>
      <c r="K497" s="17" t="n"/>
      <c r="L497" s="16">
        <f>K497+C497</f>
        <v/>
      </c>
      <c r="M497" s="11" t="inlineStr">
        <is>
          <t>SM</t>
        </is>
      </c>
      <c r="N497" s="15" t="n"/>
      <c r="O497" s="14" t="n"/>
      <c r="P497" s="14" t="n"/>
      <c r="Q497" s="14" t="n"/>
      <c r="R497" s="14" t="n"/>
    </row>
    <row r="498" customFormat="1" s="34">
      <c r="A498" s="14" t="inlineStr">
        <is>
          <t>FM3296</t>
        </is>
      </c>
      <c r="B498" s="14" t="n"/>
      <c r="C498" s="13" t="n">
        <v>45856</v>
      </c>
      <c r="D498" s="12" t="inlineStr">
        <is>
          <t>PC6/PO-3641</t>
        </is>
      </c>
      <c r="E498" s="14" t="inlineStr">
        <is>
          <t>Butec</t>
        </is>
      </c>
      <c r="F498" s="14" t="inlineStr">
        <is>
          <t>560/250/14 c/w 2.2kw 4p 380v</t>
        </is>
      </c>
      <c r="G498" s="20" t="n">
        <v>1</v>
      </c>
      <c r="H498" s="19" t="n">
        <v>18128</v>
      </c>
      <c r="I498" s="18">
        <f>G498*H498</f>
        <v/>
      </c>
      <c r="J498" s="11" t="n"/>
      <c r="K498" s="17" t="n"/>
      <c r="L498" s="16">
        <f>K498+C498</f>
        <v/>
      </c>
      <c r="M498" s="11" t="inlineStr">
        <is>
          <t>MT</t>
        </is>
      </c>
      <c r="N498" s="15" t="n"/>
      <c r="O498" s="14" t="n"/>
      <c r="P498" s="14" t="n"/>
      <c r="Q498" s="14" t="n"/>
      <c r="R498" s="14" t="n"/>
    </row>
    <row r="499" customFormat="1" s="34">
      <c r="A499" s="14" t="inlineStr">
        <is>
          <t>FM3297</t>
        </is>
      </c>
      <c r="B499" s="14" t="n"/>
      <c r="C499" s="13" t="n">
        <v>45856</v>
      </c>
      <c r="D499" s="12" t="inlineStr">
        <is>
          <t>Cash sale</t>
        </is>
      </c>
      <c r="E499" s="14" t="inlineStr">
        <is>
          <t>Breezeair technical Service</t>
        </is>
      </c>
      <c r="F499" s="14" t="inlineStr">
        <is>
          <t>LINEO 200</t>
        </is>
      </c>
      <c r="G499" s="20" t="n">
        <v>2</v>
      </c>
      <c r="H499" s="19" t="n">
        <v>7612</v>
      </c>
      <c r="I499" s="18" t="n">
        <v>7612</v>
      </c>
      <c r="J499" s="11" t="n"/>
      <c r="K499" s="17" t="n"/>
      <c r="L499" s="16">
        <f>K499+C499</f>
        <v/>
      </c>
      <c r="M499" s="11" t="inlineStr">
        <is>
          <t>MT</t>
        </is>
      </c>
      <c r="N499" s="15" t="n"/>
      <c r="O499" s="14" t="n"/>
      <c r="P499" s="14" t="n"/>
      <c r="Q499" s="14" t="n"/>
      <c r="R499" s="14" t="n"/>
    </row>
    <row r="500" customFormat="1" s="34">
      <c r="A500" s="14" t="inlineStr">
        <is>
          <t>FM3298</t>
        </is>
      </c>
      <c r="B500" s="14" t="n"/>
      <c r="C500" s="13" t="n">
        <v>45857</v>
      </c>
      <c r="D500" s="12" t="inlineStr">
        <is>
          <t>Cash sale</t>
        </is>
      </c>
      <c r="E500" s="14" t="inlineStr">
        <is>
          <t>Ubuntu</t>
        </is>
      </c>
      <c r="F500" s="14" t="inlineStr">
        <is>
          <t xml:space="preserve">LINEO 250 Quiet </t>
        </is>
      </c>
      <c r="G500" s="20" t="n">
        <v>10</v>
      </c>
      <c r="H500" s="19" t="n">
        <v>8376</v>
      </c>
      <c r="I500" s="18">
        <f>G500*H500</f>
        <v/>
      </c>
      <c r="J500" s="11" t="n"/>
      <c r="K500" s="17" t="n"/>
      <c r="L500" s="16">
        <f>K500+C500</f>
        <v/>
      </c>
      <c r="M500" s="11" t="inlineStr">
        <is>
          <t>SM</t>
        </is>
      </c>
      <c r="N500" s="15" t="n"/>
      <c r="O500" s="14" t="n"/>
      <c r="P500" s="14" t="n"/>
      <c r="Q500" s="14" t="n"/>
      <c r="R500" s="14" t="n"/>
    </row>
    <row r="501" customFormat="1" s="34">
      <c r="A501" s="14" t="inlineStr">
        <is>
          <t>FM3299</t>
        </is>
      </c>
      <c r="B501" s="14" t="n"/>
      <c r="C501" s="13" t="n">
        <v>45857</v>
      </c>
      <c r="D501" s="12" t="inlineStr">
        <is>
          <t>Cash sale</t>
        </is>
      </c>
      <c r="E501" s="14" t="inlineStr">
        <is>
          <t>SJ Global Construction</t>
        </is>
      </c>
      <c r="F501" s="14" t="inlineStr">
        <is>
          <t>Box Fans</t>
        </is>
      </c>
      <c r="G501" s="20" t="n">
        <v>1</v>
      </c>
      <c r="H501" s="19" t="n">
        <v>98120</v>
      </c>
      <c r="I501" s="18">
        <f>G501*H501</f>
        <v/>
      </c>
      <c r="J501" s="11" t="n"/>
      <c r="K501" s="17" t="n"/>
      <c r="L501" s="16">
        <f>K501+C501</f>
        <v/>
      </c>
      <c r="M501" s="11" t="inlineStr">
        <is>
          <t>SM</t>
        </is>
      </c>
      <c r="N501" s="15" t="n"/>
      <c r="O501" s="14" t="n"/>
      <c r="P501" s="14" t="n"/>
      <c r="Q501" s="14" t="n"/>
      <c r="R501" s="14" t="n"/>
    </row>
    <row r="502" customFormat="1" s="34">
      <c r="A502" s="14" t="inlineStr">
        <is>
          <t>FM3300</t>
        </is>
      </c>
      <c r="B502" s="14" t="n"/>
      <c r="C502" s="13" t="n">
        <v>45859</v>
      </c>
      <c r="D502" s="12" t="inlineStr">
        <is>
          <t>Cash sale</t>
        </is>
      </c>
      <c r="E502" s="14" t="inlineStr">
        <is>
          <t>Luft Industries Natal</t>
        </is>
      </c>
      <c r="F502" s="14" t="inlineStr">
        <is>
          <t>Vario 300/9 AR</t>
        </is>
      </c>
      <c r="G502" s="20" t="n"/>
      <c r="H502" s="19" t="n"/>
      <c r="I502" s="18">
        <f>G502*H502</f>
        <v/>
      </c>
      <c r="J502" s="11" t="n"/>
      <c r="K502" s="17" t="n"/>
      <c r="L502" s="16">
        <f>K502+C502</f>
        <v/>
      </c>
      <c r="M502" s="11" t="n"/>
      <c r="N502" s="15" t="n"/>
      <c r="O502" s="14" t="n"/>
      <c r="P502" s="14" t="n"/>
      <c r="Q502" s="14" t="n"/>
      <c r="R502" s="14" t="n"/>
    </row>
    <row r="503" customFormat="1" s="34">
      <c r="A503" s="14" t="inlineStr">
        <is>
          <t>FM3301</t>
        </is>
      </c>
      <c r="B503" s="14" t="n"/>
      <c r="C503" s="13" t="n">
        <v>45860</v>
      </c>
      <c r="D503" s="12" t="inlineStr">
        <is>
          <t>Cash sale</t>
        </is>
      </c>
      <c r="E503" s="14" t="inlineStr">
        <is>
          <t>Smarttech woman</t>
        </is>
      </c>
      <c r="F503" s="14" t="inlineStr">
        <is>
          <t>CMP514 2T</t>
        </is>
      </c>
      <c r="G503" s="20" t="n">
        <v>4</v>
      </c>
      <c r="H503" s="19" t="n">
        <v>24804</v>
      </c>
      <c r="I503" s="18" t="n">
        <v>24804</v>
      </c>
      <c r="J503" s="11" t="n"/>
      <c r="K503" s="17" t="n"/>
      <c r="L503" s="16">
        <f>K503+C503</f>
        <v/>
      </c>
      <c r="M503" s="11" t="inlineStr">
        <is>
          <t>MT</t>
        </is>
      </c>
      <c r="N503" s="15" t="n"/>
      <c r="O503" s="14" t="n"/>
      <c r="P503" s="14" t="n"/>
      <c r="Q503" s="14" t="n"/>
      <c r="R503" s="14" t="n"/>
    </row>
    <row r="504" customFormat="1" s="34">
      <c r="A504" s="14" t="inlineStr">
        <is>
          <t>FM3302</t>
        </is>
      </c>
      <c r="B504" s="14" t="n"/>
      <c r="C504" s="13" t="n">
        <v>45860</v>
      </c>
      <c r="D504" s="12" t="inlineStr">
        <is>
          <t>PO2077</t>
        </is>
      </c>
      <c r="E504" s="14" t="inlineStr">
        <is>
          <t xml:space="preserve">Hucra Fans </t>
        </is>
      </c>
      <c r="F504" s="14" t="inlineStr">
        <is>
          <t>V300/12 AR-LLS</t>
        </is>
      </c>
      <c r="G504" s="20" t="n">
        <v>6</v>
      </c>
      <c r="H504" s="19" t="n">
        <v>6629</v>
      </c>
      <c r="I504" s="18">
        <f>G504*H504</f>
        <v/>
      </c>
      <c r="J504" s="11" t="n"/>
      <c r="K504" s="17" t="n"/>
      <c r="L504" s="16">
        <f>K504+C504</f>
        <v/>
      </c>
      <c r="M504" s="11" t="inlineStr">
        <is>
          <t>ZX</t>
        </is>
      </c>
      <c r="N504" s="15" t="n"/>
      <c r="O504" s="14" t="n"/>
      <c r="P504" s="14" t="n"/>
      <c r="Q504" s="14" t="n"/>
      <c r="R504" s="14" t="n"/>
    </row>
    <row r="505" customFormat="1" s="34">
      <c r="A505" s="14" t="inlineStr">
        <is>
          <t>FM3303</t>
        </is>
      </c>
      <c r="B505" s="14" t="n"/>
      <c r="C505" s="13" t="n">
        <v>45860</v>
      </c>
      <c r="D505" s="12" t="inlineStr">
        <is>
          <t>PO2078</t>
        </is>
      </c>
      <c r="E505" s="14" t="inlineStr">
        <is>
          <t xml:space="preserve">Hucra Fans </t>
        </is>
      </c>
      <c r="F505" s="14" t="inlineStr">
        <is>
          <t>HCT-31-2T/PL</t>
        </is>
      </c>
      <c r="G505" s="20" t="n">
        <v>2</v>
      </c>
      <c r="H505" s="19" t="n">
        <v>4323</v>
      </c>
      <c r="I505" s="18">
        <f>G505*H505</f>
        <v/>
      </c>
      <c r="J505" s="11" t="n"/>
      <c r="K505" s="17" t="n"/>
      <c r="L505" s="16">
        <f>K505+C505</f>
        <v/>
      </c>
      <c r="M505" s="11" t="inlineStr">
        <is>
          <t>ZX</t>
        </is>
      </c>
      <c r="N505" s="15" t="n"/>
      <c r="O505" s="14" t="n"/>
      <c r="P505" s="14" t="n"/>
      <c r="Q505" s="14" t="n"/>
      <c r="R505" s="14" t="n"/>
    </row>
    <row r="506" customFormat="1" s="34">
      <c r="A506" s="14" t="inlineStr">
        <is>
          <t>FM3304</t>
        </is>
      </c>
      <c r="B506" s="14" t="n"/>
      <c r="C506" s="13" t="n">
        <v>45861</v>
      </c>
      <c r="D506" s="12" t="inlineStr">
        <is>
          <t>PC6/PO-3672</t>
        </is>
      </c>
      <c r="E506" s="14" t="inlineStr">
        <is>
          <t>Butec</t>
        </is>
      </c>
      <c r="F506" s="14" t="inlineStr">
        <is>
          <t>RAD 200/315 &amp; accessories</t>
        </is>
      </c>
      <c r="G506" s="20" t="n">
        <v>2</v>
      </c>
      <c r="H506" s="19" t="n">
        <v>8227.1</v>
      </c>
      <c r="I506" s="18" t="n">
        <v>8227.1</v>
      </c>
      <c r="J506" s="11" t="n"/>
      <c r="K506" s="17" t="n"/>
      <c r="L506" s="16">
        <f>K506+C506</f>
        <v/>
      </c>
      <c r="M506" s="11" t="inlineStr">
        <is>
          <t>MT</t>
        </is>
      </c>
      <c r="N506" s="15" t="n"/>
      <c r="O506" s="14" t="n"/>
      <c r="P506" s="14" t="n"/>
      <c r="Q506" s="14" t="n"/>
      <c r="R506" s="14" t="n"/>
    </row>
    <row r="507" customFormat="1" s="34">
      <c r="A507" s="14" t="inlineStr">
        <is>
          <t>FM3305</t>
        </is>
      </c>
      <c r="B507" s="14" t="n"/>
      <c r="C507" s="13" t="n">
        <v>45861</v>
      </c>
      <c r="D507" s="12" t="inlineStr">
        <is>
          <t>PO154424</t>
        </is>
      </c>
      <c r="E507" s="14" t="inlineStr">
        <is>
          <t>Luft Industries Natal</t>
        </is>
      </c>
      <c r="F507" s="14" t="inlineStr">
        <is>
          <t>V230/9 ARI</t>
        </is>
      </c>
      <c r="G507" s="20" t="n">
        <v>2</v>
      </c>
      <c r="H507" s="19" t="n">
        <v>4197</v>
      </c>
      <c r="I507" s="18">
        <f>G507*H507</f>
        <v/>
      </c>
      <c r="J507" s="11" t="n"/>
      <c r="K507" s="17" t="n"/>
      <c r="L507" s="16">
        <f>K507+C507</f>
        <v/>
      </c>
      <c r="M507" s="11" t="inlineStr">
        <is>
          <t>SM</t>
        </is>
      </c>
      <c r="N507" s="15" t="n"/>
      <c r="O507" s="14" t="n"/>
      <c r="P507" s="14" t="n"/>
      <c r="Q507" s="14" t="n"/>
      <c r="R507" s="14" t="n"/>
    </row>
    <row r="508" customFormat="1" s="34">
      <c r="A508" s="14" t="inlineStr">
        <is>
          <t>FM3306</t>
        </is>
      </c>
      <c r="B508" s="14" t="n"/>
      <c r="C508" s="13" t="n">
        <v>45862</v>
      </c>
      <c r="D508" s="12" t="inlineStr">
        <is>
          <t>Cash Sale</t>
        </is>
      </c>
      <c r="E508" s="14" t="inlineStr">
        <is>
          <t>Bluetech Fans</t>
        </is>
      </c>
      <c r="F508" s="14" t="inlineStr">
        <is>
          <t>RAD 200</t>
        </is>
      </c>
      <c r="G508" s="20" t="n">
        <v>1</v>
      </c>
      <c r="H508" s="19" t="n">
        <v>2187</v>
      </c>
      <c r="I508" s="18">
        <f>G508*H508</f>
        <v/>
      </c>
      <c r="J508" s="11" t="n"/>
      <c r="K508" s="17" t="n"/>
      <c r="L508" s="16">
        <f>K508+C508</f>
        <v/>
      </c>
      <c r="M508" s="11" t="inlineStr">
        <is>
          <t>MT</t>
        </is>
      </c>
      <c r="N508" s="15" t="n"/>
      <c r="O508" s="14" t="n"/>
      <c r="P508" s="14" t="n"/>
      <c r="Q508" s="14" t="n"/>
      <c r="R508" s="14" t="n"/>
    </row>
    <row r="509" customFormat="1" s="34">
      <c r="A509" s="14" t="inlineStr">
        <is>
          <t>FM3307</t>
        </is>
      </c>
      <c r="B509" s="14" t="n"/>
      <c r="C509" s="13" t="n">
        <v>45862</v>
      </c>
      <c r="D509" s="14" t="inlineStr">
        <is>
          <t>PO6331</t>
        </is>
      </c>
      <c r="E509" s="14" t="inlineStr">
        <is>
          <t>Aircycle Engineering CC</t>
        </is>
      </c>
      <c r="F509" s="14" t="inlineStr">
        <is>
          <t>AVMs</t>
        </is>
      </c>
      <c r="G509" s="20" t="n">
        <v>32</v>
      </c>
      <c r="H509" s="19" t="n">
        <v>100</v>
      </c>
      <c r="I509" s="18">
        <f>G509*H509</f>
        <v/>
      </c>
      <c r="J509" s="11" t="n"/>
      <c r="K509" s="17" t="n"/>
      <c r="L509" s="16">
        <f>K509+C509</f>
        <v/>
      </c>
      <c r="M509" s="11" t="inlineStr">
        <is>
          <t>SM</t>
        </is>
      </c>
      <c r="N509" s="15" t="n"/>
      <c r="O509" s="14" t="n"/>
      <c r="P509" s="14" t="n"/>
      <c r="Q509" s="14" t="n"/>
      <c r="R509" s="14" t="n"/>
    </row>
    <row r="510" customFormat="1" s="34">
      <c r="A510" s="14" t="inlineStr">
        <is>
          <t>FM3308</t>
        </is>
      </c>
      <c r="B510" s="14" t="n"/>
      <c r="C510" s="13" t="n">
        <v>45862</v>
      </c>
      <c r="D510" s="12" t="inlineStr">
        <is>
          <t>Cash</t>
        </is>
      </c>
      <c r="E510" s="14" t="inlineStr">
        <is>
          <t>Structural Mining &amp; Industrial Services</t>
        </is>
      </c>
      <c r="F510" s="14" t="inlineStr">
        <is>
          <t>Majax-2 315 15.B.8 c/w 0.55 kW 2 Pole 380V</t>
        </is>
      </c>
      <c r="G510" s="20" t="n">
        <v>2</v>
      </c>
      <c r="H510" s="19">
        <f>7654+(285*2)+(157*2)</f>
        <v/>
      </c>
      <c r="I510" s="18">
        <f>G510*H510</f>
        <v/>
      </c>
      <c r="J510" s="11" t="n"/>
      <c r="K510" s="17" t="n"/>
      <c r="L510" s="16">
        <f>K510+C510</f>
        <v/>
      </c>
      <c r="M510" s="11" t="inlineStr">
        <is>
          <t>SM</t>
        </is>
      </c>
      <c r="N510" s="15" t="n"/>
      <c r="O510" s="14" t="n"/>
      <c r="P510" s="14" t="n"/>
      <c r="Q510" s="14" t="n"/>
      <c r="R510" s="14" t="n"/>
    </row>
    <row r="511" customFormat="1" s="34">
      <c r="A511" s="14" t="inlineStr">
        <is>
          <t>FM3309</t>
        </is>
      </c>
      <c r="B511" s="14" t="n"/>
      <c r="C511" s="13" t="n">
        <v>45863</v>
      </c>
      <c r="D511" s="12" t="inlineStr">
        <is>
          <t>JPA1067-PO-010-r1</t>
        </is>
      </c>
      <c r="E511" s="14" t="inlineStr">
        <is>
          <t>Jord Proxa</t>
        </is>
      </c>
      <c r="F511" s="14" t="inlineStr">
        <is>
          <t>Special CMP 5142T SS316 and Inlet transition</t>
        </is>
      </c>
      <c r="G511" s="20" t="n">
        <v>2</v>
      </c>
      <c r="H511" s="19">
        <f>81596/G511</f>
        <v/>
      </c>
      <c r="I511" s="18">
        <f>G511*H511</f>
        <v/>
      </c>
      <c r="J511" s="11" t="n"/>
      <c r="K511" s="17" t="n"/>
      <c r="L511" s="16">
        <f>K511+C511</f>
        <v/>
      </c>
      <c r="M511" s="11" t="n"/>
      <c r="N511" s="15" t="n"/>
      <c r="O511" s="14" t="n"/>
      <c r="P511" s="14" t="n"/>
      <c r="Q511" s="14" t="n"/>
      <c r="R511" s="14" t="n"/>
    </row>
    <row r="512" customFormat="1" s="34">
      <c r="A512" s="14" t="inlineStr">
        <is>
          <t>FM3310</t>
        </is>
      </c>
      <c r="B512" s="14" t="n"/>
      <c r="C512" s="13" t="n">
        <v>45863</v>
      </c>
      <c r="D512" s="12" t="inlineStr">
        <is>
          <t>Cash Sale</t>
        </is>
      </c>
      <c r="E512" s="14" t="inlineStr">
        <is>
          <t>Cool Star Airconditioning</t>
        </is>
      </c>
      <c r="F512" s="14" t="inlineStr">
        <is>
          <t>Maxflo 315 c/w 0.55kW 2Pole</t>
        </is>
      </c>
      <c r="G512" s="20" t="n">
        <v>1</v>
      </c>
      <c r="H512" s="19" t="n"/>
      <c r="I512" s="18">
        <f>G512*H512</f>
        <v/>
      </c>
      <c r="J512" s="11" t="n"/>
      <c r="K512" s="17" t="n"/>
      <c r="L512" s="16">
        <f>K512+C512</f>
        <v/>
      </c>
      <c r="M512" s="11" t="n"/>
      <c r="N512" s="15" t="n"/>
      <c r="O512" s="14" t="n"/>
      <c r="P512" s="14" t="n"/>
      <c r="Q512" s="14" t="n"/>
      <c r="R512" s="14" t="n"/>
    </row>
    <row r="513" customFormat="1" s="34">
      <c r="A513" s="14" t="inlineStr">
        <is>
          <t>FM3311</t>
        </is>
      </c>
      <c r="B513" s="14" t="n"/>
      <c r="C513" s="13" t="n">
        <v>45863</v>
      </c>
      <c r="D513" s="12" t="inlineStr">
        <is>
          <t>Cash Sale</t>
        </is>
      </c>
      <c r="E513" s="14" t="inlineStr">
        <is>
          <t>Cool Star Airconditioning</t>
        </is>
      </c>
      <c r="F513" s="14" t="inlineStr">
        <is>
          <t>Boxed fans</t>
        </is>
      </c>
      <c r="G513" s="20" t="n">
        <v>1</v>
      </c>
      <c r="H513" s="19" t="n"/>
      <c r="I513" s="18">
        <f>G513*H513</f>
        <v/>
      </c>
      <c r="J513" s="11" t="n"/>
      <c r="K513" s="17" t="n"/>
      <c r="L513" s="16">
        <f>K513+C513</f>
        <v/>
      </c>
      <c r="M513" s="11" t="n"/>
      <c r="N513" s="15" t="n"/>
      <c r="O513" s="14" t="n"/>
      <c r="P513" s="14" t="n"/>
      <c r="Q513" s="14" t="n"/>
      <c r="R513" s="14" t="n"/>
    </row>
    <row r="514" customFormat="1" s="34">
      <c r="A514" s="14" t="inlineStr">
        <is>
          <t>FM3312</t>
        </is>
      </c>
      <c r="B514" s="14" t="n"/>
      <c r="C514" s="13" t="n">
        <v>45863</v>
      </c>
      <c r="D514" s="12" t="inlineStr">
        <is>
          <t>Cash Sale</t>
        </is>
      </c>
      <c r="E514" s="14" t="inlineStr">
        <is>
          <t xml:space="preserve">Mvelo Air </t>
        </is>
      </c>
      <c r="F514" s="14" t="inlineStr">
        <is>
          <t>CE200</t>
        </is>
      </c>
      <c r="G514" s="20" t="n">
        <v>1</v>
      </c>
      <c r="H514" s="19" t="n">
        <v>400</v>
      </c>
      <c r="I514" s="18">
        <f>G514*H514</f>
        <v/>
      </c>
      <c r="J514" s="11" t="n"/>
      <c r="K514" s="17" t="n"/>
      <c r="L514" s="16">
        <f>K514+C514</f>
        <v/>
      </c>
      <c r="M514" s="11" t="inlineStr">
        <is>
          <t>SM</t>
        </is>
      </c>
      <c r="N514" s="15" t="n"/>
      <c r="O514" s="14" t="n"/>
      <c r="P514" s="14" t="n"/>
      <c r="Q514" s="14" t="n"/>
      <c r="R514" s="14" t="n"/>
    </row>
    <row r="515" customFormat="1" s="34">
      <c r="A515" s="14" t="inlineStr">
        <is>
          <t>FM3313</t>
        </is>
      </c>
      <c r="B515" s="14" t="n"/>
      <c r="C515" s="13" t="n">
        <v>45863</v>
      </c>
      <c r="D515" s="12" t="inlineStr">
        <is>
          <t>PO:OA16363</t>
        </is>
      </c>
      <c r="E515" s="14" t="inlineStr">
        <is>
          <t>Optimal Air</t>
        </is>
      </c>
      <c r="F515" s="14" t="inlineStr">
        <is>
          <t>HJMB-Plus-50-T4-0.55kw &amp; Louvre</t>
        </is>
      </c>
      <c r="G515" s="20" t="n">
        <v>1</v>
      </c>
      <c r="H515" s="19" t="n">
        <v>9920</v>
      </c>
      <c r="I515" s="18">
        <f>G515*H515</f>
        <v/>
      </c>
      <c r="J515" s="11" t="n"/>
      <c r="K515" s="17" t="n"/>
      <c r="L515" s="16">
        <f>K515+C515</f>
        <v/>
      </c>
      <c r="M515" s="11" t="inlineStr">
        <is>
          <t>MT</t>
        </is>
      </c>
      <c r="N515" s="15" t="n"/>
      <c r="O515" s="14" t="n"/>
      <c r="P515" s="14" t="n"/>
      <c r="Q515" s="14" t="n"/>
      <c r="R515" s="14" t="n"/>
    </row>
    <row r="516" customFormat="1" s="34">
      <c r="A516" s="14" t="inlineStr">
        <is>
          <t>FM3314</t>
        </is>
      </c>
      <c r="B516" s="14" t="n"/>
      <c r="C516" s="13" t="n">
        <v>45866</v>
      </c>
      <c r="D516" s="12" t="inlineStr">
        <is>
          <t>PO18907</t>
        </is>
      </c>
      <c r="E516" s="14" t="inlineStr">
        <is>
          <t>Airmach systems (Pty) Ltd</t>
        </is>
      </c>
      <c r="F516" s="14" t="inlineStr">
        <is>
          <t>CMP 616-2T 380V</t>
        </is>
      </c>
      <c r="G516" s="20" t="n">
        <v>1</v>
      </c>
      <c r="H516" s="19" t="n">
        <v>7461</v>
      </c>
      <c r="I516" s="18">
        <f>G516*H516</f>
        <v/>
      </c>
      <c r="J516" s="11" t="n"/>
      <c r="K516" s="17" t="n"/>
      <c r="L516" s="16">
        <f>K516+C516</f>
        <v/>
      </c>
      <c r="M516" s="11" t="inlineStr">
        <is>
          <t>MT</t>
        </is>
      </c>
      <c r="N516" s="15" t="n"/>
      <c r="O516" s="14" t="n"/>
      <c r="P516" s="14" t="n"/>
      <c r="Q516" s="14" t="n"/>
      <c r="R516" s="14" t="n"/>
    </row>
    <row r="517" customFormat="1" s="34">
      <c r="A517" s="14" t="inlineStr">
        <is>
          <t>FM3315</t>
        </is>
      </c>
      <c r="B517" s="14" t="n"/>
      <c r="C517" s="13" t="n">
        <v>45866</v>
      </c>
      <c r="D517" s="12" t="inlineStr">
        <is>
          <t>Cash Sale</t>
        </is>
      </c>
      <c r="E517" s="14" t="inlineStr">
        <is>
          <t>Arctic Air</t>
        </is>
      </c>
      <c r="F517" s="14" t="inlineStr">
        <is>
          <t>Maxflo 500/150/10 c/w1.1kw 4P 380V &amp; Accesories</t>
        </is>
      </c>
      <c r="G517" s="20" t="n">
        <v>1</v>
      </c>
      <c r="H517" s="19" t="n">
        <v>9633.110000000001</v>
      </c>
      <c r="I517" s="18">
        <f>G517*H517</f>
        <v/>
      </c>
      <c r="J517" s="11" t="n"/>
      <c r="K517" s="17" t="n"/>
      <c r="L517" s="16">
        <f>K517+C517</f>
        <v/>
      </c>
      <c r="M517" s="11" t="inlineStr">
        <is>
          <t>MT</t>
        </is>
      </c>
      <c r="N517" s="15" t="n"/>
      <c r="O517" s="14" t="n"/>
      <c r="P517" s="14" t="n"/>
      <c r="Q517" s="14" t="n"/>
      <c r="R517" s="14" t="n"/>
    </row>
    <row r="518" customFormat="1" s="34">
      <c r="A518" s="14" t="inlineStr">
        <is>
          <t>FM3316</t>
        </is>
      </c>
      <c r="B518" s="14" t="n"/>
      <c r="C518" s="13" t="n">
        <v>45868</v>
      </c>
      <c r="D518" s="12" t="inlineStr">
        <is>
          <t>Cash Sale</t>
        </is>
      </c>
      <c r="E518" s="14" t="inlineStr">
        <is>
          <t>Vortron</t>
        </is>
      </c>
      <c r="F518" s="14" t="inlineStr">
        <is>
          <t>Maxflo 560 c/w 1.5kW 4Pole</t>
        </is>
      </c>
      <c r="G518" s="20" t="n">
        <v>1</v>
      </c>
      <c r="H518" s="19" t="n">
        <v>12703.46</v>
      </c>
      <c r="I518" s="18">
        <f>G518*H518</f>
        <v/>
      </c>
      <c r="J518" s="11" t="n"/>
      <c r="K518" s="17" t="n"/>
      <c r="L518" s="16">
        <f>K518+C518</f>
        <v/>
      </c>
      <c r="M518" s="11" t="inlineStr">
        <is>
          <t>ST</t>
        </is>
      </c>
      <c r="N518" s="15" t="n"/>
      <c r="O518" s="14" t="n"/>
      <c r="P518" s="14" t="n"/>
      <c r="Q518" s="14" t="n"/>
      <c r="R518" s="14" t="n"/>
    </row>
    <row r="519" customFormat="1" s="34">
      <c r="A519" s="14" t="inlineStr">
        <is>
          <t>FM3317</t>
        </is>
      </c>
      <c r="B519" s="14" t="n"/>
      <c r="C519" s="13" t="n">
        <v>45868</v>
      </c>
      <c r="D519" s="12" t="inlineStr">
        <is>
          <t>Cash Sale</t>
        </is>
      </c>
      <c r="E519" s="14" t="inlineStr">
        <is>
          <t>Vortron</t>
        </is>
      </c>
      <c r="F519" s="14" t="inlineStr">
        <is>
          <t>Maxflo 560 c/w 1.1kw 4P 380V &amp; Accessories</t>
        </is>
      </c>
      <c r="G519" s="20" t="n">
        <v>2</v>
      </c>
      <c r="H519" s="19" t="n">
        <v>12305.85</v>
      </c>
      <c r="I519" s="18">
        <f>G519*H519</f>
        <v/>
      </c>
      <c r="J519" s="11" t="n"/>
      <c r="K519" s="17" t="n"/>
      <c r="L519" s="16">
        <f>K519+C519</f>
        <v/>
      </c>
      <c r="M519" s="11" t="inlineStr">
        <is>
          <t>ST</t>
        </is>
      </c>
      <c r="N519" s="15" t="n"/>
      <c r="O519" s="14" t="n"/>
      <c r="P519" s="14" t="n"/>
      <c r="Q519" s="14" t="n"/>
      <c r="R519" s="14" t="n"/>
    </row>
    <row r="520" customFormat="1" s="34">
      <c r="A520" s="14" t="inlineStr">
        <is>
          <t>FM3318</t>
        </is>
      </c>
      <c r="B520" s="14" t="n"/>
      <c r="C520" s="13" t="n">
        <v>45868</v>
      </c>
      <c r="D520" s="12" t="inlineStr">
        <is>
          <t>Cash Sale</t>
        </is>
      </c>
      <c r="E520" s="14" t="inlineStr">
        <is>
          <t>Vortron</t>
        </is>
      </c>
      <c r="F520" s="14" t="inlineStr">
        <is>
          <t>Maxflo 800 c/w 1.5kW 4Pole</t>
        </is>
      </c>
      <c r="G520" s="20" t="n">
        <v>1</v>
      </c>
      <c r="H520" s="19" t="n">
        <v>16033.77</v>
      </c>
      <c r="I520" s="18">
        <f>G520*H520</f>
        <v/>
      </c>
      <c r="J520" s="11" t="n"/>
      <c r="K520" s="17" t="n"/>
      <c r="L520" s="16">
        <f>K520+C520</f>
        <v/>
      </c>
      <c r="M520" s="11" t="inlineStr">
        <is>
          <t>ST</t>
        </is>
      </c>
      <c r="N520" s="15" t="n"/>
      <c r="O520" s="14" t="n"/>
      <c r="P520" s="14" t="n"/>
      <c r="Q520" s="14" t="n"/>
      <c r="R520" s="14" t="n"/>
    </row>
    <row r="521" customFormat="1" s="34">
      <c r="A521" s="14" t="inlineStr">
        <is>
          <t>FM3319</t>
        </is>
      </c>
      <c r="B521" s="14" t="n"/>
      <c r="C521" s="13" t="n">
        <v>45868</v>
      </c>
      <c r="D521" s="12" t="inlineStr">
        <is>
          <t>Cash Sale</t>
        </is>
      </c>
      <c r="E521" s="14" t="inlineStr">
        <is>
          <t>Vortron</t>
        </is>
      </c>
      <c r="F521" s="14" t="inlineStr">
        <is>
          <t>Maxflo 560 c/w 0.75kW 4P + Accessories</t>
        </is>
      </c>
      <c r="G521" s="20" t="n">
        <v>2</v>
      </c>
      <c r="H521" s="19" t="n">
        <v>11620.52</v>
      </c>
      <c r="I521" s="18">
        <f>G521*H521</f>
        <v/>
      </c>
      <c r="J521" s="11" t="n"/>
      <c r="K521" s="17" t="n"/>
      <c r="L521" s="16">
        <f>K521+C521</f>
        <v/>
      </c>
      <c r="M521" s="11" t="inlineStr">
        <is>
          <t>ST</t>
        </is>
      </c>
      <c r="N521" s="15" t="n"/>
      <c r="O521" s="14" t="n"/>
      <c r="P521" s="14" t="n"/>
      <c r="Q521" s="14" t="n"/>
      <c r="R521" s="14" t="n"/>
    </row>
    <row r="522" customFormat="1" s="34">
      <c r="A522" s="14" t="inlineStr">
        <is>
          <t>FM3320</t>
        </is>
      </c>
      <c r="B522" s="14" t="n"/>
      <c r="C522" s="13" t="n">
        <v>45868</v>
      </c>
      <c r="D522" s="12" t="inlineStr">
        <is>
          <t>Cash Sale</t>
        </is>
      </c>
      <c r="E522" s="14" t="inlineStr">
        <is>
          <t>Vortron</t>
        </is>
      </c>
      <c r="F522" s="14" t="inlineStr">
        <is>
          <t>Maxflo 560 c/w 0.55kW 4P + Accessories</t>
        </is>
      </c>
      <c r="G522" s="20" t="n">
        <v>2</v>
      </c>
      <c r="H522" s="19" t="n">
        <v>11520.52</v>
      </c>
      <c r="I522" s="18">
        <f>G522*H522</f>
        <v/>
      </c>
      <c r="J522" s="11" t="n"/>
      <c r="K522" s="17" t="n"/>
      <c r="L522" s="16">
        <f>K522+C522</f>
        <v/>
      </c>
      <c r="M522" s="11" t="inlineStr">
        <is>
          <t>ST</t>
        </is>
      </c>
      <c r="N522" s="15" t="n"/>
      <c r="O522" s="14" t="n"/>
      <c r="P522" s="14" t="n"/>
      <c r="Q522" s="14" t="n"/>
      <c r="R522" s="14" t="n"/>
    </row>
    <row r="523" customFormat="1" s="34">
      <c r="A523" s="14" t="inlineStr">
        <is>
          <t>FM3321</t>
        </is>
      </c>
      <c r="B523" s="14" t="n"/>
      <c r="C523" s="13" t="n">
        <v>45868</v>
      </c>
      <c r="D523" s="12" t="inlineStr">
        <is>
          <t>Cash Sale</t>
        </is>
      </c>
      <c r="E523" s="14" t="inlineStr">
        <is>
          <t>Kenneth</t>
        </is>
      </c>
      <c r="F523" s="14" t="inlineStr">
        <is>
          <t>RAD 200</t>
        </is>
      </c>
      <c r="G523" s="20" t="n">
        <v>1</v>
      </c>
      <c r="H523" s="19" t="n">
        <v>2187</v>
      </c>
      <c r="I523" s="18">
        <f>G523*H523</f>
        <v/>
      </c>
      <c r="J523" s="11" t="n"/>
      <c r="K523" s="17" t="n"/>
      <c r="L523" s="16">
        <f>K523+C523</f>
        <v/>
      </c>
      <c r="M523" s="11" t="inlineStr">
        <is>
          <t>SM</t>
        </is>
      </c>
      <c r="N523" s="15" t="n"/>
      <c r="O523" s="14" t="n"/>
      <c r="P523" s="14" t="n"/>
      <c r="Q523" s="14" t="n"/>
      <c r="R523" s="14" t="n"/>
    </row>
    <row r="524" customFormat="1" s="34">
      <c r="A524" s="14" t="inlineStr">
        <is>
          <t>FM3322</t>
        </is>
      </c>
      <c r="B524" s="14" t="n"/>
      <c r="C524" s="13" t="n">
        <v>45868</v>
      </c>
      <c r="D524" s="12" t="inlineStr">
        <is>
          <t>Cash Sale</t>
        </is>
      </c>
      <c r="E524" s="14" t="inlineStr">
        <is>
          <t>Bidvest</t>
        </is>
      </c>
      <c r="F524" s="14" t="inlineStr">
        <is>
          <t>Boxed Fans</t>
        </is>
      </c>
      <c r="G524" s="20" t="n">
        <v>1</v>
      </c>
      <c r="H524" s="19" t="n">
        <v>11892</v>
      </c>
      <c r="I524" s="18">
        <f>G524*H524</f>
        <v/>
      </c>
      <c r="J524" s="11" t="n"/>
      <c r="K524" s="17" t="n"/>
      <c r="L524" s="16">
        <f>K524+C524</f>
        <v/>
      </c>
      <c r="M524" s="11" t="inlineStr">
        <is>
          <t>ST</t>
        </is>
      </c>
      <c r="N524" s="15" t="n"/>
      <c r="O524" s="14" t="n"/>
      <c r="P524" s="14" t="n"/>
      <c r="Q524" s="14" t="n"/>
      <c r="R524" s="14" t="n"/>
    </row>
    <row r="525" customFormat="1" s="34">
      <c r="A525" s="14" t="inlineStr">
        <is>
          <t>FM3323</t>
        </is>
      </c>
      <c r="B525" s="14" t="n"/>
      <c r="C525" s="13" t="n">
        <v>45869</v>
      </c>
      <c r="D525" s="12" t="inlineStr">
        <is>
          <t>P2663448</t>
        </is>
      </c>
      <c r="E525" s="14" t="inlineStr">
        <is>
          <t>Noble Motors</t>
        </is>
      </c>
      <c r="F525" s="14" t="inlineStr">
        <is>
          <t>RB9/1 c/w 2.2kW 2P 380V</t>
        </is>
      </c>
      <c r="G525" s="20" t="n">
        <v>2</v>
      </c>
      <c r="H525" s="19" t="n">
        <v>44400</v>
      </c>
      <c r="I525" s="18">
        <f>G525*H525</f>
        <v/>
      </c>
      <c r="J525" s="11" t="n"/>
      <c r="K525" s="17" t="n"/>
      <c r="L525" s="16">
        <f>K525+C525</f>
        <v/>
      </c>
      <c r="M525" s="11" t="inlineStr">
        <is>
          <t>SM</t>
        </is>
      </c>
      <c r="N525" s="15" t="n"/>
      <c r="O525" s="14" t="n"/>
      <c r="P525" s="14" t="n"/>
      <c r="Q525" s="14" t="n"/>
      <c r="R525" s="14" t="n"/>
    </row>
    <row r="526" customFormat="1" s="34">
      <c r="A526" s="14" t="inlineStr">
        <is>
          <t>FM3324</t>
        </is>
      </c>
      <c r="B526" s="14" t="n"/>
      <c r="C526" s="13" t="n">
        <v>45869</v>
      </c>
      <c r="D526" s="12" t="inlineStr">
        <is>
          <t>PO-00009371</t>
        </is>
      </c>
      <c r="E526" s="30" t="inlineStr">
        <is>
          <t>CONTROL SYSTEMS TECHNOLOGY CC</t>
        </is>
      </c>
      <c r="F526" s="30" t="inlineStr">
        <is>
          <t>MAJAX-2 560 c/w 4,00KW 2P 380V</t>
        </is>
      </c>
      <c r="G526" s="20" t="n">
        <v>2</v>
      </c>
      <c r="H526" s="19">
        <f>12177+(2*387)+(4*288)</f>
        <v/>
      </c>
      <c r="I526" s="18">
        <f>G526*H526</f>
        <v/>
      </c>
      <c r="J526" s="11" t="n"/>
      <c r="K526" s="17" t="n"/>
      <c r="L526" s="16">
        <f>K526+C526</f>
        <v/>
      </c>
      <c r="M526" s="11" t="inlineStr">
        <is>
          <t>SM</t>
        </is>
      </c>
      <c r="N526" s="15" t="n"/>
      <c r="O526" s="14" t="n"/>
      <c r="P526" s="14" t="n"/>
      <c r="Q526" s="14" t="n"/>
      <c r="R526" s="14" t="n"/>
    </row>
    <row r="527" customFormat="1" s="34">
      <c r="A527" s="14" t="inlineStr">
        <is>
          <t>FM3325</t>
        </is>
      </c>
      <c r="B527" s="14" t="n"/>
      <c r="C527" s="13" t="n">
        <v>45869</v>
      </c>
      <c r="D527" s="12" t="inlineStr">
        <is>
          <t>Cash sale</t>
        </is>
      </c>
      <c r="E527" s="14" t="inlineStr">
        <is>
          <t>Invester Amalgam pty ltd</t>
        </is>
      </c>
      <c r="F527" s="14" t="inlineStr">
        <is>
          <t>Tiracamino</t>
        </is>
      </c>
      <c r="G527" s="20" t="n">
        <v>1</v>
      </c>
      <c r="H527" s="19" t="n">
        <v>11876</v>
      </c>
      <c r="I527" s="18">
        <f>G527*H527</f>
        <v/>
      </c>
      <c r="J527" s="11" t="n"/>
      <c r="K527" s="17" t="n"/>
      <c r="L527" s="16">
        <f>K527+C527</f>
        <v/>
      </c>
      <c r="M527" s="11" t="inlineStr">
        <is>
          <t>SM</t>
        </is>
      </c>
      <c r="N527" s="15" t="n"/>
      <c r="O527" s="14" t="n"/>
      <c r="P527" s="14" t="n"/>
      <c r="Q527" s="14" t="n"/>
      <c r="R527" s="14" t="n"/>
    </row>
    <row r="528" customFormat="1" s="34">
      <c r="A528" s="14" t="inlineStr">
        <is>
          <t>FM3326</t>
        </is>
      </c>
      <c r="B528" s="14" t="n"/>
      <c r="C528" s="13" t="n">
        <v>45869</v>
      </c>
      <c r="D528" s="12" t="inlineStr">
        <is>
          <t>Cash Sale</t>
        </is>
      </c>
      <c r="E528" s="14" t="inlineStr">
        <is>
          <t>Tiro Access</t>
        </is>
      </c>
      <c r="F528" s="14" t="inlineStr">
        <is>
          <t>Bellax 800 c/w 1.1kW motor</t>
        </is>
      </c>
      <c r="G528" s="20" t="n">
        <v>2</v>
      </c>
      <c r="H528" s="19" t="n">
        <v>24352</v>
      </c>
      <c r="I528" s="18">
        <f>G528*H528</f>
        <v/>
      </c>
      <c r="J528" s="11" t="n"/>
      <c r="K528" s="17" t="n"/>
      <c r="L528" s="16">
        <f>K528+C528</f>
        <v/>
      </c>
      <c r="M528" s="11" t="inlineStr">
        <is>
          <t>ST</t>
        </is>
      </c>
      <c r="N528" s="15" t="n"/>
      <c r="O528" s="14" t="n"/>
      <c r="P528" s="14" t="n"/>
      <c r="Q528" s="14" t="n"/>
      <c r="R528" s="14" t="n"/>
    </row>
    <row r="529" customFormat="1" s="34">
      <c r="A529" s="14" t="inlineStr">
        <is>
          <t>FM3327</t>
        </is>
      </c>
      <c r="B529" s="14" t="n"/>
      <c r="C529" s="13" t="n">
        <v>45869</v>
      </c>
      <c r="D529" s="12" t="inlineStr">
        <is>
          <t>PO 443</t>
        </is>
      </c>
      <c r="E529" s="30" t="inlineStr">
        <is>
          <t>Dawaila Group</t>
        </is>
      </c>
      <c r="F529" s="30" t="inlineStr">
        <is>
          <t>MAJAX-2 630 c/w 1,50KW 4P 380V</t>
        </is>
      </c>
      <c r="G529" s="20" t="n">
        <v>1</v>
      </c>
      <c r="H529" s="19" t="n">
        <v>11832</v>
      </c>
      <c r="I529" s="18">
        <f>G529*H529</f>
        <v/>
      </c>
      <c r="J529" s="11" t="n"/>
      <c r="K529" s="17" t="n"/>
      <c r="L529" s="16">
        <f>K529+C529</f>
        <v/>
      </c>
      <c r="M529" s="11" t="inlineStr">
        <is>
          <t>SM</t>
        </is>
      </c>
      <c r="N529" s="15" t="n"/>
      <c r="O529" s="14" t="n"/>
      <c r="P529" s="14" t="n"/>
      <c r="Q529" s="14" t="n"/>
      <c r="R529" s="14" t="n"/>
    </row>
    <row r="530" customFormat="1" s="34">
      <c r="A530" s="14" t="inlineStr">
        <is>
          <t>FM3328</t>
        </is>
      </c>
      <c r="B530" s="14" t="n"/>
      <c r="C530" s="13" t="n">
        <v>45869</v>
      </c>
      <c r="D530" s="12" t="inlineStr">
        <is>
          <t>PO 443</t>
        </is>
      </c>
      <c r="E530" s="30" t="inlineStr">
        <is>
          <t>Dawaila Group</t>
        </is>
      </c>
      <c r="F530" s="30" t="inlineStr">
        <is>
          <t>MAJAX-2 315 c/w 0,55KW 2P 380V</t>
        </is>
      </c>
      <c r="G530" s="20" t="n">
        <v>1</v>
      </c>
      <c r="H530" s="19" t="n">
        <v>6196</v>
      </c>
      <c r="I530" s="18">
        <f>G530*H530</f>
        <v/>
      </c>
      <c r="J530" s="11" t="n"/>
      <c r="K530" s="17" t="n"/>
      <c r="L530" s="16">
        <f>K530+C530</f>
        <v/>
      </c>
      <c r="M530" s="11" t="inlineStr">
        <is>
          <t>SM</t>
        </is>
      </c>
      <c r="N530" s="15" t="n"/>
      <c r="O530" s="14" t="n"/>
      <c r="P530" s="14" t="n"/>
      <c r="Q530" s="14" t="n"/>
      <c r="R530" s="14" t="n"/>
    </row>
    <row r="531" customFormat="1" s="34">
      <c r="A531" s="14" t="inlineStr">
        <is>
          <t>FM3329</t>
        </is>
      </c>
      <c r="B531" s="14" t="n"/>
      <c r="C531" s="13" t="n">
        <v>45870</v>
      </c>
      <c r="D531" s="12" t="inlineStr">
        <is>
          <t>PO0000772</t>
        </is>
      </c>
      <c r="E531" s="14" t="inlineStr">
        <is>
          <t>MK Technical Services</t>
        </is>
      </c>
      <c r="F531" s="14" t="inlineStr">
        <is>
          <t>KSA-500-4K-T - 380V</t>
        </is>
      </c>
      <c r="G531" s="20" t="n">
        <v>1</v>
      </c>
      <c r="H531" s="19" t="n">
        <v>5101</v>
      </c>
      <c r="I531" s="18">
        <f>G531*H531</f>
        <v/>
      </c>
      <c r="J531" s="11" t="n"/>
      <c r="K531" s="17" t="n"/>
      <c r="L531" s="16">
        <f>K531+C531</f>
        <v/>
      </c>
      <c r="M531" s="11" t="inlineStr">
        <is>
          <t>SM</t>
        </is>
      </c>
      <c r="N531" s="15" t="n"/>
      <c r="O531" s="14" t="n"/>
      <c r="P531" s="14" t="n"/>
      <c r="Q531" s="14" t="n"/>
      <c r="R531" s="14" t="n"/>
    </row>
    <row r="532" customFormat="1" s="34">
      <c r="A532" s="14" t="inlineStr">
        <is>
          <t>FM3330</t>
        </is>
      </c>
      <c r="B532" s="14" t="n"/>
      <c r="C532" s="13" t="n">
        <v>45873</v>
      </c>
      <c r="D532" s="12" t="inlineStr">
        <is>
          <t>MP014728</t>
        </is>
      </c>
      <c r="E532" s="14" t="inlineStr">
        <is>
          <t>Midstone Engineering t/a Midair</t>
        </is>
      </c>
      <c r="F532" s="14" t="inlineStr">
        <is>
          <t>Tiracamino</t>
        </is>
      </c>
      <c r="G532" s="20" t="n">
        <v>1</v>
      </c>
      <c r="H532" s="19" t="n">
        <v>12502</v>
      </c>
      <c r="I532" s="18">
        <f>G532*H532</f>
        <v/>
      </c>
      <c r="J532" s="11" t="n"/>
      <c r="K532" s="17" t="n"/>
      <c r="L532" s="16">
        <f>K532+C532</f>
        <v/>
      </c>
      <c r="M532" s="11" t="inlineStr">
        <is>
          <t>MT</t>
        </is>
      </c>
      <c r="N532" s="15" t="n"/>
      <c r="O532" s="14" t="n"/>
      <c r="P532" s="14" t="n"/>
      <c r="Q532" s="14" t="n"/>
      <c r="R532" s="14" t="n"/>
    </row>
    <row r="533" customFormat="1" s="34">
      <c r="A533" s="14" t="inlineStr">
        <is>
          <t>FM3331</t>
        </is>
      </c>
      <c r="B533" s="14" t="n"/>
      <c r="C533" s="13" t="n">
        <v>45873</v>
      </c>
      <c r="D533" s="12" t="inlineStr">
        <is>
          <t>Cash Sale</t>
        </is>
      </c>
      <c r="E533" s="14" t="inlineStr">
        <is>
          <t>Arctic Air</t>
        </is>
      </c>
      <c r="F533" s="14" t="inlineStr">
        <is>
          <t>500 Diam 1.5D Podded</t>
        </is>
      </c>
      <c r="G533" s="20" t="n">
        <v>1</v>
      </c>
      <c r="H533" s="19" t="n">
        <v>2504</v>
      </c>
      <c r="I533" s="18">
        <f>G533*H533</f>
        <v/>
      </c>
      <c r="J533" s="11" t="n"/>
      <c r="K533" s="17" t="n"/>
      <c r="L533" s="16">
        <f>K533+C533</f>
        <v/>
      </c>
      <c r="M533" s="11" t="inlineStr">
        <is>
          <t>MT</t>
        </is>
      </c>
      <c r="N533" s="15" t="n"/>
      <c r="O533" s="14" t="n"/>
      <c r="P533" s="14" t="n"/>
      <c r="Q533" s="14" t="n"/>
      <c r="R533" s="14" t="n"/>
    </row>
    <row r="534" customFormat="1" s="34">
      <c r="A534" s="14" t="inlineStr">
        <is>
          <t>FM3332</t>
        </is>
      </c>
      <c r="B534" s="14" t="n"/>
      <c r="C534" s="13" t="n">
        <v>45874</v>
      </c>
      <c r="D534" s="12" t="inlineStr">
        <is>
          <t xml:space="preserve"> PO137249</t>
        </is>
      </c>
      <c r="E534" s="14" t="inlineStr">
        <is>
          <t>Howden Power</t>
        </is>
      </c>
      <c r="F534" s="14" t="inlineStr">
        <is>
          <t>V150/6 AR</t>
        </is>
      </c>
      <c r="G534" s="20" t="n">
        <v>6</v>
      </c>
      <c r="H534" s="19" t="n">
        <v>1937</v>
      </c>
      <c r="I534" s="18">
        <f>G534*H534</f>
        <v/>
      </c>
      <c r="J534" s="11" t="n"/>
      <c r="K534" s="17" t="n"/>
      <c r="L534" s="16">
        <f>K534+C534</f>
        <v/>
      </c>
      <c r="M534" s="11" t="inlineStr">
        <is>
          <t>ST</t>
        </is>
      </c>
      <c r="N534" s="15" t="n"/>
      <c r="O534" s="14" t="n"/>
      <c r="P534" s="14" t="n"/>
      <c r="Q534" s="14" t="n"/>
      <c r="R534" s="14" t="n"/>
    </row>
    <row r="535" customFormat="1" s="34">
      <c r="A535" s="14" t="inlineStr">
        <is>
          <t>FM3333</t>
        </is>
      </c>
      <c r="B535" s="14" t="n"/>
      <c r="C535" s="13" t="n">
        <v>45875</v>
      </c>
      <c r="D535" s="12" t="inlineStr">
        <is>
          <t>PO116042</t>
        </is>
      </c>
      <c r="E535" s="14" t="inlineStr">
        <is>
          <t>Boleng</t>
        </is>
      </c>
      <c r="F535" s="14" t="inlineStr">
        <is>
          <t>Lineo Q 150</t>
        </is>
      </c>
      <c r="G535" s="20" t="n">
        <v>2</v>
      </c>
      <c r="H535" s="19" t="n">
        <v>3191</v>
      </c>
      <c r="I535" s="18">
        <f>G535*H535</f>
        <v/>
      </c>
      <c r="J535" s="11" t="n"/>
      <c r="K535" s="17" t="n"/>
      <c r="L535" s="16">
        <f>K535+C535</f>
        <v/>
      </c>
      <c r="M535" s="11" t="inlineStr">
        <is>
          <t>MT</t>
        </is>
      </c>
      <c r="N535" s="15" t="n"/>
      <c r="O535" s="14" t="n"/>
      <c r="P535" s="14" t="n"/>
      <c r="Q535" s="14" t="n"/>
      <c r="R535" s="14" t="n"/>
    </row>
    <row r="536" customFormat="1" s="34">
      <c r="A536" s="14" t="inlineStr">
        <is>
          <t>FM3334</t>
        </is>
      </c>
      <c r="B536" s="14" t="n"/>
      <c r="C536" s="13" t="n">
        <v>45876</v>
      </c>
      <c r="D536" s="12" t="inlineStr">
        <is>
          <t>Cash Sale</t>
        </is>
      </c>
      <c r="E536" s="14" t="inlineStr">
        <is>
          <t>PH Energy Systems</t>
        </is>
      </c>
      <c r="F536" s="14" t="inlineStr">
        <is>
          <t>630/250/14 Poly-Prop 28mm Bore - Form B to suit  2.2Kw 4P 380V</t>
        </is>
      </c>
      <c r="G536" s="20" t="n">
        <v>1</v>
      </c>
      <c r="H536" s="19" t="n">
        <v>3646</v>
      </c>
      <c r="I536" s="18">
        <f>G536*H536</f>
        <v/>
      </c>
      <c r="J536" s="11" t="n"/>
      <c r="K536" s="17" t="n"/>
      <c r="L536" s="16">
        <f>K536+C536</f>
        <v/>
      </c>
      <c r="M536" s="11" t="inlineStr">
        <is>
          <t>ST</t>
        </is>
      </c>
      <c r="N536" s="15" t="n"/>
      <c r="O536" s="14" t="n"/>
      <c r="P536" s="14" t="n"/>
      <c r="Q536" s="14" t="n"/>
      <c r="R536" s="14" t="n"/>
    </row>
    <row r="537" customFormat="1" s="34">
      <c r="A537" s="14" t="inlineStr">
        <is>
          <t>FM3335</t>
        </is>
      </c>
      <c r="B537" s="14" t="n"/>
      <c r="C537" s="13" t="n">
        <v>45876</v>
      </c>
      <c r="D537" s="12" t="inlineStr">
        <is>
          <t>SP731868</t>
        </is>
      </c>
      <c r="E537" s="14" t="inlineStr">
        <is>
          <t>D-teq Air (Pty) Ltd</t>
        </is>
      </c>
      <c r="F537" s="14" t="inlineStr">
        <is>
          <t>Maxflo 630/250/14 P c/w 3 kW 4 P</t>
        </is>
      </c>
      <c r="G537" s="20" t="n">
        <v>1</v>
      </c>
      <c r="H537" s="19" t="n">
        <v>10148.88</v>
      </c>
      <c r="I537" s="18">
        <f>G537*H537</f>
        <v/>
      </c>
      <c r="J537" s="11" t="n"/>
      <c r="K537" s="17" t="n"/>
      <c r="L537" s="16">
        <f>K537+C537</f>
        <v/>
      </c>
      <c r="M537" s="11" t="inlineStr">
        <is>
          <t>MT</t>
        </is>
      </c>
      <c r="N537" s="15" t="n"/>
      <c r="O537" s="14" t="n"/>
      <c r="P537" s="14" t="n"/>
      <c r="Q537" s="14" t="n"/>
      <c r="R537" s="14" t="n"/>
    </row>
    <row r="538" customFormat="1" s="34">
      <c r="A538" s="14" t="inlineStr">
        <is>
          <t>FM3336</t>
        </is>
      </c>
      <c r="B538" s="14" t="n"/>
      <c r="C538" s="13" t="n">
        <v>45876</v>
      </c>
      <c r="D538" s="12" t="inlineStr">
        <is>
          <t xml:space="preserve">PO2085 </t>
        </is>
      </c>
      <c r="E538" s="14" t="inlineStr">
        <is>
          <t xml:space="preserve">Hucra Fans </t>
        </is>
      </c>
      <c r="F538" s="14" t="inlineStr">
        <is>
          <t>V300/12 AR-LLS</t>
        </is>
      </c>
      <c r="G538" s="20" t="n">
        <v>1</v>
      </c>
      <c r="H538" s="19" t="n">
        <v>6906</v>
      </c>
      <c r="I538" s="18">
        <f>G538*H538</f>
        <v/>
      </c>
      <c r="J538" s="11" t="n"/>
      <c r="K538" s="17" t="n"/>
      <c r="L538" s="16">
        <f>K538+C538</f>
        <v/>
      </c>
      <c r="M538" s="11" t="inlineStr">
        <is>
          <t>ZX</t>
        </is>
      </c>
      <c r="N538" s="15" t="n"/>
      <c r="O538" s="14" t="n"/>
      <c r="P538" s="14" t="n"/>
      <c r="Q538" s="14" t="n"/>
      <c r="R538" s="14" t="n"/>
    </row>
    <row r="539" customFormat="1" s="34">
      <c r="A539" s="14" t="inlineStr">
        <is>
          <t>FM3337</t>
        </is>
      </c>
      <c r="B539" s="14" t="n"/>
      <c r="C539" s="13" t="n">
        <v>45876</v>
      </c>
      <c r="D539" s="12" t="inlineStr">
        <is>
          <t>Cash sale</t>
        </is>
      </c>
      <c r="E539" s="14" t="inlineStr">
        <is>
          <t>Superbond Construction</t>
        </is>
      </c>
      <c r="F539" s="14" t="inlineStr">
        <is>
          <t>Various Fans</t>
        </is>
      </c>
      <c r="G539" s="20" t="n">
        <v>12</v>
      </c>
      <c r="H539" s="19" t="n">
        <v>2242.5</v>
      </c>
      <c r="I539" s="18">
        <f>G539*H539</f>
        <v/>
      </c>
      <c r="J539" s="11" t="n"/>
      <c r="K539" s="17" t="n"/>
      <c r="L539" s="16">
        <f>K539+C539</f>
        <v/>
      </c>
      <c r="M539" s="11" t="inlineStr">
        <is>
          <t>SM</t>
        </is>
      </c>
      <c r="N539" s="15" t="n"/>
      <c r="O539" s="14" t="n"/>
      <c r="P539" s="14" t="n"/>
      <c r="Q539" s="14" t="n"/>
      <c r="R539" s="14" t="n"/>
    </row>
    <row r="540" customFormat="1" s="34">
      <c r="A540" s="14" t="inlineStr">
        <is>
          <t>FM3338</t>
        </is>
      </c>
      <c r="B540" s="14" t="n"/>
      <c r="C540" s="13" t="n">
        <v>45876</v>
      </c>
      <c r="D540" s="12" t="inlineStr">
        <is>
          <t>1904C/1914</t>
        </is>
      </c>
      <c r="E540" s="14" t="inlineStr">
        <is>
          <t>Enviroware Construction</t>
        </is>
      </c>
      <c r="F540" s="14" t="inlineStr">
        <is>
          <t>UV 500 - Dome Only</t>
        </is>
      </c>
      <c r="G540" s="20" t="n">
        <v>1</v>
      </c>
      <c r="H540" s="19" t="n">
        <v>4390</v>
      </c>
      <c r="I540" s="18">
        <f>G540*H540</f>
        <v/>
      </c>
      <c r="J540" s="11" t="n"/>
      <c r="K540" s="17" t="n"/>
      <c r="L540" s="16">
        <f>K540+C540</f>
        <v/>
      </c>
      <c r="M540" s="11" t="inlineStr">
        <is>
          <t>SM</t>
        </is>
      </c>
      <c r="N540" s="15" t="n"/>
      <c r="O540" s="14" t="n"/>
      <c r="P540" s="14" t="n"/>
      <c r="Q540" s="14" t="n"/>
      <c r="R540" s="14" t="n"/>
    </row>
    <row r="541" customFormat="1" s="34">
      <c r="A541" s="14" t="inlineStr">
        <is>
          <t>FM3339</t>
        </is>
      </c>
      <c r="B541" s="14" t="n"/>
      <c r="C541" s="13" t="n">
        <v>45877</v>
      </c>
      <c r="D541" s="12" t="inlineStr">
        <is>
          <t>Pool House</t>
        </is>
      </c>
      <c r="E541" s="14" t="inlineStr">
        <is>
          <t>HVAC PARTNERS PTY LTD</t>
        </is>
      </c>
      <c r="F541" s="14" t="inlineStr">
        <is>
          <t>MAXFLO 315/150/10 P c/w 0,25KW 4P  380V &amp; Accessories</t>
        </is>
      </c>
      <c r="G541" s="20" t="n">
        <v>2</v>
      </c>
      <c r="H541" s="19" t="n">
        <v>11749.8</v>
      </c>
      <c r="I541" s="18">
        <f>G541*H541</f>
        <v/>
      </c>
      <c r="J541" s="11" t="n"/>
      <c r="K541" s="17" t="n"/>
      <c r="L541" s="16">
        <f>K541+C541</f>
        <v/>
      </c>
      <c r="M541" s="11" t="inlineStr">
        <is>
          <t>SM</t>
        </is>
      </c>
      <c r="N541" s="15" t="n"/>
      <c r="O541" s="14" t="n"/>
      <c r="P541" s="14" t="n"/>
      <c r="Q541" s="14" t="n"/>
      <c r="R541" s="14" t="n"/>
    </row>
    <row r="542" customFormat="1" s="34">
      <c r="A542" s="14" t="inlineStr">
        <is>
          <t>FM3340</t>
        </is>
      </c>
      <c r="B542" s="14" t="n"/>
      <c r="C542" s="13" t="n">
        <v>45877</v>
      </c>
      <c r="D542" s="12" t="inlineStr">
        <is>
          <t>CLINTON</t>
        </is>
      </c>
      <c r="E542" s="14" t="inlineStr">
        <is>
          <t>Centrifab</t>
        </is>
      </c>
      <c r="F542" s="14" t="inlineStr">
        <is>
          <t>HJMB-Plus-50-T4-0.55kw &amp; Louvre</t>
        </is>
      </c>
      <c r="G542" s="20" t="n">
        <v>1</v>
      </c>
      <c r="H542" s="19" t="n">
        <v>10692</v>
      </c>
      <c r="I542" s="18">
        <f>G542*H542</f>
        <v/>
      </c>
      <c r="J542" s="11" t="n"/>
      <c r="K542" s="17" t="n"/>
      <c r="L542" s="16">
        <f>K542+C542</f>
        <v/>
      </c>
      <c r="M542" s="11" t="inlineStr">
        <is>
          <t>MT</t>
        </is>
      </c>
      <c r="N542" s="15" t="n"/>
      <c r="O542" s="14" t="n"/>
      <c r="P542" s="14" t="n"/>
      <c r="Q542" s="14" t="n"/>
      <c r="R542" s="14" t="n"/>
    </row>
    <row r="543" customFormat="1" s="34">
      <c r="A543" s="14" t="inlineStr">
        <is>
          <t>FM3341</t>
        </is>
      </c>
      <c r="B543" s="14" t="n"/>
      <c r="C543" s="13" t="n">
        <v>45881</v>
      </c>
      <c r="D543" s="12" t="inlineStr">
        <is>
          <t>PT056</t>
        </is>
      </c>
      <c r="E543" s="14" t="inlineStr">
        <is>
          <t>AVH ENGINEERING</t>
        </is>
      </c>
      <c r="F543" s="14" t="inlineStr">
        <is>
          <t>Bellax 630 1.5kw 4P 380V</t>
        </is>
      </c>
      <c r="G543" s="20" t="n">
        <v>1</v>
      </c>
      <c r="H543" s="19" t="n">
        <v>12373</v>
      </c>
      <c r="I543" s="18">
        <f>G543*H543</f>
        <v/>
      </c>
      <c r="J543" s="11" t="n"/>
      <c r="K543" s="17" t="n"/>
      <c r="L543" s="16">
        <f>K543+C543</f>
        <v/>
      </c>
      <c r="M543" s="11" t="inlineStr">
        <is>
          <t>SM</t>
        </is>
      </c>
      <c r="N543" s="15" t="n"/>
      <c r="O543" s="14" t="n"/>
      <c r="P543" s="14" t="n"/>
      <c r="Q543" s="14" t="n"/>
      <c r="R543" s="14" t="n"/>
    </row>
    <row r="544" customFormat="1" s="34">
      <c r="A544" s="14" t="inlineStr">
        <is>
          <t>FM3342</t>
        </is>
      </c>
      <c r="B544" s="14" t="n"/>
      <c r="C544" s="13" t="n">
        <v>45881</v>
      </c>
      <c r="D544" s="12" t="inlineStr">
        <is>
          <t>PT059</t>
        </is>
      </c>
      <c r="E544" s="14" t="inlineStr">
        <is>
          <t>AVH ENGINEERING</t>
        </is>
      </c>
      <c r="F544" s="14" t="inlineStr">
        <is>
          <t>Bellax 800 4kW 4Pole 380V</t>
        </is>
      </c>
      <c r="G544" s="20" t="n">
        <v>1</v>
      </c>
      <c r="H544" s="19" t="n">
        <v>19260.88</v>
      </c>
      <c r="I544" s="18">
        <f>G544*H544</f>
        <v/>
      </c>
      <c r="J544" s="11" t="n"/>
      <c r="K544" s="17" t="n"/>
      <c r="L544" s="16">
        <f>K544+C544</f>
        <v/>
      </c>
      <c r="M544" s="11" t="inlineStr">
        <is>
          <t>SM</t>
        </is>
      </c>
      <c r="N544" s="15" t="n"/>
      <c r="O544" s="14" t="n"/>
      <c r="P544" s="14" t="n"/>
      <c r="Q544" s="14" t="n"/>
      <c r="R544" s="14" t="n"/>
    </row>
    <row r="545" customFormat="1" s="34">
      <c r="A545" s="14" t="inlineStr">
        <is>
          <t>FM3343</t>
        </is>
      </c>
      <c r="B545" s="14" t="n"/>
      <c r="C545" s="13" t="n">
        <v>45881</v>
      </c>
      <c r="D545" s="12" t="inlineStr">
        <is>
          <t>Cash sale</t>
        </is>
      </c>
      <c r="E545" s="14" t="inlineStr">
        <is>
          <t>Donavan</t>
        </is>
      </c>
      <c r="F545" s="14" t="inlineStr">
        <is>
          <t xml:space="preserve">E 354 T ATEX </t>
        </is>
      </c>
      <c r="G545" s="20" t="n">
        <v>1</v>
      </c>
      <c r="H545" s="19" t="n">
        <v>12821</v>
      </c>
      <c r="I545" s="18">
        <f>G545*H545</f>
        <v/>
      </c>
      <c r="J545" s="11" t="n"/>
      <c r="K545" s="17" t="n"/>
      <c r="L545" s="16">
        <f>K545+C545</f>
        <v/>
      </c>
      <c r="M545" s="11" t="inlineStr">
        <is>
          <t>ST</t>
        </is>
      </c>
      <c r="N545" s="15" t="n"/>
      <c r="O545" s="14" t="n"/>
      <c r="P545" s="14" t="n"/>
      <c r="Q545" s="14" t="n"/>
      <c r="R545" s="14" t="n"/>
    </row>
    <row r="546" customFormat="1" s="34">
      <c r="A546" s="14" t="inlineStr">
        <is>
          <t>FM3344</t>
        </is>
      </c>
      <c r="B546" s="14" t="n"/>
      <c r="C546" s="13" t="n">
        <v>45881</v>
      </c>
      <c r="D546" s="12" t="inlineStr">
        <is>
          <t>Cash sale</t>
        </is>
      </c>
      <c r="E546" s="14" t="inlineStr">
        <is>
          <t>Mekan Group</t>
        </is>
      </c>
      <c r="F546" s="14" t="inlineStr">
        <is>
          <t>Various Fans</t>
        </is>
      </c>
      <c r="G546" s="20" t="n">
        <v>3</v>
      </c>
      <c r="H546" s="19" t="n">
        <v>37923.58</v>
      </c>
      <c r="I546" s="18" t="n">
        <v>37923.58</v>
      </c>
      <c r="J546" s="11" t="n"/>
      <c r="K546" s="17" t="n"/>
      <c r="L546" s="16">
        <f>K546+C546</f>
        <v/>
      </c>
      <c r="M546" s="11" t="inlineStr">
        <is>
          <t>MT</t>
        </is>
      </c>
      <c r="N546" s="15" t="n"/>
      <c r="O546" s="14" t="n"/>
      <c r="P546" s="14" t="n"/>
      <c r="Q546" s="14" t="n"/>
      <c r="R546" s="14" t="n"/>
    </row>
    <row r="547" customFormat="1" s="34">
      <c r="A547" s="14" t="inlineStr">
        <is>
          <t>FM3345</t>
        </is>
      </c>
      <c r="B547" s="14" t="n"/>
      <c r="C547" s="13" t="n">
        <v>45881</v>
      </c>
      <c r="D547" s="12" t="inlineStr">
        <is>
          <t>PO2087</t>
        </is>
      </c>
      <c r="E547" s="14" t="inlineStr">
        <is>
          <t xml:space="preserve">Hucra Fans </t>
        </is>
      </c>
      <c r="F547" s="14" t="inlineStr">
        <is>
          <t>CMA-325-2T</t>
        </is>
      </c>
      <c r="G547" s="20" t="n">
        <v>1</v>
      </c>
      <c r="H547" s="19" t="n">
        <v>10767</v>
      </c>
      <c r="I547" s="18">
        <f>G547*H547</f>
        <v/>
      </c>
      <c r="J547" s="11" t="n"/>
      <c r="K547" s="17" t="n"/>
      <c r="L547" s="16">
        <f>K547+C547</f>
        <v/>
      </c>
      <c r="M547" s="11" t="inlineStr">
        <is>
          <t>ZX</t>
        </is>
      </c>
      <c r="N547" s="15" t="n"/>
      <c r="O547" s="14" t="n"/>
      <c r="P547" s="14" t="n"/>
      <c r="Q547" s="14" t="n"/>
      <c r="R547" s="14" t="n"/>
    </row>
    <row r="548" customFormat="1" s="34">
      <c r="A548" s="14" t="inlineStr">
        <is>
          <t>FM3346</t>
        </is>
      </c>
      <c r="B548" s="14" t="n"/>
      <c r="C548" s="13" t="n">
        <v>45881</v>
      </c>
      <c r="D548" s="12" t="inlineStr">
        <is>
          <t>Cash sale</t>
        </is>
      </c>
      <c r="E548" s="14" t="inlineStr">
        <is>
          <t>Sphetho Trading</t>
        </is>
      </c>
      <c r="F548" s="14" t="inlineStr">
        <is>
          <t>Lieno's &amp; CE 250</t>
        </is>
      </c>
      <c r="G548" s="20" t="n">
        <v>1</v>
      </c>
      <c r="H548" s="19" t="n">
        <v>28744</v>
      </c>
      <c r="I548" s="18">
        <f>G548*H548</f>
        <v/>
      </c>
      <c r="J548" s="11" t="n"/>
      <c r="K548" s="17" t="n"/>
      <c r="L548" s="16">
        <f>K548+C548</f>
        <v/>
      </c>
      <c r="M548" s="11" t="inlineStr">
        <is>
          <t>SM</t>
        </is>
      </c>
      <c r="N548" s="15" t="n"/>
      <c r="O548" s="14" t="n"/>
      <c r="P548" s="14" t="n"/>
      <c r="Q548" s="14" t="n"/>
      <c r="R548" s="14" t="n"/>
    </row>
    <row r="549" customFormat="1" s="34">
      <c r="A549" s="14" t="inlineStr">
        <is>
          <t>FM3347</t>
        </is>
      </c>
      <c r="B549" s="14" t="n"/>
      <c r="C549" s="13" t="n">
        <v>45882</v>
      </c>
      <c r="D549" s="12" t="inlineStr">
        <is>
          <t>PO11532</t>
        </is>
      </c>
      <c r="E549" s="14" t="inlineStr">
        <is>
          <t>Xtrem Air Control</t>
        </is>
      </c>
      <c r="F549" s="14" t="inlineStr">
        <is>
          <t>RAD 315 Inline Circular Duct Fan</t>
        </is>
      </c>
      <c r="G549" s="20" t="n">
        <v>1</v>
      </c>
      <c r="H549" s="19" t="n">
        <v>3052</v>
      </c>
      <c r="I549" s="18">
        <f>G549*H549</f>
        <v/>
      </c>
      <c r="J549" s="11" t="n"/>
      <c r="K549" s="17" t="n"/>
      <c r="L549" s="16">
        <f>K549+C549</f>
        <v/>
      </c>
      <c r="M549" s="11" t="inlineStr">
        <is>
          <t>SM</t>
        </is>
      </c>
      <c r="N549" s="15" t="n"/>
      <c r="O549" s="14" t="n"/>
      <c r="P549" s="14" t="n"/>
      <c r="Q549" s="14" t="n"/>
      <c r="R549" s="14" t="n"/>
    </row>
    <row r="550" customFormat="1" s="34">
      <c r="A550" s="30" t="inlineStr">
        <is>
          <t>FM3348</t>
        </is>
      </c>
      <c r="B550" s="30" t="n"/>
      <c r="C550" s="32" t="n">
        <v>45882</v>
      </c>
      <c r="D550" s="31" t="inlineStr">
        <is>
          <t>PO2088</t>
        </is>
      </c>
      <c r="E550" s="30" t="inlineStr">
        <is>
          <t xml:space="preserve">Hucra Fans </t>
        </is>
      </c>
      <c r="F550" s="30" t="inlineStr">
        <is>
          <t>SCL-K11-MS 11KW 525V</t>
        </is>
      </c>
      <c r="G550" s="20" t="n">
        <v>2</v>
      </c>
      <c r="H550" s="19" t="n">
        <v>103534</v>
      </c>
      <c r="I550" s="18">
        <f>G550*H550</f>
        <v/>
      </c>
      <c r="J550" s="11" t="n"/>
      <c r="K550" s="17" t="n"/>
      <c r="L550" s="16">
        <f>K550+C550</f>
        <v/>
      </c>
      <c r="M550" s="11" t="inlineStr">
        <is>
          <t>ZX</t>
        </is>
      </c>
      <c r="N550" s="15" t="n"/>
      <c r="O550" s="14" t="n"/>
      <c r="P550" s="14" t="n"/>
      <c r="Q550" s="14" t="n"/>
      <c r="R550" s="14" t="n"/>
    </row>
    <row r="551" customFormat="1" s="34">
      <c r="A551" s="14" t="inlineStr">
        <is>
          <t>FM3349</t>
        </is>
      </c>
      <c r="B551" s="14" t="n"/>
      <c r="C551" s="13" t="n">
        <v>45882</v>
      </c>
      <c r="D551" s="12" t="n">
        <v>95308</v>
      </c>
      <c r="E551" s="14" t="inlineStr">
        <is>
          <t>G &amp; S Winders T/A Luck and King</t>
        </is>
      </c>
      <c r="F551" s="14" t="inlineStr">
        <is>
          <t>CMP 514 2M</t>
        </is>
      </c>
      <c r="G551" s="20" t="n">
        <v>1</v>
      </c>
      <c r="H551" s="19" t="n">
        <v>5912</v>
      </c>
      <c r="I551" s="18">
        <f>G551*H551</f>
        <v/>
      </c>
      <c r="J551" s="11" t="n"/>
      <c r="K551" s="17" t="n"/>
      <c r="L551" s="16">
        <f>K551+C551</f>
        <v/>
      </c>
      <c r="M551" s="11" t="inlineStr">
        <is>
          <t>SM</t>
        </is>
      </c>
      <c r="N551" s="15" t="n"/>
      <c r="O551" s="14" t="n"/>
      <c r="P551" s="14" t="n"/>
      <c r="Q551" s="14" t="n"/>
      <c r="R551" s="14" t="n"/>
    </row>
    <row r="552" customFormat="1" s="34">
      <c r="A552" s="14" t="inlineStr">
        <is>
          <t>FM3350</t>
        </is>
      </c>
      <c r="B552" s="14" t="n"/>
      <c r="C552" s="13" t="n">
        <v>45882</v>
      </c>
      <c r="D552" s="12" t="n">
        <v>501446</v>
      </c>
      <c r="E552" s="14" t="inlineStr">
        <is>
          <t>Fans Maintenance &amp; More</t>
        </is>
      </c>
      <c r="F552" s="14" t="inlineStr">
        <is>
          <t>BAF 150</t>
        </is>
      </c>
      <c r="G552" s="20" t="n">
        <v>5</v>
      </c>
      <c r="H552" s="19" t="n">
        <v>768</v>
      </c>
      <c r="I552" s="18">
        <f>G552*H552</f>
        <v/>
      </c>
      <c r="J552" s="11" t="n"/>
      <c r="K552" s="17" t="n"/>
      <c r="L552" s="16">
        <f>K552+C552</f>
        <v/>
      </c>
      <c r="M552" s="11" t="inlineStr">
        <is>
          <t>ZX</t>
        </is>
      </c>
      <c r="N552" s="15" t="n"/>
      <c r="O552" s="14" t="n"/>
      <c r="P552" s="14" t="n"/>
      <c r="Q552" s="14" t="n"/>
      <c r="R552" s="14" t="n"/>
    </row>
    <row r="553" customFormat="1" s="34">
      <c r="A553" s="14" t="inlineStr">
        <is>
          <t>FM3351</t>
        </is>
      </c>
      <c r="B553" s="14" t="n"/>
      <c r="C553" s="13" t="n">
        <v>45882</v>
      </c>
      <c r="D553" s="12" t="inlineStr">
        <is>
          <t>PO000857</t>
        </is>
      </c>
      <c r="E553" s="14" t="inlineStr">
        <is>
          <t>Filterman</t>
        </is>
      </c>
      <c r="F553" s="14" t="inlineStr">
        <is>
          <t>CF9 - FPZ Filter Element 4inch</t>
        </is>
      </c>
      <c r="G553" s="20" t="n">
        <v>12</v>
      </c>
      <c r="H553" s="19" t="n">
        <v>1200</v>
      </c>
      <c r="I553" s="18">
        <f>G553*H553</f>
        <v/>
      </c>
      <c r="J553" s="11" t="n"/>
      <c r="K553" s="17" t="n"/>
      <c r="L553" s="16">
        <f>K553+C553</f>
        <v/>
      </c>
      <c r="M553" s="11" t="inlineStr">
        <is>
          <t>ST</t>
        </is>
      </c>
      <c r="N553" s="15" t="n"/>
      <c r="O553" s="14" t="n"/>
      <c r="P553" s="14" t="n"/>
      <c r="Q553" s="14" t="n"/>
      <c r="R553" s="14" t="n"/>
    </row>
    <row r="554" customFormat="1" s="34">
      <c r="A554" s="14" t="inlineStr">
        <is>
          <t>FM3352</t>
        </is>
      </c>
      <c r="B554" s="14" t="n"/>
      <c r="C554" s="13" t="n">
        <v>45882</v>
      </c>
      <c r="D554" s="12" t="inlineStr">
        <is>
          <t>PO2089</t>
        </is>
      </c>
      <c r="E554" s="14" t="inlineStr">
        <is>
          <t xml:space="preserve">Hucra Fans </t>
        </is>
      </c>
      <c r="F554" s="14" t="inlineStr">
        <is>
          <t>CMA-325-2T</t>
        </is>
      </c>
      <c r="G554" s="20" t="n">
        <v>1</v>
      </c>
      <c r="H554" s="19" t="n">
        <v>10767</v>
      </c>
      <c r="I554" s="18">
        <f>G554*H554</f>
        <v/>
      </c>
      <c r="J554" s="11" t="n"/>
      <c r="K554" s="17" t="n"/>
      <c r="L554" s="16">
        <f>K554+C554</f>
        <v/>
      </c>
      <c r="M554" s="11" t="inlineStr">
        <is>
          <t>ZX</t>
        </is>
      </c>
      <c r="N554" s="15" t="n"/>
      <c r="O554" s="14" t="n"/>
      <c r="P554" s="14" t="n"/>
      <c r="Q554" s="14" t="n"/>
      <c r="R554" s="14" t="n"/>
    </row>
    <row r="555" customFormat="1" s="34">
      <c r="A555" s="14" t="inlineStr">
        <is>
          <t>FM3353</t>
        </is>
      </c>
      <c r="B555" s="14" t="n"/>
      <c r="C555" s="13" t="n">
        <v>45883</v>
      </c>
      <c r="D555" s="12" t="n">
        <v>611691</v>
      </c>
      <c r="E555" s="14" t="inlineStr">
        <is>
          <t>Dormas Pty Ltd</t>
        </is>
      </c>
      <c r="F555" s="14" t="inlineStr">
        <is>
          <t>Majax-2 560.20.D.8 BELT DRIVEN</t>
        </is>
      </c>
      <c r="G555" s="20" t="n">
        <v>2</v>
      </c>
      <c r="H555" s="19" t="n">
        <v>16650</v>
      </c>
      <c r="I555" s="18">
        <f>G555*H555</f>
        <v/>
      </c>
      <c r="J555" s="11" t="n"/>
      <c r="K555" s="17" t="n"/>
      <c r="L555" s="16">
        <f>K555+C555</f>
        <v/>
      </c>
      <c r="M555" s="11" t="inlineStr">
        <is>
          <t>SM</t>
        </is>
      </c>
      <c r="N555" s="15" t="n"/>
      <c r="O555" s="14" t="n"/>
      <c r="P555" s="14" t="n"/>
      <c r="Q555" s="14" t="n"/>
      <c r="R555" s="14" t="n"/>
    </row>
    <row r="556" customFormat="1" s="34">
      <c r="A556" s="14" t="inlineStr">
        <is>
          <t>FM3354</t>
        </is>
      </c>
      <c r="B556" s="14" t="n"/>
      <c r="C556" s="13" t="n">
        <v>45883</v>
      </c>
      <c r="D556" s="12" t="inlineStr">
        <is>
          <t>Cash Sale</t>
        </is>
      </c>
      <c r="E556" s="14" t="inlineStr">
        <is>
          <t>Pinnacle Airconditioning</t>
        </is>
      </c>
      <c r="F556" s="14" t="inlineStr">
        <is>
          <t>Lineo 150</t>
        </is>
      </c>
      <c r="G556" s="20" t="n">
        <v>2</v>
      </c>
      <c r="H556" s="19" t="n">
        <v>2681</v>
      </c>
      <c r="I556" s="18">
        <f>G556*H556</f>
        <v/>
      </c>
      <c r="J556" s="11" t="n"/>
      <c r="K556" s="17" t="n"/>
      <c r="L556" s="16">
        <f>K556+C556</f>
        <v/>
      </c>
      <c r="M556" s="11" t="inlineStr">
        <is>
          <t>SM</t>
        </is>
      </c>
      <c r="N556" s="15" t="n"/>
      <c r="O556" s="14" t="n"/>
      <c r="P556" s="14" t="n"/>
      <c r="Q556" s="14" t="n"/>
      <c r="R556" s="14" t="n"/>
    </row>
    <row r="557" customFormat="1" s="34">
      <c r="A557" s="14" t="inlineStr">
        <is>
          <t>FM3355</t>
        </is>
      </c>
      <c r="B557" s="14" t="n"/>
      <c r="C557" s="13" t="n">
        <v>45883</v>
      </c>
      <c r="D557" s="12" t="inlineStr">
        <is>
          <t>Cash Sale</t>
        </is>
      </c>
      <c r="E557" s="14" t="inlineStr">
        <is>
          <t>Kenneth</t>
        </is>
      </c>
      <c r="F557" s="14" t="inlineStr">
        <is>
          <t>RAD 200</t>
        </is>
      </c>
      <c r="G557" s="20" t="n">
        <v>1</v>
      </c>
      <c r="H557" s="19" t="n">
        <v>2187</v>
      </c>
      <c r="I557" s="18">
        <f>G557*H557</f>
        <v/>
      </c>
      <c r="J557" s="11" t="n"/>
      <c r="K557" s="17" t="n"/>
      <c r="L557" s="16">
        <f>K557+C557</f>
        <v/>
      </c>
      <c r="M557" s="11" t="inlineStr">
        <is>
          <t>SM</t>
        </is>
      </c>
      <c r="N557" s="15" t="n"/>
      <c r="O557" s="14" t="n"/>
      <c r="P557" s="14" t="n"/>
      <c r="Q557" s="14" t="n"/>
      <c r="R557" s="14" t="n"/>
    </row>
    <row r="558" customFormat="1" s="34">
      <c r="A558" s="14" t="inlineStr">
        <is>
          <t>FM3356</t>
        </is>
      </c>
      <c r="B558" s="14" t="n"/>
      <c r="C558" s="13" t="n">
        <v>45883</v>
      </c>
      <c r="D558" s="12" t="inlineStr">
        <is>
          <t>Cash Sale</t>
        </is>
      </c>
      <c r="E558" s="14" t="inlineStr">
        <is>
          <t>SJ Global Construction</t>
        </is>
      </c>
      <c r="F558" s="14" t="inlineStr">
        <is>
          <t>FS C.25A Fan Speed Controller</t>
        </is>
      </c>
      <c r="G558" s="20" t="n">
        <v>42</v>
      </c>
      <c r="H558" s="19" t="n">
        <v>625</v>
      </c>
      <c r="I558" s="18">
        <f>G558*H558</f>
        <v/>
      </c>
      <c r="J558" s="11" t="n"/>
      <c r="K558" s="17" t="n"/>
      <c r="L558" s="16">
        <f>K558+C558</f>
        <v/>
      </c>
      <c r="M558" s="11" t="inlineStr">
        <is>
          <t>SM</t>
        </is>
      </c>
      <c r="N558" s="15" t="n"/>
      <c r="O558" s="14" t="n"/>
      <c r="P558" s="14" t="n"/>
      <c r="Q558" s="14" t="n"/>
      <c r="R558" s="14" t="n"/>
    </row>
    <row r="559" customFormat="1" s="34">
      <c r="A559" s="14" t="inlineStr">
        <is>
          <t>FM3357</t>
        </is>
      </c>
      <c r="B559" s="14" t="n"/>
      <c r="C559" s="13" t="n">
        <v>45883</v>
      </c>
      <c r="D559" s="12" t="inlineStr">
        <is>
          <t>POA10078</t>
        </is>
      </c>
      <c r="E559" s="14" t="inlineStr">
        <is>
          <t>Compu Cool Pty Ltd</t>
        </is>
      </c>
      <c r="F559" s="14" t="inlineStr">
        <is>
          <t xml:space="preserve">Mxflo 500/150/5 A c/w 0.75Kw 2P 380V &amp; Accessories &amp;V230AR </t>
        </is>
      </c>
      <c r="G559" s="20" t="n">
        <v>1</v>
      </c>
      <c r="H559" s="19" t="n">
        <v>19344.77</v>
      </c>
      <c r="I559" s="18">
        <f>G559*H559</f>
        <v/>
      </c>
      <c r="J559" s="11" t="n"/>
      <c r="K559" s="17" t="n"/>
      <c r="L559" s="16">
        <f>K559+C559</f>
        <v/>
      </c>
      <c r="M559" s="11" t="inlineStr">
        <is>
          <t>MT</t>
        </is>
      </c>
      <c r="N559" s="15" t="n"/>
      <c r="O559" s="14" t="n"/>
      <c r="P559" s="14" t="n"/>
      <c r="Q559" s="14" t="n"/>
      <c r="R559" s="14" t="n"/>
    </row>
    <row r="560" customFormat="1" s="34">
      <c r="A560" s="14" t="inlineStr">
        <is>
          <t>FM3358</t>
        </is>
      </c>
      <c r="B560" s="14" t="n"/>
      <c r="C560" s="13" t="n">
        <v>45884</v>
      </c>
      <c r="D560" s="12" t="inlineStr">
        <is>
          <t>PO:SP731916</t>
        </is>
      </c>
      <c r="E560" s="14" t="inlineStr">
        <is>
          <t>Dteq</t>
        </is>
      </c>
      <c r="F560" s="14" t="inlineStr">
        <is>
          <t>Vario 230/9 AR</t>
        </is>
      </c>
      <c r="G560" s="20" t="n">
        <v>1</v>
      </c>
      <c r="H560" s="19" t="n">
        <v>3276</v>
      </c>
      <c r="I560" s="18">
        <f>G560*H560</f>
        <v/>
      </c>
      <c r="J560" s="11" t="n"/>
      <c r="K560" s="17" t="n"/>
      <c r="L560" s="16">
        <f>K560+C560</f>
        <v/>
      </c>
      <c r="M560" s="11" t="inlineStr">
        <is>
          <t>MT</t>
        </is>
      </c>
      <c r="N560" s="15" t="n"/>
      <c r="O560" s="14" t="n"/>
      <c r="P560" s="14" t="n"/>
      <c r="Q560" s="14" t="n"/>
      <c r="R560" s="14" t="n"/>
    </row>
    <row r="561" customFormat="1" s="34">
      <c r="A561" s="14" t="inlineStr">
        <is>
          <t>FM3359</t>
        </is>
      </c>
      <c r="B561" s="14" t="n"/>
      <c r="C561" s="13" t="n">
        <v>45884</v>
      </c>
      <c r="D561" s="12" t="inlineStr">
        <is>
          <t>PO-000006129</t>
        </is>
      </c>
      <c r="E561" s="14" t="inlineStr">
        <is>
          <t>Cape Fans (Pty) Ltd</t>
        </is>
      </c>
      <c r="F561" s="14" t="inlineStr">
        <is>
          <t>V230/9 AR</t>
        </is>
      </c>
      <c r="G561" s="20" t="n">
        <v>2</v>
      </c>
      <c r="H561" s="19" t="n">
        <v>3552</v>
      </c>
      <c r="I561" s="18">
        <f>G561*H561</f>
        <v/>
      </c>
      <c r="J561" s="11" t="n"/>
      <c r="K561" s="17" t="n"/>
      <c r="L561" s="16">
        <f>K561+C561</f>
        <v/>
      </c>
      <c r="M561" s="11" t="inlineStr">
        <is>
          <t>ST</t>
        </is>
      </c>
      <c r="N561" s="15" t="n"/>
      <c r="O561" s="14" t="n"/>
      <c r="P561" s="14" t="n"/>
      <c r="Q561" s="14" t="n"/>
      <c r="R561" s="14" t="n"/>
    </row>
    <row r="562" customFormat="1" s="34">
      <c r="A562" s="14" t="inlineStr">
        <is>
          <t>FM3360</t>
        </is>
      </c>
      <c r="B562" s="14" t="n"/>
      <c r="C562" s="13" t="n">
        <v>45884</v>
      </c>
      <c r="D562" s="12" t="inlineStr">
        <is>
          <t>Cash Sale</t>
        </is>
      </c>
      <c r="E562" s="14" t="inlineStr">
        <is>
          <t>Filterman</t>
        </is>
      </c>
      <c r="F562" s="14" t="inlineStr">
        <is>
          <t>Delivery</t>
        </is>
      </c>
      <c r="G562" s="20" t="n">
        <v>1</v>
      </c>
      <c r="H562" s="19" t="n">
        <v>1550</v>
      </c>
      <c r="I562" s="18">
        <f>G562*H562</f>
        <v/>
      </c>
      <c r="J562" s="11" t="n"/>
      <c r="K562" s="17" t="n"/>
      <c r="L562" s="16">
        <f>K562+C562</f>
        <v/>
      </c>
      <c r="M562" s="11" t="inlineStr">
        <is>
          <t>ST</t>
        </is>
      </c>
      <c r="N562" s="15" t="n"/>
      <c r="O562" s="14" t="n"/>
      <c r="P562" s="14" t="n"/>
      <c r="Q562" s="14" t="n"/>
      <c r="R562" s="14" t="n"/>
    </row>
    <row r="563" customFormat="1" s="34">
      <c r="A563" s="14" t="inlineStr">
        <is>
          <t>FM3361</t>
        </is>
      </c>
      <c r="B563" s="14" t="n"/>
      <c r="C563" s="13" t="n">
        <v>45884</v>
      </c>
      <c r="D563" s="12" t="inlineStr">
        <is>
          <t>MFE6734</t>
        </is>
      </c>
      <c r="E563" s="14" t="inlineStr">
        <is>
          <t>Morlyn Fans</t>
        </is>
      </c>
      <c r="F563" s="14" t="inlineStr">
        <is>
          <t>HCD 25-4M &amp; Louvre Shutter PVC Gravity - 9''</t>
        </is>
      </c>
      <c r="G563" s="20" t="n">
        <v>1</v>
      </c>
      <c r="H563" s="19" t="n">
        <v>3860.57</v>
      </c>
      <c r="I563" s="18">
        <f>G563*H563</f>
        <v/>
      </c>
      <c r="J563" s="11" t="n"/>
      <c r="K563" s="17" t="n"/>
      <c r="L563" s="16">
        <f>K563+C563</f>
        <v/>
      </c>
      <c r="M563" s="11" t="inlineStr">
        <is>
          <t>MT</t>
        </is>
      </c>
      <c r="N563" s="15" t="n"/>
      <c r="O563" s="14" t="n"/>
      <c r="P563" s="14" t="n"/>
      <c r="Q563" s="14" t="n"/>
      <c r="R563" s="14" t="n"/>
    </row>
    <row r="564" customFormat="1" s="34">
      <c r="A564" s="14" t="inlineStr">
        <is>
          <t>FM3362</t>
        </is>
      </c>
      <c r="B564" s="14" t="n"/>
      <c r="C564" s="13" t="n">
        <v>45887</v>
      </c>
      <c r="D564" s="12" t="inlineStr">
        <is>
          <t>Cash sale</t>
        </is>
      </c>
      <c r="E564" s="14" t="inlineStr">
        <is>
          <t>Ndalama</t>
        </is>
      </c>
      <c r="F564" s="14" t="inlineStr">
        <is>
          <t>Impeller</t>
        </is>
      </c>
      <c r="G564" s="20" t="n">
        <v>1</v>
      </c>
      <c r="H564" s="19" t="n">
        <v>2160</v>
      </c>
      <c r="I564" s="18">
        <f>G564*H564</f>
        <v/>
      </c>
      <c r="J564" s="11" t="n"/>
      <c r="K564" s="17" t="n"/>
      <c r="L564" s="16">
        <f>K564+C564</f>
        <v/>
      </c>
      <c r="M564" s="11" t="inlineStr">
        <is>
          <t>MT</t>
        </is>
      </c>
      <c r="N564" s="15" t="n"/>
      <c r="O564" s="14" t="n"/>
      <c r="P564" s="14" t="n"/>
      <c r="Q564" s="14" t="n"/>
      <c r="R564" s="14" t="n"/>
    </row>
    <row r="565" customFormat="1" s="34">
      <c r="A565" s="14" t="inlineStr">
        <is>
          <t>FM3363</t>
        </is>
      </c>
      <c r="B565" s="14" t="n"/>
      <c r="C565" s="13" t="n">
        <v>45887</v>
      </c>
      <c r="D565" s="12" t="inlineStr">
        <is>
          <t>PO0000814</t>
        </is>
      </c>
      <c r="E565" s="14" t="inlineStr">
        <is>
          <t>MK Technical Services</t>
        </is>
      </c>
      <c r="F565" s="14" t="inlineStr">
        <is>
          <t>Mxflo 500/150/5 P c/w 0.55Kw 4P 380V &amp; Accessories</t>
        </is>
      </c>
      <c r="G565" s="20" t="n">
        <v>5</v>
      </c>
      <c r="H565" s="19" t="n">
        <v>10854</v>
      </c>
      <c r="I565" s="18">
        <f>G565*H565</f>
        <v/>
      </c>
      <c r="J565" s="11" t="n"/>
      <c r="K565" s="17" t="n"/>
      <c r="L565" s="16">
        <f>K565+C565</f>
        <v/>
      </c>
      <c r="M565" s="11" t="inlineStr">
        <is>
          <t>SM</t>
        </is>
      </c>
      <c r="N565" s="15" t="n"/>
      <c r="O565" s="14" t="n"/>
      <c r="P565" s="14" t="n"/>
      <c r="Q565" s="14" t="n"/>
      <c r="R565" s="14" t="n"/>
    </row>
    <row r="566" customFormat="1" s="34">
      <c r="A566" s="14" t="inlineStr">
        <is>
          <t>FM3364</t>
        </is>
      </c>
      <c r="B566" s="14" t="n"/>
      <c r="C566" s="13" t="n">
        <v>45887</v>
      </c>
      <c r="D566" s="12" t="inlineStr">
        <is>
          <t>PO-26451</t>
        </is>
      </c>
      <c r="E566" s="14" t="inlineStr">
        <is>
          <t>Aircycle Engineering CC</t>
        </is>
      </c>
      <c r="F566" s="14" t="inlineStr">
        <is>
          <t>Lineo 250 Quiet X 2-Off &amp; Lineo 200Quiet 1-Off</t>
        </is>
      </c>
      <c r="G566" s="20" t="n">
        <v>1</v>
      </c>
      <c r="H566" s="19" t="n">
        <v>22164</v>
      </c>
      <c r="I566" s="18">
        <f>G566*H566</f>
        <v/>
      </c>
      <c r="J566" s="11" t="n"/>
      <c r="K566" s="17" t="n"/>
      <c r="L566" s="16">
        <f>K566+C566</f>
        <v/>
      </c>
      <c r="M566" s="11" t="inlineStr">
        <is>
          <t>SM</t>
        </is>
      </c>
      <c r="N566" s="15" t="n"/>
      <c r="O566" s="14" t="n"/>
      <c r="P566" s="14" t="n"/>
      <c r="Q566" s="14" t="n"/>
      <c r="R566" s="14" t="n"/>
    </row>
    <row r="567" customFormat="1" s="34">
      <c r="A567" s="14" t="inlineStr">
        <is>
          <t>FM3365</t>
        </is>
      </c>
      <c r="B567" s="14" t="n"/>
      <c r="C567" s="13" t="n">
        <v>45888</v>
      </c>
      <c r="D567" s="12" t="n">
        <v>501446</v>
      </c>
      <c r="E567" s="14" t="inlineStr">
        <is>
          <t>Fans Maintenance &amp; More</t>
        </is>
      </c>
      <c r="F567" s="14" t="inlineStr">
        <is>
          <t>V150/6 AR LLS</t>
        </is>
      </c>
      <c r="G567" s="20" t="n">
        <v>5</v>
      </c>
      <c r="H567" s="19" t="n">
        <v>2100</v>
      </c>
      <c r="I567" s="18">
        <f>G567*H567</f>
        <v/>
      </c>
      <c r="J567" s="11" t="n"/>
      <c r="K567" s="17" t="n"/>
      <c r="L567" s="16">
        <f>K567+C567</f>
        <v/>
      </c>
      <c r="M567" s="11" t="inlineStr">
        <is>
          <t>ZX</t>
        </is>
      </c>
      <c r="N567" s="15" t="n"/>
      <c r="O567" s="14" t="n"/>
      <c r="P567" s="14" t="n"/>
      <c r="Q567" s="14" t="n"/>
      <c r="R567" s="14" t="n"/>
    </row>
    <row r="568" customFormat="1" s="34">
      <c r="A568" s="14" t="inlineStr">
        <is>
          <t>FM3366</t>
        </is>
      </c>
      <c r="B568" s="14" t="n"/>
      <c r="C568" s="13" t="n">
        <v>45889</v>
      </c>
      <c r="D568" s="12" t="inlineStr">
        <is>
          <t>PO:A23375</t>
        </is>
      </c>
      <c r="E568" s="14" t="inlineStr">
        <is>
          <t>Rotary Opencast Mining</t>
        </is>
      </c>
      <c r="F568" s="14" t="inlineStr">
        <is>
          <t>Majax-2 500-20-c-8 c/w 2p 380v Buffalo</t>
        </is>
      </c>
      <c r="G568" s="20" t="n">
        <v>3</v>
      </c>
      <c r="H568" s="19" t="n">
        <v>36409</v>
      </c>
      <c r="I568" s="18">
        <f>G568*H568</f>
        <v/>
      </c>
      <c r="J568" s="11" t="n"/>
      <c r="K568" s="17" t="n"/>
      <c r="L568" s="16">
        <f>K568+C568</f>
        <v/>
      </c>
      <c r="M568" s="11" t="inlineStr">
        <is>
          <t>MT</t>
        </is>
      </c>
      <c r="N568" s="15" t="n"/>
      <c r="O568" s="14" t="n"/>
      <c r="P568" s="14" t="n"/>
      <c r="Q568" s="14" t="n"/>
      <c r="R568" s="14" t="n"/>
    </row>
    <row r="569" customFormat="1" s="34">
      <c r="A569" s="14" t="inlineStr">
        <is>
          <t>FM3367</t>
        </is>
      </c>
      <c r="B569" s="14" t="n"/>
      <c r="C569" s="13" t="n">
        <v>45889</v>
      </c>
      <c r="D569" s="12" t="inlineStr">
        <is>
          <t>PO529LM</t>
        </is>
      </c>
      <c r="E569" s="14" t="inlineStr">
        <is>
          <t>Intervent Universal (Pty)Ltd</t>
        </is>
      </c>
      <c r="F569" s="14" t="inlineStr">
        <is>
          <t>Various Fans</t>
        </is>
      </c>
      <c r="G569" s="20" t="n">
        <v>1</v>
      </c>
      <c r="H569" s="19" t="n">
        <v>240808</v>
      </c>
      <c r="I569" s="18">
        <f>G569*H569</f>
        <v/>
      </c>
      <c r="J569" s="11" t="n"/>
      <c r="K569" s="17" t="n"/>
      <c r="L569" s="16">
        <f>K569+C569</f>
        <v/>
      </c>
      <c r="M569" s="11" t="inlineStr">
        <is>
          <t>SM</t>
        </is>
      </c>
      <c r="N569" s="15" t="n"/>
      <c r="O569" s="14" t="n"/>
      <c r="P569" s="14" t="n"/>
      <c r="Q569" s="14" t="n"/>
      <c r="R569" s="14" t="n"/>
    </row>
    <row r="570" customFormat="1" s="34">
      <c r="A570" s="14" t="inlineStr">
        <is>
          <t>FM3368</t>
        </is>
      </c>
      <c r="B570" s="14" t="n"/>
      <c r="C570" s="13" t="n">
        <v>45889</v>
      </c>
      <c r="D570" s="12" t="n">
        <v>60983</v>
      </c>
      <c r="E570" s="14" t="inlineStr">
        <is>
          <t>Chabo &amp; Joubert</t>
        </is>
      </c>
      <c r="F570" s="14" t="inlineStr">
        <is>
          <t>RAD 150</t>
        </is>
      </c>
      <c r="G570" s="20" t="n">
        <v>1</v>
      </c>
      <c r="H570" s="19" t="n">
        <v>2075</v>
      </c>
      <c r="I570" s="18">
        <f>G570*H570</f>
        <v/>
      </c>
      <c r="J570" s="11" t="n"/>
      <c r="K570" s="17" t="n"/>
      <c r="L570" s="16">
        <f>K570+C570</f>
        <v/>
      </c>
      <c r="M570" s="11" t="inlineStr">
        <is>
          <t>ST</t>
        </is>
      </c>
      <c r="N570" s="15" t="n"/>
      <c r="O570" s="14" t="n"/>
      <c r="P570" s="14" t="n"/>
      <c r="Q570" s="14" t="n"/>
      <c r="R570" s="14" t="n"/>
    </row>
    <row r="571" customFormat="1" s="34">
      <c r="A571" s="14" t="inlineStr">
        <is>
          <t>FM3369</t>
        </is>
      </c>
      <c r="B571" s="14" t="n"/>
      <c r="C571" s="13" t="n">
        <v>45890</v>
      </c>
      <c r="D571" s="12" t="inlineStr">
        <is>
          <t>Cash Sale</t>
        </is>
      </c>
      <c r="E571" s="14" t="inlineStr">
        <is>
          <t>Mexan Products</t>
        </is>
      </c>
      <c r="F571" s="14" t="inlineStr">
        <is>
          <t>CMA 426-2M</t>
        </is>
      </c>
      <c r="G571" s="20" t="n">
        <v>3</v>
      </c>
      <c r="H571" s="19" t="n">
        <v>12084.21</v>
      </c>
      <c r="I571" s="18">
        <f>G571*H571</f>
        <v/>
      </c>
      <c r="J571" s="11" t="n"/>
      <c r="K571" s="17" t="n"/>
      <c r="L571" s="16">
        <f>K571+C571</f>
        <v/>
      </c>
      <c r="M571" s="11" t="inlineStr">
        <is>
          <t>SM</t>
        </is>
      </c>
      <c r="N571" s="15" t="n"/>
      <c r="O571" s="14" t="n"/>
      <c r="P571" s="14" t="n"/>
      <c r="Q571" s="14" t="n"/>
      <c r="R571" s="14" t="n"/>
    </row>
    <row r="572" customFormat="1" s="34">
      <c r="A572" s="14" t="inlineStr">
        <is>
          <t>FM3370</t>
        </is>
      </c>
      <c r="B572" s="14" t="n"/>
      <c r="C572" s="13" t="n">
        <v>45891</v>
      </c>
      <c r="D572" s="12" t="inlineStr">
        <is>
          <t>PO2092</t>
        </is>
      </c>
      <c r="E572" s="14" t="inlineStr">
        <is>
          <t xml:space="preserve">Hucra Fans </t>
        </is>
      </c>
      <c r="F572" s="14" t="inlineStr">
        <is>
          <t>Tiracamino</t>
        </is>
      </c>
      <c r="G572" s="20" t="n">
        <v>1</v>
      </c>
      <c r="H572" s="19" t="n">
        <v>12114</v>
      </c>
      <c r="I572" s="18">
        <f>G572*H572</f>
        <v/>
      </c>
      <c r="J572" s="11" t="n"/>
      <c r="K572" s="17" t="n"/>
      <c r="L572" s="16">
        <f>K572+C572</f>
        <v/>
      </c>
      <c r="M572" s="11" t="inlineStr">
        <is>
          <t>ZX</t>
        </is>
      </c>
      <c r="N572" s="15" t="n"/>
      <c r="O572" s="14" t="n"/>
      <c r="P572" s="14" t="n"/>
      <c r="Q572" s="14" t="n"/>
      <c r="R572" s="14" t="n"/>
    </row>
    <row r="573" customFormat="1" s="34">
      <c r="A573" s="14" t="inlineStr">
        <is>
          <t>FM3371</t>
        </is>
      </c>
      <c r="B573" s="14" t="n"/>
      <c r="C573" s="13" t="n">
        <v>45891</v>
      </c>
      <c r="D573" s="12" t="inlineStr">
        <is>
          <t>PO2093</t>
        </is>
      </c>
      <c r="E573" s="14" t="inlineStr">
        <is>
          <t xml:space="preserve">Hucra Fans </t>
        </is>
      </c>
      <c r="F573" s="14" t="inlineStr">
        <is>
          <t>RAD 150</t>
        </is>
      </c>
      <c r="G573" s="20" t="n">
        <v>2</v>
      </c>
      <c r="H573" s="19" t="n">
        <v>1388</v>
      </c>
      <c r="I573" s="18">
        <f>G573*H573</f>
        <v/>
      </c>
      <c r="J573" s="11" t="n"/>
      <c r="K573" s="17" t="n"/>
      <c r="L573" s="16">
        <f>K573+C573</f>
        <v/>
      </c>
      <c r="M573" s="11" t="inlineStr">
        <is>
          <t>ZX</t>
        </is>
      </c>
      <c r="N573" s="15" t="n"/>
      <c r="O573" s="14" t="n"/>
      <c r="P573" s="14" t="n"/>
      <c r="Q573" s="14" t="n"/>
      <c r="R573" s="14" t="n"/>
    </row>
    <row r="574" customFormat="1" s="34">
      <c r="A574" s="14" t="inlineStr">
        <is>
          <t>FM3372</t>
        </is>
      </c>
      <c r="B574" s="14" t="n"/>
      <c r="C574" s="13" t="n">
        <v>45891</v>
      </c>
      <c r="D574" s="12" t="inlineStr">
        <is>
          <t>PO101093</t>
        </is>
      </c>
      <c r="E574" s="14" t="inlineStr">
        <is>
          <t>JAMARMIC PUMP AND VALVE</t>
        </is>
      </c>
      <c r="F574" s="14" t="inlineStr">
        <is>
          <t>Supply &amp; Fit new Aluminium Impeller 800 Diam</t>
        </is>
      </c>
      <c r="G574" s="20" t="n">
        <v>1</v>
      </c>
      <c r="H574" s="19" t="n">
        <v>4986</v>
      </c>
      <c r="I574" s="18">
        <f>G574*H574</f>
        <v/>
      </c>
      <c r="J574" s="11" t="n"/>
      <c r="K574" s="17" t="n"/>
      <c r="L574" s="16">
        <f>K574+C574</f>
        <v/>
      </c>
      <c r="M574" s="11" t="inlineStr">
        <is>
          <t>SM</t>
        </is>
      </c>
      <c r="N574" s="15" t="n"/>
      <c r="O574" s="14" t="n"/>
      <c r="P574" s="14" t="n"/>
      <c r="Q574" s="14" t="n"/>
      <c r="R574" s="14" t="n"/>
    </row>
    <row r="575" customFormat="1" s="34">
      <c r="A575" s="14" t="inlineStr">
        <is>
          <t>FM3373</t>
        </is>
      </c>
      <c r="B575" s="14" t="n"/>
      <c r="C575" s="13" t="n">
        <v>45891</v>
      </c>
      <c r="D575" s="14" t="inlineStr">
        <is>
          <t>KPO144</t>
        </is>
      </c>
      <c r="E575" s="14" t="inlineStr">
        <is>
          <t>Kareo</t>
        </is>
      </c>
      <c r="F575" s="14" t="inlineStr">
        <is>
          <t>Maxflo 400 c/w 1.1kW 2Pole</t>
        </is>
      </c>
      <c r="G575" s="20" t="n">
        <v>1</v>
      </c>
      <c r="H575" s="19" t="n">
        <v>6285.91</v>
      </c>
      <c r="I575" s="18">
        <f>G575*H575</f>
        <v/>
      </c>
      <c r="J575" s="11" t="n"/>
      <c r="K575" s="17" t="n"/>
      <c r="L575" s="16">
        <f>K575+C575</f>
        <v/>
      </c>
      <c r="M575" s="11" t="inlineStr">
        <is>
          <t>SM</t>
        </is>
      </c>
      <c r="N575" s="15" t="n"/>
      <c r="O575" s="14" t="n"/>
      <c r="P575" s="14" t="n"/>
      <c r="Q575" s="14" t="n"/>
      <c r="R575" s="14" t="n"/>
    </row>
    <row r="576" customFormat="1" s="34">
      <c r="A576" s="14" t="inlineStr">
        <is>
          <t>FM3374</t>
        </is>
      </c>
      <c r="B576" s="14" t="n"/>
      <c r="C576" s="13" t="n">
        <v>45891</v>
      </c>
      <c r="D576" s="14" t="inlineStr">
        <is>
          <t>KPO144</t>
        </is>
      </c>
      <c r="E576" s="14" t="inlineStr">
        <is>
          <t>Kareo</t>
        </is>
      </c>
      <c r="F576" s="14" t="inlineStr">
        <is>
          <t>Maxflo 400 c/w 0.75kW 2Pole</t>
        </is>
      </c>
      <c r="G576" s="20" t="n">
        <v>1</v>
      </c>
      <c r="H576" s="19" t="n">
        <v>6285.91</v>
      </c>
      <c r="I576" s="18">
        <f>G576*H576</f>
        <v/>
      </c>
      <c r="J576" s="11" t="n"/>
      <c r="K576" s="17" t="n"/>
      <c r="L576" s="16">
        <f>K576+C576</f>
        <v/>
      </c>
      <c r="M576" s="11" t="inlineStr">
        <is>
          <t>SM</t>
        </is>
      </c>
      <c r="N576" s="15" t="n"/>
      <c r="O576" s="14" t="n"/>
      <c r="P576" s="14" t="n"/>
      <c r="Q576" s="14" t="n"/>
      <c r="R576" s="14" t="n"/>
    </row>
    <row r="577" customFormat="1" s="34">
      <c r="A577" s="14" t="inlineStr">
        <is>
          <t>FM3375</t>
        </is>
      </c>
      <c r="B577" s="14" t="n"/>
      <c r="C577" s="13" t="n">
        <v>45891</v>
      </c>
      <c r="D577" s="14" t="inlineStr">
        <is>
          <t>KPO144</t>
        </is>
      </c>
      <c r="E577" s="14" t="inlineStr">
        <is>
          <t>Kareo</t>
        </is>
      </c>
      <c r="F577" s="14" t="inlineStr">
        <is>
          <t>Maxflo 400 c/w 1.1kW 2Pole</t>
        </is>
      </c>
      <c r="G577" s="20" t="n">
        <v>1</v>
      </c>
      <c r="H577" s="19" t="n">
        <v>6924.23</v>
      </c>
      <c r="I577" s="18">
        <f>G577*H577</f>
        <v/>
      </c>
      <c r="J577" s="11" t="n"/>
      <c r="K577" s="17" t="n"/>
      <c r="L577" s="16">
        <f>K577+C577</f>
        <v/>
      </c>
      <c r="M577" s="11" t="inlineStr">
        <is>
          <t>SM</t>
        </is>
      </c>
      <c r="N577" s="15" t="n"/>
      <c r="O577" s="14" t="n"/>
      <c r="P577" s="14" t="n"/>
      <c r="Q577" s="14" t="n"/>
      <c r="R577" s="14" t="n"/>
    </row>
    <row r="578" customFormat="1" s="34">
      <c r="A578" s="14" t="inlineStr">
        <is>
          <t>FM3376</t>
        </is>
      </c>
      <c r="B578" s="14" t="n"/>
      <c r="C578" s="13" t="n">
        <v>45891</v>
      </c>
      <c r="D578" s="14" t="inlineStr">
        <is>
          <t>KPO144</t>
        </is>
      </c>
      <c r="E578" s="14" t="inlineStr">
        <is>
          <t>Kareo</t>
        </is>
      </c>
      <c r="F578" s="14" t="inlineStr">
        <is>
          <t>Maxflo 400 c/w 1.5kW 2p</t>
        </is>
      </c>
      <c r="G578" s="20" t="n">
        <v>1</v>
      </c>
      <c r="H578" s="19" t="n">
        <v>6924.23</v>
      </c>
      <c r="I578" s="18">
        <f>G578*H578</f>
        <v/>
      </c>
      <c r="J578" s="11" t="n"/>
      <c r="K578" s="17" t="n"/>
      <c r="L578" s="16">
        <f>K578+C578</f>
        <v/>
      </c>
      <c r="M578" s="11" t="inlineStr">
        <is>
          <t>SM</t>
        </is>
      </c>
      <c r="N578" s="15" t="n"/>
      <c r="O578" s="14" t="n"/>
      <c r="P578" s="14" t="n"/>
      <c r="Q578" s="14" t="n"/>
      <c r="R578" s="14" t="n"/>
    </row>
    <row r="579" customFormat="1" s="34">
      <c r="A579" s="14" t="inlineStr">
        <is>
          <t>FM3377</t>
        </is>
      </c>
      <c r="B579" s="14" t="n"/>
      <c r="C579" s="13" t="n">
        <v>45891</v>
      </c>
      <c r="D579" s="14" t="inlineStr">
        <is>
          <t>KPO144</t>
        </is>
      </c>
      <c r="E579" s="14" t="inlineStr">
        <is>
          <t>Kareo</t>
        </is>
      </c>
      <c r="F579" s="14" t="inlineStr">
        <is>
          <t>Maxflo 400 c/w 1.1kW 2Pole</t>
        </is>
      </c>
      <c r="G579" s="20" t="n">
        <v>1</v>
      </c>
      <c r="H579" s="19" t="n">
        <v>6924.23</v>
      </c>
      <c r="I579" s="18">
        <f>G579*H579</f>
        <v/>
      </c>
      <c r="J579" s="11" t="n"/>
      <c r="K579" s="17" t="n"/>
      <c r="L579" s="16">
        <f>K579+C579</f>
        <v/>
      </c>
      <c r="M579" s="11" t="inlineStr">
        <is>
          <t>SM</t>
        </is>
      </c>
      <c r="N579" s="15" t="n"/>
      <c r="O579" s="14" t="n"/>
      <c r="P579" s="14" t="n"/>
      <c r="Q579" s="14" t="n"/>
      <c r="R579" s="14" t="n"/>
    </row>
    <row r="580" customFormat="1" s="34">
      <c r="A580" s="14" t="inlineStr">
        <is>
          <t>FM3378</t>
        </is>
      </c>
      <c r="B580" s="14" t="n"/>
      <c r="C580" s="13" t="n">
        <v>45891</v>
      </c>
      <c r="D580" s="14" t="inlineStr">
        <is>
          <t>KPO144</t>
        </is>
      </c>
      <c r="E580" s="14" t="inlineStr">
        <is>
          <t>Kareo</t>
        </is>
      </c>
      <c r="F580" s="14" t="inlineStr">
        <is>
          <t>Maxflo 400 c/w 1.1kW 2Pole</t>
        </is>
      </c>
      <c r="G580" s="20" t="n">
        <v>1</v>
      </c>
      <c r="H580" s="19" t="n">
        <v>6924.23</v>
      </c>
      <c r="I580" s="18">
        <f>G580*H580</f>
        <v/>
      </c>
      <c r="J580" s="11" t="n"/>
      <c r="K580" s="17" t="n"/>
      <c r="L580" s="16">
        <f>K580+C580</f>
        <v/>
      </c>
      <c r="M580" s="11" t="inlineStr">
        <is>
          <t>SM</t>
        </is>
      </c>
      <c r="N580" s="15" t="n"/>
      <c r="O580" s="14" t="n"/>
      <c r="P580" s="14" t="n"/>
      <c r="Q580" s="14" t="n"/>
      <c r="R580" s="14" t="n"/>
    </row>
    <row r="581" customFormat="1" s="34">
      <c r="A581" s="14" t="inlineStr">
        <is>
          <t>FM3379</t>
        </is>
      </c>
      <c r="B581" s="14" t="n"/>
      <c r="C581" s="13" t="n">
        <v>45894</v>
      </c>
      <c r="D581" s="12" t="inlineStr">
        <is>
          <t>cash sale</t>
        </is>
      </c>
      <c r="E581" s="14" t="inlineStr">
        <is>
          <t>Smarttech women</t>
        </is>
      </c>
      <c r="F581" s="14" t="inlineStr">
        <is>
          <t>CMP 514 2T</t>
        </is>
      </c>
      <c r="G581" s="20" t="n">
        <v>2</v>
      </c>
      <c r="H581" s="19" t="n">
        <v>12714</v>
      </c>
      <c r="I581" s="18" t="n">
        <v>12714</v>
      </c>
      <c r="J581" s="11" t="n"/>
      <c r="K581" s="17" t="n"/>
      <c r="L581" s="16">
        <f>K581+C581</f>
        <v/>
      </c>
      <c r="M581" s="11" t="inlineStr">
        <is>
          <t>MT</t>
        </is>
      </c>
      <c r="N581" s="15" t="n"/>
      <c r="O581" s="14" t="n"/>
      <c r="P581" s="14" t="n"/>
      <c r="Q581" s="14" t="n"/>
      <c r="R581" s="14" t="n"/>
    </row>
    <row r="582" customFormat="1" s="34">
      <c r="A582" s="14" t="inlineStr">
        <is>
          <t>FM3380</t>
        </is>
      </c>
      <c r="B582" s="14" t="n"/>
      <c r="C582" s="13" t="n">
        <v>45894</v>
      </c>
      <c r="D582" s="12" t="inlineStr">
        <is>
          <t>PO-000006172</t>
        </is>
      </c>
      <c r="E582" s="14" t="inlineStr">
        <is>
          <t>Cape Fans (Pty) Ltd</t>
        </is>
      </c>
      <c r="F582" s="14" t="inlineStr">
        <is>
          <t>BAF 150</t>
        </is>
      </c>
      <c r="G582" s="20" t="n">
        <v>6</v>
      </c>
      <c r="H582" s="19" t="n">
        <v>768</v>
      </c>
      <c r="I582" s="18">
        <f>G582*H582</f>
        <v/>
      </c>
      <c r="J582" s="11" t="n"/>
      <c r="K582" s="17" t="n"/>
      <c r="L582" s="16">
        <f>K582+C582</f>
        <v/>
      </c>
      <c r="M582" s="11" t="inlineStr">
        <is>
          <t>ST</t>
        </is>
      </c>
      <c r="N582" s="15" t="n"/>
      <c r="O582" s="14" t="n"/>
      <c r="P582" s="14" t="n"/>
      <c r="Q582" s="14" t="n"/>
      <c r="R582" s="14" t="n"/>
    </row>
    <row r="583" customFormat="1" s="34">
      <c r="A583" s="14" t="inlineStr">
        <is>
          <t>FM3381</t>
        </is>
      </c>
      <c r="B583" s="14" t="n"/>
      <c r="C583" s="13" t="n">
        <v>45894</v>
      </c>
      <c r="D583" s="12" t="inlineStr">
        <is>
          <t>Cash</t>
        </is>
      </c>
      <c r="E583" s="14" t="inlineStr">
        <is>
          <t>Airlec</t>
        </is>
      </c>
      <c r="F583" s="14" t="inlineStr">
        <is>
          <t>Lineo 200</t>
        </is>
      </c>
      <c r="G583" s="20" t="n">
        <v>2</v>
      </c>
      <c r="H583" s="19" t="n">
        <v>3433</v>
      </c>
      <c r="I583" s="18">
        <f>G583*H583</f>
        <v/>
      </c>
      <c r="J583" s="11" t="n"/>
      <c r="K583" s="17" t="n"/>
      <c r="L583" s="16">
        <f>K583+C583</f>
        <v/>
      </c>
      <c r="M583" s="11" t="inlineStr">
        <is>
          <t>SM</t>
        </is>
      </c>
      <c r="N583" s="15" t="n"/>
      <c r="O583" s="14" t="n"/>
      <c r="P583" s="14" t="n"/>
      <c r="Q583" s="14" t="n"/>
      <c r="R583" s="14" t="n"/>
    </row>
    <row r="584" customFormat="1" s="34">
      <c r="A584" s="14" t="inlineStr">
        <is>
          <t>FM3382</t>
        </is>
      </c>
      <c r="B584" s="14" t="n"/>
      <c r="C584" s="13" t="n">
        <v>45894</v>
      </c>
      <c r="D584" s="12" t="inlineStr">
        <is>
          <t>MFE6735</t>
        </is>
      </c>
      <c r="E584" s="14" t="inlineStr">
        <is>
          <t>Morlyn Fans</t>
        </is>
      </c>
      <c r="F584" s="14" t="inlineStr">
        <is>
          <t>HCD 25-4M</t>
        </is>
      </c>
      <c r="G584" s="20" t="n">
        <v>1</v>
      </c>
      <c r="H584" s="19" t="n">
        <v>2902</v>
      </c>
      <c r="I584" s="18">
        <f>G584*H584</f>
        <v/>
      </c>
      <c r="J584" s="11" t="n"/>
      <c r="K584" s="17" t="n"/>
      <c r="L584" s="16">
        <f>K584+C584</f>
        <v/>
      </c>
      <c r="M584" s="11" t="inlineStr">
        <is>
          <t>MT</t>
        </is>
      </c>
      <c r="N584" s="15" t="n"/>
      <c r="O584" s="14" t="n"/>
      <c r="P584" s="14" t="n"/>
      <c r="Q584" s="14" t="n"/>
      <c r="R584" s="14" t="n"/>
    </row>
    <row r="585" customFormat="1" s="34">
      <c r="A585" s="14" t="inlineStr">
        <is>
          <t>FM3383</t>
        </is>
      </c>
      <c r="B585" s="14" t="n"/>
      <c r="C585" s="13" t="n">
        <v>45894</v>
      </c>
      <c r="D585" s="12" t="inlineStr">
        <is>
          <t>M25-194-018-002</t>
        </is>
      </c>
      <c r="E585" s="14" t="inlineStr">
        <is>
          <t>Masgcor</t>
        </is>
      </c>
      <c r="F585" s="22" t="inlineStr">
        <is>
          <t>DDM 10/10 - 6M02P4 - 550W 4P 230V-1Ph</t>
        </is>
      </c>
      <c r="G585" s="20" t="n">
        <v>4</v>
      </c>
      <c r="H585" s="19">
        <f>8548+532+295</f>
        <v/>
      </c>
      <c r="I585" s="18">
        <f>G585*H585</f>
        <v/>
      </c>
      <c r="J585" s="11" t="n"/>
      <c r="K585" s="17" t="n"/>
      <c r="L585" s="16">
        <f>K585+C585</f>
        <v/>
      </c>
      <c r="M585" s="11" t="inlineStr">
        <is>
          <t>SM</t>
        </is>
      </c>
      <c r="N585" s="15" t="n"/>
      <c r="O585" s="14" t="n"/>
      <c r="P585" s="14" t="n"/>
      <c r="Q585" s="14" t="n"/>
      <c r="R585" s="14" t="n"/>
    </row>
    <row r="586" customFormat="1" s="34">
      <c r="A586" s="14" t="inlineStr">
        <is>
          <t>FM3384</t>
        </is>
      </c>
      <c r="B586" s="14" t="n"/>
      <c r="C586" s="13" t="n">
        <v>45894</v>
      </c>
      <c r="D586" s="12" t="inlineStr">
        <is>
          <t>M25-196-024-002</t>
        </is>
      </c>
      <c r="E586" s="14" t="inlineStr">
        <is>
          <t>Masgcor</t>
        </is>
      </c>
      <c r="F586" s="22" t="inlineStr">
        <is>
          <t>DDM 10/10 - 6M02P4 - 550W 4P 230V-1Ph</t>
        </is>
      </c>
      <c r="G586" s="20" t="n">
        <v>4</v>
      </c>
      <c r="H586" s="19">
        <f>8548+532+295</f>
        <v/>
      </c>
      <c r="I586" s="18">
        <f>G586*H586</f>
        <v/>
      </c>
      <c r="J586" s="11" t="n"/>
      <c r="K586" s="17" t="n"/>
      <c r="L586" s="16">
        <f>K586+C586</f>
        <v/>
      </c>
      <c r="M586" s="11" t="inlineStr">
        <is>
          <t>SM</t>
        </is>
      </c>
      <c r="N586" s="15" t="n"/>
      <c r="O586" s="14" t="n"/>
      <c r="P586" s="14" t="n"/>
      <c r="Q586" s="14" t="n"/>
      <c r="R586" s="14" t="n"/>
    </row>
    <row r="587" customFormat="1" s="34">
      <c r="A587" s="14" t="inlineStr">
        <is>
          <t>FM3385</t>
        </is>
      </c>
      <c r="B587" s="14" t="n"/>
      <c r="C587" s="13" t="n">
        <v>45894</v>
      </c>
      <c r="D587" s="12" t="inlineStr">
        <is>
          <t>Chash Sale</t>
        </is>
      </c>
      <c r="E587" s="14" t="inlineStr">
        <is>
          <t>Isukamin</t>
        </is>
      </c>
      <c r="F587" s="14" t="inlineStr">
        <is>
          <t>Maxflo 630/250/14 c/w 2.2kW 4Pole + Accessories</t>
        </is>
      </c>
      <c r="G587" s="20" t="n">
        <v>1</v>
      </c>
      <c r="H587" s="19">
        <f>11363.64+7838+886+1152</f>
        <v/>
      </c>
      <c r="I587" s="18">
        <f>G587*H587</f>
        <v/>
      </c>
      <c r="J587" s="11" t="n"/>
      <c r="K587" s="17" t="n"/>
      <c r="L587" s="16">
        <f>K587+C587</f>
        <v/>
      </c>
      <c r="M587" s="11" t="inlineStr">
        <is>
          <t>SM</t>
        </is>
      </c>
      <c r="N587" s="15" t="n"/>
      <c r="O587" s="14" t="n"/>
      <c r="P587" s="14" t="n"/>
      <c r="Q587" s="14" t="n"/>
      <c r="R587" s="14" t="n"/>
    </row>
    <row r="588" customFormat="1" s="34">
      <c r="A588" s="14" t="inlineStr">
        <is>
          <t>FM3386</t>
        </is>
      </c>
      <c r="B588" s="14" t="n"/>
      <c r="C588" s="13" t="n">
        <v>45895</v>
      </c>
      <c r="D588" s="12" t="inlineStr">
        <is>
          <t>PO-000006181</t>
        </is>
      </c>
      <c r="E588" s="14" t="inlineStr">
        <is>
          <t>Cape Fans (Pty) Ltd</t>
        </is>
      </c>
      <c r="F588" s="14" t="inlineStr">
        <is>
          <t xml:space="preserve">BD 12/9 1.1KW 6P 400V </t>
        </is>
      </c>
      <c r="G588" s="20" t="n">
        <v>1</v>
      </c>
      <c r="H588" s="19" t="n">
        <v>9171</v>
      </c>
      <c r="I588" s="18">
        <f>G588*H588</f>
        <v/>
      </c>
      <c r="J588" s="11" t="n"/>
      <c r="K588" s="17" t="n"/>
      <c r="L588" s="16">
        <f>K588+C588</f>
        <v/>
      </c>
      <c r="M588" s="11" t="inlineStr">
        <is>
          <t>ST</t>
        </is>
      </c>
      <c r="N588" s="15" t="n"/>
      <c r="O588" s="14" t="n"/>
      <c r="P588" s="14" t="n"/>
      <c r="Q588" s="14" t="n"/>
      <c r="R588" s="14" t="n"/>
    </row>
    <row r="589" customFormat="1" s="34">
      <c r="A589" s="14" t="inlineStr">
        <is>
          <t>FM3387</t>
        </is>
      </c>
      <c r="B589" s="14" t="n"/>
      <c r="C589" s="13" t="n">
        <v>45895</v>
      </c>
      <c r="D589" s="12" t="inlineStr">
        <is>
          <t>PO-26487</t>
        </is>
      </c>
      <c r="E589" s="14" t="inlineStr">
        <is>
          <t>Aircycle Engineering CC</t>
        </is>
      </c>
      <c r="F589" s="14" t="inlineStr">
        <is>
          <t>630 - 1000 VSD</t>
        </is>
      </c>
      <c r="G589" s="20" t="n">
        <v>8</v>
      </c>
      <c r="H589" s="19" t="n">
        <v>100</v>
      </c>
      <c r="I589" s="18">
        <f>G589*H589</f>
        <v/>
      </c>
      <c r="J589" s="11" t="n"/>
      <c r="K589" s="17" t="n"/>
      <c r="L589" s="16">
        <f>K589+C589</f>
        <v/>
      </c>
      <c r="M589" s="11" t="inlineStr">
        <is>
          <t>SM</t>
        </is>
      </c>
      <c r="N589" s="15" t="n"/>
      <c r="O589" s="14" t="n"/>
      <c r="P589" s="14" t="n"/>
      <c r="Q589" s="14" t="n"/>
      <c r="R589" s="14" t="n"/>
    </row>
    <row r="590" customFormat="1" s="34">
      <c r="A590" s="14" t="inlineStr">
        <is>
          <t>FM3388</t>
        </is>
      </c>
      <c r="B590" s="14" t="n"/>
      <c r="C590" s="13" t="n">
        <v>45897</v>
      </c>
      <c r="D590" s="12" t="inlineStr">
        <is>
          <t>PO116114</t>
        </is>
      </c>
      <c r="E590" s="14" t="inlineStr">
        <is>
          <t>Boleng</t>
        </is>
      </c>
      <c r="F590" s="14" t="inlineStr">
        <is>
          <t>Lineo 315 Q</t>
        </is>
      </c>
      <c r="G590" s="20" t="n">
        <v>2</v>
      </c>
      <c r="H590" s="19" t="n">
        <v>11600</v>
      </c>
      <c r="I590" s="18">
        <f>G590*H590</f>
        <v/>
      </c>
      <c r="J590" s="11" t="n"/>
      <c r="K590" s="17" t="n"/>
      <c r="L590" s="16">
        <f>K590+C590</f>
        <v/>
      </c>
      <c r="M590" s="11" t="inlineStr">
        <is>
          <t>MT</t>
        </is>
      </c>
      <c r="N590" s="15" t="n"/>
      <c r="O590" s="14" t="n"/>
      <c r="P590" s="14" t="n"/>
      <c r="Q590" s="14" t="n"/>
      <c r="R590" s="14" t="n"/>
    </row>
    <row r="591" customFormat="1" s="34">
      <c r="A591" s="14" t="inlineStr">
        <is>
          <t>FM3389</t>
        </is>
      </c>
      <c r="B591" s="14" t="n"/>
      <c r="C591" s="13" t="n">
        <v>45897</v>
      </c>
      <c r="D591" s="12" t="inlineStr">
        <is>
          <t>PO2094</t>
        </is>
      </c>
      <c r="E591" s="14" t="inlineStr">
        <is>
          <t xml:space="preserve">Hucra Fans </t>
        </is>
      </c>
      <c r="F591" s="14" t="inlineStr">
        <is>
          <t>Lineo 200 Quiet</t>
        </is>
      </c>
      <c r="G591" s="20" t="n">
        <v>1</v>
      </c>
      <c r="H591" s="19" t="n">
        <v>4412</v>
      </c>
      <c r="I591" s="18">
        <f>G591*H591</f>
        <v/>
      </c>
      <c r="J591" s="11" t="n"/>
      <c r="K591" s="17" t="n"/>
      <c r="L591" s="16">
        <f>K591+C591</f>
        <v/>
      </c>
      <c r="M591" s="11" t="inlineStr">
        <is>
          <t>ZX</t>
        </is>
      </c>
      <c r="N591" s="15" t="n"/>
      <c r="O591" s="14" t="n"/>
      <c r="P591" s="14" t="n"/>
      <c r="Q591" s="14" t="n"/>
      <c r="R591" s="14" t="n"/>
    </row>
    <row r="592" customFormat="1" s="34">
      <c r="A592" s="14" t="inlineStr">
        <is>
          <t>FM3390</t>
        </is>
      </c>
      <c r="B592" s="14" t="n"/>
      <c r="C592" s="13" t="n">
        <v>45898</v>
      </c>
      <c r="D592" s="12" t="inlineStr">
        <is>
          <t>Cash sale</t>
        </is>
      </c>
      <c r="E592" s="14" t="inlineStr">
        <is>
          <t>PCE Group Pty Ltd</t>
        </is>
      </c>
      <c r="F592" s="14" t="inlineStr">
        <is>
          <t>RAD 200</t>
        </is>
      </c>
      <c r="G592" s="20" t="n">
        <v>12</v>
      </c>
      <c r="H592" s="19" t="n">
        <v>2293.2</v>
      </c>
      <c r="I592" s="18">
        <f>G592*H592</f>
        <v/>
      </c>
      <c r="J592" s="11" t="n"/>
      <c r="K592" s="17" t="n"/>
      <c r="L592" s="16">
        <f>K592+C592</f>
        <v/>
      </c>
      <c r="M592" s="11" t="inlineStr">
        <is>
          <t>MT</t>
        </is>
      </c>
      <c r="N592" s="15" t="n"/>
      <c r="O592" s="14" t="n"/>
      <c r="P592" s="14" t="n"/>
      <c r="Q592" s="14" t="n"/>
      <c r="R592" s="14" t="n"/>
    </row>
    <row r="593" customFormat="1" s="34">
      <c r="A593" s="14" t="inlineStr">
        <is>
          <t>FM3391</t>
        </is>
      </c>
      <c r="B593" s="14" t="n"/>
      <c r="C593" s="13" t="n">
        <v>45901</v>
      </c>
      <c r="D593" s="12" t="inlineStr">
        <is>
          <t>MP014851</t>
        </is>
      </c>
      <c r="E593" s="14" t="inlineStr">
        <is>
          <t>Midstone Engineering t/a Midair</t>
        </is>
      </c>
      <c r="F593" s="14" t="inlineStr">
        <is>
          <t>Tiracamino</t>
        </is>
      </c>
      <c r="G593" s="20" t="n">
        <v>1</v>
      </c>
      <c r="H593" s="19" t="n">
        <v>12302</v>
      </c>
      <c r="I593" s="18">
        <f>G593*H593</f>
        <v/>
      </c>
      <c r="J593" s="11" t="n"/>
      <c r="K593" s="17" t="n"/>
      <c r="L593" s="16">
        <f>K593+C593</f>
        <v/>
      </c>
      <c r="M593" s="11" t="inlineStr">
        <is>
          <t>MT</t>
        </is>
      </c>
      <c r="N593" s="15" t="n"/>
      <c r="O593" s="14" t="n"/>
      <c r="P593" s="14" t="n"/>
      <c r="Q593" s="14" t="n"/>
      <c r="R593" s="14" t="n"/>
    </row>
    <row r="594" customFormat="1" s="34">
      <c r="A594" s="14" t="inlineStr">
        <is>
          <t>FM3392</t>
        </is>
      </c>
      <c r="B594" s="14" t="n"/>
      <c r="C594" s="13" t="n">
        <v>45902</v>
      </c>
      <c r="D594" s="12" t="inlineStr">
        <is>
          <t>PO0001362</t>
        </is>
      </c>
      <c r="E594" s="14" t="inlineStr">
        <is>
          <t>AL Steel &amp; Mining</t>
        </is>
      </c>
      <c r="F594" s="14" t="inlineStr">
        <is>
          <t>HPLV 710 c/w 5.5kw 2P 400V</t>
        </is>
      </c>
      <c r="G594" s="20" t="n">
        <v>3</v>
      </c>
      <c r="H594" s="19" t="n">
        <v>51518</v>
      </c>
      <c r="I594" s="18">
        <f>G594*H594</f>
        <v/>
      </c>
      <c r="J594" s="11" t="n"/>
      <c r="K594" s="17" t="n"/>
      <c r="L594" s="16">
        <f>K594+C594</f>
        <v/>
      </c>
      <c r="M594" s="11" t="inlineStr">
        <is>
          <t>ZX</t>
        </is>
      </c>
      <c r="N594" s="15" t="n"/>
      <c r="O594" s="14" t="n"/>
      <c r="P594" s="14" t="n"/>
      <c r="Q594" s="14" t="n"/>
      <c r="R594" s="14" t="n"/>
    </row>
    <row r="595" customFormat="1" s="34">
      <c r="A595" s="14" t="inlineStr">
        <is>
          <t>FM3393</t>
        </is>
      </c>
      <c r="B595" s="14" t="n"/>
      <c r="C595" s="13" t="n">
        <v>45902</v>
      </c>
      <c r="D595" s="12" t="inlineStr">
        <is>
          <t>Cash sale</t>
        </is>
      </c>
      <c r="E595" s="14" t="inlineStr">
        <is>
          <t>Airpro Fans and blowers</t>
        </is>
      </c>
      <c r="F595" s="14" t="inlineStr">
        <is>
          <t>CMA 325-2T</t>
        </is>
      </c>
      <c r="G595" s="20" t="n">
        <v>3</v>
      </c>
      <c r="H595" s="19" t="n">
        <v>10767</v>
      </c>
      <c r="I595" s="18">
        <f>G595*H595</f>
        <v/>
      </c>
      <c r="J595" s="11" t="n"/>
      <c r="K595" s="17" t="n"/>
      <c r="L595" s="16">
        <f>K595+C595</f>
        <v/>
      </c>
      <c r="M595" s="11" t="inlineStr">
        <is>
          <t>ZX</t>
        </is>
      </c>
      <c r="N595" s="15" t="n"/>
      <c r="O595" s="14" t="n"/>
      <c r="P595" s="14" t="n"/>
      <c r="Q595" s="14" t="n"/>
      <c r="R595" s="14" t="n"/>
    </row>
    <row r="596" customFormat="1" s="34">
      <c r="A596" s="14" t="inlineStr">
        <is>
          <t>FM3394</t>
        </is>
      </c>
      <c r="B596" s="14" t="n"/>
      <c r="C596" s="13" t="n">
        <v>45902</v>
      </c>
      <c r="D596" s="12" t="n">
        <v>26016</v>
      </c>
      <c r="E596" s="14" t="inlineStr">
        <is>
          <t>Maddox Adams International</t>
        </is>
      </c>
      <c r="F596" s="14" t="inlineStr">
        <is>
          <t>SCL K04 MS 1.1KW 380V</t>
        </is>
      </c>
      <c r="G596" s="20" t="n">
        <v>1</v>
      </c>
      <c r="H596" s="19" t="n">
        <v>15020.21</v>
      </c>
      <c r="I596" s="18">
        <f>G596*H596</f>
        <v/>
      </c>
      <c r="J596" s="11" t="n"/>
      <c r="K596" s="17" t="n"/>
      <c r="L596" s="16">
        <f>K596+C596</f>
        <v/>
      </c>
      <c r="M596" s="11" t="inlineStr">
        <is>
          <t>MT</t>
        </is>
      </c>
      <c r="N596" s="15" t="n"/>
      <c r="O596" s="14" t="n"/>
      <c r="P596" s="14" t="n"/>
      <c r="Q596" s="14" t="n"/>
      <c r="R596" s="14" t="n"/>
    </row>
    <row r="597" customFormat="1" s="34">
      <c r="A597" s="14" t="inlineStr">
        <is>
          <t>FM3395</t>
        </is>
      </c>
      <c r="B597" s="14" t="n"/>
      <c r="C597" s="13" t="n">
        <v>45902</v>
      </c>
      <c r="D597" s="12" t="inlineStr">
        <is>
          <t>Craig</t>
        </is>
      </c>
      <c r="E597" s="14" t="inlineStr">
        <is>
          <t xml:space="preserve">Hucra Fans </t>
        </is>
      </c>
      <c r="F597" s="14" t="inlineStr">
        <is>
          <t>Lineo 125 quiet &amp; Lineo 250 Quiet</t>
        </is>
      </c>
      <c r="G597" s="20" t="n">
        <v>3</v>
      </c>
      <c r="H597" s="19" t="n">
        <v>4559.6666</v>
      </c>
      <c r="I597" s="18">
        <f>G597*H597</f>
        <v/>
      </c>
      <c r="J597" s="11" t="n"/>
      <c r="K597" s="17" t="n"/>
      <c r="L597" s="16">
        <f>K597+C597</f>
        <v/>
      </c>
      <c r="M597" s="11" t="inlineStr">
        <is>
          <t>ZX</t>
        </is>
      </c>
      <c r="N597" s="15" t="n"/>
      <c r="O597" s="14" t="n"/>
      <c r="P597" s="14" t="n"/>
      <c r="Q597" s="14" t="n"/>
      <c r="R597" s="14" t="n"/>
    </row>
    <row r="598" customFormat="1" s="34">
      <c r="A598" s="14" t="inlineStr">
        <is>
          <t>FM3396</t>
        </is>
      </c>
      <c r="B598" s="14" t="n"/>
      <c r="C598" s="13" t="n">
        <v>45902</v>
      </c>
      <c r="D598" s="12" t="inlineStr">
        <is>
          <t>Cash sale</t>
        </is>
      </c>
      <c r="E598" s="14" t="inlineStr">
        <is>
          <t>Zefs More Vision</t>
        </is>
      </c>
      <c r="F598" s="14" t="inlineStr">
        <is>
          <t>Maxflo560/630 4P 380v</t>
        </is>
      </c>
      <c r="G598" s="20" t="n">
        <v>1</v>
      </c>
      <c r="H598" s="19" t="n">
        <v>14850</v>
      </c>
      <c r="I598" s="18">
        <f>G598*H598</f>
        <v/>
      </c>
      <c r="J598" s="11" t="n"/>
      <c r="K598" s="17" t="n"/>
      <c r="L598" s="16">
        <f>K598+C598</f>
        <v/>
      </c>
      <c r="M598" s="11" t="inlineStr">
        <is>
          <t>MT</t>
        </is>
      </c>
      <c r="N598" s="15" t="n"/>
      <c r="O598" s="14" t="n"/>
      <c r="P598" s="14" t="n"/>
      <c r="Q598" s="14" t="n"/>
      <c r="R598" s="14" t="n"/>
    </row>
    <row r="599">
      <c r="A599" s="14" t="inlineStr">
        <is>
          <t>FM3397</t>
        </is>
      </c>
      <c r="B599" s="14" t="n"/>
      <c r="C599" s="13" t="n">
        <v>45903</v>
      </c>
      <c r="D599" s="12" t="inlineStr">
        <is>
          <t>PO000106</t>
        </is>
      </c>
      <c r="E599" s="14" t="inlineStr">
        <is>
          <t>Powernex T/A Power nex (Pty)Ltd</t>
        </is>
      </c>
      <c r="F599" s="14" t="inlineStr">
        <is>
          <t>Boxed Fans</t>
        </is>
      </c>
      <c r="G599" s="20" t="n">
        <v>1</v>
      </c>
      <c r="H599" s="19" t="n">
        <v>91866</v>
      </c>
      <c r="I599" s="18">
        <f>G599*H599</f>
        <v/>
      </c>
      <c r="J599" s="11" t="n"/>
      <c r="K599" s="17" t="n"/>
      <c r="L599" s="16">
        <f>K599+C599</f>
        <v/>
      </c>
      <c r="M599" s="11" t="inlineStr">
        <is>
          <t>MT</t>
        </is>
      </c>
      <c r="N599" s="15" t="n"/>
      <c r="O599" s="14" t="n"/>
      <c r="P599" s="14" t="n"/>
      <c r="Q599" s="14" t="n"/>
      <c r="R599" s="14" t="n"/>
    </row>
    <row r="600">
      <c r="A600" s="14" t="inlineStr">
        <is>
          <t>FM3398</t>
        </is>
      </c>
      <c r="B600" s="14" t="n"/>
      <c r="C600" s="13" t="n">
        <v>45903</v>
      </c>
      <c r="D600" s="12" t="inlineStr">
        <is>
          <t>PO000106</t>
        </is>
      </c>
      <c r="E600" s="14" t="inlineStr">
        <is>
          <t>Powernex T/A Power nex (Pty)Ltd</t>
        </is>
      </c>
      <c r="F600" s="14" t="inlineStr">
        <is>
          <t>150x150mm extract grills, diam collar, volume control damper</t>
        </is>
      </c>
      <c r="G600" s="20" t="n">
        <v>1</v>
      </c>
      <c r="H600" s="19" t="n">
        <v>264630</v>
      </c>
      <c r="I600" s="18">
        <f>G600*H600</f>
        <v/>
      </c>
      <c r="J600" s="11" t="n"/>
      <c r="K600" s="17" t="n"/>
      <c r="L600" s="16">
        <f>K600+C600</f>
        <v/>
      </c>
      <c r="M600" s="11" t="inlineStr">
        <is>
          <t>MT</t>
        </is>
      </c>
      <c r="N600" s="15" t="n"/>
      <c r="O600" s="14" t="n"/>
      <c r="P600" s="14" t="n"/>
      <c r="Q600" s="14" t="n"/>
      <c r="R600" s="14" t="n"/>
    </row>
    <row r="601">
      <c r="A601" s="14" t="inlineStr">
        <is>
          <t>FM3399</t>
        </is>
      </c>
      <c r="B601" s="14" t="n"/>
      <c r="C601" s="13" t="n">
        <v>45903</v>
      </c>
      <c r="D601" s="12" t="inlineStr">
        <is>
          <t>PO000106</t>
        </is>
      </c>
      <c r="E601" s="14" t="inlineStr">
        <is>
          <t>Powernex T/A Power nex (Pty)Ltd</t>
        </is>
      </c>
      <c r="F601" s="14" t="inlineStr">
        <is>
          <t>240x150mm 10m longflexible duct</t>
        </is>
      </c>
      <c r="G601" s="20" t="n">
        <v>1</v>
      </c>
      <c r="H601" s="19" t="n">
        <v>19029</v>
      </c>
      <c r="I601" s="18">
        <f>G601*H601</f>
        <v/>
      </c>
      <c r="J601" s="11" t="n"/>
      <c r="K601" s="17" t="n"/>
      <c r="L601" s="16">
        <f>K601+C601</f>
        <v/>
      </c>
      <c r="M601" s="11" t="inlineStr">
        <is>
          <t>MT</t>
        </is>
      </c>
      <c r="N601" s="15" t="n"/>
      <c r="O601" s="14" t="n"/>
      <c r="P601" s="14" t="n"/>
      <c r="Q601" s="14" t="n"/>
      <c r="R601" s="14" t="n"/>
    </row>
    <row r="602">
      <c r="A602" s="14" t="inlineStr">
        <is>
          <t>FM3400</t>
        </is>
      </c>
      <c r="B602" s="14" t="n"/>
      <c r="C602" s="13" t="n">
        <v>45903</v>
      </c>
      <c r="D602" s="12" t="inlineStr">
        <is>
          <t>PO000106</t>
        </is>
      </c>
      <c r="E602" s="14" t="inlineStr">
        <is>
          <t>Powernex T/A Power nex (Pty)Ltd</t>
        </is>
      </c>
      <c r="F602" s="14" t="inlineStr">
        <is>
          <t>200x200 back draft damper</t>
        </is>
      </c>
      <c r="G602" s="20" t="n">
        <v>1</v>
      </c>
      <c r="H602" s="19" t="n">
        <v>24300</v>
      </c>
      <c r="I602" s="18">
        <f>G602*H602</f>
        <v/>
      </c>
      <c r="J602" s="11" t="n"/>
      <c r="K602" s="17" t="n"/>
      <c r="L602" s="16">
        <f>K602+C602</f>
        <v/>
      </c>
      <c r="M602" s="11" t="inlineStr">
        <is>
          <t>MT</t>
        </is>
      </c>
      <c r="N602" s="15" t="n"/>
      <c r="O602" s="14" t="n"/>
      <c r="P602" s="14" t="n"/>
      <c r="Q602" s="14" t="n"/>
      <c r="R602" s="14" t="n"/>
    </row>
    <row r="603">
      <c r="A603" s="14" t="inlineStr">
        <is>
          <t>FM3401</t>
        </is>
      </c>
      <c r="B603" s="14" t="n"/>
      <c r="C603" s="13" t="n">
        <v>45904</v>
      </c>
      <c r="D603" s="12" t="inlineStr">
        <is>
          <t>A3412093733</t>
        </is>
      </c>
      <c r="E603" s="14" t="inlineStr">
        <is>
          <t>NWK</t>
        </is>
      </c>
      <c r="F603" s="14" t="inlineStr">
        <is>
          <t>CMA FANS</t>
        </is>
      </c>
      <c r="G603" s="20" t="n">
        <v>1</v>
      </c>
      <c r="H603" s="19" t="n">
        <v>64584</v>
      </c>
      <c r="I603" s="18">
        <f>G603*H603</f>
        <v/>
      </c>
      <c r="J603" s="11" t="n"/>
      <c r="K603" s="17" t="n"/>
      <c r="L603" s="16">
        <f>K603+C603</f>
        <v/>
      </c>
      <c r="M603" s="11" t="n"/>
      <c r="N603" s="15" t="n"/>
      <c r="O603" s="14" t="n"/>
      <c r="P603" s="14" t="n"/>
      <c r="Q603" s="14" t="n"/>
      <c r="R603" s="14" t="n"/>
    </row>
    <row r="604">
      <c r="A604" s="14" t="inlineStr">
        <is>
          <t>FM3402</t>
        </is>
      </c>
      <c r="B604" s="14" t="n"/>
      <c r="C604" s="13" t="n">
        <v>45904</v>
      </c>
      <c r="D604" s="12" t="inlineStr">
        <is>
          <t>cash</t>
        </is>
      </c>
      <c r="E604" s="14" t="inlineStr">
        <is>
          <t>Gordon De Vaal</t>
        </is>
      </c>
      <c r="F604" s="14" t="inlineStr">
        <is>
          <t>CE 250</t>
        </is>
      </c>
      <c r="G604" s="20" t="n">
        <v>1</v>
      </c>
      <c r="H604" s="19" t="n">
        <v>450</v>
      </c>
      <c r="I604" s="18">
        <f>G604*H604</f>
        <v/>
      </c>
      <c r="J604" s="11" t="n"/>
      <c r="K604" s="17" t="n"/>
      <c r="L604" s="16">
        <f>K604+C604</f>
        <v/>
      </c>
      <c r="M604" s="11" t="inlineStr">
        <is>
          <t>SM</t>
        </is>
      </c>
      <c r="N604" s="15" t="n"/>
      <c r="O604" s="14" t="n"/>
      <c r="P604" s="14" t="n"/>
      <c r="Q604" s="14" t="n"/>
      <c r="R604" s="14" t="n"/>
    </row>
    <row r="605">
      <c r="A605" s="14" t="inlineStr">
        <is>
          <t>FM3403</t>
        </is>
      </c>
      <c r="B605" s="14" t="n"/>
      <c r="C605" s="13" t="n">
        <v>45904</v>
      </c>
      <c r="D605" s="12" t="inlineStr">
        <is>
          <t>PO116128</t>
        </is>
      </c>
      <c r="E605" s="14" t="inlineStr">
        <is>
          <t>Boleng Mechical Engineering</t>
        </is>
      </c>
      <c r="F605" s="14" t="inlineStr">
        <is>
          <t>RAD 200 &amp; Speed controller</t>
        </is>
      </c>
      <c r="G605" s="20" t="n">
        <v>1</v>
      </c>
      <c r="H605" s="19" t="n">
        <v>3172</v>
      </c>
      <c r="I605" s="18">
        <f>G605*H605</f>
        <v/>
      </c>
      <c r="J605" s="11" t="n"/>
      <c r="K605" s="17" t="n"/>
      <c r="L605" s="16">
        <f>K605+C605</f>
        <v/>
      </c>
      <c r="M605" s="11" t="inlineStr">
        <is>
          <t>MT</t>
        </is>
      </c>
      <c r="N605" s="15" t="n"/>
      <c r="O605" s="14" t="n"/>
      <c r="P605" s="14" t="n"/>
      <c r="Q605" s="14" t="n"/>
      <c r="R605" s="14" t="n"/>
    </row>
    <row r="606">
      <c r="A606" s="14" t="inlineStr">
        <is>
          <t>FM3404</t>
        </is>
      </c>
      <c r="B606" s="14" t="n"/>
      <c r="C606" s="13" t="n">
        <v>45904</v>
      </c>
      <c r="D606" s="12" t="inlineStr">
        <is>
          <t>PO224335</t>
        </is>
      </c>
      <c r="E606" s="14" t="inlineStr">
        <is>
          <t>Minelog Supplies</t>
        </is>
      </c>
      <c r="F606" s="14" t="inlineStr">
        <is>
          <t>2-off Majax-2 315 c/w 0.55Kw 4P 380V &amp; Accessories</t>
        </is>
      </c>
      <c r="G606" s="20" t="n">
        <v>1</v>
      </c>
      <c r="H606" s="19" t="n">
        <v>21538</v>
      </c>
      <c r="I606" s="18">
        <f>G606*H606</f>
        <v/>
      </c>
      <c r="J606" s="11" t="n"/>
      <c r="K606" s="17" t="n"/>
      <c r="L606" s="16">
        <f>K606+C606</f>
        <v/>
      </c>
      <c r="M606" s="11" t="inlineStr">
        <is>
          <t>MT</t>
        </is>
      </c>
      <c r="N606" s="15" t="n"/>
      <c r="O606" s="14" t="n"/>
      <c r="P606" s="14" t="n"/>
      <c r="Q606" s="14" t="n"/>
      <c r="R606" s="14" t="n"/>
    </row>
    <row r="607">
      <c r="A607" s="14" t="inlineStr">
        <is>
          <t>FM3405</t>
        </is>
      </c>
      <c r="B607" s="14" t="n"/>
      <c r="C607" s="13" t="n">
        <v>45905</v>
      </c>
      <c r="D607" s="23" t="inlineStr">
        <is>
          <t>PO0000004</t>
        </is>
      </c>
      <c r="E607" s="14" t="inlineStr">
        <is>
          <t>Compu Cool</t>
        </is>
      </c>
      <c r="F607" s="14" t="inlineStr">
        <is>
          <t>Maxflo 560 c/w0.55kw 4p 380v &amp; Accessories</t>
        </is>
      </c>
      <c r="G607" s="20" t="n">
        <v>1</v>
      </c>
      <c r="H607" s="19" t="n">
        <v>16186.25</v>
      </c>
      <c r="I607" s="18">
        <f>G607*H607</f>
        <v/>
      </c>
      <c r="J607" s="11" t="n"/>
      <c r="K607" s="17" t="n"/>
      <c r="L607" s="16">
        <f>K607+C607</f>
        <v/>
      </c>
      <c r="M607" s="11" t="inlineStr">
        <is>
          <t>MT</t>
        </is>
      </c>
      <c r="N607" s="15" t="n"/>
      <c r="O607" s="14" t="n"/>
      <c r="P607" s="14" t="n"/>
      <c r="Q607" s="14" t="n"/>
      <c r="R607" s="14" t="n"/>
    </row>
    <row r="608">
      <c r="A608" s="14" t="inlineStr">
        <is>
          <t>FM3406</t>
        </is>
      </c>
      <c r="B608" s="14" t="n"/>
      <c r="C608" s="13" t="n">
        <v>45905</v>
      </c>
      <c r="D608" s="12" t="inlineStr">
        <is>
          <t>Cash Sale</t>
        </is>
      </c>
      <c r="E608" s="14" t="inlineStr">
        <is>
          <t>Real Comfort Solutions</t>
        </is>
      </c>
      <c r="F608" s="14" t="inlineStr">
        <is>
          <t>VSD</t>
        </is>
      </c>
      <c r="G608" s="20" t="n">
        <v>1</v>
      </c>
      <c r="H608" s="19" t="n"/>
      <c r="I608" s="18" t="n"/>
      <c r="J608" s="11" t="n"/>
      <c r="K608" s="17" t="n"/>
      <c r="L608" s="16">
        <f>K608+C608</f>
        <v/>
      </c>
      <c r="M608" s="11" t="inlineStr">
        <is>
          <t>MT</t>
        </is>
      </c>
      <c r="N608" s="15" t="n"/>
      <c r="O608" s="14" t="n"/>
      <c r="P608" s="14" t="n"/>
      <c r="Q608" s="14" t="n"/>
      <c r="R608" s="14" t="n"/>
    </row>
    <row r="609">
      <c r="A609" s="14" t="inlineStr">
        <is>
          <t>FM3407</t>
        </is>
      </c>
      <c r="B609" s="14" t="n"/>
      <c r="C609" s="13" t="n">
        <v>45905</v>
      </c>
      <c r="D609" s="12" t="inlineStr">
        <is>
          <t>Cash sale</t>
        </is>
      </c>
      <c r="E609" s="14" t="inlineStr">
        <is>
          <t>Jaft Aircon</t>
        </is>
      </c>
      <c r="F609" s="14" t="inlineStr">
        <is>
          <t>VSD 1.1 KW Speed controller</t>
        </is>
      </c>
      <c r="G609" s="20" t="n">
        <v>1</v>
      </c>
      <c r="H609" s="19" t="n">
        <v>4072</v>
      </c>
      <c r="I609" s="18">
        <f>G609*H609</f>
        <v/>
      </c>
      <c r="J609" s="11" t="n"/>
      <c r="K609" s="17" t="n"/>
      <c r="L609" s="16">
        <f>K609+C609</f>
        <v/>
      </c>
      <c r="M609" s="11" t="inlineStr">
        <is>
          <t>MT</t>
        </is>
      </c>
      <c r="N609" s="15" t="n"/>
      <c r="O609" s="14" t="n"/>
      <c r="P609" s="14" t="n"/>
      <c r="Q609" s="14" t="n"/>
      <c r="R609" s="14" t="n"/>
    </row>
    <row r="610">
      <c r="A610" s="14" t="inlineStr">
        <is>
          <t>FM3408</t>
        </is>
      </c>
      <c r="B610" s="14" t="n"/>
      <c r="C610" s="13" t="n">
        <v>45908</v>
      </c>
      <c r="D610" s="12" t="inlineStr">
        <is>
          <t>Cash Sale</t>
        </is>
      </c>
      <c r="E610" s="14" t="inlineStr">
        <is>
          <t>Global Stride Trading &amp; Logistics</t>
        </is>
      </c>
      <c r="F610" s="14" t="inlineStr">
        <is>
          <t>Lineo 250 Quiet</t>
        </is>
      </c>
      <c r="G610" s="20" t="n">
        <v>5</v>
      </c>
      <c r="H610" s="19" t="n">
        <v>9161.1</v>
      </c>
      <c r="I610" s="18">
        <f>G610*H610</f>
        <v/>
      </c>
      <c r="J610" s="11" t="n"/>
      <c r="K610" s="17" t="n"/>
      <c r="L610" s="16">
        <f>K610+C610</f>
        <v/>
      </c>
      <c r="M610" s="11" t="inlineStr">
        <is>
          <t>SM</t>
        </is>
      </c>
      <c r="N610" s="15" t="n"/>
      <c r="O610" s="14" t="n"/>
      <c r="P610" s="14" t="n"/>
      <c r="Q610" s="14" t="n"/>
      <c r="R610" s="14" t="n"/>
    </row>
    <row r="611">
      <c r="A611" s="14" t="inlineStr">
        <is>
          <t>FM3409</t>
        </is>
      </c>
      <c r="B611" s="14" t="n"/>
      <c r="C611" s="13" t="n">
        <v>45908</v>
      </c>
      <c r="D611" s="12" t="inlineStr">
        <is>
          <t>PC6/PO-4238</t>
        </is>
      </c>
      <c r="E611" s="14" t="inlineStr">
        <is>
          <t>Butec</t>
        </is>
      </c>
      <c r="F611" s="14" t="inlineStr">
        <is>
          <t>Kdaxis 250</t>
        </is>
      </c>
      <c r="G611" s="20" t="n">
        <v>13</v>
      </c>
      <c r="H611" s="19" t="n">
        <v>1346</v>
      </c>
      <c r="I611" s="18">
        <f>G611*H611</f>
        <v/>
      </c>
      <c r="J611" s="11" t="n"/>
      <c r="K611" s="17" t="n"/>
      <c r="L611" s="16">
        <f>K611+C611</f>
        <v/>
      </c>
      <c r="M611" s="11" t="inlineStr">
        <is>
          <t>MT</t>
        </is>
      </c>
      <c r="N611" s="15" t="n"/>
      <c r="O611" s="14" t="n"/>
      <c r="P611" s="14" t="n"/>
      <c r="Q611" s="14" t="n"/>
      <c r="R611" s="14" t="n"/>
    </row>
    <row r="612">
      <c r="A612" s="14" t="inlineStr">
        <is>
          <t>FM3410</t>
        </is>
      </c>
      <c r="B612" s="14" t="n"/>
      <c r="C612" s="13" t="n">
        <v>45908</v>
      </c>
      <c r="D612" s="12" t="inlineStr">
        <is>
          <t>Cash Sale</t>
        </is>
      </c>
      <c r="E612" s="14" t="inlineStr">
        <is>
          <t>Zefs More Vision</t>
        </is>
      </c>
      <c r="F612" s="14" t="inlineStr">
        <is>
          <t xml:space="preserve">Maxflo 560/150/10 A c/w 1.10Kw 4P 380V </t>
        </is>
      </c>
      <c r="G612" s="20" t="n">
        <v>1</v>
      </c>
      <c r="H612" s="19" t="n">
        <v>6850</v>
      </c>
      <c r="I612" s="18">
        <f>G612*H612</f>
        <v/>
      </c>
      <c r="J612" s="11" t="n"/>
      <c r="K612" s="17" t="n"/>
      <c r="L612" s="16">
        <f>K612+C612</f>
        <v/>
      </c>
      <c r="M612" s="11" t="inlineStr">
        <is>
          <t>MT</t>
        </is>
      </c>
      <c r="N612" s="15" t="n"/>
      <c r="O612" s="14" t="n"/>
      <c r="P612" s="14" t="n"/>
      <c r="Q612" s="14" t="n"/>
      <c r="R612" s="14" t="n"/>
    </row>
    <row r="613">
      <c r="A613" s="14" t="inlineStr">
        <is>
          <t>FM3411</t>
        </is>
      </c>
      <c r="B613" s="14" t="n"/>
      <c r="C613" s="13" t="n">
        <v>45908</v>
      </c>
      <c r="D613" s="12" t="inlineStr">
        <is>
          <t>MFE6737</t>
        </is>
      </c>
      <c r="E613" s="14" t="inlineStr">
        <is>
          <t>Morlyn Fans</t>
        </is>
      </c>
      <c r="F613" s="14" t="inlineStr">
        <is>
          <t>HCD 25-4M</t>
        </is>
      </c>
      <c r="G613" s="20" t="n">
        <v>2</v>
      </c>
      <c r="H613" s="19" t="n">
        <v>2902</v>
      </c>
      <c r="I613" s="18">
        <f>G613*H613</f>
        <v/>
      </c>
      <c r="J613" s="11" t="n"/>
      <c r="K613" s="17" t="n"/>
      <c r="L613" s="16">
        <f>K613+C613</f>
        <v/>
      </c>
      <c r="M613" s="11" t="inlineStr">
        <is>
          <t>MT</t>
        </is>
      </c>
      <c r="N613" s="15" t="n"/>
      <c r="O613" s="14" t="n"/>
      <c r="P613" s="14" t="n"/>
      <c r="Q613" s="14" t="n"/>
      <c r="R613" s="14" t="n"/>
    </row>
    <row r="614">
      <c r="A614" s="14" t="inlineStr">
        <is>
          <t>FM3412</t>
        </is>
      </c>
      <c r="B614" s="14" t="n"/>
      <c r="C614" s="13" t="n">
        <v>45908</v>
      </c>
      <c r="D614" s="12" t="inlineStr">
        <is>
          <t>PO2103</t>
        </is>
      </c>
      <c r="E614" s="14" t="inlineStr">
        <is>
          <t xml:space="preserve">Hucra Fans </t>
        </is>
      </c>
      <c r="F614" s="14" t="inlineStr">
        <is>
          <t>CPV 1020-4T</t>
        </is>
      </c>
      <c r="G614" s="20" t="n">
        <v>1</v>
      </c>
      <c r="H614" s="19" t="n">
        <v>19468</v>
      </c>
      <c r="I614" s="18">
        <f>G614*H614</f>
        <v/>
      </c>
      <c r="J614" s="11" t="n"/>
      <c r="K614" s="17" t="n"/>
      <c r="L614" s="16">
        <f>K614+C614</f>
        <v/>
      </c>
      <c r="M614" s="11" t="inlineStr">
        <is>
          <t>ZX</t>
        </is>
      </c>
      <c r="N614" s="15" t="n"/>
      <c r="O614" s="14" t="n"/>
      <c r="P614" s="14" t="n"/>
      <c r="Q614" s="14" t="n"/>
      <c r="R614" s="14" t="n"/>
    </row>
    <row r="615">
      <c r="A615" s="14" t="inlineStr">
        <is>
          <t>FM3413</t>
        </is>
      </c>
      <c r="B615" s="14" t="n"/>
      <c r="C615" s="13" t="n">
        <v>45908</v>
      </c>
      <c r="D615" s="12" t="inlineStr">
        <is>
          <t>PO2104</t>
        </is>
      </c>
      <c r="E615" s="14" t="inlineStr">
        <is>
          <t xml:space="preserve">Hucra Fans </t>
        </is>
      </c>
      <c r="F615" s="14" t="inlineStr">
        <is>
          <t>CPV 1020-4T</t>
        </is>
      </c>
      <c r="G615" s="20" t="n">
        <v>1</v>
      </c>
      <c r="H615" s="19" t="n">
        <v>19468</v>
      </c>
      <c r="I615" s="18">
        <f>G615*H615</f>
        <v/>
      </c>
      <c r="J615" s="11" t="n"/>
      <c r="K615" s="17" t="n"/>
      <c r="L615" s="16">
        <f>K615+C615</f>
        <v/>
      </c>
      <c r="M615" s="11" t="inlineStr">
        <is>
          <t>ZX</t>
        </is>
      </c>
      <c r="N615" s="15" t="n"/>
      <c r="O615" s="14" t="n"/>
      <c r="P615" s="14" t="n"/>
      <c r="Q615" s="14" t="n"/>
      <c r="R615" s="14" t="n"/>
    </row>
    <row r="616">
      <c r="A616" s="14" t="inlineStr">
        <is>
          <t>FM3414</t>
        </is>
      </c>
      <c r="B616" s="14" t="n"/>
      <c r="C616" s="13" t="n">
        <v>45908</v>
      </c>
      <c r="D616" s="12" t="inlineStr">
        <is>
          <t>PO2105</t>
        </is>
      </c>
      <c r="E616" s="14" t="inlineStr">
        <is>
          <t xml:space="preserve">Hucra Fans </t>
        </is>
      </c>
      <c r="F616" s="14" t="inlineStr">
        <is>
          <t>CMP 718-2T</t>
        </is>
      </c>
      <c r="G616" s="20" t="n">
        <v>6</v>
      </c>
      <c r="H616" s="19" t="n">
        <v>10118</v>
      </c>
      <c r="I616" s="18">
        <f>G616*H616</f>
        <v/>
      </c>
      <c r="J616" s="11" t="n"/>
      <c r="K616" s="17" t="n"/>
      <c r="L616" s="16">
        <f>K616+C616</f>
        <v/>
      </c>
      <c r="M616" s="11" t="inlineStr">
        <is>
          <t>ZX</t>
        </is>
      </c>
      <c r="N616" s="15" t="n"/>
      <c r="O616" s="14" t="n"/>
      <c r="P616" s="14" t="n"/>
      <c r="Q616" s="14" t="n"/>
      <c r="R616" s="14" t="n"/>
    </row>
    <row r="617">
      <c r="A617" s="14" t="inlineStr">
        <is>
          <t>FM3415</t>
        </is>
      </c>
      <c r="B617" s="14" t="n"/>
      <c r="C617" s="13" t="n">
        <v>45909</v>
      </c>
      <c r="D617" s="12" t="inlineStr">
        <is>
          <t>Cash Sale</t>
        </is>
      </c>
      <c r="E617" s="14" t="inlineStr">
        <is>
          <t>Pinnacle Airconditioning</t>
        </is>
      </c>
      <c r="F617" s="14" t="inlineStr">
        <is>
          <t>Lineo 150</t>
        </is>
      </c>
      <c r="G617" s="20" t="n">
        <v>1</v>
      </c>
      <c r="H617" s="19" t="n">
        <v>2681</v>
      </c>
      <c r="I617" s="18">
        <f>G617*H617</f>
        <v/>
      </c>
      <c r="J617" s="11" t="n"/>
      <c r="K617" s="17" t="n"/>
      <c r="L617" s="16">
        <f>K617+C617</f>
        <v/>
      </c>
      <c r="M617" s="11" t="inlineStr">
        <is>
          <t>MT</t>
        </is>
      </c>
      <c r="N617" s="15" t="n"/>
      <c r="O617" s="14" t="n"/>
      <c r="P617" s="14" t="n"/>
      <c r="Q617" s="14" t="n"/>
      <c r="R617" s="14" t="n"/>
    </row>
    <row r="618">
      <c r="A618" s="14" t="inlineStr">
        <is>
          <t>FM3416</t>
        </is>
      </c>
      <c r="B618" s="14" t="n"/>
      <c r="C618" s="13" t="n">
        <v>45909</v>
      </c>
      <c r="D618" s="12" t="inlineStr">
        <is>
          <t>PO2107</t>
        </is>
      </c>
      <c r="E618" s="14" t="inlineStr">
        <is>
          <t xml:space="preserve">Hucra Fans </t>
        </is>
      </c>
      <c r="F618" s="14" t="inlineStr">
        <is>
          <t>SCL-K07 MS-5.5KW 400V</t>
        </is>
      </c>
      <c r="G618" s="20" t="n">
        <v>1</v>
      </c>
      <c r="H618" s="19" t="n">
        <v>52679</v>
      </c>
      <c r="I618" s="18">
        <f>G618*H618</f>
        <v/>
      </c>
      <c r="J618" s="11" t="n"/>
      <c r="K618" s="17" t="n"/>
      <c r="L618" s="16">
        <f>K618+C618</f>
        <v/>
      </c>
      <c r="M618" s="11" t="inlineStr">
        <is>
          <t>ZX</t>
        </is>
      </c>
      <c r="N618" s="15" t="n"/>
      <c r="O618" s="14" t="n"/>
      <c r="P618" s="14" t="n"/>
      <c r="Q618" s="14" t="n"/>
      <c r="R618" s="14" t="n"/>
    </row>
    <row r="619">
      <c r="A619" s="14" t="inlineStr">
        <is>
          <t>FM3417</t>
        </is>
      </c>
      <c r="B619" s="14" t="n"/>
      <c r="C619" s="13" t="n">
        <v>45910</v>
      </c>
      <c r="D619" s="12" t="inlineStr">
        <is>
          <t>Cash Sale</t>
        </is>
      </c>
      <c r="E619" s="14" t="inlineStr">
        <is>
          <t>Zefs More Vision</t>
        </is>
      </c>
      <c r="F619" s="14" t="inlineStr">
        <is>
          <t>560 &amp; 630 Conter Flange &amp; Mounting feet</t>
        </is>
      </c>
      <c r="G619" s="20" t="n">
        <v>1</v>
      </c>
      <c r="H619" s="19" t="n">
        <v>3571</v>
      </c>
      <c r="I619" s="18">
        <f>G619*H619</f>
        <v/>
      </c>
      <c r="J619" s="11" t="n"/>
      <c r="K619" s="17" t="n"/>
      <c r="L619" s="16">
        <f>K619+C619</f>
        <v/>
      </c>
      <c r="M619" s="11" t="inlineStr">
        <is>
          <t>ZX</t>
        </is>
      </c>
      <c r="N619" s="15" t="n"/>
      <c r="O619" s="14" t="n"/>
      <c r="P619" s="14" t="n"/>
      <c r="Q619" s="14" t="n"/>
      <c r="R619" s="14" t="n"/>
    </row>
    <row r="620">
      <c r="A620" s="14" t="inlineStr">
        <is>
          <t>FM3418</t>
        </is>
      </c>
      <c r="B620" s="14" t="n"/>
      <c r="C620" s="13" t="n">
        <v>45910</v>
      </c>
      <c r="D620" s="12" t="inlineStr">
        <is>
          <t>PR026774</t>
        </is>
      </c>
      <c r="E620" s="14" t="inlineStr">
        <is>
          <t>Butec</t>
        </is>
      </c>
      <c r="F620" s="14" t="inlineStr">
        <is>
          <t>RAD 315  &amp; 315 TUBE SILENCERS</t>
        </is>
      </c>
      <c r="G620" s="20" t="n">
        <v>1</v>
      </c>
      <c r="H620" s="19" t="n">
        <v>4820</v>
      </c>
      <c r="I620" s="18">
        <f>G620*H620</f>
        <v/>
      </c>
      <c r="J620" s="11" t="n"/>
      <c r="K620" s="17" t="n"/>
      <c r="L620" s="16">
        <f>K620+C620</f>
        <v/>
      </c>
      <c r="M620" s="11" t="inlineStr">
        <is>
          <t>MT</t>
        </is>
      </c>
      <c r="N620" s="15" t="n"/>
      <c r="O620" s="14" t="n"/>
      <c r="P620" s="14" t="n"/>
      <c r="Q620" s="14" t="n"/>
      <c r="R620" s="14" t="n"/>
    </row>
    <row r="621">
      <c r="A621" s="14" t="inlineStr">
        <is>
          <t>FM3419</t>
        </is>
      </c>
      <c r="B621" s="14" t="n"/>
      <c r="C621" s="13" t="n">
        <v>45910</v>
      </c>
      <c r="D621" s="12" t="inlineStr">
        <is>
          <t>Cash Sale</t>
        </is>
      </c>
      <c r="E621" s="14" t="inlineStr">
        <is>
          <t>Raptor Engineering CC</t>
        </is>
      </c>
      <c r="F621" s="14" t="inlineStr">
        <is>
          <t>V230/9 AR</t>
        </is>
      </c>
      <c r="G621" s="20" t="n">
        <v>5</v>
      </c>
      <c r="H621" s="19" t="n">
        <v>3708</v>
      </c>
      <c r="I621" s="18">
        <f>G621*H621</f>
        <v/>
      </c>
      <c r="J621" s="11" t="n"/>
      <c r="K621" s="17" t="n"/>
      <c r="L621" s="16">
        <f>K621+C621</f>
        <v/>
      </c>
      <c r="M621" s="11" t="inlineStr">
        <is>
          <t>MT</t>
        </is>
      </c>
      <c r="N621" s="15" t="n"/>
      <c r="O621" s="14" t="n"/>
      <c r="P621" s="14" t="n"/>
      <c r="Q621" s="14" t="n"/>
      <c r="R621" s="14" t="n"/>
    </row>
    <row r="622">
      <c r="A622" s="14" t="inlineStr">
        <is>
          <t>FM3420</t>
        </is>
      </c>
      <c r="B622" s="14" t="n"/>
      <c r="C622" s="13" t="n">
        <v>45910</v>
      </c>
      <c r="D622" s="12" t="inlineStr">
        <is>
          <t>Cash sale</t>
        </is>
      </c>
      <c r="E622" s="14" t="inlineStr">
        <is>
          <t>First Cool CC</t>
        </is>
      </c>
      <c r="F622" s="14" t="inlineStr">
        <is>
          <t>Lineo 315, BAF 150 &amp; Tube silencers</t>
        </is>
      </c>
      <c r="G622" s="20" t="n">
        <v>6</v>
      </c>
      <c r="H622" s="19" t="n">
        <v>6744.8333</v>
      </c>
      <c r="I622" s="18">
        <f>G622*H622</f>
        <v/>
      </c>
      <c r="J622" s="11" t="n"/>
      <c r="K622" s="17" t="n"/>
      <c r="L622" s="16">
        <f>K622+C622</f>
        <v/>
      </c>
      <c r="M622" s="11" t="inlineStr">
        <is>
          <t>SM</t>
        </is>
      </c>
      <c r="N622" s="15" t="n"/>
      <c r="O622" s="14" t="n"/>
      <c r="P622" s="14" t="n"/>
      <c r="Q622" s="14" t="n"/>
      <c r="R622" s="14" t="n"/>
    </row>
    <row r="623">
      <c r="A623" s="14" t="inlineStr">
        <is>
          <t>FM3421</t>
        </is>
      </c>
      <c r="B623" s="14" t="n"/>
      <c r="C623" s="13" t="n">
        <v>45910</v>
      </c>
      <c r="D623" s="12" t="inlineStr">
        <is>
          <t>Pr026904</t>
        </is>
      </c>
      <c r="E623" s="14" t="inlineStr">
        <is>
          <t>Butec</t>
        </is>
      </c>
      <c r="F623" s="14" t="inlineStr">
        <is>
          <t>Avm's 315-560</t>
        </is>
      </c>
      <c r="G623" s="20" t="n">
        <v>4</v>
      </c>
      <c r="H623" s="19" t="n">
        <v>65</v>
      </c>
      <c r="I623" s="18">
        <f>G623*H623</f>
        <v/>
      </c>
      <c r="J623" s="11" t="n"/>
      <c r="K623" s="17" t="n"/>
      <c r="L623" s="16">
        <f>K623+C623</f>
        <v/>
      </c>
      <c r="M623" s="11" t="inlineStr">
        <is>
          <t>MT</t>
        </is>
      </c>
      <c r="N623" s="15" t="n"/>
      <c r="O623" s="14" t="n"/>
      <c r="P623" s="14" t="n"/>
      <c r="Q623" s="14" t="n"/>
      <c r="R623" s="14" t="n"/>
    </row>
    <row r="624">
      <c r="A624" s="14" t="inlineStr">
        <is>
          <t>FM3422</t>
        </is>
      </c>
      <c r="B624" s="14" t="n"/>
      <c r="C624" s="13" t="n">
        <v>45911</v>
      </c>
      <c r="D624" s="12" t="inlineStr">
        <is>
          <t>POA23434</t>
        </is>
      </c>
      <c r="E624" s="14" t="inlineStr">
        <is>
          <t>Rotary Opencast Service</t>
        </is>
      </c>
      <c r="F624" s="14" t="inlineStr">
        <is>
          <t>MAJAX-2 500-20-C-8 c/w 2p 380v</t>
        </is>
      </c>
      <c r="G624" s="20" t="n">
        <v>3</v>
      </c>
      <c r="H624" s="19" t="n">
        <v>36409</v>
      </c>
      <c r="I624" s="18">
        <f>G624*H624</f>
        <v/>
      </c>
      <c r="J624" s="11" t="n"/>
      <c r="K624" s="17" t="n"/>
      <c r="L624" s="16">
        <f>K624+C624</f>
        <v/>
      </c>
      <c r="M624" s="11" t="inlineStr">
        <is>
          <t>MT</t>
        </is>
      </c>
      <c r="N624" s="15" t="n"/>
      <c r="O624" s="14" t="n"/>
      <c r="P624" s="14" t="n"/>
      <c r="Q624" s="14" t="n"/>
      <c r="R624" s="14" t="n"/>
    </row>
    <row r="625">
      <c r="A625" s="14" t="inlineStr">
        <is>
          <t>FM3423</t>
        </is>
      </c>
      <c r="B625" s="14" t="n"/>
      <c r="C625" s="13" t="n">
        <v>45911</v>
      </c>
      <c r="D625" s="12" t="inlineStr">
        <is>
          <t>PRO26932</t>
        </is>
      </c>
      <c r="E625" s="14" t="inlineStr">
        <is>
          <t>Butec</t>
        </is>
      </c>
      <c r="F625" s="14" t="inlineStr">
        <is>
          <t>Maxflo 710c/w 1.5kW 4Pole</t>
        </is>
      </c>
      <c r="G625" s="20" t="n">
        <v>2</v>
      </c>
      <c r="H625" s="19" t="n">
        <v>21518</v>
      </c>
      <c r="I625" s="18">
        <f>G625*H625</f>
        <v/>
      </c>
      <c r="J625" s="11" t="n"/>
      <c r="K625" s="17" t="n"/>
      <c r="L625" s="16">
        <f>K625+C625</f>
        <v/>
      </c>
      <c r="M625" s="11" t="inlineStr">
        <is>
          <t>MT</t>
        </is>
      </c>
      <c r="N625" s="15" t="n"/>
      <c r="O625" s="14" t="n"/>
      <c r="P625" s="14" t="n"/>
      <c r="Q625" s="14" t="n"/>
      <c r="R625" s="14" t="n"/>
    </row>
    <row r="626">
      <c r="A626" s="14" t="inlineStr">
        <is>
          <t>FM3424</t>
        </is>
      </c>
      <c r="B626" s="14" t="n"/>
      <c r="C626" s="13" t="n">
        <v>45911</v>
      </c>
      <c r="D626" s="12" t="inlineStr">
        <is>
          <t>PRO26932</t>
        </is>
      </c>
      <c r="E626" s="14" t="inlineStr">
        <is>
          <t>Butec</t>
        </is>
      </c>
      <c r="F626" s="14" t="inlineStr">
        <is>
          <t>Maxflo 1000 c/w 7.5kW 4Pole</t>
        </is>
      </c>
      <c r="G626" s="20" t="n">
        <v>1</v>
      </c>
      <c r="H626" s="19" t="n">
        <v>29158</v>
      </c>
      <c r="I626" s="18">
        <f>G626*H626</f>
        <v/>
      </c>
      <c r="J626" s="11" t="n"/>
      <c r="K626" s="17" t="n"/>
      <c r="L626" s="16">
        <f>K626+C626</f>
        <v/>
      </c>
      <c r="M626" s="11" t="inlineStr">
        <is>
          <t>MT</t>
        </is>
      </c>
      <c r="N626" s="15" t="n"/>
      <c r="O626" s="14" t="n"/>
      <c r="P626" s="14" t="n"/>
      <c r="Q626" s="14" t="n"/>
      <c r="R626" s="14" t="n"/>
    </row>
    <row r="627">
      <c r="A627" s="14" t="inlineStr">
        <is>
          <t>FM3425</t>
        </is>
      </c>
      <c r="B627" s="14" t="n"/>
      <c r="C627" s="13" t="n">
        <v>45911</v>
      </c>
      <c r="D627" s="12" t="inlineStr">
        <is>
          <t>PRO26932</t>
        </is>
      </c>
      <c r="E627" s="14" t="inlineStr">
        <is>
          <t>Butec</t>
        </is>
      </c>
      <c r="F627" s="14" t="inlineStr">
        <is>
          <t>Maxflo 560 c/w 1.1kW 4Pole</t>
        </is>
      </c>
      <c r="G627" s="20" t="n">
        <v>1</v>
      </c>
      <c r="H627" s="19" t="n">
        <v>16960</v>
      </c>
      <c r="I627" s="18">
        <f>G627*H627</f>
        <v/>
      </c>
      <c r="J627" s="11" t="n"/>
      <c r="K627" s="17" t="n"/>
      <c r="L627" s="16">
        <f>K627+C627</f>
        <v/>
      </c>
      <c r="M627" s="11" t="inlineStr">
        <is>
          <t>MT</t>
        </is>
      </c>
      <c r="N627" s="15" t="n"/>
      <c r="O627" s="14" t="n"/>
      <c r="P627" s="14" t="n"/>
      <c r="Q627" s="14" t="n"/>
      <c r="R627" s="14" t="n"/>
    </row>
    <row r="628">
      <c r="A628" s="14" t="inlineStr">
        <is>
          <t>FM3426</t>
        </is>
      </c>
      <c r="B628" s="14" t="n"/>
      <c r="C628" s="13" t="n">
        <v>45911</v>
      </c>
      <c r="D628" s="12" t="inlineStr">
        <is>
          <t>PRO26932</t>
        </is>
      </c>
      <c r="E628" s="14" t="inlineStr">
        <is>
          <t>Butec</t>
        </is>
      </c>
      <c r="F628" s="14" t="inlineStr">
        <is>
          <t>Maxflo 560 c/w 1.5kW 4Pole</t>
        </is>
      </c>
      <c r="G628" s="20" t="n">
        <v>1</v>
      </c>
      <c r="H628" s="19" t="n">
        <v>17369</v>
      </c>
      <c r="I628" s="18">
        <f>G628*H628</f>
        <v/>
      </c>
      <c r="J628" s="11" t="n"/>
      <c r="K628" s="17" t="n"/>
      <c r="L628" s="16">
        <f>K628+C628</f>
        <v/>
      </c>
      <c r="M628" s="11" t="inlineStr">
        <is>
          <t>MT</t>
        </is>
      </c>
      <c r="N628" s="15" t="n"/>
      <c r="O628" s="14" t="n"/>
      <c r="P628" s="14" t="n"/>
      <c r="Q628" s="14" t="n"/>
      <c r="R628" s="14" t="n"/>
    </row>
    <row r="629">
      <c r="A629" s="14" t="inlineStr">
        <is>
          <t>FM3427</t>
        </is>
      </c>
      <c r="B629" s="14" t="n"/>
      <c r="C629" s="13" t="n">
        <v>45912</v>
      </c>
      <c r="D629" s="12" t="inlineStr">
        <is>
          <t>Cash Sale</t>
        </is>
      </c>
      <c r="E629" s="14" t="inlineStr">
        <is>
          <t>XL Air Conditioning</t>
        </is>
      </c>
      <c r="F629" s="14" t="inlineStr">
        <is>
          <t>Maxflo 1000 Impeller</t>
        </is>
      </c>
      <c r="G629" s="20" t="n">
        <v>1</v>
      </c>
      <c r="H629" s="19" t="n">
        <v>8572</v>
      </c>
      <c r="I629" s="18">
        <f>G629*H629</f>
        <v/>
      </c>
      <c r="J629" s="11" t="n"/>
      <c r="K629" s="17" t="n"/>
      <c r="L629" s="16">
        <f>K629+C629</f>
        <v/>
      </c>
      <c r="M629" s="11" t="inlineStr">
        <is>
          <t>ST</t>
        </is>
      </c>
      <c r="N629" s="15" t="n"/>
      <c r="O629" s="14" t="n"/>
      <c r="P629" s="14" t="n"/>
      <c r="Q629" s="14" t="n"/>
      <c r="R629" s="14" t="n"/>
    </row>
    <row r="630">
      <c r="A630" s="14" t="inlineStr">
        <is>
          <t>FM3428</t>
        </is>
      </c>
      <c r="B630" s="14" t="n"/>
      <c r="C630" s="13" t="n">
        <v>45912</v>
      </c>
      <c r="D630" s="12" t="inlineStr">
        <is>
          <t>PO145789</t>
        </is>
      </c>
      <c r="E630" s="14" t="inlineStr">
        <is>
          <t>Total Mining</t>
        </is>
      </c>
      <c r="F630" s="14" t="inlineStr">
        <is>
          <t>Majax-2 800 c/w5.5kw 4P 380v</t>
        </is>
      </c>
      <c r="G630" s="20" t="n">
        <v>1</v>
      </c>
      <c r="H630" s="19" t="n">
        <v>20459.13</v>
      </c>
      <c r="I630" s="18">
        <f>G630*H630</f>
        <v/>
      </c>
      <c r="J630" s="11" t="n"/>
      <c r="K630" s="17" t="n"/>
      <c r="L630" s="16">
        <f>K630+C630</f>
        <v/>
      </c>
      <c r="M630" s="11" t="inlineStr">
        <is>
          <t>MT</t>
        </is>
      </c>
      <c r="N630" s="15" t="n"/>
      <c r="O630" s="14" t="n"/>
      <c r="P630" s="14" t="n"/>
      <c r="Q630" s="14" t="n"/>
      <c r="R630" s="14" t="n"/>
    </row>
    <row r="631">
      <c r="A631" s="14" t="inlineStr">
        <is>
          <t>FM3429</t>
        </is>
      </c>
      <c r="B631" s="14" t="n"/>
      <c r="C631" s="13" t="n">
        <v>45912</v>
      </c>
      <c r="D631" s="12" t="inlineStr">
        <is>
          <t>PO-26565</t>
        </is>
      </c>
      <c r="E631" s="14" t="inlineStr">
        <is>
          <t>Aircycle Engineering CC</t>
        </is>
      </c>
      <c r="F631" s="14" t="inlineStr">
        <is>
          <t>Lineo 315</t>
        </is>
      </c>
      <c r="G631" s="20" t="n">
        <v>1</v>
      </c>
      <c r="H631" s="19" t="n">
        <v>6144</v>
      </c>
      <c r="I631" s="18">
        <f>G631*H631</f>
        <v/>
      </c>
      <c r="J631" s="11" t="n"/>
      <c r="K631" s="17" t="n"/>
      <c r="L631" s="16">
        <f>K631+C631</f>
        <v/>
      </c>
      <c r="M631" s="11" t="inlineStr">
        <is>
          <t>SM</t>
        </is>
      </c>
      <c r="N631" s="15" t="n"/>
      <c r="O631" s="14" t="n"/>
      <c r="P631" s="14" t="n"/>
      <c r="Q631" s="14" t="n"/>
      <c r="R631" s="14" t="n"/>
    </row>
    <row r="632">
      <c r="A632" s="14" t="inlineStr">
        <is>
          <t>FM3430</t>
        </is>
      </c>
      <c r="B632" s="14" t="n"/>
      <c r="C632" s="13" t="n">
        <v>45912</v>
      </c>
      <c r="D632" s="12" t="inlineStr">
        <is>
          <t>Cash sale</t>
        </is>
      </c>
      <c r="E632" s="14" t="inlineStr">
        <is>
          <t>Express Ducts Pty Ltd</t>
        </is>
      </c>
      <c r="F632" s="14" t="inlineStr">
        <is>
          <t>630 1.5D Silencers &amp; 630 Counter Flanges</t>
        </is>
      </c>
      <c r="G632" s="20" t="n">
        <v>4</v>
      </c>
      <c r="H632" s="19" t="n">
        <v>4317</v>
      </c>
      <c r="I632" s="18">
        <f>G632*H632</f>
        <v/>
      </c>
      <c r="J632" s="11" t="n"/>
      <c r="K632" s="17" t="n"/>
      <c r="L632" s="16">
        <f>K632+C632</f>
        <v/>
      </c>
      <c r="M632" s="11" t="inlineStr">
        <is>
          <t>SM</t>
        </is>
      </c>
      <c r="N632" s="15" t="n"/>
      <c r="O632" s="14" t="n"/>
      <c r="P632" s="14" t="n"/>
      <c r="Q632" s="14" t="n"/>
      <c r="R632" s="14" t="n"/>
    </row>
    <row r="633">
      <c r="A633" s="14" t="inlineStr">
        <is>
          <t>FM3431</t>
        </is>
      </c>
      <c r="B633" s="14" t="n"/>
      <c r="C633" s="13" t="n">
        <v>45912</v>
      </c>
      <c r="D633" s="12" t="inlineStr">
        <is>
          <t>Cash Sale</t>
        </is>
      </c>
      <c r="E633" s="14" t="inlineStr">
        <is>
          <t>PCE Group Pty Ltd</t>
        </is>
      </c>
      <c r="F633" s="14" t="inlineStr">
        <is>
          <t>Grilles</t>
        </is>
      </c>
      <c r="G633" s="20" t="n">
        <v>9</v>
      </c>
      <c r="H633" s="19" t="n">
        <v>651</v>
      </c>
      <c r="I633" s="18">
        <f>G633*H633</f>
        <v/>
      </c>
      <c r="J633" s="11" t="n"/>
      <c r="K633" s="17" t="n"/>
      <c r="L633" s="16">
        <f>K633+C633</f>
        <v/>
      </c>
      <c r="M633" s="11" t="inlineStr">
        <is>
          <t>SM</t>
        </is>
      </c>
      <c r="N633" s="15" t="n"/>
      <c r="O633" s="14" t="n"/>
      <c r="P633" s="14" t="n"/>
      <c r="Q633" s="14" t="n"/>
      <c r="R633" s="14" t="n"/>
    </row>
    <row r="634">
      <c r="A634" s="14" t="inlineStr">
        <is>
          <t>FM3432</t>
        </is>
      </c>
      <c r="B634" s="14" t="n"/>
      <c r="C634" s="13" t="n">
        <v>45915</v>
      </c>
      <c r="D634" s="12" t="inlineStr">
        <is>
          <t>Cash sale</t>
        </is>
      </c>
      <c r="E634" s="14" t="inlineStr">
        <is>
          <t>Orion Estate</t>
        </is>
      </c>
      <c r="F634" s="14" t="inlineStr">
        <is>
          <t>ksa-450-4K-T - 380V</t>
        </is>
      </c>
      <c r="G634" s="20" t="n">
        <v>2</v>
      </c>
      <c r="H634" s="19" t="n">
        <v>5225</v>
      </c>
      <c r="I634" s="18">
        <f>G634*H634</f>
        <v/>
      </c>
      <c r="J634" s="11" t="n"/>
      <c r="K634" s="17" t="n"/>
      <c r="L634" s="16">
        <f>K634+C634</f>
        <v/>
      </c>
      <c r="M634" s="11" t="inlineStr">
        <is>
          <t>SM</t>
        </is>
      </c>
      <c r="N634" s="15" t="n"/>
      <c r="O634" s="14" t="n"/>
      <c r="P634" s="14" t="n"/>
      <c r="Q634" s="14" t="n"/>
      <c r="R634" s="14" t="n"/>
    </row>
    <row r="635">
      <c r="A635" s="14" t="inlineStr">
        <is>
          <t>FM3433</t>
        </is>
      </c>
      <c r="B635" s="14" t="n"/>
      <c r="C635" s="13" t="n">
        <v>45915</v>
      </c>
      <c r="D635" s="12" t="inlineStr">
        <is>
          <t>PO-000006248</t>
        </is>
      </c>
      <c r="E635" s="14" t="inlineStr">
        <is>
          <t>Cape Fans (Pty) Ltd</t>
        </is>
      </c>
      <c r="F635" s="14" t="inlineStr">
        <is>
          <t>BAF 150</t>
        </is>
      </c>
      <c r="G635" s="20" t="n">
        <v>1</v>
      </c>
      <c r="H635" s="19" t="n">
        <v>768</v>
      </c>
      <c r="I635" s="18">
        <f>G635*H635</f>
        <v/>
      </c>
      <c r="J635" s="11" t="n"/>
      <c r="K635" s="17" t="n"/>
      <c r="L635" s="16">
        <f>K635+C635</f>
        <v/>
      </c>
      <c r="M635" s="11" t="inlineStr">
        <is>
          <t>ST</t>
        </is>
      </c>
      <c r="N635" s="15" t="n"/>
      <c r="O635" s="14" t="n"/>
      <c r="P635" s="14" t="n"/>
      <c r="Q635" s="14" t="n"/>
      <c r="R635" s="14" t="n"/>
    </row>
    <row r="636">
      <c r="A636" s="14" t="inlineStr">
        <is>
          <t>FM3434</t>
        </is>
      </c>
      <c r="B636" s="14" t="n"/>
      <c r="C636" s="13" t="n">
        <v>45915</v>
      </c>
      <c r="D636" s="12" t="inlineStr">
        <is>
          <t>Cash sale</t>
        </is>
      </c>
      <c r="E636" s="14" t="inlineStr">
        <is>
          <t>Silungisa Ugesi</t>
        </is>
      </c>
      <c r="F636" s="14" t="inlineStr">
        <is>
          <t>Lineo 150</t>
        </is>
      </c>
      <c r="G636" s="20" t="n">
        <v>1</v>
      </c>
      <c r="H636" s="19" t="n">
        <v>2778</v>
      </c>
      <c r="I636" s="18">
        <f>G636*H636</f>
        <v/>
      </c>
      <c r="J636" s="11" t="n"/>
      <c r="K636" s="17" t="n"/>
      <c r="L636" s="16">
        <f>K636+C636</f>
        <v/>
      </c>
      <c r="M636" s="11" t="inlineStr">
        <is>
          <t>SM</t>
        </is>
      </c>
      <c r="N636" s="15" t="n"/>
      <c r="O636" s="14" t="n"/>
      <c r="P636" s="14" t="n"/>
      <c r="Q636" s="14" t="n"/>
      <c r="R636" s="14" t="n"/>
    </row>
    <row r="637">
      <c r="A637" s="14" t="inlineStr">
        <is>
          <t>FM3435</t>
        </is>
      </c>
      <c r="B637" s="14" t="n"/>
      <c r="C637" s="13" t="n">
        <v>45915</v>
      </c>
      <c r="D637" s="12" t="inlineStr">
        <is>
          <t>Cash sale</t>
        </is>
      </c>
      <c r="E637" s="14" t="inlineStr">
        <is>
          <t>DJ Air Conditioning</t>
        </is>
      </c>
      <c r="F637" s="14" t="inlineStr">
        <is>
          <t>RAD355 &amp; RAD 200</t>
        </is>
      </c>
      <c r="G637" s="20" t="n">
        <v>2</v>
      </c>
      <c r="H637" s="19" t="n">
        <v>3177</v>
      </c>
      <c r="I637" s="18">
        <f>G637*H637</f>
        <v/>
      </c>
      <c r="J637" s="11" t="n"/>
      <c r="K637" s="17" t="n"/>
      <c r="L637" s="16">
        <f>K637+C637</f>
        <v/>
      </c>
      <c r="M637" s="11" t="inlineStr">
        <is>
          <t>SM</t>
        </is>
      </c>
      <c r="N637" s="15" t="n"/>
      <c r="O637" s="14" t="n"/>
      <c r="P637" s="14" t="n"/>
      <c r="Q637" s="14" t="n"/>
      <c r="R637" s="14" t="n"/>
    </row>
    <row r="638">
      <c r="A638" s="14" t="inlineStr">
        <is>
          <t>FM3436</t>
        </is>
      </c>
      <c r="B638" s="14" t="n"/>
      <c r="C638" s="13" t="n">
        <v>45916</v>
      </c>
      <c r="D638" s="12" t="inlineStr">
        <is>
          <t>Cash sale</t>
        </is>
      </c>
      <c r="E638" s="14" t="inlineStr">
        <is>
          <t>Zefs More Vision</t>
        </is>
      </c>
      <c r="F638" s="14" t="inlineStr">
        <is>
          <t>560 Diam Silencers 1.5D Podded</t>
        </is>
      </c>
      <c r="G638" s="20" t="n">
        <v>1</v>
      </c>
      <c r="H638" s="19" t="n">
        <v>3409</v>
      </c>
      <c r="I638" s="18">
        <f>G638*H638</f>
        <v/>
      </c>
      <c r="J638" s="11" t="n"/>
      <c r="K638" s="17" t="n"/>
      <c r="L638" s="16">
        <f>K638+C638</f>
        <v/>
      </c>
      <c r="M638" s="11" t="inlineStr">
        <is>
          <t>MT</t>
        </is>
      </c>
      <c r="N638" s="15" t="n"/>
      <c r="O638" s="14" t="n"/>
      <c r="P638" s="14" t="n"/>
      <c r="Q638" s="14" t="n"/>
      <c r="R638" s="14" t="n"/>
    </row>
    <row r="639">
      <c r="A639" s="14" t="inlineStr">
        <is>
          <t>FM3437</t>
        </is>
      </c>
      <c r="B639" s="14" t="n"/>
      <c r="C639" s="13" t="n">
        <v>45916</v>
      </c>
      <c r="D639" s="12" t="n">
        <v>61054</v>
      </c>
      <c r="E639" s="14" t="inlineStr">
        <is>
          <t>Chabo &amp; Joubert</t>
        </is>
      </c>
      <c r="F639" s="14" t="inlineStr">
        <is>
          <t>Boxed Fans</t>
        </is>
      </c>
      <c r="G639" s="20" t="n">
        <v>1</v>
      </c>
      <c r="H639" s="19" t="n">
        <v>40675</v>
      </c>
      <c r="I639" s="18">
        <f>G639*H639</f>
        <v/>
      </c>
      <c r="J639" s="11" t="n"/>
      <c r="K639" s="17" t="n"/>
      <c r="L639" s="16">
        <f>K639+C639</f>
        <v/>
      </c>
      <c r="M639" s="11" t="inlineStr">
        <is>
          <t>ST</t>
        </is>
      </c>
      <c r="N639" s="15" t="n"/>
      <c r="O639" s="14" t="n"/>
      <c r="P639" s="14" t="n"/>
      <c r="Q639" s="14" t="n"/>
      <c r="R639" s="14" t="n"/>
    </row>
    <row r="640">
      <c r="A640" s="14" t="inlineStr">
        <is>
          <t>FM3438</t>
        </is>
      </c>
      <c r="B640" s="14" t="n"/>
      <c r="C640" s="13" t="n">
        <v>45916</v>
      </c>
      <c r="D640" s="12" t="n">
        <v>61054</v>
      </c>
      <c r="E640" s="14" t="inlineStr">
        <is>
          <t>Chabo &amp; Joubert</t>
        </is>
      </c>
      <c r="F640" s="14" t="inlineStr">
        <is>
          <t>Boxed Fans</t>
        </is>
      </c>
      <c r="G640" s="20" t="n">
        <v>1</v>
      </c>
      <c r="H640" s="19" t="n">
        <v>45327</v>
      </c>
      <c r="I640" s="18">
        <f>G640*H640</f>
        <v/>
      </c>
      <c r="J640" s="11" t="n"/>
      <c r="K640" s="17" t="n"/>
      <c r="L640" s="16">
        <f>K640+C640</f>
        <v/>
      </c>
      <c r="M640" s="11" t="inlineStr">
        <is>
          <t>ST</t>
        </is>
      </c>
      <c r="N640" s="15" t="n"/>
      <c r="O640" s="14" t="n"/>
      <c r="P640" s="14" t="n"/>
      <c r="Q640" s="14" t="n"/>
      <c r="R640" s="14" t="n"/>
    </row>
    <row r="641">
      <c r="A641" s="14" t="inlineStr">
        <is>
          <t>FM3439</t>
        </is>
      </c>
      <c r="B641" s="14" t="n"/>
      <c r="C641" s="13" t="n">
        <v>45916</v>
      </c>
      <c r="D641" s="33" t="inlineStr">
        <is>
          <t>PO053795</t>
        </is>
      </c>
      <c r="E641" s="14" t="inlineStr">
        <is>
          <t>Airetronic</t>
        </is>
      </c>
      <c r="F641" s="14" t="inlineStr">
        <is>
          <t>Window Kit</t>
        </is>
      </c>
      <c r="G641" s="20" t="n">
        <v>2</v>
      </c>
      <c r="H641" s="19" t="n">
        <v>262</v>
      </c>
      <c r="I641" s="18">
        <f>G641*H641</f>
        <v/>
      </c>
      <c r="J641" s="11" t="n"/>
      <c r="K641" s="17" t="n"/>
      <c r="L641" s="16">
        <f>K641+C641</f>
        <v/>
      </c>
      <c r="M641" s="11" t="inlineStr">
        <is>
          <t>SM</t>
        </is>
      </c>
      <c r="N641" s="15" t="n"/>
      <c r="O641" s="14" t="n"/>
      <c r="P641" s="14" t="n"/>
      <c r="Q641" s="14" t="n"/>
      <c r="R641" s="14" t="n"/>
    </row>
    <row r="642">
      <c r="A642" s="14" t="inlineStr">
        <is>
          <t>FM3440</t>
        </is>
      </c>
      <c r="B642" s="14" t="n"/>
      <c r="C642" s="13" t="n">
        <v>45917</v>
      </c>
      <c r="D642" s="12" t="inlineStr">
        <is>
          <t>Cash sale</t>
        </is>
      </c>
      <c r="E642" s="14" t="inlineStr">
        <is>
          <t>Ubuntu</t>
        </is>
      </c>
      <c r="F642" s="14" t="inlineStr">
        <is>
          <t>Lineo 250 Quiet</t>
        </is>
      </c>
      <c r="G642" s="20" t="n">
        <v>10</v>
      </c>
      <c r="H642" s="19" t="n">
        <v>9396</v>
      </c>
      <c r="I642" s="18">
        <f>G642*H642</f>
        <v/>
      </c>
      <c r="J642" s="11" t="n"/>
      <c r="K642" s="17" t="n"/>
      <c r="L642" s="16">
        <f>K642+C642</f>
        <v/>
      </c>
      <c r="M642" s="11" t="n"/>
      <c r="N642" s="15" t="n"/>
      <c r="O642" s="14" t="n"/>
      <c r="P642" s="14" t="n"/>
      <c r="Q642" s="14" t="n"/>
      <c r="R642" s="14" t="n"/>
    </row>
    <row r="643">
      <c r="A643" s="14" t="inlineStr">
        <is>
          <t>FM3441</t>
        </is>
      </c>
      <c r="B643" s="14" t="n"/>
      <c r="C643" s="13" t="n">
        <v>45917</v>
      </c>
      <c r="D643" s="12" t="inlineStr">
        <is>
          <t>Chash Sale</t>
        </is>
      </c>
      <c r="E643" s="14" t="inlineStr">
        <is>
          <t>Witness</t>
        </is>
      </c>
      <c r="F643" s="14" t="inlineStr">
        <is>
          <t>VORT QUADRO I SUPER I</t>
        </is>
      </c>
      <c r="G643" s="20" t="n">
        <v>1</v>
      </c>
      <c r="H643" s="19" t="n">
        <v>4956</v>
      </c>
      <c r="I643" s="18">
        <f>G643*H643</f>
        <v/>
      </c>
      <c r="J643" s="11" t="n"/>
      <c r="K643" s="17" t="n"/>
      <c r="L643" s="16">
        <f>K643+C643</f>
        <v/>
      </c>
      <c r="M643" s="11" t="n"/>
      <c r="N643" s="15" t="n"/>
      <c r="O643" s="14" t="n"/>
      <c r="P643" s="14" t="n"/>
      <c r="Q643" s="14" t="n"/>
      <c r="R643" s="14" t="n"/>
    </row>
    <row r="644">
      <c r="A644" s="14" t="inlineStr">
        <is>
          <t>FM3442</t>
        </is>
      </c>
      <c r="B644" s="14" t="n"/>
      <c r="C644" s="13" t="n">
        <v>45918</v>
      </c>
      <c r="D644" s="12" t="inlineStr">
        <is>
          <t>PC5/PO-4452</t>
        </is>
      </c>
      <c r="E644" s="14" t="inlineStr">
        <is>
          <t>Butec</t>
        </is>
      </c>
      <c r="F644" s="14" t="inlineStr">
        <is>
          <t>MAJAX-2 400 c/w 0.25kw 4P 380v</t>
        </is>
      </c>
      <c r="G644" s="20" t="n">
        <v>1</v>
      </c>
      <c r="H644" s="19" t="n">
        <v>6421.24</v>
      </c>
      <c r="I644" s="18">
        <f>G644*H644</f>
        <v/>
      </c>
      <c r="J644" s="11" t="n"/>
      <c r="K644" s="17" t="n"/>
      <c r="L644" s="16">
        <f>K644+C644</f>
        <v/>
      </c>
      <c r="M644" s="11" t="inlineStr">
        <is>
          <t>MT</t>
        </is>
      </c>
      <c r="N644" s="15" t="n"/>
      <c r="O644" s="14" t="n"/>
      <c r="P644" s="14" t="n"/>
      <c r="Q644" s="14" t="n"/>
      <c r="R644" s="14" t="n"/>
    </row>
    <row r="645">
      <c r="A645" s="14" t="inlineStr">
        <is>
          <t>FM3443</t>
        </is>
      </c>
      <c r="B645" s="14" t="n"/>
      <c r="C645" s="13" t="n">
        <v>45918</v>
      </c>
      <c r="D645" s="12" t="inlineStr">
        <is>
          <t>Cash Sale</t>
        </is>
      </c>
      <c r="E645" s="14" t="inlineStr">
        <is>
          <t>LP Air</t>
        </is>
      </c>
      <c r="F645" s="14" t="inlineStr">
        <is>
          <t>Maxflo 315 P c/w 0,37kW 2Pole</t>
        </is>
      </c>
      <c r="G645" s="20" t="n">
        <v>1</v>
      </c>
      <c r="H645" s="19" t="n">
        <v>10927.52</v>
      </c>
      <c r="I645" s="18">
        <f>G645*H645</f>
        <v/>
      </c>
      <c r="J645" s="11" t="n"/>
      <c r="K645" s="17" t="n"/>
      <c r="L645" s="16">
        <f>K645+C645</f>
        <v/>
      </c>
      <c r="M645" s="11" t="inlineStr">
        <is>
          <t>ST</t>
        </is>
      </c>
      <c r="N645" s="15" t="n"/>
      <c r="O645" s="14" t="n"/>
      <c r="P645" s="14" t="n"/>
      <c r="Q645" s="14" t="n"/>
      <c r="R645" s="14" t="n"/>
    </row>
    <row r="646">
      <c r="A646" s="14" t="inlineStr">
        <is>
          <t>FM3444</t>
        </is>
      </c>
      <c r="B646" s="14" t="n"/>
      <c r="C646" s="13" t="n">
        <v>45918</v>
      </c>
      <c r="D646" s="12" t="inlineStr">
        <is>
          <t>Cash Sale</t>
        </is>
      </c>
      <c r="E646" s="14" t="inlineStr">
        <is>
          <t>LP Air</t>
        </is>
      </c>
      <c r="F646" s="14" t="inlineStr">
        <is>
          <t>Boxed Fans</t>
        </is>
      </c>
      <c r="G646" s="20" t="n">
        <v>1</v>
      </c>
      <c r="H646" s="19" t="n">
        <v>10931</v>
      </c>
      <c r="I646" s="18">
        <f>G646*H646</f>
        <v/>
      </c>
      <c r="J646" s="11" t="n"/>
      <c r="K646" s="17" t="n"/>
      <c r="L646" s="16">
        <f>K646+C646</f>
        <v/>
      </c>
      <c r="M646" s="11" t="inlineStr">
        <is>
          <t>ST</t>
        </is>
      </c>
      <c r="N646" s="15" t="n"/>
      <c r="O646" s="14" t="n"/>
      <c r="P646" s="14" t="n"/>
      <c r="Q646" s="14" t="n"/>
      <c r="R646" s="14" t="n"/>
    </row>
    <row r="647">
      <c r="A647" s="14" t="inlineStr">
        <is>
          <t>FM3445</t>
        </is>
      </c>
      <c r="B647" s="14" t="n"/>
      <c r="C647" s="13" t="n">
        <v>45918</v>
      </c>
      <c r="D647" s="12" t="inlineStr">
        <is>
          <t>Cash Sale</t>
        </is>
      </c>
      <c r="E647" s="14" t="inlineStr">
        <is>
          <t>Mekan House</t>
        </is>
      </c>
      <c r="F647" s="14" t="inlineStr">
        <is>
          <t>RAD 315 &amp; Accessories + RAD200</t>
        </is>
      </c>
      <c r="G647" s="20" t="n">
        <v>2</v>
      </c>
      <c r="H647" s="19" t="n">
        <v>7007</v>
      </c>
      <c r="I647" s="18" t="n">
        <v>7007</v>
      </c>
      <c r="J647" s="11" t="n"/>
      <c r="K647" s="17" t="n"/>
      <c r="L647" s="16">
        <f>K647+C647</f>
        <v/>
      </c>
      <c r="M647" s="11" t="inlineStr">
        <is>
          <t>MT</t>
        </is>
      </c>
      <c r="N647" s="15" t="n"/>
      <c r="O647" s="14" t="n"/>
      <c r="P647" s="14" t="n"/>
      <c r="Q647" s="14" t="n"/>
      <c r="R647" s="14" t="n"/>
    </row>
    <row r="648">
      <c r="A648" s="14" t="inlineStr">
        <is>
          <t>FM3446</t>
        </is>
      </c>
      <c r="B648" s="14" t="n"/>
      <c r="C648" s="13" t="n">
        <v>45918</v>
      </c>
      <c r="D648" s="23" t="inlineStr">
        <is>
          <t>PO-0000712</t>
        </is>
      </c>
      <c r="E648" s="14" t="inlineStr">
        <is>
          <t>Jaft Aircon</t>
        </is>
      </c>
      <c r="F648" s="14" t="inlineStr">
        <is>
          <t>Maxflo 500/150/10 A c/w 2P 380V</t>
        </is>
      </c>
      <c r="G648" s="20" t="n">
        <v>1</v>
      </c>
      <c r="H648" s="19" t="n">
        <v>9673.77</v>
      </c>
      <c r="I648" s="18">
        <f>G648*H648</f>
        <v/>
      </c>
      <c r="J648" s="11" t="n"/>
      <c r="K648" s="17" t="n"/>
      <c r="L648" s="16">
        <f>K648+C648</f>
        <v/>
      </c>
      <c r="M648" s="11" t="inlineStr">
        <is>
          <t>MT</t>
        </is>
      </c>
      <c r="N648" s="15" t="n"/>
      <c r="O648" s="14" t="n"/>
      <c r="P648" s="14" t="n"/>
      <c r="Q648" s="14" t="n"/>
      <c r="R648" s="14" t="n"/>
    </row>
    <row r="649">
      <c r="A649" s="30" t="inlineStr">
        <is>
          <t>FM3447</t>
        </is>
      </c>
      <c r="B649" s="30" t="n"/>
      <c r="C649" s="32" t="n">
        <v>45919</v>
      </c>
      <c r="D649" s="31" t="inlineStr">
        <is>
          <t>Cash Sale</t>
        </is>
      </c>
      <c r="E649" s="30" t="inlineStr">
        <is>
          <t>Vortron</t>
        </is>
      </c>
      <c r="F649" s="30" t="inlineStr">
        <is>
          <t>Maxflo 560 A c/w 0.55kW 4Pole</t>
        </is>
      </c>
      <c r="G649" s="29" t="n">
        <v>2</v>
      </c>
      <c r="H649" s="28" t="n">
        <v>8778</v>
      </c>
      <c r="I649" s="27">
        <f>G649*H649</f>
        <v/>
      </c>
      <c r="J649" s="25" t="n"/>
      <c r="K649" s="26" t="n"/>
      <c r="L649" s="16">
        <f>K649+C649</f>
        <v/>
      </c>
      <c r="M649" s="25" t="n"/>
      <c r="N649" s="15" t="n"/>
      <c r="O649" s="14" t="n"/>
      <c r="P649" s="14" t="n"/>
      <c r="Q649" s="14" t="n"/>
      <c r="R649" s="14" t="n"/>
    </row>
    <row r="650">
      <c r="A650" s="14" t="inlineStr">
        <is>
          <t>FM3448</t>
        </is>
      </c>
      <c r="B650" s="14" t="n"/>
      <c r="C650" s="13" t="n">
        <v>45919</v>
      </c>
      <c r="D650" s="12" t="inlineStr">
        <is>
          <t>Cash Sale</t>
        </is>
      </c>
      <c r="E650" s="14" t="inlineStr">
        <is>
          <t>Vortron</t>
        </is>
      </c>
      <c r="F650" s="14" t="inlineStr">
        <is>
          <t>Maxflo 560 A c/w 1.1kW 4Pole</t>
        </is>
      </c>
      <c r="G650" s="20" t="n">
        <v>3</v>
      </c>
      <c r="H650" s="19" t="n">
        <v>9563</v>
      </c>
      <c r="I650" s="18">
        <f>G650*H650</f>
        <v/>
      </c>
      <c r="J650" s="11" t="n"/>
      <c r="K650" s="17" t="n"/>
      <c r="L650" s="16">
        <f>K650+C650</f>
        <v/>
      </c>
      <c r="M650" s="11" t="n"/>
      <c r="N650" s="15" t="n"/>
      <c r="O650" s="14" t="n"/>
      <c r="P650" s="14" t="n"/>
      <c r="Q650" s="14" t="n"/>
      <c r="R650" s="14" t="n"/>
    </row>
    <row r="651">
      <c r="A651" s="14" t="inlineStr">
        <is>
          <t>FM3449</t>
        </is>
      </c>
      <c r="B651" s="14" t="n"/>
      <c r="C651" s="13" t="n">
        <v>45919</v>
      </c>
      <c r="D651" s="12" t="inlineStr">
        <is>
          <t>Cash Sale</t>
        </is>
      </c>
      <c r="E651" s="14" t="inlineStr">
        <is>
          <t>Vortron</t>
        </is>
      </c>
      <c r="F651" s="14" t="inlineStr">
        <is>
          <t>Maxflo 630 A c/w 2.2kW 4Pole</t>
        </is>
      </c>
      <c r="G651" s="20" t="n">
        <v>3</v>
      </c>
      <c r="H651" s="19" t="n">
        <v>9867</v>
      </c>
      <c r="I651" s="18">
        <f>G651*H651</f>
        <v/>
      </c>
      <c r="J651" s="11" t="n"/>
      <c r="K651" s="17" t="n"/>
      <c r="L651" s="16">
        <f>K651+C651</f>
        <v/>
      </c>
      <c r="M651" s="11" t="n"/>
      <c r="N651" s="15" t="n"/>
      <c r="O651" s="14" t="n"/>
      <c r="P651" s="14" t="n"/>
      <c r="Q651" s="14" t="n"/>
      <c r="R651" s="14" t="n"/>
    </row>
    <row r="652">
      <c r="A652" s="14" t="inlineStr">
        <is>
          <t>FM3450</t>
        </is>
      </c>
      <c r="B652" s="14" t="n"/>
      <c r="C652" s="13" t="n">
        <v>45919</v>
      </c>
      <c r="D652" s="12" t="inlineStr">
        <is>
          <t>Cash Sale</t>
        </is>
      </c>
      <c r="E652" s="14" t="inlineStr">
        <is>
          <t>Vortron</t>
        </is>
      </c>
      <c r="F652" s="14" t="inlineStr">
        <is>
          <t>Maxflo 630 A c/w 2.2kW 4Pole</t>
        </is>
      </c>
      <c r="G652" s="20" t="n">
        <v>3</v>
      </c>
      <c r="H652" s="19" t="n">
        <v>9867</v>
      </c>
      <c r="I652" s="18">
        <f>G652*H652</f>
        <v/>
      </c>
      <c r="J652" s="11" t="n"/>
      <c r="K652" s="17" t="n"/>
      <c r="L652" s="16">
        <f>K652+C652</f>
        <v/>
      </c>
      <c r="M652" s="11" t="n"/>
      <c r="N652" s="15" t="n"/>
      <c r="O652" s="14" t="n"/>
      <c r="P652" s="14" t="n"/>
      <c r="Q652" s="14" t="n"/>
      <c r="R652" s="14" t="n"/>
    </row>
    <row r="653">
      <c r="A653" s="14" t="inlineStr">
        <is>
          <t>FM3451</t>
        </is>
      </c>
      <c r="B653" s="14" t="n"/>
      <c r="C653" s="13" t="n">
        <v>45919</v>
      </c>
      <c r="D653" s="12" t="inlineStr">
        <is>
          <t>Cash Sale</t>
        </is>
      </c>
      <c r="E653" s="14" t="inlineStr">
        <is>
          <t>Vortron</t>
        </is>
      </c>
      <c r="F653" s="14" t="inlineStr">
        <is>
          <t>Maxflo 800 A c/w 4kW 4Pole</t>
        </is>
      </c>
      <c r="G653" s="20" t="n">
        <v>3</v>
      </c>
      <c r="H653" s="19" t="n">
        <v>12612</v>
      </c>
      <c r="I653" s="18">
        <f>G653*H653</f>
        <v/>
      </c>
      <c r="J653" s="11" t="n"/>
      <c r="K653" s="17" t="n"/>
      <c r="L653" s="16">
        <f>K653+C653</f>
        <v/>
      </c>
      <c r="M653" s="11" t="n"/>
      <c r="N653" s="15" t="n"/>
      <c r="O653" s="14" t="n"/>
      <c r="P653" s="14" t="n"/>
      <c r="Q653" s="14" t="n"/>
      <c r="R653" s="14" t="n"/>
    </row>
    <row r="654">
      <c r="A654" s="14" t="inlineStr">
        <is>
          <t>FM3452</t>
        </is>
      </c>
      <c r="B654" s="14" t="n"/>
      <c r="C654" s="13" t="n">
        <v>45919</v>
      </c>
      <c r="D654" s="12" t="inlineStr">
        <is>
          <t>Cash Sale</t>
        </is>
      </c>
      <c r="E654" s="14" t="inlineStr">
        <is>
          <t>Vortron</t>
        </is>
      </c>
      <c r="F654" s="14" t="inlineStr">
        <is>
          <t>Maxflo 800 c/w 5.5kW 4Pole</t>
        </is>
      </c>
      <c r="G654" s="20" t="n">
        <v>3</v>
      </c>
      <c r="H654" s="19" t="n">
        <v>13768</v>
      </c>
      <c r="I654" s="18">
        <f>G654*H654</f>
        <v/>
      </c>
      <c r="J654" s="11" t="n"/>
      <c r="K654" s="17" t="n"/>
      <c r="L654" s="16">
        <f>K654+C654</f>
        <v/>
      </c>
      <c r="M654" s="11" t="n"/>
      <c r="N654" s="15" t="n"/>
      <c r="O654" s="14" t="n"/>
      <c r="P654" s="14" t="n"/>
      <c r="Q654" s="14" t="n"/>
      <c r="R654" s="14" t="n"/>
    </row>
    <row r="655">
      <c r="A655" s="30" t="inlineStr">
        <is>
          <t>FM3453</t>
        </is>
      </c>
      <c r="B655" s="30" t="n"/>
      <c r="C655" s="32" t="n">
        <v>45919</v>
      </c>
      <c r="D655" s="31" t="inlineStr">
        <is>
          <t>Cash Sale</t>
        </is>
      </c>
      <c r="E655" s="30" t="inlineStr">
        <is>
          <t>Vortron</t>
        </is>
      </c>
      <c r="F655" s="30" t="inlineStr">
        <is>
          <t>Maxflo 800 c/w 5.5kW 4Pole</t>
        </is>
      </c>
      <c r="G655" s="29" t="n">
        <v>2</v>
      </c>
      <c r="H655" s="28" t="n">
        <v>13768</v>
      </c>
      <c r="I655" s="27">
        <f>G655*H655</f>
        <v/>
      </c>
      <c r="J655" s="25" t="n"/>
      <c r="K655" s="26" t="n"/>
      <c r="L655" s="16">
        <f>K655+C655</f>
        <v/>
      </c>
      <c r="M655" s="25" t="n"/>
      <c r="N655" s="15" t="n"/>
      <c r="O655" s="14" t="n"/>
      <c r="P655" s="14" t="n"/>
      <c r="Q655" s="14" t="n"/>
      <c r="R655" s="14" t="n"/>
    </row>
    <row r="656">
      <c r="A656" s="14" t="inlineStr">
        <is>
          <t>FM3454</t>
        </is>
      </c>
      <c r="B656" s="14" t="n"/>
      <c r="C656" s="13" t="n">
        <v>45919</v>
      </c>
      <c r="D656" s="12" t="inlineStr">
        <is>
          <t>Cash sale</t>
        </is>
      </c>
      <c r="E656" s="14" t="inlineStr">
        <is>
          <t>zefs more vision</t>
        </is>
      </c>
      <c r="F656" s="14" t="inlineStr">
        <is>
          <t>560 attenuator</t>
        </is>
      </c>
      <c r="G656" s="20" t="n">
        <v>1</v>
      </c>
      <c r="H656" s="19" t="n">
        <v>3409</v>
      </c>
      <c r="I656" s="18">
        <f>G656*H656</f>
        <v/>
      </c>
      <c r="J656" s="11" t="n"/>
      <c r="K656" s="17" t="n"/>
      <c r="L656" s="16">
        <f>K656+C656</f>
        <v/>
      </c>
      <c r="M656" s="11" t="inlineStr">
        <is>
          <t>MT</t>
        </is>
      </c>
      <c r="N656" s="15" t="n"/>
      <c r="O656" s="14" t="n"/>
      <c r="P656" s="14" t="n"/>
      <c r="Q656" s="14" t="n"/>
      <c r="R656" s="14" t="n"/>
    </row>
    <row r="657">
      <c r="A657" s="14" t="inlineStr">
        <is>
          <t>FM3455</t>
        </is>
      </c>
      <c r="B657" s="14" t="n"/>
      <c r="C657" s="13" t="n">
        <v>45919</v>
      </c>
      <c r="D657" s="12" t="inlineStr">
        <is>
          <t>Cash Sale</t>
        </is>
      </c>
      <c r="E657" s="14" t="inlineStr">
        <is>
          <t>Zefs More Vision</t>
        </is>
      </c>
      <c r="F657" s="14" t="inlineStr">
        <is>
          <t>RAD 315</t>
        </is>
      </c>
      <c r="G657" s="20" t="n">
        <v>1</v>
      </c>
      <c r="H657" s="19" t="n">
        <v>3052</v>
      </c>
      <c r="I657" s="18">
        <f>G657*H657</f>
        <v/>
      </c>
      <c r="J657" s="11" t="n"/>
      <c r="K657" s="17" t="n"/>
      <c r="L657" s="16">
        <f>K657+C657</f>
        <v/>
      </c>
      <c r="M657" s="11" t="inlineStr">
        <is>
          <t>MT</t>
        </is>
      </c>
      <c r="N657" s="15" t="n"/>
      <c r="O657" s="14" t="n"/>
      <c r="P657" s="14" t="n"/>
      <c r="Q657" s="14" t="n"/>
      <c r="R657" s="14" t="n"/>
    </row>
    <row r="658">
      <c r="A658" s="14" t="inlineStr">
        <is>
          <t>FM3456</t>
        </is>
      </c>
      <c r="B658" s="14" t="n"/>
      <c r="C658" s="13" t="n">
        <v>45919</v>
      </c>
      <c r="D658" s="12" t="inlineStr">
        <is>
          <t>Cash Sale</t>
        </is>
      </c>
      <c r="E658" s="14" t="inlineStr">
        <is>
          <t>TRI-D BOERDERY</t>
        </is>
      </c>
      <c r="F658" s="14" t="inlineStr">
        <is>
          <t>Majax-2 610 20.D.8 c/w 1.1kW 4P 380V</t>
        </is>
      </c>
      <c r="G658" s="20" t="n">
        <v>1</v>
      </c>
      <c r="H658" s="19" t="n">
        <v>3052</v>
      </c>
      <c r="I658" s="18">
        <f>G658*H658</f>
        <v/>
      </c>
      <c r="J658" s="11" t="n"/>
      <c r="K658" s="17" t="n"/>
      <c r="L658" s="16">
        <f>K658+C658</f>
        <v/>
      </c>
      <c r="M658" s="11" t="n"/>
      <c r="N658" s="15" t="n"/>
      <c r="O658" s="14" t="n"/>
      <c r="P658" s="14" t="n"/>
      <c r="Q658" s="14" t="n"/>
      <c r="R658" s="14" t="n"/>
    </row>
    <row r="659">
      <c r="A659" s="14" t="inlineStr">
        <is>
          <t>FM3457</t>
        </is>
      </c>
      <c r="B659" s="14" t="n"/>
      <c r="C659" s="13" t="n">
        <v>45922</v>
      </c>
      <c r="D659" s="12" t="inlineStr">
        <is>
          <t>Cash Sale</t>
        </is>
      </c>
      <c r="E659" s="14" t="inlineStr">
        <is>
          <t>HVAC PARTNERS PTY LTD</t>
        </is>
      </c>
      <c r="F659" s="14" t="inlineStr">
        <is>
          <t>560 &amp; 500 Counter Flanges</t>
        </is>
      </c>
      <c r="G659" s="20" t="n">
        <v>4</v>
      </c>
      <c r="H659" s="19" t="n">
        <v>335</v>
      </c>
      <c r="I659" s="18">
        <f>G659*H659</f>
        <v/>
      </c>
      <c r="J659" s="11" t="n"/>
      <c r="K659" s="17" t="n"/>
      <c r="L659" s="16">
        <f>K659+C659</f>
        <v/>
      </c>
      <c r="M659" s="11" t="inlineStr">
        <is>
          <t>SM</t>
        </is>
      </c>
      <c r="N659" s="15" t="n"/>
      <c r="O659" s="14" t="n"/>
      <c r="P659" s="14" t="n"/>
      <c r="Q659" s="14" t="n"/>
      <c r="R659" s="14" t="n"/>
    </row>
    <row r="660">
      <c r="A660" s="14" t="inlineStr">
        <is>
          <t>FM3458</t>
        </is>
      </c>
      <c r="B660" s="14" t="n"/>
      <c r="C660" s="13" t="n">
        <v>45922</v>
      </c>
      <c r="D660" s="12" t="inlineStr">
        <is>
          <t>PO4304</t>
        </is>
      </c>
      <c r="E660" s="14" t="inlineStr">
        <is>
          <t xml:space="preserve">Air-Speration (Pty) Ltd </t>
        </is>
      </c>
      <c r="F660" s="14" t="inlineStr">
        <is>
          <t>Tiracamino</t>
        </is>
      </c>
      <c r="G660" s="20" t="n">
        <v>1</v>
      </c>
      <c r="H660" s="19" t="n">
        <v>12114</v>
      </c>
      <c r="I660" s="18">
        <f>G660*H660</f>
        <v/>
      </c>
      <c r="J660" s="11" t="n"/>
      <c r="K660" s="17" t="n"/>
      <c r="L660" s="16">
        <f>K660+C660</f>
        <v/>
      </c>
      <c r="M660" s="11" t="inlineStr">
        <is>
          <t>MT</t>
        </is>
      </c>
      <c r="N660" s="15" t="n"/>
      <c r="O660" s="14" t="n"/>
      <c r="P660" s="14" t="n"/>
      <c r="Q660" s="14" t="n"/>
      <c r="R660" s="14" t="n"/>
    </row>
    <row r="661">
      <c r="A661" s="14" t="inlineStr">
        <is>
          <t>FM3459</t>
        </is>
      </c>
      <c r="B661" s="14" t="n"/>
      <c r="C661" s="13" t="n">
        <v>45923</v>
      </c>
      <c r="D661" s="12" t="inlineStr">
        <is>
          <t>Cash Sale</t>
        </is>
      </c>
      <c r="E661" s="14" t="inlineStr">
        <is>
          <t>ECS DEEP CLEAN INDUSTRIES</t>
        </is>
      </c>
      <c r="F661" s="14" t="inlineStr">
        <is>
          <t>Tiracamino</t>
        </is>
      </c>
      <c r="G661" s="20" t="n">
        <v>1</v>
      </c>
      <c r="H661" s="19" t="n">
        <v>12114</v>
      </c>
      <c r="I661" s="18">
        <f>G661*H661</f>
        <v/>
      </c>
      <c r="J661" s="11" t="n"/>
      <c r="K661" s="17" t="n"/>
      <c r="L661" s="16">
        <f>K661+C661</f>
        <v/>
      </c>
      <c r="M661" s="11" t="inlineStr">
        <is>
          <t>SM</t>
        </is>
      </c>
      <c r="N661" s="15" t="n"/>
      <c r="O661" s="14" t="n"/>
      <c r="P661" s="14" t="n"/>
      <c r="Q661" s="14" t="n"/>
      <c r="R661" s="14" t="n"/>
    </row>
    <row r="662">
      <c r="A662" s="14" t="inlineStr">
        <is>
          <t>FM3460</t>
        </is>
      </c>
      <c r="B662" s="14" t="n"/>
      <c r="C662" s="13" t="n">
        <v>45923</v>
      </c>
      <c r="D662" s="12" t="inlineStr">
        <is>
          <t>MP015008</t>
        </is>
      </c>
      <c r="E662" s="14" t="inlineStr">
        <is>
          <t>Midstone Engineering t/a Midair</t>
        </is>
      </c>
      <c r="F662" s="14" t="inlineStr">
        <is>
          <t>lineo 150 &amp; 200 Quiet</t>
        </is>
      </c>
      <c r="G662" s="20" t="n">
        <v>3</v>
      </c>
      <c r="H662" s="19" t="n">
        <v>4136</v>
      </c>
      <c r="I662" s="18">
        <f>G662*H662</f>
        <v/>
      </c>
      <c r="J662" s="11" t="n"/>
      <c r="K662" s="17" t="n"/>
      <c r="L662" s="16">
        <f>K662+C662</f>
        <v/>
      </c>
      <c r="M662" s="11" t="inlineStr">
        <is>
          <t>MT</t>
        </is>
      </c>
      <c r="N662" s="15" t="n"/>
      <c r="O662" s="14" t="n"/>
      <c r="P662" s="14" t="n"/>
      <c r="Q662" s="14" t="n"/>
      <c r="R662" s="14" t="n"/>
    </row>
    <row r="663">
      <c r="A663" s="14" t="inlineStr">
        <is>
          <t>FM3461</t>
        </is>
      </c>
      <c r="B663" s="14" t="n"/>
      <c r="C663" s="13" t="n">
        <v>45923</v>
      </c>
      <c r="D663" s="12" t="inlineStr">
        <is>
          <t>PO2115</t>
        </is>
      </c>
      <c r="E663" s="14" t="inlineStr">
        <is>
          <t xml:space="preserve">Hucra Fans </t>
        </is>
      </c>
      <c r="F663" s="14" t="inlineStr">
        <is>
          <t>Tiracamino</t>
        </is>
      </c>
      <c r="G663" s="20" t="n">
        <v>1</v>
      </c>
      <c r="H663" s="19" t="n">
        <v>12114</v>
      </c>
      <c r="I663" s="18">
        <f>G663*H663</f>
        <v/>
      </c>
      <c r="J663" s="11" t="n"/>
      <c r="K663" s="17" t="n"/>
      <c r="L663" s="16">
        <f>K663+C663</f>
        <v/>
      </c>
      <c r="M663" s="11" t="inlineStr">
        <is>
          <t>ZX</t>
        </is>
      </c>
      <c r="N663" s="15" t="n"/>
      <c r="O663" s="14" t="n"/>
      <c r="P663" s="14" t="n"/>
      <c r="Q663" s="14" t="n"/>
      <c r="R663" s="14" t="n"/>
    </row>
    <row r="664">
      <c r="A664" s="14" t="inlineStr">
        <is>
          <t>FM3462</t>
        </is>
      </c>
      <c r="B664" s="14" t="n"/>
      <c r="C664" s="13" t="n">
        <v>45923</v>
      </c>
      <c r="D664" s="12" t="inlineStr">
        <is>
          <t>PO2116</t>
        </is>
      </c>
      <c r="E664" s="14" t="inlineStr">
        <is>
          <t xml:space="preserve">Hucra Fans </t>
        </is>
      </c>
      <c r="F664" s="14" t="inlineStr">
        <is>
          <t>CMA-324-2T</t>
        </is>
      </c>
      <c r="G664" s="20" t="n">
        <v>1</v>
      </c>
      <c r="H664" s="19" t="n">
        <v>9010</v>
      </c>
      <c r="I664" s="18">
        <f>G664*H664</f>
        <v/>
      </c>
      <c r="J664" s="11" t="n"/>
      <c r="K664" s="17" t="n"/>
      <c r="L664" s="16">
        <f>K664+C664</f>
        <v/>
      </c>
      <c r="M664" s="11" t="inlineStr">
        <is>
          <t>ZX</t>
        </is>
      </c>
      <c r="N664" s="15" t="n"/>
      <c r="O664" s="14" t="n"/>
      <c r="P664" s="14" t="n"/>
      <c r="Q664" s="14" t="n"/>
      <c r="R664" s="14" t="n"/>
    </row>
    <row r="665">
      <c r="A665" s="14" t="inlineStr">
        <is>
          <t>FM3463</t>
        </is>
      </c>
      <c r="B665" s="14" t="n"/>
      <c r="C665" s="13" t="n">
        <v>45923</v>
      </c>
      <c r="D665" s="12" t="inlineStr">
        <is>
          <t>PC6/PO-4526</t>
        </is>
      </c>
      <c r="E665" s="14" t="inlineStr">
        <is>
          <t>Butec</t>
        </is>
      </c>
      <c r="F665" s="14" t="inlineStr">
        <is>
          <t>630 Mounting Feet</t>
        </is>
      </c>
      <c r="G665" s="20" t="n">
        <v>16</v>
      </c>
      <c r="H665" s="19" t="n">
        <v>260</v>
      </c>
      <c r="I665" s="18">
        <f>G665*H665</f>
        <v/>
      </c>
      <c r="J665" s="11" t="n"/>
      <c r="K665" s="17" t="n"/>
      <c r="L665" s="16">
        <f>K665+C665</f>
        <v/>
      </c>
      <c r="M665" s="11" t="inlineStr">
        <is>
          <t>MT</t>
        </is>
      </c>
      <c r="N665" s="15" t="n"/>
      <c r="O665" s="14" t="n"/>
      <c r="P665" s="14" t="n"/>
      <c r="Q665" s="14" t="n"/>
      <c r="R665" s="14" t="n"/>
    </row>
    <row r="666">
      <c r="A666" s="14" t="inlineStr">
        <is>
          <t>FM3464</t>
        </is>
      </c>
      <c r="B666" s="14" t="n"/>
      <c r="C666" s="13" t="n">
        <v>45924</v>
      </c>
      <c r="D666" s="24" t="inlineStr">
        <is>
          <t>PO0000632</t>
        </is>
      </c>
      <c r="E666" s="14" t="inlineStr">
        <is>
          <t>ATM TECH</t>
        </is>
      </c>
      <c r="F666" s="14" t="inlineStr">
        <is>
          <t>Majax1 965 c/w5.5 kw belt driven</t>
        </is>
      </c>
      <c r="G666" s="20" t="n">
        <v>1</v>
      </c>
      <c r="H666" s="19" t="n">
        <v>39143</v>
      </c>
      <c r="I666" s="18">
        <f>G666*H666</f>
        <v/>
      </c>
      <c r="J666" s="11" t="n"/>
      <c r="K666" s="17" t="n"/>
      <c r="L666" s="16">
        <f>K666+C666</f>
        <v/>
      </c>
      <c r="M666" s="11" t="n"/>
      <c r="N666" s="15" t="n"/>
      <c r="O666" s="14" t="n"/>
      <c r="P666" s="14" t="n"/>
      <c r="Q666" s="14" t="n"/>
      <c r="R666" s="14" t="n"/>
    </row>
    <row r="667">
      <c r="A667" s="14" t="inlineStr">
        <is>
          <t>FM3465</t>
        </is>
      </c>
      <c r="B667" s="14" t="n"/>
      <c r="C667" s="13" t="n">
        <v>45924</v>
      </c>
      <c r="D667" s="12" t="inlineStr">
        <is>
          <t>PO116181</t>
        </is>
      </c>
      <c r="E667" s="14" t="inlineStr">
        <is>
          <t>Boleng</t>
        </is>
      </c>
      <c r="F667" s="14" t="inlineStr">
        <is>
          <t>Maxflo 710/150/1 c/w 1.1kw 4P 380V + acc</t>
        </is>
      </c>
      <c r="G667" s="20" t="n">
        <v>1</v>
      </c>
      <c r="H667" s="19" t="n">
        <v>26098</v>
      </c>
      <c r="I667" s="18">
        <f>G667*H667</f>
        <v/>
      </c>
      <c r="J667" s="11" t="n"/>
      <c r="K667" s="17" t="n"/>
      <c r="L667" s="16">
        <f>K667+C667</f>
        <v/>
      </c>
      <c r="M667" s="11" t="n"/>
      <c r="N667" s="15" t="n"/>
      <c r="O667" s="14" t="n"/>
      <c r="P667" s="14" t="n"/>
      <c r="Q667" s="14" t="n"/>
      <c r="R667" s="14" t="n"/>
    </row>
    <row r="668">
      <c r="A668" s="14" t="inlineStr">
        <is>
          <t>FM3466</t>
        </is>
      </c>
      <c r="B668" s="14" t="n"/>
      <c r="C668" s="13" t="n">
        <v>45924</v>
      </c>
      <c r="D668" s="12" t="inlineStr">
        <is>
          <t>PO116181</t>
        </is>
      </c>
      <c r="E668" s="14" t="inlineStr">
        <is>
          <t>Boleng</t>
        </is>
      </c>
      <c r="F668" s="14" t="inlineStr">
        <is>
          <t>Maxflo 400/150/10 c/w 2.2kw 2P 380V + acc</t>
        </is>
      </c>
      <c r="G668" s="20" t="n">
        <v>1</v>
      </c>
      <c r="H668" s="19" t="n">
        <v>13042.24</v>
      </c>
      <c r="I668" s="18">
        <f>G668*H668</f>
        <v/>
      </c>
      <c r="J668" s="11" t="n"/>
      <c r="K668" s="17" t="n"/>
      <c r="L668" s="16">
        <f>K668+C668</f>
        <v/>
      </c>
      <c r="M668" s="11" t="n"/>
      <c r="N668" s="15" t="n"/>
      <c r="O668" s="14" t="n"/>
      <c r="P668" s="14" t="n"/>
      <c r="Q668" s="14" t="n"/>
      <c r="R668" s="14" t="n"/>
    </row>
    <row r="669">
      <c r="A669" s="14" t="inlineStr">
        <is>
          <t>FM3467</t>
        </is>
      </c>
      <c r="B669" s="14" t="n"/>
      <c r="C669" s="13" t="n">
        <v>45924</v>
      </c>
      <c r="D669" s="12" t="inlineStr">
        <is>
          <t>PO116181</t>
        </is>
      </c>
      <c r="E669" s="14" t="inlineStr">
        <is>
          <t>Boleng</t>
        </is>
      </c>
      <c r="F669" s="14" t="inlineStr">
        <is>
          <t>Lineo 315 + acc</t>
        </is>
      </c>
      <c r="G669" s="20" t="n">
        <v>1</v>
      </c>
      <c r="H669" s="19" t="n">
        <v>7912</v>
      </c>
      <c r="I669" s="18">
        <f>G669*H669</f>
        <v/>
      </c>
      <c r="J669" s="11" t="n"/>
      <c r="K669" s="17" t="n"/>
      <c r="L669" s="16">
        <f>K669+C669</f>
        <v/>
      </c>
      <c r="M669" s="11" t="n"/>
      <c r="N669" s="15" t="n"/>
      <c r="O669" s="14" t="n"/>
      <c r="P669" s="14" t="n"/>
      <c r="Q669" s="14" t="n"/>
      <c r="R669" s="14" t="n"/>
    </row>
    <row r="670">
      <c r="A670" s="14" t="inlineStr">
        <is>
          <t>FM3468</t>
        </is>
      </c>
      <c r="B670" s="14" t="n"/>
      <c r="C670" s="13" t="n">
        <v>45926</v>
      </c>
      <c r="D670" s="12" t="inlineStr">
        <is>
          <t>PO2117</t>
        </is>
      </c>
      <c r="E670" s="14" t="inlineStr">
        <is>
          <t xml:space="preserve">Hucra Fans </t>
        </is>
      </c>
      <c r="F670" s="14" t="inlineStr">
        <is>
          <t>CMA-324-2T</t>
        </is>
      </c>
      <c r="G670" s="20" t="n">
        <v>1</v>
      </c>
      <c r="H670" s="19" t="n">
        <v>9010</v>
      </c>
      <c r="I670" s="18">
        <f>G670*H670</f>
        <v/>
      </c>
      <c r="J670" s="11" t="n"/>
      <c r="K670" s="17" t="n"/>
      <c r="L670" s="16">
        <f>K670+C670</f>
        <v/>
      </c>
      <c r="M670" s="11" t="inlineStr">
        <is>
          <t>ZX</t>
        </is>
      </c>
      <c r="N670" s="15" t="n"/>
      <c r="O670" s="14" t="n"/>
      <c r="P670" s="14" t="n"/>
      <c r="Q670" s="14" t="n"/>
      <c r="R670" s="14" t="n"/>
    </row>
    <row r="671">
      <c r="A671" s="14" t="inlineStr">
        <is>
          <t>FM3469</t>
        </is>
      </c>
      <c r="B671" s="14" t="n"/>
      <c r="C671" s="13" t="n">
        <v>45926</v>
      </c>
      <c r="D671" s="12" t="n">
        <v>54055</v>
      </c>
      <c r="E671" s="14" t="inlineStr">
        <is>
          <t>Aircontech Technologies</t>
        </is>
      </c>
      <c r="F671" s="14" t="inlineStr">
        <is>
          <t>AT 12/12 SC</t>
        </is>
      </c>
      <c r="G671" s="20" t="n">
        <v>1</v>
      </c>
      <c r="H671" s="19" t="n">
        <v>18500</v>
      </c>
      <c r="I671" s="18">
        <f>G671*H671</f>
        <v/>
      </c>
      <c r="J671" s="11" t="n"/>
      <c r="K671" s="17" t="n"/>
      <c r="L671" s="16">
        <f>K671+C671</f>
        <v/>
      </c>
      <c r="M671" s="11" t="inlineStr">
        <is>
          <t>SM</t>
        </is>
      </c>
      <c r="N671" s="15" t="n"/>
      <c r="O671" s="14" t="n"/>
      <c r="P671" s="14" t="n"/>
      <c r="Q671" s="14" t="n"/>
      <c r="R671" s="14" t="n"/>
    </row>
    <row r="672">
      <c r="A672" s="14" t="inlineStr">
        <is>
          <t>FM3470</t>
        </is>
      </c>
      <c r="B672" s="14" t="n"/>
      <c r="C672" s="13" t="n">
        <v>45929</v>
      </c>
      <c r="D672" s="12" t="inlineStr">
        <is>
          <t>PO-000057591</t>
        </is>
      </c>
      <c r="E672" s="14" t="inlineStr">
        <is>
          <t>Masingita Management Company</t>
        </is>
      </c>
      <c r="F672" s="14" t="inlineStr">
        <is>
          <t>Tiracamino</t>
        </is>
      </c>
      <c r="G672" s="20" t="n">
        <v>1</v>
      </c>
      <c r="H672" s="19" t="n">
        <v>13971.76</v>
      </c>
      <c r="I672" s="18">
        <f>G672*H672</f>
        <v/>
      </c>
      <c r="J672" s="11" t="n"/>
      <c r="K672" s="17" t="n"/>
      <c r="L672" s="16">
        <f>K672+C672</f>
        <v/>
      </c>
      <c r="M672" s="11" t="inlineStr">
        <is>
          <t>MT</t>
        </is>
      </c>
      <c r="N672" s="15" t="n"/>
      <c r="O672" s="14" t="n"/>
      <c r="P672" s="14" t="n"/>
      <c r="Q672" s="14" t="n"/>
      <c r="R672" s="14" t="n"/>
    </row>
    <row r="673">
      <c r="A673" s="14" t="inlineStr">
        <is>
          <t>FM3471</t>
        </is>
      </c>
      <c r="B673" s="14" t="n"/>
      <c r="C673" s="13" t="n">
        <v>45929</v>
      </c>
      <c r="D673" s="12" t="inlineStr">
        <is>
          <t>PO0000456</t>
        </is>
      </c>
      <c r="E673" s="14" t="inlineStr">
        <is>
          <t>St Air</t>
        </is>
      </c>
      <c r="F673" s="14" t="inlineStr">
        <is>
          <t>Maxflo 710/250/14 c/w 1.5kw 4P 380V + acc</t>
        </is>
      </c>
      <c r="G673" s="20" t="n">
        <v>1</v>
      </c>
      <c r="H673" s="19" t="n"/>
      <c r="I673" s="18">
        <f>G673*H673</f>
        <v/>
      </c>
      <c r="J673" s="11" t="n"/>
      <c r="K673" s="17" t="n"/>
      <c r="L673" s="16">
        <f>K673+C673</f>
        <v/>
      </c>
      <c r="M673" s="11" t="n"/>
      <c r="N673" s="15" t="n"/>
      <c r="O673" s="14" t="n"/>
      <c r="P673" s="14" t="n"/>
      <c r="Q673" s="14" t="n"/>
      <c r="R673" s="14" t="n"/>
    </row>
    <row r="674">
      <c r="A674" s="14" t="inlineStr">
        <is>
          <t>FM3472</t>
        </is>
      </c>
      <c r="B674" s="14" t="n"/>
      <c r="C674" s="13" t="n">
        <v>45929</v>
      </c>
      <c r="D674" s="12" t="inlineStr">
        <is>
          <t>PO0000456</t>
        </is>
      </c>
      <c r="E674" s="14" t="inlineStr">
        <is>
          <t>St Air</t>
        </is>
      </c>
      <c r="F674" s="14" t="inlineStr">
        <is>
          <t>Maxflo 710/250/14 c/w 1.1kw 4P 380V + acc</t>
        </is>
      </c>
      <c r="G674" s="20" t="n">
        <v>1</v>
      </c>
      <c r="H674" s="19" t="n"/>
      <c r="I674" s="18">
        <f>G674*H674</f>
        <v/>
      </c>
      <c r="J674" s="11" t="n"/>
      <c r="K674" s="17" t="n"/>
      <c r="L674" s="16">
        <f>K674+C674</f>
        <v/>
      </c>
      <c r="M674" s="11" t="n"/>
      <c r="N674" s="15" t="n"/>
      <c r="O674" s="14" t="n"/>
      <c r="P674" s="14" t="n"/>
      <c r="Q674" s="14" t="n"/>
      <c r="R674" s="14" t="n"/>
    </row>
    <row r="675">
      <c r="A675" s="14" t="inlineStr">
        <is>
          <t>FM3473</t>
        </is>
      </c>
      <c r="B675" s="14" t="n"/>
      <c r="C675" s="13" t="n">
        <v>45929</v>
      </c>
      <c r="D675" s="12" t="inlineStr">
        <is>
          <t>PO0000456</t>
        </is>
      </c>
      <c r="E675" s="14" t="inlineStr">
        <is>
          <t>St Air</t>
        </is>
      </c>
      <c r="F675" s="14" t="inlineStr">
        <is>
          <t>Maxflo 560/250/14 c/w 0.75kw 4P 380V + acc</t>
        </is>
      </c>
      <c r="G675" s="20" t="n">
        <v>1</v>
      </c>
      <c r="H675" s="19" t="n"/>
      <c r="I675" s="18">
        <f>G675*H675</f>
        <v/>
      </c>
      <c r="J675" s="11" t="n"/>
      <c r="K675" s="17" t="n"/>
      <c r="L675" s="16">
        <f>K675+C675</f>
        <v/>
      </c>
      <c r="M675" s="11" t="n"/>
      <c r="N675" s="15" t="n"/>
      <c r="O675" s="14" t="n"/>
      <c r="P675" s="14" t="n"/>
      <c r="Q675" s="14" t="n"/>
      <c r="R675" s="14" t="n"/>
    </row>
    <row r="676">
      <c r="A676" s="14" t="inlineStr">
        <is>
          <t>FM3474</t>
        </is>
      </c>
      <c r="B676" s="14" t="n"/>
      <c r="C676" s="13" t="n">
        <v>45929</v>
      </c>
      <c r="D676" s="12" t="inlineStr">
        <is>
          <t>PO0000456</t>
        </is>
      </c>
      <c r="E676" s="14" t="inlineStr">
        <is>
          <t>St Air</t>
        </is>
      </c>
      <c r="F676" s="14" t="inlineStr">
        <is>
          <t>Maxflo 630/250/14 c/w 1.1kw 4P 380V + acc</t>
        </is>
      </c>
      <c r="G676" s="20" t="n">
        <v>1</v>
      </c>
      <c r="H676" s="19" t="n"/>
      <c r="I676" s="18">
        <f>G676*H676</f>
        <v/>
      </c>
      <c r="J676" s="11" t="n"/>
      <c r="K676" s="17" t="n"/>
      <c r="L676" s="16">
        <f>K676+C676</f>
        <v/>
      </c>
      <c r="M676" s="11" t="n"/>
      <c r="N676" s="15" t="n"/>
      <c r="O676" s="14" t="n"/>
      <c r="P676" s="14" t="n"/>
      <c r="Q676" s="14" t="n"/>
      <c r="R676" s="14" t="n"/>
    </row>
    <row r="677">
      <c r="A677" s="14" t="inlineStr">
        <is>
          <t>FM3475</t>
        </is>
      </c>
      <c r="B677" s="14" t="n"/>
      <c r="C677" s="13" t="n">
        <v>45929</v>
      </c>
      <c r="D677" s="12" t="inlineStr">
        <is>
          <t>PO0000456</t>
        </is>
      </c>
      <c r="E677" s="14" t="inlineStr">
        <is>
          <t>St Air</t>
        </is>
      </c>
      <c r="F677" s="14" t="inlineStr">
        <is>
          <t>Maxflo 560/150/10 c/w 0.55kw 4P 380V + acc</t>
        </is>
      </c>
      <c r="G677" s="20" t="n">
        <v>1</v>
      </c>
      <c r="H677" s="19" t="n"/>
      <c r="I677" s="18">
        <f>G677*H677</f>
        <v/>
      </c>
      <c r="J677" s="11" t="n"/>
      <c r="K677" s="17" t="n"/>
      <c r="L677" s="16">
        <f>K677+C677</f>
        <v/>
      </c>
      <c r="M677" s="11" t="n"/>
      <c r="N677" s="15" t="n"/>
      <c r="O677" s="14" t="n"/>
      <c r="P677" s="14" t="n"/>
      <c r="Q677" s="14" t="n"/>
      <c r="R677" s="14" t="n"/>
    </row>
    <row r="678">
      <c r="A678" s="14" t="inlineStr">
        <is>
          <t>FM3476</t>
        </is>
      </c>
      <c r="B678" s="14" t="n"/>
      <c r="C678" s="13" t="n">
        <v>45929</v>
      </c>
      <c r="D678" s="12" t="inlineStr">
        <is>
          <t>PO0000456</t>
        </is>
      </c>
      <c r="E678" s="14" t="inlineStr">
        <is>
          <t>St Air</t>
        </is>
      </c>
      <c r="F678" s="14" t="inlineStr">
        <is>
          <t>Maxflo 710/250/14 c/w 2.2kw 4P 380V + acc</t>
        </is>
      </c>
      <c r="G678" s="20" t="n">
        <v>1</v>
      </c>
      <c r="H678" s="19" t="n"/>
      <c r="I678" s="18">
        <f>G678*H678</f>
        <v/>
      </c>
      <c r="J678" s="11" t="n"/>
      <c r="K678" s="17" t="n"/>
      <c r="L678" s="16">
        <f>K678+C678</f>
        <v/>
      </c>
      <c r="M678" s="11" t="n"/>
      <c r="N678" s="15" t="n"/>
      <c r="O678" s="14" t="n"/>
      <c r="P678" s="14" t="n"/>
      <c r="Q678" s="14" t="n"/>
      <c r="R678" s="14" t="n"/>
    </row>
    <row r="679">
      <c r="A679" s="14" t="inlineStr">
        <is>
          <t>FM3477</t>
        </is>
      </c>
      <c r="B679" s="14" t="n"/>
      <c r="C679" s="13" t="n">
        <v>45929</v>
      </c>
      <c r="D679" s="12" t="inlineStr">
        <is>
          <t>PO0000456</t>
        </is>
      </c>
      <c r="E679" s="14" t="inlineStr">
        <is>
          <t>St Air</t>
        </is>
      </c>
      <c r="F679" s="14" t="inlineStr">
        <is>
          <t>Maxflo 560/150/10 c/w 0.55kw 4P 380V + acc</t>
        </is>
      </c>
      <c r="G679" s="20" t="n">
        <v>1</v>
      </c>
      <c r="H679" s="19" t="n"/>
      <c r="I679" s="18">
        <f>G679*H679</f>
        <v/>
      </c>
      <c r="J679" s="11" t="n"/>
      <c r="K679" s="17" t="n"/>
      <c r="L679" s="16">
        <f>K679+C679</f>
        <v/>
      </c>
      <c r="M679" s="11" t="n"/>
      <c r="N679" s="15" t="n"/>
      <c r="O679" s="14" t="n"/>
      <c r="P679" s="14" t="n"/>
      <c r="Q679" s="14" t="n"/>
      <c r="R679" s="14" t="n"/>
    </row>
    <row r="680">
      <c r="A680" s="14" t="inlineStr">
        <is>
          <t>FM3478</t>
        </is>
      </c>
      <c r="B680" s="14" t="n"/>
      <c r="C680" s="13" t="n">
        <v>45929</v>
      </c>
      <c r="D680" s="12" t="inlineStr">
        <is>
          <t>PO0000456</t>
        </is>
      </c>
      <c r="E680" s="14" t="inlineStr">
        <is>
          <t>St Air</t>
        </is>
      </c>
      <c r="F680" s="14" t="inlineStr">
        <is>
          <t>Maxflo 630/150/10 c/w 1.1kw 4P 380V + acc</t>
        </is>
      </c>
      <c r="G680" s="20" t="n">
        <v>1</v>
      </c>
      <c r="H680" s="19" t="n"/>
      <c r="I680" s="18">
        <f>G680*H680</f>
        <v/>
      </c>
      <c r="J680" s="11" t="n"/>
      <c r="K680" s="17" t="n"/>
      <c r="L680" s="16">
        <f>K680+C680</f>
        <v/>
      </c>
      <c r="M680" s="11" t="n"/>
      <c r="N680" s="15" t="n"/>
      <c r="O680" s="14" t="n"/>
      <c r="P680" s="14" t="n"/>
      <c r="Q680" s="14" t="n"/>
      <c r="R680" s="14" t="n"/>
    </row>
    <row r="681">
      <c r="A681" s="14" t="inlineStr">
        <is>
          <t>FM3479</t>
        </is>
      </c>
      <c r="B681" s="14" t="n"/>
      <c r="C681" s="13" t="n">
        <v>45929</v>
      </c>
      <c r="D681" s="12" t="inlineStr">
        <is>
          <t>PO0000456</t>
        </is>
      </c>
      <c r="E681" s="14" t="inlineStr">
        <is>
          <t>St Air</t>
        </is>
      </c>
      <c r="F681" s="14" t="inlineStr">
        <is>
          <t>Maxflo 560/250/14 c/w 0.75kw 4P 380V + acc</t>
        </is>
      </c>
      <c r="G681" s="20" t="n">
        <v>1</v>
      </c>
      <c r="H681" s="19" t="n"/>
      <c r="I681" s="18">
        <f>G681*H681</f>
        <v/>
      </c>
      <c r="J681" s="11" t="n"/>
      <c r="K681" s="17" t="n"/>
      <c r="L681" s="16">
        <f>K681+C681</f>
        <v/>
      </c>
      <c r="M681" s="11" t="n"/>
      <c r="N681" s="15" t="n"/>
      <c r="O681" s="14" t="n"/>
      <c r="P681" s="14" t="n"/>
      <c r="Q681" s="14" t="n"/>
      <c r="R681" s="14" t="n"/>
    </row>
    <row r="682">
      <c r="A682" s="14" t="inlineStr">
        <is>
          <t>FM3480</t>
        </is>
      </c>
      <c r="B682" s="14" t="n"/>
      <c r="C682" s="13" t="n">
        <v>45929</v>
      </c>
      <c r="D682" s="12" t="inlineStr">
        <is>
          <t>PO0000456</t>
        </is>
      </c>
      <c r="E682" s="14" t="inlineStr">
        <is>
          <t>St Air</t>
        </is>
      </c>
      <c r="F682" s="14" t="inlineStr">
        <is>
          <t>Maxflo 560/250/14 c/w 0.55kw 4P 380V + acc</t>
        </is>
      </c>
      <c r="G682" s="20" t="n">
        <v>1</v>
      </c>
      <c r="H682" s="19" t="n"/>
      <c r="I682" s="18">
        <f>G682*H682</f>
        <v/>
      </c>
      <c r="J682" s="11" t="n"/>
      <c r="K682" s="17" t="n"/>
      <c r="L682" s="16">
        <f>K682+C682</f>
        <v/>
      </c>
      <c r="M682" s="11" t="n"/>
      <c r="N682" s="15" t="n"/>
      <c r="O682" s="14" t="n"/>
      <c r="P682" s="14" t="n"/>
      <c r="Q682" s="14" t="n"/>
      <c r="R682" s="14" t="n"/>
    </row>
    <row r="683">
      <c r="A683" s="14" t="inlineStr">
        <is>
          <t>FM3481</t>
        </is>
      </c>
      <c r="B683" s="14" t="n"/>
      <c r="C683" s="13" t="n">
        <v>45929</v>
      </c>
      <c r="D683" s="12" t="inlineStr">
        <is>
          <t>PO0000456</t>
        </is>
      </c>
      <c r="E683" s="14" t="inlineStr">
        <is>
          <t>St Air</t>
        </is>
      </c>
      <c r="F683" s="14" t="inlineStr">
        <is>
          <t>Maxflo 560/150/10 c/w 0.37kw 4P 380V + acc</t>
        </is>
      </c>
      <c r="G683" s="20" t="n">
        <v>1</v>
      </c>
      <c r="H683" s="19" t="n"/>
      <c r="I683" s="18">
        <f>G683*H683</f>
        <v/>
      </c>
      <c r="J683" s="11" t="n"/>
      <c r="K683" s="17" t="n"/>
      <c r="L683" s="16">
        <f>K683+C683</f>
        <v/>
      </c>
      <c r="M683" s="11" t="n"/>
      <c r="N683" s="15" t="n"/>
      <c r="O683" s="14" t="n"/>
      <c r="P683" s="14" t="n"/>
      <c r="Q683" s="14" t="n"/>
      <c r="R683" s="14" t="n"/>
    </row>
    <row r="684">
      <c r="A684" s="14" t="inlineStr">
        <is>
          <t>FM3482</t>
        </is>
      </c>
      <c r="B684" s="14" t="n"/>
      <c r="C684" s="13" t="n">
        <v>45929</v>
      </c>
      <c r="D684" s="12" t="inlineStr">
        <is>
          <t>PO0000456</t>
        </is>
      </c>
      <c r="E684" s="14" t="inlineStr">
        <is>
          <t>St Air</t>
        </is>
      </c>
      <c r="F684" s="14" t="inlineStr">
        <is>
          <t>Maxflo 630/250/14 c/w 0.75kw 4P 380V + acc</t>
        </is>
      </c>
      <c r="G684" s="20" t="n">
        <v>1</v>
      </c>
      <c r="H684" s="19" t="n"/>
      <c r="I684" s="18">
        <f>G684*H684</f>
        <v/>
      </c>
      <c r="J684" s="11" t="n"/>
      <c r="K684" s="17" t="n"/>
      <c r="L684" s="16">
        <f>K684+C684</f>
        <v/>
      </c>
      <c r="M684" s="11" t="n"/>
      <c r="N684" s="15" t="n"/>
      <c r="O684" s="14" t="n"/>
      <c r="P684" s="14" t="n"/>
      <c r="Q684" s="14" t="n"/>
      <c r="R684" s="14" t="n"/>
    </row>
    <row r="685">
      <c r="A685" s="14" t="inlineStr">
        <is>
          <t>FM3483</t>
        </is>
      </c>
      <c r="B685" s="14" t="n"/>
      <c r="C685" s="13" t="n">
        <v>45929</v>
      </c>
      <c r="D685" s="12" t="inlineStr">
        <is>
          <t>PO0000456</t>
        </is>
      </c>
      <c r="E685" s="14" t="inlineStr">
        <is>
          <t>St Air</t>
        </is>
      </c>
      <c r="F685" s="14" t="inlineStr">
        <is>
          <t>Maxflo 710/250/14 c/w 1.1kw 4P 380V + acc</t>
        </is>
      </c>
      <c r="G685" s="20" t="n">
        <v>1</v>
      </c>
      <c r="H685" s="19" t="n"/>
      <c r="I685" s="18">
        <f>G685*H685</f>
        <v/>
      </c>
      <c r="J685" s="11" t="n"/>
      <c r="K685" s="17" t="n"/>
      <c r="L685" s="16">
        <f>K685+C685</f>
        <v/>
      </c>
      <c r="M685" s="11" t="n"/>
      <c r="N685" s="15" t="n"/>
      <c r="O685" s="14" t="n"/>
      <c r="P685" s="14" t="n"/>
      <c r="Q685" s="14" t="n"/>
      <c r="R685" s="14" t="n"/>
    </row>
    <row r="686">
      <c r="A686" s="14" t="inlineStr">
        <is>
          <t>FM3484</t>
        </is>
      </c>
      <c r="B686" s="14" t="n"/>
      <c r="C686" s="13" t="n">
        <v>45929</v>
      </c>
      <c r="D686" s="12" t="n">
        <v>61072</v>
      </c>
      <c r="E686" s="14" t="inlineStr">
        <is>
          <t>Chabo &amp; Joubert</t>
        </is>
      </c>
      <c r="F686" s="14" t="inlineStr">
        <is>
          <t>Maxflo 560 c/w 0,55kW 4Pole</t>
        </is>
      </c>
      <c r="G686" s="20" t="n">
        <v>1</v>
      </c>
      <c r="H686" s="19" t="n">
        <v>15520</v>
      </c>
      <c r="I686" s="18">
        <f>G686*H686</f>
        <v/>
      </c>
      <c r="J686" s="11" t="n"/>
      <c r="K686" s="17" t="n"/>
      <c r="L686" s="16">
        <f>K686+C686</f>
        <v/>
      </c>
      <c r="M686" s="11" t="inlineStr">
        <is>
          <t>ST</t>
        </is>
      </c>
      <c r="N686" s="15" t="n"/>
      <c r="O686" s="14" t="n"/>
      <c r="P686" s="14" t="n"/>
      <c r="Q686" s="14" t="n"/>
      <c r="R686" s="14" t="n"/>
    </row>
    <row r="687">
      <c r="A687" s="14" t="inlineStr">
        <is>
          <t>FM3485</t>
        </is>
      </c>
      <c r="B687" s="14" t="n"/>
      <c r="C687" s="13" t="n">
        <v>45929</v>
      </c>
      <c r="D687" s="12" t="n">
        <v>61072</v>
      </c>
      <c r="E687" s="14" t="inlineStr">
        <is>
          <t>Chabo &amp; Joubert</t>
        </is>
      </c>
      <c r="F687" s="14" t="inlineStr">
        <is>
          <t>Maxflo 630 c/w 2.2kW 4Pole</t>
        </is>
      </c>
      <c r="G687" s="20" t="n">
        <v>1</v>
      </c>
      <c r="H687" s="19" t="n">
        <v>24973</v>
      </c>
      <c r="I687" s="18">
        <f>G687*H687</f>
        <v/>
      </c>
      <c r="J687" s="11" t="n"/>
      <c r="K687" s="17" t="n"/>
      <c r="L687" s="16">
        <f>K687+C687</f>
        <v/>
      </c>
      <c r="M687" s="11" t="inlineStr">
        <is>
          <t>ST</t>
        </is>
      </c>
      <c r="N687" s="15" t="n"/>
      <c r="O687" s="14" t="n"/>
      <c r="P687" s="14" t="n"/>
      <c r="Q687" s="14" t="n"/>
      <c r="R687" s="14" t="n"/>
    </row>
    <row r="688">
      <c r="A688" s="14" t="inlineStr">
        <is>
          <t>FM3486</t>
        </is>
      </c>
      <c r="B688" s="14" t="n"/>
      <c r="C688" s="13" t="n">
        <v>45929</v>
      </c>
      <c r="D688" s="12" t="n">
        <v>61072</v>
      </c>
      <c r="E688" s="14" t="inlineStr">
        <is>
          <t>Chabo &amp; Joubert</t>
        </is>
      </c>
      <c r="F688" s="14" t="inlineStr">
        <is>
          <t>Maxflo 560 c/w 0.75kW 4Pole</t>
        </is>
      </c>
      <c r="G688" s="20" t="n">
        <v>1</v>
      </c>
      <c r="H688" s="19" t="n">
        <v>21513</v>
      </c>
      <c r="I688" s="18">
        <f>G688*H688</f>
        <v/>
      </c>
      <c r="J688" s="11" t="n"/>
      <c r="K688" s="17" t="n"/>
      <c r="L688" s="16">
        <f>K688+C688</f>
        <v/>
      </c>
      <c r="M688" s="11" t="inlineStr">
        <is>
          <t>ST</t>
        </is>
      </c>
      <c r="N688" s="15" t="n"/>
      <c r="O688" s="14" t="n"/>
      <c r="P688" s="14" t="n"/>
      <c r="Q688" s="14" t="n"/>
      <c r="R688" s="14" t="n"/>
    </row>
    <row r="689">
      <c r="A689" s="14" t="inlineStr">
        <is>
          <t>FM3487</t>
        </is>
      </c>
      <c r="B689" s="14" t="n"/>
      <c r="C689" s="13" t="n">
        <v>45929</v>
      </c>
      <c r="D689" s="12" t="n">
        <v>61072</v>
      </c>
      <c r="E689" s="14" t="inlineStr">
        <is>
          <t>Chabo &amp; Joubert</t>
        </is>
      </c>
      <c r="F689" s="14" t="inlineStr">
        <is>
          <t>Maxflo 630 c/w 1.5kW 4Pole</t>
        </is>
      </c>
      <c r="G689" s="20" t="n">
        <v>1</v>
      </c>
      <c r="H689" s="19" t="n">
        <v>24513</v>
      </c>
      <c r="I689" s="18">
        <f>G689*H689</f>
        <v/>
      </c>
      <c r="J689" s="11" t="n"/>
      <c r="K689" s="17" t="n"/>
      <c r="L689" s="16">
        <f>K689+C689</f>
        <v/>
      </c>
      <c r="M689" s="11" t="inlineStr">
        <is>
          <t>ST</t>
        </is>
      </c>
      <c r="N689" s="15" t="n"/>
      <c r="O689" s="14" t="n"/>
      <c r="P689" s="14" t="n"/>
      <c r="Q689" s="14" t="n"/>
      <c r="R689" s="14" t="n"/>
    </row>
    <row r="690">
      <c r="A690" s="14" t="inlineStr">
        <is>
          <t>FM3488</t>
        </is>
      </c>
      <c r="B690" s="14" t="n"/>
      <c r="C690" s="13" t="n">
        <v>45929</v>
      </c>
      <c r="D690" s="12" t="n">
        <v>61072</v>
      </c>
      <c r="E690" s="14" t="inlineStr">
        <is>
          <t>Chabo &amp; Joubert</t>
        </is>
      </c>
      <c r="F690" s="14" t="inlineStr">
        <is>
          <t>Maxflo 710 c/w 4kW 4Pole</t>
        </is>
      </c>
      <c r="G690" s="20" t="n">
        <v>1</v>
      </c>
      <c r="H690" s="19" t="n">
        <v>29791</v>
      </c>
      <c r="I690" s="18">
        <f>G690*H690</f>
        <v/>
      </c>
      <c r="J690" s="11" t="n"/>
      <c r="K690" s="17" t="n"/>
      <c r="L690" s="16">
        <f>K690+C690</f>
        <v/>
      </c>
      <c r="M690" s="11" t="inlineStr">
        <is>
          <t>ST</t>
        </is>
      </c>
      <c r="N690" s="15" t="n"/>
      <c r="O690" s="14" t="n"/>
      <c r="P690" s="14" t="n"/>
      <c r="Q690" s="14" t="n"/>
      <c r="R690" s="14" t="n"/>
    </row>
    <row r="691">
      <c r="A691" s="14" t="inlineStr">
        <is>
          <t>FM3489</t>
        </is>
      </c>
      <c r="B691" s="14" t="n"/>
      <c r="C691" s="13" t="n">
        <v>45929</v>
      </c>
      <c r="D691" s="12" t="n">
        <v>61072</v>
      </c>
      <c r="E691" s="14" t="inlineStr">
        <is>
          <t>Chabo &amp; Joubert</t>
        </is>
      </c>
      <c r="F691" s="14" t="inlineStr">
        <is>
          <t>Maxflo 560 c/w 0.75kW 4Pole</t>
        </is>
      </c>
      <c r="G691" s="20" t="n">
        <v>1</v>
      </c>
      <c r="H691" s="19" t="n">
        <v>21513</v>
      </c>
      <c r="I691" s="18">
        <f>G691*H691</f>
        <v/>
      </c>
      <c r="J691" s="11" t="n"/>
      <c r="K691" s="17" t="n"/>
      <c r="L691" s="16">
        <f>K691+C691</f>
        <v/>
      </c>
      <c r="M691" s="11" t="inlineStr">
        <is>
          <t>ST</t>
        </is>
      </c>
      <c r="N691" s="15" t="n"/>
      <c r="O691" s="14" t="n"/>
      <c r="P691" s="14" t="n"/>
      <c r="Q691" s="14" t="n"/>
      <c r="R691" s="14" t="n"/>
    </row>
    <row r="692">
      <c r="A692" s="14" t="inlineStr">
        <is>
          <t>FM3490</t>
        </is>
      </c>
      <c r="B692" s="14" t="n"/>
      <c r="C692" s="13" t="n">
        <v>45929</v>
      </c>
      <c r="D692" s="12" t="n">
        <v>61072</v>
      </c>
      <c r="E692" s="14" t="inlineStr">
        <is>
          <t>Chabo &amp; Joubert</t>
        </is>
      </c>
      <c r="F692" s="14" t="inlineStr">
        <is>
          <t>Maxflo 630 c/w 1.5kW 4Pole</t>
        </is>
      </c>
      <c r="G692" s="20" t="n">
        <v>1</v>
      </c>
      <c r="H692" s="19" t="n">
        <v>24004</v>
      </c>
      <c r="I692" s="18">
        <f>G692*H692</f>
        <v/>
      </c>
      <c r="J692" s="11" t="n"/>
      <c r="K692" s="17" t="n"/>
      <c r="L692" s="16">
        <f>K692+C692</f>
        <v/>
      </c>
      <c r="M692" s="11" t="inlineStr">
        <is>
          <t>ST</t>
        </is>
      </c>
      <c r="N692" s="15" t="n"/>
      <c r="O692" s="14" t="n"/>
      <c r="P692" s="14" t="n"/>
      <c r="Q692" s="14" t="n"/>
      <c r="R692" s="14" t="n"/>
    </row>
    <row r="693">
      <c r="A693" s="14" t="inlineStr">
        <is>
          <t>FM3491</t>
        </is>
      </c>
      <c r="B693" s="14" t="n"/>
      <c r="C693" s="13" t="n">
        <v>45929</v>
      </c>
      <c r="D693" s="12" t="n">
        <v>61072</v>
      </c>
      <c r="E693" s="14" t="inlineStr">
        <is>
          <t>Chabo &amp; Joubert</t>
        </is>
      </c>
      <c r="F693" s="14" t="inlineStr">
        <is>
          <t>Maxflo 630 c/w 1.5kW 4Pole</t>
        </is>
      </c>
      <c r="G693" s="20" t="n">
        <v>1</v>
      </c>
      <c r="H693" s="19" t="n">
        <v>18843</v>
      </c>
      <c r="I693" s="18">
        <f>G693*H693</f>
        <v/>
      </c>
      <c r="J693" s="11" t="n"/>
      <c r="K693" s="17" t="n"/>
      <c r="L693" s="16">
        <f>K693+C693</f>
        <v/>
      </c>
      <c r="M693" s="11" t="inlineStr">
        <is>
          <t>ST</t>
        </is>
      </c>
      <c r="N693" s="15" t="n"/>
      <c r="O693" s="14" t="n"/>
      <c r="P693" s="14" t="n"/>
      <c r="Q693" s="14" t="n"/>
      <c r="R693" s="14" t="n"/>
    </row>
    <row r="694">
      <c r="A694" s="14" t="inlineStr">
        <is>
          <t>FM3492</t>
        </is>
      </c>
      <c r="B694" s="14" t="n"/>
      <c r="C694" s="13" t="n">
        <v>45929</v>
      </c>
      <c r="D694" s="12" t="n">
        <v>61072</v>
      </c>
      <c r="E694" s="14" t="inlineStr">
        <is>
          <t>Chabo &amp; Joubert</t>
        </is>
      </c>
      <c r="F694" s="14" t="inlineStr">
        <is>
          <t>Maxflo 710 c/w 3kW 4Pole</t>
        </is>
      </c>
      <c r="G694" s="20" t="n">
        <v>1</v>
      </c>
      <c r="H694" s="19" t="n">
        <v>22454</v>
      </c>
      <c r="I694" s="18">
        <f>G694*H694</f>
        <v/>
      </c>
      <c r="J694" s="11" t="n"/>
      <c r="K694" s="17" t="n"/>
      <c r="L694" s="16">
        <f>K694+C694</f>
        <v/>
      </c>
      <c r="M694" s="11" t="inlineStr">
        <is>
          <t>ST</t>
        </is>
      </c>
      <c r="N694" s="15" t="n"/>
      <c r="O694" s="14" t="n"/>
      <c r="P694" s="14" t="n"/>
      <c r="Q694" s="14" t="n"/>
      <c r="R694" s="14" t="n"/>
    </row>
    <row r="695">
      <c r="A695" s="14" t="inlineStr">
        <is>
          <t>FM3493</t>
        </is>
      </c>
      <c r="B695" s="14" t="n"/>
      <c r="C695" s="13" t="n">
        <v>45929</v>
      </c>
      <c r="D695" s="12" t="n">
        <v>61072</v>
      </c>
      <c r="E695" s="14" t="inlineStr">
        <is>
          <t>Chabo &amp; Joubert</t>
        </is>
      </c>
      <c r="F695" s="14" t="inlineStr">
        <is>
          <t>Maxflo 800 c/w 4kW 4Pole</t>
        </is>
      </c>
      <c r="G695" s="20" t="n">
        <v>1</v>
      </c>
      <c r="H695" s="19" t="n">
        <v>26174</v>
      </c>
      <c r="I695" s="18">
        <f>G695*H695</f>
        <v/>
      </c>
      <c r="J695" s="11" t="n"/>
      <c r="K695" s="17" t="n"/>
      <c r="L695" s="16">
        <f>K695+C695</f>
        <v/>
      </c>
      <c r="M695" s="11" t="inlineStr">
        <is>
          <t>ST</t>
        </is>
      </c>
      <c r="N695" s="15" t="n"/>
      <c r="O695" s="14" t="n"/>
      <c r="P695" s="14" t="n"/>
      <c r="Q695" s="14" t="n"/>
      <c r="R695" s="14" t="n"/>
    </row>
    <row r="696">
      <c r="A696" s="14" t="inlineStr">
        <is>
          <t>FM3494</t>
        </is>
      </c>
      <c r="B696" s="14" t="n"/>
      <c r="C696" s="13" t="n">
        <v>45930</v>
      </c>
      <c r="D696" s="12" t="inlineStr">
        <is>
          <t>PO-00436</t>
        </is>
      </c>
      <c r="E696" s="14" t="inlineStr">
        <is>
          <t>Airpro Fans and blowers</t>
        </is>
      </c>
      <c r="F696" s="14" t="inlineStr">
        <is>
          <t>K03-MS 0.55KW 230V</t>
        </is>
      </c>
      <c r="G696" s="20" t="n">
        <v>1</v>
      </c>
      <c r="H696" s="19" t="n">
        <v>12082</v>
      </c>
      <c r="I696" s="18">
        <f>G696*H696</f>
        <v/>
      </c>
      <c r="J696" s="11" t="n"/>
      <c r="K696" s="17" t="n"/>
      <c r="L696" s="16">
        <f>K696+C696</f>
        <v/>
      </c>
      <c r="M696" s="11" t="inlineStr">
        <is>
          <t>ZX</t>
        </is>
      </c>
      <c r="N696" s="15" t="n"/>
      <c r="O696" s="14" t="n"/>
      <c r="P696" s="14" t="n"/>
      <c r="Q696" s="14" t="n"/>
      <c r="R696" s="14" t="n"/>
    </row>
    <row r="697">
      <c r="A697" s="14" t="inlineStr">
        <is>
          <t>FM3495</t>
        </is>
      </c>
      <c r="B697" s="14" t="n"/>
      <c r="C697" s="13" t="n">
        <v>45930</v>
      </c>
      <c r="D697" s="12" t="inlineStr">
        <is>
          <t>PO-0768</t>
        </is>
      </c>
      <c r="E697" s="14" t="inlineStr">
        <is>
          <t>Chabo &amp; Joubert</t>
        </is>
      </c>
      <c r="F697" s="14" t="inlineStr">
        <is>
          <t>Rad 200 &amp; 200 Diam Tube Silencer</t>
        </is>
      </c>
      <c r="G697" s="20" t="n">
        <v>1</v>
      </c>
      <c r="H697" s="19" t="n">
        <v>3844</v>
      </c>
      <c r="I697" s="18">
        <f>G697*H697</f>
        <v/>
      </c>
      <c r="J697" s="11" t="n"/>
      <c r="K697" s="17" t="n"/>
      <c r="L697" s="16">
        <f>K697+C697</f>
        <v/>
      </c>
      <c r="M697" s="11" t="inlineStr">
        <is>
          <t>ST</t>
        </is>
      </c>
      <c r="N697" s="15" t="n"/>
      <c r="O697" s="14" t="n"/>
      <c r="P697" s="14" t="n"/>
      <c r="Q697" s="14" t="n"/>
      <c r="R697" s="14" t="n"/>
    </row>
    <row r="698">
      <c r="A698" s="14" t="inlineStr">
        <is>
          <t>FM3496</t>
        </is>
      </c>
      <c r="B698" s="14" t="n"/>
      <c r="C698" s="13" t="n">
        <v>45931</v>
      </c>
      <c r="D698" s="12" t="inlineStr">
        <is>
          <t>PO-26657</t>
        </is>
      </c>
      <c r="E698" s="14" t="inlineStr">
        <is>
          <t>Aircycle Engineering CC</t>
        </is>
      </c>
      <c r="F698" s="14" t="inlineStr">
        <is>
          <t>RAD 315</t>
        </is>
      </c>
      <c r="G698" s="20" t="n">
        <v>1</v>
      </c>
      <c r="H698" s="19" t="n">
        <v>3052</v>
      </c>
      <c r="I698" s="18">
        <f>G698*H698</f>
        <v/>
      </c>
      <c r="J698" s="11" t="n"/>
      <c r="K698" s="17" t="n"/>
      <c r="L698" s="16">
        <f>K698+C698</f>
        <v/>
      </c>
      <c r="M698" s="11" t="inlineStr">
        <is>
          <t>SM</t>
        </is>
      </c>
      <c r="N698" s="15" t="n"/>
      <c r="O698" s="14" t="n"/>
      <c r="P698" s="14" t="n"/>
      <c r="Q698" s="14" t="n"/>
      <c r="R698" s="14" t="n"/>
    </row>
    <row r="699">
      <c r="A699" s="14" t="inlineStr">
        <is>
          <t>FM3497</t>
        </is>
      </c>
      <c r="B699" s="14" t="n"/>
      <c r="C699" s="13" t="n">
        <v>45931</v>
      </c>
      <c r="D699" s="12" t="inlineStr">
        <is>
          <t>PO4000232253</t>
        </is>
      </c>
      <c r="E699" s="14" t="inlineStr">
        <is>
          <t>Barloworld Power</t>
        </is>
      </c>
      <c r="F699" s="14" t="inlineStr">
        <is>
          <t>800SM1.0DP - 800 Diam Melinex Silencer</t>
        </is>
      </c>
      <c r="G699" s="20" t="n">
        <v>1</v>
      </c>
      <c r="H699" s="19" t="n">
        <v>204219</v>
      </c>
      <c r="I699" s="18">
        <f>G699*H699</f>
        <v/>
      </c>
      <c r="J699" s="11" t="n"/>
      <c r="K699" s="17" t="n"/>
      <c r="L699" s="16">
        <f>K699+C699</f>
        <v/>
      </c>
      <c r="M699" s="11" t="inlineStr">
        <is>
          <t>SM</t>
        </is>
      </c>
      <c r="N699" s="15" t="n"/>
      <c r="O699" s="14" t="n"/>
      <c r="P699" s="14" t="n"/>
      <c r="Q699" s="14" t="n"/>
      <c r="R699" s="14" t="n"/>
    </row>
    <row r="700">
      <c r="A700" s="14" t="inlineStr">
        <is>
          <t>FM3498</t>
        </is>
      </c>
      <c r="B700" s="14" t="n"/>
      <c r="C700" s="13" t="n">
        <v>45931</v>
      </c>
      <c r="D700" s="12" t="inlineStr">
        <is>
          <t>PO:SP732309</t>
        </is>
      </c>
      <c r="E700" s="14" t="inlineStr">
        <is>
          <t>Dteq</t>
        </is>
      </c>
      <c r="F700" s="14" t="inlineStr">
        <is>
          <t>Maxflo315 c/w0.37 4P 220v &amp; acce +RAD200</t>
        </is>
      </c>
      <c r="G700" s="20" t="n">
        <v>1</v>
      </c>
      <c r="H700" s="19" t="n">
        <v>10362</v>
      </c>
      <c r="I700" s="18">
        <f>G700*H700</f>
        <v/>
      </c>
      <c r="J700" s="11" t="n"/>
      <c r="K700" s="17" t="n"/>
      <c r="L700" s="16">
        <f>K700+C700</f>
        <v/>
      </c>
      <c r="M700" s="11" t="inlineStr">
        <is>
          <t>MT</t>
        </is>
      </c>
      <c r="N700" s="15" t="n"/>
      <c r="O700" s="14" t="n"/>
      <c r="P700" s="14" t="n"/>
      <c r="Q700" s="14" t="n"/>
      <c r="R700" s="14" t="n"/>
    </row>
    <row r="701">
      <c r="A701" s="14" t="inlineStr">
        <is>
          <t>FM3499</t>
        </is>
      </c>
      <c r="B701" s="14" t="n"/>
      <c r="C701" s="13" t="n">
        <v>45931</v>
      </c>
      <c r="D701" s="12" t="inlineStr">
        <is>
          <t>PO32122</t>
        </is>
      </c>
      <c r="E701" s="14" t="inlineStr">
        <is>
          <t>First Cool CC</t>
        </is>
      </c>
      <c r="F701" s="14" t="inlineStr">
        <is>
          <t>MT5004002 - MAJAX-3 500 c/w 4,00KW 2P 380V</t>
        </is>
      </c>
      <c r="G701" s="20" t="n">
        <v>1</v>
      </c>
      <c r="H701" s="19" t="n"/>
      <c r="I701" s="18">
        <f>G701*H701</f>
        <v/>
      </c>
      <c r="J701" s="11" t="n"/>
      <c r="K701" s="17" t="n"/>
      <c r="L701" s="16">
        <f>K701+C701</f>
        <v/>
      </c>
      <c r="M701" s="11" t="n"/>
      <c r="N701" s="15" t="n"/>
      <c r="O701" s="14" t="n"/>
      <c r="P701" s="14" t="n"/>
      <c r="Q701" s="14" t="n"/>
      <c r="R701" s="14" t="n"/>
    </row>
    <row r="702">
      <c r="A702" s="14" t="inlineStr">
        <is>
          <t>FM3500</t>
        </is>
      </c>
      <c r="B702" s="14" t="n"/>
      <c r="C702" s="13" t="n">
        <v>45931</v>
      </c>
      <c r="D702" s="12" t="inlineStr">
        <is>
          <t>PO2118</t>
        </is>
      </c>
      <c r="E702" s="14" t="inlineStr">
        <is>
          <t xml:space="preserve">Hucra Fans </t>
        </is>
      </c>
      <c r="F702" s="14" t="inlineStr">
        <is>
          <t>DDM 10/10 550W 4P 230V</t>
        </is>
      </c>
      <c r="G702" s="20" t="n">
        <v>1</v>
      </c>
      <c r="H702" s="19" t="n">
        <v>7620</v>
      </c>
      <c r="I702" s="18">
        <f>G702*H702</f>
        <v/>
      </c>
      <c r="J702" s="11" t="n"/>
      <c r="K702" s="17" t="n"/>
      <c r="L702" s="16">
        <f>K702+C702</f>
        <v/>
      </c>
      <c r="M702" s="11" t="inlineStr">
        <is>
          <t>ZX</t>
        </is>
      </c>
      <c r="N702" s="15" t="n"/>
      <c r="O702" s="14" t="n"/>
      <c r="P702" s="14" t="n"/>
      <c r="Q702" s="14" t="n"/>
      <c r="R702" s="14" t="n"/>
    </row>
    <row r="703">
      <c r="A703" s="14" t="inlineStr">
        <is>
          <t>FM3501</t>
        </is>
      </c>
      <c r="B703" s="14" t="n"/>
      <c r="C703" s="13" t="n">
        <v>45931</v>
      </c>
      <c r="D703" s="12" t="inlineStr">
        <is>
          <t>Cash Sale</t>
        </is>
      </c>
      <c r="E703" s="14" t="inlineStr">
        <is>
          <t>GOLDILOCKS GROUP (PTY )LTD</t>
        </is>
      </c>
      <c r="F703" s="14" t="inlineStr">
        <is>
          <t>Motors and Filters</t>
        </is>
      </c>
      <c r="G703" s="20" t="n">
        <v>1</v>
      </c>
      <c r="H703" s="19" t="n">
        <v>69616</v>
      </c>
      <c r="I703" s="18">
        <f>G703*H703</f>
        <v/>
      </c>
      <c r="J703" s="11" t="n"/>
      <c r="K703" s="17" t="n"/>
      <c r="L703" s="16">
        <f>K703+C703</f>
        <v/>
      </c>
      <c r="M703" s="11" t="inlineStr">
        <is>
          <t>ST</t>
        </is>
      </c>
      <c r="N703" s="15" t="n"/>
      <c r="O703" s="14" t="n"/>
      <c r="P703" s="14" t="n"/>
      <c r="Q703" s="14" t="n"/>
      <c r="R703" s="14" t="n"/>
    </row>
    <row r="704">
      <c r="A704" s="14" t="inlineStr">
        <is>
          <t>FM3502</t>
        </is>
      </c>
      <c r="B704" s="14" t="n"/>
      <c r="C704" s="13" t="n">
        <v>45931</v>
      </c>
      <c r="D704" s="12" t="inlineStr">
        <is>
          <t>MFE6742</t>
        </is>
      </c>
      <c r="E704" s="14" t="inlineStr">
        <is>
          <t>Morlyn Fans</t>
        </is>
      </c>
      <c r="F704" s="14" t="inlineStr">
        <is>
          <t>KP6H Filter Boxes fitted with 550Watt/1440rpm/220v/1/50</t>
        </is>
      </c>
      <c r="G704" s="20" t="n">
        <v>5</v>
      </c>
      <c r="H704" s="19" t="n">
        <v>19032</v>
      </c>
      <c r="I704" s="18">
        <f>G704*H704</f>
        <v/>
      </c>
      <c r="J704" s="11" t="n"/>
      <c r="K704" s="17" t="n"/>
      <c r="L704" s="16">
        <f>K704+C704</f>
        <v/>
      </c>
      <c r="M704" s="11" t="inlineStr">
        <is>
          <t>ZX</t>
        </is>
      </c>
      <c r="N704" s="15" t="n"/>
      <c r="O704" s="14" t="n"/>
      <c r="P704" s="14" t="n"/>
      <c r="Q704" s="14" t="n"/>
      <c r="R704" s="14" t="n"/>
    </row>
    <row r="705">
      <c r="A705" s="14" t="inlineStr">
        <is>
          <t>FM3503</t>
        </is>
      </c>
      <c r="B705" s="14" t="n"/>
      <c r="C705" s="13" t="n">
        <v>45932</v>
      </c>
      <c r="D705" s="12" t="inlineStr">
        <is>
          <t>PO-0009</t>
        </is>
      </c>
      <c r="E705" s="14" t="inlineStr">
        <is>
          <t>Mekan Group</t>
        </is>
      </c>
      <c r="F705" s="14" t="inlineStr">
        <is>
          <t>Rad 315 &amp; Lineo 150</t>
        </is>
      </c>
      <c r="G705" s="20" t="n">
        <v>5</v>
      </c>
      <c r="H705" s="19" t="n">
        <v>14164</v>
      </c>
      <c r="I705" s="18" t="n">
        <v>14164</v>
      </c>
      <c r="J705" s="11" t="n"/>
      <c r="K705" s="17" t="n"/>
      <c r="L705" s="16">
        <f>K705+C705</f>
        <v/>
      </c>
      <c r="M705" s="11" t="inlineStr">
        <is>
          <t>MT</t>
        </is>
      </c>
      <c r="N705" s="15" t="n"/>
      <c r="O705" s="14" t="n"/>
      <c r="P705" s="14" t="n"/>
      <c r="Q705" s="14" t="n"/>
      <c r="R705" s="14" t="n"/>
    </row>
    <row r="706">
      <c r="A706" s="14" t="inlineStr">
        <is>
          <t>FM3504</t>
        </is>
      </c>
      <c r="B706" s="14" t="n"/>
      <c r="C706" s="13" t="n">
        <v>45932</v>
      </c>
      <c r="D706" s="12" t="inlineStr">
        <is>
          <t>Cash sale</t>
        </is>
      </c>
      <c r="E706" s="14" t="inlineStr">
        <is>
          <t>Letsatsi General Trading</t>
        </is>
      </c>
      <c r="F706" s="14" t="inlineStr">
        <is>
          <t>Kdaxis &amp; Installation</t>
        </is>
      </c>
      <c r="G706" s="20" t="n">
        <v>2</v>
      </c>
      <c r="H706" s="19" t="n">
        <v>13656</v>
      </c>
      <c r="I706" s="18" t="n">
        <v>13656</v>
      </c>
      <c r="J706" s="11" t="n"/>
      <c r="K706" s="17" t="n"/>
      <c r="L706" s="16">
        <f>K706+C706</f>
        <v/>
      </c>
      <c r="M706" s="11" t="inlineStr">
        <is>
          <t>MT</t>
        </is>
      </c>
      <c r="N706" s="15" t="n"/>
      <c r="O706" s="14" t="n"/>
      <c r="P706" s="14" t="n"/>
      <c r="Q706" s="14" t="n"/>
      <c r="R706" s="14" t="n"/>
    </row>
    <row r="707">
      <c r="A707" s="14" t="inlineStr">
        <is>
          <t>FM3505</t>
        </is>
      </c>
      <c r="B707" s="14" t="n"/>
      <c r="C707" s="13" t="n">
        <v>45932</v>
      </c>
      <c r="D707" s="12" t="inlineStr">
        <is>
          <t>Cash sale</t>
        </is>
      </c>
      <c r="E707" s="14" t="inlineStr">
        <is>
          <t>Letsatsi General Trading</t>
        </is>
      </c>
      <c r="F707" s="14" t="inlineStr">
        <is>
          <t>400/450 Wall cowls Galvinized</t>
        </is>
      </c>
      <c r="G707" s="20" t="n">
        <v>2</v>
      </c>
      <c r="H707" s="19" t="n">
        <v>1189.14</v>
      </c>
      <c r="I707" s="18">
        <f>G707*H707</f>
        <v/>
      </c>
      <c r="J707" s="11" t="n"/>
      <c r="K707" s="17" t="n"/>
      <c r="L707" s="16">
        <f>K707+C707</f>
        <v/>
      </c>
      <c r="M707" s="11" t="inlineStr">
        <is>
          <t>MT</t>
        </is>
      </c>
      <c r="N707" s="15" t="n"/>
      <c r="O707" s="14" t="n"/>
      <c r="P707" s="14" t="n"/>
      <c r="Q707" s="14" t="n"/>
      <c r="R707" s="14" t="n"/>
    </row>
    <row r="708">
      <c r="A708" s="14" t="inlineStr">
        <is>
          <t>FM3506</t>
        </is>
      </c>
      <c r="B708" s="14" t="n"/>
      <c r="C708" s="13" t="n">
        <v>45932</v>
      </c>
      <c r="D708" s="12" t="inlineStr">
        <is>
          <t>PO2120</t>
        </is>
      </c>
      <c r="E708" s="14" t="inlineStr">
        <is>
          <t xml:space="preserve">Hucra Fans </t>
        </is>
      </c>
      <c r="F708" s="14" t="inlineStr">
        <is>
          <t>Tiracamino + Tiracamino Motors + C1.5 Speed controllers</t>
        </is>
      </c>
      <c r="G708" s="20" t="n">
        <v>16</v>
      </c>
      <c r="H708" s="19" t="n">
        <v>3071.5</v>
      </c>
      <c r="I708" s="18">
        <f>G708*H708</f>
        <v/>
      </c>
      <c r="J708" s="11" t="n"/>
      <c r="K708" s="17" t="n"/>
      <c r="L708" s="16">
        <f>K708+C708</f>
        <v/>
      </c>
      <c r="M708" s="11" t="inlineStr">
        <is>
          <t>ZX</t>
        </is>
      </c>
      <c r="N708" s="15" t="n"/>
      <c r="O708" s="14" t="n"/>
      <c r="P708" s="14" t="n"/>
      <c r="Q708" s="14" t="n"/>
      <c r="R708" s="14" t="n"/>
    </row>
    <row r="709">
      <c r="A709" s="14" t="inlineStr">
        <is>
          <t>FM3507</t>
        </is>
      </c>
      <c r="B709" s="14" t="n"/>
      <c r="C709" s="13" t="n">
        <v>45933</v>
      </c>
      <c r="D709" s="12" t="inlineStr">
        <is>
          <t>Cash</t>
        </is>
      </c>
      <c r="E709" s="14" t="inlineStr">
        <is>
          <t>Allbro</t>
        </is>
      </c>
      <c r="F709" s="19" t="inlineStr">
        <is>
          <t>Motor replacemnt</t>
        </is>
      </c>
      <c r="G709" s="20" t="n">
        <v>1</v>
      </c>
      <c r="H709" s="19" t="n">
        <v>5152</v>
      </c>
      <c r="I709" s="18" t="n">
        <v>5152</v>
      </c>
      <c r="J709" s="11" t="n"/>
      <c r="K709" s="17" t="n"/>
      <c r="L709" s="16">
        <f>K709+C709</f>
        <v/>
      </c>
      <c r="M709" s="11" t="inlineStr">
        <is>
          <t>ST</t>
        </is>
      </c>
      <c r="N709" s="15" t="n"/>
      <c r="O709" s="14" t="n"/>
      <c r="P709" s="14" t="n"/>
      <c r="Q709" s="14" t="n"/>
      <c r="R709" s="14" t="n"/>
    </row>
    <row r="710">
      <c r="A710" s="14" t="inlineStr">
        <is>
          <t>FM3508</t>
        </is>
      </c>
      <c r="B710" s="14" t="n"/>
      <c r="C710" s="13" t="n">
        <v>45933</v>
      </c>
      <c r="D710" s="12" t="inlineStr">
        <is>
          <t>PO-0010</t>
        </is>
      </c>
      <c r="E710" s="14" t="inlineStr">
        <is>
          <t>Mekan Group</t>
        </is>
      </c>
      <c r="F710" s="14" t="inlineStr">
        <is>
          <t>Maxflo 630 c/w 2.2kw 4p 380v/Maxflo 400 c/w 0.37 kw 4p 380v</t>
        </is>
      </c>
      <c r="G710" s="20" t="n">
        <v>8</v>
      </c>
      <c r="H710" s="19" t="n">
        <v>36787.72</v>
      </c>
      <c r="I710" s="18" t="n">
        <v>36787.72</v>
      </c>
      <c r="J710" s="11" t="n"/>
      <c r="K710" s="17" t="n"/>
      <c r="L710" s="16">
        <f>K710+C710</f>
        <v/>
      </c>
      <c r="M710" s="11" t="inlineStr">
        <is>
          <t>MT</t>
        </is>
      </c>
      <c r="N710" s="15" t="n"/>
      <c r="O710" s="14" t="n"/>
      <c r="P710" s="14" t="n"/>
      <c r="Q710" s="14" t="n"/>
      <c r="R710" s="14" t="n"/>
    </row>
    <row r="711">
      <c r="A711" s="14" t="inlineStr">
        <is>
          <t>FM3509</t>
        </is>
      </c>
      <c r="B711" s="14" t="n"/>
      <c r="C711" s="13" t="n">
        <v>45933</v>
      </c>
      <c r="D711" s="12" t="inlineStr">
        <is>
          <t>Cash Sale</t>
        </is>
      </c>
      <c r="E711" s="14" t="inlineStr">
        <is>
          <t>Zefs More Vision</t>
        </is>
      </c>
      <c r="F711" s="14" t="inlineStr">
        <is>
          <t>315 Counter Flanges</t>
        </is>
      </c>
      <c r="G711" s="20" t="n">
        <v>2</v>
      </c>
      <c r="H711" s="19" t="n">
        <v>212</v>
      </c>
      <c r="I711" s="18">
        <f>G711*H711</f>
        <v/>
      </c>
      <c r="J711" s="11" t="n"/>
      <c r="K711" s="17" t="n"/>
      <c r="L711" s="16">
        <f>K711+C711</f>
        <v/>
      </c>
      <c r="M711" s="11" t="inlineStr">
        <is>
          <t>MT</t>
        </is>
      </c>
      <c r="N711" s="15" t="n"/>
      <c r="O711" s="14" t="n"/>
      <c r="P711" s="14" t="n"/>
      <c r="Q711" s="14" t="n"/>
      <c r="R711" s="14" t="n"/>
    </row>
    <row r="712">
      <c r="A712" s="14" t="inlineStr">
        <is>
          <t>FM3510</t>
        </is>
      </c>
      <c r="B712" s="14" t="n"/>
      <c r="C712" s="13" t="n">
        <v>45933</v>
      </c>
      <c r="D712" s="12" t="inlineStr">
        <is>
          <t>Cash Sale</t>
        </is>
      </c>
      <c r="E712" s="14" t="inlineStr">
        <is>
          <t>Robust Ventilation system</t>
        </is>
      </c>
      <c r="F712" s="14" t="inlineStr">
        <is>
          <t>Rad 200 &amp; 200 Diam Tube Silencer</t>
        </is>
      </c>
      <c r="G712" s="20" t="n">
        <v>3</v>
      </c>
      <c r="H712" s="19" t="n">
        <v>2881</v>
      </c>
      <c r="I712" s="18">
        <f>G712*H712</f>
        <v/>
      </c>
      <c r="J712" s="11" t="n"/>
      <c r="K712" s="17" t="n"/>
      <c r="L712" s="16">
        <f>K712+C712</f>
        <v/>
      </c>
      <c r="M712" s="11" t="inlineStr">
        <is>
          <t>SM</t>
        </is>
      </c>
      <c r="N712" s="15" t="n"/>
      <c r="O712" s="14" t="n"/>
      <c r="P712" s="14" t="n"/>
      <c r="Q712" s="14" t="n"/>
      <c r="R712" s="14" t="n"/>
    </row>
    <row r="713">
      <c r="A713" s="14" t="inlineStr">
        <is>
          <t>FM3511</t>
        </is>
      </c>
      <c r="B713" s="14" t="n"/>
      <c r="C713" s="13" t="n">
        <v>45933</v>
      </c>
      <c r="D713" s="12" t="inlineStr">
        <is>
          <t>101PO12405</t>
        </is>
      </c>
      <c r="E713" s="14" t="inlineStr">
        <is>
          <t>Orion Real Estate</t>
        </is>
      </c>
      <c r="F713" s="14" t="inlineStr">
        <is>
          <t>WL 400 - 520X520 Grille</t>
        </is>
      </c>
      <c r="G713" s="20" t="n">
        <v>2</v>
      </c>
      <c r="H713" s="19" t="n">
        <v>865</v>
      </c>
      <c r="I713" s="18">
        <f>G713*H713</f>
        <v/>
      </c>
      <c r="J713" s="11" t="n"/>
      <c r="K713" s="17" t="n"/>
      <c r="L713" s="16">
        <f>K713+C713</f>
        <v/>
      </c>
      <c r="M713" s="11" t="inlineStr">
        <is>
          <t>SM</t>
        </is>
      </c>
      <c r="N713" s="15" t="n"/>
      <c r="O713" s="14" t="n"/>
      <c r="P713" s="14" t="n"/>
      <c r="Q713" s="14" t="n"/>
      <c r="R713" s="14" t="n"/>
    </row>
    <row r="714">
      <c r="A714" s="14" t="inlineStr">
        <is>
          <t>FM3512</t>
        </is>
      </c>
      <c r="B714" s="14" t="n"/>
      <c r="C714" s="13" t="n">
        <v>45933</v>
      </c>
      <c r="D714" s="14" t="inlineStr">
        <is>
          <t>PO053958</t>
        </is>
      </c>
      <c r="E714" s="14" t="inlineStr">
        <is>
          <t>Airetronic</t>
        </is>
      </c>
      <c r="F714" s="14" t="inlineStr">
        <is>
          <t>Vortice Punto M100/ 4 &amp; Grilles</t>
        </is>
      </c>
      <c r="G714" s="20" t="n">
        <v>3</v>
      </c>
      <c r="H714" s="19" t="n">
        <v>753</v>
      </c>
      <c r="I714" s="18">
        <f>G714*H714</f>
        <v/>
      </c>
      <c r="J714" s="11" t="n"/>
      <c r="K714" s="17" t="n"/>
      <c r="L714" s="16">
        <f>K714+C714</f>
        <v/>
      </c>
      <c r="M714" s="11" t="inlineStr">
        <is>
          <t>SM</t>
        </is>
      </c>
      <c r="N714" s="15" t="n"/>
      <c r="O714" s="14" t="n"/>
      <c r="P714" s="14" t="n"/>
      <c r="Q714" s="14" t="n"/>
      <c r="R714" s="14" t="n"/>
    </row>
    <row r="715">
      <c r="A715" s="14" t="inlineStr">
        <is>
          <t>FM3513</t>
        </is>
      </c>
      <c r="B715" s="14" t="n"/>
      <c r="C715" s="13" t="n">
        <v>45936</v>
      </c>
      <c r="D715" s="12" t="inlineStr">
        <is>
          <t>PO134225</t>
        </is>
      </c>
      <c r="E715" s="14" t="inlineStr">
        <is>
          <t>Africa Trading</t>
        </is>
      </c>
      <c r="F715" s="14" t="inlineStr">
        <is>
          <t>CF9 &amp;FL25-9</t>
        </is>
      </c>
      <c r="G715" s="20" t="n">
        <v>1</v>
      </c>
      <c r="H715" s="19" t="n">
        <v>5905.58</v>
      </c>
      <c r="I715" s="18">
        <f>G715*H715</f>
        <v/>
      </c>
      <c r="J715" s="11" t="n"/>
      <c r="K715" s="17" t="n"/>
      <c r="L715" s="16">
        <f>K715+C715</f>
        <v/>
      </c>
      <c r="M715" s="11" t="inlineStr">
        <is>
          <t>MT</t>
        </is>
      </c>
      <c r="N715" s="15" t="n"/>
      <c r="O715" s="14" t="n"/>
      <c r="P715" s="14" t="n"/>
      <c r="Q715" s="14" t="n"/>
      <c r="R715" s="14" t="n"/>
    </row>
    <row r="716">
      <c r="A716" s="14" t="inlineStr">
        <is>
          <t>FM3514</t>
        </is>
      </c>
      <c r="B716" s="14" t="n"/>
      <c r="C716" s="13" t="n">
        <v>45936</v>
      </c>
      <c r="D716" s="12" t="inlineStr">
        <is>
          <t>PO-36143</t>
        </is>
      </c>
      <c r="E716" s="14" t="inlineStr">
        <is>
          <t>Radel</t>
        </is>
      </c>
      <c r="F716" s="14" t="inlineStr">
        <is>
          <t xml:space="preserve">HV 7 c/w 0.45kW 6Pole </t>
        </is>
      </c>
      <c r="G716" s="20" t="n">
        <v>1</v>
      </c>
      <c r="H716" s="19" t="n">
        <v>6200</v>
      </c>
      <c r="I716" s="18">
        <f>G716*H716</f>
        <v/>
      </c>
      <c r="J716" s="11" t="n"/>
      <c r="K716" s="17" t="n"/>
      <c r="L716" s="16">
        <f>K716+C716</f>
        <v/>
      </c>
      <c r="M716" s="11" t="inlineStr">
        <is>
          <t>MT</t>
        </is>
      </c>
      <c r="N716" s="15" t="n"/>
      <c r="O716" s="14" t="n"/>
      <c r="P716" s="14" t="n"/>
      <c r="Q716" s="14" t="n"/>
      <c r="R716" s="14" t="n"/>
    </row>
    <row r="717">
      <c r="A717" s="14" t="inlineStr">
        <is>
          <t>FM3515</t>
        </is>
      </c>
      <c r="B717" s="14" t="n"/>
      <c r="C717" s="13" t="n">
        <v>45938</v>
      </c>
      <c r="D717" s="12" t="inlineStr">
        <is>
          <t>PO 9- JHB FORENSIC PATHOLOGY LABORATORIES</t>
        </is>
      </c>
      <c r="E717" s="14" t="inlineStr">
        <is>
          <t>St Air</t>
        </is>
      </c>
      <c r="F717" s="14" t="inlineStr">
        <is>
          <t>Lineo fans</t>
        </is>
      </c>
      <c r="G717" s="20" t="n">
        <v>1</v>
      </c>
      <c r="H717" s="19">
        <f>7918+7142+7142</f>
        <v/>
      </c>
      <c r="I717" s="18">
        <f>G717*H717</f>
        <v/>
      </c>
      <c r="J717" s="11" t="n"/>
      <c r="K717" s="17" t="n"/>
      <c r="L717" s="16">
        <f>K717+C717</f>
        <v/>
      </c>
      <c r="M717" s="11" t="inlineStr">
        <is>
          <t>SM</t>
        </is>
      </c>
      <c r="N717" s="15" t="n"/>
      <c r="O717" s="14" t="n"/>
      <c r="P717" s="14" t="n"/>
      <c r="Q717" s="14" t="n"/>
      <c r="R717" s="14" t="n"/>
    </row>
    <row r="718">
      <c r="A718" s="14" t="inlineStr">
        <is>
          <t>FM3516</t>
        </is>
      </c>
      <c r="B718" s="14" t="n"/>
      <c r="C718" s="13" t="n">
        <v>45938</v>
      </c>
      <c r="D718" s="12" t="inlineStr">
        <is>
          <t>PO 9- JHB FORENSIC PATHOLOGY LABORATORIES</t>
        </is>
      </c>
      <c r="E718" s="14" t="inlineStr">
        <is>
          <t>St Air</t>
        </is>
      </c>
      <c r="F718" s="14" t="inlineStr">
        <is>
          <t>Majax-2 560 20.D.8 c/w 0.55 kW 4 Pole 380V</t>
        </is>
      </c>
      <c r="G718" s="20" t="n">
        <v>1</v>
      </c>
      <c r="H718" s="19" t="n">
        <v>21863</v>
      </c>
      <c r="I718" s="18">
        <f>G718*H718</f>
        <v/>
      </c>
      <c r="J718" s="11" t="n"/>
      <c r="K718" s="17" t="n"/>
      <c r="L718" s="16">
        <f>K718+C718</f>
        <v/>
      </c>
      <c r="M718" s="11" t="inlineStr">
        <is>
          <t>SM</t>
        </is>
      </c>
      <c r="N718" s="15" t="n"/>
      <c r="O718" s="14" t="n"/>
      <c r="P718" s="14" t="n"/>
      <c r="Q718" s="14" t="n"/>
      <c r="R718" s="14" t="n"/>
    </row>
    <row r="719">
      <c r="A719" s="14" t="inlineStr">
        <is>
          <t>FM3517</t>
        </is>
      </c>
      <c r="B719" s="14" t="n"/>
      <c r="C719" s="13" t="n">
        <v>45938</v>
      </c>
      <c r="D719" s="12" t="inlineStr">
        <is>
          <t>PO 9- JHB FORENSIC PATHOLOGY LABORATORIES</t>
        </is>
      </c>
      <c r="E719" s="14" t="inlineStr">
        <is>
          <t>St Air</t>
        </is>
      </c>
      <c r="F719" s="14" t="inlineStr">
        <is>
          <t>Majax-2 560 20.D.8 c/w 0.37 kW 4 Pole 380V</t>
        </is>
      </c>
      <c r="G719" s="20" t="n">
        <v>1</v>
      </c>
      <c r="H719" s="19" t="n">
        <v>21631</v>
      </c>
      <c r="I719" s="18">
        <f>G719*H719</f>
        <v/>
      </c>
      <c r="J719" s="11" t="n"/>
      <c r="K719" s="17" t="n"/>
      <c r="L719" s="16">
        <f>K719+C719</f>
        <v/>
      </c>
      <c r="M719" s="11" t="inlineStr">
        <is>
          <t>SM</t>
        </is>
      </c>
      <c r="N719" s="15" t="n"/>
      <c r="O719" s="14" t="n"/>
      <c r="P719" s="14" t="n"/>
      <c r="Q719" s="14" t="n"/>
      <c r="R719" s="14" t="n"/>
    </row>
    <row r="720">
      <c r="A720" s="14" t="inlineStr">
        <is>
          <t>FM3518</t>
        </is>
      </c>
      <c r="B720" s="14" t="n"/>
      <c r="C720" s="13" t="n">
        <v>45938</v>
      </c>
      <c r="D720" s="12" t="inlineStr">
        <is>
          <t>cash Sale</t>
        </is>
      </c>
      <c r="E720" s="14" t="inlineStr">
        <is>
          <t>Natal Airconditioning Solutions</t>
        </is>
      </c>
      <c r="F720" s="14" t="inlineStr">
        <is>
          <t>12413 - V 300/12 ARI</t>
        </is>
      </c>
      <c r="G720" s="20" t="n">
        <v>1</v>
      </c>
      <c r="H720" s="19" t="n">
        <v>6605</v>
      </c>
      <c r="I720" s="18">
        <f>G720*H720</f>
        <v/>
      </c>
      <c r="J720" s="11" t="n"/>
      <c r="K720" s="17" t="n"/>
      <c r="L720" s="16">
        <f>K720+C720</f>
        <v/>
      </c>
      <c r="M720" s="11" t="inlineStr">
        <is>
          <t>SM</t>
        </is>
      </c>
      <c r="N720" s="15" t="n"/>
      <c r="O720" s="14" t="n"/>
      <c r="P720" s="14" t="n"/>
      <c r="Q720" s="14" t="n"/>
      <c r="R720" s="14" t="n"/>
    </row>
    <row r="721">
      <c r="A721" s="14" t="inlineStr">
        <is>
          <t>FM3519</t>
        </is>
      </c>
      <c r="B721" s="14" t="n"/>
      <c r="C721" s="13" t="n">
        <v>45938</v>
      </c>
      <c r="D721" s="12" t="inlineStr">
        <is>
          <t>P267948 HS</t>
        </is>
      </c>
      <c r="E721" s="14" t="inlineStr">
        <is>
          <t>Noble Motors &amp; Control</t>
        </is>
      </c>
      <c r="F721" s="14" t="inlineStr">
        <is>
          <t>HV1250 c/w 1.1KW 4P 380V</t>
        </is>
      </c>
      <c r="G721" s="20" t="n">
        <v>1</v>
      </c>
      <c r="H721" s="19" t="n">
        <v>13900</v>
      </c>
      <c r="I721" s="18">
        <f>G721*H721</f>
        <v/>
      </c>
      <c r="J721" s="11" t="n"/>
      <c r="K721" s="17" t="n"/>
      <c r="L721" s="16">
        <f>K721+C721</f>
        <v/>
      </c>
      <c r="M721" s="11" t="inlineStr">
        <is>
          <t>SM</t>
        </is>
      </c>
      <c r="N721" s="15" t="n"/>
      <c r="O721" s="14" t="n"/>
      <c r="P721" s="14" t="n"/>
      <c r="Q721" s="14" t="n"/>
      <c r="R721" s="14" t="n"/>
    </row>
    <row r="722">
      <c r="A722" s="14" t="inlineStr">
        <is>
          <t>FM3520</t>
        </is>
      </c>
      <c r="B722" s="14" t="n"/>
      <c r="C722" s="13" t="n">
        <v>45939</v>
      </c>
      <c r="D722" s="12" t="inlineStr">
        <is>
          <t>PO116233</t>
        </is>
      </c>
      <c r="E722" s="14" t="inlineStr">
        <is>
          <t>Boleng</t>
        </is>
      </c>
      <c r="F722" s="14" t="inlineStr">
        <is>
          <t>RAD150 &amp;1 600L 150 Tube</t>
        </is>
      </c>
      <c r="G722" s="20" t="n">
        <v>1</v>
      </c>
      <c r="H722" s="19" t="n">
        <v>2075</v>
      </c>
      <c r="I722" s="18">
        <f>G722*H722</f>
        <v/>
      </c>
      <c r="J722" s="11" t="n"/>
      <c r="K722" s="17" t="n"/>
      <c r="L722" s="16">
        <f>K722+C722</f>
        <v/>
      </c>
      <c r="M722" s="11" t="inlineStr">
        <is>
          <t>MT</t>
        </is>
      </c>
      <c r="N722" s="15" t="n"/>
      <c r="O722" s="14" t="n"/>
      <c r="P722" s="14" t="n"/>
      <c r="Q722" s="14" t="n"/>
      <c r="R722" s="14" t="n"/>
    </row>
    <row r="723">
      <c r="A723" s="14" t="inlineStr">
        <is>
          <t>FM3521</t>
        </is>
      </c>
      <c r="B723" s="14" t="n"/>
      <c r="C723" s="13" t="n">
        <v>45939</v>
      </c>
      <c r="D723" s="12" t="inlineStr">
        <is>
          <t>PO-000006348</t>
        </is>
      </c>
      <c r="E723" s="14" t="inlineStr">
        <is>
          <t>Cape Fans (Pty) Ltd</t>
        </is>
      </c>
      <c r="F723" s="14" t="inlineStr">
        <is>
          <t>DDM 7/7 - 6M0299 - 300W 220/1/50</t>
        </is>
      </c>
      <c r="G723" s="20" t="n">
        <v>1</v>
      </c>
      <c r="H723" s="19" t="n">
        <v>6802</v>
      </c>
      <c r="I723" s="18">
        <f>G723*H723</f>
        <v/>
      </c>
      <c r="J723" s="11" t="n"/>
      <c r="K723" s="17" t="n"/>
      <c r="L723" s="16">
        <f>K723+C723</f>
        <v/>
      </c>
      <c r="M723" s="11" t="inlineStr">
        <is>
          <t>ST</t>
        </is>
      </c>
      <c r="N723" s="15" t="n"/>
      <c r="O723" s="14" t="n"/>
      <c r="P723" s="14" t="n"/>
      <c r="Q723" s="14" t="n"/>
      <c r="R723" s="14" t="n"/>
    </row>
    <row r="724">
      <c r="A724" s="14" t="inlineStr">
        <is>
          <t>FM3522</t>
        </is>
      </c>
      <c r="B724" s="14" t="n"/>
      <c r="C724" s="13" t="n">
        <v>45939</v>
      </c>
      <c r="D724" s="12" t="inlineStr">
        <is>
          <t>RPO29065</t>
        </is>
      </c>
      <c r="E724" s="14" t="inlineStr">
        <is>
          <t>San refrigeration (Pty) Ltd</t>
        </is>
      </c>
      <c r="F724" s="14" t="inlineStr">
        <is>
          <t>CMP-514-2M</t>
        </is>
      </c>
      <c r="G724" s="20" t="n">
        <v>6</v>
      </c>
      <c r="H724" s="19" t="n">
        <v>6569</v>
      </c>
      <c r="I724" s="18">
        <f>G724*H724</f>
        <v/>
      </c>
      <c r="J724" s="11" t="n"/>
      <c r="K724" s="17" t="n"/>
      <c r="L724" s="16">
        <f>K724+C724</f>
        <v/>
      </c>
      <c r="M724" s="11" t="inlineStr">
        <is>
          <t>MT</t>
        </is>
      </c>
      <c r="N724" s="15" t="n"/>
      <c r="O724" s="14" t="n"/>
      <c r="P724" s="14" t="n"/>
      <c r="Q724" s="14" t="n"/>
      <c r="R724" s="14" t="n"/>
    </row>
    <row r="725">
      <c r="A725" s="14" t="inlineStr">
        <is>
          <t>FM3523</t>
        </is>
      </c>
      <c r="B725" s="14" t="n"/>
      <c r="C725" s="13" t="n">
        <v>45939</v>
      </c>
      <c r="D725" s="12" t="inlineStr">
        <is>
          <t>PO2127</t>
        </is>
      </c>
      <c r="E725" s="14" t="inlineStr">
        <is>
          <t xml:space="preserve">Hucra Fans </t>
        </is>
      </c>
      <c r="F725" s="14" t="inlineStr">
        <is>
          <t>CMP 514-2T + CMP  616-2T</t>
        </is>
      </c>
      <c r="G725" s="20" t="n">
        <v>2</v>
      </c>
      <c r="H725" s="19" t="n">
        <v>7857.5</v>
      </c>
      <c r="I725" s="18">
        <f>G725*H725</f>
        <v/>
      </c>
      <c r="J725" s="11" t="n"/>
      <c r="K725" s="17" t="n"/>
      <c r="L725" s="16">
        <f>K725+C725</f>
        <v/>
      </c>
      <c r="M725" s="11" t="inlineStr">
        <is>
          <t>ZX</t>
        </is>
      </c>
      <c r="N725" s="15" t="n"/>
      <c r="O725" s="14" t="n"/>
      <c r="P725" s="14" t="n"/>
      <c r="Q725" s="14" t="n"/>
      <c r="R725" s="14" t="n"/>
    </row>
    <row r="726">
      <c r="A726" s="14" t="inlineStr">
        <is>
          <t>FM3524</t>
        </is>
      </c>
      <c r="B726" s="14" t="n"/>
      <c r="C726" s="13" t="n">
        <v>45939</v>
      </c>
      <c r="D726" s="12" t="inlineStr">
        <is>
          <t>PO-0011</t>
        </is>
      </c>
      <c r="E726" s="14" t="inlineStr">
        <is>
          <t>Mekan Facilities Management</t>
        </is>
      </c>
      <c r="F726" s="14" t="inlineStr">
        <is>
          <t>RAD 315</t>
        </is>
      </c>
      <c r="G726" s="20" t="n">
        <v>1</v>
      </c>
      <c r="H726" s="19" t="n">
        <v>3052</v>
      </c>
      <c r="I726" s="18">
        <f>G726*H726</f>
        <v/>
      </c>
      <c r="J726" s="11" t="n"/>
      <c r="K726" s="17" t="n"/>
      <c r="L726" s="16">
        <f>K726+C726</f>
        <v/>
      </c>
      <c r="M726" s="11" t="inlineStr">
        <is>
          <t>MT</t>
        </is>
      </c>
      <c r="N726" s="15" t="n"/>
      <c r="O726" s="14" t="n"/>
      <c r="P726" s="14" t="n"/>
      <c r="Q726" s="14" t="n"/>
      <c r="R726" s="14" t="n"/>
    </row>
    <row r="727">
      <c r="A727" s="14" t="inlineStr">
        <is>
          <t>FM3525</t>
        </is>
      </c>
      <c r="B727" s="14" t="n"/>
      <c r="C727" s="13" t="n">
        <v>45939</v>
      </c>
      <c r="D727" s="12" t="inlineStr">
        <is>
          <t>PO2125</t>
        </is>
      </c>
      <c r="E727" s="14" t="inlineStr">
        <is>
          <t xml:space="preserve">Hucra Fans </t>
        </is>
      </c>
      <c r="F727" s="14" t="inlineStr">
        <is>
          <t>CPV 1020-4T</t>
        </is>
      </c>
      <c r="G727" s="20" t="n">
        <v>1</v>
      </c>
      <c r="H727" s="19" t="n">
        <v>19468</v>
      </c>
      <c r="I727" s="18">
        <f>G727*H727</f>
        <v/>
      </c>
      <c r="J727" s="11" t="n"/>
      <c r="K727" s="17" t="n"/>
      <c r="L727" s="16">
        <f>K727+C727</f>
        <v/>
      </c>
      <c r="M727" s="11" t="inlineStr">
        <is>
          <t>ZX</t>
        </is>
      </c>
      <c r="N727" s="15" t="n"/>
      <c r="O727" s="14" t="n"/>
      <c r="P727" s="14" t="n"/>
      <c r="Q727" s="14" t="n"/>
      <c r="R727" s="14" t="n"/>
    </row>
    <row r="728">
      <c r="A728" s="14" t="inlineStr">
        <is>
          <t>FM3526</t>
        </is>
      </c>
      <c r="B728" s="14" t="n"/>
      <c r="C728" s="13" t="n">
        <v>45940</v>
      </c>
      <c r="D728" s="12" t="inlineStr">
        <is>
          <t>Cash sale</t>
        </is>
      </c>
      <c r="E728" s="14" t="inlineStr">
        <is>
          <t>Raptor Engineering</t>
        </is>
      </c>
      <c r="F728" s="14" t="inlineStr">
        <is>
          <t>V230 AR</t>
        </is>
      </c>
      <c r="G728" s="20" t="n">
        <v>5</v>
      </c>
      <c r="H728" s="19" t="n">
        <v>3708</v>
      </c>
      <c r="I728" s="18">
        <f>G728*H728</f>
        <v/>
      </c>
      <c r="J728" s="11" t="n"/>
      <c r="K728" s="17" t="n"/>
      <c r="L728" s="16">
        <f>K728+C728</f>
        <v/>
      </c>
      <c r="M728" s="11" t="inlineStr">
        <is>
          <t>MT</t>
        </is>
      </c>
      <c r="N728" s="15" t="n"/>
      <c r="O728" s="14" t="n"/>
      <c r="P728" s="14" t="n"/>
      <c r="Q728" s="14" t="n"/>
      <c r="R728" s="14" t="n"/>
    </row>
    <row r="729">
      <c r="A729" s="14" t="inlineStr">
        <is>
          <t>FM3527</t>
        </is>
      </c>
      <c r="B729" s="14" t="n"/>
      <c r="C729" s="13" t="n">
        <v>45940</v>
      </c>
      <c r="D729" s="12" t="inlineStr">
        <is>
          <t>Cash Sale</t>
        </is>
      </c>
      <c r="E729" s="14" t="inlineStr">
        <is>
          <t>GOLDILOCKS GROUP (PTY )LTD</t>
        </is>
      </c>
      <c r="F729" s="14" t="inlineStr">
        <is>
          <t>800 Silencers</t>
        </is>
      </c>
      <c r="G729" s="20" t="n">
        <v>4</v>
      </c>
      <c r="H729" s="19" t="n">
        <v>5510</v>
      </c>
      <c r="I729" s="18">
        <f>G729*H729</f>
        <v/>
      </c>
      <c r="J729" s="11" t="n"/>
      <c r="K729" s="17" t="n"/>
      <c r="L729" s="16">
        <f>K729+C729</f>
        <v/>
      </c>
      <c r="M729" s="11" t="inlineStr">
        <is>
          <t>ST</t>
        </is>
      </c>
      <c r="N729" s="15" t="n"/>
      <c r="O729" s="14" t="n"/>
      <c r="P729" s="14" t="n"/>
      <c r="Q729" s="14" t="n"/>
      <c r="R729" s="14" t="n"/>
    </row>
    <row r="730">
      <c r="A730" s="14" t="inlineStr">
        <is>
          <t>FM3528</t>
        </is>
      </c>
      <c r="B730" s="14" t="n"/>
      <c r="C730" s="13" t="n">
        <v>45943</v>
      </c>
      <c r="D730" s="12" t="n">
        <v>4316</v>
      </c>
      <c r="E730" s="14" t="inlineStr">
        <is>
          <t>Air Speration</t>
        </is>
      </c>
      <c r="F730" s="14" t="inlineStr">
        <is>
          <t>Tiracamino &amp; Lineo 150 Quiet</t>
        </is>
      </c>
      <c r="G730" s="20" t="n">
        <v>4</v>
      </c>
      <c r="H730" s="19" t="n">
        <v>7360.275</v>
      </c>
      <c r="I730" s="18">
        <f>G730*H730</f>
        <v/>
      </c>
      <c r="J730" s="11" t="n"/>
      <c r="K730" s="17" t="n"/>
      <c r="L730" s="16">
        <f>K730+C730</f>
        <v/>
      </c>
      <c r="M730" s="11" t="inlineStr">
        <is>
          <t>MT</t>
        </is>
      </c>
      <c r="N730" s="15" t="n"/>
      <c r="O730" s="14" t="n"/>
      <c r="P730" s="14" t="n"/>
      <c r="Q730" s="14" t="n"/>
      <c r="R730" s="14" t="n"/>
    </row>
    <row r="731">
      <c r="A731" s="14" t="inlineStr">
        <is>
          <t>FM3529</t>
        </is>
      </c>
      <c r="B731" s="14" t="n"/>
      <c r="C731" s="13" t="n">
        <v>45943</v>
      </c>
      <c r="D731" s="12" t="inlineStr">
        <is>
          <t>J5379-002ORD</t>
        </is>
      </c>
      <c r="E731" s="14" t="inlineStr">
        <is>
          <t>RTS Africa Engineering (Pty) Ltd</t>
        </is>
      </c>
      <c r="F731" s="14" t="inlineStr">
        <is>
          <t>MAJAX-2 500 2.2KW 2 POLE, 400V + FAN SCREEN +FAN QCP</t>
        </is>
      </c>
      <c r="G731" s="20" t="n">
        <v>3</v>
      </c>
      <c r="H731" s="19">
        <f>12190.5+3792.91+501.3</f>
        <v/>
      </c>
      <c r="I731" s="18">
        <f>G731*H731</f>
        <v/>
      </c>
      <c r="J731" s="11" t="n"/>
      <c r="K731" s="17" t="n"/>
      <c r="L731" s="16">
        <f>K731+C731</f>
        <v/>
      </c>
      <c r="M731" s="11" t="inlineStr">
        <is>
          <t>SM</t>
        </is>
      </c>
      <c r="N731" s="15" t="n"/>
      <c r="O731" s="14" t="n"/>
      <c r="P731" s="14" t="n"/>
      <c r="Q731" s="14" t="n"/>
      <c r="R731" s="14" t="n"/>
    </row>
    <row r="732">
      <c r="A732" s="14" t="inlineStr">
        <is>
          <t>FM3530</t>
        </is>
      </c>
      <c r="B732" s="14" t="n"/>
      <c r="C732" s="13" t="n">
        <v>45943</v>
      </c>
      <c r="D732" s="12" t="inlineStr">
        <is>
          <t>J5379-002ORD</t>
        </is>
      </c>
      <c r="E732" s="14" t="inlineStr">
        <is>
          <t>RTS Africa Engineering (Pty) Ltd</t>
        </is>
      </c>
      <c r="F732" s="14" t="inlineStr">
        <is>
          <t>CMP 514-2M</t>
        </is>
      </c>
      <c r="G732" s="20" t="n">
        <v>3</v>
      </c>
      <c r="H732" s="19">
        <f>6569</f>
        <v/>
      </c>
      <c r="I732" s="18">
        <f>G732*H732</f>
        <v/>
      </c>
      <c r="J732" s="11" t="n"/>
      <c r="K732" s="17" t="n"/>
      <c r="L732" s="16">
        <f>K732+C732</f>
        <v/>
      </c>
      <c r="M732" s="11" t="inlineStr">
        <is>
          <t>SM</t>
        </is>
      </c>
      <c r="N732" s="15" t="n"/>
      <c r="O732" s="14" t="n"/>
      <c r="P732" s="14" t="n"/>
      <c r="Q732" s="14" t="n"/>
      <c r="R732" s="14" t="n"/>
    </row>
    <row r="733">
      <c r="A733" s="14" t="inlineStr">
        <is>
          <t>FM3531</t>
        </is>
      </c>
      <c r="B733" s="14" t="n"/>
      <c r="C733" s="13" t="n">
        <v>45943</v>
      </c>
      <c r="D733" s="12" t="inlineStr">
        <is>
          <t>PO-000006201</t>
        </is>
      </c>
      <c r="E733" s="14" t="inlineStr">
        <is>
          <t>Butec</t>
        </is>
      </c>
      <c r="F733" s="14" t="inlineStr">
        <is>
          <t>Maxflo 500 c/w0.25 4P380V &amp;1 500-attenuator</t>
        </is>
      </c>
      <c r="G733" s="20" t="n">
        <v>1</v>
      </c>
      <c r="H733" s="19" t="n">
        <v>8000</v>
      </c>
      <c r="I733" s="18">
        <f>G733*H733</f>
        <v/>
      </c>
      <c r="J733" s="11" t="n"/>
      <c r="K733" s="17" t="n"/>
      <c r="L733" s="16">
        <f>K733+C733</f>
        <v/>
      </c>
      <c r="M733" s="11" t="inlineStr">
        <is>
          <t>MT</t>
        </is>
      </c>
      <c r="N733" s="15" t="n"/>
      <c r="O733" s="14" t="n"/>
      <c r="P733" s="14" t="n"/>
      <c r="Q733" s="14" t="n"/>
      <c r="R733" s="14" t="n"/>
    </row>
    <row r="734">
      <c r="A734" s="14" t="inlineStr">
        <is>
          <t>FM3532</t>
        </is>
      </c>
      <c r="B734" s="14" t="n"/>
      <c r="C734" s="13" t="n">
        <v>45943</v>
      </c>
      <c r="D734" s="12" t="inlineStr">
        <is>
          <t>Cash Sale</t>
        </is>
      </c>
      <c r="E734" s="14" t="inlineStr">
        <is>
          <t>Tarvish Exports</t>
        </is>
      </c>
      <c r="F734" s="14" t="inlineStr">
        <is>
          <t>Majax 400 c/w 1.1 kW 2Pole</t>
        </is>
      </c>
      <c r="G734" s="20" t="n">
        <v>2</v>
      </c>
      <c r="H734" s="19" t="n">
        <v>7598</v>
      </c>
      <c r="I734" s="18">
        <f>G734*H734</f>
        <v/>
      </c>
      <c r="J734" s="11" t="n"/>
      <c r="K734" s="17" t="n"/>
      <c r="L734" s="16">
        <f>K734+C734</f>
        <v/>
      </c>
      <c r="M734" s="11" t="inlineStr">
        <is>
          <t>SM</t>
        </is>
      </c>
      <c r="N734" s="15" t="n"/>
      <c r="O734" s="14" t="n"/>
      <c r="P734" s="14" t="n"/>
      <c r="Q734" s="14" t="n"/>
      <c r="R734" s="14" t="n"/>
    </row>
    <row r="735">
      <c r="A735" s="14" t="inlineStr">
        <is>
          <t>FM3533</t>
        </is>
      </c>
      <c r="B735" s="14" t="n"/>
      <c r="C735" s="13" t="n">
        <v>45943</v>
      </c>
      <c r="D735" s="12" t="inlineStr">
        <is>
          <t>Cash Sale</t>
        </is>
      </c>
      <c r="E735" s="14" t="inlineStr">
        <is>
          <t>Mark &amp; B Projects</t>
        </is>
      </c>
      <c r="F735" s="14" t="inlineStr">
        <is>
          <t>RAD315</t>
        </is>
      </c>
      <c r="G735" s="20" t="n">
        <v>1</v>
      </c>
      <c r="H735" s="19" t="n">
        <v>2900</v>
      </c>
      <c r="I735" s="18">
        <f>G735*H735</f>
        <v/>
      </c>
      <c r="J735" s="11" t="n"/>
      <c r="K735" s="17" t="n"/>
      <c r="L735" s="16">
        <f>K735+C735</f>
        <v/>
      </c>
      <c r="M735" s="11" t="inlineStr">
        <is>
          <t>ST</t>
        </is>
      </c>
      <c r="N735" s="15" t="n"/>
      <c r="O735" s="14" t="n"/>
      <c r="P735" s="14" t="n"/>
      <c r="Q735" s="14" t="n"/>
      <c r="R735" s="14" t="n"/>
    </row>
    <row r="736">
      <c r="A736" s="14" t="inlineStr">
        <is>
          <t>FM3534</t>
        </is>
      </c>
      <c r="B736" s="14" t="n"/>
      <c r="C736" s="13" t="n">
        <v>45944</v>
      </c>
      <c r="D736" s="22" t="inlineStr">
        <is>
          <t>PO-000006285</t>
        </is>
      </c>
      <c r="E736" s="14" t="inlineStr">
        <is>
          <t xml:space="preserve">Butec </t>
        </is>
      </c>
      <c r="F736" s="14" t="inlineStr">
        <is>
          <t>Flange, Feet &amp; AVMS</t>
        </is>
      </c>
      <c r="G736" s="20" t="n">
        <v>10</v>
      </c>
      <c r="H736" s="19" t="n">
        <v>1567</v>
      </c>
      <c r="I736" s="18" t="n">
        <v>1567</v>
      </c>
      <c r="J736" s="11" t="n"/>
      <c r="K736" s="17" t="n"/>
      <c r="L736" s="16">
        <f>K736+C736</f>
        <v/>
      </c>
      <c r="M736" s="11" t="inlineStr">
        <is>
          <t>MT</t>
        </is>
      </c>
      <c r="N736" s="15" t="n"/>
      <c r="O736" s="14" t="n"/>
      <c r="P736" s="14" t="n"/>
      <c r="Q736" s="14" t="n"/>
      <c r="R736" s="14" t="n"/>
    </row>
    <row r="737">
      <c r="A737" s="14" t="inlineStr">
        <is>
          <t>FM3535</t>
        </is>
      </c>
      <c r="B737" s="14" t="n"/>
      <c r="C737" s="13" t="n">
        <v>45943</v>
      </c>
      <c r="D737" s="12" t="n">
        <v>501495</v>
      </c>
      <c r="E737" s="14" t="inlineStr">
        <is>
          <t>Fans Maintenance &amp; More</t>
        </is>
      </c>
      <c r="F737" s="14" t="inlineStr">
        <is>
          <t xml:space="preserve">CMA 426-2T </t>
        </is>
      </c>
      <c r="G737" s="20" t="n">
        <v>1</v>
      </c>
      <c r="H737" s="19" t="n">
        <v>11482</v>
      </c>
      <c r="I737" s="18">
        <f>G737*H737</f>
        <v/>
      </c>
      <c r="J737" s="11" t="n"/>
      <c r="K737" s="17" t="n"/>
      <c r="L737" s="16">
        <f>K737+C737</f>
        <v/>
      </c>
      <c r="M737" s="11" t="inlineStr">
        <is>
          <t>ZX</t>
        </is>
      </c>
      <c r="N737" s="15" t="n"/>
      <c r="O737" s="14" t="n"/>
      <c r="P737" s="14" t="n"/>
      <c r="Q737" s="14" t="n"/>
      <c r="R737" s="14" t="n"/>
    </row>
    <row r="738">
      <c r="A738" s="14" t="inlineStr">
        <is>
          <t>FM3536</t>
        </is>
      </c>
      <c r="B738" s="14" t="n"/>
      <c r="C738" s="13" t="n">
        <v>45943</v>
      </c>
      <c r="D738" s="12" t="inlineStr">
        <is>
          <t>Cash sale</t>
        </is>
      </c>
      <c r="E738" s="14" t="inlineStr">
        <is>
          <t>Lion Fourie Electrical</t>
        </is>
      </c>
      <c r="F738" s="14" t="inlineStr">
        <is>
          <t>MRAD 315 &amp; Speed Controller</t>
        </is>
      </c>
      <c r="G738" s="20" t="n">
        <v>1</v>
      </c>
      <c r="H738" s="19" t="n">
        <v>6804</v>
      </c>
      <c r="I738" s="18">
        <f>G738*H738</f>
        <v/>
      </c>
      <c r="J738" s="11" t="n"/>
      <c r="K738" s="17" t="n"/>
      <c r="L738" s="16">
        <f>K738+C738</f>
        <v/>
      </c>
      <c r="M738" s="11" t="inlineStr">
        <is>
          <t>ZX</t>
        </is>
      </c>
      <c r="N738" s="15" t="n"/>
      <c r="O738" s="14" t="n"/>
      <c r="P738" s="14" t="n"/>
      <c r="Q738" s="14" t="n"/>
      <c r="R738" s="14" t="n"/>
    </row>
    <row r="739">
      <c r="A739" s="14" t="inlineStr">
        <is>
          <t>FM3537</t>
        </is>
      </c>
      <c r="B739" s="14" t="n"/>
      <c r="C739" s="13" t="n">
        <v>45943</v>
      </c>
      <c r="D739" s="12" t="inlineStr">
        <is>
          <t>PO2131</t>
        </is>
      </c>
      <c r="E739" s="14" t="inlineStr">
        <is>
          <t xml:space="preserve">Hucra Fans </t>
        </is>
      </c>
      <c r="F739" s="14" t="inlineStr">
        <is>
          <t>V300/12 AR</t>
        </is>
      </c>
      <c r="G739" s="20" t="n">
        <v>1</v>
      </c>
      <c r="H739" s="19" t="n">
        <v>5209</v>
      </c>
      <c r="I739" s="18">
        <f>G739*H739</f>
        <v/>
      </c>
      <c r="J739" s="11" t="n"/>
      <c r="K739" s="17" t="n"/>
      <c r="L739" s="16">
        <f>K739+C739</f>
        <v/>
      </c>
      <c r="M739" s="11" t="inlineStr">
        <is>
          <t>ZX</t>
        </is>
      </c>
      <c r="N739" s="15" t="n"/>
      <c r="O739" s="14" t="n"/>
      <c r="P739" s="14" t="n"/>
      <c r="Q739" s="14" t="n"/>
      <c r="R739" s="14" t="n"/>
    </row>
    <row r="740">
      <c r="A740" s="14" t="inlineStr">
        <is>
          <t>FM3538</t>
        </is>
      </c>
      <c r="B740" s="14" t="n"/>
      <c r="C740" s="13" t="n">
        <v>45943</v>
      </c>
      <c r="D740" s="12" t="inlineStr">
        <is>
          <t>PO 22- JHB FORENSIC PATHOLOGY LABORATORIES</t>
        </is>
      </c>
      <c r="E740" s="14" t="inlineStr">
        <is>
          <t>ST AIR SERVICES AND MAINTENANCE (PTY) LTD</t>
        </is>
      </c>
      <c r="F740" s="14" t="inlineStr">
        <is>
          <t>Rad 200 &amp; 200 Diam Tube Silencer</t>
        </is>
      </c>
      <c r="G740" s="20" t="n">
        <v>3</v>
      </c>
      <c r="H740" s="19">
        <f>3575</f>
        <v/>
      </c>
      <c r="I740" s="18">
        <f>G740*H740</f>
        <v/>
      </c>
      <c r="J740" s="11" t="n"/>
      <c r="K740" s="17" t="n"/>
      <c r="L740" s="16">
        <f>K740+C740</f>
        <v/>
      </c>
      <c r="M740" s="11" t="inlineStr">
        <is>
          <t>SM</t>
        </is>
      </c>
      <c r="N740" s="15" t="n"/>
      <c r="O740" s="14" t="n"/>
      <c r="P740" s="14" t="n"/>
      <c r="Q740" s="14" t="n"/>
      <c r="R740" s="14" t="n"/>
    </row>
    <row r="741" ht="28.8" customHeight="1">
      <c r="A741" s="14" t="inlineStr">
        <is>
          <t>FM3539</t>
        </is>
      </c>
      <c r="B741" s="14" t="n"/>
      <c r="C741" s="13" t="n">
        <v>45943</v>
      </c>
      <c r="D741" s="12" t="inlineStr">
        <is>
          <t>PO 21- JHB FORENSIC PATHOLOGY LABORATORIES</t>
        </is>
      </c>
      <c r="E741" s="14" t="inlineStr">
        <is>
          <t>ST AIR SERVICES AND MAINTENANCE (PTY) LTD</t>
        </is>
      </c>
      <c r="F741" s="22" t="inlineStr">
        <is>
          <t>EAF 06. - 3040 l/s @ 300Pa (Set 710 Blades to 20 Degree)</t>
        </is>
      </c>
      <c r="G741" s="20" t="n"/>
      <c r="H741" s="19" t="n"/>
      <c r="I741" s="18">
        <f>G741*H741</f>
        <v/>
      </c>
      <c r="J741" s="11" t="n"/>
      <c r="K741" s="17" t="n"/>
      <c r="L741" s="16">
        <f>K741+C741</f>
        <v/>
      </c>
      <c r="M741" s="11" t="inlineStr">
        <is>
          <t>SM</t>
        </is>
      </c>
      <c r="N741" s="15" t="n"/>
      <c r="O741" s="14" t="n"/>
      <c r="P741" s="14" t="n"/>
      <c r="Q741" s="14" t="n"/>
      <c r="R741" s="14" t="n"/>
    </row>
    <row r="742" ht="28.8" customHeight="1">
      <c r="A742" s="14" t="inlineStr">
        <is>
          <t>FM3540</t>
        </is>
      </c>
      <c r="B742" s="14" t="n"/>
      <c r="C742" s="13" t="n">
        <v>45943</v>
      </c>
      <c r="D742" s="12" t="inlineStr">
        <is>
          <t>Cash Sale</t>
        </is>
      </c>
      <c r="E742" s="14" t="inlineStr">
        <is>
          <t>LJ Trading</t>
        </is>
      </c>
      <c r="F742" s="22" t="inlineStr">
        <is>
          <t>MFAZ6301104 - MAXFLO 630/250/14 A c/w 1,10KW 4P 380V</t>
        </is>
      </c>
      <c r="G742" s="20" t="n">
        <v>1</v>
      </c>
      <c r="H742" s="19" t="n"/>
      <c r="I742" s="18">
        <f>G742*H742</f>
        <v/>
      </c>
      <c r="J742" s="11" t="n"/>
      <c r="K742" s="17" t="n"/>
      <c r="L742" s="16">
        <f>K742+C742</f>
        <v/>
      </c>
      <c r="M742" s="11" t="inlineStr">
        <is>
          <t>SM</t>
        </is>
      </c>
      <c r="N742" s="15" t="n"/>
      <c r="O742" s="14" t="n"/>
      <c r="P742" s="14" t="n"/>
      <c r="Q742" s="14" t="n"/>
      <c r="R742" s="14" t="n"/>
    </row>
    <row r="743" ht="28.8" customHeight="1">
      <c r="A743" s="14" t="inlineStr">
        <is>
          <t>FM3541</t>
        </is>
      </c>
      <c r="B743" s="14" t="n"/>
      <c r="C743" s="13" t="n">
        <v>45943</v>
      </c>
      <c r="D743" s="12" t="inlineStr">
        <is>
          <t>Cash Sale</t>
        </is>
      </c>
      <c r="E743" s="14" t="inlineStr">
        <is>
          <t>LJ Trading</t>
        </is>
      </c>
      <c r="F743" s="22" t="inlineStr">
        <is>
          <t>MFAZ6301104 - MAXFLO 630/250/14 P c/w 1,10KW 4P 380V</t>
        </is>
      </c>
      <c r="G743" s="20" t="n">
        <v>1</v>
      </c>
      <c r="H743" s="19" t="n"/>
      <c r="I743" s="18">
        <f>G743*H743</f>
        <v/>
      </c>
      <c r="J743" s="11" t="n"/>
      <c r="K743" s="17" t="n"/>
      <c r="L743" s="16">
        <f>K743+C743</f>
        <v/>
      </c>
      <c r="M743" s="11" t="inlineStr">
        <is>
          <t>SM</t>
        </is>
      </c>
      <c r="N743" s="15" t="n"/>
      <c r="O743" s="14" t="n"/>
      <c r="P743" s="14" t="n"/>
      <c r="Q743" s="14" t="n"/>
      <c r="R743" s="14" t="n"/>
    </row>
    <row r="744">
      <c r="A744" s="14" t="inlineStr">
        <is>
          <t>FM3542</t>
        </is>
      </c>
      <c r="B744" s="14" t="n"/>
      <c r="C744" s="13" t="n">
        <v>45943</v>
      </c>
      <c r="D744" s="12" t="inlineStr">
        <is>
          <t>Cash Sale</t>
        </is>
      </c>
      <c r="E744" s="14" t="inlineStr">
        <is>
          <t>LJ Trading</t>
        </is>
      </c>
      <c r="F744" s="14" t="inlineStr">
        <is>
          <t xml:space="preserve">RAD200 - RAD 200 </t>
        </is>
      </c>
      <c r="G744" s="20" t="n">
        <v>1</v>
      </c>
      <c r="H744" s="19" t="n"/>
      <c r="I744" s="18">
        <f>G744*H744</f>
        <v/>
      </c>
      <c r="J744" s="11" t="n"/>
      <c r="K744" s="17" t="n"/>
      <c r="L744" s="16">
        <f>K744+C744</f>
        <v/>
      </c>
      <c r="M744" s="11" t="inlineStr">
        <is>
          <t>SM</t>
        </is>
      </c>
      <c r="N744" s="15" t="n"/>
      <c r="O744" s="14" t="n"/>
      <c r="P744" s="14" t="n"/>
      <c r="Q744" s="14" t="n"/>
      <c r="R744" s="14" t="n"/>
    </row>
    <row r="745">
      <c r="A745" s="14" t="inlineStr">
        <is>
          <t>FM3543</t>
        </is>
      </c>
      <c r="B745" s="14" t="n"/>
      <c r="C745" s="13" t="n">
        <v>45945</v>
      </c>
      <c r="D745" s="12" t="inlineStr">
        <is>
          <t>Cash Sale</t>
        </is>
      </c>
      <c r="E745" s="14" t="inlineStr">
        <is>
          <t>Tiro Access</t>
        </is>
      </c>
      <c r="F745" s="14" t="inlineStr">
        <is>
          <t>Bellax Screens</t>
        </is>
      </c>
      <c r="G745" s="20" t="n">
        <v>2</v>
      </c>
      <c r="H745" s="19" t="n">
        <v>1875</v>
      </c>
      <c r="I745" s="18">
        <f>G745*H745</f>
        <v/>
      </c>
      <c r="J745" s="11" t="n"/>
      <c r="K745" s="17" t="n"/>
      <c r="L745" s="16">
        <f>K745+C745</f>
        <v/>
      </c>
      <c r="M745" s="11" t="inlineStr">
        <is>
          <t>ST</t>
        </is>
      </c>
      <c r="N745" s="15" t="n"/>
      <c r="O745" s="14" t="n"/>
      <c r="P745" s="14" t="n"/>
      <c r="Q745" s="14" t="n"/>
      <c r="R745" s="14" t="n"/>
    </row>
    <row r="746">
      <c r="A746" s="14" t="inlineStr">
        <is>
          <t>FM3544</t>
        </is>
      </c>
      <c r="B746" s="14" t="n"/>
      <c r="C746" s="13" t="n">
        <v>45945</v>
      </c>
      <c r="D746" s="23" t="n"/>
      <c r="E746" s="14" t="n"/>
      <c r="F746" s="14" t="n"/>
      <c r="G746" s="20" t="n"/>
      <c r="H746" s="19" t="n"/>
      <c r="I746" s="18">
        <f>G746*H746</f>
        <v/>
      </c>
      <c r="J746" s="11" t="n"/>
      <c r="K746" s="17" t="n"/>
      <c r="L746" s="16">
        <f>K746+C746</f>
        <v/>
      </c>
      <c r="M746" s="11" t="n"/>
      <c r="N746" s="15" t="n"/>
      <c r="O746" s="14" t="n"/>
      <c r="P746" s="14" t="n"/>
      <c r="Q746" s="14" t="n"/>
      <c r="R746" s="14" t="n"/>
    </row>
    <row r="747">
      <c r="A747" s="14" t="inlineStr">
        <is>
          <t>FM3545</t>
        </is>
      </c>
      <c r="B747" s="14" t="n"/>
      <c r="C747" s="13" t="n">
        <v>45946</v>
      </c>
      <c r="D747" s="12" t="inlineStr">
        <is>
          <t>PO-0012</t>
        </is>
      </c>
      <c r="E747" s="14" t="inlineStr">
        <is>
          <t>Mekan Group</t>
        </is>
      </c>
      <c r="F747" s="14" t="inlineStr">
        <is>
          <t>Various Accessories</t>
        </is>
      </c>
      <c r="G747" s="20" t="n">
        <v>7</v>
      </c>
      <c r="H747" s="19" t="n">
        <v>8681</v>
      </c>
      <c r="I747" s="18" t="n">
        <v>8681</v>
      </c>
      <c r="J747" s="11" t="n"/>
      <c r="K747" s="17" t="n"/>
      <c r="L747" s="16">
        <f>K747+C747</f>
        <v/>
      </c>
      <c r="M747" s="11" t="inlineStr">
        <is>
          <t>MT</t>
        </is>
      </c>
      <c r="N747" s="15" t="n"/>
      <c r="O747" s="14" t="n"/>
      <c r="P747" s="14" t="n"/>
      <c r="Q747" s="14" t="n"/>
      <c r="R747" s="14" t="n"/>
    </row>
    <row r="748">
      <c r="A748" s="14" t="inlineStr">
        <is>
          <t>FM3546</t>
        </is>
      </c>
      <c r="B748" s="14" t="n"/>
      <c r="C748" s="13" t="n">
        <v>45946</v>
      </c>
      <c r="D748" s="12" t="inlineStr">
        <is>
          <t>Cash Sale</t>
        </is>
      </c>
      <c r="E748" s="14" t="inlineStr">
        <is>
          <t>Compre Air</t>
        </is>
      </c>
      <c r="F748" s="14" t="inlineStr">
        <is>
          <t xml:space="preserve">Maxflo 710/150/10 c/w 4Kw 4P 380V </t>
        </is>
      </c>
      <c r="G748" s="20" t="n">
        <v>1</v>
      </c>
      <c r="H748" s="19" t="n">
        <v>24945</v>
      </c>
      <c r="I748" s="18">
        <f>G748*H748</f>
        <v/>
      </c>
      <c r="J748" s="11" t="n"/>
      <c r="K748" s="17" t="n"/>
      <c r="L748" s="16">
        <f>K748+C748</f>
        <v/>
      </c>
      <c r="M748" s="11" t="inlineStr">
        <is>
          <t>SM</t>
        </is>
      </c>
      <c r="N748" s="15" t="n"/>
      <c r="O748" s="14" t="n"/>
      <c r="P748" s="14" t="n"/>
      <c r="Q748" s="14" t="n"/>
      <c r="R748" s="14" t="n"/>
    </row>
    <row r="749">
      <c r="A749" s="14" t="inlineStr">
        <is>
          <t>FM3547</t>
        </is>
      </c>
      <c r="B749" s="14" t="n"/>
      <c r="C749" s="13" t="n">
        <v>45946</v>
      </c>
      <c r="D749" s="12" t="inlineStr">
        <is>
          <t>Cash Sale</t>
        </is>
      </c>
      <c r="E749" s="14" t="inlineStr">
        <is>
          <t>Cool Tech</t>
        </is>
      </c>
      <c r="F749" s="14" t="inlineStr">
        <is>
          <t>Lineo 150 Quiet</t>
        </is>
      </c>
      <c r="G749" s="20" t="n">
        <v>6</v>
      </c>
      <c r="H749" s="19" t="n">
        <v>3159</v>
      </c>
      <c r="I749" s="18">
        <f>G749*H749</f>
        <v/>
      </c>
      <c r="J749" s="11" t="n"/>
      <c r="K749" s="17" t="n"/>
      <c r="L749" s="16">
        <f>K749+C749</f>
        <v/>
      </c>
      <c r="M749" s="11" t="inlineStr">
        <is>
          <t>SM</t>
        </is>
      </c>
      <c r="N749" s="15" t="n"/>
      <c r="O749" s="14" t="n"/>
      <c r="P749" s="14" t="n"/>
      <c r="Q749" s="14" t="n"/>
      <c r="R749" s="14" t="n"/>
    </row>
    <row r="750">
      <c r="A750" s="14" t="inlineStr">
        <is>
          <t>FM3548</t>
        </is>
      </c>
      <c r="B750" s="14" t="n"/>
      <c r="C750" s="13" t="n">
        <v>45946</v>
      </c>
      <c r="D750" s="12" t="inlineStr">
        <is>
          <t>Cash Sale</t>
        </is>
      </c>
      <c r="E750" s="14" t="inlineStr">
        <is>
          <t>Celette SA</t>
        </is>
      </c>
      <c r="F750" s="14" t="inlineStr">
        <is>
          <t>CMP 512 2M</t>
        </is>
      </c>
      <c r="G750" s="20" t="n">
        <v>1</v>
      </c>
      <c r="H750" s="19" t="n">
        <v>4658</v>
      </c>
      <c r="I750" s="18">
        <f>G750*H750</f>
        <v/>
      </c>
      <c r="J750" s="11" t="n"/>
      <c r="K750" s="17" t="n"/>
      <c r="L750" s="16">
        <f>K750+C750</f>
        <v/>
      </c>
      <c r="M750" s="11" t="inlineStr">
        <is>
          <t>ST</t>
        </is>
      </c>
      <c r="N750" s="15" t="n"/>
      <c r="O750" s="14" t="n"/>
      <c r="P750" s="14" t="n"/>
      <c r="Q750" s="14" t="n"/>
      <c r="R750" s="14" t="n"/>
    </row>
    <row r="751">
      <c r="A751" s="14" t="inlineStr">
        <is>
          <t>FM3549</t>
        </is>
      </c>
      <c r="B751" s="14" t="n"/>
      <c r="C751" s="13" t="n">
        <v>45946</v>
      </c>
      <c r="D751" s="12" t="inlineStr">
        <is>
          <t>PO-3084</t>
        </is>
      </c>
      <c r="E751" s="14" t="inlineStr">
        <is>
          <t>Centrifab (Pty) Ltd</t>
        </is>
      </c>
      <c r="F751" s="14" t="inlineStr">
        <is>
          <t>RAD 315,RAD 200 &amp; Tube silencers 600L</t>
        </is>
      </c>
      <c r="G751" s="20" t="n">
        <v>6</v>
      </c>
      <c r="H751" s="19" t="n">
        <v>2632.833</v>
      </c>
      <c r="I751" s="18">
        <f>G751*H751</f>
        <v/>
      </c>
      <c r="J751" s="11" t="n"/>
      <c r="K751" s="17" t="n"/>
      <c r="L751" s="16">
        <f>K751+C751</f>
        <v/>
      </c>
      <c r="M751" s="11" t="inlineStr">
        <is>
          <t>MT</t>
        </is>
      </c>
      <c r="N751" s="15" t="n"/>
      <c r="O751" s="14" t="n"/>
      <c r="P751" s="14" t="n"/>
      <c r="Q751" s="14" t="n"/>
      <c r="R751" s="14" t="n"/>
    </row>
    <row r="752">
      <c r="A752" s="14" t="inlineStr">
        <is>
          <t>FM3550</t>
        </is>
      </c>
      <c r="B752" s="14" t="n"/>
      <c r="C752" s="13" t="n">
        <v>45947</v>
      </c>
      <c r="D752" s="12" t="inlineStr">
        <is>
          <t>PO:029426</t>
        </is>
      </c>
      <c r="E752" s="14" t="inlineStr">
        <is>
          <t>Atlas Air</t>
        </is>
      </c>
      <c r="F752" s="14" t="inlineStr">
        <is>
          <t>Various Fans</t>
        </is>
      </c>
      <c r="G752" s="20" t="n">
        <v>32</v>
      </c>
      <c r="H752" s="19" t="n">
        <v>35605</v>
      </c>
      <c r="I752" s="18" t="n">
        <v>35605</v>
      </c>
      <c r="J752" s="11" t="n"/>
      <c r="K752" s="17" t="n"/>
      <c r="L752" s="16">
        <f>K752+C752</f>
        <v/>
      </c>
      <c r="M752" s="11" t="inlineStr">
        <is>
          <t>MT</t>
        </is>
      </c>
      <c r="N752" s="15" t="n"/>
      <c r="O752" s="14" t="n"/>
      <c r="P752" s="14" t="n"/>
      <c r="Q752" s="14" t="n"/>
      <c r="R752" s="14" t="n"/>
    </row>
    <row r="753">
      <c r="A753" s="14" t="inlineStr">
        <is>
          <t>FM3551</t>
        </is>
      </c>
      <c r="B753" s="14" t="n"/>
      <c r="C753" s="13" t="n">
        <v>45947</v>
      </c>
      <c r="D753" s="12" t="inlineStr">
        <is>
          <t>Cash sale</t>
        </is>
      </c>
      <c r="E753" s="14" t="inlineStr">
        <is>
          <t>Sulit</t>
        </is>
      </c>
      <c r="F753" s="14" t="inlineStr">
        <is>
          <t>Airmax 500</t>
        </is>
      </c>
      <c r="G753" s="20" t="n">
        <v>1</v>
      </c>
      <c r="H753" s="19" t="n">
        <v>1637</v>
      </c>
      <c r="I753" s="18">
        <f>G753*H753</f>
        <v/>
      </c>
      <c r="J753" s="11" t="n"/>
      <c r="K753" s="17" t="n"/>
      <c r="L753" s="16">
        <f>K753+C753</f>
        <v/>
      </c>
      <c r="M753" s="11" t="inlineStr">
        <is>
          <t>MT</t>
        </is>
      </c>
      <c r="N753" s="15" t="n"/>
      <c r="O753" s="14" t="n"/>
      <c r="P753" s="14" t="n"/>
      <c r="Q753" s="14" t="n"/>
      <c r="R753" s="14" t="n"/>
    </row>
    <row r="754">
      <c r="A754" s="14" t="inlineStr">
        <is>
          <t>FM3552</t>
        </is>
      </c>
      <c r="B754" s="14" t="n"/>
      <c r="C754" s="13" t="n">
        <v>45947</v>
      </c>
      <c r="D754" s="12" t="inlineStr">
        <is>
          <t>Cash sale</t>
        </is>
      </c>
      <c r="E754" s="14" t="inlineStr">
        <is>
          <t>PCE Group Pty Ltd</t>
        </is>
      </c>
      <c r="F754" s="14" t="inlineStr">
        <is>
          <t>RAD 355 &amp; 355 Tubes Silencers 600L</t>
        </is>
      </c>
      <c r="G754" s="20" t="n">
        <v>6</v>
      </c>
      <c r="H754" s="19" t="n">
        <v>2050.33</v>
      </c>
      <c r="I754" s="18">
        <f>G754*H754</f>
        <v/>
      </c>
      <c r="J754" s="11" t="n"/>
      <c r="K754" s="17" t="n"/>
      <c r="L754" s="16">
        <f>K754+C754</f>
        <v/>
      </c>
      <c r="M754" s="11" t="inlineStr">
        <is>
          <t>SM</t>
        </is>
      </c>
      <c r="N754" s="15" t="n"/>
      <c r="O754" s="14" t="n"/>
      <c r="P754" s="14" t="n"/>
      <c r="Q754" s="14" t="n"/>
      <c r="R754" s="14" t="n"/>
    </row>
    <row r="755">
      <c r="A755" s="14" t="inlineStr">
        <is>
          <t>FM3553</t>
        </is>
      </c>
      <c r="B755" s="14" t="n"/>
      <c r="C755" s="13" t="n">
        <v>45947</v>
      </c>
      <c r="D755" s="12" t="inlineStr">
        <is>
          <t>Cash Sale</t>
        </is>
      </c>
      <c r="E755" s="14" t="inlineStr">
        <is>
          <t>ABMS Engineering</t>
        </is>
      </c>
      <c r="F755" s="14" t="inlineStr">
        <is>
          <t>Rad 315</t>
        </is>
      </c>
      <c r="G755" s="20" t="n">
        <v>2</v>
      </c>
      <c r="H755" s="19" t="n">
        <v>3391</v>
      </c>
      <c r="I755" s="18">
        <f>G755*H755</f>
        <v/>
      </c>
      <c r="J755" s="11" t="n"/>
      <c r="K755" s="17" t="n"/>
      <c r="L755" s="16">
        <f>K755+C755</f>
        <v/>
      </c>
      <c r="M755" s="11" t="inlineStr">
        <is>
          <t>MT</t>
        </is>
      </c>
      <c r="N755" s="15" t="n"/>
      <c r="O755" s="14" t="n"/>
      <c r="P755" s="14" t="n"/>
      <c r="Q755" s="14" t="n"/>
      <c r="R755" s="14" t="n"/>
    </row>
    <row r="756">
      <c r="A756" s="14" t="inlineStr">
        <is>
          <t>FM3554</t>
        </is>
      </c>
      <c r="B756" s="14" t="n"/>
      <c r="C756" s="13" t="n">
        <v>45947</v>
      </c>
      <c r="D756" s="12" t="inlineStr">
        <is>
          <t>Cash Sale</t>
        </is>
      </c>
      <c r="E756" s="14" t="inlineStr">
        <is>
          <t xml:space="preserve">Owza Trading &amp; Projects </t>
        </is>
      </c>
      <c r="F756" s="14" t="inlineStr">
        <is>
          <t>AT 18/18 SC</t>
        </is>
      </c>
      <c r="G756" s="20" t="n">
        <v>1</v>
      </c>
      <c r="H756" s="19" t="n">
        <v>7253</v>
      </c>
      <c r="I756" s="18">
        <f>G756*H756</f>
        <v/>
      </c>
      <c r="J756" s="11" t="n"/>
      <c r="K756" s="17" t="n"/>
      <c r="L756" s="16">
        <f>K756+C756</f>
        <v/>
      </c>
      <c r="M756" s="11" t="inlineStr">
        <is>
          <t>SM</t>
        </is>
      </c>
      <c r="N756" s="15" t="n"/>
      <c r="O756" s="14" t="n"/>
      <c r="P756" s="14" t="n"/>
      <c r="Q756" s="14" t="n"/>
      <c r="R756" s="14" t="n"/>
    </row>
    <row r="757">
      <c r="A757" s="14" t="inlineStr">
        <is>
          <t>FM3555</t>
        </is>
      </c>
      <c r="B757" s="14" t="n"/>
      <c r="C757" s="13" t="n">
        <v>45947</v>
      </c>
      <c r="D757" s="12" t="inlineStr">
        <is>
          <t>PO:029430</t>
        </is>
      </c>
      <c r="E757" s="14" t="inlineStr">
        <is>
          <t>Atlas Air</t>
        </is>
      </c>
      <c r="F757" s="14" t="inlineStr">
        <is>
          <t>RAD315&amp;RAD250 &amp;Accesories &amp; Speed controller</t>
        </is>
      </c>
      <c r="G757" s="20" t="n">
        <v>15</v>
      </c>
      <c r="H757" s="19" t="n">
        <v>22172</v>
      </c>
      <c r="I757" s="18" t="n">
        <v>22172</v>
      </c>
      <c r="J757" s="11" t="n"/>
      <c r="K757" s="17" t="n"/>
      <c r="L757" s="16">
        <f>K757+C757</f>
        <v/>
      </c>
      <c r="M757" s="11" t="inlineStr">
        <is>
          <t>MT</t>
        </is>
      </c>
      <c r="N757" s="15" t="n"/>
      <c r="O757" s="14" t="n"/>
      <c r="P757" s="14" t="n"/>
      <c r="Q757" s="14" t="n"/>
      <c r="R757" s="14" t="n"/>
    </row>
    <row r="758">
      <c r="A758" s="14" t="inlineStr">
        <is>
          <t>FM3556</t>
        </is>
      </c>
      <c r="B758" s="14" t="n"/>
      <c r="C758" s="13" t="n">
        <v>45947</v>
      </c>
      <c r="D758" s="12" t="inlineStr">
        <is>
          <t>PO2132</t>
        </is>
      </c>
      <c r="E758" s="14" t="inlineStr">
        <is>
          <t xml:space="preserve">Hucra Fans </t>
        </is>
      </c>
      <c r="F758" s="14" t="inlineStr">
        <is>
          <t>DDM 9/9 - 6N02R9 Nicotra 550W/4P/230V</t>
        </is>
      </c>
      <c r="G758" s="20" t="n">
        <v>4</v>
      </c>
      <c r="H758" s="19" t="n">
        <v>7470</v>
      </c>
      <c r="I758" s="18">
        <f>G758*H758</f>
        <v/>
      </c>
      <c r="J758" s="11" t="n"/>
      <c r="K758" s="17" t="n"/>
      <c r="L758" s="16">
        <f>K758+C758</f>
        <v/>
      </c>
      <c r="M758" s="11" t="inlineStr">
        <is>
          <t>ZX</t>
        </is>
      </c>
      <c r="N758" s="15" t="n"/>
      <c r="O758" s="14" t="n"/>
      <c r="P758" s="14" t="n"/>
      <c r="Q758" s="14" t="n"/>
      <c r="R758" s="14" t="n"/>
    </row>
    <row r="759">
      <c r="A759" s="14" t="inlineStr">
        <is>
          <t>FM3557</t>
        </is>
      </c>
      <c r="B759" s="14" t="n"/>
      <c r="C759" s="13" t="n">
        <v>45947</v>
      </c>
      <c r="D759" s="12" t="inlineStr">
        <is>
          <t>Cash Sale</t>
        </is>
      </c>
      <c r="E759" s="14" t="inlineStr">
        <is>
          <t>LJ Trading</t>
        </is>
      </c>
      <c r="F759" s="14" t="inlineStr">
        <is>
          <t>Various Accessories</t>
        </is>
      </c>
      <c r="G759" s="20" t="n">
        <v>1</v>
      </c>
      <c r="H759" s="19" t="n">
        <v>10582</v>
      </c>
      <c r="I759" s="18">
        <f>G759*H759</f>
        <v/>
      </c>
      <c r="J759" s="11" t="n"/>
      <c r="K759" s="17" t="n"/>
      <c r="L759" s="16">
        <f>K759+C759</f>
        <v/>
      </c>
      <c r="M759" s="11" t="inlineStr">
        <is>
          <t>SM</t>
        </is>
      </c>
      <c r="N759" s="15" t="n"/>
      <c r="O759" s="14" t="n"/>
      <c r="P759" s="14" t="n"/>
      <c r="Q759" s="14" t="n"/>
      <c r="R759" s="14" t="n"/>
    </row>
    <row r="760">
      <c r="A760" s="14" t="inlineStr">
        <is>
          <t>FM3558</t>
        </is>
      </c>
      <c r="B760" s="14" t="n"/>
      <c r="C760" s="13" t="n">
        <v>45950</v>
      </c>
      <c r="D760" s="12" t="inlineStr">
        <is>
          <t>Cash Sale</t>
        </is>
      </c>
      <c r="E760" s="14" t="inlineStr">
        <is>
          <t>Sphetho Trading Pty Ltd</t>
        </is>
      </c>
      <c r="F760" s="14" t="inlineStr">
        <is>
          <t>RAD 200 &amp; 150</t>
        </is>
      </c>
      <c r="G760" s="20" t="n">
        <v>1</v>
      </c>
      <c r="H760" s="19" t="n">
        <v>4450</v>
      </c>
      <c r="I760" s="18">
        <f>G760*H760</f>
        <v/>
      </c>
      <c r="J760" s="11" t="n"/>
      <c r="K760" s="17" t="n"/>
      <c r="L760" s="16">
        <f>K760+C760</f>
        <v/>
      </c>
      <c r="M760" s="11" t="inlineStr">
        <is>
          <t>SM</t>
        </is>
      </c>
      <c r="N760" s="15" t="n"/>
      <c r="O760" s="14" t="n"/>
      <c r="P760" s="14" t="n"/>
      <c r="Q760" s="14" t="n"/>
      <c r="R760" s="14" t="n"/>
    </row>
    <row r="761">
      <c r="A761" s="14" t="inlineStr">
        <is>
          <t>FM3559</t>
        </is>
      </c>
      <c r="B761" s="14" t="n"/>
      <c r="C761" s="13" t="n">
        <v>45950</v>
      </c>
      <c r="D761" s="12" t="inlineStr">
        <is>
          <t>Cash Sale</t>
        </is>
      </c>
      <c r="E761" s="14" t="inlineStr">
        <is>
          <t>Celette SA</t>
        </is>
      </c>
      <c r="F761" s="14" t="inlineStr">
        <is>
          <t>AT 18/18 SC</t>
        </is>
      </c>
      <c r="G761" s="20" t="n">
        <v>1</v>
      </c>
      <c r="H761" s="19" t="n">
        <v>7253</v>
      </c>
      <c r="I761" s="18">
        <f>G761*H761</f>
        <v/>
      </c>
      <c r="J761" s="11" t="n"/>
      <c r="K761" s="17" t="n"/>
      <c r="L761" s="16">
        <f>K761+C761</f>
        <v/>
      </c>
      <c r="M761" s="11" t="inlineStr">
        <is>
          <t>ST</t>
        </is>
      </c>
      <c r="N761" s="15" t="n"/>
      <c r="O761" s="14" t="n"/>
      <c r="P761" s="14" t="n"/>
      <c r="Q761" s="14" t="n"/>
      <c r="R761" s="14" t="n"/>
    </row>
    <row r="762">
      <c r="A762" s="14" t="inlineStr">
        <is>
          <t>FM3560</t>
        </is>
      </c>
      <c r="B762" s="14" t="n"/>
      <c r="C762" s="13" t="n">
        <v>45951</v>
      </c>
      <c r="D762" s="12" t="inlineStr">
        <is>
          <t>Cash Sale</t>
        </is>
      </c>
      <c r="E762" s="14" t="inlineStr">
        <is>
          <t>CDC Airconditioning</t>
        </is>
      </c>
      <c r="F762" s="14" t="inlineStr">
        <is>
          <t>UV 400/3/6 c/w 0.55kW 6 Pole 380V</t>
        </is>
      </c>
      <c r="G762" s="20" t="n">
        <v>1</v>
      </c>
      <c r="H762" s="19">
        <f>14046.56+1766</f>
        <v/>
      </c>
      <c r="I762" s="18">
        <f>G762*H762</f>
        <v/>
      </c>
      <c r="J762" s="11" t="n"/>
      <c r="K762" s="17" t="n"/>
      <c r="L762" s="16">
        <f>K762+C762</f>
        <v/>
      </c>
      <c r="M762" s="11" t="inlineStr">
        <is>
          <t>SM</t>
        </is>
      </c>
      <c r="N762" s="15" t="n"/>
      <c r="O762" s="14" t="n"/>
      <c r="P762" s="14" t="n"/>
      <c r="Q762" s="14" t="n"/>
      <c r="R762" s="14" t="n"/>
    </row>
    <row r="763">
      <c r="A763" s="14" t="inlineStr">
        <is>
          <t>FM3561</t>
        </is>
      </c>
      <c r="B763" s="14" t="n"/>
      <c r="C763" s="13" t="n">
        <v>45951</v>
      </c>
      <c r="D763" s="12" t="inlineStr">
        <is>
          <t>DPO-1220</t>
        </is>
      </c>
      <c r="E763" s="14" t="inlineStr">
        <is>
          <t>Dueltron</t>
        </is>
      </c>
      <c r="F763" s="14" t="inlineStr">
        <is>
          <t>CMA 531 2M 2HP 2P</t>
        </is>
      </c>
      <c r="G763" s="20" t="n">
        <v>3</v>
      </c>
      <c r="H763" s="19" t="n">
        <v>38312</v>
      </c>
      <c r="I763" s="18">
        <f>G763*H763</f>
        <v/>
      </c>
      <c r="J763" s="11" t="n"/>
      <c r="K763" s="17" t="n"/>
      <c r="L763" s="16">
        <f>K763+C763</f>
        <v/>
      </c>
      <c r="M763" s="11" t="inlineStr">
        <is>
          <t>MT</t>
        </is>
      </c>
      <c r="N763" s="15" t="n"/>
      <c r="O763" s="14" t="n"/>
      <c r="P763" s="14" t="n"/>
      <c r="Q763" s="14" t="n"/>
      <c r="R763" s="14" t="n"/>
    </row>
    <row r="764">
      <c r="A764" s="14" t="inlineStr">
        <is>
          <t>FM3562</t>
        </is>
      </c>
      <c r="B764" s="14" t="n"/>
      <c r="C764" s="13" t="n">
        <v>45952</v>
      </c>
      <c r="D764" s="12" t="inlineStr">
        <is>
          <t>DPO-1221</t>
        </is>
      </c>
      <c r="E764" s="14" t="inlineStr">
        <is>
          <t>Dueltron</t>
        </is>
      </c>
      <c r="F764" s="14" t="inlineStr">
        <is>
          <t>Majax 800 c/w 3kw 4p 380V</t>
        </is>
      </c>
      <c r="G764" s="20" t="n">
        <v>1</v>
      </c>
      <c r="H764" s="19" t="n">
        <v>14139.74</v>
      </c>
      <c r="I764" s="18">
        <f>G764*H764</f>
        <v/>
      </c>
      <c r="J764" s="11" t="n"/>
      <c r="K764" s="17" t="n"/>
      <c r="L764" s="16">
        <f>K764+C764</f>
        <v/>
      </c>
      <c r="M764" s="11" t="inlineStr">
        <is>
          <t>MT</t>
        </is>
      </c>
      <c r="N764" s="15" t="n"/>
      <c r="O764" s="14" t="n"/>
      <c r="P764" s="14" t="n"/>
      <c r="Q764" s="14" t="n"/>
      <c r="R764" s="14" t="n"/>
    </row>
    <row r="765">
      <c r="A765" s="14" t="inlineStr">
        <is>
          <t>FM3563</t>
        </is>
      </c>
      <c r="B765" s="14" t="n"/>
      <c r="C765" s="13" t="n">
        <v>45953</v>
      </c>
      <c r="D765" s="12" t="inlineStr">
        <is>
          <t>PO:4500208447</t>
        </is>
      </c>
      <c r="E765" s="14" t="inlineStr">
        <is>
          <t>Rand Refinery</t>
        </is>
      </c>
      <c r="F765" s="14" t="inlineStr">
        <is>
          <t>500diam 1.5D 750mm Long Attenuators</t>
        </is>
      </c>
      <c r="G765" s="20" t="n">
        <v>4</v>
      </c>
      <c r="H765" s="19" t="n">
        <v>5836</v>
      </c>
      <c r="I765" s="18">
        <f>G765*H765</f>
        <v/>
      </c>
      <c r="J765" s="11" t="n"/>
      <c r="K765" s="17" t="n"/>
      <c r="L765" s="16">
        <f>K765+C765</f>
        <v/>
      </c>
      <c r="M765" s="11" t="inlineStr">
        <is>
          <t>MT</t>
        </is>
      </c>
      <c r="N765" s="15" t="n"/>
      <c r="O765" s="14" t="n"/>
      <c r="P765" s="14" t="n"/>
      <c r="Q765" s="14" t="n"/>
      <c r="R765" s="14" t="n"/>
    </row>
    <row r="766">
      <c r="A766" s="14" t="inlineStr">
        <is>
          <t>FM3564</t>
        </is>
      </c>
      <c r="B766" s="14" t="n"/>
      <c r="C766" s="13" t="n">
        <v>45954</v>
      </c>
      <c r="D766" s="12" t="inlineStr">
        <is>
          <t>Cash Sale</t>
        </is>
      </c>
      <c r="E766" s="14" t="inlineStr">
        <is>
          <t>Botaniq</t>
        </is>
      </c>
      <c r="F766" s="14" t="inlineStr">
        <is>
          <t>C20/2T</t>
        </is>
      </c>
      <c r="G766" s="20" t="n">
        <v>1</v>
      </c>
      <c r="H766" s="19">
        <f>15180*0.95</f>
        <v/>
      </c>
      <c r="I766" s="18">
        <f>G766*H766</f>
        <v/>
      </c>
      <c r="J766" s="11" t="inlineStr">
        <is>
          <t>N/A</t>
        </is>
      </c>
      <c r="K766" s="17" t="n">
        <v>0</v>
      </c>
      <c r="L766" s="16">
        <f>K766+C766</f>
        <v/>
      </c>
      <c r="M766" s="11" t="inlineStr">
        <is>
          <t>SM</t>
        </is>
      </c>
      <c r="N766" s="15" t="n"/>
      <c r="O766" s="14" t="n"/>
      <c r="P766" s="14" t="n"/>
      <c r="Q766" s="14" t="n"/>
      <c r="R766" s="14" t="n"/>
    </row>
    <row r="767">
      <c r="A767" s="14" t="inlineStr">
        <is>
          <t>FM3565</t>
        </is>
      </c>
      <c r="B767" s="14" t="n"/>
      <c r="C767" s="13" t="n">
        <v>45955</v>
      </c>
      <c r="D767" s="12" t="n">
        <v>501515</v>
      </c>
      <c r="E767" s="14" t="inlineStr">
        <is>
          <t>Fans Maintenance &amp; More</t>
        </is>
      </c>
      <c r="F767" s="14" t="inlineStr">
        <is>
          <t>RAD 250</t>
        </is>
      </c>
      <c r="G767" s="20" t="n">
        <v>2</v>
      </c>
      <c r="H767" s="19" t="n">
        <v>2202</v>
      </c>
      <c r="I767" s="18">
        <f>G767*H767</f>
        <v/>
      </c>
      <c r="J767" s="11" t="inlineStr">
        <is>
          <t>N/A</t>
        </is>
      </c>
      <c r="K767" s="17" t="n">
        <v>0</v>
      </c>
      <c r="L767" s="16">
        <f>K767+C767</f>
        <v/>
      </c>
      <c r="M767" s="11" t="inlineStr">
        <is>
          <t>ZX</t>
        </is>
      </c>
      <c r="N767" s="15" t="n"/>
      <c r="O767" s="14" t="n"/>
      <c r="P767" s="14" t="n"/>
      <c r="Q767" s="14" t="n"/>
      <c r="R767" s="14" t="n"/>
    </row>
    <row r="768">
      <c r="A768" s="14" t="inlineStr">
        <is>
          <t>FM3566</t>
        </is>
      </c>
      <c r="B768" s="14" t="n"/>
      <c r="C768" s="13" t="n">
        <v>45951</v>
      </c>
      <c r="D768" s="12" t="inlineStr">
        <is>
          <t>Cash Sale</t>
        </is>
      </c>
      <c r="E768" s="14" t="inlineStr">
        <is>
          <t>LJ Trading &amp; Projects (Pty) Ltd</t>
        </is>
      </c>
      <c r="F768" s="14" t="inlineStr">
        <is>
          <t>Maxflo 900/250/14 c/w kw 3P 380V &amp; Accessories</t>
        </is>
      </c>
      <c r="G768" s="20" t="n">
        <v>1</v>
      </c>
      <c r="H768" s="19" t="n">
        <v>28204</v>
      </c>
      <c r="I768" s="18">
        <f>G768*H768</f>
        <v/>
      </c>
      <c r="J768" s="11" t="inlineStr">
        <is>
          <t>N/A</t>
        </is>
      </c>
      <c r="K768" s="17" t="n">
        <v>3</v>
      </c>
      <c r="L768" s="16">
        <f>K768+C768</f>
        <v/>
      </c>
      <c r="M768" s="11" t="inlineStr">
        <is>
          <t>SM</t>
        </is>
      </c>
      <c r="N768" s="15" t="n"/>
      <c r="O768" s="14" t="n"/>
      <c r="P768" s="14" t="n"/>
      <c r="Q768" s="14" t="n"/>
      <c r="R768" s="14" t="n"/>
    </row>
    <row r="769">
      <c r="A769" s="14" t="inlineStr">
        <is>
          <t>FM3567</t>
        </is>
      </c>
      <c r="B769" s="14" t="n"/>
      <c r="C769" s="13" t="n">
        <v>45951</v>
      </c>
      <c r="D769" s="12" t="inlineStr">
        <is>
          <t>cash sale</t>
        </is>
      </c>
      <c r="E769" s="14" t="inlineStr">
        <is>
          <t>LJ Trading &amp; Projects (Pty) Ltd</t>
        </is>
      </c>
      <c r="F769" s="14" t="inlineStr">
        <is>
          <t>0.75kw 2P 380V pad mount Motor</t>
        </is>
      </c>
      <c r="G769" s="20" t="n">
        <v>1</v>
      </c>
      <c r="H769" s="19" t="n">
        <v>3642</v>
      </c>
      <c r="I769" s="18">
        <f>G769*H769</f>
        <v/>
      </c>
      <c r="J769" s="11" t="inlineStr">
        <is>
          <t>N/A</t>
        </is>
      </c>
      <c r="K769" s="17" t="n">
        <v>3</v>
      </c>
      <c r="L769" s="16">
        <f>K769+C769</f>
        <v/>
      </c>
      <c r="M769" s="11" t="inlineStr">
        <is>
          <t>SM</t>
        </is>
      </c>
      <c r="N769" s="15" t="n"/>
      <c r="O769" s="14" t="n"/>
      <c r="P769" s="14" t="n"/>
      <c r="Q769" s="14" t="n"/>
      <c r="R769" s="14" t="n"/>
    </row>
    <row r="770">
      <c r="A770" s="14" t="inlineStr">
        <is>
          <t>FM3568</t>
        </is>
      </c>
      <c r="B770" s="14" t="n"/>
      <c r="C770" s="13" t="n">
        <v>45951</v>
      </c>
      <c r="D770" s="12" t="n">
        <v>208076</v>
      </c>
      <c r="E770" s="14" t="inlineStr">
        <is>
          <t>Kenmare</t>
        </is>
      </c>
      <c r="F770" s="14" t="inlineStr">
        <is>
          <t>Majax 500 c/w 5.5kW SP</t>
        </is>
      </c>
      <c r="G770" s="20" t="n">
        <v>1</v>
      </c>
      <c r="H770" s="19" t="n">
        <v>35208</v>
      </c>
      <c r="I770" s="18">
        <f>G770*H770</f>
        <v/>
      </c>
      <c r="J770" s="11" t="inlineStr">
        <is>
          <t>N/A</t>
        </is>
      </c>
      <c r="K770" s="17" t="n">
        <v>12</v>
      </c>
      <c r="L770" s="16">
        <f>K770+C770</f>
        <v/>
      </c>
      <c r="M770" s="11" t="n"/>
      <c r="N770" s="15" t="n"/>
      <c r="O770" s="14" t="n"/>
      <c r="P770" s="14" t="n"/>
      <c r="Q770" s="14" t="n"/>
      <c r="R770" s="14" t="n"/>
    </row>
    <row r="771">
      <c r="A771" s="14" t="inlineStr">
        <is>
          <t>FM3569</t>
        </is>
      </c>
      <c r="B771" s="14" t="n"/>
      <c r="C771" s="13" t="inlineStr">
        <is>
          <t>22/10/2025</t>
        </is>
      </c>
      <c r="D771" s="12" t="inlineStr">
        <is>
          <t>PO 582/25</t>
        </is>
      </c>
      <c r="E771" s="14" t="inlineStr">
        <is>
          <t>Electric 2000</t>
        </is>
      </c>
      <c r="F771" s="14" t="inlineStr">
        <is>
          <t>Majax 315 c/w 0.37kW 2Pole</t>
        </is>
      </c>
      <c r="G771" s="20" t="n">
        <v>1</v>
      </c>
      <c r="H771" s="19" t="n">
        <v>9381</v>
      </c>
      <c r="I771" s="18">
        <f>G771*H771</f>
        <v/>
      </c>
      <c r="J771" s="11" t="inlineStr">
        <is>
          <t>N/A</t>
        </is>
      </c>
      <c r="K771" s="17" t="n">
        <v>5</v>
      </c>
      <c r="L771" s="16" t="inlineStr">
        <is>
          <t>27/10/2025</t>
        </is>
      </c>
      <c r="M771" s="11" t="n"/>
      <c r="N771" s="15" t="n"/>
      <c r="O771" s="14" t="n"/>
      <c r="P771" s="14" t="n"/>
      <c r="Q771" s="14" t="n"/>
      <c r="R771" s="14" t="n"/>
    </row>
    <row r="772">
      <c r="A772" s="14" t="inlineStr">
        <is>
          <t>FM3570</t>
        </is>
      </c>
      <c r="B772" s="14" t="n"/>
      <c r="C772" s="13" t="n">
        <v>45952</v>
      </c>
      <c r="D772" s="12" t="inlineStr">
        <is>
          <t>PO2133</t>
        </is>
      </c>
      <c r="E772" s="14" t="inlineStr">
        <is>
          <t xml:space="preserve">Hucra Fans </t>
        </is>
      </c>
      <c r="F772" s="14" t="inlineStr">
        <is>
          <t>CDC 160</t>
        </is>
      </c>
      <c r="G772" s="20" t="n">
        <v>1</v>
      </c>
      <c r="H772" s="19" t="n">
        <v>1741</v>
      </c>
      <c r="I772" s="18">
        <f>G772*H772</f>
        <v/>
      </c>
      <c r="J772" s="11" t="inlineStr">
        <is>
          <t>N/A</t>
        </is>
      </c>
      <c r="K772" s="17" t="n">
        <v>2</v>
      </c>
      <c r="L772" s="16">
        <f>K772+C772</f>
        <v/>
      </c>
      <c r="M772" s="11" t="n"/>
      <c r="N772" s="15" t="n"/>
      <c r="O772" s="14" t="n"/>
      <c r="P772" s="14" t="n"/>
      <c r="Q772" s="14" t="n"/>
      <c r="R772" s="14" t="n"/>
    </row>
    <row r="773">
      <c r="A773" s="14" t="inlineStr">
        <is>
          <t>FM3571</t>
        </is>
      </c>
      <c r="B773" s="14" t="n"/>
      <c r="C773" s="13" t="n">
        <v>45953</v>
      </c>
      <c r="D773" s="12" t="inlineStr">
        <is>
          <t>Cash sale</t>
        </is>
      </c>
      <c r="E773" s="14" t="inlineStr">
        <is>
          <t>Partek SA</t>
        </is>
      </c>
      <c r="F773" s="14" t="inlineStr">
        <is>
          <t>Maxflo 560 impeller</t>
        </is>
      </c>
      <c r="G773" s="20" t="n">
        <v>1</v>
      </c>
      <c r="H773" s="19" t="n">
        <v>1850</v>
      </c>
      <c r="I773" s="18">
        <f>G773*H773</f>
        <v/>
      </c>
      <c r="J773" s="11" t="inlineStr">
        <is>
          <t>N/A</t>
        </is>
      </c>
      <c r="K773" s="17" t="n">
        <v>0</v>
      </c>
      <c r="L773" s="16">
        <f>K773+C773</f>
        <v/>
      </c>
      <c r="M773" s="11" t="n"/>
      <c r="N773" s="15" t="n"/>
      <c r="O773" s="14" t="n"/>
      <c r="P773" s="14" t="n"/>
      <c r="Q773" s="14" t="n"/>
      <c r="R773" s="14" t="n"/>
    </row>
    <row r="774">
      <c r="A774" s="14" t="inlineStr">
        <is>
          <t>FM3572</t>
        </is>
      </c>
      <c r="B774" s="14" t="n"/>
      <c r="C774" s="13" t="n">
        <v>45954</v>
      </c>
      <c r="D774" s="12" t="inlineStr">
        <is>
          <t>PO:EE6526</t>
        </is>
      </c>
      <c r="E774" s="14" t="inlineStr">
        <is>
          <t>Elmec Air</t>
        </is>
      </c>
      <c r="F774" s="14" t="inlineStr">
        <is>
          <t>Various Fans</t>
        </is>
      </c>
      <c r="G774" s="20" t="n">
        <v>14</v>
      </c>
      <c r="H774" s="19" t="n">
        <v>90907</v>
      </c>
      <c r="I774" s="18" t="n">
        <v>90907</v>
      </c>
      <c r="J774" s="11" t="inlineStr">
        <is>
          <t>N/A</t>
        </is>
      </c>
      <c r="K774" s="17" t="n">
        <v>0</v>
      </c>
      <c r="L774" s="16">
        <f>K774+C774</f>
        <v/>
      </c>
      <c r="M774" s="11" t="inlineStr">
        <is>
          <t>MT</t>
        </is>
      </c>
      <c r="N774" s="15" t="n"/>
      <c r="O774" s="14" t="n"/>
      <c r="P774" s="14" t="n"/>
      <c r="Q774" s="14" t="n"/>
      <c r="R774" s="14" t="n"/>
    </row>
    <row r="775">
      <c r="A775" s="14" t="inlineStr">
        <is>
          <t>FM3573</t>
        </is>
      </c>
      <c r="B775" s="14" t="n"/>
      <c r="C775" s="13" t="n">
        <v>45954</v>
      </c>
      <c r="D775" s="12" t="inlineStr">
        <is>
          <t>Cash Sale</t>
        </is>
      </c>
      <c r="E775" s="14" t="inlineStr">
        <is>
          <t>LJ Trading</t>
        </is>
      </c>
      <c r="F775" s="14" t="inlineStr">
        <is>
          <t>Accessories</t>
        </is>
      </c>
      <c r="G775" s="20" t="n">
        <v>1</v>
      </c>
      <c r="H775" s="19" t="n"/>
      <c r="I775" s="18" t="n">
        <v>90907</v>
      </c>
      <c r="J775" s="11" t="inlineStr">
        <is>
          <t>N/A</t>
        </is>
      </c>
      <c r="K775" s="17" t="n">
        <v>0</v>
      </c>
      <c r="L775" s="16">
        <f>K775+C775</f>
        <v/>
      </c>
      <c r="M775" s="11" t="n"/>
      <c r="N775" s="15" t="n"/>
      <c r="O775" s="14" t="n"/>
      <c r="P775" s="14" t="n"/>
      <c r="Q775" s="14" t="n"/>
      <c r="R775" s="14" t="n"/>
    </row>
    <row r="776">
      <c r="A776" s="14" t="inlineStr">
        <is>
          <t>FM3574</t>
        </is>
      </c>
      <c r="B776" s="14" t="n"/>
      <c r="C776" s="13" t="n">
        <v>45954</v>
      </c>
      <c r="D776" s="12" t="inlineStr">
        <is>
          <t>PO2134</t>
        </is>
      </c>
      <c r="E776" s="14" t="inlineStr">
        <is>
          <t xml:space="preserve">Hucra Fans </t>
        </is>
      </c>
      <c r="F776" s="14" t="inlineStr">
        <is>
          <t>Lineo 150 Quiet</t>
        </is>
      </c>
      <c r="G776" s="20" t="n">
        <v>1</v>
      </c>
      <c r="H776" s="19" t="n">
        <v>2984</v>
      </c>
      <c r="I776" s="18">
        <f>G776*H776</f>
        <v/>
      </c>
      <c r="J776" s="11" t="inlineStr">
        <is>
          <t>N/A</t>
        </is>
      </c>
      <c r="K776" s="17" t="n">
        <v>0</v>
      </c>
      <c r="L776" s="16">
        <f>K776+C776</f>
        <v/>
      </c>
      <c r="M776" s="11" t="inlineStr">
        <is>
          <t>ZX</t>
        </is>
      </c>
      <c r="N776" s="15" t="n"/>
      <c r="O776" s="14" t="n"/>
      <c r="P776" s="14" t="n"/>
      <c r="Q776" s="14" t="n"/>
      <c r="R776" s="14" t="n"/>
    </row>
    <row r="777">
      <c r="A777" s="14" t="inlineStr">
        <is>
          <t>FM3575</t>
        </is>
      </c>
      <c r="B777" s="14" t="n"/>
      <c r="C777" s="13" t="n">
        <v>45954</v>
      </c>
      <c r="D777" s="12" t="inlineStr">
        <is>
          <t>PO2135</t>
        </is>
      </c>
      <c r="E777" s="14" t="inlineStr">
        <is>
          <t xml:space="preserve">Hucra Fans </t>
        </is>
      </c>
      <c r="F777" s="14" t="inlineStr">
        <is>
          <t>Lineo 315</t>
        </is>
      </c>
      <c r="G777" s="20" t="n">
        <v>2</v>
      </c>
      <c r="H777" s="19" t="n">
        <v>5983</v>
      </c>
      <c r="I777" s="18">
        <f>G777*H777</f>
        <v/>
      </c>
      <c r="J777" s="11" t="inlineStr">
        <is>
          <t>N/A</t>
        </is>
      </c>
      <c r="K777" s="17" t="n">
        <v>0</v>
      </c>
      <c r="L777" s="16">
        <f>K777+C777</f>
        <v/>
      </c>
      <c r="M777" s="11" t="inlineStr">
        <is>
          <t>ZX</t>
        </is>
      </c>
      <c r="N777" s="15" t="n"/>
      <c r="O777" s="14" t="n"/>
      <c r="P777" s="14" t="n"/>
      <c r="Q777" s="14" t="n"/>
      <c r="R777" s="14" t="n"/>
    </row>
    <row r="778">
      <c r="A778" s="14" t="inlineStr">
        <is>
          <t>FM3576</t>
        </is>
      </c>
      <c r="B778" s="14" t="n"/>
      <c r="C778" s="13" t="n">
        <v>45954</v>
      </c>
      <c r="D778" s="12" t="inlineStr">
        <is>
          <t>Cash sale</t>
        </is>
      </c>
      <c r="E778" s="14" t="inlineStr">
        <is>
          <t>Zefs More Vision</t>
        </is>
      </c>
      <c r="F778" s="14" t="inlineStr">
        <is>
          <t>Maxflo 560 c/w 1.1kw 4p 380v &amp; Accessories</t>
        </is>
      </c>
      <c r="G778" s="20" t="n">
        <v>1</v>
      </c>
      <c r="H778" s="19" t="n">
        <v>9826.190000000001</v>
      </c>
      <c r="I778" s="18">
        <f>G778*H778</f>
        <v/>
      </c>
      <c r="J778" s="11" t="inlineStr">
        <is>
          <t>N/A</t>
        </is>
      </c>
      <c r="K778" s="17" t="n">
        <v>5</v>
      </c>
      <c r="L778" s="16">
        <f>K778+C778</f>
        <v/>
      </c>
      <c r="M778" s="11" t="inlineStr">
        <is>
          <t>MT</t>
        </is>
      </c>
      <c r="N778" s="15" t="n"/>
      <c r="O778" s="14" t="n"/>
      <c r="P778" s="14" t="n"/>
      <c r="Q778" s="14" t="n"/>
      <c r="R778" s="14" t="n"/>
    </row>
    <row r="779">
      <c r="A779" s="14" t="inlineStr">
        <is>
          <t>FM3577</t>
        </is>
      </c>
      <c r="B779" s="14" t="n"/>
      <c r="C779" s="13" t="n">
        <v>45954</v>
      </c>
      <c r="D779" s="12" t="inlineStr">
        <is>
          <t>PO:OA16831</t>
        </is>
      </c>
      <c r="E779" s="14" t="inlineStr">
        <is>
          <t>Optimal Air</t>
        </is>
      </c>
      <c r="F779" s="14" t="inlineStr">
        <is>
          <t>Maxflo 630 c/w 3kw 2P 380V</t>
        </is>
      </c>
      <c r="G779" s="20" t="n">
        <v>1</v>
      </c>
      <c r="H779" s="19" t="n">
        <v>9606.15</v>
      </c>
      <c r="I779" s="18">
        <f>G779*H779</f>
        <v/>
      </c>
      <c r="J779" s="11" t="inlineStr">
        <is>
          <t>N/A</t>
        </is>
      </c>
      <c r="K779" s="17" t="n">
        <v>4</v>
      </c>
      <c r="L779" s="16">
        <f>K779+C779</f>
        <v/>
      </c>
      <c r="M779" s="11" t="inlineStr">
        <is>
          <t>MT</t>
        </is>
      </c>
      <c r="N779" s="15" t="n"/>
      <c r="O779" s="14" t="n"/>
      <c r="P779" s="14" t="n"/>
      <c r="Q779" s="14" t="n"/>
      <c r="R779" s="14" t="n"/>
    </row>
    <row r="780">
      <c r="A780" s="14" t="inlineStr">
        <is>
          <t>FM3578</t>
        </is>
      </c>
      <c r="B780" s="14" t="n"/>
      <c r="C780" s="13" t="n">
        <v>45954</v>
      </c>
      <c r="D780" s="12" t="inlineStr">
        <is>
          <t>Cash Sale</t>
        </is>
      </c>
      <c r="E780" s="14" t="inlineStr">
        <is>
          <t>LJ Trading</t>
        </is>
      </c>
      <c r="F780" s="14" t="inlineStr">
        <is>
          <t>AVM'S 630-1000, COUNTER FLANGE, M FEET 800</t>
        </is>
      </c>
      <c r="G780" s="20" t="n">
        <v>1</v>
      </c>
      <c r="H780" s="19" t="n">
        <v>3146</v>
      </c>
      <c r="I780" s="18">
        <f>G780*H780</f>
        <v/>
      </c>
      <c r="J780" s="11" t="inlineStr">
        <is>
          <t>N/A</t>
        </is>
      </c>
      <c r="K780" s="17" t="n">
        <v>0</v>
      </c>
      <c r="L780" s="16">
        <f>K780+C780</f>
        <v/>
      </c>
      <c r="M780" s="11" t="inlineStr">
        <is>
          <t>SM</t>
        </is>
      </c>
      <c r="N780" s="15" t="n"/>
      <c r="O780" s="14" t="n"/>
      <c r="P780" s="14" t="n"/>
      <c r="Q780" s="14" t="n"/>
      <c r="R780" s="14" t="n"/>
    </row>
    <row r="781">
      <c r="A781" s="14" t="inlineStr">
        <is>
          <t>FM3579</t>
        </is>
      </c>
      <c r="B781" s="14" t="n"/>
      <c r="C781" s="13" t="n">
        <v>45954</v>
      </c>
      <c r="D781" s="12" t="inlineStr">
        <is>
          <t>Cash Sale</t>
        </is>
      </c>
      <c r="E781" s="14" t="inlineStr">
        <is>
          <t>LJ Trading</t>
        </is>
      </c>
      <c r="F781" s="14" t="inlineStr">
        <is>
          <t>800 Diam Mounting Feet</t>
        </is>
      </c>
      <c r="G781" s="20" t="n">
        <v>4</v>
      </c>
      <c r="H781" s="19" t="n">
        <v>465</v>
      </c>
      <c r="I781" s="18">
        <f>G781*H781</f>
        <v/>
      </c>
      <c r="J781" s="11" t="inlineStr">
        <is>
          <t>N/A</t>
        </is>
      </c>
      <c r="K781" s="17" t="n">
        <v>0</v>
      </c>
      <c r="L781" s="16">
        <f>K781+C781</f>
        <v/>
      </c>
      <c r="M781" s="11" t="n"/>
      <c r="N781" s="15" t="n"/>
      <c r="O781" s="14" t="n"/>
      <c r="P781" s="14" t="n"/>
      <c r="Q781" s="14" t="n"/>
      <c r="R781" s="14" t="n"/>
    </row>
    <row r="782">
      <c r="A782" s="14" t="inlineStr">
        <is>
          <t>FM3580</t>
        </is>
      </c>
      <c r="B782" s="14" t="n"/>
      <c r="C782" s="13" t="n">
        <v>45957</v>
      </c>
      <c r="D782" s="12" t="inlineStr">
        <is>
          <t>PO2138</t>
        </is>
      </c>
      <c r="E782" s="14" t="inlineStr">
        <is>
          <t xml:space="preserve">Hucra Fans </t>
        </is>
      </c>
      <c r="F782" s="14" t="inlineStr">
        <is>
          <t>BD 9/9 0.35KW 4P 230V</t>
        </is>
      </c>
      <c r="G782" s="20" t="n">
        <v>1</v>
      </c>
      <c r="H782" s="19" t="n">
        <v>5816</v>
      </c>
      <c r="I782" s="18">
        <f>G782*H782</f>
        <v/>
      </c>
      <c r="J782" s="11" t="inlineStr">
        <is>
          <t>N/A</t>
        </is>
      </c>
      <c r="K782" s="17" t="n">
        <v>1</v>
      </c>
      <c r="L782" s="16">
        <f>K782+C782</f>
        <v/>
      </c>
      <c r="M782" s="11" t="inlineStr">
        <is>
          <t>ZX</t>
        </is>
      </c>
      <c r="N782" s="15" t="n"/>
      <c r="O782" s="14" t="n"/>
      <c r="P782" s="14" t="n"/>
      <c r="Q782" s="14" t="n"/>
      <c r="R782" s="14" t="n"/>
    </row>
    <row r="783">
      <c r="A783" s="14" t="inlineStr">
        <is>
          <t>FM3581</t>
        </is>
      </c>
      <c r="B783" s="14" t="n"/>
      <c r="C783" s="13" t="n">
        <v>45957</v>
      </c>
      <c r="D783" s="12" t="inlineStr">
        <is>
          <t>PO116298</t>
        </is>
      </c>
      <c r="E783" s="14" t="inlineStr">
        <is>
          <t>Boleng</t>
        </is>
      </c>
      <c r="F783" s="14" t="inlineStr">
        <is>
          <t>RAD 315 &amp; Accessories</t>
        </is>
      </c>
      <c r="G783" s="20" t="n">
        <v>6</v>
      </c>
      <c r="H783" s="19" t="n">
        <v>9640</v>
      </c>
      <c r="I783" s="18" t="n">
        <v>9640</v>
      </c>
      <c r="J783" s="11" t="inlineStr">
        <is>
          <t>N/A</t>
        </is>
      </c>
      <c r="K783" s="17" t="n">
        <v>1</v>
      </c>
      <c r="L783" s="16">
        <f>K783+C783</f>
        <v/>
      </c>
      <c r="M783" s="11" t="inlineStr">
        <is>
          <t>MT</t>
        </is>
      </c>
      <c r="N783" s="15" t="n"/>
      <c r="O783" s="14" t="n"/>
      <c r="P783" s="14" t="n"/>
      <c r="Q783" s="14" t="n"/>
      <c r="R783" s="14" t="n"/>
    </row>
    <row r="784">
      <c r="A784" s="14" t="inlineStr">
        <is>
          <t>FM3582</t>
        </is>
      </c>
      <c r="B784" s="14" t="n"/>
      <c r="C784" s="13" t="n">
        <v>45958</v>
      </c>
      <c r="D784" s="12" t="inlineStr">
        <is>
          <t>PO2141</t>
        </is>
      </c>
      <c r="E784" s="14" t="inlineStr">
        <is>
          <t xml:space="preserve">Hucra Fans </t>
        </is>
      </c>
      <c r="F784" s="14" t="inlineStr">
        <is>
          <t>CMA-528-2T 1.5-IE3</t>
        </is>
      </c>
      <c r="G784" s="20" t="n">
        <v>1</v>
      </c>
      <c r="H784" s="19" t="n">
        <v>19839</v>
      </c>
      <c r="I784" s="18">
        <f>G784*H784</f>
        <v/>
      </c>
      <c r="J784" s="11" t="inlineStr">
        <is>
          <t>N/A</t>
        </is>
      </c>
      <c r="K784" s="17" t="n">
        <v>0</v>
      </c>
      <c r="L784" s="16">
        <f>K784+C784</f>
        <v/>
      </c>
      <c r="M784" s="11" t="inlineStr">
        <is>
          <t>ZX</t>
        </is>
      </c>
      <c r="N784" s="15" t="n"/>
      <c r="O784" s="14" t="n"/>
      <c r="P784" s="14" t="n"/>
      <c r="Q784" s="14" t="n"/>
      <c r="R784" s="14" t="n"/>
    </row>
    <row r="785">
      <c r="A785" s="14" t="inlineStr">
        <is>
          <t>FM3583</t>
        </is>
      </c>
      <c r="B785" s="14" t="n"/>
      <c r="C785" s="13" t="n">
        <v>45958</v>
      </c>
      <c r="D785" s="12" t="inlineStr">
        <is>
          <t>PO-3135</t>
        </is>
      </c>
      <c r="E785" s="14" t="inlineStr">
        <is>
          <t>Centrifab</t>
        </is>
      </c>
      <c r="F785" s="14" t="inlineStr">
        <is>
          <t>HCDF 35 4T Flameproof</t>
        </is>
      </c>
      <c r="G785" s="20" t="n">
        <v>1</v>
      </c>
      <c r="H785" s="19" t="n">
        <v>21784</v>
      </c>
      <c r="I785" s="18">
        <f>G785*H785</f>
        <v/>
      </c>
      <c r="J785" s="11" t="inlineStr">
        <is>
          <t>N/A</t>
        </is>
      </c>
      <c r="K785" s="17" t="n">
        <v>14</v>
      </c>
      <c r="L785" s="16">
        <f>K785+C785</f>
        <v/>
      </c>
      <c r="M785" s="11" t="inlineStr">
        <is>
          <t>MT</t>
        </is>
      </c>
      <c r="N785" s="15" t="n"/>
      <c r="O785" s="14" t="n"/>
      <c r="P785" s="14" t="n"/>
      <c r="Q785" s="14" t="n"/>
      <c r="R785" s="14" t="n"/>
    </row>
    <row r="786">
      <c r="A786" s="14" t="inlineStr">
        <is>
          <t>FM3584</t>
        </is>
      </c>
      <c r="B786" s="14" t="n"/>
      <c r="C786" s="13" t="n">
        <v>45958</v>
      </c>
      <c r="D786" s="12" t="n">
        <v>4500734653</v>
      </c>
      <c r="E786" s="14" t="inlineStr">
        <is>
          <t>Aberdare Cables</t>
        </is>
      </c>
      <c r="F786" s="14" t="inlineStr">
        <is>
          <t>CMP 718-2T</t>
        </is>
      </c>
      <c r="G786" s="20" t="n">
        <v>3</v>
      </c>
      <c r="H786" s="19" t="n">
        <v>10879</v>
      </c>
      <c r="I786" s="18">
        <f>G786*H786</f>
        <v/>
      </c>
      <c r="J786" s="11" t="inlineStr">
        <is>
          <t>N/A</t>
        </is>
      </c>
      <c r="K786" s="17" t="n">
        <v>1</v>
      </c>
      <c r="L786" s="16">
        <f>K786+C786</f>
        <v/>
      </c>
      <c r="M786" s="11" t="inlineStr">
        <is>
          <t>MT</t>
        </is>
      </c>
      <c r="N786" s="15" t="n"/>
      <c r="O786" s="14" t="n"/>
      <c r="P786" s="14" t="n"/>
      <c r="Q786" s="14" t="n"/>
      <c r="R786" s="14" t="n"/>
    </row>
    <row r="787">
      <c r="A787" s="14" t="inlineStr">
        <is>
          <t>FM3585</t>
        </is>
      </c>
      <c r="B787" s="14" t="n"/>
      <c r="C787" s="13" t="n">
        <v>45959</v>
      </c>
      <c r="D787" s="12" t="inlineStr">
        <is>
          <t>PO11617</t>
        </is>
      </c>
      <c r="E787" s="14" t="inlineStr">
        <is>
          <t>Xtreme Air Control</t>
        </is>
      </c>
      <c r="F787" s="14" t="inlineStr">
        <is>
          <t>Extractor Ceiling Mount Fan 250mm</t>
        </is>
      </c>
      <c r="G787" s="20" t="n">
        <v>7</v>
      </c>
      <c r="H787" s="19" t="n">
        <v>450</v>
      </c>
      <c r="I787" s="18">
        <f>G787*H787</f>
        <v/>
      </c>
      <c r="J787" s="11" t="inlineStr">
        <is>
          <t>n/a</t>
        </is>
      </c>
      <c r="K787" s="17" t="n">
        <v>1</v>
      </c>
      <c r="L787" s="16">
        <f>K787+C787</f>
        <v/>
      </c>
      <c r="M787" s="11" t="n"/>
      <c r="N787" s="15" t="n"/>
      <c r="O787" s="14" t="n"/>
      <c r="P787" s="14" t="n"/>
      <c r="Q787" s="14" t="n"/>
      <c r="R787" s="14" t="n"/>
    </row>
    <row r="788">
      <c r="A788" s="14" t="inlineStr">
        <is>
          <t>FM3586</t>
        </is>
      </c>
      <c r="B788" s="14" t="n"/>
      <c r="C788" s="13" t="n">
        <v>45959</v>
      </c>
      <c r="D788" s="12" t="inlineStr">
        <is>
          <t>PO0000111</t>
        </is>
      </c>
      <c r="E788" s="14" t="inlineStr">
        <is>
          <t>Mark &amp; B Projects</t>
        </is>
      </c>
      <c r="F788" s="14" t="inlineStr">
        <is>
          <t>Lineo 315</t>
        </is>
      </c>
      <c r="G788" s="20" t="n">
        <v>3</v>
      </c>
      <c r="H788" s="19" t="n">
        <v>5837</v>
      </c>
      <c r="I788" s="18">
        <f>G788*H788</f>
        <v/>
      </c>
      <c r="J788" s="11" t="inlineStr">
        <is>
          <t>N/A</t>
        </is>
      </c>
      <c r="K788" s="17" t="n">
        <v>0</v>
      </c>
      <c r="L788" s="16">
        <f>K788+C788</f>
        <v/>
      </c>
      <c r="M788" s="11" t="n"/>
      <c r="N788" s="15" t="n"/>
      <c r="O788" s="14" t="n"/>
      <c r="P788" s="14" t="n"/>
      <c r="Q788" s="14" t="n"/>
      <c r="R788" s="14" t="n"/>
    </row>
    <row r="789">
      <c r="A789" s="14" t="inlineStr">
        <is>
          <t>FM3587</t>
        </is>
      </c>
      <c r="B789" s="14" t="n"/>
      <c r="C789" s="13" t="n">
        <v>45959</v>
      </c>
      <c r="D789" s="12" t="inlineStr">
        <is>
          <t>MP015204</t>
        </is>
      </c>
      <c r="E789" s="14" t="inlineStr">
        <is>
          <t>Midstone Engineering t/a Midair</t>
        </is>
      </c>
      <c r="F789" s="14" t="inlineStr">
        <is>
          <t>Tiracamino 220V CHIMNEY FAN</t>
        </is>
      </c>
      <c r="G789" s="20" t="n">
        <v>4</v>
      </c>
      <c r="H789" s="19" t="n">
        <v>12144</v>
      </c>
      <c r="I789" s="18">
        <f>G789*H789</f>
        <v/>
      </c>
      <c r="J789" s="11" t="inlineStr">
        <is>
          <t>N/A</t>
        </is>
      </c>
      <c r="K789" s="17" t="n">
        <v>21</v>
      </c>
      <c r="L789" s="16">
        <f>K789+C789</f>
        <v/>
      </c>
      <c r="M789" s="11" t="inlineStr">
        <is>
          <t>MT</t>
        </is>
      </c>
      <c r="N789" s="15" t="n"/>
      <c r="O789" s="14" t="n"/>
      <c r="P789" s="14" t="n"/>
      <c r="Q789" s="14" t="n"/>
      <c r="R789" s="14" t="n"/>
    </row>
    <row r="790">
      <c r="A790" s="14" t="inlineStr">
        <is>
          <t>FM3588</t>
        </is>
      </c>
      <c r="B790" s="14" t="n"/>
      <c r="C790" s="13" t="n">
        <v>45959</v>
      </c>
      <c r="D790" s="12" t="inlineStr">
        <is>
          <t>MP015207</t>
        </is>
      </c>
      <c r="E790" s="14" t="inlineStr">
        <is>
          <t>Midstone Engineering t/a Midair</t>
        </is>
      </c>
      <c r="F790" s="14" t="inlineStr">
        <is>
          <t>CMA-527-2T</t>
        </is>
      </c>
      <c r="G790" s="20" t="n">
        <v>1</v>
      </c>
      <c r="H790" s="19" t="n">
        <v>15142</v>
      </c>
      <c r="I790" s="18">
        <f>G790*H790</f>
        <v/>
      </c>
      <c r="J790" s="11" t="inlineStr">
        <is>
          <t>N/A</t>
        </is>
      </c>
      <c r="K790" s="17" t="n">
        <v>5</v>
      </c>
      <c r="L790" s="16">
        <f>K790+C790</f>
        <v/>
      </c>
      <c r="M790" s="11" t="inlineStr">
        <is>
          <t>MT</t>
        </is>
      </c>
      <c r="N790" s="15" t="n"/>
      <c r="O790" s="14" t="n"/>
      <c r="P790" s="14" t="n"/>
      <c r="Q790" s="14" t="n"/>
      <c r="R790" s="14" t="n"/>
    </row>
    <row r="791">
      <c r="A791" s="14" t="inlineStr">
        <is>
          <t>FM3589</t>
        </is>
      </c>
      <c r="B791" s="14" t="n"/>
      <c r="C791" s="13" t="n">
        <v>45959</v>
      </c>
      <c r="D791" s="12" t="inlineStr">
        <is>
          <t>Cash Sale</t>
        </is>
      </c>
      <c r="E791" s="14" t="inlineStr">
        <is>
          <t>Cash Sale Customer</t>
        </is>
      </c>
      <c r="F791" s="14" t="inlineStr">
        <is>
          <t>Refurbishment of Majax 400</t>
        </is>
      </c>
      <c r="G791" s="20" t="n">
        <v>1</v>
      </c>
      <c r="H791" s="19" t="n">
        <v>3764</v>
      </c>
      <c r="I791" s="18">
        <f>G791*H791</f>
        <v/>
      </c>
      <c r="J791" s="11" t="inlineStr">
        <is>
          <t>N/A</t>
        </is>
      </c>
      <c r="K791" s="17" t="n">
        <v>5</v>
      </c>
      <c r="L791" s="16">
        <f>K791+C791</f>
        <v/>
      </c>
      <c r="M791" s="11" t="inlineStr">
        <is>
          <t>ST</t>
        </is>
      </c>
      <c r="N791" s="15" t="n"/>
      <c r="O791" s="14" t="n"/>
      <c r="P791" s="14" t="n"/>
      <c r="Q791" s="14" t="n"/>
      <c r="R791" s="14" t="n"/>
    </row>
    <row r="792">
      <c r="A792" s="14" t="inlineStr">
        <is>
          <t>FM3590</t>
        </is>
      </c>
      <c r="B792" s="14" t="n"/>
      <c r="C792" s="13" t="n">
        <v>45960</v>
      </c>
      <c r="D792" s="12" t="inlineStr">
        <is>
          <t>Cash Sale</t>
        </is>
      </c>
      <c r="E792" s="14" t="inlineStr">
        <is>
          <t>Prexoz Engineering</t>
        </is>
      </c>
      <c r="F792" s="14" t="inlineStr">
        <is>
          <t>Impeller Replacement</t>
        </is>
      </c>
      <c r="G792" s="20" t="n">
        <v>1</v>
      </c>
      <c r="H792" s="19" t="n">
        <v>2450</v>
      </c>
      <c r="I792" s="18">
        <f>G792*H792</f>
        <v/>
      </c>
      <c r="J792" s="11" t="n"/>
      <c r="K792" s="17" t="n"/>
      <c r="L792" s="16">
        <f>K792+C792</f>
        <v/>
      </c>
      <c r="M792" s="11" t="n"/>
      <c r="N792" s="15" t="n"/>
      <c r="O792" s="14" t="n"/>
      <c r="P792" s="14" t="n"/>
      <c r="Q792" s="14" t="n"/>
      <c r="R792" s="14" t="n"/>
    </row>
    <row r="793">
      <c r="A793" s="14" t="inlineStr">
        <is>
          <t>FM3591</t>
        </is>
      </c>
      <c r="B793" s="14" t="n"/>
      <c r="C793" s="13" t="n">
        <v>45960</v>
      </c>
      <c r="D793" s="12" t="inlineStr">
        <is>
          <t>PO156729</t>
        </is>
      </c>
      <c r="E793" s="14" t="inlineStr">
        <is>
          <t>Luft Industries Natal</t>
        </is>
      </c>
      <c r="F793" s="14" t="inlineStr">
        <is>
          <t>AT 15/15 SC</t>
        </is>
      </c>
      <c r="G793" s="20" t="n">
        <v>2</v>
      </c>
      <c r="H793" s="19" t="n">
        <v>6435</v>
      </c>
      <c r="I793" s="18">
        <f>G793*H793</f>
        <v/>
      </c>
      <c r="J793" s="11" t="inlineStr">
        <is>
          <t>N/A</t>
        </is>
      </c>
      <c r="K793" s="17" t="n">
        <v>0</v>
      </c>
      <c r="L793" s="16">
        <f>K793+C793</f>
        <v/>
      </c>
      <c r="M793" s="11" t="inlineStr">
        <is>
          <t>SM</t>
        </is>
      </c>
      <c r="N793" s="15" t="n"/>
      <c r="O793" s="14" t="n"/>
      <c r="P793" s="14" t="n"/>
      <c r="Q793" s="14" t="n"/>
      <c r="R793" s="14" t="n"/>
    </row>
    <row r="794">
      <c r="A794" s="14" t="inlineStr">
        <is>
          <t>FM3592</t>
        </is>
      </c>
      <c r="B794" s="14" t="n"/>
      <c r="C794" s="13" t="n">
        <v>45960</v>
      </c>
      <c r="D794" s="12" t="inlineStr">
        <is>
          <t>Cash Sale</t>
        </is>
      </c>
      <c r="E794" s="14" t="inlineStr">
        <is>
          <t>APS Innovation Group</t>
        </is>
      </c>
      <c r="F794" s="14" t="inlineStr">
        <is>
          <t>KDAXIS 300 &amp; 250/355 Wall Cowl Galvanized</t>
        </is>
      </c>
      <c r="G794" s="20" t="n">
        <v>1</v>
      </c>
      <c r="H794" s="19" t="n">
        <v>3024</v>
      </c>
      <c r="I794" s="18">
        <f>G794*H794</f>
        <v/>
      </c>
      <c r="J794" s="11" t="inlineStr">
        <is>
          <t>N/A</t>
        </is>
      </c>
      <c r="K794" s="17" t="n">
        <v>7</v>
      </c>
      <c r="L794" s="16">
        <f>K794+C794</f>
        <v/>
      </c>
      <c r="M794" s="11" t="inlineStr">
        <is>
          <t>MT</t>
        </is>
      </c>
      <c r="N794" s="15" t="n"/>
      <c r="O794" s="14" t="n"/>
      <c r="P794" s="14" t="n"/>
      <c r="Q794" s="14" t="n"/>
      <c r="R794" s="14" t="n"/>
    </row>
    <row r="795">
      <c r="A795" s="14" t="inlineStr">
        <is>
          <t>FM3593</t>
        </is>
      </c>
      <c r="B795" s="14" t="n"/>
      <c r="C795" s="13" t="n">
        <v>45960</v>
      </c>
      <c r="D795" s="12" t="inlineStr">
        <is>
          <t>PO2144</t>
        </is>
      </c>
      <c r="E795" s="14" t="inlineStr">
        <is>
          <t xml:space="preserve">Hucra Fans </t>
        </is>
      </c>
      <c r="F795" s="14" t="inlineStr">
        <is>
          <t>Lineo 200,250 &amp; 315 Quiet</t>
        </is>
      </c>
      <c r="G795" s="20" t="n">
        <v>4</v>
      </c>
      <c r="H795" s="19" t="n">
        <v>8276.75</v>
      </c>
      <c r="I795" s="18">
        <f>G795*H795</f>
        <v/>
      </c>
      <c r="J795" s="11" t="inlineStr">
        <is>
          <t>N/A</t>
        </is>
      </c>
      <c r="K795" s="17" t="n">
        <v>5</v>
      </c>
      <c r="L795" s="16">
        <f>K795+C795</f>
        <v/>
      </c>
      <c r="M795" s="11" t="inlineStr">
        <is>
          <t>ZX</t>
        </is>
      </c>
      <c r="N795" s="15" t="n"/>
      <c r="O795" s="14" t="n"/>
      <c r="P795" s="14" t="n"/>
      <c r="Q795" s="14" t="n"/>
      <c r="R795" s="14" t="n"/>
    </row>
    <row r="796">
      <c r="A796" s="14" t="inlineStr">
        <is>
          <t>FM3594</t>
        </is>
      </c>
      <c r="B796" s="14" t="n"/>
      <c r="C796" s="13" t="n">
        <v>45961</v>
      </c>
      <c r="D796" s="12" t="inlineStr">
        <is>
          <t>DPO-1287</t>
        </is>
      </c>
      <c r="E796" s="14" t="inlineStr">
        <is>
          <t>Dueltron</t>
        </is>
      </c>
      <c r="F796" s="14" t="inlineStr">
        <is>
          <t>Wam centrif c/w 1.5HP</t>
        </is>
      </c>
      <c r="G796" s="20" t="n">
        <v>3</v>
      </c>
      <c r="H796" s="19" t="n">
        <v>13532</v>
      </c>
      <c r="I796" s="18">
        <f>G796*H796</f>
        <v/>
      </c>
      <c r="J796" s="11" t="inlineStr">
        <is>
          <t>N/A</t>
        </is>
      </c>
      <c r="K796" s="17" t="n">
        <v>0</v>
      </c>
      <c r="L796" s="16">
        <f>K796+C796</f>
        <v/>
      </c>
      <c r="M796" s="11" t="inlineStr">
        <is>
          <t>MT</t>
        </is>
      </c>
      <c r="N796" s="15" t="n"/>
      <c r="O796" s="14" t="n"/>
      <c r="P796" s="14" t="n"/>
      <c r="Q796" s="14" t="n"/>
      <c r="R796" s="14" t="n"/>
    </row>
    <row r="797">
      <c r="A797" s="14" t="inlineStr">
        <is>
          <t>FM3595</t>
        </is>
      </c>
      <c r="B797" s="14" t="n"/>
      <c r="C797" s="13" t="n">
        <v>45961</v>
      </c>
      <c r="D797" s="12" t="inlineStr">
        <is>
          <t>PO2145</t>
        </is>
      </c>
      <c r="E797" s="14" t="inlineStr">
        <is>
          <t xml:space="preserve">Hucra Fans </t>
        </is>
      </c>
      <c r="F797" s="14" t="inlineStr">
        <is>
          <t>Tiracamino - 15000 Vortice Chimney Extr Fan</t>
        </is>
      </c>
      <c r="G797" s="20" t="n">
        <v>2</v>
      </c>
      <c r="H797" s="19" t="n">
        <v>12114</v>
      </c>
      <c r="I797" s="18">
        <f>G797*H797</f>
        <v/>
      </c>
      <c r="J797" s="11" t="inlineStr">
        <is>
          <t>N/A</t>
        </is>
      </c>
      <c r="K797" s="17" t="n">
        <v>25</v>
      </c>
      <c r="L797" s="16">
        <f>K797+C797</f>
        <v/>
      </c>
      <c r="M797" s="11" t="n"/>
      <c r="N797" s="15" t="n"/>
      <c r="O797" s="14" t="n"/>
      <c r="P797" s="14" t="n"/>
      <c r="Q797" s="14" t="n"/>
      <c r="R797" s="14" t="n"/>
    </row>
    <row r="798">
      <c r="A798" s="14" t="inlineStr">
        <is>
          <t>FM3596</t>
        </is>
      </c>
      <c r="B798" s="14" t="n"/>
      <c r="C798" s="13" t="n">
        <v>45961</v>
      </c>
      <c r="D798" s="12" t="inlineStr">
        <is>
          <t>PO4329</t>
        </is>
      </c>
      <c r="E798" s="14" t="inlineStr">
        <is>
          <t>Air Speration</t>
        </is>
      </c>
      <c r="F798" s="14" t="inlineStr">
        <is>
          <t>650 Wall Fans</t>
        </is>
      </c>
      <c r="G798" s="20" t="n">
        <v>5</v>
      </c>
      <c r="H798" s="19" t="n">
        <v>1609</v>
      </c>
      <c r="I798" s="18">
        <f>G798*H798</f>
        <v/>
      </c>
      <c r="J798" s="11" t="n"/>
      <c r="K798" s="17" t="n">
        <v>4</v>
      </c>
      <c r="L798" s="16">
        <f>K798+C798</f>
        <v/>
      </c>
      <c r="M798" s="11" t="inlineStr">
        <is>
          <t>MT</t>
        </is>
      </c>
      <c r="N798" s="15" t="n"/>
      <c r="O798" s="14" t="n"/>
      <c r="P798" s="14" t="n"/>
      <c r="Q798" s="14" t="n"/>
      <c r="R798" s="14" t="n"/>
    </row>
    <row r="799">
      <c r="A799" s="14" t="inlineStr">
        <is>
          <t>FM3597</t>
        </is>
      </c>
      <c r="B799" s="14" t="n"/>
      <c r="C799" s="13" t="n">
        <v>45961</v>
      </c>
      <c r="D799" s="12" t="inlineStr">
        <is>
          <t>Cash Sale</t>
        </is>
      </c>
      <c r="E799" s="14" t="inlineStr">
        <is>
          <t>Sphetho Trading Pty Ltd</t>
        </is>
      </c>
      <c r="F799" s="14" t="inlineStr">
        <is>
          <t>Box Fans</t>
        </is>
      </c>
      <c r="G799" s="20" t="n">
        <v>1</v>
      </c>
      <c r="H799" s="19" t="n">
        <v>14325</v>
      </c>
      <c r="I799" s="18">
        <f>G799*H799</f>
        <v/>
      </c>
      <c r="J799" s="11" t="n"/>
      <c r="K799" s="17" t="n">
        <v>0</v>
      </c>
      <c r="L799" s="16">
        <f>K799+C799</f>
        <v/>
      </c>
      <c r="M799" s="11" t="inlineStr">
        <is>
          <t>SM</t>
        </is>
      </c>
      <c r="N799" s="15" t="n"/>
      <c r="O799" s="14" t="n"/>
      <c r="P799" s="14" t="n"/>
      <c r="Q799" s="14" t="n"/>
      <c r="R799" s="14" t="n"/>
    </row>
    <row r="800">
      <c r="A800" s="14" t="inlineStr">
        <is>
          <t>FM3598</t>
        </is>
      </c>
      <c r="B800" s="14" t="n"/>
      <c r="C800" s="13" t="n">
        <v>45961</v>
      </c>
      <c r="D800" s="12" t="inlineStr">
        <is>
          <t>Cash Sale</t>
        </is>
      </c>
      <c r="E800" s="14" t="inlineStr">
        <is>
          <t>Sphetho Trading Pty Ltd</t>
        </is>
      </c>
      <c r="F800" s="14" t="inlineStr">
        <is>
          <t>Majax-315 c/w 0.55kW 2Pole 380V + Accessories</t>
        </is>
      </c>
      <c r="G800" s="20" t="n">
        <v>1</v>
      </c>
      <c r="H800" s="19" t="n">
        <v>10292</v>
      </c>
      <c r="I800" s="18">
        <f>G800*H800</f>
        <v/>
      </c>
      <c r="J800" s="11" t="n"/>
      <c r="K800" s="17" t="n">
        <v>0</v>
      </c>
      <c r="L800" s="16">
        <f>K800+C800</f>
        <v/>
      </c>
      <c r="M800" s="11" t="inlineStr">
        <is>
          <t>SM</t>
        </is>
      </c>
      <c r="N800" s="15" t="n"/>
      <c r="O800" s="14" t="n"/>
      <c r="P800" s="14" t="n"/>
      <c r="Q800" s="14" t="n"/>
      <c r="R800" s="14" t="n"/>
    </row>
    <row r="801">
      <c r="A801" s="14" t="inlineStr">
        <is>
          <t>FM3599</t>
        </is>
      </c>
      <c r="B801" s="14" t="n"/>
      <c r="C801" s="13" t="n">
        <v>45961</v>
      </c>
      <c r="D801" s="12" t="inlineStr">
        <is>
          <t>PO:26227-Cash sale</t>
        </is>
      </c>
      <c r="E801" s="14" t="inlineStr">
        <is>
          <t>Maddox &amp; Adams</t>
        </is>
      </c>
      <c r="F801" s="14" t="inlineStr">
        <is>
          <t>KO4 MS-1.1KW</t>
        </is>
      </c>
      <c r="G801" s="20" t="n">
        <v>1</v>
      </c>
      <c r="H801" s="19" t="n">
        <v>15020.21</v>
      </c>
      <c r="I801" s="18">
        <f>G801*H801</f>
        <v/>
      </c>
      <c r="J801" s="11" t="inlineStr">
        <is>
          <t>N/A</t>
        </is>
      </c>
      <c r="K801" s="17" t="n">
        <v>3</v>
      </c>
      <c r="L801" s="16">
        <f>K801+C801</f>
        <v/>
      </c>
      <c r="M801" s="11" t="inlineStr">
        <is>
          <t>MT</t>
        </is>
      </c>
      <c r="N801" s="15" t="n"/>
      <c r="O801" s="14" t="n"/>
      <c r="P801" s="14" t="n"/>
      <c r="Q801" s="14" t="n"/>
      <c r="R801" s="14" t="n"/>
    </row>
    <row r="802">
      <c r="A802" s="14" t="inlineStr">
        <is>
          <t>FM3600</t>
        </is>
      </c>
      <c r="B802" s="14" t="n"/>
      <c r="C802" s="13" t="n">
        <v>45961</v>
      </c>
      <c r="D802" s="12" t="inlineStr">
        <is>
          <t>PO-000006482</t>
        </is>
      </c>
      <c r="E802" s="14" t="inlineStr">
        <is>
          <t>Butec</t>
        </is>
      </c>
      <c r="F802" s="14" t="inlineStr">
        <is>
          <t>Lineo 200 Q /Rectangilar attenuar &amp; Inline tube</t>
        </is>
      </c>
      <c r="G802" s="20" t="n">
        <v>22</v>
      </c>
      <c r="H802" s="19" t="n">
        <v>84163</v>
      </c>
      <c r="I802" s="18" t="n">
        <v>84163</v>
      </c>
      <c r="J802" s="11" t="inlineStr">
        <is>
          <t>N/A</t>
        </is>
      </c>
      <c r="K802" s="17" t="n">
        <v>11</v>
      </c>
      <c r="L802" s="16">
        <f>K802+C802</f>
        <v/>
      </c>
      <c r="M802" s="11" t="inlineStr">
        <is>
          <t>MT</t>
        </is>
      </c>
      <c r="N802" s="15" t="n"/>
      <c r="O802" s="14" t="n"/>
      <c r="P802" s="14" t="n"/>
      <c r="Q802" s="14" t="n"/>
      <c r="R802" s="14" t="n"/>
    </row>
    <row r="803">
      <c r="A803" s="14" t="inlineStr">
        <is>
          <t>FM3601</t>
        </is>
      </c>
      <c r="B803" s="14" t="n"/>
      <c r="C803" s="13" t="n">
        <v>45961</v>
      </c>
      <c r="D803" s="12" t="inlineStr">
        <is>
          <t>PO2146</t>
        </is>
      </c>
      <c r="E803" s="14" t="inlineStr">
        <is>
          <t xml:space="preserve">Hucra Fans </t>
        </is>
      </c>
      <c r="F803" s="14" t="inlineStr">
        <is>
          <t>KDAXIS 350 - Kayi Plate Axial Fan 350mm 2P 230V</t>
        </is>
      </c>
      <c r="G803" s="20" t="n">
        <v>1</v>
      </c>
      <c r="H803" s="19" t="n">
        <v>1878</v>
      </c>
      <c r="I803" s="18">
        <f>G803*H803</f>
        <v/>
      </c>
      <c r="J803" s="11" t="inlineStr">
        <is>
          <t>N/A</t>
        </is>
      </c>
      <c r="K803" s="17" t="n">
        <v>4</v>
      </c>
      <c r="L803" s="16">
        <f>K803+C803</f>
        <v/>
      </c>
      <c r="M803" s="11" t="n"/>
      <c r="N803" s="15" t="n"/>
      <c r="O803" s="14" t="n"/>
      <c r="P803" s="14" t="n"/>
      <c r="Q803" s="14" t="n"/>
      <c r="R803" s="14" t="n"/>
    </row>
    <row r="804">
      <c r="A804" s="14" t="inlineStr">
        <is>
          <t>FM3602</t>
        </is>
      </c>
      <c r="B804" s="14" t="n"/>
      <c r="C804" s="13" t="n">
        <v>45964</v>
      </c>
      <c r="D804" s="12" t="n"/>
      <c r="E804" s="14" t="inlineStr">
        <is>
          <t>Butec</t>
        </is>
      </c>
      <c r="F804" s="14" t="inlineStr">
        <is>
          <t>Lineo 315 Quite &amp; Maxflo 500 0.55kw 4P 380V</t>
        </is>
      </c>
      <c r="G804" s="20" t="n">
        <v>20</v>
      </c>
      <c r="H804" s="19" t="n">
        <v>28597.44</v>
      </c>
      <c r="I804" s="18" t="n">
        <v>28597.44</v>
      </c>
      <c r="J804" s="11" t="inlineStr">
        <is>
          <t>N/A</t>
        </is>
      </c>
      <c r="K804" s="17" t="n">
        <v>4</v>
      </c>
      <c r="L804" s="16">
        <f>K804+C804</f>
        <v/>
      </c>
      <c r="M804" s="11" t="inlineStr">
        <is>
          <t>MT</t>
        </is>
      </c>
      <c r="N804" s="15" t="n"/>
      <c r="O804" s="14" t="n"/>
      <c r="P804" s="14" t="n"/>
      <c r="Q804" s="14" t="n"/>
      <c r="R804" s="14" t="n"/>
    </row>
    <row r="805">
      <c r="A805" s="14" t="inlineStr">
        <is>
          <t>FM3603</t>
        </is>
      </c>
      <c r="B805" s="14" t="n"/>
      <c r="C805" s="13" t="n">
        <v>45964</v>
      </c>
      <c r="D805" s="12" t="inlineStr">
        <is>
          <t>Cash Sale</t>
        </is>
      </c>
      <c r="E805" s="14" t="n"/>
      <c r="F805" s="14" t="inlineStr">
        <is>
          <t>DD 10/10 - 6N02R9 Nicotra 370W/4P/230V</t>
        </is>
      </c>
      <c r="G805" s="20" t="n">
        <v>1</v>
      </c>
      <c r="H805" s="19" t="n">
        <v>8655.76</v>
      </c>
      <c r="I805" s="18">
        <f>G805*H805</f>
        <v/>
      </c>
      <c r="J805" s="11" t="inlineStr">
        <is>
          <t>N/A</t>
        </is>
      </c>
      <c r="K805" s="17" t="n">
        <v>0</v>
      </c>
      <c r="L805" s="16" t="n">
        <v>45964</v>
      </c>
      <c r="M805" s="11" t="inlineStr">
        <is>
          <t>SM</t>
        </is>
      </c>
      <c r="N805" s="15" t="n"/>
      <c r="O805" s="14" t="n"/>
      <c r="P805" s="14" t="n"/>
      <c r="Q805" s="14" t="n"/>
      <c r="R805" s="14" t="n"/>
    </row>
    <row r="806">
      <c r="A806" s="14" t="inlineStr">
        <is>
          <t>FM3604</t>
        </is>
      </c>
      <c r="B806" s="14" t="n"/>
      <c r="C806" s="13" t="n">
        <v>45965</v>
      </c>
      <c r="D806" s="12" t="inlineStr">
        <is>
          <t>Cash Sale</t>
        </is>
      </c>
      <c r="E806" s="14" t="inlineStr">
        <is>
          <t>Aircon Tech</t>
        </is>
      </c>
      <c r="F806" s="14" t="inlineStr">
        <is>
          <t>Majax-500 c/w 3kW 2Pole 380V</t>
        </is>
      </c>
      <c r="G806" s="20" t="n">
        <v>1</v>
      </c>
      <c r="H806" s="19" t="n">
        <v>9766</v>
      </c>
      <c r="I806" s="18">
        <f>G806*H806</f>
        <v/>
      </c>
      <c r="J806" s="11" t="n"/>
      <c r="K806" s="17" t="n">
        <v>0</v>
      </c>
      <c r="L806" s="16">
        <f>K806+C806</f>
        <v/>
      </c>
      <c r="M806" s="11" t="inlineStr">
        <is>
          <t>SM</t>
        </is>
      </c>
      <c r="N806" s="15" t="n"/>
      <c r="O806" s="14" t="n"/>
      <c r="P806" s="14" t="n"/>
      <c r="Q806" s="14" t="n"/>
      <c r="R806" s="14" t="n"/>
    </row>
    <row r="807">
      <c r="A807" s="14" t="inlineStr">
        <is>
          <t>FM3605</t>
        </is>
      </c>
      <c r="B807" s="14" t="n"/>
      <c r="C807" s="13" t="n">
        <v>45965</v>
      </c>
      <c r="D807" s="12" t="inlineStr">
        <is>
          <t>Cash Sale</t>
        </is>
      </c>
      <c r="E807" s="14" t="inlineStr">
        <is>
          <t>Robhart</t>
        </is>
      </c>
      <c r="F807" s="14" t="inlineStr">
        <is>
          <t>HV 1250 c/w 1.1kW 6P 230V</t>
        </is>
      </c>
      <c r="G807" s="20" t="n"/>
      <c r="H807" s="19" t="n"/>
      <c r="I807" s="18">
        <f>G807*H807</f>
        <v/>
      </c>
      <c r="J807" s="11" t="n"/>
      <c r="K807" s="17" t="n">
        <v>2</v>
      </c>
      <c r="L807" s="16">
        <f>K807+C807</f>
        <v/>
      </c>
      <c r="M807" s="11" t="inlineStr">
        <is>
          <t>SM</t>
        </is>
      </c>
      <c r="N807" s="15" t="n"/>
      <c r="O807" s="14" t="n"/>
      <c r="P807" s="14" t="n"/>
      <c r="Q807" s="14" t="n"/>
      <c r="R807" s="14" t="n"/>
    </row>
    <row r="808">
      <c r="A808" s="14" t="inlineStr">
        <is>
          <t>FM3606</t>
        </is>
      </c>
      <c r="B808" s="14" t="n"/>
      <c r="C808" s="13" t="n">
        <v>45965</v>
      </c>
      <c r="D808" s="12" t="inlineStr">
        <is>
          <t>POEE6624</t>
        </is>
      </c>
      <c r="E808" s="14" t="inlineStr">
        <is>
          <t>Elmec Air</t>
        </is>
      </c>
      <c r="F808" s="14" t="inlineStr">
        <is>
          <t>Lineo 315 Quite</t>
        </is>
      </c>
      <c r="G808" s="20" t="n">
        <v>1</v>
      </c>
      <c r="H808" s="19" t="n">
        <v>12211</v>
      </c>
      <c r="I808" s="18">
        <f>G808*H808</f>
        <v/>
      </c>
      <c r="J808" s="11" t="inlineStr">
        <is>
          <t>N/A</t>
        </is>
      </c>
      <c r="K808" s="17" t="n">
        <v>1</v>
      </c>
      <c r="L808" s="16">
        <f>K808+C808</f>
        <v/>
      </c>
      <c r="M808" s="11" t="inlineStr">
        <is>
          <t>MT</t>
        </is>
      </c>
      <c r="N808" s="15" t="n"/>
      <c r="O808" s="14" t="n"/>
      <c r="P808" s="14" t="n"/>
      <c r="Q808" s="14" t="n"/>
      <c r="R808" s="14" t="n"/>
    </row>
    <row r="809">
      <c r="A809" s="14" t="inlineStr">
        <is>
          <t>FM3607</t>
        </is>
      </c>
      <c r="B809" s="14" t="n"/>
      <c r="C809" s="13" t="n">
        <v>45965</v>
      </c>
      <c r="D809" s="12" t="inlineStr">
        <is>
          <t>Cash sale</t>
        </is>
      </c>
      <c r="E809" s="14" t="inlineStr">
        <is>
          <t>Airsperation</t>
        </is>
      </c>
      <c r="F809" s="14" t="inlineStr">
        <is>
          <t>315 Casing &amp;Accessories</t>
        </is>
      </c>
      <c r="G809" s="20" t="n">
        <v>10</v>
      </c>
      <c r="H809" s="19" t="n">
        <v>3456</v>
      </c>
      <c r="I809" s="18" t="n">
        <v>3456</v>
      </c>
      <c r="J809" s="11" t="inlineStr">
        <is>
          <t>N/A</t>
        </is>
      </c>
      <c r="K809" s="17" t="n">
        <v>1</v>
      </c>
      <c r="L809" s="16">
        <f>K809+C809</f>
        <v/>
      </c>
      <c r="M809" s="11" t="inlineStr">
        <is>
          <t>MT</t>
        </is>
      </c>
      <c r="N809" s="15" t="n"/>
      <c r="O809" s="14" t="n"/>
      <c r="P809" s="14" t="n"/>
      <c r="Q809" s="14" t="n"/>
      <c r="R809" s="14" t="n"/>
    </row>
    <row r="810">
      <c r="A810" s="14" t="inlineStr">
        <is>
          <t>FM3608</t>
        </is>
      </c>
      <c r="B810" s="14" t="n"/>
      <c r="C810" s="13" t="n">
        <v>45965</v>
      </c>
      <c r="D810" s="12" t="inlineStr">
        <is>
          <t>PO33031</t>
        </is>
      </c>
      <c r="E810" s="14" t="inlineStr">
        <is>
          <t>First Cool CC</t>
        </is>
      </c>
      <c r="F810" s="14" t="inlineStr">
        <is>
          <t>Maxflo 560/250/12 c/w .55kW 4P 2380V + Acc</t>
        </is>
      </c>
      <c r="G810" s="20" t="n">
        <v>1</v>
      </c>
      <c r="H810" s="19" t="n">
        <v>13796</v>
      </c>
      <c r="I810" s="18">
        <f>G810*H810</f>
        <v/>
      </c>
      <c r="J810" s="11" t="n"/>
      <c r="K810" s="17" t="n"/>
      <c r="L810" s="16">
        <f>K810+C810</f>
        <v/>
      </c>
      <c r="M810" s="11" t="inlineStr">
        <is>
          <t>SM</t>
        </is>
      </c>
      <c r="N810" s="15" t="n"/>
      <c r="O810" s="14" t="n"/>
      <c r="P810" s="14" t="n"/>
      <c r="Q810" s="14" t="n"/>
      <c r="R810" s="14" t="n"/>
    </row>
    <row r="811">
      <c r="A811" s="14" t="inlineStr">
        <is>
          <t>FM3609</t>
        </is>
      </c>
      <c r="B811" s="14" t="n"/>
      <c r="C811" s="13" t="n">
        <v>45965</v>
      </c>
      <c r="D811" s="12" t="inlineStr">
        <is>
          <t>PO33031</t>
        </is>
      </c>
      <c r="E811" s="14" t="inlineStr">
        <is>
          <t>First Cool CC</t>
        </is>
      </c>
      <c r="F811" s="14" t="inlineStr">
        <is>
          <t>V 230/9</t>
        </is>
      </c>
      <c r="G811" s="20" t="n">
        <v>4</v>
      </c>
      <c r="H811" s="19" t="n">
        <v>3449</v>
      </c>
      <c r="I811" s="18">
        <f>G811*H811</f>
        <v/>
      </c>
      <c r="J811" s="11" t="n"/>
      <c r="K811" s="17" t="n"/>
      <c r="L811" s="16">
        <f>K811+C811</f>
        <v/>
      </c>
      <c r="M811" s="11" t="inlineStr">
        <is>
          <t>SM</t>
        </is>
      </c>
      <c r="N811" s="15" t="n"/>
      <c r="O811" s="14" t="n"/>
      <c r="P811" s="14" t="n"/>
      <c r="Q811" s="14" t="n"/>
      <c r="R811" s="14" t="n"/>
    </row>
    <row r="812">
      <c r="A812" s="14" t="inlineStr">
        <is>
          <t>FM3610</t>
        </is>
      </c>
      <c r="B812" s="14" t="n"/>
      <c r="C812" s="13" t="n">
        <v>45965</v>
      </c>
      <c r="D812" s="12" t="inlineStr">
        <is>
          <t>Cash Sale</t>
        </is>
      </c>
      <c r="E812" s="14" t="inlineStr">
        <is>
          <t>Mabenaki Projects</t>
        </is>
      </c>
      <c r="F812" s="14" t="inlineStr">
        <is>
          <t>Impeller Replacement</t>
        </is>
      </c>
      <c r="G812" s="20" t="n">
        <v>1</v>
      </c>
      <c r="H812" s="19" t="n">
        <v>1450</v>
      </c>
      <c r="I812" s="18">
        <f>G812*H812</f>
        <v/>
      </c>
      <c r="J812" s="11" t="inlineStr">
        <is>
          <t>N/A</t>
        </is>
      </c>
      <c r="K812" s="17" t="n">
        <v>0</v>
      </c>
      <c r="L812" s="16">
        <f>K812+C812</f>
        <v/>
      </c>
      <c r="M812" s="11" t="inlineStr">
        <is>
          <t>ST</t>
        </is>
      </c>
      <c r="N812" s="15" t="n"/>
      <c r="O812" s="14" t="n"/>
      <c r="P812" s="14" t="n"/>
      <c r="Q812" s="14" t="n"/>
      <c r="R812" s="14" t="n"/>
    </row>
    <row r="813">
      <c r="A813" s="14" t="inlineStr">
        <is>
          <t>FM3611</t>
        </is>
      </c>
      <c r="B813" s="14" t="n"/>
      <c r="C813" s="13" t="n">
        <v>45965</v>
      </c>
      <c r="D813" s="12" t="inlineStr">
        <is>
          <t>Cash sale</t>
        </is>
      </c>
      <c r="E813" s="14" t="inlineStr">
        <is>
          <t>Zefs More Vision</t>
        </is>
      </c>
      <c r="F813" s="14" t="inlineStr">
        <is>
          <t>3 RAD 315</t>
        </is>
      </c>
      <c r="G813" s="20" t="n">
        <v>3</v>
      </c>
      <c r="H813" s="19" t="n">
        <v>11597.6</v>
      </c>
      <c r="I813" s="18" t="n">
        <v>11597.6</v>
      </c>
      <c r="J813" s="11" t="inlineStr">
        <is>
          <t>N/A</t>
        </is>
      </c>
      <c r="K813" s="17" t="n">
        <v>1</v>
      </c>
      <c r="L813" s="16">
        <f>K813+C813</f>
        <v/>
      </c>
      <c r="M813" s="11" t="inlineStr">
        <is>
          <t>MT</t>
        </is>
      </c>
      <c r="N813" s="15" t="n"/>
      <c r="O813" s="14" t="n"/>
      <c r="P813" s="14" t="n"/>
      <c r="Q813" s="14" t="n"/>
      <c r="R813" s="14" t="n"/>
    </row>
    <row r="814">
      <c r="A814" s="14" t="inlineStr">
        <is>
          <t>FM3612</t>
        </is>
      </c>
      <c r="B814" s="14" t="n"/>
      <c r="C814" s="13" t="n">
        <v>45966</v>
      </c>
      <c r="D814" s="12" t="inlineStr">
        <is>
          <t>Cash sale</t>
        </is>
      </c>
      <c r="E814" s="14" t="inlineStr">
        <is>
          <t>Airsperation</t>
        </is>
      </c>
      <c r="F814" s="14" t="inlineStr">
        <is>
          <t>Majax-3 315 Brackets and Fasteners</t>
        </is>
      </c>
      <c r="G814" s="20" t="n">
        <v>8</v>
      </c>
      <c r="H814" s="19" t="n">
        <v>56</v>
      </c>
      <c r="I814" s="18">
        <f>G814*H814</f>
        <v/>
      </c>
      <c r="J814" s="11" t="inlineStr">
        <is>
          <t>N/A</t>
        </is>
      </c>
      <c r="K814" s="17" t="n">
        <v>0</v>
      </c>
      <c r="L814" s="16">
        <f>K814+C814</f>
        <v/>
      </c>
      <c r="M814" s="11" t="inlineStr">
        <is>
          <t>MT</t>
        </is>
      </c>
      <c r="N814" s="15" t="n"/>
      <c r="O814" s="14" t="n"/>
      <c r="P814" s="14" t="n"/>
      <c r="Q814" s="14" t="n"/>
      <c r="R814" s="14" t="n"/>
    </row>
    <row r="815">
      <c r="A815" s="14" t="inlineStr">
        <is>
          <t>FM3613</t>
        </is>
      </c>
      <c r="B815" s="14" t="n"/>
      <c r="C815" s="13" t="n">
        <v>45966</v>
      </c>
      <c r="D815" s="12" t="inlineStr">
        <is>
          <t>PO19119</t>
        </is>
      </c>
      <c r="E815" s="14" t="inlineStr">
        <is>
          <t>Airmach systems (Pty) Ltd</t>
        </is>
      </c>
      <c r="F815" s="14" t="inlineStr">
        <is>
          <t>V230/9 AR</t>
        </is>
      </c>
      <c r="G815" s="20" t="n">
        <v>2</v>
      </c>
      <c r="H815" s="19" t="n">
        <v>3752</v>
      </c>
      <c r="I815" s="18">
        <f>G815*H815</f>
        <v/>
      </c>
      <c r="J815" s="11" t="inlineStr">
        <is>
          <t>N/A</t>
        </is>
      </c>
      <c r="K815" s="17" t="n">
        <v>0</v>
      </c>
      <c r="L815" s="16">
        <f>K815+C815</f>
        <v/>
      </c>
      <c r="M815" s="11" t="inlineStr">
        <is>
          <t>MT</t>
        </is>
      </c>
      <c r="N815" s="15" t="n"/>
      <c r="O815" s="14" t="n"/>
      <c r="P815" s="14" t="n"/>
      <c r="Q815" s="14" t="n"/>
      <c r="R815" s="14" t="n"/>
    </row>
    <row r="816">
      <c r="A816" s="14" t="inlineStr">
        <is>
          <t>FM3614</t>
        </is>
      </c>
      <c r="B816" s="14" t="n"/>
      <c r="C816" s="13" t="n">
        <v>45966</v>
      </c>
      <c r="D816" s="12" t="inlineStr">
        <is>
          <t>Cash sale</t>
        </is>
      </c>
      <c r="E816" s="14" t="inlineStr">
        <is>
          <t>Airsperation</t>
        </is>
      </c>
      <c r="F816" s="14" t="inlineStr">
        <is>
          <t>Airmax-2 650 W.EC</t>
        </is>
      </c>
      <c r="G816" s="20" t="n">
        <v>10</v>
      </c>
      <c r="H816" s="19" t="n">
        <v>1609</v>
      </c>
      <c r="I816" s="18">
        <f>G816*H816</f>
        <v/>
      </c>
      <c r="J816" s="11" t="n"/>
      <c r="K816" s="17" t="n">
        <v>0</v>
      </c>
      <c r="L816" s="16">
        <f>K816+C816</f>
        <v/>
      </c>
      <c r="M816" s="11" t="inlineStr">
        <is>
          <t>MT</t>
        </is>
      </c>
      <c r="N816" s="15" t="n"/>
      <c r="O816" s="14" t="n"/>
      <c r="P816" s="14" t="n"/>
      <c r="Q816" s="14" t="n"/>
      <c r="R816" s="14" t="n"/>
    </row>
    <row r="817">
      <c r="A817" s="14" t="inlineStr">
        <is>
          <t>FM3615</t>
        </is>
      </c>
      <c r="B817" s="14" t="n"/>
      <c r="C817" s="13" t="n">
        <v>45966</v>
      </c>
      <c r="D817" s="12" t="inlineStr">
        <is>
          <t>PO101104</t>
        </is>
      </c>
      <c r="E817" s="14" t="inlineStr">
        <is>
          <t>JAMARMIC PUMP AND VALVE</t>
        </is>
      </c>
      <c r="F817" s="14" t="inlineStr">
        <is>
          <t>Majax-3 400 c/w 1.1KW 2P 380V</t>
        </is>
      </c>
      <c r="G817" s="20" t="n">
        <v>1</v>
      </c>
      <c r="H817" s="19" t="n">
        <v>7070</v>
      </c>
      <c r="I817" s="18">
        <f>G817*H817</f>
        <v/>
      </c>
      <c r="J817" s="11" t="inlineStr">
        <is>
          <t>N/A</t>
        </is>
      </c>
      <c r="K817" s="17" t="n">
        <v>2</v>
      </c>
      <c r="L817" s="16">
        <f>K817+C817</f>
        <v/>
      </c>
      <c r="M817" s="11" t="inlineStr">
        <is>
          <t>SM</t>
        </is>
      </c>
      <c r="N817" s="15" t="n"/>
      <c r="O817" s="14" t="n"/>
      <c r="P817" s="14" t="n"/>
      <c r="Q817" s="14" t="n"/>
      <c r="R817" s="14" t="n"/>
    </row>
    <row r="818">
      <c r="A818" s="14" t="inlineStr">
        <is>
          <t>FM3616</t>
        </is>
      </c>
      <c r="B818" s="14" t="n"/>
      <c r="C818" s="13" t="n">
        <v>45966</v>
      </c>
      <c r="D818" s="12" t="inlineStr">
        <is>
          <t>PO029507</t>
        </is>
      </c>
      <c r="E818" s="14" t="inlineStr">
        <is>
          <t>Atlas Air</t>
        </is>
      </c>
      <c r="F818" s="14" t="inlineStr">
        <is>
          <t>Lineo 150</t>
        </is>
      </c>
      <c r="G818" s="20" t="n">
        <v>1</v>
      </c>
      <c r="H818" s="19" t="n">
        <v>3159</v>
      </c>
      <c r="I818" s="18">
        <f>G818*H818</f>
        <v/>
      </c>
      <c r="J818" s="11" t="inlineStr">
        <is>
          <t>N/A</t>
        </is>
      </c>
      <c r="K818" s="17" t="n">
        <v>1</v>
      </c>
      <c r="L818" s="16">
        <f>K818+C818</f>
        <v/>
      </c>
      <c r="M818" s="11" t="inlineStr">
        <is>
          <t>MT</t>
        </is>
      </c>
      <c r="N818" s="15" t="n"/>
      <c r="O818" s="14" t="n"/>
      <c r="P818" s="14" t="n"/>
      <c r="Q818" s="14" t="n"/>
      <c r="R818" s="14" t="n"/>
    </row>
    <row r="819">
      <c r="A819" s="14" t="inlineStr">
        <is>
          <t>FM3617</t>
        </is>
      </c>
      <c r="B819" s="14" t="n"/>
      <c r="C819" s="13" t="n">
        <v>45966</v>
      </c>
      <c r="D819" s="12" t="inlineStr">
        <is>
          <t>Cash Sale</t>
        </is>
      </c>
      <c r="E819" s="14" t="inlineStr">
        <is>
          <t>Wito Plastics</t>
        </is>
      </c>
      <c r="F819" s="14" t="inlineStr">
        <is>
          <t>Lineo 150</t>
        </is>
      </c>
      <c r="G819" s="20" t="n">
        <v>2</v>
      </c>
      <c r="H819" s="19" t="n">
        <v>2778</v>
      </c>
      <c r="I819" s="18">
        <f>G819*H819</f>
        <v/>
      </c>
      <c r="J819" s="11" t="inlineStr">
        <is>
          <t>N/A</t>
        </is>
      </c>
      <c r="K819" s="17" t="n">
        <v>0</v>
      </c>
      <c r="L819" s="16">
        <f>K819+C819</f>
        <v/>
      </c>
      <c r="M819" s="11" t="inlineStr">
        <is>
          <t>MT</t>
        </is>
      </c>
      <c r="N819" s="15" t="n"/>
      <c r="O819" s="14" t="n"/>
      <c r="P819" s="14" t="n"/>
      <c r="Q819" s="14" t="n"/>
      <c r="R819" s="14" t="n"/>
    </row>
    <row r="820">
      <c r="A820" s="14" t="inlineStr">
        <is>
          <t>FM3618</t>
        </is>
      </c>
      <c r="B820" s="14" t="n"/>
      <c r="C820" s="13" t="n">
        <v>45967</v>
      </c>
      <c r="D820" s="12" t="inlineStr">
        <is>
          <t>Cash Sale</t>
        </is>
      </c>
      <c r="E820" s="14" t="inlineStr">
        <is>
          <t>Zefs More Vision</t>
        </is>
      </c>
      <c r="F820" s="14" t="inlineStr">
        <is>
          <t>Maxflo 630/150/10 c/w 2.2kw 4P 380V + acc</t>
        </is>
      </c>
      <c r="G820" s="20" t="n">
        <v>1</v>
      </c>
      <c r="H820" s="19">
        <f>9004+244</f>
        <v/>
      </c>
      <c r="I820" s="18">
        <f>G820*H820</f>
        <v/>
      </c>
      <c r="J820" s="11" t="n"/>
      <c r="K820" s="17" t="n"/>
      <c r="L820" s="16">
        <f>K820+C820</f>
        <v/>
      </c>
      <c r="M820" s="11" t="n"/>
      <c r="N820" s="15" t="n"/>
      <c r="O820" s="14" t="n"/>
      <c r="P820" s="14" t="n"/>
      <c r="Q820" s="14" t="n"/>
      <c r="R820" s="14" t="n"/>
    </row>
    <row r="821">
      <c r="A821" s="14" t="inlineStr">
        <is>
          <t>FM3619</t>
        </is>
      </c>
      <c r="B821" s="14" t="n"/>
      <c r="C821" s="13" t="n">
        <v>45967</v>
      </c>
      <c r="D821" s="12" t="inlineStr">
        <is>
          <t>Cash Sale</t>
        </is>
      </c>
      <c r="E821" s="14" t="inlineStr">
        <is>
          <t>Zefs More Vision</t>
        </is>
      </c>
      <c r="F821" s="14" t="inlineStr">
        <is>
          <t>Maxflo 560/150/10 c/w 1.5kw 4P 380V + acc</t>
        </is>
      </c>
      <c r="G821" s="20" t="n">
        <v>1</v>
      </c>
      <c r="H821" s="19">
        <f>7111+228</f>
        <v/>
      </c>
      <c r="I821" s="18">
        <f>G821*H821</f>
        <v/>
      </c>
      <c r="J821" s="11" t="n"/>
      <c r="K821" s="17" t="n"/>
      <c r="L821" s="16">
        <f>K821+C821</f>
        <v/>
      </c>
      <c r="M821" s="11" t="n"/>
      <c r="N821" s="15" t="n"/>
      <c r="O821" s="14" t="n"/>
      <c r="P821" s="14" t="n"/>
      <c r="Q821" s="14" t="n"/>
      <c r="R821" s="14" t="n"/>
    </row>
    <row r="822">
      <c r="A822" s="14" t="inlineStr">
        <is>
          <t>FM3620</t>
        </is>
      </c>
      <c r="B822" s="14" t="n"/>
      <c r="C822" s="13" t="n">
        <v>45967</v>
      </c>
      <c r="D822" s="12" t="n">
        <v>61211</v>
      </c>
      <c r="E822" s="14" t="inlineStr">
        <is>
          <t>Chabo &amp; Joubert</t>
        </is>
      </c>
      <c r="F822" s="14" t="inlineStr">
        <is>
          <t>Maxflo 800 c/w 4kW 4Pole</t>
        </is>
      </c>
      <c r="G822" s="20" t="n">
        <v>1</v>
      </c>
      <c r="H822" s="19" t="n">
        <v>28445.77</v>
      </c>
      <c r="I822" s="18">
        <f>G822*H822</f>
        <v/>
      </c>
      <c r="J822" s="11" t="n"/>
      <c r="K822" s="17" t="n"/>
      <c r="L822" s="16">
        <f>K822+C822</f>
        <v/>
      </c>
      <c r="M822" s="11" t="n"/>
      <c r="N822" s="15" t="n"/>
      <c r="O822" s="14" t="n"/>
      <c r="P822" s="14" t="n"/>
      <c r="Q822" s="14" t="n"/>
      <c r="R822" s="14" t="n"/>
    </row>
    <row r="823">
      <c r="A823" s="14" t="inlineStr">
        <is>
          <t>FM3621</t>
        </is>
      </c>
      <c r="B823" s="14" t="n"/>
      <c r="C823" s="13" t="n">
        <v>45967</v>
      </c>
      <c r="D823" s="12" t="inlineStr">
        <is>
          <t>Ruel</t>
        </is>
      </c>
      <c r="E823" s="14" t="inlineStr">
        <is>
          <t>Kareo</t>
        </is>
      </c>
      <c r="F823" s="14" t="inlineStr">
        <is>
          <t>RAD 200</t>
        </is>
      </c>
      <c r="G823" s="20" t="n">
        <v>3</v>
      </c>
      <c r="H823" s="19" t="n">
        <v>2187</v>
      </c>
      <c r="I823" s="18">
        <f>G823*H823</f>
        <v/>
      </c>
      <c r="J823" s="11" t="n"/>
      <c r="K823" s="17" t="n"/>
      <c r="L823" s="16">
        <f>K823+C823</f>
        <v/>
      </c>
      <c r="M823" s="11" t="n"/>
      <c r="N823" s="15" t="n"/>
      <c r="O823" s="14" t="n"/>
      <c r="P823" s="14" t="n"/>
      <c r="Q823" s="14" t="n"/>
      <c r="R823" s="14" t="n"/>
    </row>
    <row r="824">
      <c r="A824" s="14" t="inlineStr">
        <is>
          <t>FM3622</t>
        </is>
      </c>
      <c r="B824" s="14" t="n"/>
      <c r="C824" s="13" t="n">
        <v>45968</v>
      </c>
      <c r="D824" s="12" t="inlineStr">
        <is>
          <t>PO6341</t>
        </is>
      </c>
      <c r="E824" s="14" t="inlineStr">
        <is>
          <t>Bircraft Geared Motors-Linear Actuators</t>
        </is>
      </c>
      <c r="F824" s="14" t="inlineStr">
        <is>
          <t>CMP 616-2T</t>
        </is>
      </c>
      <c r="G824" s="20" t="n">
        <v>1</v>
      </c>
      <c r="H824" s="19" t="n">
        <v>8466.24</v>
      </c>
      <c r="I824" s="18">
        <f>G824*H824</f>
        <v/>
      </c>
      <c r="J824" s="11" t="inlineStr">
        <is>
          <t>N/A</t>
        </is>
      </c>
      <c r="K824" s="17" t="n">
        <v>0</v>
      </c>
      <c r="L824" s="16">
        <f>K824+C824</f>
        <v/>
      </c>
      <c r="M824" s="11" t="n"/>
      <c r="N824" s="15" t="n"/>
      <c r="O824" s="14" t="n"/>
      <c r="P824" s="14" t="n"/>
      <c r="Q824" s="14" t="n"/>
      <c r="R824" s="14" t="n"/>
    </row>
    <row r="825">
      <c r="A825" s="14" t="inlineStr">
        <is>
          <t>FM3623</t>
        </is>
      </c>
      <c r="B825" s="14" t="n"/>
      <c r="C825" s="13" t="n">
        <v>45968</v>
      </c>
      <c r="D825" s="12" t="inlineStr">
        <is>
          <t>Cash Sale</t>
        </is>
      </c>
      <c r="E825" s="14" t="inlineStr">
        <is>
          <t>Cold Air</t>
        </is>
      </c>
      <c r="F825" s="14" t="inlineStr">
        <is>
          <t>CE 250</t>
        </is>
      </c>
      <c r="G825" s="20" t="n">
        <v>4</v>
      </c>
      <c r="H825" s="19" t="n">
        <v>520</v>
      </c>
      <c r="I825" s="18">
        <f>G825*H825</f>
        <v/>
      </c>
      <c r="J825" s="11" t="inlineStr">
        <is>
          <t>N/A</t>
        </is>
      </c>
      <c r="K825" s="17" t="n">
        <v>3</v>
      </c>
      <c r="L825" s="16">
        <f>K825+C825</f>
        <v/>
      </c>
      <c r="M825" s="11" t="inlineStr">
        <is>
          <t>ST</t>
        </is>
      </c>
      <c r="N825" s="15" t="n"/>
      <c r="O825" s="14" t="n"/>
      <c r="P825" s="14" t="n"/>
      <c r="Q825" s="14" t="n"/>
      <c r="R825" s="14" t="n"/>
    </row>
    <row r="826">
      <c r="A826" s="14" t="inlineStr">
        <is>
          <t>FM3624</t>
        </is>
      </c>
      <c r="B826" s="14" t="n"/>
      <c r="C826" s="13" t="n">
        <v>45968</v>
      </c>
      <c r="D826" s="12" t="inlineStr">
        <is>
          <t>PO 0841</t>
        </is>
      </c>
      <c r="E826" s="14" t="inlineStr">
        <is>
          <t>Chabo &amp; Joubert</t>
        </is>
      </c>
      <c r="F826" s="14" t="inlineStr">
        <is>
          <t>Majax 2 400 c/w 0.25kW 4Pole</t>
        </is>
      </c>
      <c r="G826" s="20" t="n">
        <v>1</v>
      </c>
      <c r="H826" s="19" t="n">
        <v>7572</v>
      </c>
      <c r="I826" s="18">
        <f>G826*H826</f>
        <v/>
      </c>
      <c r="J826" s="11" t="inlineStr">
        <is>
          <t>N/A</t>
        </is>
      </c>
      <c r="K826" s="17" t="n">
        <v>5</v>
      </c>
      <c r="L826" s="16">
        <f>K826+C826</f>
        <v/>
      </c>
      <c r="M826" s="11" t="inlineStr">
        <is>
          <t>ST</t>
        </is>
      </c>
      <c r="N826" s="15" t="n"/>
      <c r="O826" s="14" t="n"/>
      <c r="P826" s="14" t="n"/>
      <c r="Q826" s="14" t="n"/>
      <c r="R826" s="14" t="n"/>
    </row>
    <row r="827">
      <c r="A827" s="14" t="inlineStr">
        <is>
          <t>FM3625</t>
        </is>
      </c>
      <c r="B827" s="14" t="n"/>
      <c r="C827" s="13" t="n">
        <v>45968</v>
      </c>
      <c r="D827" s="12" t="inlineStr">
        <is>
          <t>PO 0842</t>
        </is>
      </c>
      <c r="E827" s="14" t="inlineStr">
        <is>
          <t>Chabo &amp; Joubert</t>
        </is>
      </c>
      <c r="F827" s="14" t="inlineStr">
        <is>
          <t>REC 60-35</t>
        </is>
      </c>
      <c r="G827" s="20" t="n">
        <v>1</v>
      </c>
      <c r="H827" s="19" t="n">
        <v>9333</v>
      </c>
      <c r="I827" s="18">
        <f>G827*H827</f>
        <v/>
      </c>
      <c r="J827" s="11" t="inlineStr">
        <is>
          <t>N/A</t>
        </is>
      </c>
      <c r="K827" s="17" t="n">
        <v>5</v>
      </c>
      <c r="L827" s="16">
        <f>K827+C827</f>
        <v/>
      </c>
      <c r="M827" s="11" t="inlineStr">
        <is>
          <t>ST</t>
        </is>
      </c>
      <c r="N827" s="15" t="n"/>
      <c r="O827" s="14" t="n"/>
      <c r="P827" s="14" t="n"/>
      <c r="Q827" s="14" t="n"/>
      <c r="R827" s="14" t="n"/>
    </row>
    <row r="828">
      <c r="A828" s="14" t="inlineStr">
        <is>
          <t>FM3626</t>
        </is>
      </c>
      <c r="B828" s="14" t="n"/>
      <c r="C828" s="13" t="n">
        <v>45968</v>
      </c>
      <c r="D828" s="12" t="inlineStr">
        <is>
          <t>Cash Sale</t>
        </is>
      </c>
      <c r="E828" s="14" t="inlineStr">
        <is>
          <t>Weztech Group</t>
        </is>
      </c>
      <c r="F828" s="14" t="inlineStr">
        <is>
          <t>Lineo 250</t>
        </is>
      </c>
      <c r="G828" s="20" t="n">
        <v>1</v>
      </c>
      <c r="H828" s="19" t="n">
        <v>75363</v>
      </c>
      <c r="I828" s="18">
        <f>G828*H828</f>
        <v/>
      </c>
      <c r="J828" s="11" t="inlineStr">
        <is>
          <t>N/A</t>
        </is>
      </c>
      <c r="K828" s="17" t="n">
        <v>0</v>
      </c>
      <c r="L828" s="16">
        <f>K828+C828</f>
        <v/>
      </c>
      <c r="M828" s="11" t="inlineStr">
        <is>
          <t>ST</t>
        </is>
      </c>
      <c r="N828" s="15" t="n"/>
      <c r="O828" s="14" t="n"/>
      <c r="P828" s="14" t="n"/>
      <c r="Q828" s="14" t="n"/>
      <c r="R828" s="14" t="n"/>
    </row>
    <row r="829">
      <c r="A829" s="14" t="inlineStr">
        <is>
          <t>FM3627</t>
        </is>
      </c>
      <c r="B829" s="14" t="n"/>
      <c r="C829" s="13" t="n">
        <v>45971</v>
      </c>
      <c r="D829" s="12" t="inlineStr">
        <is>
          <t>cash sale</t>
        </is>
      </c>
      <c r="E829" s="14" t="inlineStr">
        <is>
          <t>Matla solution</t>
        </is>
      </c>
      <c r="F829" s="14" t="inlineStr">
        <is>
          <t>0.55Kw 2P 380V</t>
        </is>
      </c>
      <c r="G829" s="20" t="n">
        <v>1</v>
      </c>
      <c r="H829" s="19" t="n">
        <v>1900</v>
      </c>
      <c r="I829" s="18">
        <f>G829*H829</f>
        <v/>
      </c>
      <c r="J829" s="11" t="inlineStr">
        <is>
          <t>N/A</t>
        </is>
      </c>
      <c r="K829" s="17" t="n">
        <v>0</v>
      </c>
      <c r="L829" s="16">
        <f>K829+C829</f>
        <v/>
      </c>
      <c r="M829" s="11" t="inlineStr">
        <is>
          <t>MT</t>
        </is>
      </c>
      <c r="N829" s="15" t="n"/>
      <c r="O829" s="14" t="n"/>
      <c r="P829" s="14" t="n"/>
      <c r="Q829" s="14" t="n"/>
      <c r="R829" s="14" t="n"/>
    </row>
    <row r="830">
      <c r="A830" s="14" t="inlineStr">
        <is>
          <t>FM3628</t>
        </is>
      </c>
      <c r="B830" s="14" t="n"/>
      <c r="C830" s="13" t="n">
        <v>45971</v>
      </c>
      <c r="D830" s="12" t="inlineStr">
        <is>
          <t>Cash Sale</t>
        </is>
      </c>
      <c r="E830" s="14" t="inlineStr">
        <is>
          <t>Sun Cool</t>
        </is>
      </c>
      <c r="F830" s="14" t="inlineStr">
        <is>
          <t>VP 100</t>
        </is>
      </c>
      <c r="G830" s="20" t="n">
        <v>1</v>
      </c>
      <c r="H830" s="19" t="n">
        <v>2592</v>
      </c>
      <c r="I830" s="18">
        <f>G830*H830</f>
        <v/>
      </c>
      <c r="J830" s="11" t="inlineStr">
        <is>
          <t>N/A</t>
        </is>
      </c>
      <c r="K830" s="17" t="n">
        <v>0</v>
      </c>
      <c r="L830" s="16">
        <f>K830+C830</f>
        <v/>
      </c>
      <c r="M830" s="11" t="inlineStr">
        <is>
          <t>SM</t>
        </is>
      </c>
      <c r="N830" s="15" t="n"/>
      <c r="O830" s="14" t="n"/>
      <c r="P830" s="14" t="n"/>
      <c r="Q830" s="14" t="n"/>
      <c r="R830" s="14" t="n"/>
    </row>
    <row r="831">
      <c r="A831" s="14" t="inlineStr">
        <is>
          <t>FM3629</t>
        </is>
      </c>
      <c r="B831" s="14" t="n"/>
      <c r="C831" s="13" t="n">
        <v>45971</v>
      </c>
      <c r="D831" s="12" t="n"/>
      <c r="E831" s="14" t="inlineStr">
        <is>
          <t>Matla Solution</t>
        </is>
      </c>
      <c r="F831" s="14" t="inlineStr">
        <is>
          <t>CE250</t>
        </is>
      </c>
      <c r="G831" s="20" t="n">
        <v>1</v>
      </c>
      <c r="H831" s="19" t="n">
        <v>450</v>
      </c>
      <c r="I831" s="18">
        <f>G831*H831</f>
        <v/>
      </c>
      <c r="J831" s="11" t="inlineStr">
        <is>
          <t>N/A</t>
        </is>
      </c>
      <c r="K831" s="17" t="n">
        <v>0</v>
      </c>
      <c r="L831" s="16">
        <f>K831+C831</f>
        <v/>
      </c>
      <c r="M831" s="11" t="inlineStr">
        <is>
          <t>MT</t>
        </is>
      </c>
      <c r="N831" s="15" t="n"/>
      <c r="O831" s="14" t="n"/>
      <c r="P831" s="14" t="n"/>
      <c r="Q831" s="14" t="n"/>
      <c r="R831" s="14" t="n"/>
    </row>
    <row r="832">
      <c r="A832" s="14" t="inlineStr">
        <is>
          <t>FM3630</t>
        </is>
      </c>
      <c r="B832" s="14" t="n"/>
      <c r="C832" s="13" t="n">
        <v>45971</v>
      </c>
      <c r="D832" s="12" t="inlineStr">
        <is>
          <t>POEE:6724</t>
        </is>
      </c>
      <c r="E832" s="14" t="inlineStr">
        <is>
          <t>Elmec Air</t>
        </is>
      </c>
      <c r="F832" s="14" t="inlineStr">
        <is>
          <t>TT SIlent 250M</t>
        </is>
      </c>
      <c r="G832" s="20" t="n">
        <v>1</v>
      </c>
      <c r="H832" s="19" t="n">
        <v>7770</v>
      </c>
      <c r="I832" s="18">
        <f>G832*H832</f>
        <v/>
      </c>
      <c r="J832" s="11" t="inlineStr">
        <is>
          <t>N/A</t>
        </is>
      </c>
      <c r="K832" s="17" t="n">
        <v>1</v>
      </c>
      <c r="L832" s="16">
        <f>K832+C832</f>
        <v/>
      </c>
      <c r="M832" s="11" t="inlineStr">
        <is>
          <t>MT</t>
        </is>
      </c>
      <c r="N832" s="15" t="n"/>
      <c r="O832" s="14" t="n"/>
      <c r="P832" s="14" t="n"/>
      <c r="Q832" s="14" t="n"/>
      <c r="R832" s="14" t="n"/>
    </row>
    <row r="833">
      <c r="A833" s="14" t="inlineStr">
        <is>
          <t>FM3631</t>
        </is>
      </c>
      <c r="B833" s="14" t="n"/>
      <c r="C833" s="13" t="n">
        <v>45972</v>
      </c>
      <c r="D833" s="12" t="inlineStr">
        <is>
          <t>Cash Sale</t>
        </is>
      </c>
      <c r="E833" s="14" t="inlineStr">
        <is>
          <t>Francis Lacey</t>
        </is>
      </c>
      <c r="F833" s="14" t="inlineStr">
        <is>
          <t>E354 M + Louvre</t>
        </is>
      </c>
      <c r="G833" s="20" t="n">
        <v>1</v>
      </c>
      <c r="H833" s="19" t="n"/>
      <c r="I833" s="18">
        <f>G833*H833</f>
        <v/>
      </c>
      <c r="J833" s="11" t="inlineStr">
        <is>
          <t>N/A</t>
        </is>
      </c>
      <c r="K833" s="17" t="n">
        <v>0</v>
      </c>
      <c r="L833" s="16">
        <f>K833+C833</f>
        <v/>
      </c>
      <c r="M833" s="11" t="inlineStr">
        <is>
          <t>SM</t>
        </is>
      </c>
      <c r="N833" s="15" t="n"/>
      <c r="O833" s="14" t="n"/>
      <c r="P833" s="14" t="n"/>
      <c r="Q833" s="14" t="n"/>
      <c r="R833" s="14" t="n"/>
    </row>
    <row r="834">
      <c r="A834" s="14" t="inlineStr">
        <is>
          <t>FM3632</t>
        </is>
      </c>
      <c r="B834" s="14" t="n"/>
      <c r="C834" s="13" t="n">
        <v>45972</v>
      </c>
      <c r="D834" s="12" t="inlineStr">
        <is>
          <t>PO2155</t>
        </is>
      </c>
      <c r="E834" s="14" t="inlineStr">
        <is>
          <t xml:space="preserve">Hucra Fans </t>
        </is>
      </c>
      <c r="F834" s="14" t="inlineStr">
        <is>
          <t xml:space="preserve">Lineo 315 </t>
        </is>
      </c>
      <c r="G834" s="20" t="n">
        <v>1</v>
      </c>
      <c r="H834" s="19" t="n">
        <v>5983</v>
      </c>
      <c r="I834" s="18">
        <f>G834*H834</f>
        <v/>
      </c>
      <c r="J834" s="11" t="inlineStr">
        <is>
          <t>N/A</t>
        </is>
      </c>
      <c r="K834" s="17" t="n">
        <v>0</v>
      </c>
      <c r="L834" s="16">
        <f>K834+C834</f>
        <v/>
      </c>
      <c r="M834" s="11" t="inlineStr">
        <is>
          <t>SM</t>
        </is>
      </c>
      <c r="N834" s="15" t="n"/>
      <c r="O834" s="14" t="n"/>
      <c r="P834" s="14" t="n"/>
      <c r="Q834" s="14" t="n"/>
      <c r="R834" s="14" t="n"/>
    </row>
    <row r="835">
      <c r="A835" s="14" t="inlineStr">
        <is>
          <t>FM3633</t>
        </is>
      </c>
      <c r="B835" s="14" t="inlineStr">
        <is>
          <t>SO4171</t>
        </is>
      </c>
      <c r="C835" s="13" t="n">
        <v>45972</v>
      </c>
      <c r="D835" s="12" t="inlineStr">
        <is>
          <t>A3412094782</t>
        </is>
      </c>
      <c r="E835" s="14" t="inlineStr">
        <is>
          <t>NWK</t>
        </is>
      </c>
      <c r="F835" s="14" t="inlineStr">
        <is>
          <t>CMA 325-2M</t>
        </is>
      </c>
      <c r="G835" s="20" t="n">
        <v>5</v>
      </c>
      <c r="H835" s="19" t="n">
        <v>13040</v>
      </c>
      <c r="I835" s="18">
        <f>G835*H835</f>
        <v/>
      </c>
      <c r="J835" s="11" t="n"/>
      <c r="K835" s="17" t="n">
        <v>0</v>
      </c>
      <c r="L835" s="16">
        <f>K835+C835</f>
        <v/>
      </c>
      <c r="M835" s="11" t="inlineStr">
        <is>
          <t>ST</t>
        </is>
      </c>
      <c r="N835" s="15" t="n"/>
      <c r="O835" s="14" t="n"/>
      <c r="P835" s="14" t="n"/>
      <c r="Q835" s="14" t="n"/>
      <c r="R835" s="14" t="n"/>
    </row>
    <row r="836">
      <c r="A836" s="14" t="inlineStr">
        <is>
          <t>FM3634</t>
        </is>
      </c>
      <c r="B836" s="14" t="n"/>
      <c r="C836" s="13" t="n">
        <v>45972</v>
      </c>
      <c r="D836" s="12" t="inlineStr">
        <is>
          <t>Cash Sale</t>
        </is>
      </c>
      <c r="E836" s="14" t="inlineStr">
        <is>
          <t>VR Maintenance &amp; logistics</t>
        </is>
      </c>
      <c r="F836" s="14" t="inlineStr">
        <is>
          <t>Vario 300/12 AR LLS</t>
        </is>
      </c>
      <c r="G836" s="20" t="n">
        <v>2</v>
      </c>
      <c r="H836" s="19" t="n">
        <v>7450</v>
      </c>
      <c r="I836" s="18">
        <f>G836*H836</f>
        <v/>
      </c>
      <c r="J836" s="11" t="inlineStr">
        <is>
          <t>N/A</t>
        </is>
      </c>
      <c r="K836" s="17" t="n">
        <v>0</v>
      </c>
      <c r="L836" s="16">
        <f>K836+C836</f>
        <v/>
      </c>
      <c r="M836" s="11" t="inlineStr">
        <is>
          <t>MT</t>
        </is>
      </c>
      <c r="N836" s="15" t="n"/>
      <c r="O836" s="14" t="n"/>
      <c r="P836" s="14" t="n"/>
      <c r="Q836" s="14" t="n"/>
      <c r="R836" s="14" t="n"/>
    </row>
    <row r="837">
      <c r="A837" s="14" t="inlineStr">
        <is>
          <t>FM3635</t>
        </is>
      </c>
      <c r="B837" s="14" t="n"/>
      <c r="C837" s="13" t="n">
        <v>45973</v>
      </c>
      <c r="D837" s="12" t="inlineStr">
        <is>
          <t>PO-000006667</t>
        </is>
      </c>
      <c r="E837" s="14" t="inlineStr">
        <is>
          <t>Butec</t>
        </is>
      </c>
      <c r="F837" s="14" t="inlineStr">
        <is>
          <t>AT 10/10 SC2/ Double Unit</t>
        </is>
      </c>
      <c r="G837" s="20" t="n">
        <v>1</v>
      </c>
      <c r="H837" s="19" t="n">
        <v>9195</v>
      </c>
      <c r="I837" s="18">
        <f>G837*H837</f>
        <v/>
      </c>
      <c r="J837" s="11" t="inlineStr">
        <is>
          <t>N/A</t>
        </is>
      </c>
      <c r="K837" s="17" t="n">
        <v>0</v>
      </c>
      <c r="L837" s="16">
        <f>K837+C837</f>
        <v/>
      </c>
      <c r="M837" s="11" t="inlineStr">
        <is>
          <t>MT</t>
        </is>
      </c>
      <c r="N837" s="15" t="n"/>
      <c r="O837" s="14" t="n"/>
      <c r="P837" s="14" t="n"/>
      <c r="Q837" s="14" t="n"/>
      <c r="R837" s="14" t="n"/>
    </row>
    <row r="838">
      <c r="A838" s="14" t="inlineStr">
        <is>
          <t>FM3636</t>
        </is>
      </c>
      <c r="B838" s="14" t="n"/>
      <c r="C838" s="13" t="n">
        <v>45973</v>
      </c>
      <c r="D838" s="12" t="inlineStr">
        <is>
          <t>Courier Billing</t>
        </is>
      </c>
      <c r="E838" s="14" t="inlineStr">
        <is>
          <t>Fans Maintenance &amp; More</t>
        </is>
      </c>
      <c r="F838" s="14" t="inlineStr">
        <is>
          <t>Courier Billing</t>
        </is>
      </c>
      <c r="G838" s="20" t="n">
        <v>1</v>
      </c>
      <c r="H838" s="19" t="n">
        <v>398</v>
      </c>
      <c r="I838" s="18">
        <f>G838*H838</f>
        <v/>
      </c>
      <c r="J838" s="11" t="inlineStr">
        <is>
          <t>N/A</t>
        </is>
      </c>
      <c r="K838" s="17" t="n">
        <v>0</v>
      </c>
      <c r="L838" s="16">
        <f>K838+C838</f>
        <v/>
      </c>
      <c r="M838" s="11" t="n"/>
      <c r="N838" s="15" t="n"/>
      <c r="O838" s="14" t="n"/>
      <c r="P838" s="14" t="n"/>
      <c r="Q838" s="14" t="n"/>
      <c r="R838" s="14" t="n"/>
    </row>
    <row r="839">
      <c r="A839" s="14" t="inlineStr">
        <is>
          <t>FM3637</t>
        </is>
      </c>
      <c r="B839" s="14" t="n"/>
      <c r="C839" s="13" t="n">
        <v>45974</v>
      </c>
      <c r="D839" s="12" t="n">
        <v>61227</v>
      </c>
      <c r="E839" s="14" t="inlineStr">
        <is>
          <t>Chabo &amp; Joubert</t>
        </is>
      </c>
      <c r="F839" s="14" t="inlineStr">
        <is>
          <t>Maxflo 630/165/9 c/w 0.55kw 2P 400V</t>
        </is>
      </c>
      <c r="G839" s="20" t="n">
        <v>1</v>
      </c>
      <c r="H839" s="19">
        <f>8228.81+8428+952+1236</f>
        <v/>
      </c>
      <c r="I839" s="18">
        <f>G839*H839</f>
        <v/>
      </c>
      <c r="J839" s="11" t="n"/>
      <c r="K839" s="17" t="n">
        <v>1</v>
      </c>
      <c r="L839" s="16">
        <f>K839+C839</f>
        <v/>
      </c>
      <c r="M839" s="11" t="n"/>
      <c r="N839" s="15" t="n"/>
      <c r="O839" s="14" t="n"/>
      <c r="P839" s="14" t="n"/>
      <c r="Q839" s="14" t="n"/>
      <c r="R839" s="14" t="n"/>
    </row>
    <row r="840">
      <c r="A840" s="14" t="inlineStr">
        <is>
          <t>FM3638</t>
        </is>
      </c>
      <c r="B840" s="14" t="n"/>
      <c r="C840" s="13" t="n">
        <v>45974</v>
      </c>
      <c r="D840" s="12" t="n">
        <v>61227</v>
      </c>
      <c r="E840" s="14" t="inlineStr">
        <is>
          <t>Chabo &amp; Joubert</t>
        </is>
      </c>
      <c r="F840" s="14" t="inlineStr">
        <is>
          <t>Box Fans</t>
        </is>
      </c>
      <c r="G840" s="20" t="n">
        <v>1</v>
      </c>
      <c r="H840" s="19">
        <f>2480+1666+2352+1492</f>
        <v/>
      </c>
      <c r="I840" s="18">
        <f>G840*H840</f>
        <v/>
      </c>
      <c r="J840" s="11" t="n"/>
      <c r="K840" s="17" t="n">
        <v>1</v>
      </c>
      <c r="L840" s="16">
        <f>K840+C840</f>
        <v/>
      </c>
      <c r="M840" s="11" t="n"/>
      <c r="N840" s="15" t="n"/>
      <c r="O840" s="14" t="n"/>
      <c r="P840" s="14" t="n"/>
      <c r="Q840" s="14" t="n"/>
      <c r="R840" s="14" t="n"/>
    </row>
    <row r="841">
      <c r="A841" s="14" t="inlineStr">
        <is>
          <t>FM3639</t>
        </is>
      </c>
      <c r="B841" s="14" t="n"/>
      <c r="C841" s="13" t="n">
        <v>45974</v>
      </c>
      <c r="D841" s="12" t="inlineStr">
        <is>
          <t>PO5848</t>
        </is>
      </c>
      <c r="E841" s="14" t="inlineStr">
        <is>
          <t>B &amp; D Aircon &amp; Ventilation (Pty) Ltd</t>
        </is>
      </c>
      <c r="F841" s="14" t="n"/>
      <c r="G841" s="20" t="n">
        <v>3</v>
      </c>
      <c r="H841" s="19" t="n">
        <v>1000</v>
      </c>
      <c r="I841" s="18">
        <f>G841*H841</f>
        <v/>
      </c>
      <c r="J841" s="11" t="inlineStr">
        <is>
          <t>N/A</t>
        </is>
      </c>
      <c r="K841" s="17" t="n">
        <v>1</v>
      </c>
      <c r="L841" s="16">
        <f>K841+C841</f>
        <v/>
      </c>
      <c r="M841" s="11" t="inlineStr">
        <is>
          <t>ST</t>
        </is>
      </c>
      <c r="N841" s="15" t="n"/>
      <c r="O841" s="14" t="n"/>
      <c r="P841" s="14" t="n"/>
      <c r="Q841" s="14" t="n"/>
      <c r="R841" s="14" t="n"/>
    </row>
    <row r="842">
      <c r="A842" s="14" t="inlineStr">
        <is>
          <t>FM3640</t>
        </is>
      </c>
      <c r="B842" s="14" t="n"/>
      <c r="C842" s="13" t="n">
        <v>45974</v>
      </c>
      <c r="D842" s="12" t="inlineStr">
        <is>
          <t>Cash Sale</t>
        </is>
      </c>
      <c r="E842" s="14" t="inlineStr">
        <is>
          <t>Arctic Air</t>
        </is>
      </c>
      <c r="F842" s="14" t="inlineStr">
        <is>
          <t>Maxflo630/150/10P C/w1.5kw 4P 380V</t>
        </is>
      </c>
      <c r="G842" s="20" t="n">
        <v>1</v>
      </c>
      <c r="H842" s="19" t="n">
        <v>8232.15</v>
      </c>
      <c r="I842" s="18" t="n">
        <v>8232.15</v>
      </c>
      <c r="J842" s="11" t="inlineStr">
        <is>
          <t>N/A</t>
        </is>
      </c>
      <c r="K842" s="17" t="n">
        <v>1</v>
      </c>
      <c r="L842" s="16">
        <f>K842+C842</f>
        <v/>
      </c>
      <c r="M842" s="11" t="inlineStr">
        <is>
          <t>MT</t>
        </is>
      </c>
      <c r="N842" s="15" t="n"/>
      <c r="O842" s="14" t="n"/>
      <c r="P842" s="14" t="n"/>
      <c r="Q842" s="14" t="n"/>
      <c r="R842" s="14" t="n"/>
    </row>
    <row r="843">
      <c r="A843" s="14" t="inlineStr">
        <is>
          <t>FM3641</t>
        </is>
      </c>
      <c r="B843" s="14" t="n"/>
      <c r="C843" s="13" t="n">
        <v>45974</v>
      </c>
      <c r="D843" s="21" t="inlineStr">
        <is>
          <t>Cash Sale</t>
        </is>
      </c>
      <c r="E843" s="14" t="inlineStr">
        <is>
          <t>Mpumalanga Duct</t>
        </is>
      </c>
      <c r="F843" s="14" t="inlineStr">
        <is>
          <t>Maxflo 630/165/9 c/w 2.2kw 4P 380V</t>
        </is>
      </c>
      <c r="G843" s="20" t="n">
        <v>1</v>
      </c>
      <c r="H843" s="19" t="n">
        <v>11858</v>
      </c>
      <c r="I843" s="18">
        <f>G843*H843</f>
        <v/>
      </c>
      <c r="J843" s="11" t="inlineStr">
        <is>
          <t>N/A</t>
        </is>
      </c>
      <c r="K843" s="17" t="n">
        <v>3</v>
      </c>
      <c r="L843" s="16">
        <f>K843+C843</f>
        <v/>
      </c>
      <c r="M843" s="11" t="inlineStr">
        <is>
          <t>ST</t>
        </is>
      </c>
      <c r="N843" s="15" t="n"/>
      <c r="O843" s="14" t="n"/>
      <c r="P843" s="14" t="n"/>
      <c r="Q843" s="14" t="n"/>
      <c r="R843" s="14" t="n"/>
    </row>
    <row r="844">
      <c r="A844" s="14" t="inlineStr">
        <is>
          <t>FM3642</t>
        </is>
      </c>
      <c r="B844" s="14" t="n"/>
      <c r="C844" s="13" t="n">
        <v>45974</v>
      </c>
      <c r="D844" s="21" t="inlineStr">
        <is>
          <t>Cash Sale</t>
        </is>
      </c>
      <c r="E844" s="14" t="inlineStr">
        <is>
          <t>LJ Traiding</t>
        </is>
      </c>
      <c r="F844" s="14" t="inlineStr">
        <is>
          <t>Maxflo 710 Mounting Feet(Matched System Air Price)</t>
        </is>
      </c>
      <c r="G844" s="20" t="n">
        <v>4</v>
      </c>
      <c r="H844" s="19" t="n">
        <v>285</v>
      </c>
      <c r="I844" s="18">
        <f>G844*H844</f>
        <v/>
      </c>
      <c r="J844" s="11" t="n"/>
      <c r="K844" s="17" t="n"/>
      <c r="L844" s="16">
        <f>K844+C844</f>
        <v/>
      </c>
      <c r="M844" s="11" t="n"/>
      <c r="N844" s="15" t="n"/>
      <c r="O844" s="14" t="n"/>
      <c r="P844" s="14" t="n"/>
      <c r="Q844" s="14" t="n"/>
      <c r="R844" s="14" t="n"/>
    </row>
    <row r="845">
      <c r="A845" s="14" t="inlineStr">
        <is>
          <t>FM3643</t>
        </is>
      </c>
      <c r="B845" s="14" t="n"/>
      <c r="C845" s="13" t="n">
        <v>45975</v>
      </c>
      <c r="D845" s="12" t="inlineStr">
        <is>
          <t>Cash Sale</t>
        </is>
      </c>
      <c r="E845" s="14" t="inlineStr">
        <is>
          <t>BTS Breezeair</t>
        </is>
      </c>
      <c r="F845" s="14" t="inlineStr">
        <is>
          <t>Lineo 315 Quiet</t>
        </is>
      </c>
      <c r="G845" s="20" t="n">
        <v>1</v>
      </c>
      <c r="H845" s="19" t="n">
        <v>12211</v>
      </c>
      <c r="I845" s="18">
        <f>G845*H845</f>
        <v/>
      </c>
      <c r="J845" s="11" t="inlineStr">
        <is>
          <t>N/A</t>
        </is>
      </c>
      <c r="K845" s="17" t="n">
        <v>0</v>
      </c>
      <c r="L845" s="16">
        <f>K845+C845</f>
        <v/>
      </c>
      <c r="M845" s="11" t="inlineStr">
        <is>
          <t>MT</t>
        </is>
      </c>
      <c r="N845" s="15" t="n"/>
      <c r="O845" s="14" t="n"/>
      <c r="P845" s="14" t="n"/>
      <c r="Q845" s="14" t="n"/>
      <c r="R845" s="14" t="n"/>
    </row>
    <row r="846">
      <c r="A846" s="14" t="inlineStr">
        <is>
          <t>FM3644</t>
        </is>
      </c>
      <c r="B846" s="14" t="n"/>
      <c r="C846" s="13" t="n">
        <v>45975</v>
      </c>
      <c r="D846" s="12" t="inlineStr">
        <is>
          <t>PO-000006765</t>
        </is>
      </c>
      <c r="E846" s="14" t="inlineStr">
        <is>
          <t>Butec</t>
        </is>
      </c>
      <c r="F846" s="14" t="inlineStr">
        <is>
          <t>Lineo 315 &amp; Accessories</t>
        </is>
      </c>
      <c r="G846" s="20" t="n">
        <v>18</v>
      </c>
      <c r="H846" s="19" t="n">
        <v>47472</v>
      </c>
      <c r="I846" s="18" t="n">
        <v>47472</v>
      </c>
      <c r="J846" s="11" t="inlineStr">
        <is>
          <t>N/A</t>
        </is>
      </c>
      <c r="K846" s="17" t="n">
        <v>0</v>
      </c>
      <c r="L846" s="16">
        <f>K846+C846</f>
        <v/>
      </c>
      <c r="M846" s="11" t="inlineStr">
        <is>
          <t>MT</t>
        </is>
      </c>
      <c r="N846" s="15" t="n"/>
      <c r="O846" s="14" t="n"/>
      <c r="P846" s="14" t="n"/>
      <c r="Q846" s="14" t="n"/>
      <c r="R846" s="14" t="n"/>
    </row>
    <row r="847">
      <c r="A847" s="14" t="inlineStr">
        <is>
          <t>FM3645</t>
        </is>
      </c>
      <c r="B847" s="14" t="n"/>
      <c r="C847" s="13" t="n">
        <v>45975</v>
      </c>
      <c r="D847" s="12" t="inlineStr">
        <is>
          <t>PRO6948</t>
        </is>
      </c>
      <c r="E847" s="14" t="inlineStr">
        <is>
          <t>Tri Star Technology cc</t>
        </is>
      </c>
      <c r="F847" s="14" t="inlineStr">
        <is>
          <t>SCL R30-MD MOR EU M.E 1.5KW 3Ph 380V</t>
        </is>
      </c>
      <c r="G847" s="20" t="n">
        <v>2</v>
      </c>
      <c r="H847" s="19">
        <f>35858+1116+1074</f>
        <v/>
      </c>
      <c r="I847" s="18">
        <f>G847*H847</f>
        <v/>
      </c>
      <c r="J847" s="11" t="n"/>
      <c r="K847" s="17" t="n">
        <v>60</v>
      </c>
      <c r="L847" s="16">
        <f>K847+C847</f>
        <v/>
      </c>
      <c r="M847" s="11" t="inlineStr">
        <is>
          <t>SM</t>
        </is>
      </c>
      <c r="N847" s="15" t="n"/>
      <c r="O847" s="14" t="n"/>
      <c r="P847" s="14" t="n"/>
      <c r="Q847" s="14" t="n"/>
      <c r="R847" s="14" t="n"/>
    </row>
    <row r="848">
      <c r="A848" s="14" t="inlineStr">
        <is>
          <t>FM3646</t>
        </is>
      </c>
      <c r="B848" s="14" t="n"/>
      <c r="C848" s="13" t="n">
        <v>45975</v>
      </c>
      <c r="D848" s="12" t="inlineStr">
        <is>
          <t>Cash Sale</t>
        </is>
      </c>
      <c r="E848" s="14" t="inlineStr">
        <is>
          <t>Karaeo</t>
        </is>
      </c>
      <c r="F848" s="14" t="inlineStr">
        <is>
          <t xml:space="preserve">RAD200 - RAD 250 </t>
        </is>
      </c>
      <c r="G848" s="20" t="n">
        <v>1</v>
      </c>
      <c r="H848" s="19" t="n">
        <v>8986</v>
      </c>
      <c r="I848" s="18">
        <f>G848*H848</f>
        <v/>
      </c>
      <c r="J848" s="11" t="n"/>
      <c r="K848" s="17" t="n">
        <v>0</v>
      </c>
      <c r="L848" s="16">
        <f>K848+C848</f>
        <v/>
      </c>
      <c r="M848" s="11" t="inlineStr">
        <is>
          <t>SM</t>
        </is>
      </c>
      <c r="N848" s="15" t="n"/>
      <c r="O848" s="14" t="n"/>
      <c r="P848" s="14" t="n"/>
      <c r="Q848" s="14" t="n"/>
      <c r="R848" s="14" t="n"/>
    </row>
    <row r="849">
      <c r="A849" s="14" t="inlineStr">
        <is>
          <t>FM3647</t>
        </is>
      </c>
      <c r="B849" s="14" t="n"/>
      <c r="C849" s="13" t="n">
        <v>45975</v>
      </c>
      <c r="D849" s="12" t="inlineStr">
        <is>
          <t>Cash Sale</t>
        </is>
      </c>
      <c r="E849" s="14" t="inlineStr">
        <is>
          <t>LJ Trading</t>
        </is>
      </c>
      <c r="F849" s="14" t="inlineStr">
        <is>
          <t>710 Mounting Feet</t>
        </is>
      </c>
      <c r="G849" s="20" t="n">
        <v>1</v>
      </c>
      <c r="H849" s="19" t="n">
        <v>1100</v>
      </c>
      <c r="I849" s="18">
        <f>G849*H849</f>
        <v/>
      </c>
      <c r="J849" s="11" t="n"/>
      <c r="K849" s="17" t="n"/>
      <c r="L849" s="16">
        <f>K849+C849</f>
        <v/>
      </c>
      <c r="M849" s="11" t="n"/>
      <c r="N849" s="15" t="n"/>
      <c r="O849" s="14" t="n"/>
      <c r="P849" s="14" t="n"/>
      <c r="Q849" s="14" t="n"/>
      <c r="R849" s="14" t="n"/>
    </row>
    <row r="850">
      <c r="A850" s="14" t="inlineStr">
        <is>
          <t>FM3648</t>
        </is>
      </c>
      <c r="B850" s="14" t="n"/>
      <c r="C850" s="13" t="n">
        <v>45978</v>
      </c>
      <c r="D850" s="12" t="n">
        <v>61233</v>
      </c>
      <c r="E850" s="14" t="inlineStr">
        <is>
          <t>Chabo &amp; Joubert</t>
        </is>
      </c>
      <c r="F850" s="14" t="inlineStr">
        <is>
          <t>Maxflo 710 P c/w 1,5kW 4Pole</t>
        </is>
      </c>
      <c r="G850" s="20" t="n">
        <v>1</v>
      </c>
      <c r="H850" s="19" t="n">
        <v>23128</v>
      </c>
      <c r="I850" s="18">
        <f>G850*H850</f>
        <v/>
      </c>
      <c r="J850" s="11" t="inlineStr">
        <is>
          <t>N/A</t>
        </is>
      </c>
      <c r="K850" s="17" t="n">
        <v>5</v>
      </c>
      <c r="L850" s="16">
        <f>K850+C850</f>
        <v/>
      </c>
      <c r="M850" s="11" t="inlineStr">
        <is>
          <t>ST</t>
        </is>
      </c>
      <c r="N850" s="15" t="n"/>
      <c r="O850" s="14" t="n"/>
      <c r="P850" s="14" t="n"/>
      <c r="Q850" s="14" t="n"/>
      <c r="R850" s="14" t="n"/>
    </row>
    <row r="851">
      <c r="A851" s="14" t="inlineStr">
        <is>
          <t>FM3649</t>
        </is>
      </c>
      <c r="B851" s="14" t="n"/>
      <c r="C851" s="13" t="n">
        <v>45978</v>
      </c>
      <c r="D851" s="12" t="n">
        <v>61233</v>
      </c>
      <c r="E851" s="14" t="inlineStr">
        <is>
          <t>Chabo &amp; Joubert</t>
        </is>
      </c>
      <c r="F851" s="14" t="inlineStr">
        <is>
          <t>Maxflo 710 P c/w 1,5kW 4Pole</t>
        </is>
      </c>
      <c r="G851" s="20" t="n">
        <v>1</v>
      </c>
      <c r="H851" s="19" t="n">
        <v>22536</v>
      </c>
      <c r="I851" s="18">
        <f>G851*H851</f>
        <v/>
      </c>
      <c r="J851" s="11" t="inlineStr">
        <is>
          <t>N/A</t>
        </is>
      </c>
      <c r="K851" s="17" t="n">
        <v>5</v>
      </c>
      <c r="L851" s="16">
        <f>K851+C851</f>
        <v/>
      </c>
      <c r="M851" s="11" t="inlineStr">
        <is>
          <t>ST</t>
        </is>
      </c>
      <c r="N851" s="15" t="n"/>
      <c r="O851" s="14" t="n"/>
      <c r="P851" s="14" t="n"/>
      <c r="Q851" s="14" t="n"/>
      <c r="R851" s="14" t="n"/>
    </row>
    <row r="852">
      <c r="A852" s="14" t="inlineStr">
        <is>
          <t>FM3650</t>
        </is>
      </c>
      <c r="B852" s="14" t="n"/>
      <c r="C852" s="13" t="n">
        <v>45978</v>
      </c>
      <c r="D852" s="12" t="n">
        <v>61233</v>
      </c>
      <c r="E852" s="14" t="inlineStr">
        <is>
          <t>Chabo &amp; Joubert</t>
        </is>
      </c>
      <c r="F852" s="14" t="inlineStr">
        <is>
          <t>Maxflo 560 P c/w 0,55kW 4Pole</t>
        </is>
      </c>
      <c r="G852" s="20" t="n">
        <v>1</v>
      </c>
      <c r="H852" s="19" t="n">
        <v>17517</v>
      </c>
      <c r="I852" s="18" t="n">
        <v>17517</v>
      </c>
      <c r="J852" s="11" t="inlineStr">
        <is>
          <t>N/A</t>
        </is>
      </c>
      <c r="K852" s="17" t="n">
        <v>5</v>
      </c>
      <c r="L852" s="16">
        <f>K852+C852</f>
        <v/>
      </c>
      <c r="M852" s="11" t="inlineStr">
        <is>
          <t>ST</t>
        </is>
      </c>
      <c r="N852" s="15" t="n"/>
      <c r="O852" s="14" t="n"/>
      <c r="P852" s="14" t="n"/>
      <c r="Q852" s="14" t="n"/>
      <c r="R852" s="14" t="n"/>
    </row>
    <row r="853">
      <c r="A853" s="14" t="inlineStr">
        <is>
          <t>FM3651</t>
        </is>
      </c>
      <c r="B853" s="14" t="n"/>
      <c r="C853" s="13" t="n">
        <v>45978</v>
      </c>
      <c r="D853" s="12" t="n">
        <v>61233</v>
      </c>
      <c r="E853" s="14" t="inlineStr">
        <is>
          <t>Chabo &amp; Joubert</t>
        </is>
      </c>
      <c r="F853" s="14" t="inlineStr">
        <is>
          <t>Maxflo 500 P c/w 0.37kW 4pole</t>
        </is>
      </c>
      <c r="G853" s="20" t="n">
        <v>1</v>
      </c>
      <c r="H853" s="19" t="n">
        <v>14186</v>
      </c>
      <c r="I853" s="18">
        <f>G853*H853</f>
        <v/>
      </c>
      <c r="J853" s="11" t="n"/>
      <c r="K853" s="17" t="n">
        <v>5</v>
      </c>
      <c r="L853" s="16">
        <f>K853+C853</f>
        <v/>
      </c>
      <c r="M853" s="11" t="inlineStr">
        <is>
          <t>ST</t>
        </is>
      </c>
      <c r="N853" s="15" t="n"/>
      <c r="O853" s="14" t="n"/>
      <c r="P853" s="14" t="n"/>
      <c r="Q853" s="14" t="n"/>
      <c r="R853" s="14" t="n"/>
    </row>
    <row r="854">
      <c r="A854" s="14" t="inlineStr">
        <is>
          <t>FM3652</t>
        </is>
      </c>
      <c r="B854" s="14" t="n"/>
      <c r="C854" s="13" t="n">
        <v>45978</v>
      </c>
      <c r="D854" s="12" t="n">
        <v>61233</v>
      </c>
      <c r="E854" s="14" t="inlineStr">
        <is>
          <t>Chabo &amp; Joubert</t>
        </is>
      </c>
      <c r="F854" s="14" t="inlineStr">
        <is>
          <t>Maxflo 630 A c/w 1.5kW 4Pole</t>
        </is>
      </c>
      <c r="G854" s="20" t="n">
        <v>1</v>
      </c>
      <c r="H854" s="19" t="n">
        <v>23173</v>
      </c>
      <c r="I854" s="18" t="n">
        <v>23173</v>
      </c>
      <c r="J854" s="11" t="n"/>
      <c r="K854" s="17" t="n">
        <v>5</v>
      </c>
      <c r="L854" s="16">
        <f>K854+C854</f>
        <v/>
      </c>
      <c r="M854" s="11" t="inlineStr">
        <is>
          <t>ST</t>
        </is>
      </c>
      <c r="N854" s="15" t="n"/>
      <c r="O854" s="14" t="n"/>
      <c r="P854" s="14" t="n"/>
      <c r="Q854" s="14" t="n"/>
      <c r="R854" s="14" t="n"/>
    </row>
    <row r="855">
      <c r="A855" s="14" t="inlineStr">
        <is>
          <t>FM3653</t>
        </is>
      </c>
      <c r="B855" s="14" t="n"/>
      <c r="C855" s="13" t="n">
        <v>45978</v>
      </c>
      <c r="D855" s="12" t="n">
        <v>61233</v>
      </c>
      <c r="E855" s="14" t="inlineStr">
        <is>
          <t>Chabo &amp; Joubert</t>
        </is>
      </c>
      <c r="F855" s="14" t="inlineStr">
        <is>
          <t>Maxflo 630 A c/w 1.5kW 4Pole</t>
        </is>
      </c>
      <c r="G855" s="20" t="n">
        <v>1</v>
      </c>
      <c r="H855" s="19" t="n">
        <v>23173</v>
      </c>
      <c r="I855" s="18">
        <f>G855*H855</f>
        <v/>
      </c>
      <c r="J855" s="11" t="n"/>
      <c r="K855" s="17" t="n">
        <v>5</v>
      </c>
      <c r="L855" s="16">
        <f>K855+C855</f>
        <v/>
      </c>
      <c r="M855" s="11" t="inlineStr">
        <is>
          <t>ST</t>
        </is>
      </c>
      <c r="N855" s="15" t="n"/>
      <c r="O855" s="14" t="n"/>
      <c r="P855" s="14" t="n"/>
      <c r="Q855" s="14" t="n"/>
      <c r="R855" s="14" t="n"/>
    </row>
    <row r="856">
      <c r="A856" s="14" t="inlineStr">
        <is>
          <t>FM3654</t>
        </is>
      </c>
      <c r="B856" s="14" t="n"/>
      <c r="C856" s="13" t="n">
        <v>45978</v>
      </c>
      <c r="D856" s="12" t="n">
        <v>61233</v>
      </c>
      <c r="E856" s="14" t="inlineStr">
        <is>
          <t>Chabo &amp; Joubert</t>
        </is>
      </c>
      <c r="F856" s="14" t="inlineStr">
        <is>
          <t>Maxflo 560 P c/w 0.37kW 4Pole SP</t>
        </is>
      </c>
      <c r="G856" s="20" t="n">
        <v>1</v>
      </c>
      <c r="H856" s="19" t="n">
        <v>33086</v>
      </c>
      <c r="I856" s="18">
        <f>G856*H856</f>
        <v/>
      </c>
      <c r="J856" s="11" t="n"/>
      <c r="K856" s="17" t="n">
        <v>5</v>
      </c>
      <c r="L856" s="16">
        <f>K856+C856</f>
        <v/>
      </c>
      <c r="M856" s="11" t="inlineStr">
        <is>
          <t>ST</t>
        </is>
      </c>
      <c r="N856" s="15" t="n"/>
      <c r="O856" s="14" t="n"/>
      <c r="P856" s="14" t="n"/>
      <c r="Q856" s="14" t="n"/>
      <c r="R856" s="14" t="n"/>
    </row>
    <row r="857">
      <c r="A857" s="14" t="inlineStr">
        <is>
          <t>FM3655</t>
        </is>
      </c>
      <c r="B857" s="14" t="n"/>
      <c r="C857" s="13" t="n">
        <v>45978</v>
      </c>
      <c r="D857" s="12" t="n">
        <v>61233</v>
      </c>
      <c r="E857" s="14" t="inlineStr">
        <is>
          <t>Chabo &amp; Joubert</t>
        </is>
      </c>
      <c r="F857" s="14" t="inlineStr">
        <is>
          <t>Boxed Fans</t>
        </is>
      </c>
      <c r="G857" s="20" t="n">
        <v>1</v>
      </c>
      <c r="H857" s="19" t="n">
        <v>38616</v>
      </c>
      <c r="I857" s="18">
        <f>G857*H857</f>
        <v/>
      </c>
      <c r="J857" s="11" t="n"/>
      <c r="K857" s="17" t="n">
        <v>5</v>
      </c>
      <c r="L857" s="16">
        <f>K857+C857</f>
        <v/>
      </c>
      <c r="M857" s="11" t="inlineStr">
        <is>
          <t>ST</t>
        </is>
      </c>
      <c r="N857" s="15" t="n"/>
      <c r="O857" s="14" t="n"/>
      <c r="P857" s="14" t="n"/>
      <c r="Q857" s="14" t="n"/>
      <c r="R857" s="14" t="n"/>
    </row>
    <row r="858">
      <c r="A858" s="14" t="inlineStr">
        <is>
          <t>FM3656</t>
        </is>
      </c>
      <c r="B858" s="14" t="n"/>
      <c r="C858" s="13" t="n">
        <v>45978</v>
      </c>
      <c r="D858" s="12" t="inlineStr">
        <is>
          <t>PO-000006786</t>
        </is>
      </c>
      <c r="E858" s="14" t="inlineStr">
        <is>
          <t>Butec</t>
        </is>
      </c>
      <c r="F858" s="14" t="inlineStr">
        <is>
          <t>M150/6</t>
        </is>
      </c>
      <c r="G858" s="20" t="n">
        <v>1</v>
      </c>
      <c r="H858" s="19" t="n">
        <v>1454</v>
      </c>
      <c r="I858" s="18">
        <f>G858*H858</f>
        <v/>
      </c>
      <c r="J858" s="11" t="n"/>
      <c r="K858" s="17" t="n">
        <v>0</v>
      </c>
      <c r="L858" s="16">
        <f>K858+C858</f>
        <v/>
      </c>
      <c r="M858" s="11" t="inlineStr">
        <is>
          <t>MT</t>
        </is>
      </c>
      <c r="N858" s="15" t="n"/>
      <c r="O858" s="14" t="n"/>
      <c r="P858" s="14" t="n"/>
      <c r="Q858" s="14" t="n"/>
      <c r="R858" s="14" t="n"/>
    </row>
    <row r="859">
      <c r="A859" s="14" t="inlineStr">
        <is>
          <t>FM3657</t>
        </is>
      </c>
      <c r="B859" s="14" t="n"/>
      <c r="C859" s="13" t="n">
        <v>45978</v>
      </c>
      <c r="D859" s="12" t="inlineStr">
        <is>
          <t>Cash Sale</t>
        </is>
      </c>
      <c r="E859" s="14" t="inlineStr">
        <is>
          <t>Mpumalanga Duct</t>
        </is>
      </c>
      <c r="F859" s="14" t="inlineStr">
        <is>
          <t>Maxflo 800/150/10 AL c/w 5,5kw 4P 380V</t>
        </is>
      </c>
      <c r="G859" s="20" t="n">
        <v>1</v>
      </c>
      <c r="H859" s="19" t="n">
        <v>18325</v>
      </c>
      <c r="I859" s="18">
        <f>G859*H859</f>
        <v/>
      </c>
      <c r="J859" s="11" t="n"/>
      <c r="K859" s="17" t="n">
        <v>4</v>
      </c>
      <c r="L859" s="16">
        <f>K859+C859</f>
        <v/>
      </c>
      <c r="M859" s="11" t="inlineStr">
        <is>
          <t>ST</t>
        </is>
      </c>
      <c r="N859" s="15" t="n"/>
      <c r="O859" s="14" t="n"/>
      <c r="P859" s="14" t="n"/>
      <c r="Q859" s="14" t="n"/>
      <c r="R859" s="14" t="n"/>
    </row>
    <row r="860">
      <c r="A860" s="14" t="inlineStr">
        <is>
          <t>FM3658</t>
        </is>
      </c>
      <c r="B860" s="14" t="n"/>
      <c r="C860" s="13" t="n">
        <v>45978</v>
      </c>
      <c r="D860" s="12" t="inlineStr">
        <is>
          <t>Cash sale</t>
        </is>
      </c>
      <c r="E860" s="14" t="inlineStr">
        <is>
          <t>BTS</t>
        </is>
      </c>
      <c r="F860" s="14" t="inlineStr">
        <is>
          <t>Lineo 200 Quiet</t>
        </is>
      </c>
      <c r="G860" s="20" t="n">
        <v>1</v>
      </c>
      <c r="H860" s="19" t="n">
        <v>4406</v>
      </c>
      <c r="I860" s="18">
        <f>G860*H860</f>
        <v/>
      </c>
      <c r="J860" s="11" t="n"/>
      <c r="K860" s="17" t="n">
        <v>0</v>
      </c>
      <c r="L860" s="16">
        <f>K860+C860</f>
        <v/>
      </c>
      <c r="M860" s="11" t="inlineStr">
        <is>
          <t>MT</t>
        </is>
      </c>
      <c r="N860" s="15" t="n"/>
      <c r="O860" s="14" t="n"/>
      <c r="P860" s="14" t="n"/>
      <c r="Q860" s="14" t="n"/>
      <c r="R860" s="14" t="n"/>
    </row>
    <row r="861">
      <c r="A861" s="14" t="inlineStr">
        <is>
          <t>FM3659</t>
        </is>
      </c>
      <c r="B861" s="14" t="n"/>
      <c r="C861" s="13" t="n">
        <v>45978</v>
      </c>
      <c r="D861" s="12" t="inlineStr">
        <is>
          <t>Cash Sale</t>
        </is>
      </c>
      <c r="E861" s="14" t="inlineStr">
        <is>
          <t>Sun Cool</t>
        </is>
      </c>
      <c r="F861" s="14" t="inlineStr">
        <is>
          <t>Rad 315</t>
        </is>
      </c>
      <c r="G861" s="20" t="n">
        <v>1</v>
      </c>
      <c r="H861" s="19" t="n">
        <v>3052</v>
      </c>
      <c r="I861" s="18">
        <f>G861*H861</f>
        <v/>
      </c>
      <c r="J861" s="11" t="inlineStr">
        <is>
          <t>N/A</t>
        </is>
      </c>
      <c r="K861" s="17" t="n">
        <v>1</v>
      </c>
      <c r="L861" s="16">
        <f>K861+C861</f>
        <v/>
      </c>
      <c r="M861" s="11" t="inlineStr">
        <is>
          <t>SM</t>
        </is>
      </c>
      <c r="N861" s="15" t="n"/>
      <c r="O861" s="14" t="n"/>
      <c r="P861" s="14" t="n"/>
      <c r="Q861" s="14" t="n"/>
      <c r="R861" s="14" t="n"/>
    </row>
    <row r="862">
      <c r="A862" s="14" t="inlineStr">
        <is>
          <t>FM3660</t>
        </is>
      </c>
      <c r="B862" s="14" t="n"/>
      <c r="C862" s="13" t="n">
        <v>45979</v>
      </c>
      <c r="D862" s="12" t="inlineStr">
        <is>
          <t>Cash Sale</t>
        </is>
      </c>
      <c r="E862" s="14" t="inlineStr">
        <is>
          <t>Spec Solutions</t>
        </is>
      </c>
      <c r="F862" s="14" t="inlineStr">
        <is>
          <t>Motor and Impeller</t>
        </is>
      </c>
      <c r="G862" s="20" t="n">
        <v>1</v>
      </c>
      <c r="H862" s="19" t="n">
        <v>4893</v>
      </c>
      <c r="I862" s="18">
        <f>G862*H862</f>
        <v/>
      </c>
      <c r="J862" s="11" t="n"/>
      <c r="K862" s="17" t="n">
        <v>1</v>
      </c>
      <c r="L862" s="16">
        <f>K862+C862</f>
        <v/>
      </c>
      <c r="M862" s="11" t="inlineStr">
        <is>
          <t>ST</t>
        </is>
      </c>
      <c r="N862" s="15" t="n"/>
      <c r="O862" s="14" t="n"/>
      <c r="P862" s="14" t="n"/>
      <c r="Q862" s="14" t="n"/>
      <c r="R862" s="14" t="n"/>
    </row>
    <row r="863">
      <c r="A863" s="14" t="inlineStr">
        <is>
          <t>FM3661</t>
        </is>
      </c>
      <c r="B863" s="14" t="n"/>
      <c r="C863" s="13" t="n">
        <v>45979</v>
      </c>
      <c r="D863" s="12" t="inlineStr">
        <is>
          <t>PO2160</t>
        </is>
      </c>
      <c r="E863" s="14" t="inlineStr">
        <is>
          <t xml:space="preserve">Hucra Fans </t>
        </is>
      </c>
      <c r="F863" s="14" t="inlineStr">
        <is>
          <t>HC-35-4M/H + C2.5 Vortice speed controller</t>
        </is>
      </c>
      <c r="G863" s="20" t="n">
        <v>1</v>
      </c>
      <c r="H863" s="19" t="n">
        <v>7223</v>
      </c>
      <c r="I863" s="18">
        <f>G863*H863</f>
        <v/>
      </c>
      <c r="J863" s="11" t="inlineStr">
        <is>
          <t>N/A</t>
        </is>
      </c>
      <c r="K863" s="17" t="n">
        <v>0</v>
      </c>
      <c r="L863" s="16">
        <f>K863+C863</f>
        <v/>
      </c>
      <c r="M863" s="11" t="inlineStr">
        <is>
          <t>ZX</t>
        </is>
      </c>
      <c r="N863" s="15" t="n"/>
      <c r="O863" s="14" t="n"/>
      <c r="P863" s="14" t="n"/>
      <c r="Q863" s="14" t="n"/>
      <c r="R863" s="14" t="n"/>
    </row>
    <row r="864">
      <c r="A864" s="14" t="inlineStr">
        <is>
          <t>FM3662</t>
        </is>
      </c>
      <c r="B864" s="14" t="n"/>
      <c r="C864" s="13" t="n">
        <v>45979</v>
      </c>
      <c r="D864" s="12" t="inlineStr">
        <is>
          <t>POEE6844</t>
        </is>
      </c>
      <c r="E864" s="14" t="inlineStr">
        <is>
          <t>Elmec Air</t>
        </is>
      </c>
      <c r="F864" s="14" t="inlineStr">
        <is>
          <t>2 Maxflo 315/150/10 P 0.55kw 2 380V</t>
        </is>
      </c>
      <c r="G864" s="20" t="n">
        <v>2</v>
      </c>
      <c r="H864" s="19" t="n">
        <v>10828.24</v>
      </c>
      <c r="I864" s="18" t="n">
        <v>10828.24</v>
      </c>
      <c r="J864" s="11" t="n"/>
      <c r="K864" s="17" t="n">
        <v>5</v>
      </c>
      <c r="L864" s="16">
        <f>K864+C864</f>
        <v/>
      </c>
      <c r="M864" s="11" t="inlineStr">
        <is>
          <t>MT</t>
        </is>
      </c>
      <c r="N864" s="15" t="n"/>
      <c r="O864" s="14" t="n"/>
      <c r="P864" s="14" t="n"/>
      <c r="Q864" s="14" t="n"/>
      <c r="R864" s="14" t="n"/>
    </row>
    <row r="865">
      <c r="A865" s="14" t="inlineStr">
        <is>
          <t>FM3663</t>
        </is>
      </c>
      <c r="B865" s="14" t="n"/>
      <c r="C865" s="13" t="n">
        <v>45979</v>
      </c>
      <c r="D865" s="12" t="n">
        <v>4351</v>
      </c>
      <c r="E865" s="14" t="inlineStr">
        <is>
          <t>Air Speration</t>
        </is>
      </c>
      <c r="F865" s="14" t="inlineStr">
        <is>
          <t>Maxflo 710/165/9 c/w 2.2Kw 4P 380V</t>
        </is>
      </c>
      <c r="G865" s="20" t="n">
        <v>1</v>
      </c>
      <c r="H865" s="19" t="n">
        <v>8000</v>
      </c>
      <c r="I865" s="18">
        <f>G865*H865</f>
        <v/>
      </c>
      <c r="J865" s="11" t="n"/>
      <c r="K865" s="17" t="n">
        <v>1</v>
      </c>
      <c r="L865" s="16">
        <f>K865+C865</f>
        <v/>
      </c>
      <c r="M865" s="11" t="inlineStr">
        <is>
          <t>MT</t>
        </is>
      </c>
      <c r="N865" s="15" t="n"/>
      <c r="O865" s="14" t="n"/>
      <c r="P865" s="14" t="n"/>
      <c r="Q865" s="14" t="n"/>
      <c r="R865" s="14" t="n"/>
    </row>
    <row r="866">
      <c r="A866" s="14" t="inlineStr">
        <is>
          <t>FM3664</t>
        </is>
      </c>
      <c r="B866" s="14" t="n"/>
      <c r="C866" s="13" t="n">
        <v>45979</v>
      </c>
      <c r="D866" s="12" t="inlineStr">
        <is>
          <t>PO-1936</t>
        </is>
      </c>
      <c r="E866" s="14" t="inlineStr">
        <is>
          <t>Dynatron Group</t>
        </is>
      </c>
      <c r="F866" s="14" t="inlineStr">
        <is>
          <t>Maxflo 400/150/5 c/w 1.1Kw 2P 380V + Acc</t>
        </is>
      </c>
      <c r="G866" s="20" t="n">
        <v>2</v>
      </c>
      <c r="H866" s="19">
        <f>6991.3+4143.75+707.85+549.9+546</f>
        <v/>
      </c>
      <c r="I866" s="18">
        <f>G866*H866</f>
        <v/>
      </c>
      <c r="J866" s="11" t="n"/>
      <c r="K866" s="17" t="n"/>
      <c r="L866" s="16">
        <f>K866+C866</f>
        <v/>
      </c>
      <c r="M866" s="11" t="n"/>
      <c r="N866" s="15" t="n"/>
      <c r="O866" s="14" t="n"/>
      <c r="P866" s="14" t="n"/>
      <c r="Q866" s="14" t="n"/>
      <c r="R866" s="14" t="n"/>
    </row>
    <row r="867">
      <c r="A867" s="14" t="inlineStr">
        <is>
          <t>FM3665</t>
        </is>
      </c>
      <c r="B867" s="14" t="n"/>
      <c r="C867" s="13" t="n">
        <v>45979</v>
      </c>
      <c r="D867" s="12" t="inlineStr">
        <is>
          <t>PO-1936</t>
        </is>
      </c>
      <c r="E867" s="14" t="inlineStr">
        <is>
          <t>Dynatron Group</t>
        </is>
      </c>
      <c r="F867" s="14" t="inlineStr">
        <is>
          <t>V300/12 AR</t>
        </is>
      </c>
      <c r="G867" s="20" t="n">
        <v>1</v>
      </c>
      <c r="H867" s="19" t="n">
        <v>4930.57</v>
      </c>
      <c r="I867" s="18">
        <f>G867*H867</f>
        <v/>
      </c>
      <c r="J867" s="11" t="n"/>
      <c r="K867" s="17" t="n"/>
      <c r="L867" s="16">
        <f>K867+C867</f>
        <v/>
      </c>
      <c r="M867" s="11" t="n"/>
      <c r="N867" s="15" t="n"/>
      <c r="O867" s="14" t="n"/>
      <c r="P867" s="14" t="n"/>
      <c r="Q867" s="14" t="n"/>
      <c r="R867" s="14" t="n"/>
    </row>
    <row r="868">
      <c r="A868" s="14" t="inlineStr">
        <is>
          <t>FM3666</t>
        </is>
      </c>
      <c r="B868" s="14" t="n"/>
      <c r="C868" s="13" t="n">
        <v>45979</v>
      </c>
      <c r="D868" s="12" t="inlineStr">
        <is>
          <t>PO-1937</t>
        </is>
      </c>
      <c r="E868" s="14" t="inlineStr">
        <is>
          <t>Dynatron Group</t>
        </is>
      </c>
      <c r="F868" s="14" t="inlineStr">
        <is>
          <t>Maxflo 315/150/5 c/w 0.55Kw 2P 380V + Acc</t>
        </is>
      </c>
      <c r="G868" s="20" t="n">
        <v>1</v>
      </c>
      <c r="H868" s="19">
        <f>6042.07+3812.25+413.4+487.7+546</f>
        <v/>
      </c>
      <c r="I868" s="18">
        <f>G868*H868</f>
        <v/>
      </c>
      <c r="J868" s="11" t="n"/>
      <c r="K868" s="17" t="n"/>
      <c r="L868" s="16">
        <f>K868+C868</f>
        <v/>
      </c>
      <c r="M868" s="11" t="n"/>
      <c r="N868" s="15" t="n"/>
      <c r="O868" s="14" t="n"/>
      <c r="P868" s="14" t="n"/>
      <c r="Q868" s="14" t="n"/>
      <c r="R868" s="14" t="n"/>
    </row>
    <row r="869">
      <c r="A869" s="14" t="inlineStr">
        <is>
          <t>FM3667</t>
        </is>
      </c>
      <c r="B869" s="14" t="n"/>
      <c r="C869" s="13" t="n">
        <v>45979</v>
      </c>
      <c r="D869" s="12" t="inlineStr">
        <is>
          <t>PO-1937</t>
        </is>
      </c>
      <c r="E869" s="14" t="inlineStr">
        <is>
          <t>Dynatron Group</t>
        </is>
      </c>
      <c r="F869" s="14" t="inlineStr">
        <is>
          <t>Maxflo 400/150/5 c/w 1.1Kw 2P 380V + Acc</t>
        </is>
      </c>
      <c r="G869" s="20" t="n">
        <v>2</v>
      </c>
      <c r="H869" s="19">
        <f>6991.3+4143.75+707.85+549.9+546</f>
        <v/>
      </c>
      <c r="I869" s="18">
        <f>G869*H869</f>
        <v/>
      </c>
      <c r="J869" s="11" t="n"/>
      <c r="K869" s="17" t="n"/>
      <c r="L869" s="16">
        <f>K869+C869</f>
        <v/>
      </c>
      <c r="M869" s="11" t="n"/>
      <c r="N869" s="15" t="n"/>
      <c r="O869" s="14" t="n"/>
      <c r="P869" s="14" t="n"/>
      <c r="Q869" s="14" t="n"/>
      <c r="R869" s="14" t="n"/>
    </row>
    <row r="870">
      <c r="A870" s="14" t="inlineStr">
        <is>
          <t>FM3668</t>
        </is>
      </c>
      <c r="B870" s="14" t="n"/>
      <c r="C870" s="13" t="n">
        <v>45979</v>
      </c>
      <c r="D870" s="12" t="inlineStr">
        <is>
          <t>PO-1937</t>
        </is>
      </c>
      <c r="E870" s="14" t="inlineStr">
        <is>
          <t>Dynatron Group</t>
        </is>
      </c>
      <c r="F870" s="14" t="inlineStr">
        <is>
          <t>V230/9 AR + V300/12 AR</t>
        </is>
      </c>
      <c r="G870" s="20" t="n">
        <v>1</v>
      </c>
      <c r="H870" s="19">
        <f>(3362.775*2)+4930.57</f>
        <v/>
      </c>
      <c r="I870" s="18">
        <f>G870*H870</f>
        <v/>
      </c>
      <c r="J870" s="11" t="n"/>
      <c r="K870" s="17" t="n"/>
      <c r="L870" s="16">
        <f>K870+C870</f>
        <v/>
      </c>
      <c r="M870" s="11" t="n"/>
      <c r="N870" s="15" t="n"/>
      <c r="O870" s="14" t="n"/>
      <c r="P870" s="14" t="n"/>
      <c r="Q870" s="14" t="n"/>
      <c r="R870" s="14" t="n"/>
    </row>
    <row r="871">
      <c r="A871" s="14" t="inlineStr">
        <is>
          <t>FM3669</t>
        </is>
      </c>
      <c r="B871" s="14" t="n"/>
      <c r="C871" s="13" t="n">
        <v>45979</v>
      </c>
      <c r="D871" s="12" t="inlineStr">
        <is>
          <t>PO-1943</t>
        </is>
      </c>
      <c r="E871" s="14" t="inlineStr">
        <is>
          <t>Dynatron Group</t>
        </is>
      </c>
      <c r="F871" s="14" t="inlineStr">
        <is>
          <t>Maxflo 400/150/5 c/w 0.75Kw 2P 380V + Acc</t>
        </is>
      </c>
      <c r="G871" s="20" t="n">
        <v>2</v>
      </c>
      <c r="H871" s="19">
        <f>6991.3+4143.75+707.85+549.9+546</f>
        <v/>
      </c>
      <c r="I871" s="18">
        <f>G871*H871</f>
        <v/>
      </c>
      <c r="J871" s="11" t="n"/>
      <c r="K871" s="17" t="n"/>
      <c r="L871" s="16">
        <f>K871+C871</f>
        <v/>
      </c>
      <c r="M871" s="11" t="n"/>
      <c r="N871" s="15" t="n"/>
      <c r="O871" s="14" t="n"/>
      <c r="P871" s="14" t="n"/>
      <c r="Q871" s="14" t="n"/>
      <c r="R871" s="14" t="n"/>
    </row>
    <row r="872">
      <c r="A872" s="14" t="inlineStr">
        <is>
          <t>FM3670</t>
        </is>
      </c>
      <c r="B872" s="14" t="n"/>
      <c r="C872" s="13" t="n">
        <v>45979</v>
      </c>
      <c r="D872" s="12" t="inlineStr">
        <is>
          <t>PO-1943</t>
        </is>
      </c>
      <c r="E872" s="14" t="inlineStr">
        <is>
          <t>Dynatron Group</t>
        </is>
      </c>
      <c r="F872" s="14" t="inlineStr">
        <is>
          <t>V230/9 AR + V300/12 AR RAD315 c/w Attenuators</t>
        </is>
      </c>
      <c r="G872" s="20" t="n">
        <v>1</v>
      </c>
      <c r="H872" s="19">
        <f>(3362.775*5)+4930.57</f>
        <v/>
      </c>
      <c r="I872" s="18">
        <f>G872*H872</f>
        <v/>
      </c>
      <c r="J872" s="11" t="n"/>
      <c r="K872" s="17" t="n"/>
      <c r="L872" s="16">
        <f>K872+C872</f>
        <v/>
      </c>
      <c r="M872" s="11" t="n"/>
      <c r="N872" s="15" t="n"/>
      <c r="O872" s="14" t="n"/>
      <c r="P872" s="14" t="n"/>
      <c r="Q872" s="14" t="n"/>
      <c r="R872" s="14" t="n"/>
    </row>
    <row r="873">
      <c r="A873" s="14" t="inlineStr">
        <is>
          <t>FM3671</t>
        </is>
      </c>
      <c r="B873" s="14" t="n"/>
      <c r="C873" s="13" t="n">
        <v>45979</v>
      </c>
      <c r="D873" s="12" t="inlineStr">
        <is>
          <t>J5382-002ORD</t>
        </is>
      </c>
      <c r="E873" s="14" t="inlineStr">
        <is>
          <t>RTS Africa Engineering (Pty) Ltd</t>
        </is>
      </c>
      <c r="F873" s="14" t="inlineStr">
        <is>
          <t>Maxflo 400/150/10 c/w 1.5Kw 2P 525V + Acc</t>
        </is>
      </c>
      <c r="G873" s="20" t="n">
        <v>2</v>
      </c>
      <c r="H873" s="19">
        <f>15897.6+3792.91</f>
        <v/>
      </c>
      <c r="I873" s="18">
        <f>G873*H873</f>
        <v/>
      </c>
      <c r="J873" s="11" t="n"/>
      <c r="K873" s="17" t="n"/>
      <c r="L873" s="16">
        <f>K873+C873</f>
        <v/>
      </c>
      <c r="M873" s="11" t="n"/>
      <c r="N873" s="15" t="n"/>
      <c r="O873" s="14" t="n"/>
      <c r="P873" s="14" t="n"/>
      <c r="Q873" s="14" t="n"/>
      <c r="R873" s="14" t="n"/>
    </row>
    <row r="874">
      <c r="A874" s="14" t="inlineStr">
        <is>
          <t>FM3672</t>
        </is>
      </c>
      <c r="B874" s="14" t="n"/>
      <c r="C874" s="13" t="n">
        <v>45979</v>
      </c>
      <c r="D874" s="12" t="inlineStr">
        <is>
          <t>Cash Sale</t>
        </is>
      </c>
      <c r="E874" s="14" t="inlineStr">
        <is>
          <t>Raptor Engineering</t>
        </is>
      </c>
      <c r="F874" s="14" t="inlineStr">
        <is>
          <t>V230/9 AR</t>
        </is>
      </c>
      <c r="G874" s="20" t="n">
        <v>5</v>
      </c>
      <c r="H874" s="19" t="n">
        <v>18540</v>
      </c>
      <c r="I874" s="18" t="n">
        <v>18540</v>
      </c>
      <c r="J874" s="11" t="n"/>
      <c r="K874" s="17" t="n">
        <v>0</v>
      </c>
      <c r="L874" s="16">
        <f>K874+C874</f>
        <v/>
      </c>
      <c r="M874" s="11" t="inlineStr">
        <is>
          <t>MT</t>
        </is>
      </c>
      <c r="N874" s="15" t="n"/>
      <c r="O874" s="14" t="n"/>
      <c r="P874" s="14" t="n"/>
      <c r="Q874" s="14" t="n"/>
      <c r="R874" s="14" t="n"/>
    </row>
    <row r="875">
      <c r="A875" s="14" t="inlineStr">
        <is>
          <t>FM3673</t>
        </is>
      </c>
      <c r="B875" s="14" t="n"/>
      <c r="C875" s="13" t="n">
        <v>45980</v>
      </c>
      <c r="D875" s="12" t="inlineStr">
        <is>
          <t>Cash Sale</t>
        </is>
      </c>
      <c r="E875" s="14" t="inlineStr">
        <is>
          <t>Zefs More Vision</t>
        </is>
      </c>
      <c r="F875" s="14" t="inlineStr">
        <is>
          <t xml:space="preserve">Maxflo 560/150/10 A c/w 1.10Kw 4P 380V </t>
        </is>
      </c>
      <c r="G875" s="20" t="n">
        <v>1</v>
      </c>
      <c r="H875" s="19" t="n">
        <v>7300</v>
      </c>
      <c r="I875" s="18">
        <f>G875*H875</f>
        <v/>
      </c>
      <c r="J875" s="11" t="inlineStr">
        <is>
          <t>N/A</t>
        </is>
      </c>
      <c r="K875" s="17" t="n">
        <v>1</v>
      </c>
      <c r="L875" s="16">
        <f>K875+C875</f>
        <v/>
      </c>
      <c r="M875" s="11" t="inlineStr">
        <is>
          <t>MT</t>
        </is>
      </c>
      <c r="N875" s="15" t="n"/>
      <c r="O875" s="14" t="n"/>
      <c r="P875" s="14" t="n"/>
      <c r="Q875" s="14" t="n"/>
      <c r="R875" s="14" t="n"/>
    </row>
    <row r="876">
      <c r="A876" s="14" t="inlineStr">
        <is>
          <t>FM3674</t>
        </is>
      </c>
      <c r="B876" s="14" t="n"/>
      <c r="C876" s="13" t="n">
        <v>45980</v>
      </c>
      <c r="D876" s="12" t="inlineStr">
        <is>
          <t>POEE6879</t>
        </is>
      </c>
      <c r="E876" s="14" t="inlineStr">
        <is>
          <t>ELmec Air (Pty) Ltd</t>
        </is>
      </c>
      <c r="F876" s="14" t="inlineStr">
        <is>
          <t>RAD 315 &amp; 315 Diam Tube Silencers</t>
        </is>
      </c>
      <c r="G876" s="20" t="n">
        <v>1</v>
      </c>
      <c r="H876" s="19" t="n">
        <v>5184</v>
      </c>
      <c r="I876" s="18">
        <f>G876*H876</f>
        <v/>
      </c>
      <c r="J876" s="11" t="inlineStr">
        <is>
          <t>N/A</t>
        </is>
      </c>
      <c r="K876" s="17" t="n">
        <v>1</v>
      </c>
      <c r="L876" s="16">
        <f>K876+C876</f>
        <v/>
      </c>
      <c r="M876" s="11" t="inlineStr">
        <is>
          <t>MT</t>
        </is>
      </c>
      <c r="N876" s="15" t="n"/>
      <c r="O876" s="14" t="n"/>
      <c r="P876" s="14" t="n"/>
      <c r="Q876" s="14" t="n"/>
      <c r="R876" s="14" t="n"/>
    </row>
    <row r="877">
      <c r="A877" s="14" t="inlineStr">
        <is>
          <t>FM3675</t>
        </is>
      </c>
      <c r="B877" s="14" t="n"/>
      <c r="C877" s="13" t="n">
        <v>45980</v>
      </c>
      <c r="D877" s="12" t="inlineStr">
        <is>
          <t>Cash Sale</t>
        </is>
      </c>
      <c r="E877" s="14" t="inlineStr">
        <is>
          <t>Dyneamic Bearing</t>
        </is>
      </c>
      <c r="F877" s="14" t="inlineStr">
        <is>
          <t>CMP-718-2M</t>
        </is>
      </c>
      <c r="G877" s="20" t="n">
        <v>2</v>
      </c>
      <c r="H877" s="19" t="n">
        <v>12059</v>
      </c>
      <c r="I877" s="18">
        <f>G877*H877</f>
        <v/>
      </c>
      <c r="J877" s="11" t="inlineStr">
        <is>
          <t>N/A</t>
        </is>
      </c>
      <c r="K877" s="17" t="n"/>
      <c r="L877" s="16">
        <f>K877+C877</f>
        <v/>
      </c>
      <c r="M877" s="11" t="inlineStr">
        <is>
          <t>MT</t>
        </is>
      </c>
      <c r="N877" s="15" t="n"/>
      <c r="O877" s="14" t="n"/>
      <c r="P877" s="14" t="n"/>
      <c r="Q877" s="14" t="n"/>
      <c r="R877" s="14" t="n"/>
    </row>
    <row r="878">
      <c r="A878" s="14" t="inlineStr">
        <is>
          <t>FM3676</t>
        </is>
      </c>
      <c r="B878" s="14" t="inlineStr">
        <is>
          <t>SO4204</t>
        </is>
      </c>
      <c r="C878" s="13" t="n">
        <v>45981</v>
      </c>
      <c r="D878" s="12" t="inlineStr">
        <is>
          <t>B137477</t>
        </is>
      </c>
      <c r="E878" s="14" t="inlineStr">
        <is>
          <t>Vescotech</t>
        </is>
      </c>
      <c r="F878" s="14" t="inlineStr">
        <is>
          <t>HCT-40-4T</t>
        </is>
      </c>
      <c r="G878" s="20" t="n">
        <v>1</v>
      </c>
      <c r="H878" s="19" t="n">
        <v>19620</v>
      </c>
      <c r="I878" s="18">
        <f>G878*H878</f>
        <v/>
      </c>
      <c r="J878" s="11" t="inlineStr">
        <is>
          <t>N/A</t>
        </is>
      </c>
      <c r="K878" s="17" t="n">
        <v>60</v>
      </c>
      <c r="L878" s="16">
        <f>K878+C878</f>
        <v/>
      </c>
      <c r="M878" s="11" t="inlineStr">
        <is>
          <t>MT</t>
        </is>
      </c>
      <c r="N878" s="15" t="n"/>
      <c r="O878" s="14" t="n"/>
      <c r="P878" s="14" t="n"/>
      <c r="Q878" s="14" t="n"/>
      <c r="R878" s="14" t="n"/>
    </row>
    <row r="879">
      <c r="A879" s="14" t="inlineStr">
        <is>
          <t>FM3677</t>
        </is>
      </c>
      <c r="B879" s="14" t="n"/>
      <c r="C879" s="13" t="n">
        <v>45982</v>
      </c>
      <c r="D879" s="12" t="inlineStr">
        <is>
          <t>Cash Sale</t>
        </is>
      </c>
      <c r="E879" s="14" t="inlineStr">
        <is>
          <t>CM Cloete Beleggings</t>
        </is>
      </c>
      <c r="F879" s="14" t="inlineStr">
        <is>
          <t>Lineo 150 (Box fans)</t>
        </is>
      </c>
      <c r="G879" s="20" t="n">
        <v>1</v>
      </c>
      <c r="H879" s="19" t="n">
        <v>23736</v>
      </c>
      <c r="I879" s="18">
        <f>G879*H879</f>
        <v/>
      </c>
      <c r="J879" s="11" t="inlineStr">
        <is>
          <t>N/A</t>
        </is>
      </c>
      <c r="K879" s="17" t="n">
        <v>3</v>
      </c>
      <c r="L879" s="16">
        <f>K879+C879</f>
        <v/>
      </c>
      <c r="M879" s="11" t="inlineStr">
        <is>
          <t>ST</t>
        </is>
      </c>
      <c r="N879" s="15" t="n"/>
      <c r="O879" s="14" t="n"/>
      <c r="P879" s="14" t="n"/>
      <c r="Q879" s="14" t="n"/>
      <c r="R879" s="14" t="n"/>
    </row>
    <row r="880">
      <c r="A880" s="14" t="inlineStr">
        <is>
          <t>FM3678</t>
        </is>
      </c>
      <c r="B880" s="14" t="n"/>
      <c r="C880" s="13" t="n">
        <v>45982</v>
      </c>
      <c r="D880" s="12" t="inlineStr">
        <is>
          <t>PO2166</t>
        </is>
      </c>
      <c r="E880" s="14" t="inlineStr">
        <is>
          <t xml:space="preserve">Hucra Fans </t>
        </is>
      </c>
      <c r="F880" s="14" t="inlineStr">
        <is>
          <t>DDM 7/7 - 6M0299 - 300W 4P 220/1/50</t>
        </is>
      </c>
      <c r="G880" s="20" t="n">
        <v>1</v>
      </c>
      <c r="H880" s="19" t="n">
        <v>6802</v>
      </c>
      <c r="I880" s="18">
        <f>G880*H880</f>
        <v/>
      </c>
      <c r="J880" s="11" t="inlineStr">
        <is>
          <t>N/A</t>
        </is>
      </c>
      <c r="K880" s="17" t="n">
        <v>0</v>
      </c>
      <c r="L880" s="16">
        <f>K880+C880</f>
        <v/>
      </c>
      <c r="M880" s="11" t="inlineStr">
        <is>
          <t>ZX</t>
        </is>
      </c>
      <c r="N880" s="15" t="n"/>
      <c r="O880" s="14" t="n"/>
      <c r="P880" s="14" t="n"/>
      <c r="Q880" s="14" t="n"/>
      <c r="R880" s="14" t="n"/>
    </row>
    <row r="881">
      <c r="A881" s="14" t="inlineStr">
        <is>
          <t>FM3679</t>
        </is>
      </c>
      <c r="B881" s="14" t="n"/>
      <c r="C881" s="13" t="n">
        <v>45982</v>
      </c>
      <c r="D881" s="12" t="inlineStr">
        <is>
          <t>CRAIG</t>
        </is>
      </c>
      <c r="E881" s="14" t="inlineStr">
        <is>
          <t xml:space="preserve">Hucra Fans </t>
        </is>
      </c>
      <c r="F881" s="14" t="inlineStr">
        <is>
          <t>C2.5 Speed Controller</t>
        </is>
      </c>
      <c r="G881" s="20" t="n">
        <v>1</v>
      </c>
      <c r="H881" s="19" t="n">
        <v>1215</v>
      </c>
      <c r="I881" s="18">
        <f>G881*H881</f>
        <v/>
      </c>
      <c r="J881" s="11" t="inlineStr">
        <is>
          <t>N/A</t>
        </is>
      </c>
      <c r="K881" s="17" t="n">
        <v>0</v>
      </c>
      <c r="L881" s="16">
        <f>K881+C881</f>
        <v/>
      </c>
      <c r="M881" s="11" t="inlineStr">
        <is>
          <t>ZX</t>
        </is>
      </c>
      <c r="N881" s="15" t="n"/>
      <c r="O881" s="14" t="n"/>
      <c r="P881" s="14" t="n"/>
      <c r="Q881" s="14" t="n"/>
      <c r="R881" s="14" t="n"/>
    </row>
    <row r="882">
      <c r="A882" s="14" t="inlineStr">
        <is>
          <t>FM3680</t>
        </is>
      </c>
      <c r="B882" s="14" t="n"/>
      <c r="C882" s="13" t="n">
        <v>45982</v>
      </c>
      <c r="D882" s="12" t="inlineStr">
        <is>
          <t>PO029583</t>
        </is>
      </c>
      <c r="E882" s="14" t="inlineStr">
        <is>
          <t>Atlas Air</t>
        </is>
      </c>
      <c r="F882" s="14" t="inlineStr">
        <is>
          <t>AT 15/15</t>
        </is>
      </c>
      <c r="G882" s="20" t="n">
        <v>3</v>
      </c>
      <c r="H882" s="19" t="n">
        <v>6287</v>
      </c>
      <c r="I882" s="18">
        <f>G882*H882</f>
        <v/>
      </c>
      <c r="J882" s="11" t="inlineStr">
        <is>
          <t>N/A</t>
        </is>
      </c>
      <c r="K882" s="17" t="n">
        <v>3</v>
      </c>
      <c r="L882" s="16">
        <f>K882+C882</f>
        <v/>
      </c>
      <c r="M882" s="11" t="inlineStr">
        <is>
          <t>MT</t>
        </is>
      </c>
      <c r="N882" s="15" t="n"/>
      <c r="O882" s="14" t="n"/>
      <c r="P882" s="14" t="n"/>
      <c r="Q882" s="14" t="n"/>
      <c r="R882" s="14" t="n"/>
    </row>
    <row r="883">
      <c r="A883" s="14" t="inlineStr">
        <is>
          <t>FM3681</t>
        </is>
      </c>
      <c r="B883" s="14" t="n"/>
      <c r="C883" s="13" t="n">
        <v>45985</v>
      </c>
      <c r="D883" s="12" t="inlineStr">
        <is>
          <t>PO33560</t>
        </is>
      </c>
      <c r="E883" s="14" t="inlineStr">
        <is>
          <t>First Cool CC</t>
        </is>
      </c>
      <c r="F883" s="14" t="inlineStr">
        <is>
          <t>Lineo 200 &amp; Accessories</t>
        </is>
      </c>
      <c r="G883" s="20" t="n">
        <v>1</v>
      </c>
      <c r="H883" s="19">
        <f>3433+1388</f>
        <v/>
      </c>
      <c r="I883" s="18">
        <f>G883*H883</f>
        <v/>
      </c>
      <c r="J883" s="11" t="n"/>
      <c r="K883" s="17" t="n"/>
      <c r="L883" s="16">
        <f>K883+C883</f>
        <v/>
      </c>
      <c r="M883" s="11" t="n"/>
      <c r="N883" s="15" t="n"/>
      <c r="O883" s="14" t="n"/>
      <c r="P883" s="14" t="n"/>
      <c r="Q883" s="14" t="n"/>
      <c r="R883" s="14" t="n"/>
    </row>
    <row r="884">
      <c r="A884" s="14" t="inlineStr">
        <is>
          <t>FM3682</t>
        </is>
      </c>
      <c r="B884" s="14" t="n"/>
      <c r="C884" s="13" t="n">
        <v>45985</v>
      </c>
      <c r="D884" s="12" t="inlineStr">
        <is>
          <t>PO:4500210216</t>
        </is>
      </c>
      <c r="E884" s="14" t="inlineStr">
        <is>
          <t>Rand Refinery</t>
        </is>
      </c>
      <c r="F884" s="22" t="inlineStr">
        <is>
          <t>Maxflo500/150/10 p/w 4kW 2P 380V</t>
        </is>
      </c>
      <c r="G884" s="20" t="n">
        <v>4</v>
      </c>
      <c r="H884" s="19" t="n">
        <v>61734.4</v>
      </c>
      <c r="I884" s="18" t="n">
        <v>61734.4</v>
      </c>
      <c r="J884" s="11" t="n"/>
      <c r="K884" s="17" t="n">
        <v>4</v>
      </c>
      <c r="L884" s="16">
        <f>K884+C884</f>
        <v/>
      </c>
      <c r="M884" s="11" t="inlineStr">
        <is>
          <t>MT</t>
        </is>
      </c>
      <c r="N884" s="15" t="n"/>
      <c r="O884" s="14" t="n"/>
      <c r="P884" s="14" t="n"/>
      <c r="Q884" s="14" t="n"/>
      <c r="R884" s="14" t="n"/>
    </row>
    <row r="885">
      <c r="A885" s="14" t="inlineStr">
        <is>
          <t>FM3683</t>
        </is>
      </c>
      <c r="B885" s="14" t="n"/>
      <c r="C885" s="13" t="n">
        <v>45985</v>
      </c>
      <c r="D885" s="12" t="inlineStr">
        <is>
          <t>PO:4500210215</t>
        </is>
      </c>
      <c r="E885" s="14" t="inlineStr">
        <is>
          <t>Rand Refinery</t>
        </is>
      </c>
      <c r="F885" s="14" t="inlineStr">
        <is>
          <t>500D 1.5P(4) &amp; Counter flanges(8) &amp; Mount Feet(12)</t>
        </is>
      </c>
      <c r="G885" s="20" t="n">
        <v>24</v>
      </c>
      <c r="H885" s="19" t="n">
        <v>23344</v>
      </c>
      <c r="I885" s="18" t="n">
        <v>23344</v>
      </c>
      <c r="J885" s="11" t="n"/>
      <c r="K885" s="17" t="n">
        <v>4</v>
      </c>
      <c r="L885" s="16">
        <f>K885+C885</f>
        <v/>
      </c>
      <c r="M885" s="11" t="inlineStr">
        <is>
          <t>MT</t>
        </is>
      </c>
      <c r="N885" s="15" t="n"/>
      <c r="O885" s="14" t="n"/>
      <c r="P885" s="14" t="n"/>
      <c r="Q885" s="14" t="n"/>
      <c r="R885" s="14" t="n"/>
    </row>
    <row r="886">
      <c r="A886" s="14" t="inlineStr">
        <is>
          <t>FM3684</t>
        </is>
      </c>
      <c r="B886" s="14" t="n"/>
      <c r="C886" s="13" t="n">
        <v>45985</v>
      </c>
      <c r="D886" s="12" t="inlineStr">
        <is>
          <t>DPO-1369</t>
        </is>
      </c>
      <c r="E886" s="14" t="inlineStr">
        <is>
          <t>Dueltron</t>
        </is>
      </c>
      <c r="F886" s="14" t="inlineStr">
        <is>
          <t>AT 12/9 SC - Single Unit c/w 4kw4pole 380v</t>
        </is>
      </c>
      <c r="G886" s="20" t="n">
        <v>1</v>
      </c>
      <c r="H886" s="19" t="n">
        <v>20556</v>
      </c>
      <c r="I886" s="18">
        <f>G886*H886</f>
        <v/>
      </c>
      <c r="J886" s="11" t="n"/>
      <c r="K886" s="17" t="n">
        <v>1</v>
      </c>
      <c r="L886" s="16">
        <f>K886+C886</f>
        <v/>
      </c>
      <c r="M886" s="11" t="inlineStr">
        <is>
          <t>MT</t>
        </is>
      </c>
      <c r="N886" s="15" t="n"/>
      <c r="O886" s="14" t="n"/>
      <c r="P886" s="14" t="n"/>
      <c r="Q886" s="14" t="n"/>
      <c r="R886" s="14" t="n"/>
    </row>
    <row r="887">
      <c r="A887" s="14" t="inlineStr">
        <is>
          <t>FM3685</t>
        </is>
      </c>
      <c r="B887" s="14" t="inlineStr">
        <is>
          <t>SO4215</t>
        </is>
      </c>
      <c r="C887" s="13" t="n">
        <v>45985</v>
      </c>
      <c r="D887" s="12" t="inlineStr">
        <is>
          <t>PO 4358</t>
        </is>
      </c>
      <c r="E887" s="14" t="inlineStr">
        <is>
          <t>Air Speration</t>
        </is>
      </c>
      <c r="F887" s="14" t="inlineStr">
        <is>
          <t>CMP 820-2T LG270 &amp; RD270</t>
        </is>
      </c>
      <c r="G887" s="20" t="n">
        <v>2</v>
      </c>
      <c r="H887" s="19" t="n">
        <v>11540</v>
      </c>
      <c r="I887" s="18">
        <f>G887*H887</f>
        <v/>
      </c>
      <c r="J887" s="11" t="inlineStr">
        <is>
          <t>N/A</t>
        </is>
      </c>
      <c r="K887" s="17" t="n">
        <v>53</v>
      </c>
      <c r="L887" s="16">
        <f>K887+C887</f>
        <v/>
      </c>
      <c r="M887" s="11" t="inlineStr">
        <is>
          <t>MT</t>
        </is>
      </c>
      <c r="N887" s="15" t="n"/>
      <c r="O887" s="14" t="n"/>
      <c r="P887" s="14" t="n"/>
      <c r="Q887" s="14" t="n"/>
      <c r="R887" s="14" t="n"/>
    </row>
    <row r="888">
      <c r="A888" s="14" t="inlineStr">
        <is>
          <t>FM3686</t>
        </is>
      </c>
      <c r="B888" s="14" t="n"/>
      <c r="C888" s="13" t="n">
        <v>45985</v>
      </c>
      <c r="D888" s="12" t="inlineStr">
        <is>
          <t>Cash Sale</t>
        </is>
      </c>
      <c r="E888" s="14" t="inlineStr">
        <is>
          <t>Neobiomics</t>
        </is>
      </c>
      <c r="F888" s="14" t="inlineStr">
        <is>
          <t>Maxflo 800 c/w 3kW 4P</t>
        </is>
      </c>
      <c r="G888" s="20" t="n">
        <v>1</v>
      </c>
      <c r="H888" s="19" t="n">
        <v>29278</v>
      </c>
      <c r="I888" s="18">
        <f>G888*H888</f>
        <v/>
      </c>
      <c r="J888" s="11" t="inlineStr">
        <is>
          <t>N/A</t>
        </is>
      </c>
      <c r="K888" s="17" t="n">
        <v>10</v>
      </c>
      <c r="L888" s="16">
        <f>K888+C888</f>
        <v/>
      </c>
      <c r="M888" s="11" t="inlineStr">
        <is>
          <t>ST</t>
        </is>
      </c>
      <c r="N888" s="15" t="n"/>
      <c r="O888" s="14" t="n"/>
      <c r="P888" s="14" t="n"/>
      <c r="Q888" s="14" t="n"/>
      <c r="R888" s="14" t="n"/>
    </row>
    <row r="889">
      <c r="A889" s="14" t="inlineStr">
        <is>
          <t>FM3687</t>
        </is>
      </c>
      <c r="B889" s="14" t="n"/>
      <c r="C889" s="13" t="n">
        <v>45985</v>
      </c>
      <c r="D889" s="12" t="inlineStr">
        <is>
          <t>Cash Sale</t>
        </is>
      </c>
      <c r="E889" s="14" t="inlineStr">
        <is>
          <t>Neobiomics</t>
        </is>
      </c>
      <c r="F889" s="14" t="inlineStr">
        <is>
          <t>Maxflo 800 c/w 3kW 4P</t>
        </is>
      </c>
      <c r="G889" s="20" t="n">
        <v>1</v>
      </c>
      <c r="H889" s="19" t="n">
        <v>29278</v>
      </c>
      <c r="I889" s="18">
        <f>G889*H889</f>
        <v/>
      </c>
      <c r="J889" s="11" t="inlineStr">
        <is>
          <t>N/A</t>
        </is>
      </c>
      <c r="K889" s="17" t="n">
        <v>10</v>
      </c>
      <c r="L889" s="16">
        <f>K889+C889</f>
        <v/>
      </c>
      <c r="M889" s="11" t="inlineStr">
        <is>
          <t>ST</t>
        </is>
      </c>
      <c r="N889" s="15" t="n"/>
      <c r="O889" s="14" t="n"/>
      <c r="P889" s="14" t="n"/>
      <c r="Q889" s="14" t="n"/>
      <c r="R889" s="14" t="n"/>
    </row>
    <row r="890">
      <c r="A890" s="14" t="inlineStr">
        <is>
          <t>FM3688</t>
        </is>
      </c>
      <c r="B890" s="14" t="n"/>
      <c r="C890" s="13" t="n">
        <v>45985</v>
      </c>
      <c r="D890" s="12" t="inlineStr">
        <is>
          <t>MP015359</t>
        </is>
      </c>
      <c r="E890" s="14" t="inlineStr">
        <is>
          <t>Midstone Engineering t/a Midair</t>
        </is>
      </c>
      <c r="F890" s="14" t="inlineStr">
        <is>
          <t>Tiracamino</t>
        </is>
      </c>
      <c r="G890" s="20" t="n">
        <v>1</v>
      </c>
      <c r="H890" s="19" t="n">
        <v>12144</v>
      </c>
      <c r="I890" s="18">
        <f>G890*H890</f>
        <v/>
      </c>
      <c r="J890" s="11" t="inlineStr">
        <is>
          <t>N/A</t>
        </is>
      </c>
      <c r="K890" s="17" t="n">
        <v>0</v>
      </c>
      <c r="L890" s="16">
        <f>K890+C890</f>
        <v/>
      </c>
      <c r="M890" s="11" t="inlineStr">
        <is>
          <t>MT</t>
        </is>
      </c>
      <c r="N890" s="15" t="n"/>
      <c r="O890" s="14" t="n"/>
      <c r="P890" s="14" t="n"/>
      <c r="Q890" s="14" t="n"/>
      <c r="R890" s="14" t="n"/>
    </row>
    <row r="891">
      <c r="A891" s="14" t="inlineStr">
        <is>
          <t>FM3689</t>
        </is>
      </c>
      <c r="B891" s="14" t="n"/>
      <c r="C891" s="13" t="n">
        <v>45985</v>
      </c>
      <c r="D891" s="12" t="inlineStr">
        <is>
          <t>MFE6749</t>
        </is>
      </c>
      <c r="E891" s="14" t="inlineStr">
        <is>
          <t>Morlyn Fans</t>
        </is>
      </c>
      <c r="F891" s="14" t="inlineStr">
        <is>
          <t>HCD-25-4M &amp; 9" Gravity louvre</t>
        </is>
      </c>
      <c r="G891" s="20" t="n">
        <v>1</v>
      </c>
      <c r="H891" s="19" t="n">
        <v>3860.57</v>
      </c>
      <c r="I891" s="18">
        <f>G891*H891</f>
        <v/>
      </c>
      <c r="J891" s="11" t="inlineStr">
        <is>
          <t>N/A</t>
        </is>
      </c>
      <c r="K891" s="17" t="n">
        <v>3</v>
      </c>
      <c r="L891" s="16">
        <f>K891+C891</f>
        <v/>
      </c>
      <c r="M891" s="11" t="inlineStr">
        <is>
          <t>ZX</t>
        </is>
      </c>
      <c r="N891" s="15" t="n"/>
      <c r="O891" s="14" t="n"/>
      <c r="P891" s="14" t="n"/>
      <c r="Q891" s="14" t="n"/>
      <c r="R891" s="14" t="n"/>
    </row>
    <row r="892">
      <c r="A892" s="14" t="inlineStr">
        <is>
          <t>FM3690</t>
        </is>
      </c>
      <c r="B892" s="14" t="n"/>
      <c r="C892" s="13" t="n">
        <v>45986</v>
      </c>
      <c r="D892" s="12" t="inlineStr">
        <is>
          <t>Cash Sale</t>
        </is>
      </c>
      <c r="E892" s="14" t="inlineStr">
        <is>
          <t>Robust Ventilation system</t>
        </is>
      </c>
      <c r="F892" s="14" t="inlineStr">
        <is>
          <t>KDAXIS 250</t>
        </is>
      </c>
      <c r="G892" s="20" t="n">
        <v>1</v>
      </c>
      <c r="H892" s="19" t="n">
        <v>1269</v>
      </c>
      <c r="I892" s="18">
        <f>G892*H892</f>
        <v/>
      </c>
      <c r="J892" s="11" t="inlineStr">
        <is>
          <t>N/A</t>
        </is>
      </c>
      <c r="K892" s="17" t="n">
        <v>0</v>
      </c>
      <c r="L892" s="16">
        <f>K892+C892</f>
        <v/>
      </c>
      <c r="M892" s="11" t="inlineStr">
        <is>
          <t>ZX</t>
        </is>
      </c>
      <c r="N892" s="15" t="n"/>
      <c r="O892" s="14" t="n"/>
      <c r="P892" s="14" t="n"/>
      <c r="Q892" s="14" t="n"/>
      <c r="R892" s="14" t="n"/>
    </row>
    <row r="893">
      <c r="A893" s="14" t="inlineStr">
        <is>
          <t>FM3691</t>
        </is>
      </c>
      <c r="B893" s="14" t="n"/>
      <c r="C893" s="13" t="n">
        <v>45986</v>
      </c>
      <c r="D893" s="12" t="inlineStr">
        <is>
          <t>PO101105</t>
        </is>
      </c>
      <c r="E893" s="14" t="inlineStr">
        <is>
          <t>JAMARMIC PUMP AND VALVE</t>
        </is>
      </c>
      <c r="F893" s="14" t="inlineStr">
        <is>
          <t>Majax-2 400 Casing And impeller</t>
        </is>
      </c>
      <c r="G893" s="20" t="n">
        <v>1</v>
      </c>
      <c r="H893" s="19" t="n">
        <v>4398</v>
      </c>
      <c r="I893" s="18">
        <f>G893*H893</f>
        <v/>
      </c>
      <c r="J893" s="11" t="inlineStr">
        <is>
          <t>PRO7393</t>
        </is>
      </c>
      <c r="K893" s="17" t="n">
        <v>3</v>
      </c>
      <c r="L893" s="16">
        <f>K893+C893</f>
        <v/>
      </c>
      <c r="M893" s="11" t="n"/>
      <c r="N893" s="15" t="n"/>
      <c r="O893" s="14" t="n"/>
      <c r="P893" s="14" t="n"/>
      <c r="Q893" s="14" t="n"/>
      <c r="R893" s="14" t="n"/>
    </row>
    <row r="894">
      <c r="A894" s="14" t="inlineStr">
        <is>
          <t>FM3692</t>
        </is>
      </c>
      <c r="B894" s="14" t="n"/>
      <c r="C894" s="13" t="n">
        <v>45986</v>
      </c>
      <c r="D894" s="12" t="inlineStr">
        <is>
          <t>Cash Sale</t>
        </is>
      </c>
      <c r="E894" s="14" t="inlineStr">
        <is>
          <t>ECS DEEP CLEAN INDUSTRIES</t>
        </is>
      </c>
      <c r="F894" s="14" t="inlineStr">
        <is>
          <t>TIRACAMINO</t>
        </is>
      </c>
      <c r="G894" s="20" t="n">
        <v>1</v>
      </c>
      <c r="H894" s="19" t="n">
        <v>12114.2</v>
      </c>
      <c r="I894" s="18">
        <f>G894*H894</f>
        <v/>
      </c>
      <c r="J894" s="11" t="inlineStr">
        <is>
          <t>PRO7404</t>
        </is>
      </c>
      <c r="K894" s="17" t="n">
        <v>2</v>
      </c>
      <c r="L894" s="16">
        <f>K894+C894</f>
        <v/>
      </c>
      <c r="M894" s="11" t="inlineStr">
        <is>
          <t>SM</t>
        </is>
      </c>
      <c r="N894" s="15" t="n"/>
      <c r="O894" s="14" t="n"/>
      <c r="P894" s="14" t="n"/>
      <c r="Q894" s="14" t="n"/>
      <c r="R894" s="14" t="n"/>
    </row>
    <row r="895">
      <c r="A895" s="14" t="inlineStr">
        <is>
          <t>FM3693</t>
        </is>
      </c>
      <c r="B895" s="14" t="n"/>
      <c r="C895" s="13" t="n">
        <v>45986</v>
      </c>
      <c r="D895" s="12" t="inlineStr">
        <is>
          <t>26780 - 11770</t>
        </is>
      </c>
      <c r="E895" s="14" t="inlineStr">
        <is>
          <t>Rand Blower</t>
        </is>
      </c>
      <c r="F895" s="14" t="inlineStr">
        <is>
          <t>CA9 - 4"</t>
        </is>
      </c>
      <c r="G895" s="20" t="n">
        <v>1</v>
      </c>
      <c r="H895" s="19" t="n">
        <v>5262</v>
      </c>
      <c r="I895" s="18">
        <f>G895*H895</f>
        <v/>
      </c>
      <c r="J895" s="11" t="inlineStr">
        <is>
          <t>PRO7409</t>
        </is>
      </c>
      <c r="K895" s="17" t="n">
        <v>1</v>
      </c>
      <c r="L895" s="16">
        <f>K895+C895</f>
        <v/>
      </c>
      <c r="M895" s="11" t="inlineStr">
        <is>
          <t>MT</t>
        </is>
      </c>
      <c r="N895" s="15" t="n"/>
      <c r="O895" s="14" t="n"/>
      <c r="P895" s="14" t="n"/>
      <c r="Q895" s="14" t="n"/>
      <c r="R895" s="14" t="n"/>
    </row>
    <row r="896">
      <c r="A896" s="14" t="inlineStr">
        <is>
          <t>FM3694</t>
        </is>
      </c>
      <c r="B896" s="14" t="n"/>
      <c r="C896" s="13" t="n">
        <v>45987</v>
      </c>
      <c r="D896" s="12" t="inlineStr">
        <is>
          <t>POEE6979</t>
        </is>
      </c>
      <c r="E896" s="14" t="inlineStr">
        <is>
          <t>Elmec Air</t>
        </is>
      </c>
      <c r="F896" s="14" t="inlineStr">
        <is>
          <t>Lineo 200 Quiet</t>
        </is>
      </c>
      <c r="G896" s="20" t="n">
        <v>1</v>
      </c>
      <c r="H896" s="19" t="n">
        <v>4406</v>
      </c>
      <c r="I896" s="18">
        <f>G896*H896</f>
        <v/>
      </c>
      <c r="J896" s="11" t="inlineStr">
        <is>
          <t>N/A</t>
        </is>
      </c>
      <c r="K896" s="17" t="n">
        <v>0</v>
      </c>
      <c r="L896" s="16">
        <f>K896+C896</f>
        <v/>
      </c>
      <c r="M896" s="11" t="inlineStr">
        <is>
          <t>MT</t>
        </is>
      </c>
      <c r="N896" s="15" t="n"/>
      <c r="O896" s="14" t="n"/>
      <c r="P896" s="14" t="n"/>
      <c r="Q896" s="14" t="n"/>
      <c r="R896" s="14" t="n"/>
    </row>
    <row r="897">
      <c r="A897" s="14" t="inlineStr">
        <is>
          <t>FM3695</t>
        </is>
      </c>
      <c r="B897" s="14" t="n"/>
      <c r="C897" s="13" t="n">
        <v>45987</v>
      </c>
      <c r="D897" s="12" t="n">
        <v>103797</v>
      </c>
      <c r="E897" s="14" t="inlineStr">
        <is>
          <t>Execuair</t>
        </is>
      </c>
      <c r="F897" s="14" t="inlineStr">
        <is>
          <t>800 Flanges</t>
        </is>
      </c>
      <c r="G897" s="20" t="n">
        <v>2</v>
      </c>
      <c r="H897" s="19" t="n">
        <v>608</v>
      </c>
      <c r="I897" s="18">
        <f>G897*H897</f>
        <v/>
      </c>
      <c r="J897" s="11" t="inlineStr">
        <is>
          <t>N/A</t>
        </is>
      </c>
      <c r="K897" s="17" t="n">
        <v>1</v>
      </c>
      <c r="L897" s="16">
        <f>K897+C897</f>
        <v/>
      </c>
      <c r="M897" s="11" t="inlineStr">
        <is>
          <t>ST</t>
        </is>
      </c>
      <c r="N897" s="15" t="n"/>
      <c r="O897" s="14" t="n"/>
      <c r="P897" s="14" t="n"/>
      <c r="Q897" s="14" t="n"/>
      <c r="R897" s="14" t="n"/>
    </row>
    <row r="898">
      <c r="A898" s="14" t="inlineStr">
        <is>
          <t>FM3696</t>
        </is>
      </c>
      <c r="B898" s="14" t="n"/>
      <c r="C898" s="13" t="n">
        <v>45987</v>
      </c>
      <c r="D898" s="12" t="inlineStr">
        <is>
          <t>cash sale</t>
        </is>
      </c>
      <c r="E898" s="14" t="inlineStr">
        <is>
          <t>BTS Breezeair</t>
        </is>
      </c>
      <c r="F898" s="14" t="inlineStr">
        <is>
          <t>Lineo 100 QUite</t>
        </is>
      </c>
      <c r="G898" s="20" t="n">
        <v>3</v>
      </c>
      <c r="H898" s="19" t="n">
        <v>8175</v>
      </c>
      <c r="I898" s="18" t="n">
        <v>8175</v>
      </c>
      <c r="J898" s="11" t="inlineStr">
        <is>
          <t>N/A</t>
        </is>
      </c>
      <c r="K898" s="17" t="n">
        <v>0</v>
      </c>
      <c r="L898" s="16">
        <f>K898+C898</f>
        <v/>
      </c>
      <c r="M898" s="11" t="inlineStr">
        <is>
          <t>MT</t>
        </is>
      </c>
      <c r="N898" s="15" t="n"/>
      <c r="O898" s="14" t="n"/>
      <c r="P898" s="14" t="n"/>
      <c r="Q898" s="14" t="n"/>
      <c r="R898" s="14" t="n"/>
    </row>
    <row r="899">
      <c r="A899" s="14" t="inlineStr">
        <is>
          <t>FM3697</t>
        </is>
      </c>
      <c r="B899" s="14" t="n"/>
      <c r="C899" s="13" t="n">
        <v>45988</v>
      </c>
      <c r="D899" s="12" t="inlineStr">
        <is>
          <t>Cash sale</t>
        </is>
      </c>
      <c r="E899" s="14" t="inlineStr">
        <is>
          <t>MT Refridgeration</t>
        </is>
      </c>
      <c r="F899" s="14" t="inlineStr">
        <is>
          <t>Majax 800 c/w 4kw 4p 380v</t>
        </is>
      </c>
      <c r="G899" s="20" t="n">
        <v>1</v>
      </c>
      <c r="H899" s="19" t="n">
        <v>16445</v>
      </c>
      <c r="I899" s="18">
        <f>G899*H899</f>
        <v/>
      </c>
      <c r="J899" s="11" t="inlineStr">
        <is>
          <t>N/A</t>
        </is>
      </c>
      <c r="K899" s="17" t="n">
        <v>5</v>
      </c>
      <c r="L899" s="16">
        <f>K899+C899</f>
        <v/>
      </c>
      <c r="M899" s="11" t="inlineStr">
        <is>
          <t>MT</t>
        </is>
      </c>
      <c r="N899" s="15" t="n"/>
      <c r="O899" s="14" t="n"/>
      <c r="P899" s="14" t="n"/>
      <c r="Q899" s="14" t="n"/>
      <c r="R899" s="14" t="n"/>
    </row>
    <row r="900">
      <c r="A900" s="14" t="inlineStr">
        <is>
          <t>FM3698</t>
        </is>
      </c>
      <c r="B900" s="14" t="n"/>
      <c r="C900" s="13" t="n">
        <v>45988</v>
      </c>
      <c r="D900" s="12" t="inlineStr">
        <is>
          <t>PO33680</t>
        </is>
      </c>
      <c r="E900" s="14" t="inlineStr">
        <is>
          <t>First Cool CC</t>
        </is>
      </c>
      <c r="F900" s="14" t="inlineStr">
        <is>
          <t xml:space="preserve">RAD 250 + Accessories </t>
        </is>
      </c>
      <c r="G900" s="20" t="n">
        <v>1</v>
      </c>
      <c r="H900" s="19" t="n">
        <v>3856</v>
      </c>
      <c r="I900" s="18">
        <f>G900*H900</f>
        <v/>
      </c>
      <c r="J900" s="11" t="n"/>
      <c r="K900" s="17" t="n"/>
      <c r="L900" s="16" t="n"/>
      <c r="M900" s="11" t="n"/>
      <c r="N900" s="15" t="n"/>
      <c r="O900" s="14" t="n"/>
      <c r="P900" s="14" t="n"/>
      <c r="Q900" s="14" t="n"/>
      <c r="R900" s="14" t="n"/>
    </row>
    <row r="901">
      <c r="A901" s="14" t="inlineStr">
        <is>
          <t>FM3699</t>
        </is>
      </c>
      <c r="B901" s="14" t="n"/>
      <c r="C901" s="13" t="n">
        <v>45988</v>
      </c>
      <c r="D901" s="12" t="inlineStr">
        <is>
          <t>Cash Sale</t>
        </is>
      </c>
      <c r="E901" s="14" t="inlineStr">
        <is>
          <t>Ductech</t>
        </is>
      </c>
      <c r="F901" s="14" t="inlineStr">
        <is>
          <t xml:space="preserve">Maxflo 630/150/10 P c/w 2.2kw 4P 380V </t>
        </is>
      </c>
      <c r="G901" s="20" t="n">
        <v>3</v>
      </c>
      <c r="H901" s="19" t="n">
        <v>8300</v>
      </c>
      <c r="I901" s="18">
        <f>G901*H901</f>
        <v/>
      </c>
      <c r="J901" s="11" t="n"/>
      <c r="K901" s="17" t="n">
        <v>1</v>
      </c>
      <c r="L901" s="16">
        <f>K901+C901</f>
        <v/>
      </c>
      <c r="M901" s="11" t="inlineStr">
        <is>
          <t>MT</t>
        </is>
      </c>
      <c r="N901" s="15" t="n"/>
      <c r="O901" s="14" t="n"/>
      <c r="P901" s="14" t="n"/>
      <c r="Q901" s="14" t="n"/>
      <c r="R901" s="14" t="n"/>
    </row>
    <row r="902">
      <c r="A902" s="14" t="inlineStr">
        <is>
          <t>FM3700</t>
        </is>
      </c>
      <c r="B902" s="14" t="n"/>
      <c r="C902" s="13" t="n">
        <v>45989</v>
      </c>
      <c r="D902" s="12" t="inlineStr">
        <is>
          <t>PO-000006968</t>
        </is>
      </c>
      <c r="E902" s="14" t="inlineStr">
        <is>
          <t>Butec</t>
        </is>
      </c>
      <c r="F902" s="14" t="inlineStr">
        <is>
          <t>Fumax400 2-off/400 CF 4-Off/400MT-8 Off</t>
        </is>
      </c>
      <c r="G902" s="20" t="n">
        <v>14</v>
      </c>
      <c r="H902" s="19" t="n">
        <v>30220</v>
      </c>
      <c r="I902" s="18" t="n">
        <v>30220</v>
      </c>
      <c r="J902" s="11" t="inlineStr">
        <is>
          <t>N/A</t>
        </is>
      </c>
      <c r="K902" s="17" t="n">
        <v>30</v>
      </c>
      <c r="L902" s="16">
        <f>K902+C902</f>
        <v/>
      </c>
      <c r="M902" s="11" t="inlineStr">
        <is>
          <t>MT</t>
        </is>
      </c>
      <c r="N902" s="15" t="n"/>
      <c r="O902" s="14" t="n"/>
      <c r="P902" s="14" t="n"/>
      <c r="Q902" s="14" t="n"/>
      <c r="R902" s="14" t="n"/>
    </row>
    <row r="903">
      <c r="A903" s="14" t="inlineStr">
        <is>
          <t>FM3701</t>
        </is>
      </c>
      <c r="B903" s="14" t="n"/>
      <c r="C903" s="13" t="n">
        <v>45989</v>
      </c>
      <c r="D903" s="12" t="inlineStr">
        <is>
          <t>PO-000006963</t>
        </is>
      </c>
      <c r="E903" s="14" t="inlineStr">
        <is>
          <t>Butec</t>
        </is>
      </c>
      <c r="F903" s="14" t="inlineStr">
        <is>
          <t>Fumax400 2-off/400 CF 4-Off/400MT-8 Off</t>
        </is>
      </c>
      <c r="G903" s="20" t="n">
        <v>14</v>
      </c>
      <c r="H903" s="19" t="n">
        <v>30220</v>
      </c>
      <c r="I903" s="18" t="n">
        <v>30220</v>
      </c>
      <c r="J903" s="11" t="inlineStr">
        <is>
          <t>N/A</t>
        </is>
      </c>
      <c r="K903" s="17" t="n">
        <v>30</v>
      </c>
      <c r="L903" s="16">
        <f>K903+C903</f>
        <v/>
      </c>
      <c r="M903" s="11" t="inlineStr">
        <is>
          <t>MT</t>
        </is>
      </c>
      <c r="N903" s="15" t="n"/>
      <c r="O903" s="14" t="n"/>
      <c r="P903" s="14" t="n"/>
      <c r="Q903" s="14" t="n"/>
      <c r="R903" s="14" t="n"/>
    </row>
    <row r="904">
      <c r="A904" s="14" t="inlineStr">
        <is>
          <t>FM3702</t>
        </is>
      </c>
      <c r="B904" s="14" t="n"/>
      <c r="C904" s="13" t="n">
        <v>45989</v>
      </c>
      <c r="D904" s="12" t="inlineStr">
        <is>
          <t>PO-000006956</t>
        </is>
      </c>
      <c r="E904" s="14" t="inlineStr">
        <is>
          <t>Butec</t>
        </is>
      </c>
      <c r="F904" s="14" t="inlineStr">
        <is>
          <t>Fumax400 1-off/400 Cf 2-Off/400MT-4 Off 2 400-1.5D</t>
        </is>
      </c>
      <c r="G904" s="20" t="n">
        <v>9</v>
      </c>
      <c r="H904" s="19" t="n">
        <v>19360</v>
      </c>
      <c r="I904" s="18" t="n">
        <v>19360</v>
      </c>
      <c r="J904" s="11" t="n"/>
      <c r="K904" s="17" t="n">
        <v>30</v>
      </c>
      <c r="L904" s="16">
        <f>K904+C904</f>
        <v/>
      </c>
      <c r="M904" s="11" t="inlineStr">
        <is>
          <t>MT</t>
        </is>
      </c>
      <c r="N904" s="15" t="n"/>
      <c r="O904" s="14" t="n"/>
      <c r="P904" s="14" t="n"/>
      <c r="Q904" s="14" t="n"/>
      <c r="R904" s="14" t="n"/>
    </row>
    <row r="905">
      <c r="A905" s="14" t="inlineStr">
        <is>
          <t>FM3703</t>
        </is>
      </c>
      <c r="B905" s="14" t="n"/>
      <c r="C905" s="13" t="n">
        <v>45989</v>
      </c>
      <c r="D905" s="12" t="inlineStr">
        <is>
          <t>Cash sale</t>
        </is>
      </c>
      <c r="E905" s="14" t="inlineStr">
        <is>
          <t>Jaft Aircon</t>
        </is>
      </c>
      <c r="F905" s="14" t="inlineStr">
        <is>
          <t>CE250</t>
        </is>
      </c>
      <c r="G905" s="20" t="n">
        <v>8</v>
      </c>
      <c r="H905" s="19" t="n">
        <v>450</v>
      </c>
      <c r="I905" s="18">
        <f>G905*H905</f>
        <v/>
      </c>
      <c r="J905" s="11" t="n"/>
      <c r="K905" s="17" t="n">
        <v>0</v>
      </c>
      <c r="L905" s="16">
        <f>K905+C905</f>
        <v/>
      </c>
      <c r="M905" s="11" t="inlineStr">
        <is>
          <t>MT</t>
        </is>
      </c>
      <c r="N905" s="15" t="n"/>
      <c r="O905" s="14" t="n"/>
      <c r="P905" s="14" t="n"/>
      <c r="Q905" s="14" t="n"/>
      <c r="R905" s="14" t="n"/>
    </row>
    <row r="906">
      <c r="A906" s="14" t="inlineStr">
        <is>
          <t>FM3704</t>
        </is>
      </c>
      <c r="B906" s="14" t="n"/>
      <c r="C906" s="13" t="n">
        <v>45989</v>
      </c>
      <c r="D906" s="12" t="inlineStr">
        <is>
          <t>Cash Sale</t>
        </is>
      </c>
      <c r="E906" s="14" t="inlineStr">
        <is>
          <t>Matla solution Group</t>
        </is>
      </c>
      <c r="F906" s="14" t="inlineStr">
        <is>
          <t xml:space="preserve">800 Counter Flanges </t>
        </is>
      </c>
      <c r="G906" s="20" t="n">
        <v>10</v>
      </c>
      <c r="H906" s="19" t="n">
        <v>486.4</v>
      </c>
      <c r="I906" s="18">
        <f>G906*H906</f>
        <v/>
      </c>
      <c r="J906" s="11" t="inlineStr">
        <is>
          <t>N/A</t>
        </is>
      </c>
      <c r="K906" s="17" t="n">
        <v>0</v>
      </c>
      <c r="L906" s="16">
        <f>K906+C906</f>
        <v/>
      </c>
      <c r="M906" s="11" t="inlineStr">
        <is>
          <t>MT</t>
        </is>
      </c>
      <c r="N906" s="15" t="n"/>
      <c r="O906" s="14" t="n"/>
      <c r="P906" s="14" t="n"/>
      <c r="Q906" s="14" t="n"/>
      <c r="R906" s="14" t="n"/>
    </row>
    <row r="907">
      <c r="A907" s="14" t="inlineStr">
        <is>
          <t>FM3705</t>
        </is>
      </c>
      <c r="B907" s="14" t="n"/>
      <c r="C907" s="13" t="n">
        <v>45989</v>
      </c>
      <c r="D907" s="12" t="inlineStr">
        <is>
          <t>PO:147037</t>
        </is>
      </c>
      <c r="E907" s="14" t="inlineStr">
        <is>
          <t>Total Mining</t>
        </is>
      </c>
      <c r="F907" s="14" t="inlineStr">
        <is>
          <t>Majax-2 400 c/w0.75 kw 2p 380v</t>
        </is>
      </c>
      <c r="G907" s="20" t="n">
        <v>2</v>
      </c>
      <c r="H907" s="19" t="n">
        <v>7298</v>
      </c>
      <c r="I907" s="18">
        <f>G907*H907</f>
        <v/>
      </c>
      <c r="J907" s="11" t="n"/>
      <c r="K907" s="17" t="n">
        <v>5</v>
      </c>
      <c r="L907" s="16">
        <f>K907+C907</f>
        <v/>
      </c>
      <c r="M907" s="11" t="inlineStr">
        <is>
          <t>MT</t>
        </is>
      </c>
      <c r="N907" s="15" t="n"/>
      <c r="O907" s="14" t="n"/>
      <c r="P907" s="14" t="n"/>
      <c r="Q907" s="14" t="n"/>
      <c r="R907" s="14" t="n"/>
    </row>
    <row r="908">
      <c r="A908" s="14" t="inlineStr">
        <is>
          <t>FM3706</t>
        </is>
      </c>
      <c r="B908" s="14" t="n"/>
      <c r="C908" s="13" t="n">
        <v>45992</v>
      </c>
      <c r="D908" s="12" t="inlineStr">
        <is>
          <t>PO2174</t>
        </is>
      </c>
      <c r="E908" s="14" t="inlineStr">
        <is>
          <t xml:space="preserve">Hucra Fans </t>
        </is>
      </c>
      <c r="F908" s="14" t="inlineStr">
        <is>
          <t>V230/9 AR</t>
        </is>
      </c>
      <c r="G908" s="20" t="n">
        <v>2</v>
      </c>
      <c r="H908" s="19" t="n">
        <v>3552</v>
      </c>
      <c r="I908" s="18">
        <f>G908*H908</f>
        <v/>
      </c>
      <c r="J908" s="11" t="inlineStr">
        <is>
          <t>N/A</t>
        </is>
      </c>
      <c r="K908" s="17" t="n">
        <v>39</v>
      </c>
      <c r="L908" s="16">
        <f>K908+C908</f>
        <v/>
      </c>
      <c r="M908" s="11" t="inlineStr">
        <is>
          <t>ZX</t>
        </is>
      </c>
      <c r="N908" s="15" t="n"/>
      <c r="O908" s="14" t="n"/>
      <c r="P908" s="14" t="n"/>
      <c r="Q908" s="14" t="n"/>
      <c r="R908" s="14" t="n"/>
    </row>
    <row r="909">
      <c r="A909" s="14" t="inlineStr">
        <is>
          <t>FM3707</t>
        </is>
      </c>
      <c r="B909" s="14" t="n"/>
      <c r="C909" s="13" t="n">
        <v>45992</v>
      </c>
      <c r="D909" s="12" t="inlineStr">
        <is>
          <t>PO:OA17025</t>
        </is>
      </c>
      <c r="E909" s="14" t="inlineStr">
        <is>
          <t>Optimal Air</t>
        </is>
      </c>
      <c r="F909" s="14" t="inlineStr">
        <is>
          <t>Maxflo 630 c/w 2.2kw 4p 380v</t>
        </is>
      </c>
      <c r="G909" s="20" t="n">
        <v>1</v>
      </c>
      <c r="H909" s="19" t="n">
        <v>9606.15</v>
      </c>
      <c r="I909" s="18">
        <f>G909*H909</f>
        <v/>
      </c>
      <c r="J909" s="11" t="inlineStr">
        <is>
          <t>N/A</t>
        </is>
      </c>
      <c r="K909" s="17" t="n">
        <v>4</v>
      </c>
      <c r="L909" s="16">
        <f>K909+C909</f>
        <v/>
      </c>
      <c r="M909" s="11" t="inlineStr">
        <is>
          <t>MT</t>
        </is>
      </c>
      <c r="N909" s="15" t="n"/>
      <c r="O909" s="14" t="n"/>
      <c r="P909" s="14" t="n"/>
      <c r="Q909" s="14" t="n"/>
      <c r="R909" s="14" t="n"/>
    </row>
    <row r="910">
      <c r="A910" s="14" t="inlineStr">
        <is>
          <t>FM3708</t>
        </is>
      </c>
      <c r="B910" s="14" t="n"/>
      <c r="C910" s="13" t="n">
        <v>45993</v>
      </c>
      <c r="D910" s="12" t="inlineStr">
        <is>
          <t>PO-26953</t>
        </is>
      </c>
      <c r="E910" s="14" t="inlineStr">
        <is>
          <t>Aircycle Engineering CC</t>
        </is>
      </c>
      <c r="F910" s="14" t="inlineStr">
        <is>
          <t>Majax-3 560 c/w 0.75kw 4p 380v + Accessories</t>
        </is>
      </c>
      <c r="G910" s="20" t="n">
        <v>1</v>
      </c>
      <c r="H910" s="19" t="n">
        <v>13409</v>
      </c>
      <c r="I910" s="18">
        <f>G910*H910</f>
        <v/>
      </c>
      <c r="J910" s="11" t="inlineStr">
        <is>
          <t>PRO7364</t>
        </is>
      </c>
      <c r="K910" s="17" t="n">
        <v>1</v>
      </c>
      <c r="L910" s="16">
        <f>K910+C910</f>
        <v/>
      </c>
      <c r="M910" s="11" t="inlineStr">
        <is>
          <t>SM</t>
        </is>
      </c>
      <c r="N910" s="15" t="n"/>
      <c r="O910" s="14" t="n"/>
      <c r="P910" s="14" t="n"/>
      <c r="Q910" s="14" t="n"/>
      <c r="R910" s="14" t="n"/>
    </row>
    <row r="911">
      <c r="A911" s="14" t="inlineStr">
        <is>
          <t>FM3709</t>
        </is>
      </c>
      <c r="B911" s="14" t="n"/>
      <c r="C911" s="13" t="n">
        <v>45993</v>
      </c>
      <c r="D911" s="12" t="inlineStr">
        <is>
          <t>Cash Sale</t>
        </is>
      </c>
      <c r="E911" s="14" t="inlineStr">
        <is>
          <t>Crioni</t>
        </is>
      </c>
      <c r="F911" s="14" t="inlineStr">
        <is>
          <t>Tiracamino</t>
        </is>
      </c>
      <c r="G911" s="20" t="n">
        <v>1</v>
      </c>
      <c r="H911" s="19" t="n">
        <v>11876</v>
      </c>
      <c r="I911" s="18">
        <f>G911*H911</f>
        <v/>
      </c>
      <c r="J911" s="11" t="inlineStr">
        <is>
          <t>N/A</t>
        </is>
      </c>
      <c r="K911" s="17" t="n"/>
      <c r="L911" s="16">
        <f>K911+C911</f>
        <v/>
      </c>
      <c r="M911" s="11" t="inlineStr">
        <is>
          <t>SM</t>
        </is>
      </c>
      <c r="N911" s="15" t="n"/>
      <c r="O911" s="14" t="n"/>
      <c r="P911" s="14" t="n"/>
      <c r="Q911" s="14" t="n"/>
      <c r="R911" s="14" t="n"/>
    </row>
    <row r="912">
      <c r="A912" s="14" t="inlineStr">
        <is>
          <t>FM3710</t>
        </is>
      </c>
      <c r="B912" s="14" t="n"/>
      <c r="C912" s="13" t="n">
        <v>45994</v>
      </c>
      <c r="D912" s="12" t="inlineStr">
        <is>
          <t>Cash sale-PO26299</t>
        </is>
      </c>
      <c r="E912" s="14" t="inlineStr">
        <is>
          <t>Maddox &amp; Adams</t>
        </is>
      </c>
      <c r="F912" s="14" t="inlineStr">
        <is>
          <t xml:space="preserve">K04 MS-1.1KW </t>
        </is>
      </c>
      <c r="G912" s="20" t="n">
        <v>1</v>
      </c>
      <c r="H912" s="19" t="n">
        <v>15020.21</v>
      </c>
      <c r="I912" s="18">
        <f>G912*H912</f>
        <v/>
      </c>
      <c r="J912" s="11" t="inlineStr">
        <is>
          <t>N/A</t>
        </is>
      </c>
      <c r="K912" s="17" t="n">
        <v>1</v>
      </c>
      <c r="L912" s="16">
        <f>K912+C912</f>
        <v/>
      </c>
      <c r="M912" s="11" t="inlineStr">
        <is>
          <t>MT</t>
        </is>
      </c>
      <c r="N912" s="15" t="n"/>
      <c r="O912" s="14" t="n"/>
      <c r="P912" s="14" t="n"/>
      <c r="Q912" s="14" t="n"/>
      <c r="R912" s="14" t="n"/>
    </row>
    <row r="913">
      <c r="A913" s="14" t="inlineStr">
        <is>
          <t>FM3711</t>
        </is>
      </c>
      <c r="B913" s="14" t="n"/>
      <c r="C913" s="13" t="n">
        <v>45994</v>
      </c>
      <c r="D913" s="12" t="inlineStr">
        <is>
          <t>Cash Sale</t>
        </is>
      </c>
      <c r="E913" s="14" t="inlineStr">
        <is>
          <t>Karaeo</t>
        </is>
      </c>
      <c r="F913" s="14" t="inlineStr">
        <is>
          <t>Majax-3 315/150/10 c/w 0.55 kW 2 Pole 380V</t>
        </is>
      </c>
      <c r="G913" s="20" t="n">
        <v>1</v>
      </c>
      <c r="H913" s="19" t="n">
        <v>6196</v>
      </c>
      <c r="I913" s="18">
        <f>G913*H913</f>
        <v/>
      </c>
      <c r="J913" s="11" t="n"/>
      <c r="K913" s="17" t="n">
        <v>1</v>
      </c>
      <c r="L913" s="16">
        <f>K913+C913</f>
        <v/>
      </c>
      <c r="M913" s="11" t="inlineStr">
        <is>
          <t>SM</t>
        </is>
      </c>
      <c r="N913" s="15" t="n"/>
      <c r="O913" s="14" t="n"/>
      <c r="P913" s="14" t="n"/>
      <c r="Q913" s="14" t="n"/>
      <c r="R913" s="14" t="n"/>
    </row>
    <row r="914">
      <c r="A914" s="14" t="inlineStr">
        <is>
          <t>FM3712</t>
        </is>
      </c>
      <c r="B914" s="14" t="n"/>
      <c r="C914" s="13" t="n">
        <v>45995</v>
      </c>
      <c r="D914" s="12" t="inlineStr">
        <is>
          <t>PO:147096</t>
        </is>
      </c>
      <c r="E914" s="14" t="inlineStr">
        <is>
          <t>Total Mining</t>
        </is>
      </c>
      <c r="F914" s="14" t="inlineStr">
        <is>
          <t>ce250</t>
        </is>
      </c>
      <c r="G914" s="20" t="n">
        <v>27</v>
      </c>
      <c r="H914" s="19" t="n">
        <v>490</v>
      </c>
      <c r="I914" s="18">
        <f>G914*H914</f>
        <v/>
      </c>
      <c r="J914" s="11" t="inlineStr">
        <is>
          <t>N/A</t>
        </is>
      </c>
      <c r="K914" s="17" t="n">
        <v>4</v>
      </c>
      <c r="L914" s="16">
        <f>K914+C914</f>
        <v/>
      </c>
      <c r="M914" s="11" t="inlineStr">
        <is>
          <t>MT</t>
        </is>
      </c>
      <c r="N914" s="15" t="n"/>
      <c r="O914" s="14" t="n"/>
      <c r="P914" s="14" t="n"/>
      <c r="Q914" s="14" t="n"/>
      <c r="R914" s="14" t="n"/>
    </row>
    <row r="915">
      <c r="A915" s="14" t="inlineStr">
        <is>
          <t>FM3713</t>
        </is>
      </c>
      <c r="B915" s="14" t="n"/>
      <c r="C915" s="13" t="n">
        <v>45996</v>
      </c>
      <c r="D915" s="21" t="inlineStr">
        <is>
          <t>POQ18291 C/S111</t>
        </is>
      </c>
      <c r="E915" s="14" t="inlineStr">
        <is>
          <t>HVAC Maintanance</t>
        </is>
      </c>
      <c r="F915" s="14" t="inlineStr">
        <is>
          <t xml:space="preserve">Maxflo 630 c/w 0.75kW 4P  </t>
        </is>
      </c>
      <c r="G915" s="20" t="n">
        <v>1</v>
      </c>
      <c r="H915" s="19" t="n">
        <v>7213.99</v>
      </c>
      <c r="I915" s="18">
        <f>G915*H915</f>
        <v/>
      </c>
      <c r="J915" s="11" t="inlineStr">
        <is>
          <t>N/A</t>
        </is>
      </c>
      <c r="K915" s="17" t="n">
        <v>3</v>
      </c>
      <c r="L915" s="16">
        <f>K915+C915</f>
        <v/>
      </c>
      <c r="M915" s="11" t="inlineStr">
        <is>
          <t>SM</t>
        </is>
      </c>
      <c r="N915" s="15" t="n"/>
      <c r="O915" s="14" t="n"/>
      <c r="P915" s="14" t="n"/>
      <c r="Q915" s="14" t="n"/>
      <c r="R915" s="14" t="n"/>
    </row>
    <row r="916">
      <c r="A916" s="14" t="inlineStr">
        <is>
          <t>FM3714</t>
        </is>
      </c>
      <c r="B916" s="14" t="n"/>
      <c r="C916" s="13" t="n">
        <v>45996</v>
      </c>
      <c r="D916" s="12" t="inlineStr">
        <is>
          <t>Cash Sale</t>
        </is>
      </c>
      <c r="E916" s="14" t="inlineStr">
        <is>
          <t>Ducttech CC</t>
        </is>
      </c>
      <c r="F916" s="14" t="inlineStr">
        <is>
          <t>315 Diam Silencers 1.5D Podded</t>
        </is>
      </c>
      <c r="G916" s="20" t="n">
        <v>2</v>
      </c>
      <c r="H916" s="19" t="n">
        <v>1745</v>
      </c>
      <c r="I916" s="18">
        <f>G916*H916</f>
        <v/>
      </c>
      <c r="J916" s="11" t="inlineStr">
        <is>
          <t>N/A</t>
        </is>
      </c>
      <c r="K916" s="17" t="n">
        <v>3</v>
      </c>
      <c r="L916" s="16">
        <f>K916+C916</f>
        <v/>
      </c>
      <c r="M916" s="11" t="inlineStr">
        <is>
          <t>MT</t>
        </is>
      </c>
      <c r="N916" s="15" t="n"/>
      <c r="O916" s="14" t="n"/>
      <c r="P916" s="14" t="n"/>
      <c r="Q916" s="14" t="n"/>
      <c r="R916" s="14" t="n"/>
    </row>
    <row r="917">
      <c r="A917" s="14" t="inlineStr">
        <is>
          <t>FM3715</t>
        </is>
      </c>
      <c r="B917" s="14" t="n"/>
      <c r="C917" s="13" t="n">
        <v>45996</v>
      </c>
      <c r="D917" s="12" t="inlineStr">
        <is>
          <t>PO:OA17042</t>
        </is>
      </c>
      <c r="E917" s="14" t="inlineStr">
        <is>
          <t>Optimal Air</t>
        </is>
      </c>
      <c r="F917" s="14" t="inlineStr">
        <is>
          <t>RAD 315 &amp; Accessories</t>
        </is>
      </c>
      <c r="G917" s="20" t="n">
        <v>5</v>
      </c>
      <c r="H917" s="19" t="n">
        <v>11808</v>
      </c>
      <c r="I917" s="18" t="n">
        <v>11808</v>
      </c>
      <c r="J917" s="11" t="inlineStr">
        <is>
          <t>N/A</t>
        </is>
      </c>
      <c r="K917" s="17" t="n">
        <v>3</v>
      </c>
      <c r="L917" s="16">
        <f>K917+C917</f>
        <v/>
      </c>
      <c r="M917" s="11" t="inlineStr">
        <is>
          <t>MT</t>
        </is>
      </c>
      <c r="N917" s="15" t="n"/>
      <c r="O917" s="14" t="n"/>
      <c r="P917" s="14" t="n"/>
      <c r="Q917" s="14" t="n"/>
      <c r="R917" s="14" t="n"/>
    </row>
    <row r="918">
      <c r="A918" s="14" t="inlineStr">
        <is>
          <t>FM3716</t>
        </is>
      </c>
      <c r="B918" s="14" t="n"/>
      <c r="C918" s="13" t="n">
        <v>45999</v>
      </c>
      <c r="D918" s="12" t="inlineStr">
        <is>
          <t>MFE6753</t>
        </is>
      </c>
      <c r="E918" s="14" t="inlineStr">
        <is>
          <t>Morlyn Fans</t>
        </is>
      </c>
      <c r="F918" s="14" t="inlineStr">
        <is>
          <t>HCD-25-4M</t>
        </is>
      </c>
      <c r="G918" s="20" t="n">
        <v>1</v>
      </c>
      <c r="H918" s="19" t="n">
        <v>2902</v>
      </c>
      <c r="I918" s="18">
        <f>G918*H918</f>
        <v/>
      </c>
      <c r="J918" s="11" t="inlineStr">
        <is>
          <t>N/A</t>
        </is>
      </c>
      <c r="K918" s="17" t="n">
        <v>0</v>
      </c>
      <c r="L918" s="16">
        <f>K918+C918</f>
        <v/>
      </c>
      <c r="M918" s="11" t="inlineStr">
        <is>
          <t>ZX</t>
        </is>
      </c>
      <c r="N918" s="15" t="n"/>
      <c r="O918" s="14" t="n"/>
      <c r="P918" s="14" t="n"/>
      <c r="Q918" s="14" t="n"/>
      <c r="R918" s="14" t="n"/>
    </row>
    <row r="919">
      <c r="A919" s="14" t="inlineStr">
        <is>
          <t>FM3717</t>
        </is>
      </c>
      <c r="B919" s="14" t="n"/>
      <c r="C919" s="13" t="n">
        <v>45999</v>
      </c>
      <c r="D919" s="12" t="inlineStr">
        <is>
          <t>PO2179</t>
        </is>
      </c>
      <c r="E919" s="14" t="inlineStr">
        <is>
          <t xml:space="preserve">Hucra Fans </t>
        </is>
      </c>
      <c r="F919" s="14" t="inlineStr">
        <is>
          <t>SCL-K07 MS-4.0KW-525V</t>
        </is>
      </c>
      <c r="G919" s="20" t="n">
        <v>2</v>
      </c>
      <c r="H919" s="19" t="n">
        <v>48815</v>
      </c>
      <c r="I919" s="18">
        <f>G919*H919</f>
        <v/>
      </c>
      <c r="J919" s="11" t="inlineStr">
        <is>
          <t>N/A</t>
        </is>
      </c>
      <c r="K919" s="17" t="n">
        <v>1</v>
      </c>
      <c r="L919" s="16">
        <f>K919+C919</f>
        <v/>
      </c>
      <c r="M919" s="11" t="inlineStr">
        <is>
          <t>ZX</t>
        </is>
      </c>
      <c r="N919" s="15" t="n"/>
      <c r="O919" s="14" t="n"/>
      <c r="P919" s="14" t="n"/>
      <c r="Q919" s="14" t="n"/>
      <c r="R919" s="14" t="n"/>
    </row>
    <row r="920">
      <c r="A920" s="14" t="inlineStr">
        <is>
          <t>FM3718</t>
        </is>
      </c>
      <c r="B920" s="14" t="n"/>
      <c r="C920" s="13" t="n">
        <v>45999</v>
      </c>
      <c r="D920" s="12" t="inlineStr">
        <is>
          <t>PO:OA17042</t>
        </is>
      </c>
      <c r="E920" s="14" t="inlineStr">
        <is>
          <t>Rotary Opencast</t>
        </is>
      </c>
      <c r="F920" s="14" t="inlineStr">
        <is>
          <t>Majax-2 500-20-C-8 c/w2P 380V</t>
        </is>
      </c>
      <c r="G920" s="20" t="n">
        <v>1</v>
      </c>
      <c r="H920" s="19" t="n">
        <v>36409</v>
      </c>
      <c r="I920" s="18">
        <f>G920*H920</f>
        <v/>
      </c>
      <c r="J920" s="11" t="inlineStr">
        <is>
          <t>N/A</t>
        </is>
      </c>
      <c r="K920" s="17" t="n">
        <v>15</v>
      </c>
      <c r="L920" s="16">
        <f>K920+C920</f>
        <v/>
      </c>
      <c r="M920" s="11" t="inlineStr">
        <is>
          <t>MT</t>
        </is>
      </c>
      <c r="N920" s="15" t="n"/>
      <c r="O920" s="14" t="n"/>
      <c r="P920" s="14" t="n"/>
      <c r="Q920" s="14" t="n"/>
      <c r="R920" s="14" t="n"/>
    </row>
    <row r="921">
      <c r="A921" s="14" t="inlineStr">
        <is>
          <t>FM3719</t>
        </is>
      </c>
      <c r="B921" s="14" t="n"/>
      <c r="C921" s="13" t="n">
        <v>45999</v>
      </c>
      <c r="D921" s="12" t="inlineStr">
        <is>
          <t>PO:EE7116</t>
        </is>
      </c>
      <c r="E921" s="14" t="inlineStr">
        <is>
          <t>Elmec</t>
        </is>
      </c>
      <c r="F921" s="14" t="inlineStr">
        <is>
          <t>Lineo 150 Quiet</t>
        </is>
      </c>
      <c r="G921" s="20" t="n">
        <v>1</v>
      </c>
      <c r="H921" s="19" t="n">
        <v>3159</v>
      </c>
      <c r="I921" s="18">
        <f>G921*H921</f>
        <v/>
      </c>
      <c r="J921" s="11" t="inlineStr">
        <is>
          <t>N/A</t>
        </is>
      </c>
      <c r="K921" s="17" t="n">
        <v>0</v>
      </c>
      <c r="L921" s="16">
        <f>K921+C921</f>
        <v/>
      </c>
      <c r="M921" s="11" t="inlineStr">
        <is>
          <t>MT</t>
        </is>
      </c>
      <c r="N921" s="15" t="n"/>
      <c r="O921" s="14" t="n"/>
      <c r="P921" s="14" t="n"/>
      <c r="Q921" s="14" t="n"/>
      <c r="R921" s="14" t="n"/>
    </row>
    <row r="922">
      <c r="A922" s="14" t="inlineStr">
        <is>
          <t>FM3720</t>
        </is>
      </c>
      <c r="B922" s="14" t="n"/>
      <c r="C922" s="13" t="n">
        <v>45999</v>
      </c>
      <c r="D922" s="12" t="inlineStr">
        <is>
          <t>PO0000758-Cash sale</t>
        </is>
      </c>
      <c r="E922" s="14" t="inlineStr">
        <is>
          <t>Jaft Aircon</t>
        </is>
      </c>
      <c r="F922" s="14" t="inlineStr">
        <is>
          <t>355Diam 600L Tubes</t>
        </is>
      </c>
      <c r="G922" s="20" t="n">
        <v>8</v>
      </c>
      <c r="H922" s="19" t="n">
        <v>980</v>
      </c>
      <c r="I922" s="18">
        <f>G922*H922</f>
        <v/>
      </c>
      <c r="J922" s="11" t="inlineStr">
        <is>
          <t>N/A</t>
        </is>
      </c>
      <c r="K922" s="17" t="n">
        <v>0</v>
      </c>
      <c r="L922" s="16">
        <f>K922+C922</f>
        <v/>
      </c>
      <c r="M922" s="11" t="inlineStr">
        <is>
          <t>MT</t>
        </is>
      </c>
      <c r="N922" s="15" t="n"/>
      <c r="O922" s="14" t="n"/>
      <c r="P922" s="14" t="n"/>
      <c r="Q922" s="14" t="n"/>
      <c r="R922" s="14" t="n"/>
    </row>
    <row r="923">
      <c r="A923" s="14" t="inlineStr">
        <is>
          <t>FM3721</t>
        </is>
      </c>
      <c r="B923" s="14" t="n"/>
      <c r="C923" s="13" t="n">
        <v>45999</v>
      </c>
      <c r="D923" s="12" t="inlineStr">
        <is>
          <t>CASH SALE</t>
        </is>
      </c>
      <c r="E923" s="14" t="inlineStr">
        <is>
          <t>CSS Engineering</t>
        </is>
      </c>
      <c r="F923" s="14" t="inlineStr">
        <is>
          <t>CMP-512-2M</t>
        </is>
      </c>
      <c r="G923" s="20" t="n">
        <v>1</v>
      </c>
      <c r="H923" s="19" t="n">
        <v>5526</v>
      </c>
      <c r="I923" s="18">
        <f>G923*H923</f>
        <v/>
      </c>
      <c r="J923" s="11" t="inlineStr">
        <is>
          <t>N/A</t>
        </is>
      </c>
      <c r="K923" s="17" t="n">
        <v>1</v>
      </c>
      <c r="L923" s="16">
        <f>K923+C923</f>
        <v/>
      </c>
      <c r="M923" s="11" t="inlineStr">
        <is>
          <t>MT</t>
        </is>
      </c>
      <c r="N923" s="15" t="n"/>
      <c r="O923" s="14" t="n"/>
      <c r="P923" s="14" t="n"/>
      <c r="Q923" s="14" t="n"/>
      <c r="R923" s="14" t="n"/>
    </row>
    <row r="924">
      <c r="A924" s="14" t="inlineStr">
        <is>
          <t>FM3722</t>
        </is>
      </c>
      <c r="B924" s="14" t="n"/>
      <c r="C924" s="13" t="n">
        <v>46000</v>
      </c>
      <c r="D924" s="12" t="inlineStr">
        <is>
          <t>PO:OA23551</t>
        </is>
      </c>
      <c r="E924" s="14" t="inlineStr">
        <is>
          <t xml:space="preserve">Rotary Opencast </t>
        </is>
      </c>
      <c r="F924" s="14" t="inlineStr">
        <is>
          <t>Majax-2 500-20-C-8 c/w 2P 380V</t>
        </is>
      </c>
      <c r="G924" s="20" t="n">
        <v>3</v>
      </c>
      <c r="H924" s="19" t="n">
        <v>36409</v>
      </c>
      <c r="I924" s="18">
        <f>G924*H924</f>
        <v/>
      </c>
      <c r="J924" s="11" t="inlineStr">
        <is>
          <t>N/A</t>
        </is>
      </c>
      <c r="K924" s="17" t="n">
        <v>14</v>
      </c>
      <c r="L924" s="16">
        <f>K924+C924</f>
        <v/>
      </c>
      <c r="M924" s="11" t="inlineStr">
        <is>
          <t>MT</t>
        </is>
      </c>
      <c r="N924" s="15" t="n"/>
      <c r="O924" s="14" t="n"/>
      <c r="P924" s="14" t="n"/>
      <c r="Q924" s="14" t="n"/>
      <c r="R924" s="14" t="n"/>
    </row>
    <row r="925">
      <c r="A925" s="14" t="inlineStr">
        <is>
          <t>FM3723</t>
        </is>
      </c>
      <c r="B925" s="14" t="n"/>
      <c r="C925" s="13" t="n">
        <v>46000</v>
      </c>
      <c r="D925" s="12" t="inlineStr">
        <is>
          <t>Cash sale</t>
        </is>
      </c>
      <c r="E925" s="14" t="inlineStr">
        <is>
          <t>Chemburg</t>
        </is>
      </c>
      <c r="F925" s="14" t="inlineStr">
        <is>
          <t>RAD 315</t>
        </is>
      </c>
      <c r="G925" s="20" t="n">
        <v>3</v>
      </c>
      <c r="H925" s="19" t="n">
        <v>3150</v>
      </c>
      <c r="I925" s="18">
        <f>G925*H925</f>
        <v/>
      </c>
      <c r="J925" s="11" t="inlineStr">
        <is>
          <t>N/A</t>
        </is>
      </c>
      <c r="K925" s="17" t="n">
        <v>0</v>
      </c>
      <c r="L925" s="16">
        <f>K925+C925</f>
        <v/>
      </c>
      <c r="M925" s="11" t="inlineStr">
        <is>
          <t>MT</t>
        </is>
      </c>
      <c r="N925" s="15" t="n"/>
      <c r="O925" s="14" t="n"/>
      <c r="P925" s="14" t="n"/>
      <c r="Q925" s="14" t="n"/>
      <c r="R925" s="14" t="n"/>
    </row>
    <row r="926">
      <c r="A926" s="14" t="inlineStr">
        <is>
          <t>FM3724</t>
        </is>
      </c>
      <c r="B926" s="14" t="n"/>
      <c r="C926" s="13" t="n">
        <v>46000</v>
      </c>
      <c r="D926" s="12" t="inlineStr">
        <is>
          <t>Cash Sale</t>
        </is>
      </c>
      <c r="E926" s="14" t="inlineStr">
        <is>
          <t>LJ Trading &amp; Projects (Pty) Ltd</t>
        </is>
      </c>
      <c r="F926" s="14" t="inlineStr">
        <is>
          <t>Maxflo 500/150/10 A c/w 0.37KW 4P 380V</t>
        </is>
      </c>
      <c r="G926" s="20" t="n">
        <v>1</v>
      </c>
      <c r="H926" s="19" t="n">
        <v>7128.44</v>
      </c>
      <c r="I926" s="18">
        <f>G926*H926</f>
        <v/>
      </c>
      <c r="J926" s="11" t="inlineStr">
        <is>
          <t>N/A</t>
        </is>
      </c>
      <c r="K926" s="17" t="n">
        <v>0</v>
      </c>
      <c r="L926" s="16">
        <f>K926+C926</f>
        <v/>
      </c>
      <c r="M926" s="11" t="inlineStr">
        <is>
          <t>SM</t>
        </is>
      </c>
      <c r="N926" s="15" t="n"/>
      <c r="O926" s="14" t="n"/>
      <c r="P926" s="14" t="n"/>
      <c r="Q926" s="14" t="n"/>
      <c r="R926" s="14" t="n"/>
    </row>
    <row r="927">
      <c r="A927" s="14" t="inlineStr">
        <is>
          <t>FM3725</t>
        </is>
      </c>
      <c r="B927" s="14" t="n"/>
      <c r="C927" s="13" t="n">
        <v>46000</v>
      </c>
      <c r="D927" s="12" t="inlineStr">
        <is>
          <t>Cash Sale</t>
        </is>
      </c>
      <c r="E927" s="14" t="inlineStr">
        <is>
          <t>HVAC Maintanance</t>
        </is>
      </c>
      <c r="F927" s="14" t="inlineStr">
        <is>
          <t>Maxflo 800 c/w 3kw 4p 380v</t>
        </is>
      </c>
      <c r="G927" s="20" t="n">
        <v>1</v>
      </c>
      <c r="H927" s="19" t="n">
        <v>12725.77</v>
      </c>
      <c r="I927" s="18">
        <f>G927*H927</f>
        <v/>
      </c>
      <c r="J927" s="11" t="inlineStr">
        <is>
          <t>N/A</t>
        </is>
      </c>
      <c r="K927" s="17" t="n">
        <v>0</v>
      </c>
      <c r="L927" s="16">
        <f>K927+C927</f>
        <v/>
      </c>
      <c r="M927" s="11" t="inlineStr">
        <is>
          <t>SM</t>
        </is>
      </c>
      <c r="N927" s="15" t="n"/>
      <c r="O927" s="14" t="n"/>
      <c r="P927" s="14" t="n"/>
      <c r="Q927" s="14" t="n"/>
      <c r="R927" s="14" t="n"/>
    </row>
    <row r="928">
      <c r="A928" s="14" t="inlineStr">
        <is>
          <t>FM3726</t>
        </is>
      </c>
      <c r="B928" s="14" t="n"/>
      <c r="C928" s="13" t="n">
        <v>46001</v>
      </c>
      <c r="D928" s="12" t="inlineStr">
        <is>
          <t>cash Sale</t>
        </is>
      </c>
      <c r="E928" s="14" t="inlineStr">
        <is>
          <t>M and F Airconditioning Services</t>
        </is>
      </c>
      <c r="F928" s="14" t="inlineStr">
        <is>
          <t>RAD 250 + 4-Off Avms</t>
        </is>
      </c>
      <c r="G928" s="20" t="n">
        <v>1</v>
      </c>
      <c r="H928" s="19" t="n">
        <v>2962</v>
      </c>
      <c r="I928" s="18">
        <f>G928*H928</f>
        <v/>
      </c>
      <c r="J928" s="11" t="inlineStr">
        <is>
          <t>N/A</t>
        </is>
      </c>
      <c r="K928" s="17" t="n">
        <v>0</v>
      </c>
      <c r="L928" s="16">
        <f>K928+C928</f>
        <v/>
      </c>
      <c r="M928" s="11" t="inlineStr">
        <is>
          <t>MT</t>
        </is>
      </c>
      <c r="N928" s="15" t="n"/>
      <c r="O928" s="14" t="n"/>
      <c r="P928" s="14" t="n"/>
      <c r="Q928" s="14" t="n"/>
      <c r="R928" s="14" t="n"/>
    </row>
    <row r="929">
      <c r="A929" s="14" t="inlineStr">
        <is>
          <t>FM3727</t>
        </is>
      </c>
      <c r="B929" s="14" t="n"/>
      <c r="C929" s="13" t="n">
        <v>46001</v>
      </c>
      <c r="D929" s="12" t="inlineStr">
        <is>
          <t>cash sale</t>
        </is>
      </c>
      <c r="E929" s="14" t="inlineStr">
        <is>
          <t>Zefs More Vision</t>
        </is>
      </c>
      <c r="F929" s="14" t="inlineStr">
        <is>
          <t>RAD 315</t>
        </is>
      </c>
      <c r="G929" s="20" t="n">
        <v>3</v>
      </c>
      <c r="H929" s="19" t="n">
        <v>3052</v>
      </c>
      <c r="I929" s="18">
        <f>G929*H929</f>
        <v/>
      </c>
      <c r="J929" s="11" t="inlineStr">
        <is>
          <t>N/A</t>
        </is>
      </c>
      <c r="K929" s="17" t="n">
        <v>0</v>
      </c>
      <c r="L929" s="16">
        <f>K929+C929</f>
        <v/>
      </c>
      <c r="M929" s="11" t="inlineStr">
        <is>
          <t>MT</t>
        </is>
      </c>
      <c r="N929" s="15" t="n"/>
      <c r="O929" s="14" t="n"/>
      <c r="P929" s="14" t="n"/>
      <c r="Q929" s="14" t="n"/>
      <c r="R929" s="14" t="n"/>
    </row>
    <row r="930">
      <c r="A930" s="14" t="inlineStr">
        <is>
          <t>FM3728</t>
        </is>
      </c>
      <c r="B930" s="14" t="n"/>
      <c r="C930" s="13" t="n">
        <v>46001</v>
      </c>
      <c r="D930" s="12" t="inlineStr">
        <is>
          <t>Cash Sale</t>
        </is>
      </c>
      <c r="E930" s="14" t="inlineStr">
        <is>
          <t>PBS Slitting and Sheeting</t>
        </is>
      </c>
      <c r="F930" s="14" t="inlineStr">
        <is>
          <t xml:space="preserve"> Light duty Impeller</t>
        </is>
      </c>
      <c r="G930" s="20" t="n">
        <v>1</v>
      </c>
      <c r="H930" s="19" t="n">
        <v>1490</v>
      </c>
      <c r="I930" s="18">
        <f>G930*H930</f>
        <v/>
      </c>
      <c r="J930" s="11" t="inlineStr">
        <is>
          <t>N/A</t>
        </is>
      </c>
      <c r="K930" s="17" t="n">
        <v>0</v>
      </c>
      <c r="L930" s="16">
        <f>K930+C930</f>
        <v/>
      </c>
      <c r="M930" s="11" t="inlineStr">
        <is>
          <t>SM</t>
        </is>
      </c>
      <c r="N930" s="15" t="n"/>
      <c r="O930" s="14" t="n"/>
      <c r="P930" s="14" t="n"/>
      <c r="Q930" s="14" t="n"/>
      <c r="R930" s="14" t="n"/>
    </row>
    <row r="931">
      <c r="A931" s="14" t="inlineStr">
        <is>
          <t>FM3729</t>
        </is>
      </c>
      <c r="B931" s="14" t="n"/>
      <c r="C931" s="13" t="n">
        <v>46002</v>
      </c>
      <c r="D931" s="12" t="inlineStr">
        <is>
          <t>Cash Sale</t>
        </is>
      </c>
      <c r="E931" s="14" t="inlineStr">
        <is>
          <t>Karaeo pty Ltd</t>
        </is>
      </c>
      <c r="F931" s="14" t="inlineStr">
        <is>
          <t>Maxflo 315/165/9 A c/w 0.37Kw 2P 380V</t>
        </is>
      </c>
      <c r="G931" s="20" t="n">
        <v>1</v>
      </c>
      <c r="H931" s="19" t="n">
        <v>6196.12</v>
      </c>
      <c r="I931" s="18">
        <f>G931*H931</f>
        <v/>
      </c>
      <c r="J931" s="11" t="inlineStr">
        <is>
          <t>N/A</t>
        </is>
      </c>
      <c r="K931" s="17" t="n">
        <v>0</v>
      </c>
      <c r="L931" s="16">
        <f>K931+C931</f>
        <v/>
      </c>
      <c r="M931" s="11" t="inlineStr">
        <is>
          <t>SM</t>
        </is>
      </c>
      <c r="N931" s="15" t="n"/>
      <c r="O931" s="14" t="n"/>
      <c r="P931" s="14" t="n"/>
      <c r="Q931" s="14" t="n"/>
      <c r="R931" s="14" t="n"/>
    </row>
    <row r="932">
      <c r="A932" s="14" t="inlineStr">
        <is>
          <t>FM3730</t>
        </is>
      </c>
      <c r="B932" s="14" t="n"/>
      <c r="C932" s="13" t="n">
        <v>46002</v>
      </c>
      <c r="D932" s="12" t="inlineStr">
        <is>
          <t>Cash Sale</t>
        </is>
      </c>
      <c r="E932" s="14" t="inlineStr">
        <is>
          <t>Karaeo pty Ltd</t>
        </is>
      </c>
      <c r="F932" s="14" t="inlineStr">
        <is>
          <t>RAD 100</t>
        </is>
      </c>
      <c r="G932" s="20" t="n">
        <v>2</v>
      </c>
      <c r="H932" s="19" t="n">
        <v>1240</v>
      </c>
      <c r="I932" s="18">
        <f>G932*H932</f>
        <v/>
      </c>
      <c r="J932" s="11" t="inlineStr">
        <is>
          <t>N/A</t>
        </is>
      </c>
      <c r="K932" s="17" t="n">
        <v>0</v>
      </c>
      <c r="L932" s="16">
        <f>K932+C932</f>
        <v/>
      </c>
      <c r="M932" s="11" t="inlineStr">
        <is>
          <t>SM</t>
        </is>
      </c>
      <c r="N932" s="15" t="n"/>
      <c r="O932" s="14" t="n"/>
      <c r="P932" s="14" t="n"/>
      <c r="Q932" s="14" t="n"/>
      <c r="R932" s="14" t="n"/>
    </row>
    <row r="933">
      <c r="A933" s="14" t="inlineStr">
        <is>
          <t>FM3731</t>
        </is>
      </c>
      <c r="B933" s="14" t="n"/>
      <c r="C933" s="13" t="n">
        <v>46002</v>
      </c>
      <c r="D933" s="12" t="inlineStr">
        <is>
          <t>PO-000006559</t>
        </is>
      </c>
      <c r="E933" s="14" t="inlineStr">
        <is>
          <t>Cape Fans (Pty) Ltd</t>
        </is>
      </c>
      <c r="F933" s="14" t="inlineStr">
        <is>
          <t>Casals BD 12/9 T6 1.1KW Centrifugal Fan</t>
        </is>
      </c>
      <c r="G933" s="20" t="n">
        <v>1</v>
      </c>
      <c r="H933" s="19" t="n">
        <v>9812</v>
      </c>
      <c r="I933" s="18">
        <f>G933*H933</f>
        <v/>
      </c>
      <c r="J933" s="11" t="inlineStr">
        <is>
          <t>N/A</t>
        </is>
      </c>
      <c r="K933" s="17" t="n">
        <v>0</v>
      </c>
      <c r="L933" s="16">
        <f>K933+C933</f>
        <v/>
      </c>
      <c r="M933" s="11" t="inlineStr">
        <is>
          <t>ST</t>
        </is>
      </c>
      <c r="N933" s="15" t="n"/>
      <c r="O933" s="14" t="n"/>
      <c r="P933" s="14" t="n"/>
      <c r="Q933" s="14" t="n"/>
      <c r="R933" s="14" t="n"/>
    </row>
    <row r="934">
      <c r="A934" s="14" t="inlineStr">
        <is>
          <t>FM3732</t>
        </is>
      </c>
      <c r="B934" s="14" t="n"/>
      <c r="C934" s="13" t="n">
        <v>46002</v>
      </c>
      <c r="D934" s="12" t="inlineStr">
        <is>
          <t>Cash Sale</t>
        </is>
      </c>
      <c r="E934" s="14" t="inlineStr">
        <is>
          <t>LJ Trading &amp; Projects (Pty) Ltd</t>
        </is>
      </c>
      <c r="F934" s="14" t="inlineStr">
        <is>
          <t>800 Fan refurbishment</t>
        </is>
      </c>
      <c r="G934" s="20" t="n">
        <v>1</v>
      </c>
      <c r="H934" s="19" t="n">
        <v>10235</v>
      </c>
      <c r="I934" s="18">
        <f>G934*H934</f>
        <v/>
      </c>
      <c r="J934" s="11" t="inlineStr">
        <is>
          <t>N/A</t>
        </is>
      </c>
      <c r="K934" s="17" t="n">
        <v>0</v>
      </c>
      <c r="L934" s="16">
        <f>K934+C934</f>
        <v/>
      </c>
      <c r="M934" s="11" t="inlineStr">
        <is>
          <t>SM</t>
        </is>
      </c>
      <c r="N934" s="15" t="n"/>
      <c r="O934" s="14" t="n"/>
      <c r="P934" s="14" t="n"/>
      <c r="Q934" s="14" t="n"/>
      <c r="R934" s="14" t="n"/>
    </row>
    <row r="935">
      <c r="A935" s="14" t="inlineStr">
        <is>
          <t>FM3733</t>
        </is>
      </c>
      <c r="B935" s="14" t="n"/>
      <c r="C935" s="13" t="n">
        <v>46003</v>
      </c>
      <c r="D935" s="12" t="inlineStr">
        <is>
          <t>Cash Sale</t>
        </is>
      </c>
      <c r="E935" s="14" t="inlineStr">
        <is>
          <t>Godreigns Int Church</t>
        </is>
      </c>
      <c r="F935" s="14" t="inlineStr">
        <is>
          <t>Vario 300/12 AR</t>
        </is>
      </c>
      <c r="G935" s="20" t="n">
        <v>1</v>
      </c>
      <c r="H935" s="19" t="n">
        <v>5057</v>
      </c>
      <c r="I935" s="18">
        <f>G935*H935</f>
        <v/>
      </c>
      <c r="J935" s="11" t="inlineStr">
        <is>
          <t>N/A</t>
        </is>
      </c>
      <c r="K935" s="17" t="n">
        <v>0</v>
      </c>
      <c r="L935" s="16">
        <f>K935+C935</f>
        <v/>
      </c>
      <c r="M935" s="11" t="inlineStr">
        <is>
          <t>SM</t>
        </is>
      </c>
      <c r="N935" s="15" t="n"/>
      <c r="O935" s="14" t="n"/>
      <c r="P935" s="14" t="n"/>
      <c r="Q935" s="14" t="n"/>
      <c r="R935" s="14" t="n"/>
    </row>
    <row r="936">
      <c r="A936" s="14" t="inlineStr">
        <is>
          <t>FM3734</t>
        </is>
      </c>
      <c r="B936" s="14" t="n"/>
      <c r="C936" s="13" t="n">
        <v>46003</v>
      </c>
      <c r="D936" s="12" t="inlineStr">
        <is>
          <t>PO:0000206</t>
        </is>
      </c>
      <c r="E936" s="14" t="inlineStr">
        <is>
          <t>Compu Cool</t>
        </is>
      </c>
      <c r="F936" s="14" t="inlineStr">
        <is>
          <t>RAD355 &amp;Accessory</t>
        </is>
      </c>
      <c r="G936" s="20" t="n">
        <v>1</v>
      </c>
      <c r="H936" s="19" t="n">
        <v>5139</v>
      </c>
      <c r="I936" s="18">
        <f>G936*H936</f>
        <v/>
      </c>
      <c r="J936" s="11" t="inlineStr">
        <is>
          <t>N/A</t>
        </is>
      </c>
      <c r="K936" s="17" t="n">
        <v>0</v>
      </c>
      <c r="L936" s="16">
        <f>K936+C936</f>
        <v/>
      </c>
      <c r="M936" s="11" t="inlineStr">
        <is>
          <t>MT</t>
        </is>
      </c>
      <c r="N936" s="15" t="n"/>
      <c r="O936" s="14" t="n"/>
      <c r="P936" s="14" t="n"/>
      <c r="Q936" s="14" t="n"/>
      <c r="R936" s="14" t="n"/>
    </row>
    <row r="937">
      <c r="A937" s="14" t="inlineStr">
        <is>
          <t>FM3735</t>
        </is>
      </c>
      <c r="B937" s="14" t="n"/>
      <c r="C937" s="13" t="n">
        <v>46003</v>
      </c>
      <c r="D937" s="12" t="inlineStr">
        <is>
          <t>PO0000209</t>
        </is>
      </c>
      <c r="E937" s="14" t="inlineStr">
        <is>
          <t>Compu Cool</t>
        </is>
      </c>
      <c r="F937" s="14" t="inlineStr">
        <is>
          <t>Lineo 200 Quiet</t>
        </is>
      </c>
      <c r="G937" s="20" t="n">
        <v>1</v>
      </c>
      <c r="H937" s="19" t="n">
        <v>4406</v>
      </c>
      <c r="I937" s="18">
        <f>G937*H937</f>
        <v/>
      </c>
      <c r="J937" s="11" t="inlineStr">
        <is>
          <t>N/A</t>
        </is>
      </c>
      <c r="K937" s="17" t="n"/>
      <c r="L937" s="16">
        <f>K937+C937</f>
        <v/>
      </c>
      <c r="M937" s="11" t="inlineStr">
        <is>
          <t>MT</t>
        </is>
      </c>
      <c r="N937" s="15" t="n"/>
      <c r="O937" s="14" t="n"/>
      <c r="P937" s="14" t="n"/>
      <c r="Q937" s="14" t="n"/>
      <c r="R937" s="14" t="n"/>
    </row>
    <row r="938">
      <c r="A938" s="14" t="inlineStr">
        <is>
          <t>FM3736</t>
        </is>
      </c>
      <c r="B938" s="14" t="n"/>
      <c r="C938" s="13" t="n">
        <v>46003</v>
      </c>
      <c r="D938" s="12" t="n">
        <v>501556</v>
      </c>
      <c r="E938" s="14" t="inlineStr">
        <is>
          <t>Fans Maintenance &amp; More</t>
        </is>
      </c>
      <c r="F938" s="14" t="inlineStr">
        <is>
          <t>KDAXIS-300</t>
        </is>
      </c>
      <c r="G938" s="20" t="n">
        <v>2</v>
      </c>
      <c r="H938" s="19" t="n">
        <v>1690</v>
      </c>
      <c r="I938" s="18">
        <f>G938*H938</f>
        <v/>
      </c>
      <c r="J938" s="11" t="inlineStr">
        <is>
          <t>N/A</t>
        </is>
      </c>
      <c r="K938" s="17" t="n">
        <v>0</v>
      </c>
      <c r="L938" s="16">
        <f>K938+C938</f>
        <v/>
      </c>
      <c r="M938" s="11" t="inlineStr">
        <is>
          <t>ZX</t>
        </is>
      </c>
      <c r="N938" s="15" t="n"/>
      <c r="O938" s="14" t="n"/>
      <c r="P938" s="14" t="n"/>
      <c r="Q938" s="14" t="n"/>
      <c r="R938" s="14" t="n"/>
    </row>
    <row r="939">
      <c r="A939" s="14" t="inlineStr">
        <is>
          <t>FM3737</t>
        </is>
      </c>
      <c r="B939" s="14" t="n"/>
      <c r="C939" s="13" t="n">
        <v>46003</v>
      </c>
      <c r="D939" s="12" t="n">
        <v>75020</v>
      </c>
      <c r="E939" s="14" t="inlineStr">
        <is>
          <t>Macnabs</t>
        </is>
      </c>
      <c r="F939" s="14" t="inlineStr">
        <is>
          <t>Maxflo 315 c/w 0.37kW 2Pole</t>
        </is>
      </c>
      <c r="G939" s="20" t="n">
        <v>1</v>
      </c>
      <c r="H939" s="19" t="n">
        <v>5415</v>
      </c>
      <c r="I939" s="18">
        <f>G939*H939</f>
        <v/>
      </c>
      <c r="J939" s="11" t="n"/>
      <c r="K939" s="17" t="n"/>
      <c r="L939" s="16">
        <f>K939+C939</f>
        <v/>
      </c>
      <c r="M939" s="11" t="n"/>
      <c r="N939" s="15" t="n"/>
      <c r="O939" s="14" t="n"/>
      <c r="P939" s="14" t="n"/>
      <c r="Q939" s="14" t="n"/>
      <c r="R939" s="14" t="n"/>
    </row>
    <row r="940">
      <c r="A940" s="14" t="inlineStr">
        <is>
          <t>FM3738</t>
        </is>
      </c>
      <c r="B940" s="14" t="n"/>
      <c r="C940" s="13" t="n">
        <v>46003</v>
      </c>
      <c r="D940" s="12" t="n">
        <v>75020</v>
      </c>
      <c r="E940" s="14" t="inlineStr">
        <is>
          <t>Macnabs</t>
        </is>
      </c>
      <c r="F940" s="14" t="inlineStr">
        <is>
          <t>Boxed Fans</t>
        </is>
      </c>
      <c r="G940" s="20" t="n">
        <v>1</v>
      </c>
      <c r="H940" s="19" t="n">
        <v>18740</v>
      </c>
      <c r="I940" s="18">
        <f>G940*H940</f>
        <v/>
      </c>
      <c r="J940" s="11" t="inlineStr">
        <is>
          <t>N/A</t>
        </is>
      </c>
      <c r="K940" s="17" t="n">
        <v>0</v>
      </c>
      <c r="L940" s="16">
        <f>K940+C940</f>
        <v/>
      </c>
      <c r="M940" s="11" t="inlineStr">
        <is>
          <t>ST</t>
        </is>
      </c>
      <c r="N940" s="15" t="n"/>
      <c r="O940" s="14" t="n"/>
      <c r="P940" s="14" t="n"/>
      <c r="Q940" s="14" t="n"/>
      <c r="R940" s="14" t="n"/>
    </row>
    <row r="941">
      <c r="A941" s="14" t="inlineStr">
        <is>
          <t>FM3739</t>
        </is>
      </c>
      <c r="B941" s="14" t="n"/>
      <c r="C941" s="13" t="n">
        <v>46006</v>
      </c>
      <c r="D941" s="12" t="inlineStr">
        <is>
          <t>Cash Sale</t>
        </is>
      </c>
      <c r="E941" s="14" t="inlineStr">
        <is>
          <t>Raptor Engineering</t>
        </is>
      </c>
      <c r="F941" s="14" t="inlineStr">
        <is>
          <t>V230/9 AR</t>
        </is>
      </c>
      <c r="G941" s="20" t="n">
        <v>5</v>
      </c>
      <c r="H941" s="19" t="n">
        <v>3708</v>
      </c>
      <c r="I941" s="18">
        <f>G941*H941</f>
        <v/>
      </c>
      <c r="J941" s="11" t="inlineStr">
        <is>
          <t>N/A</t>
        </is>
      </c>
      <c r="K941" s="17" t="n">
        <v>0</v>
      </c>
      <c r="L941" s="16">
        <f>K941+C941</f>
        <v/>
      </c>
      <c r="M941" s="11" t="inlineStr">
        <is>
          <t>MT</t>
        </is>
      </c>
      <c r="N941" s="15" t="n"/>
      <c r="O941" s="14" t="n"/>
      <c r="P941" s="14" t="n"/>
      <c r="Q941" s="14" t="n"/>
      <c r="R941" s="14" t="n"/>
    </row>
    <row r="1048552">
      <c r="C1048552" s="13" t="n">
        <v>45730</v>
      </c>
      <c r="D1048552" s="12" t="n">
        <v>61233</v>
      </c>
      <c r="M1048552" s="11" t="inlineStr">
        <is>
          <t>ST</t>
        </is>
      </c>
    </row>
  </sheetData>
  <mergeCells count="7">
    <mergeCell ref="O1:R2"/>
    <mergeCell ref="A1:D2"/>
    <mergeCell ref="G3:L3"/>
    <mergeCell ref="M3:N3"/>
    <mergeCell ref="A3:F3"/>
    <mergeCell ref="E1:N2"/>
    <mergeCell ref="O3:Q3"/>
  </mergeCells>
  <conditionalFormatting sqref="A5:B859 A893:B941 A942:R1048576">
    <cfRule type="expression" priority="17" dxfId="1">
      <formula>DAYS360(NOW(), #REF!) &lt;= 0</formula>
    </cfRule>
    <cfRule type="expression" priority="18" dxfId="0">
      <formula>DAYS360(NOW(), #REF!) &lt;= 30</formula>
    </cfRule>
  </conditionalFormatting>
  <conditionalFormatting sqref="C736">
    <cfRule type="expression" priority="5" dxfId="1">
      <formula>DAYS360(NOW(), #REF!) &lt;= 0</formula>
    </cfRule>
    <cfRule type="expression" priority="6" dxfId="0">
      <formula>DAYS360(NOW(), #REF!) &lt;= 30</formula>
    </cfRule>
  </conditionalFormatting>
  <conditionalFormatting sqref="C5:D5 C6:H6 C7:C29 C30:H33 C34:C46 C47:H47 C48:C69 C70:H78 C79:K80 C81 C82:H83 C84 C85:H101 C102 C103:H116 C117:D117 C118:H120 C121 C122:H126 C127:K139 C140:C141 C142:D142 C143:K144 C145 C146:K173 C174:G174 C194 C195:K196 C197:H201 C202 C203:H206 C207 C208:H209 C210:K210 C211:D212 C213:K292 C293:H298 C299:D299 C300:H370 C374:H374 C377:D383 C384 C385:H407 C409:H446 C447 C448:H492 C493 C715:H735 C737:H774 C775:K792 C793:H842 C846:H847 C848:K848 C849:H859 D7:H27 D35:H42 D43 D45:H46 D48:H51 D53:H61 D63:H69 D375:E375 D376 D666:K666 D845:H845 E28:H29 E34:H34 E44 E52:H52 E62:H62 E84:H84 E102:H102 E121:H121 E140:K141 E145:K145 E194 E202:H202 E207:H207 E371:H373 E376:E383 E384:H384 E447:H447 E493:H493 F43:H44 F81:K81 F117:H117 F142:K142 F299:H299 F375:H383 G5:R5 G194:K194 H212 I6:K78 I82:K126 I174:K174 I197:K209 I211:K212 I293:K398 I399:I407 I409:I648 I649:K665 I667:K774 I793:K847 J399:K648 L6:L648 M210 M213:R648">
    <cfRule type="expression" priority="19" dxfId="1">
      <formula>DAYS360(NOW(), #REF!) &lt;= 0</formula>
    </cfRule>
    <cfRule type="expression" priority="20" dxfId="0">
      <formula>DAYS360(NOW(), #REF!) &lt;= 30</formula>
    </cfRule>
  </conditionalFormatting>
  <conditionalFormatting sqref="C494:H574 C575:C580 C581:H640 C641 C642:H665 C666:C669 E575:H580 E641:H641">
    <cfRule type="expression" priority="9" dxfId="1">
      <formula>DAYS360(NOW(), #REF!) &lt;= 0</formula>
    </cfRule>
  </conditionalFormatting>
  <conditionalFormatting sqref="C494:H574 C575:C580 C581:H640 C641 C642:H665 C666:C686 D667:H686 E575:H580 E641:H641">
    <cfRule type="expression" priority="10" dxfId="0">
      <formula>DAYS360(NOW(), #REF!) &lt;= 30</formula>
    </cfRule>
  </conditionalFormatting>
  <conditionalFormatting sqref="C667:H713 C714 E714:H714">
    <cfRule type="expression" priority="7" dxfId="1">
      <formula>DAYS360(NOW(), #REF!) &lt;= 0</formula>
    </cfRule>
  </conditionalFormatting>
  <conditionalFormatting sqref="C687:H713 C714 E714:H714">
    <cfRule type="expression" priority="8" dxfId="0">
      <formula>DAYS360(NOW(), #REF!) &lt;= 30</formula>
    </cfRule>
  </conditionalFormatting>
  <conditionalFormatting sqref="E211:H211">
    <cfRule type="expression" priority="13" dxfId="1">
      <formula>DAYS360(NOW(), #REF!) &lt;= 0</formula>
    </cfRule>
    <cfRule type="expression" priority="14" dxfId="0">
      <formula>DAYS360(NOW(), #REF!) &lt;= 30</formula>
    </cfRule>
  </conditionalFormatting>
  <conditionalFormatting sqref="C843:C845 E843:H844">
    <cfRule type="expression" priority="3" dxfId="1">
      <formula>DAYS360(NOW(), #REF!) &lt;= 0</formula>
    </cfRule>
    <cfRule type="expression" priority="4" dxfId="0">
      <formula>DAYS360(NOW(), #REF!) &lt;= 30</formula>
    </cfRule>
  </conditionalFormatting>
  <conditionalFormatting sqref="G408:I408">
    <cfRule type="expression" priority="11" dxfId="1">
      <formula>DAYS360(NOW(), #REF!) &lt;= 0</formula>
    </cfRule>
    <cfRule type="expression" priority="12" dxfId="0">
      <formula>DAYS360(NOW(), #REF!) &lt;= 30</formula>
    </cfRule>
  </conditionalFormatting>
  <conditionalFormatting sqref="A860:H892 C893:H914 C915 C916:H916 C917:K919 C920:I941 E915:H915 I849:K893 I894:R901 I902:K916 J920:K924 J925:R941 L649:R893 L902:R924">
    <cfRule type="expression" priority="1" dxfId="1">
      <formula>DAYS360(NOW(), #REF!) &lt;= 0</formula>
    </cfRule>
    <cfRule type="expression" priority="2" dxfId="0">
      <formula>DAYS360(NOW(), #REF!) &lt;= 30</formula>
    </cfRule>
  </conditionalFormatting>
  <conditionalFormatting sqref="C175:K193 M6:R209">
    <cfRule type="expression" priority="15" dxfId="1">
      <formula>DAYS360(NOW(), #REF!) &lt;= 0</formula>
    </cfRule>
    <cfRule type="expression" priority="16" dxfId="0">
      <formula>DAYS360(NOW(), #REF!) &lt;= 30</formula>
    </cfRule>
  </conditionalFormatting>
  <pageMargins left="0.25" right="0.25" top="0.75" bottom="0.75" header="0.3" footer="0.3"/>
  <pageSetup orientation="landscape" paperSize="9" scale="56"/>
  <rowBreaks count="2" manualBreakCount="2">
    <brk id="884" min="0" max="17" man="1"/>
    <brk id="941" min="0" max="17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Tebello Lelosa</dc:creator>
  <dcterms:created xsi:type="dcterms:W3CDTF">2026-03-16T08:19:19Z</dcterms:created>
  <dcterms:modified xsi:type="dcterms:W3CDTF">2026-03-23T18:38:04Z</dcterms:modified>
  <cp:lastModifiedBy>Tebello Lelosa</cp:lastModifiedBy>
</cp:coreProperties>
</file>