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FM Planning &amp; Stock Control/Inventory Management/"/>
    </mc:Choice>
  </mc:AlternateContent>
  <xr:revisionPtr revIDLastSave="1560" documentId="8_{031B9D78-C52D-4374-A5BA-06BD83EAC4F9}" xr6:coauthVersionLast="47" xr6:coauthVersionMax="47" xr10:uidLastSave="{802D24B9-30E8-4ED4-A81B-B3862C04DA0F}"/>
  <bookViews>
    <workbookView xWindow="-108" yWindow="-108" windowWidth="23256" windowHeight="12456" firstSheet="13" activeTab="16" xr2:uid="{00000000-000D-0000-FFFF-FFFF00000000}"/>
  </bookViews>
  <sheets>
    <sheet name="Table 1" sheetId="1" r:id="rId1"/>
    <sheet name="Table 1 (2)" sheetId="2" r:id="rId2"/>
    <sheet name="Sheet1" sheetId="3" r:id="rId3"/>
    <sheet name="Sheet1 (2)" sheetId="4" r:id="rId4"/>
    <sheet name="Sheet3" sheetId="5" r:id="rId5"/>
    <sheet name="LASER GUY PRICE" sheetId="6" r:id="rId6"/>
    <sheet name="LASER GUY PRICE  - 1238" sheetId="7" r:id="rId7"/>
    <sheet name="FLANGE PROGRAMME - 10-11-25" sheetId="8" r:id="rId8"/>
    <sheet name="FLANGE PROGRAMME - 10-11-25MS" sheetId="9" r:id="rId9"/>
    <sheet name="FLANGE PROG 3&amp;4 - 26-11-25" sheetId="10" r:id="rId10"/>
    <sheet name="FLANGE PROG 3&amp;4 - 26-11-25 O" sheetId="11" r:id="rId11"/>
    <sheet name="FLANGE PROG 3&amp;4 - 13-01-26" sheetId="12" r:id="rId12"/>
    <sheet name="FLANGE PROG 3&amp;4 - 13-01-26 (2)" sheetId="14" r:id="rId13"/>
    <sheet name="FL PRG Bf,3&amp;4-23.01.26" sheetId="13" r:id="rId14"/>
    <sheet name="FL PRG 3 - 29.01.26" sheetId="16" r:id="rId15"/>
    <sheet name="PO3721" sheetId="15" r:id="rId16"/>
    <sheet name="4mm programme" sheetId="17" r:id="rId17"/>
  </sheets>
  <externalReferences>
    <externalReference r:id="rId18"/>
  </externalReferences>
  <definedNames>
    <definedName name="_xlnm.Print_Area" localSheetId="16">'4mm programme'!$A$1:$G$23</definedName>
    <definedName name="_xlnm.Print_Area" localSheetId="2">Sheet1!$P$38:$X$55</definedName>
    <definedName name="_xlnm.Print_Area" localSheetId="3">'Sheet1 (2)'!$P$38:$X$55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7" l="1"/>
  <c r="J12" i="17"/>
  <c r="I12" i="17"/>
  <c r="J4" i="17"/>
  <c r="J3" i="17"/>
  <c r="I3" i="17"/>
  <c r="E29" i="7"/>
  <c r="D18" i="17"/>
  <c r="E18" i="17" s="1"/>
  <c r="G18" i="17" s="1"/>
  <c r="D17" i="17"/>
  <c r="E17" i="17" s="1"/>
  <c r="G17" i="17" s="1"/>
  <c r="D15" i="17"/>
  <c r="E15" i="17" s="1"/>
  <c r="G15" i="17" s="1"/>
  <c r="D14" i="17"/>
  <c r="E14" i="17" s="1"/>
  <c r="G14" i="17" s="1"/>
  <c r="G12" i="17"/>
  <c r="E12" i="17"/>
  <c r="D7" i="17"/>
  <c r="E7" i="17" s="1"/>
  <c r="G7" i="17" s="1"/>
  <c r="D5" i="17"/>
  <c r="E5" i="17" s="1"/>
  <c r="G5" i="17" s="1"/>
  <c r="G3" i="17"/>
  <c r="E3" i="17"/>
  <c r="D15" i="15"/>
  <c r="D12" i="15"/>
  <c r="D6" i="15"/>
  <c r="D7" i="15"/>
  <c r="D8" i="15"/>
  <c r="D9" i="15"/>
  <c r="D20" i="15"/>
  <c r="D19" i="15"/>
  <c r="D18" i="15"/>
  <c r="D14" i="15"/>
  <c r="D13" i="15"/>
  <c r="D5" i="15"/>
  <c r="D4" i="15"/>
  <c r="G14" i="16"/>
  <c r="G15" i="16" s="1"/>
  <c r="E6" i="16"/>
  <c r="E7" i="16" s="1"/>
  <c r="H5" i="16"/>
  <c r="F5" i="16"/>
  <c r="C4" i="13"/>
  <c r="C5" i="13"/>
  <c r="C3" i="13"/>
  <c r="E33" i="13"/>
  <c r="E34" i="13" s="1"/>
  <c r="E36" i="13" s="1"/>
  <c r="G41" i="13"/>
  <c r="G42" i="13" s="1"/>
  <c r="H32" i="13"/>
  <c r="F32" i="13"/>
  <c r="F27" i="14"/>
  <c r="G27" i="14" s="1"/>
  <c r="D27" i="14"/>
  <c r="E27" i="14" s="1"/>
  <c r="D26" i="14"/>
  <c r="E26" i="14" s="1"/>
  <c r="G26" i="14" s="1"/>
  <c r="D24" i="14"/>
  <c r="E24" i="14" s="1"/>
  <c r="G24" i="14" s="1"/>
  <c r="D23" i="14"/>
  <c r="E23" i="14" s="1"/>
  <c r="G23" i="14" s="1"/>
  <c r="D22" i="14"/>
  <c r="E22" i="14" s="1"/>
  <c r="G22" i="14" s="1"/>
  <c r="D21" i="14"/>
  <c r="E21" i="14" s="1"/>
  <c r="G21" i="14" s="1"/>
  <c r="D19" i="14"/>
  <c r="E19" i="14" s="1"/>
  <c r="G18" i="14"/>
  <c r="G28" i="14" s="1"/>
  <c r="E18" i="14"/>
  <c r="D13" i="14"/>
  <c r="E13" i="14" s="1"/>
  <c r="F12" i="14"/>
  <c r="D12" i="14"/>
  <c r="E12" i="14" s="1"/>
  <c r="D11" i="14"/>
  <c r="E11" i="14" s="1"/>
  <c r="G11" i="14" s="1"/>
  <c r="D9" i="14"/>
  <c r="E9" i="14" s="1"/>
  <c r="G9" i="14" s="1"/>
  <c r="D8" i="14"/>
  <c r="E8" i="14" s="1"/>
  <c r="G8" i="14" s="1"/>
  <c r="D7" i="14"/>
  <c r="E7" i="14" s="1"/>
  <c r="G7" i="14" s="1"/>
  <c r="D5" i="14"/>
  <c r="E5" i="14" s="1"/>
  <c r="D4" i="14"/>
  <c r="E4" i="14" s="1"/>
  <c r="G3" i="14"/>
  <c r="E3" i="14"/>
  <c r="E26" i="17" l="1"/>
  <c r="E28" i="17" s="1"/>
  <c r="G19" i="17"/>
  <c r="G8" i="17"/>
  <c r="F7" i="16"/>
  <c r="E9" i="16"/>
  <c r="F6" i="16"/>
  <c r="F33" i="13"/>
  <c r="F34" i="13"/>
  <c r="E37" i="13"/>
  <c r="E38" i="13" s="1"/>
  <c r="F36" i="13"/>
  <c r="H36" i="13" s="1"/>
  <c r="G12" i="14"/>
  <c r="F13" i="14"/>
  <c r="G13" i="14" s="1"/>
  <c r="G14" i="14" s="1"/>
  <c r="G30" i="14" s="1"/>
  <c r="G32" i="14" s="1"/>
  <c r="F37" i="13" l="1"/>
  <c r="H37" i="13" s="1"/>
  <c r="G21" i="17"/>
  <c r="G23" i="17" s="1"/>
  <c r="E10" i="16"/>
  <c r="F9" i="16"/>
  <c r="H9" i="16" s="1"/>
  <c r="F38" i="13"/>
  <c r="H38" i="13" s="1"/>
  <c r="E40" i="13"/>
  <c r="G27" i="13"/>
  <c r="E27" i="13"/>
  <c r="F27" i="13" s="1"/>
  <c r="E26" i="13"/>
  <c r="F26" i="13" s="1"/>
  <c r="H26" i="13" s="1"/>
  <c r="E24" i="13"/>
  <c r="F24" i="13" s="1"/>
  <c r="H24" i="13" s="1"/>
  <c r="E23" i="13"/>
  <c r="F23" i="13" s="1"/>
  <c r="H23" i="13" s="1"/>
  <c r="E22" i="13"/>
  <c r="F22" i="13" s="1"/>
  <c r="H22" i="13" s="1"/>
  <c r="E21" i="13"/>
  <c r="F21" i="13" s="1"/>
  <c r="H21" i="13" s="1"/>
  <c r="E19" i="13"/>
  <c r="F19" i="13" s="1"/>
  <c r="H18" i="13"/>
  <c r="F18" i="13"/>
  <c r="E13" i="13"/>
  <c r="F13" i="13" s="1"/>
  <c r="G12" i="13"/>
  <c r="G13" i="13" s="1"/>
  <c r="E12" i="13"/>
  <c r="F12" i="13" s="1"/>
  <c r="E11" i="13"/>
  <c r="F11" i="13" s="1"/>
  <c r="H11" i="13" s="1"/>
  <c r="E9" i="13"/>
  <c r="F9" i="13" s="1"/>
  <c r="H9" i="13" s="1"/>
  <c r="E8" i="13"/>
  <c r="F8" i="13" s="1"/>
  <c r="H8" i="13" s="1"/>
  <c r="E7" i="13"/>
  <c r="F7" i="13" s="1"/>
  <c r="H7" i="13" s="1"/>
  <c r="E5" i="13"/>
  <c r="F5" i="13" s="1"/>
  <c r="E4" i="13"/>
  <c r="F4" i="13" s="1"/>
  <c r="H3" i="13"/>
  <c r="F3" i="13"/>
  <c r="E11" i="16" l="1"/>
  <c r="F10" i="16"/>
  <c r="H10" i="16" s="1"/>
  <c r="E41" i="13"/>
  <c r="F40" i="13"/>
  <c r="H40" i="13" s="1"/>
  <c r="H27" i="13"/>
  <c r="H28" i="13" s="1"/>
  <c r="H13" i="13"/>
  <c r="H12" i="13"/>
  <c r="F11" i="16" l="1"/>
  <c r="H11" i="16" s="1"/>
  <c r="E13" i="16"/>
  <c r="E42" i="13"/>
  <c r="F42" i="13" s="1"/>
  <c r="H42" i="13" s="1"/>
  <c r="F41" i="13"/>
  <c r="H41" i="13" s="1"/>
  <c r="H14" i="13"/>
  <c r="F27" i="12"/>
  <c r="D27" i="12"/>
  <c r="E27" i="12" s="1"/>
  <c r="G27" i="12" s="1"/>
  <c r="D26" i="12"/>
  <c r="E26" i="12" s="1"/>
  <c r="G26" i="12" s="1"/>
  <c r="D24" i="12"/>
  <c r="E24" i="12" s="1"/>
  <c r="G24" i="12" s="1"/>
  <c r="D23" i="12"/>
  <c r="E23" i="12" s="1"/>
  <c r="G23" i="12" s="1"/>
  <c r="D22" i="12"/>
  <c r="E22" i="12" s="1"/>
  <c r="G22" i="12" s="1"/>
  <c r="D21" i="12"/>
  <c r="E21" i="12" s="1"/>
  <c r="G21" i="12" s="1"/>
  <c r="D19" i="12"/>
  <c r="E19" i="12" s="1"/>
  <c r="G18" i="12"/>
  <c r="E18" i="12"/>
  <c r="F13" i="12"/>
  <c r="D13" i="12"/>
  <c r="E13" i="12" s="1"/>
  <c r="F12" i="12"/>
  <c r="D12" i="12"/>
  <c r="E12" i="12" s="1"/>
  <c r="G12" i="12" s="1"/>
  <c r="D11" i="12"/>
  <c r="E11" i="12" s="1"/>
  <c r="G11" i="12" s="1"/>
  <c r="D9" i="12"/>
  <c r="E9" i="12" s="1"/>
  <c r="G9" i="12" s="1"/>
  <c r="D8" i="12"/>
  <c r="E8" i="12" s="1"/>
  <c r="G8" i="12" s="1"/>
  <c r="D7" i="12"/>
  <c r="E7" i="12" s="1"/>
  <c r="G7" i="12" s="1"/>
  <c r="D5" i="12"/>
  <c r="E5" i="12" s="1"/>
  <c r="D4" i="12"/>
  <c r="E4" i="12" s="1"/>
  <c r="G3" i="12"/>
  <c r="E3" i="12"/>
  <c r="I3" i="10"/>
  <c r="D27" i="10"/>
  <c r="D26" i="10"/>
  <c r="D24" i="10"/>
  <c r="D23" i="10"/>
  <c r="D22" i="10"/>
  <c r="D21" i="10"/>
  <c r="D19" i="10"/>
  <c r="F27" i="11"/>
  <c r="D19" i="11"/>
  <c r="D21" i="11" s="1"/>
  <c r="G18" i="11"/>
  <c r="E18" i="11"/>
  <c r="F13" i="11"/>
  <c r="F12" i="11"/>
  <c r="D7" i="11"/>
  <c r="D8" i="11" s="1"/>
  <c r="D4" i="11"/>
  <c r="D5" i="11" s="1"/>
  <c r="G3" i="11"/>
  <c r="E3" i="11"/>
  <c r="F27" i="10"/>
  <c r="E26" i="10"/>
  <c r="G18" i="10"/>
  <c r="E18" i="10"/>
  <c r="F12" i="10"/>
  <c r="F13" i="10" s="1"/>
  <c r="G28" i="8"/>
  <c r="E14" i="16" l="1"/>
  <c r="F13" i="16"/>
  <c r="H13" i="16" s="1"/>
  <c r="H43" i="13"/>
  <c r="H45" i="13" s="1"/>
  <c r="H47" i="13" s="1"/>
  <c r="G13" i="12"/>
  <c r="G28" i="12"/>
  <c r="G14" i="12"/>
  <c r="G30" i="12" s="1"/>
  <c r="G32" i="12" s="1"/>
  <c r="D26" i="11"/>
  <c r="D27" i="11" s="1"/>
  <c r="E27" i="11" s="1"/>
  <c r="G27" i="11" s="1"/>
  <c r="D22" i="11"/>
  <c r="E22" i="11" s="1"/>
  <c r="G22" i="11" s="1"/>
  <c r="D23" i="11"/>
  <c r="E21" i="11"/>
  <c r="G21" i="11" s="1"/>
  <c r="D11" i="11"/>
  <c r="E5" i="11"/>
  <c r="D9" i="11"/>
  <c r="E9" i="11" s="1"/>
  <c r="G9" i="11" s="1"/>
  <c r="E8" i="11"/>
  <c r="G8" i="11" s="1"/>
  <c r="E7" i="11"/>
  <c r="G7" i="11" s="1"/>
  <c r="E4" i="11"/>
  <c r="E19" i="11"/>
  <c r="G26" i="10"/>
  <c r="E19" i="10"/>
  <c r="F19" i="9"/>
  <c r="D16" i="9"/>
  <c r="D18" i="9" s="1"/>
  <c r="G15" i="9"/>
  <c r="E15" i="9"/>
  <c r="F8" i="9"/>
  <c r="D4" i="9"/>
  <c r="D5" i="9" s="1"/>
  <c r="G3" i="9"/>
  <c r="E3" i="9"/>
  <c r="E15" i="16" l="1"/>
  <c r="F15" i="16" s="1"/>
  <c r="H15" i="16" s="1"/>
  <c r="F14" i="16"/>
  <c r="H14" i="16" s="1"/>
  <c r="E26" i="11"/>
  <c r="G26" i="11" s="1"/>
  <c r="D12" i="11"/>
  <c r="E11" i="11"/>
  <c r="G11" i="11" s="1"/>
  <c r="E23" i="11"/>
  <c r="G23" i="11" s="1"/>
  <c r="D24" i="11"/>
  <c r="E24" i="11" s="1"/>
  <c r="G24" i="11" s="1"/>
  <c r="F9" i="9"/>
  <c r="F20" i="9"/>
  <c r="E22" i="10"/>
  <c r="G22" i="10" s="1"/>
  <c r="E21" i="10"/>
  <c r="G21" i="10" s="1"/>
  <c r="E27" i="10"/>
  <c r="G27" i="10" s="1"/>
  <c r="E5" i="9"/>
  <c r="D7" i="9"/>
  <c r="F10" i="9"/>
  <c r="D19" i="9"/>
  <c r="E18" i="9"/>
  <c r="G18" i="9" s="1"/>
  <c r="E16" i="9"/>
  <c r="E4" i="9"/>
  <c r="F20" i="8"/>
  <c r="F21" i="8" s="1"/>
  <c r="D17" i="8"/>
  <c r="D19" i="8" s="1"/>
  <c r="G16" i="8"/>
  <c r="E16" i="8"/>
  <c r="F9" i="8"/>
  <c r="F10" i="8" s="1"/>
  <c r="F11" i="8" s="1"/>
  <c r="G4" i="8"/>
  <c r="D5" i="8"/>
  <c r="D6" i="8" s="1"/>
  <c r="D8" i="8" s="1"/>
  <c r="E4" i="8"/>
  <c r="I17" i="7"/>
  <c r="I18" i="7"/>
  <c r="I16" i="7"/>
  <c r="H18" i="7"/>
  <c r="H17" i="7"/>
  <c r="H16" i="7"/>
  <c r="L18" i="6"/>
  <c r="L17" i="6"/>
  <c r="L19" i="6"/>
  <c r="L16" i="6"/>
  <c r="K18" i="6"/>
  <c r="K17" i="6"/>
  <c r="K16" i="6"/>
  <c r="I14" i="6"/>
  <c r="I15" i="6"/>
  <c r="I16" i="6"/>
  <c r="I17" i="6"/>
  <c r="I18" i="6"/>
  <c r="I19" i="6"/>
  <c r="I20" i="6"/>
  <c r="I21" i="6"/>
  <c r="I13" i="6"/>
  <c r="G21" i="6"/>
  <c r="G20" i="6"/>
  <c r="G19" i="6"/>
  <c r="G18" i="6"/>
  <c r="G17" i="6"/>
  <c r="G16" i="6"/>
  <c r="G15" i="6"/>
  <c r="G14" i="6"/>
  <c r="G13" i="6"/>
  <c r="H16" i="16" l="1"/>
  <c r="H18" i="16" s="1"/>
  <c r="G28" i="11"/>
  <c r="E12" i="11"/>
  <c r="G12" i="11" s="1"/>
  <c r="D13" i="11"/>
  <c r="E13" i="11" s="1"/>
  <c r="G13" i="11" s="1"/>
  <c r="E23" i="10"/>
  <c r="G23" i="10" s="1"/>
  <c r="E24" i="10"/>
  <c r="G24" i="10" s="1"/>
  <c r="G28" i="10"/>
  <c r="D20" i="9"/>
  <c r="E20" i="9" s="1"/>
  <c r="G20" i="9" s="1"/>
  <c r="E19" i="9"/>
  <c r="D8" i="9"/>
  <c r="E7" i="9"/>
  <c r="G7" i="9" s="1"/>
  <c r="E17" i="8"/>
  <c r="E5" i="8"/>
  <c r="E6" i="8"/>
  <c r="K9" i="5"/>
  <c r="E33" i="7"/>
  <c r="E28" i="7"/>
  <c r="E27" i="7"/>
  <c r="F3" i="7"/>
  <c r="F4" i="7"/>
  <c r="F5" i="7"/>
  <c r="F6" i="7"/>
  <c r="F7" i="7"/>
  <c r="F8" i="7"/>
  <c r="F9" i="7"/>
  <c r="F10" i="7"/>
  <c r="F12" i="7"/>
  <c r="F13" i="7"/>
  <c r="F14" i="7"/>
  <c r="F15" i="7"/>
  <c r="F16" i="7"/>
  <c r="F17" i="7"/>
  <c r="F18" i="7"/>
  <c r="F19" i="7"/>
  <c r="F20" i="7"/>
  <c r="F21" i="7"/>
  <c r="F23" i="7"/>
  <c r="F24" i="7"/>
  <c r="F25" i="7"/>
  <c r="F26" i="7"/>
  <c r="F27" i="7"/>
  <c r="F28" i="7"/>
  <c r="F30" i="7"/>
  <c r="F31" i="7"/>
  <c r="F32" i="7"/>
  <c r="F2" i="7"/>
  <c r="E18" i="7"/>
  <c r="E17" i="7"/>
  <c r="E16" i="7"/>
  <c r="E7" i="7"/>
  <c r="E6" i="7"/>
  <c r="E5" i="7"/>
  <c r="H20" i="16" l="1"/>
  <c r="G14" i="11"/>
  <c r="G30" i="11" s="1"/>
  <c r="G32" i="11" s="1"/>
  <c r="G21" i="9"/>
  <c r="G19" i="9"/>
  <c r="D9" i="9"/>
  <c r="E8" i="9"/>
  <c r="G8" i="9" s="1"/>
  <c r="D20" i="8"/>
  <c r="E19" i="8"/>
  <c r="G19" i="8" s="1"/>
  <c r="F29" i="7"/>
  <c r="F33" i="7"/>
  <c r="I33" i="7" s="1"/>
  <c r="D10" i="9" l="1"/>
  <c r="E10" i="9" s="1"/>
  <c r="G10" i="9" s="1"/>
  <c r="E9" i="9"/>
  <c r="G9" i="9" s="1"/>
  <c r="D21" i="8"/>
  <c r="E20" i="8"/>
  <c r="G20" i="8" s="1"/>
  <c r="D9" i="8"/>
  <c r="E8" i="8"/>
  <c r="G8" i="8" s="1"/>
  <c r="M19" i="5"/>
  <c r="N16" i="5"/>
  <c r="K10" i="5"/>
  <c r="N13" i="5"/>
  <c r="O10" i="5"/>
  <c r="O11" i="5"/>
  <c r="O9" i="5"/>
  <c r="N11" i="5"/>
  <c r="N10" i="5"/>
  <c r="N9" i="5"/>
  <c r="D9" i="5"/>
  <c r="I11" i="5"/>
  <c r="I9" i="5"/>
  <c r="G11" i="9" l="1"/>
  <c r="G23" i="9" s="1"/>
  <c r="G25" i="9" s="1"/>
  <c r="E21" i="8"/>
  <c r="D10" i="8"/>
  <c r="E9" i="8"/>
  <c r="G9" i="8" s="1"/>
  <c r="F11" i="5"/>
  <c r="F10" i="5"/>
  <c r="F9" i="5"/>
  <c r="D11" i="5"/>
  <c r="D10" i="5"/>
  <c r="I10" i="5"/>
  <c r="L14" i="5"/>
  <c r="G14" i="5"/>
  <c r="J14" i="5" s="1"/>
  <c r="E14" i="5"/>
  <c r="C14" i="5"/>
  <c r="L13" i="5"/>
  <c r="G13" i="5"/>
  <c r="J13" i="5" s="1"/>
  <c r="E13" i="5"/>
  <c r="C13" i="5"/>
  <c r="L12" i="5"/>
  <c r="G12" i="5"/>
  <c r="J12" i="5" s="1"/>
  <c r="E12" i="5"/>
  <c r="C12" i="5"/>
  <c r="L11" i="5"/>
  <c r="G11" i="5"/>
  <c r="J11" i="5" s="1"/>
  <c r="E11" i="5"/>
  <c r="C11" i="5"/>
  <c r="L10" i="5"/>
  <c r="G10" i="5"/>
  <c r="J10" i="5" s="1"/>
  <c r="E10" i="5"/>
  <c r="C10" i="5"/>
  <c r="L9" i="5"/>
  <c r="G9" i="5"/>
  <c r="J9" i="5" s="1"/>
  <c r="E9" i="5"/>
  <c r="C9" i="5"/>
  <c r="L8" i="5"/>
  <c r="G8" i="5"/>
  <c r="J8" i="5" s="1"/>
  <c r="E8" i="5"/>
  <c r="C8" i="5"/>
  <c r="L7" i="5"/>
  <c r="G7" i="5"/>
  <c r="J7" i="5" s="1"/>
  <c r="E7" i="5"/>
  <c r="C7" i="5"/>
  <c r="L6" i="5"/>
  <c r="G6" i="5"/>
  <c r="J6" i="5" s="1"/>
  <c r="E6" i="5"/>
  <c r="C6" i="5"/>
  <c r="V53" i="4"/>
  <c r="F53" i="4"/>
  <c r="V52" i="4"/>
  <c r="Q51" i="4"/>
  <c r="G51" i="4"/>
  <c r="Q50" i="4"/>
  <c r="B48" i="4"/>
  <c r="B47" i="4"/>
  <c r="J46" i="4"/>
  <c r="N46" i="4" s="1"/>
  <c r="C46" i="4"/>
  <c r="B45" i="4"/>
  <c r="B44" i="4"/>
  <c r="C44" i="4" s="1"/>
  <c r="B43" i="4"/>
  <c r="C43" i="4" s="1"/>
  <c r="C50" i="4" s="1"/>
  <c r="C51" i="4" s="1"/>
  <c r="H51" i="4" s="1"/>
  <c r="X42" i="4"/>
  <c r="S42" i="4"/>
  <c r="B42" i="4"/>
  <c r="X41" i="4"/>
  <c r="S41" i="4"/>
  <c r="S43" i="4" s="1"/>
  <c r="S44" i="4" s="1"/>
  <c r="S46" i="4" s="1"/>
  <c r="F51" i="4" s="1"/>
  <c r="B41" i="4"/>
  <c r="X40" i="4"/>
  <c r="X43" i="4" s="1"/>
  <c r="X44" i="4" s="1"/>
  <c r="W40" i="4"/>
  <c r="V40" i="4"/>
  <c r="S40" i="4"/>
  <c r="R40" i="4"/>
  <c r="Q40" i="4"/>
  <c r="J40" i="4"/>
  <c r="B40" i="4"/>
  <c r="X36" i="4"/>
  <c r="Y36" i="4" s="1"/>
  <c r="J48" i="4" s="1"/>
  <c r="S36" i="4"/>
  <c r="L36" i="4"/>
  <c r="J36" i="4"/>
  <c r="G36" i="4"/>
  <c r="N36" i="4" s="1"/>
  <c r="E36" i="4"/>
  <c r="F36" i="4" s="1"/>
  <c r="M36" i="4" s="1"/>
  <c r="D36" i="4"/>
  <c r="C36" i="4"/>
  <c r="X35" i="4"/>
  <c r="Y35" i="4" s="1"/>
  <c r="J47" i="4" s="1"/>
  <c r="S35" i="4"/>
  <c r="J35" i="4"/>
  <c r="G35" i="4"/>
  <c r="N35" i="4" s="1"/>
  <c r="E35" i="4"/>
  <c r="F35" i="4" s="1"/>
  <c r="M35" i="4" s="1"/>
  <c r="D35" i="4"/>
  <c r="C35" i="4"/>
  <c r="Y34" i="4"/>
  <c r="X34" i="4"/>
  <c r="S34" i="4"/>
  <c r="G34" i="4"/>
  <c r="N34" i="4" s="1"/>
  <c r="K46" i="4" s="1"/>
  <c r="M46" i="4" s="1"/>
  <c r="E34" i="4"/>
  <c r="F34" i="4" s="1"/>
  <c r="M34" i="4" s="1"/>
  <c r="D34" i="4"/>
  <c r="C34" i="4"/>
  <c r="X33" i="4"/>
  <c r="Y33" i="4" s="1"/>
  <c r="J45" i="4" s="1"/>
  <c r="Q33" i="4"/>
  <c r="S33" i="4" s="1"/>
  <c r="G33" i="4"/>
  <c r="E33" i="4"/>
  <c r="F33" i="4" s="1"/>
  <c r="D33" i="4"/>
  <c r="C33" i="4"/>
  <c r="X32" i="4"/>
  <c r="S32" i="4"/>
  <c r="G32" i="4"/>
  <c r="N32" i="4" s="1"/>
  <c r="E32" i="4"/>
  <c r="F32" i="4" s="1"/>
  <c r="D32" i="4"/>
  <c r="C32" i="4"/>
  <c r="J32" i="4" s="1"/>
  <c r="X31" i="4"/>
  <c r="Y31" i="4" s="1"/>
  <c r="J43" i="4" s="1"/>
  <c r="N43" i="4" s="1"/>
  <c r="Q31" i="4"/>
  <c r="S31" i="4" s="1"/>
  <c r="N31" i="4" s="1"/>
  <c r="K43" i="4" s="1"/>
  <c r="G31" i="4"/>
  <c r="E31" i="4"/>
  <c r="F31" i="4" s="1"/>
  <c r="M31" i="4" s="1"/>
  <c r="D31" i="4"/>
  <c r="C31" i="4"/>
  <c r="X30" i="4"/>
  <c r="Y30" i="4" s="1"/>
  <c r="J42" i="4" s="1"/>
  <c r="S30" i="4"/>
  <c r="J30" i="4"/>
  <c r="G30" i="4"/>
  <c r="N30" i="4" s="1"/>
  <c r="E30" i="4"/>
  <c r="F30" i="4" s="1"/>
  <c r="M30" i="4" s="1"/>
  <c r="D30" i="4"/>
  <c r="C30" i="4"/>
  <c r="X29" i="4"/>
  <c r="Y29" i="4" s="1"/>
  <c r="J41" i="4" s="1"/>
  <c r="S29" i="4"/>
  <c r="G29" i="4"/>
  <c r="N29" i="4" s="1"/>
  <c r="E29" i="4"/>
  <c r="L29" i="4" s="1"/>
  <c r="D29" i="4"/>
  <c r="C29" i="4"/>
  <c r="Y28" i="4"/>
  <c r="X28" i="4"/>
  <c r="S28" i="4"/>
  <c r="G28" i="4"/>
  <c r="N28" i="4" s="1"/>
  <c r="E28" i="4"/>
  <c r="F28" i="4" s="1"/>
  <c r="M28" i="4" s="1"/>
  <c r="D28" i="4"/>
  <c r="C28" i="4"/>
  <c r="X24" i="4"/>
  <c r="N24" i="4"/>
  <c r="D24" i="4"/>
  <c r="X23" i="4"/>
  <c r="N23" i="4"/>
  <c r="D23" i="4"/>
  <c r="X22" i="4"/>
  <c r="O22" i="4"/>
  <c r="N22" i="4"/>
  <c r="D22" i="4"/>
  <c r="X21" i="4"/>
  <c r="O21" i="4"/>
  <c r="N21" i="4"/>
  <c r="D21" i="4"/>
  <c r="X20" i="4"/>
  <c r="O20" i="4"/>
  <c r="N20" i="4"/>
  <c r="D20" i="4"/>
  <c r="X19" i="4"/>
  <c r="O19" i="4"/>
  <c r="N19" i="4"/>
  <c r="D19" i="4"/>
  <c r="X18" i="4"/>
  <c r="N18" i="4"/>
  <c r="D18" i="4"/>
  <c r="X17" i="4"/>
  <c r="O17" i="4"/>
  <c r="N17" i="4"/>
  <c r="D17" i="4"/>
  <c r="X16" i="4"/>
  <c r="O16" i="4"/>
  <c r="N16" i="4"/>
  <c r="D16" i="4"/>
  <c r="X12" i="4"/>
  <c r="Y12" i="4" s="1"/>
  <c r="P12" i="4"/>
  <c r="L12" i="4"/>
  <c r="N12" i="4" s="1"/>
  <c r="F12" i="4"/>
  <c r="D12" i="4"/>
  <c r="E12" i="4" s="1"/>
  <c r="X11" i="4"/>
  <c r="Y11" i="4" s="1"/>
  <c r="P11" i="4"/>
  <c r="L11" i="4"/>
  <c r="N11" i="4" s="1"/>
  <c r="F11" i="4"/>
  <c r="D11" i="4"/>
  <c r="E11" i="4" s="1"/>
  <c r="X10" i="4"/>
  <c r="Y10" i="4" s="1"/>
  <c r="P10" i="4"/>
  <c r="L10" i="4"/>
  <c r="N10" i="4" s="1"/>
  <c r="F10" i="4"/>
  <c r="D10" i="4"/>
  <c r="J34" i="4" s="1"/>
  <c r="X9" i="4"/>
  <c r="L33" i="4" s="1"/>
  <c r="V9" i="4"/>
  <c r="P9" i="4"/>
  <c r="L9" i="4"/>
  <c r="N9" i="4" s="1"/>
  <c r="F9" i="4"/>
  <c r="B9" i="4"/>
  <c r="D9" i="4" s="1"/>
  <c r="V8" i="4"/>
  <c r="X8" i="4" s="1"/>
  <c r="P8" i="4"/>
  <c r="L8" i="4"/>
  <c r="N8" i="4" s="1"/>
  <c r="F8" i="4"/>
  <c r="E8" i="4"/>
  <c r="D8" i="4"/>
  <c r="X7" i="4"/>
  <c r="Y7" i="4" s="1"/>
  <c r="M7" i="4"/>
  <c r="P7" i="4" s="1"/>
  <c r="L7" i="4"/>
  <c r="N7" i="4" s="1"/>
  <c r="F7" i="4"/>
  <c r="B7" i="4"/>
  <c r="D7" i="4" s="1"/>
  <c r="X6" i="4"/>
  <c r="L30" i="4" s="1"/>
  <c r="P6" i="4"/>
  <c r="L6" i="4"/>
  <c r="N6" i="4" s="1"/>
  <c r="F6" i="4"/>
  <c r="D6" i="4"/>
  <c r="E6" i="4" s="1"/>
  <c r="X5" i="4"/>
  <c r="Y5" i="4" s="1"/>
  <c r="P5" i="4"/>
  <c r="P13" i="4" s="1"/>
  <c r="Q13" i="4" s="1"/>
  <c r="L5" i="4"/>
  <c r="N5" i="4" s="1"/>
  <c r="F5" i="4"/>
  <c r="D5" i="4"/>
  <c r="J29" i="4" s="1"/>
  <c r="X4" i="4"/>
  <c r="Y4" i="4" s="1"/>
  <c r="P4" i="4"/>
  <c r="L4" i="4"/>
  <c r="N4" i="4" s="1"/>
  <c r="F4" i="4"/>
  <c r="F13" i="4" s="1"/>
  <c r="G13" i="4" s="1"/>
  <c r="D4" i="4"/>
  <c r="E4" i="4" s="1"/>
  <c r="O8" i="2"/>
  <c r="L5" i="2"/>
  <c r="F53" i="3"/>
  <c r="G21" i="8" l="1"/>
  <c r="G22" i="8" s="1"/>
  <c r="D11" i="8"/>
  <c r="E10" i="8"/>
  <c r="G10" i="8" s="1"/>
  <c r="N33" i="4"/>
  <c r="B49" i="4"/>
  <c r="I51" i="4"/>
  <c r="L31" i="4"/>
  <c r="K29" i="4"/>
  <c r="O5" i="4"/>
  <c r="O8" i="4"/>
  <c r="K32" i="4"/>
  <c r="O11" i="4"/>
  <c r="K35" i="4"/>
  <c r="L32" i="4"/>
  <c r="Y8" i="4"/>
  <c r="J33" i="4"/>
  <c r="E9" i="4"/>
  <c r="O6" i="4"/>
  <c r="K30" i="4"/>
  <c r="K33" i="4"/>
  <c r="O9" i="4"/>
  <c r="J31" i="4"/>
  <c r="E7" i="4"/>
  <c r="K36" i="4"/>
  <c r="O12" i="4"/>
  <c r="K31" i="4"/>
  <c r="O7" i="4"/>
  <c r="M32" i="4"/>
  <c r="K28" i="4"/>
  <c r="O4" i="4"/>
  <c r="K34" i="4"/>
  <c r="O10" i="4"/>
  <c r="F29" i="4"/>
  <c r="M29" i="4" s="1"/>
  <c r="L35" i="4"/>
  <c r="L28" i="4"/>
  <c r="L34" i="4"/>
  <c r="M33" i="4"/>
  <c r="E5" i="4"/>
  <c r="Y6" i="4"/>
  <c r="Y9" i="4"/>
  <c r="E10" i="4"/>
  <c r="Y32" i="4"/>
  <c r="J44" i="4" s="1"/>
  <c r="N44" i="4" s="1"/>
  <c r="J28" i="4"/>
  <c r="V53" i="3"/>
  <c r="V52" i="3"/>
  <c r="Q51" i="3"/>
  <c r="Q50" i="3"/>
  <c r="E11" i="8" l="1"/>
  <c r="K44" i="4"/>
  <c r="M44" i="4" s="1"/>
  <c r="L7" i="3"/>
  <c r="L9" i="3"/>
  <c r="M7" i="3"/>
  <c r="B7" i="3"/>
  <c r="B9" i="3"/>
  <c r="V9" i="3"/>
  <c r="V8" i="3"/>
  <c r="Q33" i="3"/>
  <c r="Q31" i="3"/>
  <c r="G51" i="3"/>
  <c r="G11" i="8" l="1"/>
  <c r="G12" i="8" s="1"/>
  <c r="G24" i="8" s="1"/>
  <c r="G26" i="8" s="1"/>
  <c r="B41" i="3"/>
  <c r="B42" i="3"/>
  <c r="B43" i="3"/>
  <c r="B44" i="3"/>
  <c r="C44" i="3" s="1"/>
  <c r="B45" i="3"/>
  <c r="C46" i="3"/>
  <c r="B47" i="3"/>
  <c r="B48" i="3"/>
  <c r="B40" i="3"/>
  <c r="C43" i="3" l="1"/>
  <c r="C50" i="3" s="1"/>
  <c r="C51" i="3" s="1"/>
  <c r="H51" i="3" s="1"/>
  <c r="B49" i="3"/>
  <c r="W40" i="3" l="1"/>
  <c r="V40" i="3"/>
  <c r="X40" i="3"/>
  <c r="X42" i="3"/>
  <c r="X41" i="3"/>
  <c r="S40" i="3"/>
  <c r="R40" i="3"/>
  <c r="S42" i="3" s="1"/>
  <c r="Q40" i="3"/>
  <c r="S41" i="3" s="1"/>
  <c r="J44" i="3"/>
  <c r="N44" i="3" s="1"/>
  <c r="J45" i="3"/>
  <c r="J46" i="3"/>
  <c r="N46" i="3" s="1"/>
  <c r="J47" i="3"/>
  <c r="X36" i="3"/>
  <c r="Y36" i="3" s="1"/>
  <c r="J48" i="3" s="1"/>
  <c r="S36" i="3"/>
  <c r="X35" i="3"/>
  <c r="Y35" i="3" s="1"/>
  <c r="S35" i="3"/>
  <c r="X34" i="3"/>
  <c r="Y34" i="3" s="1"/>
  <c r="S34" i="3"/>
  <c r="X33" i="3"/>
  <c r="Y33" i="3" s="1"/>
  <c r="S33" i="3"/>
  <c r="X32" i="3"/>
  <c r="Y32" i="3" s="1"/>
  <c r="S32" i="3"/>
  <c r="X31" i="3"/>
  <c r="Y31" i="3" s="1"/>
  <c r="J43" i="3" s="1"/>
  <c r="N43" i="3" s="1"/>
  <c r="S31" i="3"/>
  <c r="X30" i="3"/>
  <c r="Y30" i="3" s="1"/>
  <c r="J42" i="3" s="1"/>
  <c r="S30" i="3"/>
  <c r="X29" i="3"/>
  <c r="Y29" i="3" s="1"/>
  <c r="J41" i="3" s="1"/>
  <c r="S29" i="3"/>
  <c r="X28" i="3"/>
  <c r="Y28" i="3" s="1"/>
  <c r="J40" i="3" s="1"/>
  <c r="S28" i="3"/>
  <c r="G29" i="3"/>
  <c r="G30" i="3"/>
  <c r="G31" i="3"/>
  <c r="G32" i="3"/>
  <c r="G33" i="3"/>
  <c r="G34" i="3"/>
  <c r="G35" i="3"/>
  <c r="G36" i="3"/>
  <c r="G28" i="3"/>
  <c r="D29" i="3"/>
  <c r="D30" i="3"/>
  <c r="D31" i="3"/>
  <c r="D32" i="3"/>
  <c r="D33" i="3"/>
  <c r="D34" i="3"/>
  <c r="D35" i="3"/>
  <c r="D36" i="3"/>
  <c r="D28" i="3"/>
  <c r="C29" i="3"/>
  <c r="E29" i="3"/>
  <c r="F29" i="3" s="1"/>
  <c r="C30" i="3"/>
  <c r="E30" i="3"/>
  <c r="F30" i="3"/>
  <c r="C31" i="3"/>
  <c r="E31" i="3"/>
  <c r="F31" i="3" s="1"/>
  <c r="C32" i="3"/>
  <c r="E32" i="3"/>
  <c r="F32" i="3" s="1"/>
  <c r="C33" i="3"/>
  <c r="E33" i="3"/>
  <c r="F33" i="3" s="1"/>
  <c r="C34" i="3"/>
  <c r="E34" i="3"/>
  <c r="F34" i="3" s="1"/>
  <c r="C35" i="3"/>
  <c r="E35" i="3"/>
  <c r="F35" i="3"/>
  <c r="C36" i="3"/>
  <c r="E36" i="3"/>
  <c r="F36" i="3"/>
  <c r="E28" i="3"/>
  <c r="F28" i="3" s="1"/>
  <c r="C28" i="3"/>
  <c r="N33" i="3" l="1"/>
  <c r="S43" i="3"/>
  <c r="S44" i="3" s="1"/>
  <c r="N32" i="3"/>
  <c r="K44" i="3" s="1"/>
  <c r="M44" i="3" s="1"/>
  <c r="X43" i="3"/>
  <c r="X44" i="3" s="1"/>
  <c r="N31" i="3"/>
  <c r="K43" i="3" s="1"/>
  <c r="N30" i="3"/>
  <c r="N29" i="3"/>
  <c r="N28" i="3"/>
  <c r="N36" i="3"/>
  <c r="N35" i="3"/>
  <c r="N34" i="3"/>
  <c r="K46" i="3" s="1"/>
  <c r="M46" i="3" s="1"/>
  <c r="M29" i="3"/>
  <c r="M36" i="3"/>
  <c r="M35" i="3"/>
  <c r="M34" i="3"/>
  <c r="M33" i="3"/>
  <c r="M32" i="3"/>
  <c r="M31" i="3"/>
  <c r="M30" i="3"/>
  <c r="M28" i="3"/>
  <c r="P5" i="3"/>
  <c r="P6" i="3"/>
  <c r="P7" i="3"/>
  <c r="P8" i="3"/>
  <c r="P9" i="3"/>
  <c r="P10" i="3"/>
  <c r="P11" i="3"/>
  <c r="P12" i="3"/>
  <c r="P4" i="3"/>
  <c r="F10" i="3"/>
  <c r="F11" i="3"/>
  <c r="F12" i="3"/>
  <c r="F4" i="3"/>
  <c r="F5" i="3"/>
  <c r="F6" i="3"/>
  <c r="O22" i="3"/>
  <c r="O21" i="3"/>
  <c r="O20" i="3"/>
  <c r="O19" i="3"/>
  <c r="O17" i="3"/>
  <c r="O16" i="3"/>
  <c r="D9" i="3"/>
  <c r="D7" i="3"/>
  <c r="D8" i="3"/>
  <c r="X20" i="3"/>
  <c r="X19" i="3"/>
  <c r="X18" i="3"/>
  <c r="X17" i="3"/>
  <c r="X16" i="3"/>
  <c r="X12" i="3"/>
  <c r="X11" i="3"/>
  <c r="X10" i="3"/>
  <c r="X9" i="3"/>
  <c r="X8" i="3"/>
  <c r="X7" i="3"/>
  <c r="X6" i="3"/>
  <c r="X5" i="3"/>
  <c r="X4" i="3"/>
  <c r="D5" i="3"/>
  <c r="D6" i="3"/>
  <c r="D10" i="3"/>
  <c r="D11" i="3"/>
  <c r="D12" i="3"/>
  <c r="D4" i="3"/>
  <c r="L12" i="3"/>
  <c r="N12" i="3" s="1"/>
  <c r="L11" i="3"/>
  <c r="N11" i="3" s="1"/>
  <c r="L10" i="3"/>
  <c r="N10" i="3" s="1"/>
  <c r="N9" i="3"/>
  <c r="L8" i="3"/>
  <c r="N8" i="3" s="1"/>
  <c r="N7" i="3"/>
  <c r="L6" i="3"/>
  <c r="N6" i="3" s="1"/>
  <c r="L5" i="3"/>
  <c r="L4" i="3"/>
  <c r="D24" i="3"/>
  <c r="D23" i="3"/>
  <c r="D22" i="3"/>
  <c r="D21" i="3"/>
  <c r="D20" i="3"/>
  <c r="D19" i="3"/>
  <c r="D18" i="3"/>
  <c r="D17" i="3"/>
  <c r="D16" i="3"/>
  <c r="N24" i="3"/>
  <c r="N23" i="3"/>
  <c r="N22" i="3"/>
  <c r="N21" i="3"/>
  <c r="N20" i="3"/>
  <c r="N19" i="3"/>
  <c r="N18" i="3"/>
  <c r="N17" i="3"/>
  <c r="N16" i="3"/>
  <c r="X24" i="3"/>
  <c r="X23" i="3"/>
  <c r="X22" i="3"/>
  <c r="X21" i="3"/>
  <c r="J17" i="2"/>
  <c r="J18" i="2" s="1"/>
  <c r="J19" i="2" s="1"/>
  <c r="C16" i="2"/>
  <c r="D16" i="2" s="1"/>
  <c r="D11" i="2"/>
  <c r="D10" i="2"/>
  <c r="D8" i="2"/>
  <c r="D6" i="2"/>
  <c r="J4" i="2"/>
  <c r="J5" i="2" s="1"/>
  <c r="C3" i="2"/>
  <c r="D3" i="2" s="1"/>
  <c r="J17" i="1"/>
  <c r="C17" i="1" s="1"/>
  <c r="D17" i="1" s="1"/>
  <c r="C16" i="1"/>
  <c r="D16" i="1" s="1"/>
  <c r="J4" i="1"/>
  <c r="C4" i="1" s="1"/>
  <c r="D4" i="1" s="1"/>
  <c r="C3" i="1"/>
  <c r="D3" i="1" s="1"/>
  <c r="C4" i="2" l="1"/>
  <c r="D4" i="2" s="1"/>
  <c r="S46" i="3"/>
  <c r="F51" i="3" s="1"/>
  <c r="I51" i="3" s="1"/>
  <c r="O8" i="3"/>
  <c r="K32" i="3"/>
  <c r="E7" i="3"/>
  <c r="J31" i="3"/>
  <c r="O11" i="3"/>
  <c r="K35" i="3"/>
  <c r="O7" i="3"/>
  <c r="K31" i="3"/>
  <c r="O12" i="3"/>
  <c r="K36" i="3"/>
  <c r="O9" i="3"/>
  <c r="K33" i="3"/>
  <c r="E9" i="3"/>
  <c r="J33" i="3"/>
  <c r="E4" i="3"/>
  <c r="J28" i="3"/>
  <c r="E11" i="3"/>
  <c r="J35" i="3"/>
  <c r="E6" i="3"/>
  <c r="J30" i="3"/>
  <c r="E5" i="3"/>
  <c r="J29" i="3"/>
  <c r="O10" i="3"/>
  <c r="K34" i="3"/>
  <c r="O6" i="3"/>
  <c r="K30" i="3"/>
  <c r="E12" i="3"/>
  <c r="J36" i="3"/>
  <c r="E10" i="3"/>
  <c r="J34" i="3"/>
  <c r="E8" i="3"/>
  <c r="J32" i="3"/>
  <c r="Y12" i="3"/>
  <c r="L36" i="3"/>
  <c r="Y11" i="3"/>
  <c r="L35" i="3"/>
  <c r="L34" i="3"/>
  <c r="Y10" i="3"/>
  <c r="L33" i="3"/>
  <c r="Y9" i="3"/>
  <c r="L32" i="3"/>
  <c r="Y8" i="3"/>
  <c r="L31" i="3"/>
  <c r="Y7" i="3"/>
  <c r="L30" i="3"/>
  <c r="Y6" i="3"/>
  <c r="Y5" i="3"/>
  <c r="L29" i="3"/>
  <c r="L28" i="3"/>
  <c r="Y4" i="3"/>
  <c r="P13" i="3"/>
  <c r="Q13" i="3" s="1"/>
  <c r="N4" i="3"/>
  <c r="F7" i="3"/>
  <c r="F9" i="3"/>
  <c r="F8" i="3"/>
  <c r="N5" i="3"/>
  <c r="J18" i="1"/>
  <c r="J19" i="1" s="1"/>
  <c r="C17" i="2"/>
  <c r="D17" i="2" s="1"/>
  <c r="F3" i="2"/>
  <c r="C5" i="2"/>
  <c r="J6" i="2"/>
  <c r="J7" i="2" s="1"/>
  <c r="J20" i="2"/>
  <c r="J21" i="2" s="1"/>
  <c r="C19" i="2"/>
  <c r="D19" i="2" s="1"/>
  <c r="J5" i="1"/>
  <c r="C5" i="1" s="1"/>
  <c r="D5" i="1" s="1"/>
  <c r="F4" i="2" l="1"/>
  <c r="O4" i="3"/>
  <c r="K28" i="3"/>
  <c r="O5" i="3"/>
  <c r="K29" i="3"/>
  <c r="F13" i="3"/>
  <c r="G13" i="3" s="1"/>
  <c r="J6" i="1"/>
  <c r="J7" i="1" s="1"/>
  <c r="C7" i="1" s="1"/>
  <c r="D7" i="1" s="1"/>
  <c r="C19" i="1"/>
  <c r="D19" i="1" s="1"/>
  <c r="J20" i="1"/>
  <c r="J21" i="1" s="1"/>
  <c r="D5" i="2"/>
  <c r="F5" i="2"/>
  <c r="J22" i="2"/>
  <c r="J23" i="2" s="1"/>
  <c r="J24" i="2" s="1"/>
  <c r="C21" i="2"/>
  <c r="D21" i="2" s="1"/>
  <c r="D25" i="2" s="1"/>
  <c r="J8" i="2"/>
  <c r="J9" i="2" s="1"/>
  <c r="C7" i="2"/>
  <c r="D7" i="2" s="1"/>
  <c r="D6" i="1"/>
  <c r="J8" i="1" l="1"/>
  <c r="J9" i="1" s="1"/>
  <c r="C9" i="1" s="1"/>
  <c r="D9" i="1" s="1"/>
  <c r="C21" i="1"/>
  <c r="D21" i="1" s="1"/>
  <c r="D25" i="1" s="1"/>
  <c r="J22" i="1"/>
  <c r="J23" i="1" s="1"/>
  <c r="J24" i="1" s="1"/>
  <c r="J10" i="2"/>
  <c r="J11" i="2" s="1"/>
  <c r="C9" i="2"/>
  <c r="D9" i="2" s="1"/>
  <c r="D12" i="2" s="1"/>
  <c r="D27" i="2" s="1"/>
  <c r="D8" i="1"/>
  <c r="F14" i="2" l="1"/>
  <c r="J10" i="1"/>
  <c r="J11" i="1" l="1"/>
  <c r="D11" i="1" s="1"/>
  <c r="D10" i="1"/>
  <c r="D12" i="1" l="1"/>
  <c r="D27" i="1" s="1"/>
  <c r="D13" i="10" l="1"/>
  <c r="E13" i="10" s="1"/>
  <c r="G13" i="10" s="1"/>
  <c r="D7" i="10"/>
  <c r="E7" i="10" s="1"/>
  <c r="G7" i="10" s="1"/>
  <c r="D5" i="10"/>
  <c r="E5" i="10" s="1"/>
  <c r="G3" i="10"/>
  <c r="D4" i="10"/>
  <c r="E4" i="10" s="1"/>
  <c r="D11" i="10"/>
  <c r="E11" i="10" s="1"/>
  <c r="G11" i="10" s="1"/>
  <c r="D8" i="10"/>
  <c r="E8" i="10" s="1"/>
  <c r="G8" i="10" s="1"/>
  <c r="D12" i="10"/>
  <c r="E12" i="10" s="1"/>
  <c r="G12" i="10" s="1"/>
  <c r="E3" i="10"/>
  <c r="D9" i="10"/>
  <c r="E9" i="10" s="1"/>
  <c r="G9" i="10" s="1"/>
  <c r="G14" i="10" l="1"/>
  <c r="G30" i="10" s="1"/>
  <c r="G32" i="10" s="1"/>
</calcChain>
</file>

<file path=xl/sharedStrings.xml><?xml version="1.0" encoding="utf-8"?>
<sst xmlns="http://schemas.openxmlformats.org/spreadsheetml/2006/main" count="758" uniqueCount="192">
  <si>
    <t>Orders</t>
  </si>
  <si>
    <t>Stock</t>
  </si>
  <si>
    <t>R80.00</t>
  </si>
  <si>
    <t>R85.00</t>
  </si>
  <si>
    <t>R100.00</t>
  </si>
  <si>
    <t>R108.00</t>
  </si>
  <si>
    <t>R114.00</t>
  </si>
  <si>
    <t>R128.00</t>
  </si>
  <si>
    <t>R165.50</t>
  </si>
  <si>
    <t>R218.00</t>
  </si>
  <si>
    <t>R242.00</t>
  </si>
  <si>
    <t>R133.50</t>
  </si>
  <si>
    <t>R160.00</t>
  </si>
  <si>
    <r>
      <rPr>
        <b/>
        <sz val="10"/>
        <color rgb="FFFF0000"/>
        <rFont val="Calibri"/>
        <family val="2"/>
      </rPr>
      <t>PROGRAME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01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-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Counter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Flanges</t>
    </r>
  </si>
  <si>
    <r>
      <rPr>
        <sz val="10"/>
        <rFont val="Calibri"/>
        <family val="2"/>
      </rPr>
      <t>Fan Size</t>
    </r>
  </si>
  <si>
    <r>
      <rPr>
        <sz val="10"/>
        <rFont val="Calibri"/>
        <family val="2"/>
      </rPr>
      <t>Unit Price</t>
    </r>
  </si>
  <si>
    <r>
      <rPr>
        <b/>
        <sz val="10"/>
        <color rgb="FFFF0000"/>
        <rFont val="Calibri"/>
        <family val="2"/>
      </rPr>
      <t>PROGRAME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02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-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Counter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Flanges</t>
    </r>
  </si>
  <si>
    <t>Number of sheets</t>
  </si>
  <si>
    <t>QTY per sheet</t>
  </si>
  <si>
    <t>Size</t>
  </si>
  <si>
    <t>Feet Stock</t>
  </si>
  <si>
    <t>Feet Required</t>
  </si>
  <si>
    <t>PRE GALVINISED</t>
  </si>
  <si>
    <t>Feet to be ordered</t>
  </si>
  <si>
    <t>Brackets to be ordered</t>
  </si>
  <si>
    <t>Brackets Stock</t>
  </si>
  <si>
    <t>Brackets  Required</t>
  </si>
  <si>
    <t>Flanges Stock</t>
  </si>
  <si>
    <t>Flanges Required</t>
  </si>
  <si>
    <t>Flanges to be ordered</t>
  </si>
  <si>
    <t>Set</t>
  </si>
  <si>
    <t>Bends</t>
  </si>
  <si>
    <t>Value</t>
  </si>
  <si>
    <t>Qty</t>
  </si>
  <si>
    <t>Feet</t>
  </si>
  <si>
    <t>Brackets</t>
  </si>
  <si>
    <t xml:space="preserve">Flanges Un-Galvinised </t>
  </si>
  <si>
    <t>Flanges Galvinized</t>
  </si>
  <si>
    <t>FLANGES UN-GALVINIZED</t>
  </si>
  <si>
    <t>FEET</t>
  </si>
  <si>
    <t>BRACKETS</t>
  </si>
  <si>
    <t>FLANGES GALVINIZED</t>
  </si>
  <si>
    <t>BALANCE OF STOCK AFTER ORDER</t>
  </si>
  <si>
    <t>STOCK REQUIRED FOR SPECIFIC ORDER(S)</t>
  </si>
  <si>
    <t>Feet Available</t>
  </si>
  <si>
    <t>Brackets Available</t>
  </si>
  <si>
    <t>Flanges Available</t>
  </si>
  <si>
    <t>Casings</t>
  </si>
  <si>
    <t>Casing Stock</t>
  </si>
  <si>
    <t>Casings on order</t>
  </si>
  <si>
    <t>Brackets ordered</t>
  </si>
  <si>
    <t>Feet ordered</t>
  </si>
  <si>
    <t>Flanges ordered</t>
  </si>
  <si>
    <t>Casings Available</t>
  </si>
  <si>
    <t>CASINGS</t>
  </si>
  <si>
    <t>BALANCE</t>
  </si>
  <si>
    <t>CASINGS CALCULATOR</t>
  </si>
  <si>
    <t>Available Flanges for Casings</t>
  </si>
  <si>
    <t>Available Casings After Order</t>
  </si>
  <si>
    <t>Flanges to order</t>
  </si>
  <si>
    <t>Plate Qty</t>
  </si>
  <si>
    <t>Price</t>
  </si>
  <si>
    <t>Total Excl Vat</t>
  </si>
  <si>
    <t>Total Incl Vat</t>
  </si>
  <si>
    <t>PROGRAMME 01 - PRE GALV</t>
  </si>
  <si>
    <t>TOTAL SPENT</t>
  </si>
  <si>
    <t>SAM ORDER</t>
  </si>
  <si>
    <t>AL 250/14</t>
  </si>
  <si>
    <t>AL 150/10</t>
  </si>
  <si>
    <t>PP 250/14</t>
  </si>
  <si>
    <t>PP 150/10</t>
  </si>
  <si>
    <t>LUFT IMPELLERS</t>
  </si>
  <si>
    <t>Impeller Selling Price</t>
  </si>
  <si>
    <t xml:space="preserve">Total </t>
  </si>
  <si>
    <t>Laser</t>
  </si>
  <si>
    <t>Sam</t>
  </si>
  <si>
    <t>Luft</t>
  </si>
  <si>
    <t>Total</t>
  </si>
  <si>
    <t>CF</t>
  </si>
  <si>
    <t>PRE GALV - PARTS</t>
  </si>
  <si>
    <t>MILD STEEL - PARTS</t>
  </si>
  <si>
    <t>programe 02</t>
  </si>
  <si>
    <t>2 sheets</t>
  </si>
  <si>
    <t>program 2</t>
  </si>
  <si>
    <t>Pre Galv</t>
  </si>
  <si>
    <t>Mild Steel</t>
  </si>
  <si>
    <t xml:space="preserve">Mild steel 630 plate </t>
  </si>
  <si>
    <t xml:space="preserve">6x 630 flanges </t>
  </si>
  <si>
    <t xml:space="preserve">6x560mf </t>
  </si>
  <si>
    <t>5x630 mf</t>
  </si>
  <si>
    <t xml:space="preserve">5x710 mf </t>
  </si>
  <si>
    <t>Po4 x 8</t>
  </si>
  <si>
    <t>Po5x 8</t>
  </si>
  <si>
    <t>Po6 x7</t>
  </si>
  <si>
    <t>3x710 flange</t>
  </si>
  <si>
    <t xml:space="preserve">7x560 flanges </t>
  </si>
  <si>
    <t xml:space="preserve">7x 560 mf </t>
  </si>
  <si>
    <t>3x630mf</t>
  </si>
  <si>
    <t xml:space="preserve">3x710 mf </t>
  </si>
  <si>
    <t>4xpo4</t>
  </si>
  <si>
    <t>4xpo5</t>
  </si>
  <si>
    <t>4xpo6</t>
  </si>
  <si>
    <t>CASED AXIAL MOUNTING FEET</t>
  </si>
  <si>
    <t>315MF</t>
  </si>
  <si>
    <t>315 Diam Mounting Feet</t>
  </si>
  <si>
    <t>400MF</t>
  </si>
  <si>
    <t>400 Diam Mounting Feet</t>
  </si>
  <si>
    <t>500MF</t>
  </si>
  <si>
    <t>500 Diam Mounting Feet</t>
  </si>
  <si>
    <t>560MF</t>
  </si>
  <si>
    <t>560 Diam Mounting Feet</t>
  </si>
  <si>
    <t>630MF</t>
  </si>
  <si>
    <t>630 Diam Mounting Feet</t>
  </si>
  <si>
    <t>710MF</t>
  </si>
  <si>
    <t>710 Diam Mounting Feet</t>
  </si>
  <si>
    <t>800MF</t>
  </si>
  <si>
    <t>800 Diam Mounting Feet</t>
  </si>
  <si>
    <t>900MF</t>
  </si>
  <si>
    <t>900 Diam Mounting Feet</t>
  </si>
  <si>
    <t>1000MF</t>
  </si>
  <si>
    <t>1000 Diam Mounting Feet</t>
  </si>
  <si>
    <t>CASED AXIAL COUNTER FLANGES</t>
  </si>
  <si>
    <t>315CF</t>
  </si>
  <si>
    <t>315 Diam Counter Flange</t>
  </si>
  <si>
    <t>400CF</t>
  </si>
  <si>
    <t>400 Diam Counter Flange</t>
  </si>
  <si>
    <t>500CF</t>
  </si>
  <si>
    <t>500 Diam Counter Flange</t>
  </si>
  <si>
    <t>560CF</t>
  </si>
  <si>
    <t>560 Diam Counter Flange</t>
  </si>
  <si>
    <t>630CF</t>
  </si>
  <si>
    <t>630 Diam Counter Flange</t>
  </si>
  <si>
    <t>710CF</t>
  </si>
  <si>
    <t>710 Diam Counter Flange</t>
  </si>
  <si>
    <t>800CF</t>
  </si>
  <si>
    <t>800 Diam Counter Flange</t>
  </si>
  <si>
    <t>900CF</t>
  </si>
  <si>
    <t>900 Diam Counter Flange</t>
  </si>
  <si>
    <t>1000CF</t>
  </si>
  <si>
    <t>1000 Diam Counter Flange</t>
  </si>
  <si>
    <t>CASED AXIAL BRACKETS</t>
  </si>
  <si>
    <t>315 Diam Brackets</t>
  </si>
  <si>
    <t>400 Diam Brackets</t>
  </si>
  <si>
    <t>500 Diam Brackets</t>
  </si>
  <si>
    <t>560 Diam Brackets</t>
  </si>
  <si>
    <t>630 Diam Brackets</t>
  </si>
  <si>
    <t>710 Diam Brackets</t>
  </si>
  <si>
    <t>800 Diam Brackets</t>
  </si>
  <si>
    <t>900 Diam Brackets</t>
  </si>
  <si>
    <t>1000 Diam Brackets</t>
  </si>
  <si>
    <t>QTY</t>
  </si>
  <si>
    <t>Total Price</t>
  </si>
  <si>
    <t>Order Value</t>
  </si>
  <si>
    <t>Difference</t>
  </si>
  <si>
    <t>ATT</t>
  </si>
  <si>
    <t>Galv</t>
  </si>
  <si>
    <t>Incl Galv</t>
  </si>
  <si>
    <t>Balance</t>
  </si>
  <si>
    <t>Programme 1</t>
  </si>
  <si>
    <t>Part</t>
  </si>
  <si>
    <t>Sheet no</t>
  </si>
  <si>
    <t>Total Parts</t>
  </si>
  <si>
    <t>Flange</t>
  </si>
  <si>
    <t>Cost</t>
  </si>
  <si>
    <t>Programme 2</t>
  </si>
  <si>
    <t>TOTAL COST - EXCL VAT</t>
  </si>
  <si>
    <t>TOTAL COST - INCL VAT</t>
  </si>
  <si>
    <t>50% DEPOSIT</t>
  </si>
  <si>
    <t>Programme 3</t>
  </si>
  <si>
    <t>Programme 4</t>
  </si>
  <si>
    <t>Programme - Buffalo</t>
  </si>
  <si>
    <t>800 Flange</t>
  </si>
  <si>
    <t>630 Flange</t>
  </si>
  <si>
    <t>549 Flange</t>
  </si>
  <si>
    <t>800 Feet</t>
  </si>
  <si>
    <t>710 Feet</t>
  </si>
  <si>
    <t>630 Feet</t>
  </si>
  <si>
    <t>800 Brackets</t>
  </si>
  <si>
    <t>710 Brackets</t>
  </si>
  <si>
    <t>630 Brackets</t>
  </si>
  <si>
    <t>710 Flange</t>
  </si>
  <si>
    <t>560 Flange</t>
  </si>
  <si>
    <t>500 Feet</t>
  </si>
  <si>
    <t>500 Flange</t>
  </si>
  <si>
    <t>PO3732</t>
  </si>
  <si>
    <t>Ordered</t>
  </si>
  <si>
    <t>Received</t>
  </si>
  <si>
    <t>PO3721 - Program - 1 x Buffalo; 3 x Program 4; 4 x Program 3</t>
  </si>
  <si>
    <t>Programme 1000 - 4mm</t>
  </si>
  <si>
    <t>Progrmme 900 - 4mm</t>
  </si>
  <si>
    <t xml:space="preserve">Feet </t>
  </si>
  <si>
    <t>Attenutec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</si>
</sst>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&quot;#,##0.00"/>
    <numFmt numFmtId="165" formatCode="[$R-1C09]#,##0.00"/>
    <numFmt numFmtId="166" formatCode="[$R-434]#,##0.00"/>
    <numFmt numFmtId="167" formatCode="_-[$R-1C09]* #,##0.00_-;\-[$R-1C09]* #,##0.00_-;_-[$R-1C09]* &quot;-&quot;??_-;_-@_-"/>
  </numFmts>
  <fonts count="17" x14ac:knownFonts="1">
    <font>
      <sz val="10"/>
      <color rgb="FF000000"/>
      <name val="Times New Roman"/>
      <charset val="204"/>
    </font>
    <font>
      <sz val="11"/>
      <color rgb="FF000000"/>
      <name val="Calibri"/>
      <family val="2"/>
    </font>
    <font>
      <b/>
      <sz val="10"/>
      <color rgb="FFFF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Times New Roman"/>
      <family val="1"/>
    </font>
    <font>
      <b/>
      <sz val="10"/>
      <color theme="1"/>
      <name val="Arial"/>
      <family val="2"/>
    </font>
    <font>
      <sz val="10"/>
      <name val="Arial"/>
      <family val="2"/>
    </font>
    <font>
      <sz val="8"/>
      <name val="Times New Roman"/>
      <family val="1"/>
    </font>
    <font>
      <b/>
      <sz val="12"/>
      <color rgb="FFFF0000"/>
      <name val="Arial"/>
      <family val="2"/>
    </font>
    <font>
      <b/>
      <sz val="12"/>
      <color rgb="FF000000"/>
      <name val="HELVETICA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2">
    <xf numFmtId="0" fontId="0" fillId="0" borderId="0" xfId="0" applyAlignment="1">
      <alignment horizontal="left" vertical="top"/>
    </xf>
    <xf numFmtId="1" fontId="1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164" fontId="4" fillId="0" borderId="0" xfId="0" applyNumberFormat="1" applyFont="1" applyAlignment="1">
      <alignment horizontal="left" wrapText="1"/>
    </xf>
    <xf numFmtId="164" fontId="4" fillId="2" borderId="7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1" fontId="1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1" fontId="1" fillId="0" borderId="8" xfId="0" applyNumberFormat="1" applyFont="1" applyBorder="1" applyAlignment="1">
      <alignment horizontal="right" vertical="top" shrinkToFit="1"/>
    </xf>
    <xf numFmtId="0" fontId="0" fillId="0" borderId="9" xfId="0" applyBorder="1" applyAlignment="1">
      <alignment horizontal="center" vertical="top"/>
    </xf>
    <xf numFmtId="0" fontId="4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top" wrapText="1"/>
    </xf>
    <xf numFmtId="1" fontId="0" fillId="0" borderId="7" xfId="0" applyNumberForma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3" borderId="7" xfId="0" applyFont="1" applyFill="1" applyBorder="1" applyAlignment="1">
      <alignment horizontal="left" vertical="top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/>
    </xf>
    <xf numFmtId="164" fontId="6" fillId="0" borderId="7" xfId="0" applyNumberFormat="1" applyFont="1" applyBorder="1" applyAlignment="1">
      <alignment horizontal="left" vertical="top" wrapText="1"/>
    </xf>
    <xf numFmtId="164" fontId="6" fillId="0" borderId="7" xfId="0" applyNumberFormat="1" applyFont="1" applyBorder="1" applyAlignment="1">
      <alignment horizontal="left" vertical="top"/>
    </xf>
    <xf numFmtId="164" fontId="6" fillId="0" borderId="0" xfId="0" applyNumberFormat="1" applyFont="1" applyAlignment="1">
      <alignment horizontal="left" vertical="top" wrapText="1"/>
    </xf>
    <xf numFmtId="164" fontId="6" fillId="0" borderId="0" xfId="0" applyNumberFormat="1" applyFont="1" applyAlignment="1">
      <alignment horizontal="left" vertical="top"/>
    </xf>
    <xf numFmtId="0" fontId="0" fillId="0" borderId="7" xfId="0" applyBorder="1" applyAlignment="1">
      <alignment horizontal="left" vertical="top"/>
    </xf>
    <xf numFmtId="0" fontId="6" fillId="4" borderId="7" xfId="0" applyFont="1" applyFill="1" applyBorder="1" applyAlignment="1">
      <alignment horizontal="left" vertical="top"/>
    </xf>
    <xf numFmtId="0" fontId="8" fillId="3" borderId="10" xfId="0" applyFont="1" applyFill="1" applyBorder="1" applyAlignment="1">
      <alignment horizontal="center" vertical="top"/>
    </xf>
    <xf numFmtId="164" fontId="6" fillId="0" borderId="10" xfId="0" applyNumberFormat="1" applyFont="1" applyBorder="1" applyAlignment="1">
      <alignment horizontal="left" vertical="top" wrapText="1"/>
    </xf>
    <xf numFmtId="164" fontId="6" fillId="0" borderId="10" xfId="0" applyNumberFormat="1" applyFont="1" applyBorder="1" applyAlignment="1">
      <alignment horizontal="left" vertical="top"/>
    </xf>
    <xf numFmtId="0" fontId="8" fillId="3" borderId="11" xfId="0" applyFont="1" applyFill="1" applyBorder="1" applyAlignment="1">
      <alignment vertical="top"/>
    </xf>
    <xf numFmtId="0" fontId="8" fillId="3" borderId="12" xfId="0" applyFont="1" applyFill="1" applyBorder="1" applyAlignment="1">
      <alignment vertical="top"/>
    </xf>
    <xf numFmtId="0" fontId="8" fillId="3" borderId="10" xfId="0" applyFont="1" applyFill="1" applyBorder="1" applyAlignment="1">
      <alignment vertical="top"/>
    </xf>
    <xf numFmtId="0" fontId="6" fillId="3" borderId="0" xfId="0" applyFont="1" applyFill="1" applyAlignment="1">
      <alignment horizontal="left" vertical="top"/>
    </xf>
    <xf numFmtId="164" fontId="6" fillId="3" borderId="11" xfId="0" applyNumberFormat="1" applyFont="1" applyFill="1" applyBorder="1" applyAlignment="1">
      <alignment horizontal="center" vertical="top"/>
    </xf>
    <xf numFmtId="164" fontId="8" fillId="3" borderId="11" xfId="0" applyNumberFormat="1" applyFont="1" applyFill="1" applyBorder="1" applyAlignment="1">
      <alignment vertical="top"/>
    </xf>
    <xf numFmtId="164" fontId="8" fillId="3" borderId="12" xfId="0" applyNumberFormat="1" applyFont="1" applyFill="1" applyBorder="1" applyAlignment="1">
      <alignment vertical="top"/>
    </xf>
    <xf numFmtId="164" fontId="8" fillId="3" borderId="10" xfId="0" applyNumberFormat="1" applyFont="1" applyFill="1" applyBorder="1" applyAlignment="1">
      <alignment vertical="top"/>
    </xf>
    <xf numFmtId="0" fontId="9" fillId="3" borderId="7" xfId="0" applyFont="1" applyFill="1" applyBorder="1" applyAlignment="1">
      <alignment horizontal="left" vertical="top"/>
    </xf>
    <xf numFmtId="0" fontId="6" fillId="0" borderId="7" xfId="0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left" vertical="top"/>
    </xf>
    <xf numFmtId="165" fontId="0" fillId="0" borderId="7" xfId="0" applyNumberFormat="1" applyBorder="1" applyAlignment="1">
      <alignment horizontal="left" vertical="top"/>
    </xf>
    <xf numFmtId="164" fontId="6" fillId="0" borderId="7" xfId="0" applyNumberFormat="1" applyFont="1" applyBorder="1" applyAlignment="1">
      <alignment wrapText="1"/>
    </xf>
    <xf numFmtId="0" fontId="0" fillId="0" borderId="17" xfId="0" applyBorder="1" applyAlignment="1">
      <alignment horizontal="left" vertical="top"/>
    </xf>
    <xf numFmtId="165" fontId="0" fillId="0" borderId="22" xfId="0" applyNumberFormat="1" applyBorder="1" applyAlignment="1">
      <alignment horizontal="left" vertical="top"/>
    </xf>
    <xf numFmtId="165" fontId="6" fillId="0" borderId="7" xfId="0" applyNumberFormat="1" applyFont="1" applyBorder="1" applyAlignment="1">
      <alignment horizontal="center" vertical="top"/>
    </xf>
    <xf numFmtId="164" fontId="6" fillId="0" borderId="0" xfId="0" applyNumberFormat="1" applyFont="1" applyAlignment="1">
      <alignment wrapText="1"/>
    </xf>
    <xf numFmtId="165" fontId="6" fillId="0" borderId="0" xfId="0" applyNumberFormat="1" applyFont="1" applyAlignment="1">
      <alignment horizontal="left" vertical="top"/>
    </xf>
    <xf numFmtId="164" fontId="7" fillId="0" borderId="7" xfId="0" applyNumberFormat="1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right" vertical="top"/>
    </xf>
    <xf numFmtId="164" fontId="7" fillId="0" borderId="12" xfId="0" applyNumberFormat="1" applyFont="1" applyBorder="1" applyAlignment="1">
      <alignment wrapText="1"/>
    </xf>
    <xf numFmtId="165" fontId="0" fillId="0" borderId="12" xfId="0" applyNumberFormat="1" applyBorder="1" applyAlignment="1">
      <alignment horizontal="left" vertical="top"/>
    </xf>
    <xf numFmtId="164" fontId="7" fillId="0" borderId="16" xfId="0" applyNumberFormat="1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17" xfId="0" applyBorder="1" applyAlignment="1">
      <alignment wrapText="1"/>
    </xf>
    <xf numFmtId="0" fontId="6" fillId="0" borderId="22" xfId="0" applyFont="1" applyBorder="1" applyAlignment="1">
      <alignment horizontal="left" vertical="top"/>
    </xf>
    <xf numFmtId="0" fontId="0" fillId="0" borderId="17" xfId="0" applyBorder="1" applyAlignment="1">
      <alignment horizontal="right" vertical="top"/>
    </xf>
    <xf numFmtId="0" fontId="7" fillId="0" borderId="17" xfId="0" applyFont="1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0" xfId="0" applyAlignment="1">
      <alignment vertical="top"/>
    </xf>
    <xf numFmtId="0" fontId="7" fillId="0" borderId="22" xfId="0" applyFont="1" applyBorder="1" applyAlignment="1">
      <alignment vertical="top"/>
    </xf>
    <xf numFmtId="0" fontId="7" fillId="0" borderId="7" xfId="0" applyFont="1" applyBorder="1" applyAlignment="1">
      <alignment horizontal="left" wrapText="1"/>
    </xf>
    <xf numFmtId="164" fontId="0" fillId="0" borderId="0" xfId="0" applyNumberFormat="1" applyAlignment="1">
      <alignment horizontal="left" vertical="top"/>
    </xf>
    <xf numFmtId="0" fontId="6" fillId="0" borderId="7" xfId="0" applyFont="1" applyBorder="1" applyAlignment="1">
      <alignment horizontal="center" vertical="top"/>
    </xf>
    <xf numFmtId="1" fontId="11" fillId="5" borderId="7" xfId="0" applyNumberFormat="1" applyFont="1" applyFill="1" applyBorder="1" applyAlignment="1">
      <alignment vertical="top" shrinkToFit="1"/>
    </xf>
    <xf numFmtId="1" fontId="11" fillId="5" borderId="7" xfId="0" applyNumberFormat="1" applyFont="1" applyFill="1" applyBorder="1" applyAlignment="1">
      <alignment horizontal="center" vertical="top" shrinkToFit="1"/>
    </xf>
    <xf numFmtId="166" fontId="11" fillId="5" borderId="7" xfId="0" applyNumberFormat="1" applyFont="1" applyFill="1" applyBorder="1" applyAlignment="1">
      <alignment horizontal="left" vertical="top"/>
    </xf>
    <xf numFmtId="1" fontId="12" fillId="0" borderId="7" xfId="0" applyNumberFormat="1" applyFont="1" applyBorder="1" applyAlignment="1">
      <alignment horizontal="center" vertical="top" shrinkToFit="1"/>
    </xf>
    <xf numFmtId="0" fontId="12" fillId="0" borderId="7" xfId="0" applyFont="1" applyBorder="1" applyAlignment="1">
      <alignment horizontal="left" vertical="top"/>
    </xf>
    <xf numFmtId="166" fontId="12" fillId="0" borderId="7" xfId="0" applyNumberFormat="1" applyFont="1" applyBorder="1" applyAlignment="1">
      <alignment horizontal="left"/>
    </xf>
    <xf numFmtId="164" fontId="6" fillId="0" borderId="7" xfId="0" applyNumberFormat="1" applyFont="1" applyBorder="1" applyAlignment="1">
      <alignment vertical="top" shrinkToFit="1"/>
    </xf>
    <xf numFmtId="165" fontId="14" fillId="3" borderId="7" xfId="0" applyNumberFormat="1" applyFont="1" applyFill="1" applyBorder="1" applyAlignment="1">
      <alignment horizontal="left" vertical="top"/>
    </xf>
    <xf numFmtId="0" fontId="14" fillId="3" borderId="7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165" fontId="14" fillId="3" borderId="7" xfId="0" applyNumberFormat="1" applyFont="1" applyFill="1" applyBorder="1" applyAlignment="1">
      <alignment horizontal="center" vertical="top"/>
    </xf>
    <xf numFmtId="166" fontId="0" fillId="0" borderId="0" xfId="0" applyNumberFormat="1" applyAlignment="1">
      <alignment horizontal="left" vertical="top"/>
    </xf>
    <xf numFmtId="0" fontId="0" fillId="3" borderId="0" xfId="0" applyFill="1" applyAlignment="1">
      <alignment horizontal="left" vertical="top"/>
    </xf>
    <xf numFmtId="166" fontId="0" fillId="3" borderId="0" xfId="0" applyNumberFormat="1" applyFill="1" applyAlignment="1">
      <alignment horizontal="left" vertical="top"/>
    </xf>
    <xf numFmtId="0" fontId="7" fillId="0" borderId="0" xfId="0" applyFont="1" applyAlignment="1">
      <alignment horizontal="center" vertical="top"/>
    </xf>
    <xf numFmtId="167" fontId="6" fillId="0" borderId="7" xfId="0" applyNumberFormat="1" applyFont="1" applyBorder="1" applyAlignment="1">
      <alignment horizontal="center" vertical="top"/>
    </xf>
    <xf numFmtId="167" fontId="6" fillId="0" borderId="0" xfId="0" applyNumberFormat="1" applyFont="1" applyAlignment="1">
      <alignment horizontal="center" vertical="top"/>
    </xf>
    <xf numFmtId="0" fontId="0" fillId="0" borderId="0" xfId="0"/>
    <xf numFmtId="0" fontId="6" fillId="3" borderId="7" xfId="0" applyFont="1" applyFill="1" applyBorder="1" applyAlignment="1">
      <alignment horizontal="center" vertical="top"/>
    </xf>
    <xf numFmtId="0" fontId="8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4" fillId="0" borderId="2" xfId="0" applyFont="1" applyBorder="1" applyAlignment="1">
      <alignment horizontal="left" vertical="top" wrapText="1" indent="7"/>
    </xf>
    <xf numFmtId="0" fontId="4" fillId="0" borderId="3" xfId="0" applyFont="1" applyBorder="1" applyAlignment="1">
      <alignment horizontal="left" vertical="top" wrapText="1" indent="7"/>
    </xf>
    <xf numFmtId="0" fontId="4" fillId="0" borderId="4" xfId="0" applyFont="1" applyBorder="1" applyAlignment="1">
      <alignment horizontal="left" vertical="top" wrapText="1" indent="7"/>
    </xf>
    <xf numFmtId="0" fontId="4" fillId="0" borderId="6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8" fillId="3" borderId="7" xfId="0" applyFont="1" applyFill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8" fillId="3" borderId="11" xfId="0" applyFont="1" applyFill="1" applyBorder="1" applyAlignment="1">
      <alignment horizontal="center" vertical="top"/>
    </xf>
    <xf numFmtId="0" fontId="8" fillId="3" borderId="12" xfId="0" applyFont="1" applyFill="1" applyBorder="1" applyAlignment="1">
      <alignment horizontal="center" vertical="top"/>
    </xf>
    <xf numFmtId="0" fontId="8" fillId="3" borderId="10" xfId="0" applyFont="1" applyFill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6" fillId="0" borderId="22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11" xfId="0" applyFont="1" applyBorder="1" applyAlignment="1">
      <alignment horizontal="right" vertical="top"/>
    </xf>
    <xf numFmtId="0" fontId="6" fillId="0" borderId="12" xfId="0" applyFont="1" applyBorder="1" applyAlignment="1">
      <alignment horizontal="right" vertical="top"/>
    </xf>
    <xf numFmtId="0" fontId="6" fillId="0" borderId="10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164" fontId="8" fillId="3" borderId="11" xfId="0" applyNumberFormat="1" applyFont="1" applyFill="1" applyBorder="1" applyAlignment="1">
      <alignment horizontal="center" vertical="top"/>
    </xf>
    <xf numFmtId="164" fontId="8" fillId="3" borderId="12" xfId="0" applyNumberFormat="1" applyFont="1" applyFill="1" applyBorder="1" applyAlignment="1">
      <alignment horizontal="center" vertical="top"/>
    </xf>
    <xf numFmtId="164" fontId="8" fillId="3" borderId="10" xfId="0" applyNumberFormat="1" applyFont="1" applyFill="1" applyBorder="1" applyAlignment="1">
      <alignment horizontal="center" vertical="top"/>
    </xf>
    <xf numFmtId="0" fontId="10" fillId="3" borderId="11" xfId="0" applyFont="1" applyFill="1" applyBorder="1" applyAlignment="1">
      <alignment horizontal="center" vertical="top"/>
    </xf>
    <xf numFmtId="0" fontId="10" fillId="3" borderId="12" xfId="0" applyFont="1" applyFill="1" applyBorder="1" applyAlignment="1">
      <alignment horizontal="center" vertical="top"/>
    </xf>
    <xf numFmtId="0" fontId="10" fillId="3" borderId="10" xfId="0" applyFont="1" applyFill="1" applyBorder="1" applyAlignment="1">
      <alignment horizontal="center" vertical="top"/>
    </xf>
    <xf numFmtId="0" fontId="8" fillId="3" borderId="14" xfId="0" applyFont="1" applyFill="1" applyBorder="1" applyAlignment="1">
      <alignment horizontal="center" vertical="top"/>
    </xf>
    <xf numFmtId="0" fontId="8" fillId="3" borderId="22" xfId="0" applyFont="1" applyFill="1" applyBorder="1" applyAlignment="1">
      <alignment horizontal="center" vertical="top"/>
    </xf>
    <xf numFmtId="0" fontId="8" fillId="3" borderId="15" xfId="0" applyFont="1" applyFill="1" applyBorder="1" applyAlignment="1">
      <alignment horizontal="center" vertical="top"/>
    </xf>
    <xf numFmtId="0" fontId="8" fillId="3" borderId="16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 vertical="top"/>
    </xf>
    <xf numFmtId="0" fontId="8" fillId="3" borderId="17" xfId="0" applyFont="1" applyFill="1" applyBorder="1" applyAlignment="1">
      <alignment horizontal="center" vertical="top"/>
    </xf>
    <xf numFmtId="0" fontId="8" fillId="3" borderId="18" xfId="0" applyFont="1" applyFill="1" applyBorder="1" applyAlignment="1">
      <alignment horizontal="center" vertical="top"/>
    </xf>
    <xf numFmtId="0" fontId="8" fillId="3" borderId="13" xfId="0" applyFont="1" applyFill="1" applyBorder="1" applyAlignment="1">
      <alignment horizontal="center" vertical="top"/>
    </xf>
    <xf numFmtId="0" fontId="8" fillId="3" borderId="19" xfId="0" applyFont="1" applyFill="1" applyBorder="1" applyAlignment="1">
      <alignment horizontal="center" vertical="top"/>
    </xf>
    <xf numFmtId="164" fontId="6" fillId="3" borderId="7" xfId="0" applyNumberFormat="1" applyFont="1" applyFill="1" applyBorder="1" applyAlignment="1">
      <alignment horizontal="center" vertical="top"/>
    </xf>
    <xf numFmtId="0" fontId="8" fillId="3" borderId="21" xfId="0" applyFont="1" applyFill="1" applyBorder="1" applyAlignment="1">
      <alignment horizontal="center" vertical="top"/>
    </xf>
    <xf numFmtId="0" fontId="8" fillId="3" borderId="20" xfId="0" applyFont="1" applyFill="1" applyBorder="1" applyAlignment="1">
      <alignment horizontal="center" vertical="top"/>
    </xf>
    <xf numFmtId="0" fontId="8" fillId="3" borderId="9" xfId="0" applyFont="1" applyFill="1" applyBorder="1" applyAlignment="1">
      <alignment horizontal="center" vertical="top"/>
    </xf>
    <xf numFmtId="0" fontId="9" fillId="3" borderId="11" xfId="0" applyFont="1" applyFill="1" applyBorder="1" applyAlignment="1">
      <alignment horizontal="center" vertical="top"/>
    </xf>
    <xf numFmtId="0" fontId="9" fillId="3" borderId="12" xfId="0" applyFont="1" applyFill="1" applyBorder="1" applyAlignment="1">
      <alignment horizontal="center" vertical="top"/>
    </xf>
    <xf numFmtId="0" fontId="9" fillId="3" borderId="10" xfId="0" applyFont="1" applyFill="1" applyBorder="1" applyAlignment="1">
      <alignment horizontal="center" vertical="top"/>
    </xf>
    <xf numFmtId="0" fontId="6" fillId="3" borderId="21" xfId="0" applyFont="1" applyFill="1" applyBorder="1" applyAlignment="1">
      <alignment horizontal="center" vertical="top"/>
    </xf>
    <xf numFmtId="0" fontId="6" fillId="3" borderId="20" xfId="0" applyFont="1" applyFill="1" applyBorder="1" applyAlignment="1">
      <alignment horizontal="center" vertical="top"/>
    </xf>
    <xf numFmtId="0" fontId="6" fillId="3" borderId="9" xfId="0" applyFont="1" applyFill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15" fillId="0" borderId="0" xfId="0" applyFont="1" applyAlignment="1">
      <alignment horizontal="left" vertical="top"/>
    </xf>
    <xf numFmtId="0" fontId="16" fillId="0" borderId="7" xfId="0" applyFont="1" applyBorder="1" applyAlignment="1">
      <alignment horizontal="center" vertical="top" wrapText="1"/>
    </xf>
    <xf numFmtId="167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anmovement-my.sharepoint.com/personal/zinzi_xhallie_fanmovement_co_za/Documents/Fan%20Movement%20-%20HC/Cased%20Axial%20Project/FAN%20MOVEMENT%20-%20NEW%20CASING%20DIMENSIONS%20AND%20BOM.xlsx" TargetMode="External"/><Relationship Id="rId1" Type="http://schemas.openxmlformats.org/officeDocument/2006/relationships/externalLinkPath" Target="FAN%20MOVEMENT%20-%20NEW%20CASING%20DIMENSIONS%20AND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cial Buffalo (2)"/>
      <sheetName val="STOCK ORDER - 09 July 2025 (2)"/>
      <sheetName val="STOCK ORDER - 09 Dec 2024 (2)"/>
      <sheetName val="Impeller data"/>
      <sheetName val="DATA INCLUDING MOTORS"/>
      <sheetName val="3115"/>
      <sheetName val="BOM"/>
      <sheetName val="BOM WITH DETAILS"/>
      <sheetName val="Galvinising"/>
      <sheetName val="STOCK ORDER - 03 Feb 2025  (2)"/>
      <sheetName val="Sheet3 (2)"/>
      <sheetName val="GALVINIZING"/>
      <sheetName val="Sheet3"/>
      <sheetName val="Sheet1"/>
      <sheetName val="LDA &amp; LDP AXIAL FAN INFO TABLE"/>
      <sheetName val="SPECIAL OPRAH SCHOOL"/>
      <sheetName val="Sheet3 (3)"/>
      <sheetName val="New order Casinh - 24 july"/>
      <sheetName val="FM2494 - casing - luft"/>
      <sheetName val="02 August"/>
      <sheetName val="NEW STOCK ORDER - 02 AUGUST"/>
      <sheetName val="NEW STOCK ORDER - 13 AUGUST"/>
      <sheetName val="NEW STOCK ORDER - 21 AUGUST "/>
      <sheetName val="FM2545"/>
      <sheetName val="NEW STOCK ORDER - 30 AUGUST "/>
      <sheetName val="NEW STOCK ORDER - 30 AUGUST (2)"/>
      <sheetName val="STOCK CFW 1-OFF"/>
      <sheetName val="dutech 1000"/>
      <sheetName val="CFW WITH DONKIN PCD"/>
      <sheetName val="NEW STOCK ORDER -CREDIT SEPT 20"/>
      <sheetName val="NEW STOCK ORDER - 13 Sept 2024"/>
      <sheetName val="J26140"/>
      <sheetName val="NEW STOCK ORDER - 03 Oct 2024"/>
      <sheetName val="NEW STOCK ORDER - 10 Oct 20"/>
      <sheetName val="NEW STOCK ORDER - 21 Oct 20 "/>
      <sheetName val="STOCK ORDER - 05 Nov2024"/>
      <sheetName val="STOCK ORDER - 19 Nov 2024"/>
      <sheetName val="STOCK ORDER - 09 Dec 2024"/>
      <sheetName val="STOCK ORDER - 07 Jan 2025"/>
      <sheetName val="STOCK ORDER - 03 Feb 2025 "/>
      <sheetName val="STOCK ORDER - 21 Feb 2025  "/>
      <sheetName val="STOCK ORDER - 14 March 2025"/>
      <sheetName val="STOCK ORDER - 28 March 2025"/>
      <sheetName val="STOCK ORDER - 7 April 2025"/>
      <sheetName val="special DOnkin "/>
      <sheetName val="STOCK ORDER - 29 April 2025"/>
      <sheetName val="special 610 BD"/>
      <sheetName val="Paint Costing"/>
      <sheetName val="STOCK ORDER - 06 June 2025"/>
      <sheetName val="special 965 BD"/>
      <sheetName val="STOCK ORDER - 18 June 2025"/>
      <sheetName val="STOCK ORDER - 27 June 2025"/>
      <sheetName val="STOCK ORDER - 09 July 2025"/>
      <sheetName val="STOCK ORDER - 18 July 2025 (3)"/>
      <sheetName val="STOCK ORDER - 25 July 2025 "/>
      <sheetName val="STOCK ORDER - 30 July 2025"/>
      <sheetName val="STOCK ORDER - 14 Aug 2025"/>
      <sheetName val="special Buffalo"/>
      <sheetName val="STOCK ORDER -  20 Aug 2025"/>
      <sheetName val="STOCK ORDER -  29 Aug 2025"/>
      <sheetName val="STOCK ORDER -  TBC 2025 (2)"/>
      <sheetName val="STOCK ORDER -  TBC 2025 (4)"/>
      <sheetName val="STOCK ORDER -  15 Sept 2025"/>
      <sheetName val="STOCK ORDER -  23 Sept 2025"/>
      <sheetName val="STOCK ORDER -  30 Sept 2025"/>
      <sheetName val="barloworld"/>
      <sheetName val="STOCK ORDER -  20 Oct 2025"/>
      <sheetName val="special Buffalo (3)"/>
      <sheetName val="STOCK ORDER -  29 Oct 2025 "/>
      <sheetName val="STOCK ORDER -  10 Nov 2025"/>
      <sheetName val="Jamamic"/>
      <sheetName val="STOCK ORDER -  26 Nov 2025 "/>
      <sheetName val="STOCK ORDER -  12 Dec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24">
          <cell r="P24">
            <v>21298.533888888891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opLeftCell="A2" workbookViewId="0">
      <selection activeCell="C7" sqref="C7"/>
    </sheetView>
  </sheetViews>
  <sheetFormatPr defaultRowHeight="13.8" x14ac:dyDescent="0.25"/>
  <cols>
    <col min="1" max="1" width="10.44140625" style="13" customWidth="1"/>
    <col min="2" max="2" width="13.6640625" style="13" customWidth="1"/>
    <col min="3" max="3" width="10.44140625" style="13" customWidth="1"/>
    <col min="4" max="4" width="10.44140625" style="14" customWidth="1"/>
    <col min="10" max="10" width="9" style="17"/>
  </cols>
  <sheetData>
    <row r="1" spans="1:10" ht="15" customHeight="1" x14ac:dyDescent="0.25">
      <c r="A1" s="101" t="s">
        <v>13</v>
      </c>
      <c r="B1" s="102"/>
      <c r="C1" s="102"/>
      <c r="D1" s="103"/>
    </row>
    <row r="2" spans="1:10" s="19" customFormat="1" ht="27.6" x14ac:dyDescent="0.25">
      <c r="A2" s="8" t="s">
        <v>14</v>
      </c>
      <c r="B2" s="8" t="s">
        <v>15</v>
      </c>
      <c r="C2" s="3" t="s">
        <v>0</v>
      </c>
      <c r="D2" s="4" t="s">
        <v>1</v>
      </c>
      <c r="I2" s="22" t="s">
        <v>18</v>
      </c>
      <c r="J2" s="23" t="s">
        <v>17</v>
      </c>
    </row>
    <row r="3" spans="1:10" ht="16.5" customHeight="1" x14ac:dyDescent="0.25">
      <c r="A3" s="5">
        <v>315</v>
      </c>
      <c r="B3" s="6" t="s">
        <v>2</v>
      </c>
      <c r="C3" s="5">
        <f>I3*J3</f>
        <v>8</v>
      </c>
      <c r="D3" s="7">
        <f>C3*B3</f>
        <v>640</v>
      </c>
      <c r="I3" s="20">
        <v>8</v>
      </c>
      <c r="J3" s="21">
        <v>1</v>
      </c>
    </row>
    <row r="4" spans="1:10" ht="16.5" customHeight="1" x14ac:dyDescent="0.25">
      <c r="A4" s="5">
        <v>400</v>
      </c>
      <c r="B4" s="6" t="s">
        <v>3</v>
      </c>
      <c r="C4" s="5">
        <f t="shared" ref="C4:C9" si="0">I4*J4</f>
        <v>8</v>
      </c>
      <c r="D4" s="7">
        <f t="shared" ref="D4:D11" si="1">C4*B4</f>
        <v>680</v>
      </c>
      <c r="I4" s="15">
        <v>8</v>
      </c>
      <c r="J4" s="18">
        <f>J3</f>
        <v>1</v>
      </c>
    </row>
    <row r="5" spans="1:10" ht="16.5" customHeight="1" x14ac:dyDescent="0.25">
      <c r="A5" s="5">
        <v>500</v>
      </c>
      <c r="B5" s="6" t="s">
        <v>4</v>
      </c>
      <c r="C5" s="5">
        <f t="shared" si="0"/>
        <v>8</v>
      </c>
      <c r="D5" s="7">
        <f t="shared" si="1"/>
        <v>800</v>
      </c>
      <c r="I5" s="15">
        <v>8</v>
      </c>
      <c r="J5" s="18">
        <f t="shared" ref="J5:J11" si="2">J4</f>
        <v>1</v>
      </c>
    </row>
    <row r="6" spans="1:10" ht="16.5" customHeight="1" x14ac:dyDescent="0.25">
      <c r="A6" s="5">
        <v>560</v>
      </c>
      <c r="B6" s="6" t="s">
        <v>5</v>
      </c>
      <c r="C6" s="5"/>
      <c r="D6" s="7">
        <f t="shared" si="1"/>
        <v>0</v>
      </c>
      <c r="I6" s="16"/>
      <c r="J6" s="18">
        <f t="shared" si="2"/>
        <v>1</v>
      </c>
    </row>
    <row r="7" spans="1:10" ht="16.5" customHeight="1" x14ac:dyDescent="0.25">
      <c r="A7" s="5">
        <v>630</v>
      </c>
      <c r="B7" s="6" t="s">
        <v>6</v>
      </c>
      <c r="C7" s="5">
        <f t="shared" si="0"/>
        <v>3</v>
      </c>
      <c r="D7" s="7">
        <f t="shared" si="1"/>
        <v>342</v>
      </c>
      <c r="I7" s="15">
        <v>3</v>
      </c>
      <c r="J7" s="18">
        <f t="shared" si="2"/>
        <v>1</v>
      </c>
    </row>
    <row r="8" spans="1:10" ht="16.5" customHeight="1" x14ac:dyDescent="0.25">
      <c r="A8" s="5">
        <v>710</v>
      </c>
      <c r="B8" s="6" t="s">
        <v>7</v>
      </c>
      <c r="C8" s="5"/>
      <c r="D8" s="7">
        <f t="shared" si="1"/>
        <v>0</v>
      </c>
      <c r="I8" s="16"/>
      <c r="J8" s="18">
        <f t="shared" si="2"/>
        <v>1</v>
      </c>
    </row>
    <row r="9" spans="1:10" ht="16.5" customHeight="1" x14ac:dyDescent="0.25">
      <c r="A9" s="5">
        <v>800</v>
      </c>
      <c r="B9" s="6" t="s">
        <v>8</v>
      </c>
      <c r="C9" s="5">
        <f t="shared" si="0"/>
        <v>3</v>
      </c>
      <c r="D9" s="7">
        <f t="shared" si="1"/>
        <v>496.5</v>
      </c>
      <c r="I9" s="15">
        <v>3</v>
      </c>
      <c r="J9" s="18">
        <f t="shared" si="2"/>
        <v>1</v>
      </c>
    </row>
    <row r="10" spans="1:10" ht="16.5" customHeight="1" x14ac:dyDescent="0.25">
      <c r="A10" s="5">
        <v>900</v>
      </c>
      <c r="B10" s="6" t="s">
        <v>9</v>
      </c>
      <c r="C10" s="5"/>
      <c r="D10" s="7">
        <f t="shared" si="1"/>
        <v>0</v>
      </c>
      <c r="I10" s="16"/>
      <c r="J10" s="18">
        <f t="shared" si="2"/>
        <v>1</v>
      </c>
    </row>
    <row r="11" spans="1:10" ht="16.5" customHeight="1" x14ac:dyDescent="0.25">
      <c r="A11" s="5">
        <v>1000</v>
      </c>
      <c r="B11" s="6" t="s">
        <v>10</v>
      </c>
      <c r="C11" s="5"/>
      <c r="D11" s="7">
        <f t="shared" si="1"/>
        <v>0</v>
      </c>
      <c r="I11" s="16"/>
      <c r="J11" s="18">
        <f t="shared" si="2"/>
        <v>1</v>
      </c>
    </row>
    <row r="12" spans="1:10" ht="15" customHeight="1" x14ac:dyDescent="0.3">
      <c r="A12" s="104"/>
      <c r="B12" s="104"/>
      <c r="C12" s="105"/>
      <c r="D12" s="9">
        <f>SUM(D3:D11)</f>
        <v>2958.5</v>
      </c>
    </row>
    <row r="13" spans="1:10" ht="14.55" customHeight="1" x14ac:dyDescent="0.3">
      <c r="A13" s="10"/>
      <c r="B13" s="10"/>
      <c r="C13" s="10"/>
      <c r="D13" s="11"/>
    </row>
    <row r="14" spans="1:10" ht="15" customHeight="1" x14ac:dyDescent="0.25">
      <c r="A14" s="101" t="s">
        <v>16</v>
      </c>
      <c r="B14" s="102"/>
      <c r="C14" s="102"/>
      <c r="D14" s="103"/>
    </row>
    <row r="15" spans="1:10" ht="27.6" x14ac:dyDescent="0.25">
      <c r="A15" s="8" t="s">
        <v>14</v>
      </c>
      <c r="B15" s="8" t="s">
        <v>15</v>
      </c>
      <c r="C15" s="3" t="s">
        <v>0</v>
      </c>
      <c r="D15" s="4" t="s">
        <v>1</v>
      </c>
      <c r="I15" s="22" t="s">
        <v>18</v>
      </c>
      <c r="J15" s="23" t="s">
        <v>17</v>
      </c>
    </row>
    <row r="16" spans="1:10" ht="16.5" customHeight="1" x14ac:dyDescent="0.25">
      <c r="A16" s="5">
        <v>315</v>
      </c>
      <c r="B16" s="6" t="s">
        <v>2</v>
      </c>
      <c r="C16" s="5">
        <f>I16*J16</f>
        <v>45</v>
      </c>
      <c r="D16" s="7">
        <f>C16*B16</f>
        <v>3600</v>
      </c>
      <c r="I16" s="1">
        <v>9</v>
      </c>
      <c r="J16" s="18">
        <v>5</v>
      </c>
    </row>
    <row r="17" spans="1:10" ht="16.5" customHeight="1" x14ac:dyDescent="0.25">
      <c r="A17" s="5">
        <v>400</v>
      </c>
      <c r="B17" s="6" t="s">
        <v>3</v>
      </c>
      <c r="C17" s="5">
        <f t="shared" ref="C17:C21" si="3">I17*J17</f>
        <v>45</v>
      </c>
      <c r="D17" s="7">
        <f t="shared" ref="D17:D21" si="4">C17*B17</f>
        <v>3825</v>
      </c>
      <c r="I17" s="1">
        <v>9</v>
      </c>
      <c r="J17" s="18">
        <f>J16</f>
        <v>5</v>
      </c>
    </row>
    <row r="18" spans="1:10" ht="16.5" customHeight="1" x14ac:dyDescent="0.25">
      <c r="A18" s="5">
        <v>500</v>
      </c>
      <c r="B18" s="6" t="s">
        <v>4</v>
      </c>
      <c r="C18" s="5"/>
      <c r="D18" s="7"/>
      <c r="I18" s="2"/>
      <c r="J18" s="18">
        <f t="shared" ref="J18:J24" si="5">J17</f>
        <v>5</v>
      </c>
    </row>
    <row r="19" spans="1:10" ht="16.5" customHeight="1" x14ac:dyDescent="0.25">
      <c r="A19" s="5">
        <v>560</v>
      </c>
      <c r="B19" s="6" t="s">
        <v>5</v>
      </c>
      <c r="C19" s="5">
        <f t="shared" si="3"/>
        <v>35</v>
      </c>
      <c r="D19" s="7">
        <f t="shared" si="4"/>
        <v>3780</v>
      </c>
      <c r="I19" s="1">
        <v>7</v>
      </c>
      <c r="J19" s="18">
        <f t="shared" si="5"/>
        <v>5</v>
      </c>
    </row>
    <row r="20" spans="1:10" ht="16.5" customHeight="1" x14ac:dyDescent="0.25">
      <c r="A20" s="5">
        <v>630</v>
      </c>
      <c r="B20" s="6" t="s">
        <v>6</v>
      </c>
      <c r="C20" s="5"/>
      <c r="D20" s="7"/>
      <c r="I20" s="2"/>
      <c r="J20" s="18">
        <f t="shared" si="5"/>
        <v>5</v>
      </c>
    </row>
    <row r="21" spans="1:10" ht="16.5" customHeight="1" x14ac:dyDescent="0.25">
      <c r="A21" s="5">
        <v>710</v>
      </c>
      <c r="B21" s="6" t="s">
        <v>11</v>
      </c>
      <c r="C21" s="5">
        <f t="shared" si="3"/>
        <v>15</v>
      </c>
      <c r="D21" s="7">
        <f t="shared" si="4"/>
        <v>2002.5</v>
      </c>
      <c r="I21" s="1">
        <v>3</v>
      </c>
      <c r="J21" s="18">
        <f t="shared" si="5"/>
        <v>5</v>
      </c>
    </row>
    <row r="22" spans="1:10" ht="16.5" customHeight="1" x14ac:dyDescent="0.25">
      <c r="A22" s="5">
        <v>800</v>
      </c>
      <c r="B22" s="6" t="s">
        <v>12</v>
      </c>
      <c r="C22" s="5"/>
      <c r="D22" s="7"/>
      <c r="I22" s="2"/>
      <c r="J22" s="18">
        <f t="shared" si="5"/>
        <v>5</v>
      </c>
    </row>
    <row r="23" spans="1:10" ht="16.5" customHeight="1" x14ac:dyDescent="0.25">
      <c r="A23" s="5">
        <v>900</v>
      </c>
      <c r="B23" s="6" t="s">
        <v>9</v>
      </c>
      <c r="C23" s="5"/>
      <c r="D23" s="7"/>
      <c r="I23" s="2"/>
      <c r="J23" s="18">
        <f t="shared" si="5"/>
        <v>5</v>
      </c>
    </row>
    <row r="24" spans="1:10" ht="16.5" customHeight="1" x14ac:dyDescent="0.25">
      <c r="A24" s="5">
        <v>1000</v>
      </c>
      <c r="B24" s="6" t="s">
        <v>10</v>
      </c>
      <c r="C24" s="5"/>
      <c r="D24" s="7"/>
      <c r="I24" s="2"/>
      <c r="J24" s="18">
        <f t="shared" si="5"/>
        <v>5</v>
      </c>
    </row>
    <row r="25" spans="1:10" ht="15" customHeight="1" x14ac:dyDescent="0.3">
      <c r="A25" s="104"/>
      <c r="B25" s="104"/>
      <c r="C25" s="105"/>
      <c r="D25" s="9">
        <f>SUM(D16:D24)</f>
        <v>13207.5</v>
      </c>
    </row>
    <row r="26" spans="1:10" ht="14.55" customHeight="1" x14ac:dyDescent="0.3">
      <c r="A26" s="10"/>
      <c r="B26" s="10"/>
      <c r="C26" s="10"/>
      <c r="D26" s="11"/>
    </row>
    <row r="27" spans="1:10" ht="15" customHeight="1" x14ac:dyDescent="0.3">
      <c r="A27" s="10"/>
      <c r="B27" s="10"/>
      <c r="C27" s="10"/>
      <c r="D27" s="12">
        <f>D25+D12</f>
        <v>16166</v>
      </c>
    </row>
  </sheetData>
  <mergeCells count="4">
    <mergeCell ref="A1:D1"/>
    <mergeCell ref="A12:C12"/>
    <mergeCell ref="A14:D14"/>
    <mergeCell ref="A25:C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5DED-B77F-403C-A339-42B2146BEC31}">
  <dimension ref="A1:P27"/>
  <sheetViews>
    <sheetView workbookViewId="0">
      <selection activeCell="J17" sqref="J17"/>
    </sheetView>
  </sheetViews>
  <sheetFormatPr defaultRowHeight="13.8" x14ac:dyDescent="0.25"/>
  <cols>
    <col min="1" max="1" width="10.44140625" style="13" customWidth="1"/>
    <col min="2" max="2" width="13.6640625" style="13" customWidth="1"/>
    <col min="3" max="3" width="10.44140625" style="13" customWidth="1"/>
    <col min="4" max="4" width="10.44140625" style="14" customWidth="1"/>
    <col min="6" max="6" width="10.109375" bestFit="1" customWidth="1"/>
    <col min="10" max="10" width="9" style="17"/>
    <col min="12" max="12" width="10.6640625" bestFit="1" customWidth="1"/>
  </cols>
  <sheetData>
    <row r="1" spans="1:16" ht="15" customHeight="1" x14ac:dyDescent="0.25">
      <c r="A1" s="101" t="s">
        <v>13</v>
      </c>
      <c r="B1" s="102"/>
      <c r="C1" s="102"/>
      <c r="D1" s="103"/>
    </row>
    <row r="2" spans="1:16" s="19" customFormat="1" ht="27.6" x14ac:dyDescent="0.25">
      <c r="A2" s="8" t="s">
        <v>14</v>
      </c>
      <c r="B2" s="8" t="s">
        <v>15</v>
      </c>
      <c r="C2" s="3" t="s">
        <v>0</v>
      </c>
      <c r="D2" s="4" t="s">
        <v>1</v>
      </c>
      <c r="I2" s="22" t="s">
        <v>18</v>
      </c>
      <c r="J2" s="23" t="s">
        <v>17</v>
      </c>
    </row>
    <row r="3" spans="1:16" ht="16.5" customHeight="1" x14ac:dyDescent="0.25">
      <c r="A3" s="5">
        <v>315</v>
      </c>
      <c r="B3" s="6" t="s">
        <v>2</v>
      </c>
      <c r="C3" s="5">
        <f>I3*J3</f>
        <v>8</v>
      </c>
      <c r="D3" s="7">
        <f>C3*B3</f>
        <v>640</v>
      </c>
      <c r="F3" s="24">
        <f>C3+C16</f>
        <v>17</v>
      </c>
      <c r="I3" s="20">
        <v>8</v>
      </c>
      <c r="J3" s="21">
        <v>1</v>
      </c>
    </row>
    <row r="4" spans="1:16" ht="16.5" customHeight="1" x14ac:dyDescent="0.25">
      <c r="A4" s="5">
        <v>400</v>
      </c>
      <c r="B4" s="6" t="s">
        <v>3</v>
      </c>
      <c r="C4" s="5">
        <f t="shared" ref="C4:C9" si="0">I4*J4</f>
        <v>8</v>
      </c>
      <c r="D4" s="7">
        <f t="shared" ref="D4:D11" si="1">C4*B4</f>
        <v>680</v>
      </c>
      <c r="F4" s="24">
        <f>C4+C17</f>
        <v>17</v>
      </c>
      <c r="I4" s="15">
        <v>8</v>
      </c>
      <c r="J4" s="18">
        <f>J3</f>
        <v>1</v>
      </c>
      <c r="L4">
        <v>2950</v>
      </c>
    </row>
    <row r="5" spans="1:16" ht="16.5" customHeight="1" x14ac:dyDescent="0.25">
      <c r="A5" s="5">
        <v>500</v>
      </c>
      <c r="B5" s="6" t="s">
        <v>4</v>
      </c>
      <c r="C5" s="5">
        <f t="shared" si="0"/>
        <v>8</v>
      </c>
      <c r="D5" s="7">
        <f t="shared" si="1"/>
        <v>800</v>
      </c>
      <c r="F5" s="24">
        <f>C5</f>
        <v>8</v>
      </c>
      <c r="I5" s="15">
        <v>8</v>
      </c>
      <c r="J5" s="18">
        <f t="shared" ref="J5:J11" si="2">J4</f>
        <v>1</v>
      </c>
      <c r="L5">
        <f>L4*12</f>
        <v>35400</v>
      </c>
    </row>
    <row r="6" spans="1:16" ht="16.5" customHeight="1" x14ac:dyDescent="0.25">
      <c r="A6" s="5">
        <v>560</v>
      </c>
      <c r="B6" s="6" t="s">
        <v>5</v>
      </c>
      <c r="C6" s="5"/>
      <c r="D6" s="7">
        <f t="shared" si="1"/>
        <v>0</v>
      </c>
      <c r="I6" s="16"/>
      <c r="J6" s="18">
        <f t="shared" si="2"/>
        <v>1</v>
      </c>
    </row>
    <row r="7" spans="1:16" ht="16.5" customHeight="1" x14ac:dyDescent="0.25">
      <c r="A7" s="5">
        <v>630</v>
      </c>
      <c r="B7" s="6" t="s">
        <v>6</v>
      </c>
      <c r="C7" s="5">
        <f t="shared" si="0"/>
        <v>3</v>
      </c>
      <c r="D7" s="7">
        <f t="shared" si="1"/>
        <v>342</v>
      </c>
      <c r="I7" s="15">
        <v>3</v>
      </c>
      <c r="J7" s="18">
        <f t="shared" si="2"/>
        <v>1</v>
      </c>
    </row>
    <row r="8" spans="1:16" ht="16.5" customHeight="1" x14ac:dyDescent="0.25">
      <c r="A8" s="5">
        <v>710</v>
      </c>
      <c r="B8" s="6" t="s">
        <v>7</v>
      </c>
      <c r="C8" s="5"/>
      <c r="D8" s="7">
        <f t="shared" si="1"/>
        <v>0</v>
      </c>
      <c r="I8" s="16"/>
      <c r="J8" s="18">
        <f t="shared" si="2"/>
        <v>1</v>
      </c>
      <c r="O8">
        <f>17*2</f>
        <v>34</v>
      </c>
    </row>
    <row r="9" spans="1:16" ht="16.5" customHeight="1" x14ac:dyDescent="0.25">
      <c r="A9" s="5">
        <v>800</v>
      </c>
      <c r="B9" s="6" t="s">
        <v>8</v>
      </c>
      <c r="C9" s="5">
        <f t="shared" si="0"/>
        <v>3</v>
      </c>
      <c r="D9" s="7">
        <f t="shared" si="1"/>
        <v>496.5</v>
      </c>
      <c r="I9" s="15">
        <v>3</v>
      </c>
      <c r="J9" s="18">
        <f t="shared" si="2"/>
        <v>1</v>
      </c>
    </row>
    <row r="10" spans="1:16" ht="16.5" customHeight="1" x14ac:dyDescent="0.25">
      <c r="A10" s="5">
        <v>900</v>
      </c>
      <c r="B10" s="6" t="s">
        <v>9</v>
      </c>
      <c r="C10" s="5"/>
      <c r="D10" s="7">
        <f t="shared" si="1"/>
        <v>0</v>
      </c>
      <c r="I10" s="16"/>
      <c r="J10" s="18">
        <f t="shared" si="2"/>
        <v>1</v>
      </c>
    </row>
    <row r="11" spans="1:16" ht="16.5" customHeight="1" x14ac:dyDescent="0.25">
      <c r="A11" s="5">
        <v>1000</v>
      </c>
      <c r="B11" s="6" t="s">
        <v>10</v>
      </c>
      <c r="C11" s="5"/>
      <c r="D11" s="7">
        <f t="shared" si="1"/>
        <v>0</v>
      </c>
      <c r="I11" s="16"/>
      <c r="J11" s="18">
        <f t="shared" si="2"/>
        <v>1</v>
      </c>
    </row>
    <row r="12" spans="1:16" ht="15" customHeight="1" x14ac:dyDescent="0.3">
      <c r="A12" s="104"/>
      <c r="B12" s="104"/>
      <c r="C12" s="105"/>
      <c r="D12" s="9">
        <f>SUM(D3:D11)</f>
        <v>2958.5</v>
      </c>
    </row>
    <row r="13" spans="1:16" ht="14.55" customHeight="1" x14ac:dyDescent="0.3">
      <c r="A13" s="10"/>
      <c r="B13" s="10"/>
      <c r="C13" s="10"/>
      <c r="D13" s="11"/>
    </row>
    <row r="14" spans="1:16" ht="15" customHeight="1" x14ac:dyDescent="0.25">
      <c r="A14" s="101" t="s">
        <v>16</v>
      </c>
      <c r="B14" s="102"/>
      <c r="C14" s="102"/>
      <c r="D14" s="103"/>
      <c r="F14" s="74">
        <f>D12+D25</f>
        <v>5600</v>
      </c>
    </row>
    <row r="15" spans="1:16" ht="27.6" x14ac:dyDescent="0.25">
      <c r="A15" s="8" t="s">
        <v>14</v>
      </c>
      <c r="B15" s="8" t="s">
        <v>15</v>
      </c>
      <c r="C15" s="3" t="s">
        <v>0</v>
      </c>
      <c r="D15" s="4" t="s">
        <v>1</v>
      </c>
      <c r="I15" s="22" t="s">
        <v>18</v>
      </c>
      <c r="J15" s="23" t="s">
        <v>17</v>
      </c>
      <c r="L15" t="s">
        <v>85</v>
      </c>
      <c r="O15" t="s">
        <v>84</v>
      </c>
    </row>
    <row r="16" spans="1:16" ht="16.5" customHeight="1" x14ac:dyDescent="0.25">
      <c r="A16" s="5">
        <v>315</v>
      </c>
      <c r="B16" s="6" t="s">
        <v>2</v>
      </c>
      <c r="C16" s="5">
        <f>I16*J16</f>
        <v>9</v>
      </c>
      <c r="D16" s="7">
        <f>C16*B16</f>
        <v>720</v>
      </c>
      <c r="I16" s="1">
        <v>9</v>
      </c>
      <c r="J16" s="18">
        <v>1</v>
      </c>
      <c r="L16" t="s">
        <v>81</v>
      </c>
      <c r="M16">
        <v>2</v>
      </c>
      <c r="O16" t="s">
        <v>83</v>
      </c>
      <c r="P16" t="s">
        <v>82</v>
      </c>
    </row>
    <row r="17" spans="1:16" ht="16.5" customHeight="1" x14ac:dyDescent="0.25">
      <c r="A17" s="5">
        <v>400</v>
      </c>
      <c r="B17" s="6" t="s">
        <v>3</v>
      </c>
      <c r="C17" s="5">
        <f t="shared" ref="C17:C21" si="3">I17*J17</f>
        <v>9</v>
      </c>
      <c r="D17" s="7">
        <f t="shared" ref="D17:D21" si="4">C17*B17</f>
        <v>765</v>
      </c>
      <c r="I17" s="1">
        <v>9</v>
      </c>
      <c r="J17" s="18">
        <f>J16</f>
        <v>1</v>
      </c>
      <c r="L17">
        <v>630</v>
      </c>
      <c r="M17">
        <v>2</v>
      </c>
      <c r="O17">
        <v>630</v>
      </c>
      <c r="P17">
        <v>2</v>
      </c>
    </row>
    <row r="18" spans="1:16" ht="16.5" customHeight="1" x14ac:dyDescent="0.25">
      <c r="A18" s="5">
        <v>500</v>
      </c>
      <c r="B18" s="6" t="s">
        <v>4</v>
      </c>
      <c r="C18" s="5"/>
      <c r="D18" s="7"/>
      <c r="I18" s="2"/>
      <c r="J18" s="18">
        <f t="shared" ref="J18:J24" si="5">J17</f>
        <v>1</v>
      </c>
    </row>
    <row r="19" spans="1:16" ht="16.5" customHeight="1" x14ac:dyDescent="0.25">
      <c r="A19" s="5">
        <v>560</v>
      </c>
      <c r="B19" s="6" t="s">
        <v>5</v>
      </c>
      <c r="C19" s="5">
        <f t="shared" si="3"/>
        <v>7</v>
      </c>
      <c r="D19" s="7">
        <f t="shared" si="4"/>
        <v>756</v>
      </c>
      <c r="I19" s="1">
        <v>7</v>
      </c>
      <c r="J19" s="18">
        <f t="shared" si="5"/>
        <v>1</v>
      </c>
    </row>
    <row r="20" spans="1:16" ht="16.5" customHeight="1" x14ac:dyDescent="0.25">
      <c r="A20" s="5">
        <v>630</v>
      </c>
      <c r="B20" s="6" t="s">
        <v>6</v>
      </c>
      <c r="C20" s="5"/>
      <c r="D20" s="7"/>
      <c r="I20" s="2"/>
      <c r="J20" s="18">
        <f t="shared" si="5"/>
        <v>1</v>
      </c>
    </row>
    <row r="21" spans="1:16" ht="16.5" customHeight="1" x14ac:dyDescent="0.25">
      <c r="A21" s="5">
        <v>710</v>
      </c>
      <c r="B21" s="6" t="s">
        <v>11</v>
      </c>
      <c r="C21" s="5">
        <f t="shared" si="3"/>
        <v>3</v>
      </c>
      <c r="D21" s="7">
        <f t="shared" si="4"/>
        <v>400.5</v>
      </c>
      <c r="I21" s="1">
        <v>3</v>
      </c>
      <c r="J21" s="18">
        <f t="shared" si="5"/>
        <v>1</v>
      </c>
    </row>
    <row r="22" spans="1:16" ht="16.5" customHeight="1" x14ac:dyDescent="0.25">
      <c r="A22" s="5">
        <v>800</v>
      </c>
      <c r="B22" s="6" t="s">
        <v>12</v>
      </c>
      <c r="C22" s="5"/>
      <c r="D22" s="7"/>
      <c r="I22" s="2"/>
      <c r="J22" s="18">
        <f t="shared" si="5"/>
        <v>1</v>
      </c>
    </row>
    <row r="23" spans="1:16" ht="16.5" customHeight="1" x14ac:dyDescent="0.25">
      <c r="A23" s="5">
        <v>900</v>
      </c>
      <c r="B23" s="6" t="s">
        <v>9</v>
      </c>
      <c r="C23" s="5"/>
      <c r="D23" s="7"/>
      <c r="I23" s="2"/>
      <c r="J23" s="18">
        <f t="shared" si="5"/>
        <v>1</v>
      </c>
    </row>
    <row r="24" spans="1:16" ht="16.5" customHeight="1" x14ac:dyDescent="0.25">
      <c r="A24" s="5">
        <v>1000</v>
      </c>
      <c r="B24" s="6" t="s">
        <v>10</v>
      </c>
      <c r="C24" s="5"/>
      <c r="D24" s="7"/>
      <c r="I24" s="2"/>
      <c r="J24" s="18">
        <f t="shared" si="5"/>
        <v>1</v>
      </c>
    </row>
    <row r="25" spans="1:16" ht="15" customHeight="1" x14ac:dyDescent="0.3">
      <c r="A25" s="104"/>
      <c r="B25" s="104"/>
      <c r="C25" s="105"/>
      <c r="D25" s="9">
        <f>SUM(D16:D24)</f>
        <v>2641.5</v>
      </c>
    </row>
    <row r="26" spans="1:16" ht="14.55" customHeight="1" x14ac:dyDescent="0.3">
      <c r="A26" s="10"/>
      <c r="B26" s="10"/>
      <c r="C26" s="10"/>
      <c r="D26" s="11"/>
    </row>
    <row r="27" spans="1:16" ht="15" customHeight="1" x14ac:dyDescent="0.3">
      <c r="A27" s="10"/>
      <c r="B27" s="10"/>
      <c r="C27" s="10"/>
      <c r="D27" s="12">
        <f>D25+D12</f>
        <v>5600</v>
      </c>
    </row>
  </sheetData>
  <mergeCells count="4">
    <mergeCell ref="A1:D1"/>
    <mergeCell ref="A12:C12"/>
    <mergeCell ref="A14:D14"/>
    <mergeCell ref="A25:C2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0E52-2488-4169-ADA8-A7D08275821D}">
  <dimension ref="A2:Y55"/>
  <sheetViews>
    <sheetView topLeftCell="A26" workbookViewId="0">
      <selection activeCell="G51" sqref="G51"/>
    </sheetView>
  </sheetViews>
  <sheetFormatPr defaultRowHeight="13.2" x14ac:dyDescent="0.25"/>
  <cols>
    <col min="2" max="2" width="7.88671875" customWidth="1"/>
    <col min="3" max="3" width="12.21875" customWidth="1"/>
    <col min="4" max="4" width="9" customWidth="1"/>
    <col min="5" max="5" width="9.88671875" customWidth="1"/>
    <col min="6" max="6" width="11.33203125" bestFit="1" customWidth="1"/>
    <col min="7" max="8" width="11.109375" style="35" customWidth="1"/>
    <col min="9" max="9" width="13" style="35" customWidth="1"/>
    <col min="10" max="10" width="8.88671875" style="35" customWidth="1"/>
    <col min="12" max="13" width="10.6640625" customWidth="1"/>
    <col min="14" max="14" width="9.44140625" customWidth="1"/>
    <col min="15" max="15" width="8.77734375" customWidth="1"/>
    <col min="16" max="16" width="9.33203125" customWidth="1"/>
    <col min="17" max="19" width="11.21875" customWidth="1"/>
    <col min="20" max="20" width="6.88671875" customWidth="1"/>
    <col min="21" max="21" width="11" customWidth="1"/>
    <col min="22" max="22" width="10.6640625" bestFit="1" customWidth="1"/>
    <col min="23" max="23" width="10.6640625" customWidth="1"/>
    <col min="24" max="24" width="11.44140625" customWidth="1"/>
  </cols>
  <sheetData>
    <row r="2" spans="1:25" s="28" customFormat="1" x14ac:dyDescent="0.25">
      <c r="A2" s="108" t="s">
        <v>39</v>
      </c>
      <c r="B2" s="109"/>
      <c r="C2" s="109"/>
      <c r="D2" s="109"/>
      <c r="E2" s="109"/>
      <c r="F2" s="109"/>
      <c r="G2" s="110"/>
      <c r="H2" s="127"/>
      <c r="I2" s="128"/>
      <c r="J2" s="129"/>
      <c r="K2" s="108" t="s">
        <v>40</v>
      </c>
      <c r="L2" s="109"/>
      <c r="M2" s="109"/>
      <c r="N2" s="109"/>
      <c r="O2" s="109"/>
      <c r="P2" s="109"/>
      <c r="Q2" s="110"/>
      <c r="R2" s="38"/>
      <c r="S2" s="38"/>
      <c r="T2" s="143"/>
      <c r="U2" s="140" t="s">
        <v>41</v>
      </c>
      <c r="V2" s="141"/>
      <c r="W2" s="141"/>
      <c r="X2" s="141"/>
      <c r="Y2" s="142"/>
    </row>
    <row r="3" spans="1:25" s="27" customFormat="1" ht="26.4" x14ac:dyDescent="0.25">
      <c r="A3" s="26" t="s">
        <v>19</v>
      </c>
      <c r="B3" s="26" t="s">
        <v>20</v>
      </c>
      <c r="C3" s="26" t="s">
        <v>51</v>
      </c>
      <c r="D3" s="26" t="s">
        <v>44</v>
      </c>
      <c r="E3" s="26" t="s">
        <v>30</v>
      </c>
      <c r="F3" s="26" t="s">
        <v>31</v>
      </c>
      <c r="G3" s="32" t="s">
        <v>32</v>
      </c>
      <c r="H3" s="130"/>
      <c r="I3" s="131"/>
      <c r="J3" s="132"/>
      <c r="K3" s="30" t="s">
        <v>19</v>
      </c>
      <c r="L3" s="26" t="s">
        <v>25</v>
      </c>
      <c r="M3" s="26" t="s">
        <v>50</v>
      </c>
      <c r="N3" s="26" t="s">
        <v>45</v>
      </c>
      <c r="O3" s="26" t="s">
        <v>30</v>
      </c>
      <c r="P3" s="26" t="s">
        <v>31</v>
      </c>
      <c r="Q3" s="32" t="s">
        <v>32</v>
      </c>
      <c r="R3" s="39"/>
      <c r="S3" s="39"/>
      <c r="T3" s="144"/>
      <c r="U3" s="26" t="s">
        <v>19</v>
      </c>
      <c r="V3" s="26" t="s">
        <v>27</v>
      </c>
      <c r="W3" s="26" t="s">
        <v>52</v>
      </c>
      <c r="X3" s="26" t="s">
        <v>46</v>
      </c>
      <c r="Y3" s="26" t="s">
        <v>30</v>
      </c>
    </row>
    <row r="4" spans="1:25" s="28" customFormat="1" x14ac:dyDescent="0.25">
      <c r="A4" s="25">
        <v>315</v>
      </c>
      <c r="B4" s="25">
        <v>72</v>
      </c>
      <c r="C4" s="25"/>
      <c r="D4" s="25">
        <f>B4+C4</f>
        <v>72</v>
      </c>
      <c r="E4" s="25">
        <f>D4/4</f>
        <v>18</v>
      </c>
      <c r="F4" s="25">
        <f t="shared" ref="F4:F6" si="0">C4</f>
        <v>0</v>
      </c>
      <c r="G4" s="33"/>
      <c r="H4" s="130"/>
      <c r="I4" s="131"/>
      <c r="J4" s="132"/>
      <c r="K4" s="31">
        <v>315</v>
      </c>
      <c r="L4" s="25">
        <f>4*12</f>
        <v>48</v>
      </c>
      <c r="M4" s="25">
        <v>13</v>
      </c>
      <c r="N4" s="25">
        <f>L4+M4</f>
        <v>61</v>
      </c>
      <c r="O4" s="25">
        <f>N4/4</f>
        <v>15.25</v>
      </c>
      <c r="P4" s="25">
        <f>M4*4</f>
        <v>52</v>
      </c>
      <c r="Q4" s="33"/>
      <c r="R4" s="40"/>
      <c r="S4" s="40"/>
      <c r="T4" s="144"/>
      <c r="U4" s="25">
        <v>315</v>
      </c>
      <c r="V4" s="25">
        <v>52</v>
      </c>
      <c r="W4" s="25"/>
      <c r="X4" s="25">
        <f>V4+W4</f>
        <v>52</v>
      </c>
      <c r="Y4" s="25">
        <f>X4/2</f>
        <v>26</v>
      </c>
    </row>
    <row r="5" spans="1:25" s="28" customFormat="1" x14ac:dyDescent="0.25">
      <c r="A5" s="25">
        <v>400</v>
      </c>
      <c r="B5" s="25">
        <v>70</v>
      </c>
      <c r="C5" s="25"/>
      <c r="D5" s="25">
        <f t="shared" ref="D5:D12" si="1">B5+C5</f>
        <v>70</v>
      </c>
      <c r="E5" s="25">
        <f t="shared" ref="E5:E12" si="2">D5/4</f>
        <v>17.5</v>
      </c>
      <c r="F5" s="25">
        <f t="shared" si="0"/>
        <v>0</v>
      </c>
      <c r="G5" s="33"/>
      <c r="H5" s="130"/>
      <c r="I5" s="131"/>
      <c r="J5" s="132"/>
      <c r="K5" s="31">
        <v>400</v>
      </c>
      <c r="L5" s="25">
        <f>4*6</f>
        <v>24</v>
      </c>
      <c r="M5" s="25">
        <v>39</v>
      </c>
      <c r="N5" s="25">
        <f t="shared" ref="N5:N12" si="3">L5+M5</f>
        <v>63</v>
      </c>
      <c r="O5" s="25">
        <f t="shared" ref="O5:O12" si="4">N5/4</f>
        <v>15.75</v>
      </c>
      <c r="P5" s="25">
        <f t="shared" ref="P5:P12" si="5">M5*4</f>
        <v>156</v>
      </c>
      <c r="Q5" s="33"/>
      <c r="R5" s="40"/>
      <c r="S5" s="40"/>
      <c r="T5" s="144"/>
      <c r="U5" s="25">
        <v>400</v>
      </c>
      <c r="V5" s="25">
        <v>58</v>
      </c>
      <c r="W5" s="25"/>
      <c r="X5" s="25">
        <f t="shared" ref="X5:X12" si="6">V5+W5</f>
        <v>58</v>
      </c>
      <c r="Y5" s="25">
        <f t="shared" ref="Y5:Y12" si="7">X5/2</f>
        <v>29</v>
      </c>
    </row>
    <row r="6" spans="1:25" s="28" customFormat="1" x14ac:dyDescent="0.25">
      <c r="A6" s="25">
        <v>500</v>
      </c>
      <c r="B6" s="25">
        <v>87</v>
      </c>
      <c r="C6" s="25">
        <v>6</v>
      </c>
      <c r="D6" s="25">
        <f t="shared" si="1"/>
        <v>93</v>
      </c>
      <c r="E6" s="25">
        <f t="shared" si="2"/>
        <v>23.25</v>
      </c>
      <c r="F6" s="25">
        <f t="shared" si="0"/>
        <v>6</v>
      </c>
      <c r="G6" s="33"/>
      <c r="H6" s="130"/>
      <c r="I6" s="131"/>
      <c r="J6" s="132"/>
      <c r="K6" s="31">
        <v>500</v>
      </c>
      <c r="L6" s="25">
        <f>4*34</f>
        <v>136</v>
      </c>
      <c r="M6" s="25">
        <v>4</v>
      </c>
      <c r="N6" s="25">
        <f t="shared" si="3"/>
        <v>140</v>
      </c>
      <c r="O6" s="25">
        <f t="shared" si="4"/>
        <v>35</v>
      </c>
      <c r="P6" s="25">
        <f t="shared" si="5"/>
        <v>16</v>
      </c>
      <c r="Q6" s="33"/>
      <c r="R6" s="40"/>
      <c r="S6" s="40"/>
      <c r="T6" s="144"/>
      <c r="U6" s="25">
        <v>500</v>
      </c>
      <c r="V6" s="25">
        <v>22</v>
      </c>
      <c r="W6" s="25"/>
      <c r="X6" s="25">
        <f t="shared" si="6"/>
        <v>22</v>
      </c>
      <c r="Y6" s="25">
        <f t="shared" si="7"/>
        <v>11</v>
      </c>
    </row>
    <row r="7" spans="1:25" s="28" customFormat="1" x14ac:dyDescent="0.25">
      <c r="A7" s="25">
        <v>560</v>
      </c>
      <c r="B7" s="25">
        <f>12-8</f>
        <v>4</v>
      </c>
      <c r="C7" s="25">
        <v>9</v>
      </c>
      <c r="D7" s="29">
        <f t="shared" si="1"/>
        <v>13</v>
      </c>
      <c r="E7" s="25">
        <f t="shared" si="2"/>
        <v>3.25</v>
      </c>
      <c r="F7" s="25">
        <f>C7</f>
        <v>9</v>
      </c>
      <c r="G7" s="33"/>
      <c r="H7" s="130"/>
      <c r="I7" s="131"/>
      <c r="J7" s="132"/>
      <c r="K7" s="31">
        <v>560</v>
      </c>
      <c r="L7" s="25">
        <f>(4*16)-8</f>
        <v>56</v>
      </c>
      <c r="M7" s="25">
        <f>5+8</f>
        <v>13</v>
      </c>
      <c r="N7" s="25">
        <f t="shared" si="3"/>
        <v>69</v>
      </c>
      <c r="O7" s="25">
        <f t="shared" si="4"/>
        <v>17.25</v>
      </c>
      <c r="P7" s="25">
        <f t="shared" si="5"/>
        <v>52</v>
      </c>
      <c r="Q7" s="33"/>
      <c r="R7" s="40"/>
      <c r="S7" s="40"/>
      <c r="T7" s="144"/>
      <c r="U7" s="25">
        <v>560</v>
      </c>
      <c r="V7" s="25">
        <v>18</v>
      </c>
      <c r="W7" s="25"/>
      <c r="X7" s="25">
        <f t="shared" si="6"/>
        <v>18</v>
      </c>
      <c r="Y7" s="25">
        <f t="shared" si="7"/>
        <v>9</v>
      </c>
    </row>
    <row r="8" spans="1:25" s="28" customFormat="1" x14ac:dyDescent="0.25">
      <c r="A8" s="25">
        <v>630</v>
      </c>
      <c r="B8" s="25">
        <v>32</v>
      </c>
      <c r="C8" s="25"/>
      <c r="D8" s="29">
        <f t="shared" si="1"/>
        <v>32</v>
      </c>
      <c r="E8" s="25">
        <f t="shared" si="2"/>
        <v>8</v>
      </c>
      <c r="F8" s="25">
        <f t="shared" ref="F8:F12" si="8">C8</f>
        <v>0</v>
      </c>
      <c r="G8" s="33"/>
      <c r="H8" s="130"/>
      <c r="I8" s="131"/>
      <c r="J8" s="132"/>
      <c r="K8" s="31">
        <v>630</v>
      </c>
      <c r="L8" s="25">
        <f>4*16</f>
        <v>64</v>
      </c>
      <c r="M8" s="25"/>
      <c r="N8" s="25">
        <f t="shared" si="3"/>
        <v>64</v>
      </c>
      <c r="O8" s="25">
        <f t="shared" si="4"/>
        <v>16</v>
      </c>
      <c r="P8" s="25">
        <f t="shared" si="5"/>
        <v>0</v>
      </c>
      <c r="Q8" s="33"/>
      <c r="R8" s="40"/>
      <c r="S8" s="40"/>
      <c r="T8" s="144"/>
      <c r="U8" s="25">
        <v>630</v>
      </c>
      <c r="V8" s="25">
        <f>6-4</f>
        <v>2</v>
      </c>
      <c r="W8" s="25"/>
      <c r="X8" s="25">
        <f t="shared" si="6"/>
        <v>2</v>
      </c>
      <c r="Y8" s="25">
        <f t="shared" si="7"/>
        <v>1</v>
      </c>
    </row>
    <row r="9" spans="1:25" s="28" customFormat="1" x14ac:dyDescent="0.25">
      <c r="A9" s="25">
        <v>710</v>
      </c>
      <c r="B9" s="25">
        <f>29-8</f>
        <v>21</v>
      </c>
      <c r="C9" s="25"/>
      <c r="D9" s="37">
        <f t="shared" si="1"/>
        <v>21</v>
      </c>
      <c r="E9" s="25">
        <f t="shared" si="2"/>
        <v>5.25</v>
      </c>
      <c r="F9" s="25">
        <f t="shared" si="8"/>
        <v>0</v>
      </c>
      <c r="G9" s="33"/>
      <c r="H9" s="130"/>
      <c r="I9" s="131"/>
      <c r="J9" s="132"/>
      <c r="K9" s="31">
        <v>710</v>
      </c>
      <c r="L9" s="25">
        <f>(4*18)-8</f>
        <v>64</v>
      </c>
      <c r="M9" s="25"/>
      <c r="N9" s="25">
        <f t="shared" si="3"/>
        <v>64</v>
      </c>
      <c r="O9" s="25">
        <f t="shared" si="4"/>
        <v>16</v>
      </c>
      <c r="P9" s="25">
        <f t="shared" si="5"/>
        <v>0</v>
      </c>
      <c r="Q9" s="33"/>
      <c r="R9" s="40"/>
      <c r="S9" s="40"/>
      <c r="T9" s="144"/>
      <c r="U9" s="25">
        <v>710</v>
      </c>
      <c r="V9" s="25">
        <f>14-4</f>
        <v>10</v>
      </c>
      <c r="W9" s="25"/>
      <c r="X9" s="25">
        <f t="shared" si="6"/>
        <v>10</v>
      </c>
      <c r="Y9" s="25">
        <f t="shared" si="7"/>
        <v>5</v>
      </c>
    </row>
    <row r="10" spans="1:25" s="28" customFormat="1" x14ac:dyDescent="0.25">
      <c r="A10" s="25">
        <v>800</v>
      </c>
      <c r="B10" s="25">
        <v>54</v>
      </c>
      <c r="C10" s="25"/>
      <c r="D10" s="25">
        <f t="shared" si="1"/>
        <v>54</v>
      </c>
      <c r="E10" s="25">
        <f t="shared" si="2"/>
        <v>13.5</v>
      </c>
      <c r="F10" s="25">
        <f t="shared" si="8"/>
        <v>0</v>
      </c>
      <c r="G10" s="33"/>
      <c r="H10" s="130"/>
      <c r="I10" s="131"/>
      <c r="J10" s="132"/>
      <c r="K10" s="31">
        <v>800</v>
      </c>
      <c r="L10" s="25">
        <f>4*14</f>
        <v>56</v>
      </c>
      <c r="M10" s="25"/>
      <c r="N10" s="25">
        <f t="shared" si="3"/>
        <v>56</v>
      </c>
      <c r="O10" s="25">
        <f t="shared" si="4"/>
        <v>14</v>
      </c>
      <c r="P10" s="25">
        <f t="shared" si="5"/>
        <v>0</v>
      </c>
      <c r="Q10" s="33"/>
      <c r="R10" s="40"/>
      <c r="S10" s="40"/>
      <c r="T10" s="144"/>
      <c r="U10" s="25">
        <v>800</v>
      </c>
      <c r="V10" s="25">
        <v>12</v>
      </c>
      <c r="W10" s="25"/>
      <c r="X10" s="25">
        <f t="shared" si="6"/>
        <v>12</v>
      </c>
      <c r="Y10" s="25">
        <f t="shared" si="7"/>
        <v>6</v>
      </c>
    </row>
    <row r="11" spans="1:25" s="28" customFormat="1" x14ac:dyDescent="0.25">
      <c r="A11" s="25">
        <v>900</v>
      </c>
      <c r="B11" s="25">
        <v>8</v>
      </c>
      <c r="C11" s="25"/>
      <c r="D11" s="25">
        <f t="shared" si="1"/>
        <v>8</v>
      </c>
      <c r="E11" s="25">
        <f t="shared" si="2"/>
        <v>2</v>
      </c>
      <c r="F11" s="25">
        <f t="shared" si="8"/>
        <v>0</v>
      </c>
      <c r="G11" s="33"/>
      <c r="H11" s="130"/>
      <c r="I11" s="131"/>
      <c r="J11" s="132"/>
      <c r="K11" s="31">
        <v>900</v>
      </c>
      <c r="L11" s="25">
        <f>3*4</f>
        <v>12</v>
      </c>
      <c r="M11" s="25"/>
      <c r="N11" s="25">
        <f t="shared" si="3"/>
        <v>12</v>
      </c>
      <c r="O11" s="25">
        <f t="shared" si="4"/>
        <v>3</v>
      </c>
      <c r="P11" s="25">
        <f t="shared" si="5"/>
        <v>0</v>
      </c>
      <c r="Q11" s="33"/>
      <c r="R11" s="40"/>
      <c r="S11" s="40"/>
      <c r="T11" s="144"/>
      <c r="U11" s="25">
        <v>900</v>
      </c>
      <c r="V11" s="25">
        <v>0</v>
      </c>
      <c r="W11" s="25"/>
      <c r="X11" s="25">
        <f t="shared" si="6"/>
        <v>0</v>
      </c>
      <c r="Y11" s="25">
        <f t="shared" si="7"/>
        <v>0</v>
      </c>
    </row>
    <row r="12" spans="1:25" s="28" customFormat="1" x14ac:dyDescent="0.25">
      <c r="A12" s="25">
        <v>1000</v>
      </c>
      <c r="B12" s="25"/>
      <c r="C12" s="25"/>
      <c r="D12" s="25">
        <f t="shared" si="1"/>
        <v>0</v>
      </c>
      <c r="E12" s="25">
        <f t="shared" si="2"/>
        <v>0</v>
      </c>
      <c r="F12" s="25">
        <f t="shared" si="8"/>
        <v>0</v>
      </c>
      <c r="G12" s="33"/>
      <c r="H12" s="133"/>
      <c r="I12" s="134"/>
      <c r="J12" s="135"/>
      <c r="K12" s="31">
        <v>1000</v>
      </c>
      <c r="L12" s="25">
        <f>4*3</f>
        <v>12</v>
      </c>
      <c r="M12" s="25"/>
      <c r="N12" s="25">
        <f t="shared" si="3"/>
        <v>12</v>
      </c>
      <c r="O12" s="25">
        <f t="shared" si="4"/>
        <v>3</v>
      </c>
      <c r="P12" s="25">
        <f t="shared" si="5"/>
        <v>0</v>
      </c>
      <c r="Q12" s="33"/>
      <c r="R12" s="40"/>
      <c r="S12" s="40"/>
      <c r="T12" s="145"/>
      <c r="U12" s="25">
        <v>1000</v>
      </c>
      <c r="V12" s="25">
        <v>0</v>
      </c>
      <c r="W12" s="25"/>
      <c r="X12" s="25">
        <f t="shared" si="6"/>
        <v>0</v>
      </c>
      <c r="Y12" s="25">
        <f t="shared" si="7"/>
        <v>0</v>
      </c>
    </row>
    <row r="13" spans="1:25" s="28" customFormat="1" x14ac:dyDescent="0.25">
      <c r="F13" s="25">
        <f>SUM(F4:F12)</f>
        <v>15</v>
      </c>
      <c r="G13" s="33">
        <f>F13*5</f>
        <v>75</v>
      </c>
      <c r="H13" s="35"/>
      <c r="I13" s="35"/>
      <c r="J13" s="35"/>
      <c r="P13" s="25">
        <f>SUM(P4:P12)</f>
        <v>276</v>
      </c>
      <c r="Q13" s="33">
        <f>P13*5</f>
        <v>1380</v>
      </c>
      <c r="R13" s="35"/>
      <c r="S13" s="35"/>
      <c r="T13" s="35"/>
    </row>
    <row r="14" spans="1:25" s="28" customFormat="1" hidden="1" x14ac:dyDescent="0.25">
      <c r="A14" s="107" t="s">
        <v>22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</row>
    <row r="15" spans="1:25" s="28" customFormat="1" ht="39.6" hidden="1" x14ac:dyDescent="0.25">
      <c r="A15" s="26" t="s">
        <v>19</v>
      </c>
      <c r="B15" s="26" t="s">
        <v>20</v>
      </c>
      <c r="C15" s="26" t="s">
        <v>21</v>
      </c>
      <c r="D15" s="26" t="s">
        <v>23</v>
      </c>
      <c r="E15" s="27"/>
      <c r="F15" s="27"/>
      <c r="G15" s="34"/>
      <c r="H15" s="34"/>
      <c r="I15" s="34"/>
      <c r="J15" s="34"/>
      <c r="K15" s="26" t="s">
        <v>19</v>
      </c>
      <c r="L15" s="26" t="s">
        <v>25</v>
      </c>
      <c r="M15" s="26" t="s">
        <v>26</v>
      </c>
      <c r="N15" s="26" t="s">
        <v>24</v>
      </c>
      <c r="O15" s="27"/>
      <c r="P15" s="27"/>
      <c r="Q15" s="27"/>
      <c r="R15" s="27"/>
      <c r="S15" s="27"/>
      <c r="T15" s="27"/>
      <c r="U15" s="26" t="s">
        <v>19</v>
      </c>
      <c r="V15" s="26" t="s">
        <v>27</v>
      </c>
      <c r="W15" s="26" t="s">
        <v>28</v>
      </c>
      <c r="X15" s="26" t="s">
        <v>29</v>
      </c>
    </row>
    <row r="16" spans="1:25" s="28" customFormat="1" hidden="1" x14ac:dyDescent="0.25">
      <c r="A16" s="25">
        <v>315</v>
      </c>
      <c r="B16" s="25"/>
      <c r="C16" s="25"/>
      <c r="D16" s="25">
        <f>B16-C16</f>
        <v>0</v>
      </c>
      <c r="G16" s="35"/>
      <c r="H16" s="35"/>
      <c r="I16" s="35"/>
      <c r="J16" s="35"/>
      <c r="K16" s="25">
        <v>315</v>
      </c>
      <c r="L16" s="25"/>
      <c r="M16" s="25"/>
      <c r="N16" s="25">
        <f>L16-M16</f>
        <v>0</v>
      </c>
      <c r="O16" s="25">
        <f>4*8</f>
        <v>32</v>
      </c>
      <c r="U16" s="25">
        <v>315</v>
      </c>
      <c r="V16" s="25"/>
      <c r="W16" s="25"/>
      <c r="X16" s="25">
        <f>V16-W16</f>
        <v>0</v>
      </c>
    </row>
    <row r="17" spans="1:25" s="28" customFormat="1" hidden="1" x14ac:dyDescent="0.25">
      <c r="A17" s="25">
        <v>400</v>
      </c>
      <c r="B17" s="25"/>
      <c r="C17" s="25"/>
      <c r="D17" s="25">
        <f t="shared" ref="D17:D24" si="9">B17-C17</f>
        <v>0</v>
      </c>
      <c r="G17" s="35"/>
      <c r="H17" s="35"/>
      <c r="I17" s="35"/>
      <c r="J17" s="35"/>
      <c r="K17" s="25">
        <v>400</v>
      </c>
      <c r="L17" s="25"/>
      <c r="M17" s="25"/>
      <c r="N17" s="25">
        <f t="shared" ref="N17:N24" si="10">L17-M17</f>
        <v>0</v>
      </c>
      <c r="O17" s="25">
        <f>4*15</f>
        <v>60</v>
      </c>
      <c r="U17" s="25">
        <v>400</v>
      </c>
      <c r="V17" s="25"/>
      <c r="W17" s="25"/>
      <c r="X17" s="25">
        <f t="shared" ref="X17:X24" si="11">V17-W17</f>
        <v>0</v>
      </c>
    </row>
    <row r="18" spans="1:25" s="28" customFormat="1" hidden="1" x14ac:dyDescent="0.25">
      <c r="A18" s="25">
        <v>500</v>
      </c>
      <c r="B18" s="25"/>
      <c r="C18" s="25"/>
      <c r="D18" s="25">
        <f t="shared" si="9"/>
        <v>0</v>
      </c>
      <c r="G18" s="35"/>
      <c r="H18" s="35"/>
      <c r="I18" s="35"/>
      <c r="J18" s="35"/>
      <c r="K18" s="25">
        <v>500</v>
      </c>
      <c r="L18" s="25"/>
      <c r="M18" s="25"/>
      <c r="N18" s="25">
        <f t="shared" si="10"/>
        <v>0</v>
      </c>
      <c r="O18" s="25"/>
      <c r="U18" s="25">
        <v>500</v>
      </c>
      <c r="V18" s="25"/>
      <c r="W18" s="25"/>
      <c r="X18" s="25">
        <f t="shared" si="11"/>
        <v>0</v>
      </c>
    </row>
    <row r="19" spans="1:25" s="28" customFormat="1" hidden="1" x14ac:dyDescent="0.25">
      <c r="A19" s="25">
        <v>560</v>
      </c>
      <c r="B19" s="25"/>
      <c r="C19" s="25"/>
      <c r="D19" s="25">
        <f t="shared" si="9"/>
        <v>0</v>
      </c>
      <c r="G19" s="35"/>
      <c r="H19" s="35"/>
      <c r="I19" s="35"/>
      <c r="J19" s="35"/>
      <c r="K19" s="25">
        <v>560</v>
      </c>
      <c r="L19" s="25"/>
      <c r="M19" s="25"/>
      <c r="N19" s="25">
        <f t="shared" si="10"/>
        <v>0</v>
      </c>
      <c r="O19" s="25">
        <f>4*6</f>
        <v>24</v>
      </c>
      <c r="U19" s="25">
        <v>560</v>
      </c>
      <c r="V19" s="25"/>
      <c r="W19" s="25"/>
      <c r="X19" s="25">
        <f t="shared" si="11"/>
        <v>0</v>
      </c>
    </row>
    <row r="20" spans="1:25" s="28" customFormat="1" hidden="1" x14ac:dyDescent="0.25">
      <c r="A20" s="25">
        <v>630</v>
      </c>
      <c r="B20" s="25"/>
      <c r="C20" s="25"/>
      <c r="D20" s="25">
        <f t="shared" si="9"/>
        <v>0</v>
      </c>
      <c r="G20" s="35"/>
      <c r="H20" s="35"/>
      <c r="I20" s="35"/>
      <c r="J20" s="35"/>
      <c r="K20" s="25">
        <v>630</v>
      </c>
      <c r="L20" s="25"/>
      <c r="M20" s="25"/>
      <c r="N20" s="25">
        <f t="shared" si="10"/>
        <v>0</v>
      </c>
      <c r="O20" s="25">
        <f>4*6</f>
        <v>24</v>
      </c>
      <c r="U20" s="25">
        <v>630</v>
      </c>
      <c r="V20" s="25"/>
      <c r="W20" s="25"/>
      <c r="X20" s="25">
        <f t="shared" si="11"/>
        <v>0</v>
      </c>
    </row>
    <row r="21" spans="1:25" s="28" customFormat="1" hidden="1" x14ac:dyDescent="0.25">
      <c r="A21" s="25">
        <v>710</v>
      </c>
      <c r="B21" s="25"/>
      <c r="C21" s="25"/>
      <c r="D21" s="25">
        <f t="shared" si="9"/>
        <v>0</v>
      </c>
      <c r="G21" s="35"/>
      <c r="H21" s="35"/>
      <c r="I21" s="35"/>
      <c r="J21" s="35"/>
      <c r="K21" s="25">
        <v>710</v>
      </c>
      <c r="L21" s="25"/>
      <c r="M21" s="25"/>
      <c r="N21" s="25">
        <f t="shared" si="10"/>
        <v>0</v>
      </c>
      <c r="O21" s="25">
        <f>4*4</f>
        <v>16</v>
      </c>
      <c r="U21" s="25">
        <v>710</v>
      </c>
      <c r="V21" s="25"/>
      <c r="W21" s="25"/>
      <c r="X21" s="25">
        <f t="shared" si="11"/>
        <v>0</v>
      </c>
    </row>
    <row r="22" spans="1:25" s="28" customFormat="1" hidden="1" x14ac:dyDescent="0.25">
      <c r="A22" s="25">
        <v>800</v>
      </c>
      <c r="B22" s="25"/>
      <c r="C22" s="25"/>
      <c r="D22" s="25">
        <f t="shared" si="9"/>
        <v>0</v>
      </c>
      <c r="G22" s="35"/>
      <c r="H22" s="35"/>
      <c r="I22" s="35"/>
      <c r="J22" s="35"/>
      <c r="K22" s="25">
        <v>800</v>
      </c>
      <c r="L22" s="25"/>
      <c r="M22" s="25"/>
      <c r="N22" s="25">
        <f t="shared" si="10"/>
        <v>0</v>
      </c>
      <c r="O22" s="25">
        <f>4*10</f>
        <v>40</v>
      </c>
      <c r="U22" s="25">
        <v>800</v>
      </c>
      <c r="V22" s="25"/>
      <c r="W22" s="25"/>
      <c r="X22" s="25">
        <f t="shared" si="11"/>
        <v>0</v>
      </c>
    </row>
    <row r="23" spans="1:25" s="28" customFormat="1" hidden="1" x14ac:dyDescent="0.25">
      <c r="A23" s="25">
        <v>900</v>
      </c>
      <c r="B23" s="25"/>
      <c r="C23" s="25"/>
      <c r="D23" s="25">
        <f t="shared" si="9"/>
        <v>0</v>
      </c>
      <c r="G23" s="35"/>
      <c r="H23" s="35"/>
      <c r="I23" s="35"/>
      <c r="J23" s="35"/>
      <c r="K23" s="25">
        <v>900</v>
      </c>
      <c r="L23" s="25"/>
      <c r="M23" s="25"/>
      <c r="N23" s="25">
        <f t="shared" si="10"/>
        <v>0</v>
      </c>
      <c r="U23" s="25">
        <v>900</v>
      </c>
      <c r="V23" s="25"/>
      <c r="W23" s="25"/>
      <c r="X23" s="25">
        <f t="shared" si="11"/>
        <v>0</v>
      </c>
    </row>
    <row r="24" spans="1:25" s="28" customFormat="1" hidden="1" x14ac:dyDescent="0.25">
      <c r="A24" s="25">
        <v>1000</v>
      </c>
      <c r="B24" s="25"/>
      <c r="C24" s="25"/>
      <c r="D24" s="25">
        <f t="shared" si="9"/>
        <v>0</v>
      </c>
      <c r="G24" s="35"/>
      <c r="H24" s="35"/>
      <c r="I24" s="35"/>
      <c r="J24" s="35"/>
      <c r="K24" s="25">
        <v>1000</v>
      </c>
      <c r="L24" s="25"/>
      <c r="M24" s="25"/>
      <c r="N24" s="25">
        <f t="shared" si="10"/>
        <v>0</v>
      </c>
      <c r="U24" s="25">
        <v>1000</v>
      </c>
      <c r="V24" s="25"/>
      <c r="W24" s="25"/>
      <c r="X24" s="25">
        <f t="shared" si="11"/>
        <v>0</v>
      </c>
    </row>
    <row r="25" spans="1:25" s="28" customFormat="1" x14ac:dyDescent="0.25">
      <c r="G25" s="35"/>
      <c r="H25" s="35"/>
      <c r="I25" s="35"/>
      <c r="J25" s="35"/>
    </row>
    <row r="26" spans="1:25" s="28" customFormat="1" ht="15" customHeight="1" x14ac:dyDescent="0.25">
      <c r="A26" s="108" t="s">
        <v>43</v>
      </c>
      <c r="B26" s="109"/>
      <c r="C26" s="109"/>
      <c r="D26" s="109"/>
      <c r="E26" s="109"/>
      <c r="F26" s="109"/>
      <c r="G26" s="110"/>
      <c r="H26" s="136"/>
      <c r="I26" s="45"/>
      <c r="J26" s="46" t="s">
        <v>42</v>
      </c>
      <c r="K26" s="47"/>
      <c r="L26" s="47"/>
      <c r="M26" s="47"/>
      <c r="N26" s="48"/>
      <c r="O26" s="137"/>
      <c r="P26" s="41" t="s">
        <v>54</v>
      </c>
      <c r="Q26" s="42"/>
      <c r="R26" s="42"/>
      <c r="S26" s="43"/>
      <c r="T26" s="143"/>
      <c r="U26" s="140" t="s">
        <v>38</v>
      </c>
      <c r="V26" s="141"/>
      <c r="W26" s="141"/>
      <c r="X26" s="141"/>
      <c r="Y26" s="142"/>
    </row>
    <row r="27" spans="1:25" s="27" customFormat="1" ht="26.4" x14ac:dyDescent="0.25">
      <c r="A27" s="26" t="s">
        <v>19</v>
      </c>
      <c r="B27" s="26" t="s">
        <v>33</v>
      </c>
      <c r="C27" s="26" t="s">
        <v>34</v>
      </c>
      <c r="D27" s="26" t="s">
        <v>35</v>
      </c>
      <c r="E27" s="26" t="s">
        <v>37</v>
      </c>
      <c r="F27" s="26" t="s">
        <v>36</v>
      </c>
      <c r="G27" s="32" t="s">
        <v>47</v>
      </c>
      <c r="H27" s="136"/>
      <c r="I27" s="26" t="s">
        <v>19</v>
      </c>
      <c r="J27" s="26" t="s">
        <v>34</v>
      </c>
      <c r="K27" s="26" t="s">
        <v>35</v>
      </c>
      <c r="L27" s="26" t="s">
        <v>37</v>
      </c>
      <c r="M27" s="26" t="s">
        <v>36</v>
      </c>
      <c r="N27" s="26" t="s">
        <v>47</v>
      </c>
      <c r="O27" s="138"/>
      <c r="P27" s="26" t="s">
        <v>19</v>
      </c>
      <c r="Q27" s="26" t="s">
        <v>48</v>
      </c>
      <c r="R27" s="26" t="s">
        <v>49</v>
      </c>
      <c r="S27" s="26" t="s">
        <v>53</v>
      </c>
      <c r="T27" s="144"/>
      <c r="U27" s="26" t="s">
        <v>19</v>
      </c>
      <c r="V27" s="26" t="s">
        <v>27</v>
      </c>
      <c r="W27" s="26" t="s">
        <v>52</v>
      </c>
      <c r="X27" s="26" t="s">
        <v>46</v>
      </c>
      <c r="Y27" s="26" t="s">
        <v>30</v>
      </c>
    </row>
    <row r="28" spans="1:25" s="28" customFormat="1" x14ac:dyDescent="0.25">
      <c r="A28" s="25">
        <v>315</v>
      </c>
      <c r="B28" s="25"/>
      <c r="C28" s="25">
        <f>B28*4</f>
        <v>0</v>
      </c>
      <c r="D28" s="25">
        <f>B28*4</f>
        <v>0</v>
      </c>
      <c r="E28" s="25">
        <f>B28*2</f>
        <v>0</v>
      </c>
      <c r="F28" s="25">
        <f>E28</f>
        <v>0</v>
      </c>
      <c r="G28" s="25">
        <f>B28</f>
        <v>0</v>
      </c>
      <c r="H28" s="136"/>
      <c r="I28" s="25">
        <v>315</v>
      </c>
      <c r="J28" s="25">
        <f t="shared" ref="J28:J36" si="12">D4-C28</f>
        <v>72</v>
      </c>
      <c r="K28" s="25">
        <f t="shared" ref="K28:K36" si="13">N4-D28</f>
        <v>61</v>
      </c>
      <c r="L28" s="25">
        <f t="shared" ref="L28:L36" si="14">X4-E28</f>
        <v>52</v>
      </c>
      <c r="M28" s="25">
        <f t="shared" ref="M28:M36" si="15">X28-F28</f>
        <v>102</v>
      </c>
      <c r="N28" s="25">
        <f t="shared" ref="N28:N36" si="16">S28-G28</f>
        <v>8</v>
      </c>
      <c r="O28" s="138"/>
      <c r="P28" s="25">
        <v>315</v>
      </c>
      <c r="Q28" s="25">
        <v>6</v>
      </c>
      <c r="R28" s="25">
        <v>2</v>
      </c>
      <c r="S28" s="25">
        <f>Q28+R28</f>
        <v>8</v>
      </c>
      <c r="T28" s="144"/>
      <c r="U28" s="25">
        <v>315</v>
      </c>
      <c r="V28" s="25">
        <v>102</v>
      </c>
      <c r="W28" s="25"/>
      <c r="X28" s="25">
        <f>V28+W28</f>
        <v>102</v>
      </c>
      <c r="Y28" s="25">
        <f>X28/2</f>
        <v>51</v>
      </c>
    </row>
    <row r="29" spans="1:25" s="28" customFormat="1" x14ac:dyDescent="0.25">
      <c r="A29" s="25">
        <v>400</v>
      </c>
      <c r="B29" s="25"/>
      <c r="C29" s="25">
        <f t="shared" ref="C29" si="17">B29*4</f>
        <v>0</v>
      </c>
      <c r="D29" s="25">
        <f t="shared" ref="D29:D36" si="18">B29*4</f>
        <v>0</v>
      </c>
      <c r="E29" s="25">
        <f t="shared" ref="E29:E36" si="19">B29*2</f>
        <v>0</v>
      </c>
      <c r="F29" s="25">
        <f t="shared" ref="F29:F36" si="20">E29</f>
        <v>0</v>
      </c>
      <c r="G29" s="25">
        <f t="shared" ref="G29:G36" si="21">B29</f>
        <v>0</v>
      </c>
      <c r="H29" s="136"/>
      <c r="I29" s="25">
        <v>400</v>
      </c>
      <c r="J29" s="25">
        <f t="shared" si="12"/>
        <v>70</v>
      </c>
      <c r="K29" s="25">
        <f t="shared" si="13"/>
        <v>63</v>
      </c>
      <c r="L29" s="25">
        <f t="shared" si="14"/>
        <v>58</v>
      </c>
      <c r="M29" s="25">
        <f t="shared" si="15"/>
        <v>112</v>
      </c>
      <c r="N29" s="25">
        <f t="shared" si="16"/>
        <v>10</v>
      </c>
      <c r="O29" s="138"/>
      <c r="P29" s="25">
        <v>400</v>
      </c>
      <c r="Q29" s="25">
        <v>2</v>
      </c>
      <c r="R29" s="25">
        <v>8</v>
      </c>
      <c r="S29" s="25">
        <f t="shared" ref="S29:S36" si="22">Q29+R29</f>
        <v>10</v>
      </c>
      <c r="T29" s="144"/>
      <c r="U29" s="25">
        <v>400</v>
      </c>
      <c r="V29" s="25">
        <v>112</v>
      </c>
      <c r="W29" s="25"/>
      <c r="X29" s="25">
        <f t="shared" ref="X29:X36" si="23">V29+W29</f>
        <v>112</v>
      </c>
      <c r="Y29" s="25">
        <f t="shared" ref="Y29:Y36" si="24">X29/2</f>
        <v>56</v>
      </c>
    </row>
    <row r="30" spans="1:25" s="28" customFormat="1" x14ac:dyDescent="0.25">
      <c r="A30" s="25">
        <v>500</v>
      </c>
      <c r="B30" s="25"/>
      <c r="C30" s="25">
        <f t="shared" ref="C30" si="25">B30*4</f>
        <v>0</v>
      </c>
      <c r="D30" s="25">
        <f t="shared" si="18"/>
        <v>0</v>
      </c>
      <c r="E30" s="25">
        <f t="shared" si="19"/>
        <v>0</v>
      </c>
      <c r="F30" s="25">
        <f t="shared" si="20"/>
        <v>0</v>
      </c>
      <c r="G30" s="25">
        <f t="shared" si="21"/>
        <v>0</v>
      </c>
      <c r="H30" s="136"/>
      <c r="I30" s="25">
        <v>500</v>
      </c>
      <c r="J30" s="25">
        <f t="shared" si="12"/>
        <v>93</v>
      </c>
      <c r="K30" s="25">
        <f t="shared" si="13"/>
        <v>140</v>
      </c>
      <c r="L30" s="25">
        <f t="shared" si="14"/>
        <v>22</v>
      </c>
      <c r="M30" s="25">
        <f t="shared" si="15"/>
        <v>11</v>
      </c>
      <c r="N30" s="25">
        <f t="shared" si="16"/>
        <v>10</v>
      </c>
      <c r="O30" s="138"/>
      <c r="P30" s="25">
        <v>500</v>
      </c>
      <c r="Q30" s="25">
        <v>10</v>
      </c>
      <c r="R30" s="25"/>
      <c r="S30" s="25">
        <f t="shared" si="22"/>
        <v>10</v>
      </c>
      <c r="T30" s="144"/>
      <c r="U30" s="25">
        <v>500</v>
      </c>
      <c r="V30" s="25">
        <v>11</v>
      </c>
      <c r="W30" s="25"/>
      <c r="X30" s="25">
        <f t="shared" si="23"/>
        <v>11</v>
      </c>
      <c r="Y30" s="25">
        <f t="shared" si="24"/>
        <v>5.5</v>
      </c>
    </row>
    <row r="31" spans="1:25" s="28" customFormat="1" x14ac:dyDescent="0.25">
      <c r="A31" s="25">
        <v>560</v>
      </c>
      <c r="B31" s="25">
        <v>5</v>
      </c>
      <c r="C31" s="25">
        <f t="shared" ref="C31" si="26">B31*4</f>
        <v>20</v>
      </c>
      <c r="D31" s="25">
        <f t="shared" si="18"/>
        <v>20</v>
      </c>
      <c r="E31" s="25">
        <f t="shared" si="19"/>
        <v>10</v>
      </c>
      <c r="F31" s="25">
        <f t="shared" si="20"/>
        <v>10</v>
      </c>
      <c r="G31" s="25">
        <f t="shared" si="21"/>
        <v>5</v>
      </c>
      <c r="H31" s="136"/>
      <c r="I31" s="25">
        <v>560</v>
      </c>
      <c r="J31" s="25">
        <f t="shared" si="12"/>
        <v>-7</v>
      </c>
      <c r="K31" s="25">
        <f t="shared" si="13"/>
        <v>49</v>
      </c>
      <c r="L31" s="25">
        <f t="shared" si="14"/>
        <v>8</v>
      </c>
      <c r="M31" s="25">
        <f t="shared" si="15"/>
        <v>1</v>
      </c>
      <c r="N31" s="25">
        <f t="shared" si="16"/>
        <v>-2</v>
      </c>
      <c r="O31" s="138"/>
      <c r="P31" s="25">
        <v>560</v>
      </c>
      <c r="Q31" s="25">
        <f>5-2</f>
        <v>3</v>
      </c>
      <c r="R31" s="25"/>
      <c r="S31" s="25">
        <f t="shared" si="22"/>
        <v>3</v>
      </c>
      <c r="T31" s="144"/>
      <c r="U31" s="25">
        <v>560</v>
      </c>
      <c r="V31" s="29">
        <v>11</v>
      </c>
      <c r="W31" s="25"/>
      <c r="X31" s="25">
        <f t="shared" si="23"/>
        <v>11</v>
      </c>
      <c r="Y31" s="25">
        <f t="shared" si="24"/>
        <v>5.5</v>
      </c>
    </row>
    <row r="32" spans="1:25" s="28" customFormat="1" x14ac:dyDescent="0.25">
      <c r="A32" s="25">
        <v>630</v>
      </c>
      <c r="B32" s="25">
        <v>6</v>
      </c>
      <c r="C32" s="25">
        <f t="shared" ref="C32" si="27">B32*4</f>
        <v>24</v>
      </c>
      <c r="D32" s="25">
        <f t="shared" si="18"/>
        <v>24</v>
      </c>
      <c r="E32" s="25">
        <f t="shared" si="19"/>
        <v>12</v>
      </c>
      <c r="F32" s="25">
        <f t="shared" si="20"/>
        <v>12</v>
      </c>
      <c r="G32" s="25">
        <f t="shared" si="21"/>
        <v>6</v>
      </c>
      <c r="H32" s="136"/>
      <c r="I32" s="25">
        <v>630</v>
      </c>
      <c r="J32" s="25">
        <f t="shared" si="12"/>
        <v>8</v>
      </c>
      <c r="K32" s="25">
        <f t="shared" si="13"/>
        <v>40</v>
      </c>
      <c r="L32" s="25">
        <f t="shared" si="14"/>
        <v>-10</v>
      </c>
      <c r="M32" s="25">
        <f t="shared" si="15"/>
        <v>-5</v>
      </c>
      <c r="N32" s="25">
        <f t="shared" si="16"/>
        <v>-3</v>
      </c>
      <c r="O32" s="138"/>
      <c r="P32" s="25">
        <v>630</v>
      </c>
      <c r="Q32" s="25">
        <v>3</v>
      </c>
      <c r="R32" s="25"/>
      <c r="S32" s="25">
        <f t="shared" si="22"/>
        <v>3</v>
      </c>
      <c r="T32" s="144"/>
      <c r="U32" s="25">
        <v>630</v>
      </c>
      <c r="V32" s="29">
        <v>7</v>
      </c>
      <c r="W32" s="25"/>
      <c r="X32" s="25">
        <f t="shared" si="23"/>
        <v>7</v>
      </c>
      <c r="Y32" s="25">
        <f t="shared" si="24"/>
        <v>3.5</v>
      </c>
    </row>
    <row r="33" spans="1:25" s="28" customFormat="1" x14ac:dyDescent="0.25">
      <c r="A33" s="25">
        <v>710</v>
      </c>
      <c r="B33" s="25"/>
      <c r="C33" s="25">
        <f t="shared" ref="C33" si="28">B33*4</f>
        <v>0</v>
      </c>
      <c r="D33" s="25">
        <f t="shared" si="18"/>
        <v>0</v>
      </c>
      <c r="E33" s="25">
        <f t="shared" si="19"/>
        <v>0</v>
      </c>
      <c r="F33" s="25">
        <f t="shared" si="20"/>
        <v>0</v>
      </c>
      <c r="G33" s="25">
        <f t="shared" si="21"/>
        <v>0</v>
      </c>
      <c r="H33" s="136"/>
      <c r="I33" s="25">
        <v>710</v>
      </c>
      <c r="J33" s="25">
        <f t="shared" si="12"/>
        <v>21</v>
      </c>
      <c r="K33" s="25">
        <f t="shared" si="13"/>
        <v>64</v>
      </c>
      <c r="L33" s="25">
        <f t="shared" si="14"/>
        <v>10</v>
      </c>
      <c r="M33" s="25">
        <f t="shared" si="15"/>
        <v>4</v>
      </c>
      <c r="N33" s="25">
        <f t="shared" si="16"/>
        <v>6</v>
      </c>
      <c r="O33" s="138"/>
      <c r="P33" s="25">
        <v>710</v>
      </c>
      <c r="Q33" s="25">
        <f>8-2</f>
        <v>6</v>
      </c>
      <c r="R33" s="25"/>
      <c r="S33" s="25">
        <f t="shared" si="22"/>
        <v>6</v>
      </c>
      <c r="T33" s="144"/>
      <c r="U33" s="25">
        <v>710</v>
      </c>
      <c r="V33" s="25">
        <v>4</v>
      </c>
      <c r="W33" s="25"/>
      <c r="X33" s="25">
        <f t="shared" si="23"/>
        <v>4</v>
      </c>
      <c r="Y33" s="25">
        <f t="shared" si="24"/>
        <v>2</v>
      </c>
    </row>
    <row r="34" spans="1:25" s="28" customFormat="1" x14ac:dyDescent="0.25">
      <c r="A34" s="25">
        <v>800</v>
      </c>
      <c r="B34" s="25">
        <v>8</v>
      </c>
      <c r="C34" s="25">
        <f t="shared" ref="C34" si="29">B34*4</f>
        <v>32</v>
      </c>
      <c r="D34" s="25">
        <f t="shared" si="18"/>
        <v>32</v>
      </c>
      <c r="E34" s="25">
        <f t="shared" si="19"/>
        <v>16</v>
      </c>
      <c r="F34" s="25">
        <f t="shared" si="20"/>
        <v>16</v>
      </c>
      <c r="G34" s="25">
        <f t="shared" si="21"/>
        <v>8</v>
      </c>
      <c r="H34" s="136"/>
      <c r="I34" s="25">
        <v>800</v>
      </c>
      <c r="J34" s="25">
        <f t="shared" si="12"/>
        <v>22</v>
      </c>
      <c r="K34" s="25">
        <f t="shared" si="13"/>
        <v>24</v>
      </c>
      <c r="L34" s="25">
        <f t="shared" si="14"/>
        <v>-4</v>
      </c>
      <c r="M34" s="25">
        <f t="shared" si="15"/>
        <v>-5</v>
      </c>
      <c r="N34" s="25">
        <f t="shared" si="16"/>
        <v>-4</v>
      </c>
      <c r="O34" s="138"/>
      <c r="P34" s="25">
        <v>800</v>
      </c>
      <c r="Q34" s="25">
        <v>4</v>
      </c>
      <c r="R34" s="25"/>
      <c r="S34" s="25">
        <f t="shared" si="22"/>
        <v>4</v>
      </c>
      <c r="T34" s="144"/>
      <c r="U34" s="25">
        <v>800</v>
      </c>
      <c r="V34" s="29">
        <v>11</v>
      </c>
      <c r="W34" s="25"/>
      <c r="X34" s="25">
        <f t="shared" si="23"/>
        <v>11</v>
      </c>
      <c r="Y34" s="25">
        <f t="shared" si="24"/>
        <v>5.5</v>
      </c>
    </row>
    <row r="35" spans="1:25" s="28" customFormat="1" x14ac:dyDescent="0.25">
      <c r="A35" s="25">
        <v>900</v>
      </c>
      <c r="B35" s="25"/>
      <c r="C35" s="25">
        <f t="shared" ref="C35" si="30">B35*4</f>
        <v>0</v>
      </c>
      <c r="D35" s="25">
        <f t="shared" si="18"/>
        <v>0</v>
      </c>
      <c r="E35" s="25">
        <f t="shared" si="19"/>
        <v>0</v>
      </c>
      <c r="F35" s="25">
        <f t="shared" si="20"/>
        <v>0</v>
      </c>
      <c r="G35" s="25">
        <f t="shared" si="21"/>
        <v>0</v>
      </c>
      <c r="H35" s="136"/>
      <c r="I35" s="25">
        <v>900</v>
      </c>
      <c r="J35" s="25">
        <f t="shared" si="12"/>
        <v>8</v>
      </c>
      <c r="K35" s="25">
        <f t="shared" si="13"/>
        <v>12</v>
      </c>
      <c r="L35" s="25">
        <f t="shared" si="14"/>
        <v>0</v>
      </c>
      <c r="M35" s="25">
        <f t="shared" si="15"/>
        <v>0</v>
      </c>
      <c r="N35" s="25">
        <f t="shared" si="16"/>
        <v>0</v>
      </c>
      <c r="O35" s="138"/>
      <c r="P35" s="25">
        <v>900</v>
      </c>
      <c r="Q35" s="25">
        <v>0</v>
      </c>
      <c r="R35" s="25"/>
      <c r="S35" s="25">
        <f t="shared" si="22"/>
        <v>0</v>
      </c>
      <c r="T35" s="144"/>
      <c r="U35" s="25">
        <v>900</v>
      </c>
      <c r="V35" s="25">
        <v>0</v>
      </c>
      <c r="W35" s="25"/>
      <c r="X35" s="25">
        <f t="shared" si="23"/>
        <v>0</v>
      </c>
      <c r="Y35" s="25">
        <f t="shared" si="24"/>
        <v>0</v>
      </c>
    </row>
    <row r="36" spans="1:25" s="28" customFormat="1" x14ac:dyDescent="0.25">
      <c r="A36" s="25">
        <v>1000</v>
      </c>
      <c r="B36" s="25"/>
      <c r="C36" s="25">
        <f t="shared" ref="C36" si="31">B36*4</f>
        <v>0</v>
      </c>
      <c r="D36" s="25">
        <f t="shared" si="18"/>
        <v>0</v>
      </c>
      <c r="E36" s="25">
        <f t="shared" si="19"/>
        <v>0</v>
      </c>
      <c r="F36" s="25">
        <f t="shared" si="20"/>
        <v>0</v>
      </c>
      <c r="G36" s="25">
        <f t="shared" si="21"/>
        <v>0</v>
      </c>
      <c r="H36" s="136"/>
      <c r="I36" s="25">
        <v>1000</v>
      </c>
      <c r="J36" s="25">
        <f t="shared" si="12"/>
        <v>0</v>
      </c>
      <c r="K36" s="25">
        <f t="shared" si="13"/>
        <v>12</v>
      </c>
      <c r="L36" s="25">
        <f t="shared" si="14"/>
        <v>0</v>
      </c>
      <c r="M36" s="25">
        <f t="shared" si="15"/>
        <v>0</v>
      </c>
      <c r="N36" s="25">
        <f t="shared" si="16"/>
        <v>0</v>
      </c>
      <c r="O36" s="139"/>
      <c r="P36" s="25">
        <v>1000</v>
      </c>
      <c r="Q36" s="25">
        <v>0</v>
      </c>
      <c r="R36" s="25"/>
      <c r="S36" s="25">
        <f t="shared" si="22"/>
        <v>0</v>
      </c>
      <c r="T36" s="145"/>
      <c r="U36" s="25">
        <v>1000</v>
      </c>
      <c r="V36" s="25">
        <v>0</v>
      </c>
      <c r="W36" s="25"/>
      <c r="X36" s="25">
        <f t="shared" si="23"/>
        <v>0</v>
      </c>
      <c r="Y36" s="25">
        <f t="shared" si="24"/>
        <v>0</v>
      </c>
    </row>
    <row r="37" spans="1:25" s="28" customFormat="1" x14ac:dyDescent="0.25">
      <c r="G37" s="35"/>
      <c r="H37" s="35"/>
      <c r="I37" s="35"/>
      <c r="J37" s="35"/>
    </row>
    <row r="38" spans="1:25" x14ac:dyDescent="0.25">
      <c r="A38" s="106" t="s">
        <v>71</v>
      </c>
      <c r="B38" s="106"/>
      <c r="C38" s="106"/>
      <c r="D38" s="106"/>
      <c r="E38" s="106"/>
      <c r="I38" s="121" t="s">
        <v>56</v>
      </c>
      <c r="J38" s="122"/>
      <c r="K38" s="122"/>
      <c r="L38" s="122"/>
      <c r="M38" s="122"/>
      <c r="N38" s="123"/>
      <c r="P38" s="108" t="s">
        <v>64</v>
      </c>
      <c r="Q38" s="109"/>
      <c r="R38" s="109"/>
      <c r="S38" s="110"/>
      <c r="U38" s="108" t="s">
        <v>64</v>
      </c>
      <c r="V38" s="109"/>
      <c r="W38" s="109"/>
      <c r="X38" s="110"/>
    </row>
    <row r="39" spans="1:25" ht="50.1" customHeight="1" x14ac:dyDescent="0.25">
      <c r="A39" s="26" t="s">
        <v>19</v>
      </c>
      <c r="B39" s="26" t="s">
        <v>33</v>
      </c>
      <c r="C39" s="26" t="s">
        <v>72</v>
      </c>
      <c r="D39" s="26"/>
      <c r="E39" s="26"/>
      <c r="I39" s="26" t="s">
        <v>19</v>
      </c>
      <c r="J39" s="26" t="s">
        <v>57</v>
      </c>
      <c r="K39" s="26" t="s">
        <v>58</v>
      </c>
      <c r="L39" s="26" t="s">
        <v>59</v>
      </c>
      <c r="M39" s="26" t="s">
        <v>55</v>
      </c>
      <c r="N39" s="26" t="s">
        <v>66</v>
      </c>
      <c r="P39" s="25" t="s">
        <v>60</v>
      </c>
      <c r="Q39" s="25" t="s">
        <v>34</v>
      </c>
      <c r="R39" s="25" t="s">
        <v>35</v>
      </c>
      <c r="S39" s="25" t="s">
        <v>61</v>
      </c>
      <c r="U39" s="25" t="s">
        <v>60</v>
      </c>
      <c r="V39" s="25" t="s">
        <v>34</v>
      </c>
      <c r="W39" s="25" t="s">
        <v>35</v>
      </c>
      <c r="X39" s="25" t="s">
        <v>61</v>
      </c>
    </row>
    <row r="40" spans="1:25" x14ac:dyDescent="0.25">
      <c r="A40" s="25">
        <v>315</v>
      </c>
      <c r="B40" s="25">
        <f>B28</f>
        <v>0</v>
      </c>
      <c r="C40" s="56"/>
      <c r="D40" s="25"/>
      <c r="E40" s="25"/>
      <c r="I40" s="25">
        <v>315</v>
      </c>
      <c r="J40" s="25">
        <f>Y28</f>
        <v>51</v>
      </c>
      <c r="K40" s="29">
        <v>8</v>
      </c>
      <c r="L40" s="29"/>
      <c r="M40" s="25"/>
      <c r="N40" s="25"/>
      <c r="P40" s="25">
        <v>6</v>
      </c>
      <c r="Q40" s="25">
        <f>60+52</f>
        <v>112</v>
      </c>
      <c r="R40" s="25">
        <f>20+24+16</f>
        <v>60</v>
      </c>
      <c r="S40" s="51">
        <f>2950*P40</f>
        <v>17700</v>
      </c>
      <c r="U40" s="25">
        <v>2</v>
      </c>
      <c r="V40" s="25">
        <f>8</f>
        <v>8</v>
      </c>
      <c r="W40" s="25">
        <f>23</f>
        <v>23</v>
      </c>
      <c r="X40" s="51">
        <f>2950*U40</f>
        <v>5900</v>
      </c>
    </row>
    <row r="41" spans="1:25" x14ac:dyDescent="0.25">
      <c r="A41" s="25">
        <v>400</v>
      </c>
      <c r="B41" s="25">
        <f t="shared" ref="B41:B48" si="32">B29</f>
        <v>0</v>
      </c>
      <c r="C41" s="56"/>
      <c r="D41" s="25"/>
      <c r="E41" s="25"/>
      <c r="I41" s="25">
        <v>400</v>
      </c>
      <c r="J41" s="25">
        <f t="shared" ref="J41:J48" si="33">Y29</f>
        <v>56</v>
      </c>
      <c r="K41" s="29">
        <v>10</v>
      </c>
      <c r="L41" s="29"/>
      <c r="M41" s="25"/>
      <c r="N41" s="25"/>
      <c r="P41" s="111"/>
      <c r="Q41" s="112"/>
      <c r="R41" s="113"/>
      <c r="S41" s="51">
        <f>Q40*5</f>
        <v>560</v>
      </c>
      <c r="U41" s="111"/>
      <c r="V41" s="112"/>
      <c r="W41" s="113"/>
      <c r="X41" s="51">
        <f>V40*5</f>
        <v>40</v>
      </c>
    </row>
    <row r="42" spans="1:25" x14ac:dyDescent="0.25">
      <c r="A42" s="25">
        <v>500</v>
      </c>
      <c r="B42" s="25">
        <f t="shared" si="32"/>
        <v>0</v>
      </c>
      <c r="C42" s="56"/>
      <c r="D42" s="25"/>
      <c r="E42" s="25"/>
      <c r="I42" s="25">
        <v>500</v>
      </c>
      <c r="J42" s="25">
        <f t="shared" si="33"/>
        <v>5.5</v>
      </c>
      <c r="K42" s="29">
        <v>10</v>
      </c>
      <c r="L42" s="29">
        <v>10</v>
      </c>
      <c r="M42" s="25"/>
      <c r="N42" s="36"/>
      <c r="P42" s="114"/>
      <c r="Q42" s="115"/>
      <c r="R42" s="116"/>
      <c r="S42" s="51">
        <f>R40*5*4</f>
        <v>1200</v>
      </c>
      <c r="U42" s="114"/>
      <c r="V42" s="115"/>
      <c r="W42" s="116"/>
      <c r="X42" s="51">
        <f>W40*5*4</f>
        <v>460</v>
      </c>
    </row>
    <row r="43" spans="1:25" x14ac:dyDescent="0.25">
      <c r="A43" s="25">
        <v>560</v>
      </c>
      <c r="B43" s="25">
        <f t="shared" si="32"/>
        <v>5</v>
      </c>
      <c r="C43" s="56">
        <f>B43*$V$47</f>
        <v>13410</v>
      </c>
      <c r="D43" s="25"/>
      <c r="E43" s="25"/>
      <c r="I43" s="25">
        <v>560</v>
      </c>
      <c r="J43" s="29">
        <f t="shared" si="33"/>
        <v>5.5</v>
      </c>
      <c r="K43" s="49">
        <f>N31+J43</f>
        <v>3.5</v>
      </c>
      <c r="L43" s="29"/>
      <c r="M43" s="25"/>
      <c r="N43" s="25">
        <f>J43+(L43/2)</f>
        <v>5.5</v>
      </c>
      <c r="P43" s="117" t="s">
        <v>62</v>
      </c>
      <c r="Q43" s="118"/>
      <c r="R43" s="119"/>
      <c r="S43" s="51">
        <f>SUM(S40:S42)</f>
        <v>19460</v>
      </c>
      <c r="U43" s="117" t="s">
        <v>62</v>
      </c>
      <c r="V43" s="118"/>
      <c r="W43" s="119"/>
      <c r="X43" s="51">
        <f>SUM(X40:X42)</f>
        <v>6400</v>
      </c>
    </row>
    <row r="44" spans="1:25" x14ac:dyDescent="0.25">
      <c r="A44" s="25">
        <v>630</v>
      </c>
      <c r="B44" s="25">
        <f t="shared" si="32"/>
        <v>6</v>
      </c>
      <c r="C44" s="56">
        <f>B44*$V$47</f>
        <v>16092</v>
      </c>
      <c r="D44" s="25"/>
      <c r="E44" s="25"/>
      <c r="I44" s="25">
        <v>630</v>
      </c>
      <c r="J44" s="29">
        <f t="shared" si="33"/>
        <v>3.5</v>
      </c>
      <c r="K44" s="49">
        <f t="shared" ref="K44:K46" si="34">N32+J44</f>
        <v>0.5</v>
      </c>
      <c r="L44" s="29">
        <v>6</v>
      </c>
      <c r="M44" s="25">
        <f>(L44/2)+K44</f>
        <v>3.5</v>
      </c>
      <c r="N44" s="25">
        <f>J44+(L44/2)</f>
        <v>6.5</v>
      </c>
      <c r="P44" s="120" t="s">
        <v>63</v>
      </c>
      <c r="Q44" s="120"/>
      <c r="R44" s="120"/>
      <c r="S44" s="51">
        <f>S43*1.15</f>
        <v>22379</v>
      </c>
      <c r="U44" s="120" t="s">
        <v>63</v>
      </c>
      <c r="V44" s="120"/>
      <c r="W44" s="120"/>
      <c r="X44" s="51">
        <f>X43*1.15</f>
        <v>7359.9999999999991</v>
      </c>
    </row>
    <row r="45" spans="1:25" x14ac:dyDescent="0.25">
      <c r="A45" s="25">
        <v>710</v>
      </c>
      <c r="B45" s="25">
        <f t="shared" si="32"/>
        <v>0</v>
      </c>
      <c r="C45" s="56"/>
      <c r="D45" s="25"/>
      <c r="E45" s="25"/>
      <c r="I45" s="25">
        <v>710</v>
      </c>
      <c r="J45" s="25">
        <f t="shared" si="33"/>
        <v>2</v>
      </c>
      <c r="K45" s="29">
        <v>8</v>
      </c>
      <c r="L45" s="29"/>
      <c r="M45" s="25"/>
      <c r="N45" s="25"/>
    </row>
    <row r="46" spans="1:25" x14ac:dyDescent="0.25">
      <c r="A46" s="25">
        <v>800</v>
      </c>
      <c r="B46" s="25">
        <v>8</v>
      </c>
      <c r="C46" s="56">
        <f>B46*$V$47</f>
        <v>21456</v>
      </c>
      <c r="D46" s="25"/>
      <c r="E46" s="25"/>
      <c r="I46" s="25">
        <v>800</v>
      </c>
      <c r="J46" s="29">
        <f t="shared" si="33"/>
        <v>5.5</v>
      </c>
      <c r="K46" s="49">
        <f t="shared" si="34"/>
        <v>1.5</v>
      </c>
      <c r="L46" s="29">
        <v>6</v>
      </c>
      <c r="M46" s="25">
        <f>(L46/2)+K46</f>
        <v>4.5</v>
      </c>
      <c r="N46" s="25">
        <f>J46+(L46/2)</f>
        <v>8.5</v>
      </c>
      <c r="P46" s="120" t="s">
        <v>65</v>
      </c>
      <c r="Q46" s="120"/>
      <c r="R46" s="120"/>
      <c r="S46" s="52">
        <f>S44+X44</f>
        <v>29739</v>
      </c>
    </row>
    <row r="47" spans="1:25" x14ac:dyDescent="0.25">
      <c r="A47" s="25">
        <v>900</v>
      </c>
      <c r="B47" s="25">
        <f t="shared" si="32"/>
        <v>0</v>
      </c>
      <c r="C47" s="56"/>
      <c r="D47" s="25"/>
      <c r="E47" s="25"/>
      <c r="I47" s="25">
        <v>900</v>
      </c>
      <c r="J47" s="25">
        <f t="shared" si="33"/>
        <v>0</v>
      </c>
      <c r="K47" s="29">
        <v>0</v>
      </c>
      <c r="L47" s="29"/>
      <c r="M47" s="25"/>
      <c r="N47" s="25"/>
      <c r="O47" s="64"/>
      <c r="P47" s="63"/>
      <c r="Q47" s="62"/>
      <c r="R47" s="62"/>
      <c r="S47" s="55"/>
      <c r="T47" s="54"/>
      <c r="U47" s="53" t="s">
        <v>67</v>
      </c>
      <c r="V47" s="51">
        <v>2682</v>
      </c>
      <c r="W47" s="53" t="s">
        <v>69</v>
      </c>
      <c r="X47" s="51">
        <v>1860</v>
      </c>
    </row>
    <row r="48" spans="1:25" x14ac:dyDescent="0.25">
      <c r="A48" s="25">
        <v>1000</v>
      </c>
      <c r="B48" s="25">
        <f t="shared" si="32"/>
        <v>0</v>
      </c>
      <c r="C48" s="56"/>
      <c r="D48" s="25"/>
      <c r="E48" s="25"/>
      <c r="I48" s="25">
        <v>1000</v>
      </c>
      <c r="J48" s="25">
        <f t="shared" si="33"/>
        <v>0</v>
      </c>
      <c r="K48" s="29">
        <v>0</v>
      </c>
      <c r="L48" s="29"/>
      <c r="M48" s="25"/>
      <c r="N48" s="25"/>
      <c r="O48" s="65"/>
      <c r="P48" s="124" t="s">
        <v>79</v>
      </c>
      <c r="Q48" s="125"/>
      <c r="R48" s="125"/>
      <c r="S48" s="126"/>
      <c r="U48" s="53" t="s">
        <v>68</v>
      </c>
      <c r="V48" s="51">
        <v>1760</v>
      </c>
      <c r="W48" s="53" t="s">
        <v>70</v>
      </c>
      <c r="X48" s="51">
        <v>1180</v>
      </c>
    </row>
    <row r="49" spans="1:24" x14ac:dyDescent="0.25">
      <c r="A49" s="50" t="s">
        <v>73</v>
      </c>
      <c r="B49" s="25">
        <f>SUM(B40:B48)</f>
        <v>19</v>
      </c>
      <c r="C49" s="56"/>
      <c r="D49" s="28"/>
      <c r="E49" s="28"/>
      <c r="I49" s="28"/>
      <c r="J49" s="28"/>
      <c r="K49" s="44"/>
      <c r="L49" s="44"/>
      <c r="M49" s="28"/>
      <c r="N49" s="67"/>
      <c r="O49" s="66"/>
      <c r="P49" s="59" t="s">
        <v>19</v>
      </c>
      <c r="Q49" s="52" t="s">
        <v>78</v>
      </c>
      <c r="R49" s="59" t="s">
        <v>39</v>
      </c>
      <c r="S49" s="59" t="s">
        <v>35</v>
      </c>
      <c r="U49" s="57"/>
      <c r="V49" s="58"/>
      <c r="W49" s="57"/>
      <c r="X49" s="58"/>
    </row>
    <row r="50" spans="1:24" x14ac:dyDescent="0.25">
      <c r="A50" s="107" t="s">
        <v>62</v>
      </c>
      <c r="B50" s="107"/>
      <c r="C50" s="56">
        <f>SUM(C40:C48)</f>
        <v>50958</v>
      </c>
      <c r="F50" s="25" t="s">
        <v>74</v>
      </c>
      <c r="G50" s="33" t="s">
        <v>75</v>
      </c>
      <c r="H50" s="33" t="s">
        <v>76</v>
      </c>
      <c r="I50" s="33" t="s">
        <v>77</v>
      </c>
      <c r="O50" s="68"/>
      <c r="P50" s="60">
        <v>800</v>
      </c>
      <c r="Q50" s="36">
        <f>P40*3</f>
        <v>18</v>
      </c>
      <c r="R50" s="36"/>
      <c r="S50" s="73">
        <v>16</v>
      </c>
      <c r="U50" s="124" t="s">
        <v>80</v>
      </c>
      <c r="V50" s="125"/>
      <c r="W50" s="125"/>
      <c r="X50" s="126"/>
    </row>
    <row r="51" spans="1:24" x14ac:dyDescent="0.25">
      <c r="A51" s="107" t="s">
        <v>63</v>
      </c>
      <c r="B51" s="107"/>
      <c r="C51" s="56">
        <f>C50*1.15</f>
        <v>58601.7</v>
      </c>
      <c r="F51" s="51">
        <f>S46</f>
        <v>29739</v>
      </c>
      <c r="G51" s="33">
        <f>'[1]STOCK ORDER -  15 Sept 2025'!$P$24</f>
        <v>21298.533888888891</v>
      </c>
      <c r="H51" s="33">
        <f>C51</f>
        <v>58601.7</v>
      </c>
      <c r="I51" s="33">
        <f>SUM(F51:H51)</f>
        <v>109639.23388888889</v>
      </c>
      <c r="O51" s="69"/>
      <c r="P51" s="60">
        <v>630</v>
      </c>
      <c r="Q51" s="36">
        <f>P40*3</f>
        <v>18</v>
      </c>
      <c r="R51" s="36">
        <v>52</v>
      </c>
      <c r="S51" s="73">
        <v>24</v>
      </c>
      <c r="U51" s="59" t="s">
        <v>19</v>
      </c>
      <c r="V51" s="52" t="s">
        <v>78</v>
      </c>
      <c r="W51" s="59" t="s">
        <v>39</v>
      </c>
      <c r="X51" s="59" t="s">
        <v>35</v>
      </c>
    </row>
    <row r="52" spans="1:24" x14ac:dyDescent="0.25">
      <c r="P52" s="61">
        <v>560</v>
      </c>
      <c r="Q52" s="36"/>
      <c r="R52" s="36">
        <v>60</v>
      </c>
      <c r="S52" s="36">
        <v>20</v>
      </c>
      <c r="U52" s="60">
        <v>800</v>
      </c>
      <c r="V52" s="36">
        <f>U40*3</f>
        <v>6</v>
      </c>
      <c r="W52" s="36"/>
      <c r="X52" s="73">
        <v>12</v>
      </c>
    </row>
    <row r="53" spans="1:24" x14ac:dyDescent="0.25">
      <c r="F53">
        <f>34511.5+50236.05+21299</f>
        <v>106046.55</v>
      </c>
      <c r="P53" s="72"/>
      <c r="Q53" s="71"/>
      <c r="R53" s="70"/>
      <c r="S53" s="70"/>
      <c r="U53" s="60">
        <v>630</v>
      </c>
      <c r="V53" s="36">
        <f>U40*3</f>
        <v>6</v>
      </c>
      <c r="W53" s="36"/>
      <c r="X53" s="73">
        <v>8</v>
      </c>
    </row>
    <row r="54" spans="1:24" x14ac:dyDescent="0.25">
      <c r="U54" s="61">
        <v>560</v>
      </c>
      <c r="V54" s="36"/>
      <c r="W54" s="36">
        <v>8</v>
      </c>
      <c r="X54" s="36">
        <v>4</v>
      </c>
    </row>
    <row r="55" spans="1:24" x14ac:dyDescent="0.25">
      <c r="U55" s="61">
        <v>500</v>
      </c>
      <c r="V55" s="36">
        <v>10</v>
      </c>
      <c r="W55" s="36"/>
      <c r="X55" s="36"/>
    </row>
  </sheetData>
  <mergeCells count="26">
    <mergeCell ref="A26:G26"/>
    <mergeCell ref="H2:J12"/>
    <mergeCell ref="H26:H36"/>
    <mergeCell ref="O26:O36"/>
    <mergeCell ref="A14:X14"/>
    <mergeCell ref="U26:Y26"/>
    <mergeCell ref="A2:G2"/>
    <mergeCell ref="K2:Q2"/>
    <mergeCell ref="U2:Y2"/>
    <mergeCell ref="T2:T12"/>
    <mergeCell ref="T26:T36"/>
    <mergeCell ref="A38:E38"/>
    <mergeCell ref="A50:B50"/>
    <mergeCell ref="A51:B51"/>
    <mergeCell ref="U38:X38"/>
    <mergeCell ref="U41:W42"/>
    <mergeCell ref="U43:W43"/>
    <mergeCell ref="U44:W44"/>
    <mergeCell ref="P46:R46"/>
    <mergeCell ref="I38:N38"/>
    <mergeCell ref="P41:R42"/>
    <mergeCell ref="P43:R43"/>
    <mergeCell ref="P44:R44"/>
    <mergeCell ref="P38:S38"/>
    <mergeCell ref="P48:S48"/>
    <mergeCell ref="U50:X5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90B4-DF5C-4BC7-90A5-059BE40A82DE}">
  <dimension ref="A2:Y55"/>
  <sheetViews>
    <sheetView topLeftCell="A13" workbookViewId="0">
      <selection activeCell="F31" sqref="F31"/>
    </sheetView>
  </sheetViews>
  <sheetFormatPr defaultRowHeight="13.2" x14ac:dyDescent="0.25"/>
  <cols>
    <col min="2" max="2" width="7.88671875" customWidth="1"/>
    <col min="3" max="3" width="12.21875" customWidth="1"/>
    <col min="4" max="4" width="9" customWidth="1"/>
    <col min="5" max="5" width="9.88671875" customWidth="1"/>
    <col min="6" max="6" width="11.33203125" bestFit="1" customWidth="1"/>
    <col min="7" max="8" width="11.109375" style="35" customWidth="1"/>
    <col min="9" max="9" width="13" style="35" customWidth="1"/>
    <col min="10" max="10" width="8.88671875" style="35" customWidth="1"/>
    <col min="12" max="13" width="10.6640625" customWidth="1"/>
    <col min="14" max="14" width="9.44140625" customWidth="1"/>
    <col min="15" max="15" width="8.77734375" customWidth="1"/>
    <col min="16" max="16" width="9.33203125" customWidth="1"/>
    <col min="17" max="19" width="11.21875" customWidth="1"/>
    <col min="20" max="20" width="6.88671875" customWidth="1"/>
    <col min="21" max="21" width="11" customWidth="1"/>
    <col min="22" max="22" width="10.6640625" bestFit="1" customWidth="1"/>
    <col min="23" max="23" width="10.6640625" customWidth="1"/>
    <col min="24" max="24" width="11.44140625" customWidth="1"/>
  </cols>
  <sheetData>
    <row r="2" spans="1:25" s="28" customFormat="1" x14ac:dyDescent="0.25">
      <c r="A2" s="108" t="s">
        <v>39</v>
      </c>
      <c r="B2" s="109"/>
      <c r="C2" s="109"/>
      <c r="D2" s="109"/>
      <c r="E2" s="109"/>
      <c r="F2" s="109"/>
      <c r="G2" s="110"/>
      <c r="H2" s="127"/>
      <c r="I2" s="128"/>
      <c r="J2" s="129"/>
      <c r="K2" s="108" t="s">
        <v>40</v>
      </c>
      <c r="L2" s="109"/>
      <c r="M2" s="109"/>
      <c r="N2" s="109"/>
      <c r="O2" s="109"/>
      <c r="P2" s="109"/>
      <c r="Q2" s="110"/>
      <c r="R2" s="38"/>
      <c r="S2" s="38"/>
      <c r="T2" s="143"/>
      <c r="U2" s="140" t="s">
        <v>41</v>
      </c>
      <c r="V2" s="141"/>
      <c r="W2" s="141"/>
      <c r="X2" s="141"/>
      <c r="Y2" s="142"/>
    </row>
    <row r="3" spans="1:25" s="27" customFormat="1" ht="26.4" x14ac:dyDescent="0.25">
      <c r="A3" s="26" t="s">
        <v>19</v>
      </c>
      <c r="B3" s="26" t="s">
        <v>20</v>
      </c>
      <c r="C3" s="26" t="s">
        <v>51</v>
      </c>
      <c r="D3" s="26" t="s">
        <v>44</v>
      </c>
      <c r="E3" s="26" t="s">
        <v>30</v>
      </c>
      <c r="F3" s="26" t="s">
        <v>31</v>
      </c>
      <c r="G3" s="32" t="s">
        <v>32</v>
      </c>
      <c r="H3" s="130"/>
      <c r="I3" s="131"/>
      <c r="J3" s="132"/>
      <c r="K3" s="30" t="s">
        <v>19</v>
      </c>
      <c r="L3" s="26" t="s">
        <v>25</v>
      </c>
      <c r="M3" s="26" t="s">
        <v>50</v>
      </c>
      <c r="N3" s="26" t="s">
        <v>45</v>
      </c>
      <c r="O3" s="26" t="s">
        <v>30</v>
      </c>
      <c r="P3" s="26" t="s">
        <v>31</v>
      </c>
      <c r="Q3" s="32" t="s">
        <v>32</v>
      </c>
      <c r="R3" s="39"/>
      <c r="S3" s="39"/>
      <c r="T3" s="144"/>
      <c r="U3" s="26" t="s">
        <v>19</v>
      </c>
      <c r="V3" s="26" t="s">
        <v>27</v>
      </c>
      <c r="W3" s="26" t="s">
        <v>52</v>
      </c>
      <c r="X3" s="26" t="s">
        <v>46</v>
      </c>
      <c r="Y3" s="26" t="s">
        <v>30</v>
      </c>
    </row>
    <row r="4" spans="1:25" s="28" customFormat="1" x14ac:dyDescent="0.25">
      <c r="A4" s="25">
        <v>315</v>
      </c>
      <c r="B4" s="25">
        <v>72</v>
      </c>
      <c r="C4" s="25"/>
      <c r="D4" s="25">
        <f>B4+C4</f>
        <v>72</v>
      </c>
      <c r="E4" s="25">
        <f>D4/4</f>
        <v>18</v>
      </c>
      <c r="F4" s="25">
        <f t="shared" ref="F4:F6" si="0">C4</f>
        <v>0</v>
      </c>
      <c r="G4" s="33"/>
      <c r="H4" s="130"/>
      <c r="I4" s="131"/>
      <c r="J4" s="132"/>
      <c r="K4" s="31">
        <v>315</v>
      </c>
      <c r="L4" s="25">
        <f>4*12</f>
        <v>48</v>
      </c>
      <c r="M4" s="25">
        <v>13</v>
      </c>
      <c r="N4" s="25">
        <f>L4+M4</f>
        <v>61</v>
      </c>
      <c r="O4" s="25">
        <f>N4/4</f>
        <v>15.25</v>
      </c>
      <c r="P4" s="25">
        <f>M4*4</f>
        <v>52</v>
      </c>
      <c r="Q4" s="33"/>
      <c r="R4" s="40"/>
      <c r="S4" s="40"/>
      <c r="T4" s="144"/>
      <c r="U4" s="25">
        <v>315</v>
      </c>
      <c r="V4" s="25">
        <v>52</v>
      </c>
      <c r="W4" s="25"/>
      <c r="X4" s="25">
        <f>V4+W4</f>
        <v>52</v>
      </c>
      <c r="Y4" s="25">
        <f>X4/2</f>
        <v>26</v>
      </c>
    </row>
    <row r="5" spans="1:25" s="28" customFormat="1" x14ac:dyDescent="0.25">
      <c r="A5" s="25">
        <v>400</v>
      </c>
      <c r="B5" s="25">
        <v>70</v>
      </c>
      <c r="C5" s="25"/>
      <c r="D5" s="25">
        <f t="shared" ref="D5:D12" si="1">B5+C5</f>
        <v>70</v>
      </c>
      <c r="E5" s="25">
        <f t="shared" ref="E5:E12" si="2">D5/4</f>
        <v>17.5</v>
      </c>
      <c r="F5" s="25">
        <f t="shared" si="0"/>
        <v>0</v>
      </c>
      <c r="G5" s="33"/>
      <c r="H5" s="130"/>
      <c r="I5" s="131"/>
      <c r="J5" s="132"/>
      <c r="K5" s="31">
        <v>400</v>
      </c>
      <c r="L5" s="25">
        <f>4*6</f>
        <v>24</v>
      </c>
      <c r="M5" s="25">
        <v>39</v>
      </c>
      <c r="N5" s="25">
        <f t="shared" ref="N5:N12" si="3">L5+M5</f>
        <v>63</v>
      </c>
      <c r="O5" s="25">
        <f t="shared" ref="O5:O12" si="4">N5/4</f>
        <v>15.75</v>
      </c>
      <c r="P5" s="25">
        <f t="shared" ref="P5:P12" si="5">M5*4</f>
        <v>156</v>
      </c>
      <c r="Q5" s="33"/>
      <c r="R5" s="40"/>
      <c r="S5" s="40"/>
      <c r="T5" s="144"/>
      <c r="U5" s="25">
        <v>400</v>
      </c>
      <c r="V5" s="25">
        <v>58</v>
      </c>
      <c r="W5" s="25"/>
      <c r="X5" s="25">
        <f t="shared" ref="X5:X12" si="6">V5+W5</f>
        <v>58</v>
      </c>
      <c r="Y5" s="25">
        <f t="shared" ref="Y5:Y12" si="7">X5/2</f>
        <v>29</v>
      </c>
    </row>
    <row r="6" spans="1:25" s="28" customFormat="1" x14ac:dyDescent="0.25">
      <c r="A6" s="25">
        <v>500</v>
      </c>
      <c r="B6" s="25">
        <v>87</v>
      </c>
      <c r="C6" s="25">
        <v>6</v>
      </c>
      <c r="D6" s="25">
        <f t="shared" si="1"/>
        <v>93</v>
      </c>
      <c r="E6" s="25">
        <f t="shared" si="2"/>
        <v>23.25</v>
      </c>
      <c r="F6" s="25">
        <f t="shared" si="0"/>
        <v>6</v>
      </c>
      <c r="G6" s="33"/>
      <c r="H6" s="130"/>
      <c r="I6" s="131"/>
      <c r="J6" s="132"/>
      <c r="K6" s="31">
        <v>500</v>
      </c>
      <c r="L6" s="25">
        <f>4*34</f>
        <v>136</v>
      </c>
      <c r="M6" s="25">
        <v>4</v>
      </c>
      <c r="N6" s="25">
        <f t="shared" si="3"/>
        <v>140</v>
      </c>
      <c r="O6" s="25">
        <f t="shared" si="4"/>
        <v>35</v>
      </c>
      <c r="P6" s="25">
        <f t="shared" si="5"/>
        <v>16</v>
      </c>
      <c r="Q6" s="33"/>
      <c r="R6" s="40"/>
      <c r="S6" s="40"/>
      <c r="T6" s="144"/>
      <c r="U6" s="25">
        <v>500</v>
      </c>
      <c r="V6" s="25">
        <v>22</v>
      </c>
      <c r="W6" s="25"/>
      <c r="X6" s="25">
        <f t="shared" si="6"/>
        <v>22</v>
      </c>
      <c r="Y6" s="25">
        <f t="shared" si="7"/>
        <v>11</v>
      </c>
    </row>
    <row r="7" spans="1:25" s="28" customFormat="1" x14ac:dyDescent="0.25">
      <c r="A7" s="25">
        <v>560</v>
      </c>
      <c r="B7" s="25">
        <f>12-8</f>
        <v>4</v>
      </c>
      <c r="C7" s="25">
        <v>9</v>
      </c>
      <c r="D7" s="29">
        <f t="shared" si="1"/>
        <v>13</v>
      </c>
      <c r="E7" s="25">
        <f t="shared" si="2"/>
        <v>3.25</v>
      </c>
      <c r="F7" s="25">
        <f>C7</f>
        <v>9</v>
      </c>
      <c r="G7" s="33"/>
      <c r="H7" s="130"/>
      <c r="I7" s="131"/>
      <c r="J7" s="132"/>
      <c r="K7" s="31">
        <v>560</v>
      </c>
      <c r="L7" s="25">
        <f>(4*16)-8</f>
        <v>56</v>
      </c>
      <c r="M7" s="25">
        <f>5+8</f>
        <v>13</v>
      </c>
      <c r="N7" s="25">
        <f t="shared" si="3"/>
        <v>69</v>
      </c>
      <c r="O7" s="25">
        <f t="shared" si="4"/>
        <v>17.25</v>
      </c>
      <c r="P7" s="25">
        <f t="shared" si="5"/>
        <v>52</v>
      </c>
      <c r="Q7" s="33"/>
      <c r="R7" s="40"/>
      <c r="S7" s="40"/>
      <c r="T7" s="144"/>
      <c r="U7" s="25">
        <v>560</v>
      </c>
      <c r="V7" s="25">
        <v>18</v>
      </c>
      <c r="W7" s="25"/>
      <c r="X7" s="25">
        <f t="shared" si="6"/>
        <v>18</v>
      </c>
      <c r="Y7" s="25">
        <f t="shared" si="7"/>
        <v>9</v>
      </c>
    </row>
    <row r="8" spans="1:25" s="28" customFormat="1" x14ac:dyDescent="0.25">
      <c r="A8" s="25">
        <v>630</v>
      </c>
      <c r="B8" s="25">
        <v>32</v>
      </c>
      <c r="C8" s="25"/>
      <c r="D8" s="29">
        <f t="shared" si="1"/>
        <v>32</v>
      </c>
      <c r="E8" s="25">
        <f t="shared" si="2"/>
        <v>8</v>
      </c>
      <c r="F8" s="25">
        <f t="shared" ref="F8:F12" si="8">C8</f>
        <v>0</v>
      </c>
      <c r="G8" s="33"/>
      <c r="H8" s="130"/>
      <c r="I8" s="131"/>
      <c r="J8" s="132"/>
      <c r="K8" s="31">
        <v>630</v>
      </c>
      <c r="L8" s="25">
        <f>4*16</f>
        <v>64</v>
      </c>
      <c r="M8" s="25"/>
      <c r="N8" s="25">
        <f t="shared" si="3"/>
        <v>64</v>
      </c>
      <c r="O8" s="25">
        <f t="shared" si="4"/>
        <v>16</v>
      </c>
      <c r="P8" s="25">
        <f t="shared" si="5"/>
        <v>0</v>
      </c>
      <c r="Q8" s="33"/>
      <c r="R8" s="40"/>
      <c r="S8" s="40"/>
      <c r="T8" s="144"/>
      <c r="U8" s="25">
        <v>630</v>
      </c>
      <c r="V8" s="25">
        <f>6-4</f>
        <v>2</v>
      </c>
      <c r="W8" s="25"/>
      <c r="X8" s="25">
        <f t="shared" si="6"/>
        <v>2</v>
      </c>
      <c r="Y8" s="25">
        <f t="shared" si="7"/>
        <v>1</v>
      </c>
    </row>
    <row r="9" spans="1:25" s="28" customFormat="1" x14ac:dyDescent="0.25">
      <c r="A9" s="25">
        <v>710</v>
      </c>
      <c r="B9" s="25">
        <f>29-8</f>
        <v>21</v>
      </c>
      <c r="C9" s="25"/>
      <c r="D9" s="37">
        <f t="shared" si="1"/>
        <v>21</v>
      </c>
      <c r="E9" s="25">
        <f t="shared" si="2"/>
        <v>5.25</v>
      </c>
      <c r="F9" s="25">
        <f t="shared" si="8"/>
        <v>0</v>
      </c>
      <c r="G9" s="33"/>
      <c r="H9" s="130"/>
      <c r="I9" s="131"/>
      <c r="J9" s="132"/>
      <c r="K9" s="31">
        <v>710</v>
      </c>
      <c r="L9" s="25">
        <f>(4*18)-8</f>
        <v>64</v>
      </c>
      <c r="M9" s="25"/>
      <c r="N9" s="25">
        <f t="shared" si="3"/>
        <v>64</v>
      </c>
      <c r="O9" s="25">
        <f t="shared" si="4"/>
        <v>16</v>
      </c>
      <c r="P9" s="25">
        <f t="shared" si="5"/>
        <v>0</v>
      </c>
      <c r="Q9" s="33"/>
      <c r="R9" s="40"/>
      <c r="S9" s="40"/>
      <c r="T9" s="144"/>
      <c r="U9" s="25">
        <v>710</v>
      </c>
      <c r="V9" s="25">
        <f>14-4</f>
        <v>10</v>
      </c>
      <c r="W9" s="25"/>
      <c r="X9" s="25">
        <f t="shared" si="6"/>
        <v>10</v>
      </c>
      <c r="Y9" s="25">
        <f t="shared" si="7"/>
        <v>5</v>
      </c>
    </row>
    <row r="10" spans="1:25" s="28" customFormat="1" x14ac:dyDescent="0.25">
      <c r="A10" s="25">
        <v>800</v>
      </c>
      <c r="B10" s="25">
        <v>54</v>
      </c>
      <c r="C10" s="25"/>
      <c r="D10" s="25">
        <f t="shared" si="1"/>
        <v>54</v>
      </c>
      <c r="E10" s="25">
        <f t="shared" si="2"/>
        <v>13.5</v>
      </c>
      <c r="F10" s="25">
        <f t="shared" si="8"/>
        <v>0</v>
      </c>
      <c r="G10" s="33"/>
      <c r="H10" s="130"/>
      <c r="I10" s="131"/>
      <c r="J10" s="132"/>
      <c r="K10" s="31">
        <v>800</v>
      </c>
      <c r="L10" s="25">
        <f>4*14</f>
        <v>56</v>
      </c>
      <c r="M10" s="25"/>
      <c r="N10" s="25">
        <f t="shared" si="3"/>
        <v>56</v>
      </c>
      <c r="O10" s="25">
        <f t="shared" si="4"/>
        <v>14</v>
      </c>
      <c r="P10" s="25">
        <f t="shared" si="5"/>
        <v>0</v>
      </c>
      <c r="Q10" s="33"/>
      <c r="R10" s="40"/>
      <c r="S10" s="40"/>
      <c r="T10" s="144"/>
      <c r="U10" s="25">
        <v>800</v>
      </c>
      <c r="V10" s="25">
        <v>12</v>
      </c>
      <c r="W10" s="25"/>
      <c r="X10" s="25">
        <f t="shared" si="6"/>
        <v>12</v>
      </c>
      <c r="Y10" s="25">
        <f t="shared" si="7"/>
        <v>6</v>
      </c>
    </row>
    <row r="11" spans="1:25" s="28" customFormat="1" x14ac:dyDescent="0.25">
      <c r="A11" s="25">
        <v>900</v>
      </c>
      <c r="B11" s="25">
        <v>8</v>
      </c>
      <c r="C11" s="25"/>
      <c r="D11" s="25">
        <f t="shared" si="1"/>
        <v>8</v>
      </c>
      <c r="E11" s="25">
        <f t="shared" si="2"/>
        <v>2</v>
      </c>
      <c r="F11" s="25">
        <f t="shared" si="8"/>
        <v>0</v>
      </c>
      <c r="G11" s="33"/>
      <c r="H11" s="130"/>
      <c r="I11" s="131"/>
      <c r="J11" s="132"/>
      <c r="K11" s="31">
        <v>900</v>
      </c>
      <c r="L11" s="25">
        <f>3*4</f>
        <v>12</v>
      </c>
      <c r="M11" s="25"/>
      <c r="N11" s="25">
        <f t="shared" si="3"/>
        <v>12</v>
      </c>
      <c r="O11" s="25">
        <f t="shared" si="4"/>
        <v>3</v>
      </c>
      <c r="P11" s="25">
        <f t="shared" si="5"/>
        <v>0</v>
      </c>
      <c r="Q11" s="33"/>
      <c r="R11" s="40"/>
      <c r="S11" s="40"/>
      <c r="T11" s="144"/>
      <c r="U11" s="25">
        <v>900</v>
      </c>
      <c r="V11" s="25">
        <v>0</v>
      </c>
      <c r="W11" s="25"/>
      <c r="X11" s="25">
        <f t="shared" si="6"/>
        <v>0</v>
      </c>
      <c r="Y11" s="25">
        <f t="shared" si="7"/>
        <v>0</v>
      </c>
    </row>
    <row r="12" spans="1:25" s="28" customFormat="1" x14ac:dyDescent="0.25">
      <c r="A12" s="25">
        <v>1000</v>
      </c>
      <c r="B12" s="25"/>
      <c r="C12" s="25"/>
      <c r="D12" s="25">
        <f t="shared" si="1"/>
        <v>0</v>
      </c>
      <c r="E12" s="25">
        <f t="shared" si="2"/>
        <v>0</v>
      </c>
      <c r="F12" s="25">
        <f t="shared" si="8"/>
        <v>0</v>
      </c>
      <c r="G12" s="33"/>
      <c r="H12" s="133"/>
      <c r="I12" s="134"/>
      <c r="J12" s="135"/>
      <c r="K12" s="31">
        <v>1000</v>
      </c>
      <c r="L12" s="25">
        <f>4*3</f>
        <v>12</v>
      </c>
      <c r="M12" s="25"/>
      <c r="N12" s="25">
        <f t="shared" si="3"/>
        <v>12</v>
      </c>
      <c r="O12" s="25">
        <f t="shared" si="4"/>
        <v>3</v>
      </c>
      <c r="P12" s="25">
        <f t="shared" si="5"/>
        <v>0</v>
      </c>
      <c r="Q12" s="33"/>
      <c r="R12" s="40"/>
      <c r="S12" s="40"/>
      <c r="T12" s="145"/>
      <c r="U12" s="25">
        <v>1000</v>
      </c>
      <c r="V12" s="25">
        <v>0</v>
      </c>
      <c r="W12" s="25"/>
      <c r="X12" s="25">
        <f t="shared" si="6"/>
        <v>0</v>
      </c>
      <c r="Y12" s="25">
        <f t="shared" si="7"/>
        <v>0</v>
      </c>
    </row>
    <row r="13" spans="1:25" s="28" customFormat="1" x14ac:dyDescent="0.25">
      <c r="F13" s="25">
        <f>SUM(F4:F12)</f>
        <v>15</v>
      </c>
      <c r="G13" s="33">
        <f>F13*5</f>
        <v>75</v>
      </c>
      <c r="H13" s="35"/>
      <c r="I13" s="35"/>
      <c r="J13" s="35"/>
      <c r="P13" s="25">
        <f>SUM(P4:P12)</f>
        <v>276</v>
      </c>
      <c r="Q13" s="33">
        <f>P13*5</f>
        <v>1380</v>
      </c>
      <c r="R13" s="35"/>
      <c r="S13" s="35"/>
      <c r="T13" s="35"/>
    </row>
    <row r="14" spans="1:25" s="28" customFormat="1" hidden="1" x14ac:dyDescent="0.25">
      <c r="A14" s="107" t="s">
        <v>22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</row>
    <row r="15" spans="1:25" s="28" customFormat="1" ht="39.6" hidden="1" x14ac:dyDescent="0.25">
      <c r="A15" s="26" t="s">
        <v>19</v>
      </c>
      <c r="B15" s="26" t="s">
        <v>20</v>
      </c>
      <c r="C15" s="26" t="s">
        <v>21</v>
      </c>
      <c r="D15" s="26" t="s">
        <v>23</v>
      </c>
      <c r="E15" s="27"/>
      <c r="F15" s="27"/>
      <c r="G15" s="34"/>
      <c r="H15" s="34"/>
      <c r="I15" s="34"/>
      <c r="J15" s="34"/>
      <c r="K15" s="26" t="s">
        <v>19</v>
      </c>
      <c r="L15" s="26" t="s">
        <v>25</v>
      </c>
      <c r="M15" s="26" t="s">
        <v>26</v>
      </c>
      <c r="N15" s="26" t="s">
        <v>24</v>
      </c>
      <c r="O15" s="27"/>
      <c r="P15" s="27"/>
      <c r="Q15" s="27"/>
      <c r="R15" s="27"/>
      <c r="S15" s="27"/>
      <c r="T15" s="27"/>
      <c r="U15" s="26" t="s">
        <v>19</v>
      </c>
      <c r="V15" s="26" t="s">
        <v>27</v>
      </c>
      <c r="W15" s="26" t="s">
        <v>28</v>
      </c>
      <c r="X15" s="26" t="s">
        <v>29</v>
      </c>
    </row>
    <row r="16" spans="1:25" s="28" customFormat="1" hidden="1" x14ac:dyDescent="0.25">
      <c r="A16" s="25">
        <v>315</v>
      </c>
      <c r="B16" s="25"/>
      <c r="C16" s="25"/>
      <c r="D16" s="25">
        <f>B16-C16</f>
        <v>0</v>
      </c>
      <c r="G16" s="35"/>
      <c r="H16" s="35"/>
      <c r="I16" s="35"/>
      <c r="J16" s="35"/>
      <c r="K16" s="25">
        <v>315</v>
      </c>
      <c r="L16" s="25"/>
      <c r="M16" s="25"/>
      <c r="N16" s="25">
        <f>L16-M16</f>
        <v>0</v>
      </c>
      <c r="O16" s="25">
        <f>4*8</f>
        <v>32</v>
      </c>
      <c r="U16" s="25">
        <v>315</v>
      </c>
      <c r="V16" s="25"/>
      <c r="W16" s="25"/>
      <c r="X16" s="25">
        <f>V16-W16</f>
        <v>0</v>
      </c>
    </row>
    <row r="17" spans="1:25" s="28" customFormat="1" hidden="1" x14ac:dyDescent="0.25">
      <c r="A17" s="25">
        <v>400</v>
      </c>
      <c r="B17" s="25"/>
      <c r="C17" s="25"/>
      <c r="D17" s="25">
        <f t="shared" ref="D17:D24" si="9">B17-C17</f>
        <v>0</v>
      </c>
      <c r="G17" s="35"/>
      <c r="H17" s="35"/>
      <c r="I17" s="35"/>
      <c r="J17" s="35"/>
      <c r="K17" s="25">
        <v>400</v>
      </c>
      <c r="L17" s="25"/>
      <c r="M17" s="25"/>
      <c r="N17" s="25">
        <f t="shared" ref="N17:N24" si="10">L17-M17</f>
        <v>0</v>
      </c>
      <c r="O17" s="25">
        <f>4*15</f>
        <v>60</v>
      </c>
      <c r="U17" s="25">
        <v>400</v>
      </c>
      <c r="V17" s="25"/>
      <c r="W17" s="25"/>
      <c r="X17" s="25">
        <f t="shared" ref="X17:X24" si="11">V17-W17</f>
        <v>0</v>
      </c>
    </row>
    <row r="18" spans="1:25" s="28" customFormat="1" hidden="1" x14ac:dyDescent="0.25">
      <c r="A18" s="25">
        <v>500</v>
      </c>
      <c r="B18" s="25"/>
      <c r="C18" s="25"/>
      <c r="D18" s="25">
        <f t="shared" si="9"/>
        <v>0</v>
      </c>
      <c r="G18" s="35"/>
      <c r="H18" s="35"/>
      <c r="I18" s="35"/>
      <c r="J18" s="35"/>
      <c r="K18" s="25">
        <v>500</v>
      </c>
      <c r="L18" s="25"/>
      <c r="M18" s="25"/>
      <c r="N18" s="25">
        <f t="shared" si="10"/>
        <v>0</v>
      </c>
      <c r="O18" s="25"/>
      <c r="U18" s="25">
        <v>500</v>
      </c>
      <c r="V18" s="25"/>
      <c r="W18" s="25"/>
      <c r="X18" s="25">
        <f t="shared" si="11"/>
        <v>0</v>
      </c>
    </row>
    <row r="19" spans="1:25" s="28" customFormat="1" hidden="1" x14ac:dyDescent="0.25">
      <c r="A19" s="25">
        <v>560</v>
      </c>
      <c r="B19" s="25"/>
      <c r="C19" s="25"/>
      <c r="D19" s="25">
        <f t="shared" si="9"/>
        <v>0</v>
      </c>
      <c r="G19" s="35"/>
      <c r="H19" s="35"/>
      <c r="I19" s="35"/>
      <c r="J19" s="35"/>
      <c r="K19" s="25">
        <v>560</v>
      </c>
      <c r="L19" s="25"/>
      <c r="M19" s="25"/>
      <c r="N19" s="25">
        <f t="shared" si="10"/>
        <v>0</v>
      </c>
      <c r="O19" s="25">
        <f>4*6</f>
        <v>24</v>
      </c>
      <c r="U19" s="25">
        <v>560</v>
      </c>
      <c r="V19" s="25"/>
      <c r="W19" s="25"/>
      <c r="X19" s="25">
        <f t="shared" si="11"/>
        <v>0</v>
      </c>
    </row>
    <row r="20" spans="1:25" s="28" customFormat="1" hidden="1" x14ac:dyDescent="0.25">
      <c r="A20" s="25">
        <v>630</v>
      </c>
      <c r="B20" s="25"/>
      <c r="C20" s="25"/>
      <c r="D20" s="25">
        <f t="shared" si="9"/>
        <v>0</v>
      </c>
      <c r="G20" s="35"/>
      <c r="H20" s="35"/>
      <c r="I20" s="35"/>
      <c r="J20" s="35"/>
      <c r="K20" s="25">
        <v>630</v>
      </c>
      <c r="L20" s="25"/>
      <c r="M20" s="25"/>
      <c r="N20" s="25">
        <f t="shared" si="10"/>
        <v>0</v>
      </c>
      <c r="O20" s="25">
        <f>4*6</f>
        <v>24</v>
      </c>
      <c r="U20" s="25">
        <v>630</v>
      </c>
      <c r="V20" s="25"/>
      <c r="W20" s="25"/>
      <c r="X20" s="25">
        <f t="shared" si="11"/>
        <v>0</v>
      </c>
    </row>
    <row r="21" spans="1:25" s="28" customFormat="1" hidden="1" x14ac:dyDescent="0.25">
      <c r="A21" s="25">
        <v>710</v>
      </c>
      <c r="B21" s="25"/>
      <c r="C21" s="25"/>
      <c r="D21" s="25">
        <f t="shared" si="9"/>
        <v>0</v>
      </c>
      <c r="G21" s="35"/>
      <c r="H21" s="35"/>
      <c r="I21" s="35"/>
      <c r="J21" s="35"/>
      <c r="K21" s="25">
        <v>710</v>
      </c>
      <c r="L21" s="25"/>
      <c r="M21" s="25"/>
      <c r="N21" s="25">
        <f t="shared" si="10"/>
        <v>0</v>
      </c>
      <c r="O21" s="25">
        <f>4*4</f>
        <v>16</v>
      </c>
      <c r="U21" s="25">
        <v>710</v>
      </c>
      <c r="V21" s="25"/>
      <c r="W21" s="25"/>
      <c r="X21" s="25">
        <f t="shared" si="11"/>
        <v>0</v>
      </c>
    </row>
    <row r="22" spans="1:25" s="28" customFormat="1" hidden="1" x14ac:dyDescent="0.25">
      <c r="A22" s="25">
        <v>800</v>
      </c>
      <c r="B22" s="25"/>
      <c r="C22" s="25"/>
      <c r="D22" s="25">
        <f t="shared" si="9"/>
        <v>0</v>
      </c>
      <c r="G22" s="35"/>
      <c r="H22" s="35"/>
      <c r="I22" s="35"/>
      <c r="J22" s="35"/>
      <c r="K22" s="25">
        <v>800</v>
      </c>
      <c r="L22" s="25"/>
      <c r="M22" s="25"/>
      <c r="N22" s="25">
        <f t="shared" si="10"/>
        <v>0</v>
      </c>
      <c r="O22" s="25">
        <f>4*10</f>
        <v>40</v>
      </c>
      <c r="U22" s="25">
        <v>800</v>
      </c>
      <c r="V22" s="25"/>
      <c r="W22" s="25"/>
      <c r="X22" s="25">
        <f t="shared" si="11"/>
        <v>0</v>
      </c>
    </row>
    <row r="23" spans="1:25" s="28" customFormat="1" hidden="1" x14ac:dyDescent="0.25">
      <c r="A23" s="25">
        <v>900</v>
      </c>
      <c r="B23" s="25"/>
      <c r="C23" s="25"/>
      <c r="D23" s="25">
        <f t="shared" si="9"/>
        <v>0</v>
      </c>
      <c r="G23" s="35"/>
      <c r="H23" s="35"/>
      <c r="I23" s="35"/>
      <c r="J23" s="35"/>
      <c r="K23" s="25">
        <v>900</v>
      </c>
      <c r="L23" s="25"/>
      <c r="M23" s="25"/>
      <c r="N23" s="25">
        <f t="shared" si="10"/>
        <v>0</v>
      </c>
      <c r="U23" s="25">
        <v>900</v>
      </c>
      <c r="V23" s="25"/>
      <c r="W23" s="25"/>
      <c r="X23" s="25">
        <f t="shared" si="11"/>
        <v>0</v>
      </c>
    </row>
    <row r="24" spans="1:25" s="28" customFormat="1" hidden="1" x14ac:dyDescent="0.25">
      <c r="A24" s="25">
        <v>1000</v>
      </c>
      <c r="B24" s="25"/>
      <c r="C24" s="25"/>
      <c r="D24" s="25">
        <f t="shared" si="9"/>
        <v>0</v>
      </c>
      <c r="G24" s="35"/>
      <c r="H24" s="35"/>
      <c r="I24" s="35"/>
      <c r="J24" s="35"/>
      <c r="K24" s="25">
        <v>1000</v>
      </c>
      <c r="L24" s="25"/>
      <c r="M24" s="25"/>
      <c r="N24" s="25">
        <f t="shared" si="10"/>
        <v>0</v>
      </c>
      <c r="U24" s="25">
        <v>1000</v>
      </c>
      <c r="V24" s="25"/>
      <c r="W24" s="25"/>
      <c r="X24" s="25">
        <f t="shared" si="11"/>
        <v>0</v>
      </c>
    </row>
    <row r="25" spans="1:25" s="28" customFormat="1" x14ac:dyDescent="0.25">
      <c r="G25" s="35"/>
      <c r="H25" s="35"/>
      <c r="I25" s="35"/>
      <c r="J25" s="35"/>
    </row>
    <row r="26" spans="1:25" s="28" customFormat="1" ht="15" customHeight="1" x14ac:dyDescent="0.25">
      <c r="A26" s="108" t="s">
        <v>43</v>
      </c>
      <c r="B26" s="109"/>
      <c r="C26" s="109"/>
      <c r="D26" s="109"/>
      <c r="E26" s="109"/>
      <c r="F26" s="109"/>
      <c r="G26" s="110"/>
      <c r="H26" s="136"/>
      <c r="I26" s="45"/>
      <c r="J26" s="46" t="s">
        <v>42</v>
      </c>
      <c r="K26" s="47"/>
      <c r="L26" s="47"/>
      <c r="M26" s="47"/>
      <c r="N26" s="48"/>
      <c r="O26" s="137"/>
      <c r="P26" s="41" t="s">
        <v>54</v>
      </c>
      <c r="Q26" s="42"/>
      <c r="R26" s="42"/>
      <c r="S26" s="43"/>
      <c r="T26" s="143"/>
      <c r="U26" s="140" t="s">
        <v>38</v>
      </c>
      <c r="V26" s="141"/>
      <c r="W26" s="141"/>
      <c r="X26" s="141"/>
      <c r="Y26" s="142"/>
    </row>
    <row r="27" spans="1:25" s="27" customFormat="1" ht="26.4" x14ac:dyDescent="0.25">
      <c r="A27" s="26" t="s">
        <v>19</v>
      </c>
      <c r="B27" s="26" t="s">
        <v>33</v>
      </c>
      <c r="C27" s="26" t="s">
        <v>34</v>
      </c>
      <c r="D27" s="26" t="s">
        <v>35</v>
      </c>
      <c r="E27" s="26" t="s">
        <v>37</v>
      </c>
      <c r="F27" s="26" t="s">
        <v>36</v>
      </c>
      <c r="G27" s="32" t="s">
        <v>47</v>
      </c>
      <c r="H27" s="136"/>
      <c r="I27" s="26" t="s">
        <v>19</v>
      </c>
      <c r="J27" s="26" t="s">
        <v>34</v>
      </c>
      <c r="K27" s="26" t="s">
        <v>35</v>
      </c>
      <c r="L27" s="26" t="s">
        <v>37</v>
      </c>
      <c r="M27" s="26" t="s">
        <v>36</v>
      </c>
      <c r="N27" s="26" t="s">
        <v>47</v>
      </c>
      <c r="O27" s="138"/>
      <c r="P27" s="26" t="s">
        <v>19</v>
      </c>
      <c r="Q27" s="26" t="s">
        <v>48</v>
      </c>
      <c r="R27" s="26" t="s">
        <v>49</v>
      </c>
      <c r="S27" s="26" t="s">
        <v>53</v>
      </c>
      <c r="T27" s="144"/>
      <c r="U27" s="26" t="s">
        <v>19</v>
      </c>
      <c r="V27" s="26" t="s">
        <v>27</v>
      </c>
      <c r="W27" s="26" t="s">
        <v>52</v>
      </c>
      <c r="X27" s="26" t="s">
        <v>46</v>
      </c>
      <c r="Y27" s="26" t="s">
        <v>30</v>
      </c>
    </row>
    <row r="28" spans="1:25" s="28" customFormat="1" x14ac:dyDescent="0.25">
      <c r="A28" s="25">
        <v>315</v>
      </c>
      <c r="B28" s="25"/>
      <c r="C28" s="25">
        <f>B28*4</f>
        <v>0</v>
      </c>
      <c r="D28" s="25">
        <f>B28*4</f>
        <v>0</v>
      </c>
      <c r="E28" s="25">
        <f>B28*2</f>
        <v>0</v>
      </c>
      <c r="F28" s="25">
        <f>E28</f>
        <v>0</v>
      </c>
      <c r="G28" s="25">
        <f>B28</f>
        <v>0</v>
      </c>
      <c r="H28" s="136"/>
      <c r="I28" s="25">
        <v>315</v>
      </c>
      <c r="J28" s="25">
        <f t="shared" ref="J28:J36" si="12">D4-C28</f>
        <v>72</v>
      </c>
      <c r="K28" s="25">
        <f t="shared" ref="K28:K36" si="13">N4-D28</f>
        <v>61</v>
      </c>
      <c r="L28" s="25">
        <f t="shared" ref="L28:L36" si="14">X4-E28</f>
        <v>52</v>
      </c>
      <c r="M28" s="25">
        <f t="shared" ref="M28:M36" si="15">X28-F28</f>
        <v>102</v>
      </c>
      <c r="N28" s="25">
        <f t="shared" ref="N28:N36" si="16">S28-G28</f>
        <v>8</v>
      </c>
      <c r="O28" s="138"/>
      <c r="P28" s="25">
        <v>315</v>
      </c>
      <c r="Q28" s="25">
        <v>6</v>
      </c>
      <c r="R28" s="25">
        <v>2</v>
      </c>
      <c r="S28" s="25">
        <f>Q28+R28</f>
        <v>8</v>
      </c>
      <c r="T28" s="144"/>
      <c r="U28" s="25">
        <v>315</v>
      </c>
      <c r="V28" s="25">
        <v>102</v>
      </c>
      <c r="W28" s="25"/>
      <c r="X28" s="25">
        <f>V28+W28</f>
        <v>102</v>
      </c>
      <c r="Y28" s="25">
        <f>X28/2</f>
        <v>51</v>
      </c>
    </row>
    <row r="29" spans="1:25" s="28" customFormat="1" x14ac:dyDescent="0.25">
      <c r="A29" s="25">
        <v>400</v>
      </c>
      <c r="B29" s="25"/>
      <c r="C29" s="25">
        <f t="shared" ref="C29:C36" si="17">B29*4</f>
        <v>0</v>
      </c>
      <c r="D29" s="25">
        <f t="shared" ref="D29:D36" si="18">B29*4</f>
        <v>0</v>
      </c>
      <c r="E29" s="25">
        <f t="shared" ref="E29:E36" si="19">B29*2</f>
        <v>0</v>
      </c>
      <c r="F29" s="25">
        <f t="shared" ref="F29:F36" si="20">E29</f>
        <v>0</v>
      </c>
      <c r="G29" s="25">
        <f t="shared" ref="G29:G36" si="21">B29</f>
        <v>0</v>
      </c>
      <c r="H29" s="136"/>
      <c r="I29" s="25">
        <v>400</v>
      </c>
      <c r="J29" s="25">
        <f t="shared" si="12"/>
        <v>70</v>
      </c>
      <c r="K29" s="25">
        <f t="shared" si="13"/>
        <v>63</v>
      </c>
      <c r="L29" s="25">
        <f t="shared" si="14"/>
        <v>58</v>
      </c>
      <c r="M29" s="25">
        <f t="shared" si="15"/>
        <v>112</v>
      </c>
      <c r="N29" s="25">
        <f t="shared" si="16"/>
        <v>10</v>
      </c>
      <c r="O29" s="138"/>
      <c r="P29" s="25">
        <v>400</v>
      </c>
      <c r="Q29" s="25">
        <v>2</v>
      </c>
      <c r="R29" s="25">
        <v>8</v>
      </c>
      <c r="S29" s="25">
        <f t="shared" ref="S29:S36" si="22">Q29+R29</f>
        <v>10</v>
      </c>
      <c r="T29" s="144"/>
      <c r="U29" s="25">
        <v>400</v>
      </c>
      <c r="V29" s="25">
        <v>112</v>
      </c>
      <c r="W29" s="25"/>
      <c r="X29" s="25">
        <f t="shared" ref="X29:X36" si="23">V29+W29</f>
        <v>112</v>
      </c>
      <c r="Y29" s="25">
        <f t="shared" ref="Y29:Y36" si="24">X29/2</f>
        <v>56</v>
      </c>
    </row>
    <row r="30" spans="1:25" s="28" customFormat="1" x14ac:dyDescent="0.25">
      <c r="A30" s="25">
        <v>500</v>
      </c>
      <c r="B30" s="25"/>
      <c r="C30" s="25">
        <f t="shared" si="17"/>
        <v>0</v>
      </c>
      <c r="D30" s="25">
        <f t="shared" si="18"/>
        <v>0</v>
      </c>
      <c r="E30" s="25">
        <f t="shared" si="19"/>
        <v>0</v>
      </c>
      <c r="F30" s="25">
        <f t="shared" si="20"/>
        <v>0</v>
      </c>
      <c r="G30" s="25">
        <f t="shared" si="21"/>
        <v>0</v>
      </c>
      <c r="H30" s="136"/>
      <c r="I30" s="25">
        <v>500</v>
      </c>
      <c r="J30" s="25">
        <f t="shared" si="12"/>
        <v>93</v>
      </c>
      <c r="K30" s="25">
        <f t="shared" si="13"/>
        <v>140</v>
      </c>
      <c r="L30" s="25">
        <f t="shared" si="14"/>
        <v>22</v>
      </c>
      <c r="M30" s="25">
        <f t="shared" si="15"/>
        <v>11</v>
      </c>
      <c r="N30" s="25">
        <f t="shared" si="16"/>
        <v>10</v>
      </c>
      <c r="O30" s="138"/>
      <c r="P30" s="25">
        <v>500</v>
      </c>
      <c r="Q30" s="25">
        <v>10</v>
      </c>
      <c r="R30" s="25"/>
      <c r="S30" s="25">
        <f t="shared" si="22"/>
        <v>10</v>
      </c>
      <c r="T30" s="144"/>
      <c r="U30" s="25">
        <v>500</v>
      </c>
      <c r="V30" s="25">
        <v>11</v>
      </c>
      <c r="W30" s="25"/>
      <c r="X30" s="25">
        <f t="shared" si="23"/>
        <v>11</v>
      </c>
      <c r="Y30" s="25">
        <f t="shared" si="24"/>
        <v>5.5</v>
      </c>
    </row>
    <row r="31" spans="1:25" s="28" customFormat="1" x14ac:dyDescent="0.25">
      <c r="A31" s="25">
        <v>560</v>
      </c>
      <c r="B31" s="25">
        <v>9</v>
      </c>
      <c r="C31" s="25">
        <f t="shared" si="17"/>
        <v>36</v>
      </c>
      <c r="D31" s="25">
        <f t="shared" si="18"/>
        <v>36</v>
      </c>
      <c r="E31" s="25">
        <f t="shared" si="19"/>
        <v>18</v>
      </c>
      <c r="F31" s="25">
        <f t="shared" si="20"/>
        <v>18</v>
      </c>
      <c r="G31" s="25">
        <f t="shared" si="21"/>
        <v>9</v>
      </c>
      <c r="H31" s="136"/>
      <c r="I31" s="25">
        <v>560</v>
      </c>
      <c r="J31" s="25">
        <f t="shared" si="12"/>
        <v>-23</v>
      </c>
      <c r="K31" s="25">
        <f t="shared" si="13"/>
        <v>33</v>
      </c>
      <c r="L31" s="25">
        <f t="shared" si="14"/>
        <v>0</v>
      </c>
      <c r="M31" s="25">
        <f t="shared" si="15"/>
        <v>-7</v>
      </c>
      <c r="N31" s="25">
        <f t="shared" si="16"/>
        <v>-6</v>
      </c>
      <c r="O31" s="138"/>
      <c r="P31" s="25">
        <v>560</v>
      </c>
      <c r="Q31" s="25">
        <f>5-2</f>
        <v>3</v>
      </c>
      <c r="R31" s="25"/>
      <c r="S31" s="25">
        <f t="shared" si="22"/>
        <v>3</v>
      </c>
      <c r="T31" s="144"/>
      <c r="U31" s="25">
        <v>560</v>
      </c>
      <c r="V31" s="29">
        <v>11</v>
      </c>
      <c r="W31" s="25"/>
      <c r="X31" s="25">
        <f t="shared" si="23"/>
        <v>11</v>
      </c>
      <c r="Y31" s="25">
        <f t="shared" si="24"/>
        <v>5.5</v>
      </c>
    </row>
    <row r="32" spans="1:25" s="28" customFormat="1" x14ac:dyDescent="0.25">
      <c r="A32" s="25">
        <v>630</v>
      </c>
      <c r="B32" s="25">
        <v>7</v>
      </c>
      <c r="C32" s="25">
        <f t="shared" si="17"/>
        <v>28</v>
      </c>
      <c r="D32" s="25">
        <f t="shared" si="18"/>
        <v>28</v>
      </c>
      <c r="E32" s="25">
        <f t="shared" si="19"/>
        <v>14</v>
      </c>
      <c r="F32" s="25">
        <f t="shared" si="20"/>
        <v>14</v>
      </c>
      <c r="G32" s="25">
        <f t="shared" si="21"/>
        <v>7</v>
      </c>
      <c r="H32" s="136"/>
      <c r="I32" s="25">
        <v>630</v>
      </c>
      <c r="J32" s="25">
        <f t="shared" si="12"/>
        <v>4</v>
      </c>
      <c r="K32" s="25">
        <f t="shared" si="13"/>
        <v>36</v>
      </c>
      <c r="L32" s="25">
        <f t="shared" si="14"/>
        <v>-12</v>
      </c>
      <c r="M32" s="25">
        <f t="shared" si="15"/>
        <v>-7</v>
      </c>
      <c r="N32" s="25">
        <f t="shared" si="16"/>
        <v>-4</v>
      </c>
      <c r="O32" s="138"/>
      <c r="P32" s="25">
        <v>630</v>
      </c>
      <c r="Q32" s="25">
        <v>3</v>
      </c>
      <c r="R32" s="25"/>
      <c r="S32" s="25">
        <f t="shared" si="22"/>
        <v>3</v>
      </c>
      <c r="T32" s="144"/>
      <c r="U32" s="25">
        <v>630</v>
      </c>
      <c r="V32" s="29">
        <v>7</v>
      </c>
      <c r="W32" s="25"/>
      <c r="X32" s="25">
        <f t="shared" si="23"/>
        <v>7</v>
      </c>
      <c r="Y32" s="25">
        <f t="shared" si="24"/>
        <v>3.5</v>
      </c>
    </row>
    <row r="33" spans="1:25" s="28" customFormat="1" x14ac:dyDescent="0.25">
      <c r="A33" s="25">
        <v>710</v>
      </c>
      <c r="B33" s="25">
        <v>6</v>
      </c>
      <c r="C33" s="25">
        <f t="shared" si="17"/>
        <v>24</v>
      </c>
      <c r="D33" s="25">
        <f t="shared" si="18"/>
        <v>24</v>
      </c>
      <c r="E33" s="25">
        <f t="shared" si="19"/>
        <v>12</v>
      </c>
      <c r="F33" s="25">
        <f t="shared" si="20"/>
        <v>12</v>
      </c>
      <c r="G33" s="25">
        <f t="shared" si="21"/>
        <v>6</v>
      </c>
      <c r="H33" s="136"/>
      <c r="I33" s="25">
        <v>710</v>
      </c>
      <c r="J33" s="25">
        <f t="shared" si="12"/>
        <v>-3</v>
      </c>
      <c r="K33" s="25">
        <f t="shared" si="13"/>
        <v>40</v>
      </c>
      <c r="L33" s="25">
        <f t="shared" si="14"/>
        <v>-2</v>
      </c>
      <c r="M33" s="25">
        <f t="shared" si="15"/>
        <v>-8</v>
      </c>
      <c r="N33" s="25">
        <f t="shared" si="16"/>
        <v>0</v>
      </c>
      <c r="O33" s="138"/>
      <c r="P33" s="25">
        <v>710</v>
      </c>
      <c r="Q33" s="25">
        <f>8-2</f>
        <v>6</v>
      </c>
      <c r="R33" s="25"/>
      <c r="S33" s="25">
        <f t="shared" si="22"/>
        <v>6</v>
      </c>
      <c r="T33" s="144"/>
      <c r="U33" s="25">
        <v>710</v>
      </c>
      <c r="V33" s="25">
        <v>4</v>
      </c>
      <c r="W33" s="25"/>
      <c r="X33" s="25">
        <f t="shared" si="23"/>
        <v>4</v>
      </c>
      <c r="Y33" s="25">
        <f t="shared" si="24"/>
        <v>2</v>
      </c>
    </row>
    <row r="34" spans="1:25" s="28" customFormat="1" x14ac:dyDescent="0.25">
      <c r="A34" s="25">
        <v>800</v>
      </c>
      <c r="B34" s="25">
        <v>1</v>
      </c>
      <c r="C34" s="25">
        <f t="shared" si="17"/>
        <v>4</v>
      </c>
      <c r="D34" s="25">
        <f t="shared" si="18"/>
        <v>4</v>
      </c>
      <c r="E34" s="25">
        <f t="shared" si="19"/>
        <v>2</v>
      </c>
      <c r="F34" s="25">
        <f t="shared" si="20"/>
        <v>2</v>
      </c>
      <c r="G34" s="25">
        <f t="shared" si="21"/>
        <v>1</v>
      </c>
      <c r="H34" s="136"/>
      <c r="I34" s="25">
        <v>800</v>
      </c>
      <c r="J34" s="25">
        <f t="shared" si="12"/>
        <v>50</v>
      </c>
      <c r="K34" s="25">
        <f t="shared" si="13"/>
        <v>52</v>
      </c>
      <c r="L34" s="25">
        <f t="shared" si="14"/>
        <v>10</v>
      </c>
      <c r="M34" s="25">
        <f t="shared" si="15"/>
        <v>9</v>
      </c>
      <c r="N34" s="25">
        <f t="shared" si="16"/>
        <v>3</v>
      </c>
      <c r="O34" s="138"/>
      <c r="P34" s="25">
        <v>800</v>
      </c>
      <c r="Q34" s="25">
        <v>4</v>
      </c>
      <c r="R34" s="25"/>
      <c r="S34" s="25">
        <f t="shared" si="22"/>
        <v>4</v>
      </c>
      <c r="T34" s="144"/>
      <c r="U34" s="25">
        <v>800</v>
      </c>
      <c r="V34" s="29">
        <v>11</v>
      </c>
      <c r="W34" s="25"/>
      <c r="X34" s="25">
        <f t="shared" si="23"/>
        <v>11</v>
      </c>
      <c r="Y34" s="25">
        <f t="shared" si="24"/>
        <v>5.5</v>
      </c>
    </row>
    <row r="35" spans="1:25" s="28" customFormat="1" x14ac:dyDescent="0.25">
      <c r="A35" s="25">
        <v>900</v>
      </c>
      <c r="B35" s="25"/>
      <c r="C35" s="25">
        <f t="shared" si="17"/>
        <v>0</v>
      </c>
      <c r="D35" s="25">
        <f t="shared" si="18"/>
        <v>0</v>
      </c>
      <c r="E35" s="25">
        <f t="shared" si="19"/>
        <v>0</v>
      </c>
      <c r="F35" s="25">
        <f t="shared" si="20"/>
        <v>0</v>
      </c>
      <c r="G35" s="25">
        <f t="shared" si="21"/>
        <v>0</v>
      </c>
      <c r="H35" s="136"/>
      <c r="I35" s="25">
        <v>900</v>
      </c>
      <c r="J35" s="25">
        <f t="shared" si="12"/>
        <v>8</v>
      </c>
      <c r="K35" s="25">
        <f t="shared" si="13"/>
        <v>12</v>
      </c>
      <c r="L35" s="25">
        <f t="shared" si="14"/>
        <v>0</v>
      </c>
      <c r="M35" s="25">
        <f t="shared" si="15"/>
        <v>0</v>
      </c>
      <c r="N35" s="25">
        <f t="shared" si="16"/>
        <v>0</v>
      </c>
      <c r="O35" s="138"/>
      <c r="P35" s="25">
        <v>900</v>
      </c>
      <c r="Q35" s="25">
        <v>0</v>
      </c>
      <c r="R35" s="25"/>
      <c r="S35" s="25">
        <f t="shared" si="22"/>
        <v>0</v>
      </c>
      <c r="T35" s="144"/>
      <c r="U35" s="25">
        <v>900</v>
      </c>
      <c r="V35" s="25">
        <v>0</v>
      </c>
      <c r="W35" s="25"/>
      <c r="X35" s="25">
        <f t="shared" si="23"/>
        <v>0</v>
      </c>
      <c r="Y35" s="25">
        <f t="shared" si="24"/>
        <v>0</v>
      </c>
    </row>
    <row r="36" spans="1:25" s="28" customFormat="1" x14ac:dyDescent="0.25">
      <c r="A36" s="25">
        <v>1000</v>
      </c>
      <c r="B36" s="25"/>
      <c r="C36" s="25">
        <f t="shared" si="17"/>
        <v>0</v>
      </c>
      <c r="D36" s="25">
        <f t="shared" si="18"/>
        <v>0</v>
      </c>
      <c r="E36" s="25">
        <f t="shared" si="19"/>
        <v>0</v>
      </c>
      <c r="F36" s="25">
        <f t="shared" si="20"/>
        <v>0</v>
      </c>
      <c r="G36" s="25">
        <f t="shared" si="21"/>
        <v>0</v>
      </c>
      <c r="H36" s="136"/>
      <c r="I36" s="25">
        <v>1000</v>
      </c>
      <c r="J36" s="25">
        <f t="shared" si="12"/>
        <v>0</v>
      </c>
      <c r="K36" s="25">
        <f t="shared" si="13"/>
        <v>12</v>
      </c>
      <c r="L36" s="25">
        <f t="shared" si="14"/>
        <v>0</v>
      </c>
      <c r="M36" s="25">
        <f t="shared" si="15"/>
        <v>0</v>
      </c>
      <c r="N36" s="25">
        <f t="shared" si="16"/>
        <v>0</v>
      </c>
      <c r="O36" s="139"/>
      <c r="P36" s="25">
        <v>1000</v>
      </c>
      <c r="Q36" s="25">
        <v>0</v>
      </c>
      <c r="R36" s="25"/>
      <c r="S36" s="25">
        <f t="shared" si="22"/>
        <v>0</v>
      </c>
      <c r="T36" s="145"/>
      <c r="U36" s="25">
        <v>1000</v>
      </c>
      <c r="V36" s="25">
        <v>0</v>
      </c>
      <c r="W36" s="25"/>
      <c r="X36" s="25">
        <f t="shared" si="23"/>
        <v>0</v>
      </c>
      <c r="Y36" s="25">
        <f t="shared" si="24"/>
        <v>0</v>
      </c>
    </row>
    <row r="37" spans="1:25" s="28" customFormat="1" x14ac:dyDescent="0.25">
      <c r="G37" s="35"/>
      <c r="H37" s="35"/>
      <c r="I37" s="35"/>
      <c r="J37" s="35"/>
    </row>
    <row r="38" spans="1:25" x14ac:dyDescent="0.25">
      <c r="A38" s="106" t="s">
        <v>71</v>
      </c>
      <c r="B38" s="106"/>
      <c r="C38" s="106"/>
      <c r="D38" s="106"/>
      <c r="E38" s="106"/>
      <c r="I38" s="121" t="s">
        <v>56</v>
      </c>
      <c r="J38" s="122"/>
      <c r="K38" s="122"/>
      <c r="L38" s="122"/>
      <c r="M38" s="122"/>
      <c r="N38" s="123"/>
      <c r="P38" s="108" t="s">
        <v>64</v>
      </c>
      <c r="Q38" s="109"/>
      <c r="R38" s="109"/>
      <c r="S38" s="110"/>
      <c r="U38" s="108" t="s">
        <v>64</v>
      </c>
      <c r="V38" s="109"/>
      <c r="W38" s="109"/>
      <c r="X38" s="110"/>
    </row>
    <row r="39" spans="1:25" ht="50.1" customHeight="1" x14ac:dyDescent="0.25">
      <c r="A39" s="26" t="s">
        <v>19</v>
      </c>
      <c r="B39" s="26" t="s">
        <v>33</v>
      </c>
      <c r="C39" s="26" t="s">
        <v>72</v>
      </c>
      <c r="D39" s="26"/>
      <c r="E39" s="26"/>
      <c r="I39" s="26" t="s">
        <v>19</v>
      </c>
      <c r="J39" s="26" t="s">
        <v>57</v>
      </c>
      <c r="K39" s="26" t="s">
        <v>58</v>
      </c>
      <c r="L39" s="26" t="s">
        <v>59</v>
      </c>
      <c r="M39" s="26" t="s">
        <v>55</v>
      </c>
      <c r="N39" s="26" t="s">
        <v>66</v>
      </c>
      <c r="P39" s="25" t="s">
        <v>60</v>
      </c>
      <c r="Q39" s="25" t="s">
        <v>34</v>
      </c>
      <c r="R39" s="25" t="s">
        <v>35</v>
      </c>
      <c r="S39" s="25" t="s">
        <v>61</v>
      </c>
      <c r="U39" s="25" t="s">
        <v>60</v>
      </c>
      <c r="V39" s="25" t="s">
        <v>34</v>
      </c>
      <c r="W39" s="25" t="s">
        <v>35</v>
      </c>
      <c r="X39" s="25" t="s">
        <v>61</v>
      </c>
    </row>
    <row r="40" spans="1:25" x14ac:dyDescent="0.25">
      <c r="A40" s="25">
        <v>315</v>
      </c>
      <c r="B40" s="25">
        <f>B28</f>
        <v>0</v>
      </c>
      <c r="C40" s="56"/>
      <c r="D40" s="25"/>
      <c r="E40" s="25"/>
      <c r="I40" s="25">
        <v>315</v>
      </c>
      <c r="J40" s="25">
        <f>Y28</f>
        <v>51</v>
      </c>
      <c r="K40" s="29">
        <v>8</v>
      </c>
      <c r="L40" s="29"/>
      <c r="M40" s="25"/>
      <c r="N40" s="25"/>
      <c r="P40" s="25">
        <v>6</v>
      </c>
      <c r="Q40" s="25">
        <f>60+52</f>
        <v>112</v>
      </c>
      <c r="R40" s="25">
        <f>20+24+16</f>
        <v>60</v>
      </c>
      <c r="S40" s="51">
        <f>2950*P40</f>
        <v>17700</v>
      </c>
      <c r="U40" s="25">
        <v>2</v>
      </c>
      <c r="V40" s="25">
        <f>8</f>
        <v>8</v>
      </c>
      <c r="W40" s="25">
        <f>23</f>
        <v>23</v>
      </c>
      <c r="X40" s="51">
        <f>2950*U40</f>
        <v>5900</v>
      </c>
    </row>
    <row r="41" spans="1:25" x14ac:dyDescent="0.25">
      <c r="A41" s="25">
        <v>400</v>
      </c>
      <c r="B41" s="25">
        <f t="shared" ref="B41:B48" si="25">B29</f>
        <v>0</v>
      </c>
      <c r="C41" s="56"/>
      <c r="D41" s="25"/>
      <c r="E41" s="25"/>
      <c r="I41" s="25">
        <v>400</v>
      </c>
      <c r="J41" s="25">
        <f t="shared" ref="J41:J48" si="26">Y29</f>
        <v>56</v>
      </c>
      <c r="K41" s="29">
        <v>10</v>
      </c>
      <c r="L41" s="29"/>
      <c r="M41" s="25"/>
      <c r="N41" s="25"/>
      <c r="P41" s="111"/>
      <c r="Q41" s="112"/>
      <c r="R41" s="113"/>
      <c r="S41" s="51">
        <f>Q40*5</f>
        <v>560</v>
      </c>
      <c r="U41" s="111"/>
      <c r="V41" s="112"/>
      <c r="W41" s="113"/>
      <c r="X41" s="51">
        <f>V40*5</f>
        <v>40</v>
      </c>
    </row>
    <row r="42" spans="1:25" x14ac:dyDescent="0.25">
      <c r="A42" s="25">
        <v>500</v>
      </c>
      <c r="B42" s="25">
        <f t="shared" si="25"/>
        <v>0</v>
      </c>
      <c r="C42" s="56"/>
      <c r="D42" s="25"/>
      <c r="E42" s="25"/>
      <c r="I42" s="25">
        <v>500</v>
      </c>
      <c r="J42" s="25">
        <f t="shared" si="26"/>
        <v>5.5</v>
      </c>
      <c r="K42" s="29">
        <v>10</v>
      </c>
      <c r="L42" s="29">
        <v>10</v>
      </c>
      <c r="M42" s="25"/>
      <c r="N42" s="36"/>
      <c r="P42" s="114"/>
      <c r="Q42" s="115"/>
      <c r="R42" s="116"/>
      <c r="S42" s="51">
        <f>R40*5*4</f>
        <v>1200</v>
      </c>
      <c r="U42" s="114"/>
      <c r="V42" s="115"/>
      <c r="W42" s="116"/>
      <c r="X42" s="51">
        <f>W40*5*4</f>
        <v>460</v>
      </c>
    </row>
    <row r="43" spans="1:25" x14ac:dyDescent="0.25">
      <c r="A43" s="25">
        <v>560</v>
      </c>
      <c r="B43" s="25">
        <f t="shared" si="25"/>
        <v>9</v>
      </c>
      <c r="C43" s="56">
        <f>B43*$V$47</f>
        <v>24138</v>
      </c>
      <c r="D43" s="25"/>
      <c r="E43" s="25"/>
      <c r="I43" s="25">
        <v>560</v>
      </c>
      <c r="J43" s="29">
        <f t="shared" si="26"/>
        <v>5.5</v>
      </c>
      <c r="K43" s="49">
        <f>N31+J43</f>
        <v>-0.5</v>
      </c>
      <c r="L43" s="29"/>
      <c r="M43" s="25"/>
      <c r="N43" s="25">
        <f>J43+(L43/2)</f>
        <v>5.5</v>
      </c>
      <c r="P43" s="117" t="s">
        <v>62</v>
      </c>
      <c r="Q43" s="118"/>
      <c r="R43" s="119"/>
      <c r="S43" s="51">
        <f>SUM(S40:S42)</f>
        <v>19460</v>
      </c>
      <c r="U43" s="117" t="s">
        <v>62</v>
      </c>
      <c r="V43" s="118"/>
      <c r="W43" s="119"/>
      <c r="X43" s="51">
        <f>SUM(X40:X42)</f>
        <v>6400</v>
      </c>
    </row>
    <row r="44" spans="1:25" x14ac:dyDescent="0.25">
      <c r="A44" s="25">
        <v>630</v>
      </c>
      <c r="B44" s="25">
        <f t="shared" si="25"/>
        <v>7</v>
      </c>
      <c r="C44" s="56">
        <f>B44*$V$47</f>
        <v>18774</v>
      </c>
      <c r="D44" s="25"/>
      <c r="E44" s="25"/>
      <c r="I44" s="25">
        <v>630</v>
      </c>
      <c r="J44" s="29">
        <f t="shared" si="26"/>
        <v>3.5</v>
      </c>
      <c r="K44" s="49">
        <f t="shared" ref="K44:K46" si="27">N32+J44</f>
        <v>-0.5</v>
      </c>
      <c r="L44" s="29">
        <v>6</v>
      </c>
      <c r="M44" s="25">
        <f>(L44/2)+K44</f>
        <v>2.5</v>
      </c>
      <c r="N44" s="25">
        <f>J44+(L44/2)</f>
        <v>6.5</v>
      </c>
      <c r="P44" s="120" t="s">
        <v>63</v>
      </c>
      <c r="Q44" s="120"/>
      <c r="R44" s="120"/>
      <c r="S44" s="51">
        <f>S43*1.15</f>
        <v>22379</v>
      </c>
      <c r="U44" s="120" t="s">
        <v>63</v>
      </c>
      <c r="V44" s="120"/>
      <c r="W44" s="120"/>
      <c r="X44" s="51">
        <f>X43*1.15</f>
        <v>7359.9999999999991</v>
      </c>
    </row>
    <row r="45" spans="1:25" x14ac:dyDescent="0.25">
      <c r="A45" s="25">
        <v>710</v>
      </c>
      <c r="B45" s="25">
        <f t="shared" si="25"/>
        <v>6</v>
      </c>
      <c r="C45" s="56"/>
      <c r="D45" s="25"/>
      <c r="E45" s="25"/>
      <c r="I45" s="25">
        <v>710</v>
      </c>
      <c r="J45" s="25">
        <f t="shared" si="26"/>
        <v>2</v>
      </c>
      <c r="K45" s="29">
        <v>8</v>
      </c>
      <c r="L45" s="29"/>
      <c r="M45" s="25"/>
      <c r="N45" s="25"/>
    </row>
    <row r="46" spans="1:25" x14ac:dyDescent="0.25">
      <c r="A46" s="25">
        <v>800</v>
      </c>
      <c r="B46" s="25">
        <v>8</v>
      </c>
      <c r="C46" s="56">
        <f>B46*$V$47</f>
        <v>21456</v>
      </c>
      <c r="D46" s="25"/>
      <c r="E46" s="25"/>
      <c r="I46" s="25">
        <v>800</v>
      </c>
      <c r="J46" s="29">
        <f t="shared" si="26"/>
        <v>5.5</v>
      </c>
      <c r="K46" s="49">
        <f t="shared" si="27"/>
        <v>8.5</v>
      </c>
      <c r="L46" s="29">
        <v>6</v>
      </c>
      <c r="M46" s="25">
        <f>(L46/2)+K46</f>
        <v>11.5</v>
      </c>
      <c r="N46" s="25">
        <f>J46+(L46/2)</f>
        <v>8.5</v>
      </c>
      <c r="P46" s="120" t="s">
        <v>65</v>
      </c>
      <c r="Q46" s="120"/>
      <c r="R46" s="120"/>
      <c r="S46" s="52">
        <f>S44+X44</f>
        <v>29739</v>
      </c>
    </row>
    <row r="47" spans="1:25" x14ac:dyDescent="0.25">
      <c r="A47" s="25">
        <v>900</v>
      </c>
      <c r="B47" s="25">
        <f t="shared" si="25"/>
        <v>0</v>
      </c>
      <c r="C47" s="56"/>
      <c r="D47" s="25"/>
      <c r="E47" s="25"/>
      <c r="I47" s="25">
        <v>900</v>
      </c>
      <c r="J47" s="25">
        <f t="shared" si="26"/>
        <v>0</v>
      </c>
      <c r="K47" s="29">
        <v>0</v>
      </c>
      <c r="L47" s="29"/>
      <c r="M47" s="25"/>
      <c r="N47" s="25"/>
      <c r="O47" s="64"/>
      <c r="P47" s="63"/>
      <c r="Q47" s="62"/>
      <c r="R47" s="62"/>
      <c r="S47" s="55"/>
      <c r="T47" s="54"/>
      <c r="U47" s="53" t="s">
        <v>67</v>
      </c>
      <c r="V47" s="51">
        <v>2682</v>
      </c>
      <c r="W47" s="53" t="s">
        <v>69</v>
      </c>
      <c r="X47" s="51">
        <v>1860</v>
      </c>
    </row>
    <row r="48" spans="1:25" x14ac:dyDescent="0.25">
      <c r="A48" s="25">
        <v>1000</v>
      </c>
      <c r="B48" s="25">
        <f t="shared" si="25"/>
        <v>0</v>
      </c>
      <c r="C48" s="56"/>
      <c r="D48" s="25"/>
      <c r="E48" s="25"/>
      <c r="I48" s="25">
        <v>1000</v>
      </c>
      <c r="J48" s="25">
        <f t="shared" si="26"/>
        <v>0</v>
      </c>
      <c r="K48" s="29">
        <v>0</v>
      </c>
      <c r="L48" s="29"/>
      <c r="M48" s="25"/>
      <c r="N48" s="25"/>
      <c r="O48" s="65"/>
      <c r="P48" s="124" t="s">
        <v>79</v>
      </c>
      <c r="Q48" s="125"/>
      <c r="R48" s="125"/>
      <c r="S48" s="126"/>
      <c r="U48" s="53" t="s">
        <v>68</v>
      </c>
      <c r="V48" s="51">
        <v>1760</v>
      </c>
      <c r="W48" s="53" t="s">
        <v>70</v>
      </c>
      <c r="X48" s="51">
        <v>1180</v>
      </c>
    </row>
    <row r="49" spans="1:24" x14ac:dyDescent="0.25">
      <c r="A49" s="50" t="s">
        <v>73</v>
      </c>
      <c r="B49" s="25">
        <f>SUM(B40:B48)</f>
        <v>30</v>
      </c>
      <c r="C49" s="56"/>
      <c r="D49" s="28"/>
      <c r="E49" s="28"/>
      <c r="I49" s="28"/>
      <c r="J49" s="28"/>
      <c r="K49" s="44"/>
      <c r="L49" s="44"/>
      <c r="M49" s="28"/>
      <c r="N49" s="67"/>
      <c r="O49" s="66"/>
      <c r="P49" s="59" t="s">
        <v>19</v>
      </c>
      <c r="Q49" s="52" t="s">
        <v>78</v>
      </c>
      <c r="R49" s="59" t="s">
        <v>39</v>
      </c>
      <c r="S49" s="59" t="s">
        <v>35</v>
      </c>
      <c r="U49" s="57"/>
      <c r="V49" s="58"/>
      <c r="W49" s="57"/>
      <c r="X49" s="58"/>
    </row>
    <row r="50" spans="1:24" x14ac:dyDescent="0.25">
      <c r="A50" s="107" t="s">
        <v>62</v>
      </c>
      <c r="B50" s="107"/>
      <c r="C50" s="56">
        <f>SUM(C40:C48)</f>
        <v>64368</v>
      </c>
      <c r="F50" s="25" t="s">
        <v>74</v>
      </c>
      <c r="G50" s="33" t="s">
        <v>75</v>
      </c>
      <c r="H50" s="33" t="s">
        <v>76</v>
      </c>
      <c r="I50" s="33" t="s">
        <v>77</v>
      </c>
      <c r="O50" s="68"/>
      <c r="P50" s="60">
        <v>800</v>
      </c>
      <c r="Q50" s="36">
        <f>P40*3</f>
        <v>18</v>
      </c>
      <c r="R50" s="36"/>
      <c r="S50" s="73">
        <v>16</v>
      </c>
      <c r="U50" s="124" t="s">
        <v>80</v>
      </c>
      <c r="V50" s="125"/>
      <c r="W50" s="125"/>
      <c r="X50" s="126"/>
    </row>
    <row r="51" spans="1:24" x14ac:dyDescent="0.25">
      <c r="A51" s="107" t="s">
        <v>63</v>
      </c>
      <c r="B51" s="107"/>
      <c r="C51" s="56">
        <f>C50*1.15</f>
        <v>74023.199999999997</v>
      </c>
      <c r="F51" s="51">
        <f>S46</f>
        <v>29739</v>
      </c>
      <c r="G51" s="33">
        <f>'[1]STOCK ORDER -  15 Sept 2025'!$P$24</f>
        <v>21298.533888888891</v>
      </c>
      <c r="H51" s="33">
        <f>C51</f>
        <v>74023.199999999997</v>
      </c>
      <c r="I51" s="33">
        <f>SUM(F51:H51)</f>
        <v>125060.73388888889</v>
      </c>
      <c r="O51" s="69"/>
      <c r="P51" s="60">
        <v>630</v>
      </c>
      <c r="Q51" s="36">
        <f>P40*3</f>
        <v>18</v>
      </c>
      <c r="R51" s="36">
        <v>52</v>
      </c>
      <c r="S51" s="73">
        <v>24</v>
      </c>
      <c r="U51" s="59" t="s">
        <v>19</v>
      </c>
      <c r="V51" s="52" t="s">
        <v>78</v>
      </c>
      <c r="W51" s="59" t="s">
        <v>39</v>
      </c>
      <c r="X51" s="59" t="s">
        <v>35</v>
      </c>
    </row>
    <row r="52" spans="1:24" x14ac:dyDescent="0.25">
      <c r="P52" s="61">
        <v>560</v>
      </c>
      <c r="Q52" s="36"/>
      <c r="R52" s="36">
        <v>60</v>
      </c>
      <c r="S52" s="36">
        <v>20</v>
      </c>
      <c r="U52" s="60">
        <v>800</v>
      </c>
      <c r="V52" s="36">
        <f>U40*3</f>
        <v>6</v>
      </c>
      <c r="W52" s="36"/>
      <c r="X52" s="73">
        <v>12</v>
      </c>
    </row>
    <row r="53" spans="1:24" x14ac:dyDescent="0.25">
      <c r="F53">
        <f>34511.5+50236.05+21299</f>
        <v>106046.55</v>
      </c>
      <c r="P53" s="72"/>
      <c r="Q53" s="71"/>
      <c r="R53" s="70"/>
      <c r="S53" s="70"/>
      <c r="U53" s="60">
        <v>630</v>
      </c>
      <c r="V53" s="36">
        <f>U40*3</f>
        <v>6</v>
      </c>
      <c r="W53" s="36"/>
      <c r="X53" s="73">
        <v>8</v>
      </c>
    </row>
    <row r="54" spans="1:24" x14ac:dyDescent="0.25">
      <c r="U54" s="61">
        <v>560</v>
      </c>
      <c r="V54" s="36"/>
      <c r="W54" s="36">
        <v>8</v>
      </c>
      <c r="X54" s="36">
        <v>4</v>
      </c>
    </row>
    <row r="55" spans="1:24" x14ac:dyDescent="0.25">
      <c r="U55" s="61">
        <v>500</v>
      </c>
      <c r="V55" s="36">
        <v>10</v>
      </c>
      <c r="W55" s="36"/>
      <c r="X55" s="36"/>
    </row>
  </sheetData>
  <mergeCells count="26">
    <mergeCell ref="P46:R46"/>
    <mergeCell ref="P48:S48"/>
    <mergeCell ref="A50:B50"/>
    <mergeCell ref="U50:X50"/>
    <mergeCell ref="A51:B51"/>
    <mergeCell ref="P41:R42"/>
    <mergeCell ref="U41:W42"/>
    <mergeCell ref="P43:R43"/>
    <mergeCell ref="U43:W43"/>
    <mergeCell ref="P44:R44"/>
    <mergeCell ref="U44:W44"/>
    <mergeCell ref="A38:E38"/>
    <mergeCell ref="I38:N38"/>
    <mergeCell ref="P38:S38"/>
    <mergeCell ref="U38:X38"/>
    <mergeCell ref="A2:G2"/>
    <mergeCell ref="H2:J12"/>
    <mergeCell ref="K2:Q2"/>
    <mergeCell ref="T2:T12"/>
    <mergeCell ref="U2:Y2"/>
    <mergeCell ref="A14:X14"/>
    <mergeCell ref="A26:G26"/>
    <mergeCell ref="H26:H36"/>
    <mergeCell ref="O26:O36"/>
    <mergeCell ref="T26:T36"/>
    <mergeCell ref="U26:Y2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6618E-0E97-482C-9280-145287F54FD5}">
  <dimension ref="A4:T19"/>
  <sheetViews>
    <sheetView workbookViewId="0">
      <selection activeCell="O16" sqref="O16"/>
    </sheetView>
  </sheetViews>
  <sheetFormatPr defaultRowHeight="13.2" x14ac:dyDescent="0.25"/>
  <sheetData>
    <row r="4" spans="1:20" x14ac:dyDescent="0.25">
      <c r="A4" s="108" t="s">
        <v>43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10"/>
    </row>
    <row r="5" spans="1:20" ht="52.8" x14ac:dyDescent="0.25">
      <c r="A5" s="26" t="s">
        <v>19</v>
      </c>
      <c r="B5" s="26" t="s">
        <v>33</v>
      </c>
      <c r="C5" s="26" t="s">
        <v>34</v>
      </c>
      <c r="D5" s="26"/>
      <c r="E5" s="26" t="s">
        <v>35</v>
      </c>
      <c r="F5" s="26"/>
      <c r="G5" s="26" t="s">
        <v>37</v>
      </c>
      <c r="H5" s="26"/>
      <c r="I5" s="26"/>
      <c r="J5" s="26" t="s">
        <v>36</v>
      </c>
      <c r="K5" s="26"/>
      <c r="L5" s="32" t="s">
        <v>47</v>
      </c>
    </row>
    <row r="6" spans="1:20" x14ac:dyDescent="0.25">
      <c r="A6" s="25">
        <v>315</v>
      </c>
      <c r="B6" s="25"/>
      <c r="C6" s="25">
        <f>B6*4</f>
        <v>0</v>
      </c>
      <c r="D6" s="25"/>
      <c r="E6" s="25">
        <f>B6*4</f>
        <v>0</v>
      </c>
      <c r="F6" s="25"/>
      <c r="G6" s="25">
        <f>B6*2</f>
        <v>0</v>
      </c>
      <c r="H6" s="25"/>
      <c r="I6" s="25"/>
      <c r="J6" s="25">
        <f>G6</f>
        <v>0</v>
      </c>
      <c r="K6" s="25"/>
      <c r="L6" s="25">
        <f>B6</f>
        <v>0</v>
      </c>
      <c r="Q6" t="s">
        <v>94</v>
      </c>
      <c r="T6" t="s">
        <v>86</v>
      </c>
    </row>
    <row r="7" spans="1:20" x14ac:dyDescent="0.25">
      <c r="A7" s="25">
        <v>400</v>
      </c>
      <c r="B7" s="25"/>
      <c r="C7" s="25">
        <f t="shared" ref="C7:C14" si="0">B7*4</f>
        <v>0</v>
      </c>
      <c r="D7" s="25"/>
      <c r="E7" s="25">
        <f t="shared" ref="E7:E14" si="1">B7*4</f>
        <v>0</v>
      </c>
      <c r="F7" s="25"/>
      <c r="G7" s="25">
        <f t="shared" ref="G7:G14" si="2">B7*2</f>
        <v>0</v>
      </c>
      <c r="H7" s="25"/>
      <c r="I7" s="25"/>
      <c r="J7" s="25">
        <f t="shared" ref="J7:J14" si="3">G7</f>
        <v>0</v>
      </c>
      <c r="K7" s="25"/>
      <c r="L7" s="25">
        <f t="shared" ref="L7:L14" si="4">B7</f>
        <v>0</v>
      </c>
      <c r="Q7" t="s">
        <v>95</v>
      </c>
      <c r="T7" t="s">
        <v>87</v>
      </c>
    </row>
    <row r="8" spans="1:20" x14ac:dyDescent="0.25">
      <c r="A8" s="25">
        <v>500</v>
      </c>
      <c r="B8" s="25"/>
      <c r="C8" s="25">
        <f t="shared" si="0"/>
        <v>0</v>
      </c>
      <c r="D8" s="25"/>
      <c r="E8" s="25">
        <f t="shared" si="1"/>
        <v>0</v>
      </c>
      <c r="F8" s="25"/>
      <c r="G8" s="25">
        <f t="shared" si="2"/>
        <v>0</v>
      </c>
      <c r="H8" s="25"/>
      <c r="I8" s="25"/>
      <c r="J8" s="25">
        <f t="shared" si="3"/>
        <v>0</v>
      </c>
      <c r="K8" s="25"/>
      <c r="L8" s="25">
        <f t="shared" si="4"/>
        <v>0</v>
      </c>
      <c r="Q8" t="s">
        <v>96</v>
      </c>
      <c r="T8" t="s">
        <v>88</v>
      </c>
    </row>
    <row r="9" spans="1:20" x14ac:dyDescent="0.25">
      <c r="A9" s="25">
        <v>560</v>
      </c>
      <c r="B9" s="25">
        <v>9</v>
      </c>
      <c r="C9" s="25">
        <f t="shared" si="0"/>
        <v>36</v>
      </c>
      <c r="D9" s="25">
        <f>(7*5)+(6*4)</f>
        <v>59</v>
      </c>
      <c r="E9" s="25">
        <f t="shared" si="1"/>
        <v>36</v>
      </c>
      <c r="F9" s="25">
        <f>(16+8)*2</f>
        <v>48</v>
      </c>
      <c r="G9" s="25">
        <f t="shared" si="2"/>
        <v>18</v>
      </c>
      <c r="H9" s="25"/>
      <c r="I9" s="25">
        <f>7*3</f>
        <v>21</v>
      </c>
      <c r="J9" s="25">
        <f t="shared" si="3"/>
        <v>18</v>
      </c>
      <c r="K9" s="25">
        <f>8*2</f>
        <v>16</v>
      </c>
      <c r="L9" s="25">
        <f t="shared" si="4"/>
        <v>9</v>
      </c>
      <c r="N9">
        <f>7*5</f>
        <v>35</v>
      </c>
      <c r="O9">
        <f>N9/2</f>
        <v>17.5</v>
      </c>
      <c r="Q9" t="s">
        <v>97</v>
      </c>
      <c r="T9" t="s">
        <v>89</v>
      </c>
    </row>
    <row r="10" spans="1:20" x14ac:dyDescent="0.25">
      <c r="A10" s="25">
        <v>630</v>
      </c>
      <c r="B10" s="25">
        <v>7</v>
      </c>
      <c r="C10" s="25">
        <f t="shared" si="0"/>
        <v>28</v>
      </c>
      <c r="D10" s="25">
        <f>(10+6)*2</f>
        <v>32</v>
      </c>
      <c r="E10" s="25">
        <f t="shared" si="1"/>
        <v>28</v>
      </c>
      <c r="F10" s="25">
        <f>(16+8)*2</f>
        <v>48</v>
      </c>
      <c r="G10" s="25">
        <f t="shared" si="2"/>
        <v>14</v>
      </c>
      <c r="H10" s="25"/>
      <c r="I10" s="25">
        <f>6*2</f>
        <v>12</v>
      </c>
      <c r="J10" s="25">
        <f t="shared" si="3"/>
        <v>14</v>
      </c>
      <c r="K10" s="25">
        <f>7*2</f>
        <v>14</v>
      </c>
      <c r="L10" s="25">
        <f t="shared" si="4"/>
        <v>7</v>
      </c>
      <c r="N10">
        <f>6*4</f>
        <v>24</v>
      </c>
      <c r="O10">
        <f t="shared" ref="O10:O11" si="5">N10/2</f>
        <v>12</v>
      </c>
      <c r="Q10" t="s">
        <v>98</v>
      </c>
      <c r="T10" t="s">
        <v>90</v>
      </c>
    </row>
    <row r="11" spans="1:20" x14ac:dyDescent="0.25">
      <c r="A11" s="25">
        <v>710</v>
      </c>
      <c r="B11" s="25">
        <v>6</v>
      </c>
      <c r="C11" s="25">
        <f t="shared" si="0"/>
        <v>24</v>
      </c>
      <c r="D11" s="25">
        <f>(10+6)*2</f>
        <v>32</v>
      </c>
      <c r="E11" s="25">
        <f t="shared" si="1"/>
        <v>24</v>
      </c>
      <c r="F11" s="25">
        <f>(14+4)*2</f>
        <v>36</v>
      </c>
      <c r="G11" s="25">
        <f t="shared" si="2"/>
        <v>12</v>
      </c>
      <c r="H11" s="25"/>
      <c r="I11" s="25">
        <f>3*3</f>
        <v>9</v>
      </c>
      <c r="J11" s="25">
        <f t="shared" si="3"/>
        <v>12</v>
      </c>
      <c r="K11" s="25"/>
      <c r="L11" s="25">
        <f t="shared" si="4"/>
        <v>6</v>
      </c>
      <c r="N11">
        <f>3*5</f>
        <v>15</v>
      </c>
      <c r="O11">
        <f t="shared" si="5"/>
        <v>7.5</v>
      </c>
      <c r="Q11" t="s">
        <v>99</v>
      </c>
      <c r="T11" t="s">
        <v>91</v>
      </c>
    </row>
    <row r="12" spans="1:20" x14ac:dyDescent="0.25">
      <c r="A12" s="25">
        <v>800</v>
      </c>
      <c r="B12" s="25">
        <v>1</v>
      </c>
      <c r="C12" s="25">
        <f t="shared" si="0"/>
        <v>4</v>
      </c>
      <c r="D12" s="25"/>
      <c r="E12" s="25">
        <f t="shared" si="1"/>
        <v>4</v>
      </c>
      <c r="F12" s="25"/>
      <c r="G12" s="25">
        <f t="shared" si="2"/>
        <v>2</v>
      </c>
      <c r="H12" s="25"/>
      <c r="I12" s="25"/>
      <c r="J12" s="25">
        <f t="shared" si="3"/>
        <v>2</v>
      </c>
      <c r="K12" s="25"/>
      <c r="L12" s="25">
        <f t="shared" si="4"/>
        <v>1</v>
      </c>
      <c r="Q12" t="s">
        <v>100</v>
      </c>
      <c r="T12" t="s">
        <v>92</v>
      </c>
    </row>
    <row r="13" spans="1:20" x14ac:dyDescent="0.25">
      <c r="A13" s="25">
        <v>900</v>
      </c>
      <c r="B13" s="25"/>
      <c r="C13" s="25">
        <f t="shared" si="0"/>
        <v>0</v>
      </c>
      <c r="D13" s="25"/>
      <c r="E13" s="25">
        <f t="shared" si="1"/>
        <v>0</v>
      </c>
      <c r="F13" s="25"/>
      <c r="G13" s="25">
        <f t="shared" si="2"/>
        <v>0</v>
      </c>
      <c r="H13" s="25"/>
      <c r="I13" s="25"/>
      <c r="J13" s="25">
        <f t="shared" si="3"/>
        <v>0</v>
      </c>
      <c r="K13" s="25"/>
      <c r="L13" s="25">
        <f t="shared" si="4"/>
        <v>0</v>
      </c>
      <c r="N13">
        <f>16-N9</f>
        <v>-19</v>
      </c>
      <c r="Q13" t="s">
        <v>101</v>
      </c>
      <c r="T13" t="s">
        <v>93</v>
      </c>
    </row>
    <row r="14" spans="1:20" x14ac:dyDescent="0.25">
      <c r="A14" s="25">
        <v>1000</v>
      </c>
      <c r="B14" s="25"/>
      <c r="C14" s="25">
        <f t="shared" si="0"/>
        <v>0</v>
      </c>
      <c r="D14" s="25"/>
      <c r="E14" s="25">
        <f t="shared" si="1"/>
        <v>0</v>
      </c>
      <c r="F14" s="25"/>
      <c r="G14" s="25">
        <f t="shared" si="2"/>
        <v>0</v>
      </c>
      <c r="H14" s="25"/>
      <c r="I14" s="25"/>
      <c r="J14" s="25">
        <f t="shared" si="3"/>
        <v>0</v>
      </c>
      <c r="K14" s="25"/>
      <c r="L14" s="25">
        <f t="shared" si="4"/>
        <v>0</v>
      </c>
    </row>
    <row r="16" spans="1:20" x14ac:dyDescent="0.25">
      <c r="N16">
        <f>24-14</f>
        <v>10</v>
      </c>
    </row>
    <row r="19" spans="13:13" x14ac:dyDescent="0.25">
      <c r="M19">
        <f>18-35</f>
        <v>-17</v>
      </c>
    </row>
  </sheetData>
  <mergeCells count="1">
    <mergeCell ref="A4:L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2D9D-C3D5-4D3D-9297-9F497A76A5D2}">
  <dimension ref="A1:L32"/>
  <sheetViews>
    <sheetView workbookViewId="0">
      <selection activeCell="L19" sqref="L19"/>
    </sheetView>
  </sheetViews>
  <sheetFormatPr defaultRowHeight="13.2" x14ac:dyDescent="0.25"/>
  <cols>
    <col min="1" max="1" width="8.44140625" bestFit="1" customWidth="1"/>
    <col min="2" max="2" width="32.33203125" bestFit="1" customWidth="1"/>
    <col min="3" max="3" width="10.21875" bestFit="1" customWidth="1"/>
    <col min="7" max="8" width="0" hidden="1" customWidth="1"/>
  </cols>
  <sheetData>
    <row r="1" spans="1:12" x14ac:dyDescent="0.25">
      <c r="A1" s="76"/>
      <c r="B1" s="77" t="s">
        <v>102</v>
      </c>
      <c r="C1" s="78"/>
    </row>
    <row r="2" spans="1:12" x14ac:dyDescent="0.25">
      <c r="A2" s="79" t="s">
        <v>103</v>
      </c>
      <c r="B2" s="80" t="s">
        <v>104</v>
      </c>
      <c r="C2" s="81">
        <v>22.95</v>
      </c>
    </row>
    <row r="3" spans="1:12" x14ac:dyDescent="0.25">
      <c r="A3" s="79" t="s">
        <v>105</v>
      </c>
      <c r="B3" s="80" t="s">
        <v>106</v>
      </c>
      <c r="C3" s="81">
        <v>37.299999999999997</v>
      </c>
    </row>
    <row r="4" spans="1:12" x14ac:dyDescent="0.25">
      <c r="A4" s="79" t="s">
        <v>107</v>
      </c>
      <c r="B4" s="80" t="s">
        <v>108</v>
      </c>
      <c r="C4" s="81">
        <v>61.55</v>
      </c>
    </row>
    <row r="5" spans="1:12" x14ac:dyDescent="0.25">
      <c r="A5" s="79" t="s">
        <v>109</v>
      </c>
      <c r="B5" s="80" t="s">
        <v>110</v>
      </c>
      <c r="C5" s="81">
        <v>103.48</v>
      </c>
    </row>
    <row r="6" spans="1:12" x14ac:dyDescent="0.25">
      <c r="A6" s="79" t="s">
        <v>111</v>
      </c>
      <c r="B6" s="80" t="s">
        <v>112</v>
      </c>
      <c r="C6" s="81">
        <v>121.15</v>
      </c>
    </row>
    <row r="7" spans="1:12" x14ac:dyDescent="0.25">
      <c r="A7" s="79" t="s">
        <v>113</v>
      </c>
      <c r="B7" s="80" t="s">
        <v>114</v>
      </c>
      <c r="C7" s="81">
        <v>111.09</v>
      </c>
    </row>
    <row r="8" spans="1:12" x14ac:dyDescent="0.25">
      <c r="A8" s="79" t="s">
        <v>115</v>
      </c>
      <c r="B8" s="80" t="s">
        <v>116</v>
      </c>
      <c r="C8" s="81">
        <v>148.35</v>
      </c>
    </row>
    <row r="9" spans="1:12" x14ac:dyDescent="0.25">
      <c r="A9" s="79" t="s">
        <v>117</v>
      </c>
      <c r="B9" s="80" t="s">
        <v>118</v>
      </c>
      <c r="C9" s="81">
        <v>165.66</v>
      </c>
    </row>
    <row r="10" spans="1:12" x14ac:dyDescent="0.25">
      <c r="A10" s="79" t="s">
        <v>119</v>
      </c>
      <c r="B10" s="80" t="s">
        <v>120</v>
      </c>
      <c r="C10" s="81">
        <v>197.13</v>
      </c>
    </row>
    <row r="11" spans="1:12" x14ac:dyDescent="0.25">
      <c r="C11" s="81"/>
    </row>
    <row r="12" spans="1:12" x14ac:dyDescent="0.25">
      <c r="A12" s="76"/>
      <c r="B12" s="77" t="s">
        <v>121</v>
      </c>
      <c r="C12" s="78"/>
      <c r="E12" s="86" t="s">
        <v>154</v>
      </c>
      <c r="G12" s="86" t="s">
        <v>155</v>
      </c>
      <c r="H12">
        <v>13.66</v>
      </c>
      <c r="I12" s="86" t="s">
        <v>156</v>
      </c>
    </row>
    <row r="13" spans="1:12" x14ac:dyDescent="0.25">
      <c r="A13" s="79" t="s">
        <v>122</v>
      </c>
      <c r="B13" s="80" t="s">
        <v>123</v>
      </c>
      <c r="C13" s="81">
        <v>80</v>
      </c>
      <c r="E13">
        <v>108</v>
      </c>
      <c r="G13">
        <f>$H$12*0.96</f>
        <v>13.1136</v>
      </c>
      <c r="I13" s="88">
        <f>C13+G13</f>
        <v>93.113600000000005</v>
      </c>
    </row>
    <row r="14" spans="1:12" x14ac:dyDescent="0.25">
      <c r="A14" s="79" t="s">
        <v>124</v>
      </c>
      <c r="B14" s="80" t="s">
        <v>125</v>
      </c>
      <c r="C14" s="81">
        <v>85</v>
      </c>
      <c r="E14">
        <v>133</v>
      </c>
      <c r="G14">
        <f>$H$12*1.35</f>
        <v>18.441000000000003</v>
      </c>
      <c r="I14" s="88">
        <f t="shared" ref="I14:I21" si="0">C14+G14</f>
        <v>103.441</v>
      </c>
    </row>
    <row r="15" spans="1:12" x14ac:dyDescent="0.25">
      <c r="A15" s="79" t="s">
        <v>126</v>
      </c>
      <c r="B15" s="80" t="s">
        <v>127</v>
      </c>
      <c r="C15" s="81">
        <v>100</v>
      </c>
      <c r="E15">
        <v>158</v>
      </c>
      <c r="G15">
        <f>$H$12*1.47</f>
        <v>20.080200000000001</v>
      </c>
      <c r="I15" s="88">
        <f t="shared" si="0"/>
        <v>120.0802</v>
      </c>
    </row>
    <row r="16" spans="1:12" x14ac:dyDescent="0.25">
      <c r="A16" s="79" t="s">
        <v>128</v>
      </c>
      <c r="B16" s="80" t="s">
        <v>129</v>
      </c>
      <c r="C16" s="81">
        <v>108</v>
      </c>
      <c r="E16" s="89">
        <v>183</v>
      </c>
      <c r="F16" s="89"/>
      <c r="G16" s="89">
        <f>$H$12*1.62</f>
        <v>22.129200000000001</v>
      </c>
      <c r="H16" s="89"/>
      <c r="I16" s="90">
        <f t="shared" si="0"/>
        <v>130.1292</v>
      </c>
      <c r="K16" s="88">
        <f>E16-I16</f>
        <v>52.870800000000003</v>
      </c>
      <c r="L16" s="88">
        <f>18*K16</f>
        <v>951.67440000000011</v>
      </c>
    </row>
    <row r="17" spans="1:12" x14ac:dyDescent="0.25">
      <c r="A17" s="79" t="s">
        <v>130</v>
      </c>
      <c r="B17" s="80" t="s">
        <v>131</v>
      </c>
      <c r="C17" s="81">
        <v>114</v>
      </c>
      <c r="E17" s="89">
        <v>221</v>
      </c>
      <c r="F17" s="89"/>
      <c r="G17" s="89">
        <f>$H$12*1.8</f>
        <v>24.588000000000001</v>
      </c>
      <c r="H17" s="89"/>
      <c r="I17" s="90">
        <f t="shared" si="0"/>
        <v>138.58799999999999</v>
      </c>
      <c r="K17" s="88">
        <f>E17-I17</f>
        <v>82.412000000000006</v>
      </c>
      <c r="L17" s="88">
        <f>14*K17</f>
        <v>1153.768</v>
      </c>
    </row>
    <row r="18" spans="1:12" x14ac:dyDescent="0.25">
      <c r="A18" s="79" t="s">
        <v>132</v>
      </c>
      <c r="B18" s="80" t="s">
        <v>133</v>
      </c>
      <c r="C18" s="81">
        <v>128</v>
      </c>
      <c r="E18" s="89">
        <v>233</v>
      </c>
      <c r="F18" s="89"/>
      <c r="G18" s="89">
        <f>$H$12*2.04</f>
        <v>27.866400000000002</v>
      </c>
      <c r="H18" s="89"/>
      <c r="I18" s="90">
        <f t="shared" si="0"/>
        <v>155.8664</v>
      </c>
      <c r="K18" s="88">
        <f>E18-I18</f>
        <v>77.133600000000001</v>
      </c>
      <c r="L18" s="88">
        <f>12*K18</f>
        <v>925.60320000000002</v>
      </c>
    </row>
    <row r="19" spans="1:12" x14ac:dyDescent="0.25">
      <c r="A19" s="79" t="s">
        <v>134</v>
      </c>
      <c r="B19" s="80" t="s">
        <v>135</v>
      </c>
      <c r="C19" s="81">
        <v>165.5</v>
      </c>
      <c r="E19">
        <v>244</v>
      </c>
      <c r="G19">
        <f>$H$12*2.22</f>
        <v>30.325200000000002</v>
      </c>
      <c r="I19" s="88">
        <f t="shared" si="0"/>
        <v>195.8252</v>
      </c>
      <c r="L19" s="88">
        <f>SUM(L16:L18)</f>
        <v>3031.0455999999999</v>
      </c>
    </row>
    <row r="20" spans="1:12" x14ac:dyDescent="0.25">
      <c r="A20" s="79" t="s">
        <v>136</v>
      </c>
      <c r="B20" s="80" t="s">
        <v>137</v>
      </c>
      <c r="C20" s="81">
        <v>218</v>
      </c>
      <c r="E20">
        <v>403</v>
      </c>
      <c r="G20">
        <f>$H$12*3.51</f>
        <v>47.946599999999997</v>
      </c>
      <c r="I20" s="88">
        <f t="shared" si="0"/>
        <v>265.94659999999999</v>
      </c>
    </row>
    <row r="21" spans="1:12" x14ac:dyDescent="0.25">
      <c r="A21" s="79" t="s">
        <v>138</v>
      </c>
      <c r="B21" s="80" t="s">
        <v>139</v>
      </c>
      <c r="C21" s="81">
        <v>242</v>
      </c>
      <c r="E21">
        <v>425</v>
      </c>
      <c r="G21">
        <f>$H$12*3.81</f>
        <v>52.044600000000003</v>
      </c>
      <c r="I21" s="88">
        <f t="shared" si="0"/>
        <v>294.0446</v>
      </c>
    </row>
    <row r="22" spans="1:12" x14ac:dyDescent="0.25">
      <c r="C22" s="81"/>
    </row>
    <row r="23" spans="1:12" x14ac:dyDescent="0.25">
      <c r="A23" s="76"/>
      <c r="B23" s="77" t="s">
        <v>140</v>
      </c>
      <c r="C23" s="78"/>
    </row>
    <row r="24" spans="1:12" x14ac:dyDescent="0.25">
      <c r="A24" s="79" t="s">
        <v>122</v>
      </c>
      <c r="B24" s="80" t="s">
        <v>141</v>
      </c>
      <c r="C24" s="82">
        <v>31.96</v>
      </c>
    </row>
    <row r="25" spans="1:12" x14ac:dyDescent="0.25">
      <c r="A25" s="79" t="s">
        <v>124</v>
      </c>
      <c r="B25" s="80" t="s">
        <v>142</v>
      </c>
      <c r="C25" s="82">
        <v>32.67</v>
      </c>
    </row>
    <row r="26" spans="1:12" x14ac:dyDescent="0.25">
      <c r="A26" s="79" t="s">
        <v>126</v>
      </c>
      <c r="B26" s="80" t="s">
        <v>143</v>
      </c>
      <c r="C26" s="82">
        <v>36.520000000000003</v>
      </c>
    </row>
    <row r="27" spans="1:12" x14ac:dyDescent="0.25">
      <c r="A27" s="79" t="s">
        <v>128</v>
      </c>
      <c r="B27" s="80" t="s">
        <v>144</v>
      </c>
      <c r="C27" s="82">
        <v>38.909999999999997</v>
      </c>
    </row>
    <row r="28" spans="1:12" x14ac:dyDescent="0.25">
      <c r="A28" s="79" t="s">
        <v>130</v>
      </c>
      <c r="B28" s="80" t="s">
        <v>145</v>
      </c>
      <c r="C28" s="82">
        <v>41.84</v>
      </c>
    </row>
    <row r="29" spans="1:12" x14ac:dyDescent="0.25">
      <c r="A29" s="79" t="s">
        <v>132</v>
      </c>
      <c r="B29" s="80" t="s">
        <v>146</v>
      </c>
      <c r="C29" s="82">
        <v>49.71</v>
      </c>
    </row>
    <row r="30" spans="1:12" x14ac:dyDescent="0.25">
      <c r="A30" s="79" t="s">
        <v>134</v>
      </c>
      <c r="B30" s="80" t="s">
        <v>147</v>
      </c>
      <c r="C30" s="82">
        <v>53.77</v>
      </c>
    </row>
    <row r="31" spans="1:12" x14ac:dyDescent="0.25">
      <c r="A31" s="79" t="s">
        <v>136</v>
      </c>
      <c r="B31" s="80" t="s">
        <v>148</v>
      </c>
      <c r="C31" s="82">
        <v>58.31</v>
      </c>
    </row>
    <row r="32" spans="1:12" x14ac:dyDescent="0.25">
      <c r="A32" s="79" t="s">
        <v>138</v>
      </c>
      <c r="B32" s="80" t="s">
        <v>149</v>
      </c>
      <c r="C32" s="82">
        <v>62.73</v>
      </c>
    </row>
  </sheetData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EEB9-991B-425B-8FD0-1E15C645C763}">
  <dimension ref="A1:I33"/>
  <sheetViews>
    <sheetView topLeftCell="A7" workbookViewId="0">
      <selection activeCell="K28" sqref="K28"/>
    </sheetView>
  </sheetViews>
  <sheetFormatPr defaultRowHeight="13.2" x14ac:dyDescent="0.25"/>
  <cols>
    <col min="1" max="1" width="8.44140625" bestFit="1" customWidth="1"/>
    <col min="2" max="2" width="32.33203125" bestFit="1" customWidth="1"/>
    <col min="3" max="3" width="10.21875" bestFit="1" customWidth="1"/>
    <col min="5" max="5" width="9" style="85"/>
    <col min="6" max="6" width="13.77734375" style="58" bestFit="1" customWidth="1"/>
    <col min="8" max="8" width="16.77734375" style="17" customWidth="1"/>
    <col min="9" max="9" width="14.21875" style="17" customWidth="1"/>
  </cols>
  <sheetData>
    <row r="1" spans="1:9" x14ac:dyDescent="0.25">
      <c r="A1" s="76"/>
      <c r="B1" s="77" t="s">
        <v>102</v>
      </c>
      <c r="C1" s="78"/>
      <c r="E1" s="75" t="s">
        <v>150</v>
      </c>
      <c r="F1" s="51" t="s">
        <v>151</v>
      </c>
    </row>
    <row r="2" spans="1:9" x14ac:dyDescent="0.25">
      <c r="A2" s="79" t="s">
        <v>103</v>
      </c>
      <c r="B2" s="80" t="s">
        <v>104</v>
      </c>
      <c r="C2" s="81">
        <v>22.95</v>
      </c>
      <c r="E2" s="75"/>
      <c r="F2" s="51">
        <f>E2*C2</f>
        <v>0</v>
      </c>
    </row>
    <row r="3" spans="1:9" x14ac:dyDescent="0.25">
      <c r="A3" s="79" t="s">
        <v>105</v>
      </c>
      <c r="B3" s="80" t="s">
        <v>106</v>
      </c>
      <c r="C3" s="81">
        <v>37.299999999999997</v>
      </c>
      <c r="E3" s="75"/>
      <c r="F3" s="51">
        <f t="shared" ref="F3:F32" si="0">E3*C3</f>
        <v>0</v>
      </c>
    </row>
    <row r="4" spans="1:9" x14ac:dyDescent="0.25">
      <c r="A4" s="79" t="s">
        <v>107</v>
      </c>
      <c r="B4" s="80" t="s">
        <v>108</v>
      </c>
      <c r="C4" s="81">
        <v>61.55</v>
      </c>
      <c r="E4" s="75"/>
      <c r="F4" s="51">
        <f t="shared" si="0"/>
        <v>0</v>
      </c>
    </row>
    <row r="5" spans="1:9" x14ac:dyDescent="0.25">
      <c r="A5" s="79" t="s">
        <v>109</v>
      </c>
      <c r="B5" s="80" t="s">
        <v>110</v>
      </c>
      <c r="C5" s="81">
        <v>103.48</v>
      </c>
      <c r="E5" s="75">
        <f>+(7*5)+(4*6)</f>
        <v>59</v>
      </c>
      <c r="F5" s="51">
        <f t="shared" si="0"/>
        <v>6105.3200000000006</v>
      </c>
    </row>
    <row r="6" spans="1:9" x14ac:dyDescent="0.25">
      <c r="A6" s="79" t="s">
        <v>111</v>
      </c>
      <c r="B6" s="80" t="s">
        <v>112</v>
      </c>
      <c r="C6" s="81">
        <v>121.15</v>
      </c>
      <c r="E6" s="75">
        <f>+(3*5)+(4*5)</f>
        <v>35</v>
      </c>
      <c r="F6" s="51">
        <f t="shared" si="0"/>
        <v>4240.25</v>
      </c>
    </row>
    <row r="7" spans="1:9" x14ac:dyDescent="0.25">
      <c r="A7" s="79" t="s">
        <v>113</v>
      </c>
      <c r="B7" s="80" t="s">
        <v>114</v>
      </c>
      <c r="C7" s="81">
        <v>111.09</v>
      </c>
      <c r="E7" s="75">
        <f>+(3*5)+(4*5)</f>
        <v>35</v>
      </c>
      <c r="F7" s="51">
        <f t="shared" si="0"/>
        <v>3888.15</v>
      </c>
    </row>
    <row r="8" spans="1:9" x14ac:dyDescent="0.25">
      <c r="A8" s="79" t="s">
        <v>115</v>
      </c>
      <c r="B8" s="80" t="s">
        <v>116</v>
      </c>
      <c r="C8" s="81">
        <v>148.35</v>
      </c>
      <c r="E8" s="75"/>
      <c r="F8" s="51">
        <f t="shared" si="0"/>
        <v>0</v>
      </c>
    </row>
    <row r="9" spans="1:9" x14ac:dyDescent="0.25">
      <c r="A9" s="79" t="s">
        <v>117</v>
      </c>
      <c r="B9" s="80" t="s">
        <v>118</v>
      </c>
      <c r="C9" s="81">
        <v>165.66</v>
      </c>
      <c r="E9" s="75"/>
      <c r="F9" s="51">
        <f t="shared" si="0"/>
        <v>0</v>
      </c>
    </row>
    <row r="10" spans="1:9" x14ac:dyDescent="0.25">
      <c r="A10" s="79" t="s">
        <v>119</v>
      </c>
      <c r="B10" s="80" t="s">
        <v>120</v>
      </c>
      <c r="C10" s="81">
        <v>197.13</v>
      </c>
      <c r="E10" s="75"/>
      <c r="F10" s="51">
        <f t="shared" si="0"/>
        <v>0</v>
      </c>
    </row>
    <row r="11" spans="1:9" ht="5.7" customHeight="1" x14ac:dyDescent="0.25">
      <c r="C11" s="81"/>
      <c r="E11" s="75"/>
      <c r="F11" s="51"/>
    </row>
    <row r="12" spans="1:9" x14ac:dyDescent="0.25">
      <c r="A12" s="76"/>
      <c r="B12" s="77" t="s">
        <v>121</v>
      </c>
      <c r="C12" s="78"/>
      <c r="E12" s="75"/>
      <c r="F12" s="51">
        <f t="shared" si="0"/>
        <v>0</v>
      </c>
    </row>
    <row r="13" spans="1:9" x14ac:dyDescent="0.25">
      <c r="A13" s="79" t="s">
        <v>122</v>
      </c>
      <c r="B13" s="80" t="s">
        <v>123</v>
      </c>
      <c r="C13" s="81">
        <v>80</v>
      </c>
      <c r="E13" s="75"/>
      <c r="F13" s="51">
        <f t="shared" si="0"/>
        <v>0</v>
      </c>
    </row>
    <row r="14" spans="1:9" x14ac:dyDescent="0.25">
      <c r="A14" s="79" t="s">
        <v>124</v>
      </c>
      <c r="B14" s="80" t="s">
        <v>125</v>
      </c>
      <c r="C14" s="81">
        <v>85</v>
      </c>
      <c r="E14" s="75"/>
      <c r="F14" s="51">
        <f t="shared" si="0"/>
        <v>0</v>
      </c>
    </row>
    <row r="15" spans="1:9" x14ac:dyDescent="0.25">
      <c r="A15" s="79" t="s">
        <v>126</v>
      </c>
      <c r="B15" s="80" t="s">
        <v>127</v>
      </c>
      <c r="C15" s="81">
        <v>100</v>
      </c>
      <c r="E15" s="75"/>
      <c r="F15" s="51">
        <f t="shared" si="0"/>
        <v>0</v>
      </c>
      <c r="I15" s="91" t="s">
        <v>157</v>
      </c>
    </row>
    <row r="16" spans="1:9" x14ac:dyDescent="0.25">
      <c r="A16" s="79" t="s">
        <v>128</v>
      </c>
      <c r="B16" s="80" t="s">
        <v>129</v>
      </c>
      <c r="C16" s="81">
        <v>108</v>
      </c>
      <c r="E16" s="75">
        <f>7*5</f>
        <v>35</v>
      </c>
      <c r="F16" s="51">
        <f t="shared" si="0"/>
        <v>3780</v>
      </c>
      <c r="H16" s="17">
        <f>9*2</f>
        <v>18</v>
      </c>
      <c r="I16" s="17">
        <f>E16-H16</f>
        <v>17</v>
      </c>
    </row>
    <row r="17" spans="1:9" x14ac:dyDescent="0.25">
      <c r="A17" s="79" t="s">
        <v>130</v>
      </c>
      <c r="B17" s="80" t="s">
        <v>131</v>
      </c>
      <c r="C17" s="81">
        <v>114</v>
      </c>
      <c r="E17" s="75">
        <f>4*6</f>
        <v>24</v>
      </c>
      <c r="F17" s="51">
        <f t="shared" si="0"/>
        <v>2736</v>
      </c>
      <c r="H17" s="17">
        <f>7*2</f>
        <v>14</v>
      </c>
      <c r="I17" s="17">
        <f t="shared" ref="I17:I18" si="1">E17-H17</f>
        <v>10</v>
      </c>
    </row>
    <row r="18" spans="1:9" x14ac:dyDescent="0.25">
      <c r="A18" s="79" t="s">
        <v>132</v>
      </c>
      <c r="B18" s="80" t="s">
        <v>133</v>
      </c>
      <c r="C18" s="81">
        <v>128</v>
      </c>
      <c r="E18" s="75">
        <f>3*5</f>
        <v>15</v>
      </c>
      <c r="F18" s="51">
        <f t="shared" si="0"/>
        <v>1920</v>
      </c>
      <c r="H18" s="17">
        <f>3*2</f>
        <v>6</v>
      </c>
      <c r="I18" s="17">
        <f t="shared" si="1"/>
        <v>9</v>
      </c>
    </row>
    <row r="19" spans="1:9" x14ac:dyDescent="0.25">
      <c r="A19" s="79" t="s">
        <v>134</v>
      </c>
      <c r="B19" s="80" t="s">
        <v>135</v>
      </c>
      <c r="C19" s="81">
        <v>165.5</v>
      </c>
      <c r="E19" s="75"/>
      <c r="F19" s="51">
        <f t="shared" si="0"/>
        <v>0</v>
      </c>
    </row>
    <row r="20" spans="1:9" x14ac:dyDescent="0.25">
      <c r="A20" s="79" t="s">
        <v>136</v>
      </c>
      <c r="B20" s="80" t="s">
        <v>137</v>
      </c>
      <c r="C20" s="81">
        <v>218</v>
      </c>
      <c r="E20" s="75"/>
      <c r="F20" s="51">
        <f t="shared" si="0"/>
        <v>0</v>
      </c>
    </row>
    <row r="21" spans="1:9" x14ac:dyDescent="0.25">
      <c r="A21" s="79" t="s">
        <v>138</v>
      </c>
      <c r="B21" s="80" t="s">
        <v>139</v>
      </c>
      <c r="C21" s="81">
        <v>242</v>
      </c>
      <c r="E21" s="75"/>
      <c r="F21" s="51">
        <f t="shared" si="0"/>
        <v>0</v>
      </c>
    </row>
    <row r="22" spans="1:9" ht="6.9" customHeight="1" x14ac:dyDescent="0.25">
      <c r="C22" s="81"/>
      <c r="E22" s="75"/>
      <c r="F22" s="51"/>
    </row>
    <row r="23" spans="1:9" x14ac:dyDescent="0.25">
      <c r="A23" s="76"/>
      <c r="B23" s="77" t="s">
        <v>140</v>
      </c>
      <c r="C23" s="78"/>
      <c r="E23" s="75"/>
      <c r="F23" s="51">
        <f t="shared" si="0"/>
        <v>0</v>
      </c>
    </row>
    <row r="24" spans="1:9" x14ac:dyDescent="0.25">
      <c r="A24" s="79" t="s">
        <v>122</v>
      </c>
      <c r="B24" s="80" t="s">
        <v>141</v>
      </c>
      <c r="C24" s="82">
        <v>31.96</v>
      </c>
      <c r="E24" s="75"/>
      <c r="F24" s="51">
        <f t="shared" si="0"/>
        <v>0</v>
      </c>
    </row>
    <row r="25" spans="1:9" x14ac:dyDescent="0.25">
      <c r="A25" s="79" t="s">
        <v>124</v>
      </c>
      <c r="B25" s="80" t="s">
        <v>142</v>
      </c>
      <c r="C25" s="82">
        <v>32.67</v>
      </c>
      <c r="E25" s="75"/>
      <c r="F25" s="51">
        <f t="shared" si="0"/>
        <v>0</v>
      </c>
    </row>
    <row r="26" spans="1:9" x14ac:dyDescent="0.25">
      <c r="A26" s="79" t="s">
        <v>126</v>
      </c>
      <c r="B26" s="80" t="s">
        <v>143</v>
      </c>
      <c r="C26" s="82">
        <v>36.520000000000003</v>
      </c>
      <c r="E26" s="75"/>
      <c r="F26" s="51">
        <f t="shared" si="0"/>
        <v>0</v>
      </c>
    </row>
    <row r="27" spans="1:9" x14ac:dyDescent="0.25">
      <c r="A27" s="79" t="s">
        <v>128</v>
      </c>
      <c r="B27" s="80" t="s">
        <v>144</v>
      </c>
      <c r="C27" s="82">
        <v>38.909999999999997</v>
      </c>
      <c r="E27" s="75">
        <f>+(4*5)+(4*8)</f>
        <v>52</v>
      </c>
      <c r="F27" s="51">
        <f t="shared" si="0"/>
        <v>2023.3199999999997</v>
      </c>
    </row>
    <row r="28" spans="1:9" x14ac:dyDescent="0.25">
      <c r="A28" s="79" t="s">
        <v>130</v>
      </c>
      <c r="B28" s="80" t="s">
        <v>145</v>
      </c>
      <c r="C28" s="82">
        <v>41.84</v>
      </c>
      <c r="E28" s="75">
        <f>+(4*5)+(4*8)</f>
        <v>52</v>
      </c>
      <c r="F28" s="51">
        <f t="shared" si="0"/>
        <v>2175.6800000000003</v>
      </c>
    </row>
    <row r="29" spans="1:9" x14ac:dyDescent="0.25">
      <c r="A29" s="79" t="s">
        <v>132</v>
      </c>
      <c r="B29" s="80" t="s">
        <v>146</v>
      </c>
      <c r="C29" s="82">
        <v>49.71</v>
      </c>
      <c r="E29" s="75">
        <f>+(4*5)+(4*7)</f>
        <v>48</v>
      </c>
      <c r="F29" s="51">
        <f t="shared" si="0"/>
        <v>2386.08</v>
      </c>
    </row>
    <row r="30" spans="1:9" x14ac:dyDescent="0.25">
      <c r="A30" s="79" t="s">
        <v>134</v>
      </c>
      <c r="B30" s="80" t="s">
        <v>147</v>
      </c>
      <c r="C30" s="82">
        <v>53.77</v>
      </c>
      <c r="E30" s="75"/>
      <c r="F30" s="51">
        <f t="shared" si="0"/>
        <v>0</v>
      </c>
    </row>
    <row r="31" spans="1:9" x14ac:dyDescent="0.25">
      <c r="A31" s="79" t="s">
        <v>136</v>
      </c>
      <c r="B31" s="80" t="s">
        <v>148</v>
      </c>
      <c r="C31" s="82">
        <v>58.31</v>
      </c>
      <c r="E31" s="75"/>
      <c r="F31" s="51">
        <f t="shared" si="0"/>
        <v>0</v>
      </c>
    </row>
    <row r="32" spans="1:9" ht="15.6" x14ac:dyDescent="0.25">
      <c r="A32" s="79" t="s">
        <v>138</v>
      </c>
      <c r="B32" s="80" t="s">
        <v>149</v>
      </c>
      <c r="C32" s="82">
        <v>62.73</v>
      </c>
      <c r="E32" s="75"/>
      <c r="F32" s="51">
        <f t="shared" si="0"/>
        <v>0</v>
      </c>
      <c r="H32" s="84" t="s">
        <v>152</v>
      </c>
      <c r="I32" s="84" t="s">
        <v>153</v>
      </c>
    </row>
    <row r="33" spans="5:9" ht="15.6" x14ac:dyDescent="0.25">
      <c r="E33" s="84">
        <f>SUM(E2:E32)</f>
        <v>355</v>
      </c>
      <c r="F33" s="83">
        <f>SUM(F2:F32)</f>
        <v>29254.800000000003</v>
      </c>
      <c r="H33" s="87">
        <v>30235</v>
      </c>
      <c r="I33" s="87">
        <f>F33-H33</f>
        <v>-980.19999999999709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D0D4-8050-419E-B58A-DA064AE48749}">
  <dimension ref="A2:G28"/>
  <sheetViews>
    <sheetView workbookViewId="0">
      <selection activeCell="A2" sqref="A2:G28"/>
    </sheetView>
  </sheetViews>
  <sheetFormatPr defaultRowHeight="13.2" x14ac:dyDescent="0.25"/>
  <cols>
    <col min="2" max="4" width="9" style="17"/>
    <col min="5" max="5" width="10.44140625" style="17" bestFit="1" customWidth="1"/>
    <col min="6" max="6" width="11.44140625" style="17" bestFit="1" customWidth="1"/>
    <col min="7" max="7" width="12.6640625" style="17" bestFit="1" customWidth="1"/>
  </cols>
  <sheetData>
    <row r="2" spans="1:7" x14ac:dyDescent="0.25">
      <c r="A2" s="107" t="s">
        <v>158</v>
      </c>
      <c r="B2" s="107"/>
      <c r="C2" s="107"/>
      <c r="D2" s="107"/>
      <c r="E2" s="107"/>
      <c r="F2" s="107"/>
      <c r="G2" s="107"/>
    </row>
    <row r="3" spans="1:7" x14ac:dyDescent="0.25">
      <c r="A3" s="25" t="s">
        <v>159</v>
      </c>
      <c r="B3" s="75" t="s">
        <v>19</v>
      </c>
      <c r="C3" s="75" t="s">
        <v>33</v>
      </c>
      <c r="D3" s="75" t="s">
        <v>160</v>
      </c>
      <c r="E3" s="75" t="s">
        <v>161</v>
      </c>
      <c r="F3" s="75" t="s">
        <v>163</v>
      </c>
      <c r="G3" s="75" t="s">
        <v>151</v>
      </c>
    </row>
    <row r="4" spans="1:7" x14ac:dyDescent="0.25">
      <c r="A4" s="25" t="s">
        <v>162</v>
      </c>
      <c r="B4" s="75">
        <v>800</v>
      </c>
      <c r="C4" s="75">
        <v>4</v>
      </c>
      <c r="D4" s="75">
        <v>4</v>
      </c>
      <c r="E4" s="75">
        <f>D4*C4</f>
        <v>16</v>
      </c>
      <c r="F4" s="92">
        <v>2950</v>
      </c>
      <c r="G4" s="92">
        <f>F4*D4</f>
        <v>11800</v>
      </c>
    </row>
    <row r="5" spans="1:7" x14ac:dyDescent="0.25">
      <c r="A5" s="25" t="s">
        <v>162</v>
      </c>
      <c r="B5" s="75">
        <v>630</v>
      </c>
      <c r="C5" s="75">
        <v>4</v>
      </c>
      <c r="D5" s="75">
        <f>D4</f>
        <v>4</v>
      </c>
      <c r="E5" s="75">
        <f t="shared" ref="E5:E11" si="0">D5*C5</f>
        <v>16</v>
      </c>
      <c r="F5" s="92"/>
      <c r="G5" s="92"/>
    </row>
    <row r="6" spans="1:7" x14ac:dyDescent="0.25">
      <c r="A6" s="25" t="s">
        <v>162</v>
      </c>
      <c r="B6" s="75">
        <v>500</v>
      </c>
      <c r="C6" s="75">
        <v>4</v>
      </c>
      <c r="D6" s="75">
        <f t="shared" ref="D6:D11" si="1">D5</f>
        <v>4</v>
      </c>
      <c r="E6" s="75">
        <f t="shared" si="0"/>
        <v>16</v>
      </c>
      <c r="F6" s="92"/>
      <c r="G6" s="92"/>
    </row>
    <row r="7" spans="1:7" x14ac:dyDescent="0.25">
      <c r="A7" s="25"/>
      <c r="B7" s="75"/>
      <c r="C7" s="75"/>
      <c r="D7" s="75"/>
      <c r="E7" s="75"/>
      <c r="F7" s="92"/>
      <c r="G7" s="92"/>
    </row>
    <row r="8" spans="1:7" x14ac:dyDescent="0.25">
      <c r="A8" s="25" t="s">
        <v>35</v>
      </c>
      <c r="B8" s="75">
        <v>315</v>
      </c>
      <c r="C8" s="75">
        <v>25</v>
      </c>
      <c r="D8" s="75">
        <f>D6</f>
        <v>4</v>
      </c>
      <c r="E8" s="75">
        <f t="shared" si="0"/>
        <v>100</v>
      </c>
      <c r="F8" s="92">
        <v>5</v>
      </c>
      <c r="G8" s="92">
        <f>F8*E8*4</f>
        <v>2000</v>
      </c>
    </row>
    <row r="9" spans="1:7" x14ac:dyDescent="0.25">
      <c r="A9" s="25" t="s">
        <v>35</v>
      </c>
      <c r="B9" s="75">
        <v>400</v>
      </c>
      <c r="C9" s="75">
        <v>25</v>
      </c>
      <c r="D9" s="75">
        <f t="shared" si="1"/>
        <v>4</v>
      </c>
      <c r="E9" s="75">
        <f t="shared" si="0"/>
        <v>100</v>
      </c>
      <c r="F9" s="92">
        <f>F8</f>
        <v>5</v>
      </c>
      <c r="G9" s="92">
        <f t="shared" ref="G9:G11" si="2">F9*E9*4</f>
        <v>2000</v>
      </c>
    </row>
    <row r="10" spans="1:7" x14ac:dyDescent="0.25">
      <c r="A10" s="25" t="s">
        <v>35</v>
      </c>
      <c r="B10" s="75">
        <v>500</v>
      </c>
      <c r="C10" s="75">
        <v>15</v>
      </c>
      <c r="D10" s="75">
        <f t="shared" si="1"/>
        <v>4</v>
      </c>
      <c r="E10" s="75">
        <f t="shared" si="0"/>
        <v>60</v>
      </c>
      <c r="F10" s="92">
        <f>F9</f>
        <v>5</v>
      </c>
      <c r="G10" s="92">
        <f t="shared" si="2"/>
        <v>1200</v>
      </c>
    </row>
    <row r="11" spans="1:7" x14ac:dyDescent="0.25">
      <c r="A11" s="25" t="s">
        <v>35</v>
      </c>
      <c r="B11" s="75">
        <v>560</v>
      </c>
      <c r="C11" s="75">
        <v>15</v>
      </c>
      <c r="D11" s="75">
        <f t="shared" si="1"/>
        <v>4</v>
      </c>
      <c r="E11" s="75">
        <f t="shared" si="0"/>
        <v>60</v>
      </c>
      <c r="F11" s="92">
        <f>F10</f>
        <v>5</v>
      </c>
      <c r="G11" s="92">
        <f t="shared" si="2"/>
        <v>1200</v>
      </c>
    </row>
    <row r="12" spans="1:7" x14ac:dyDescent="0.25">
      <c r="A12" s="28"/>
      <c r="B12" s="85"/>
      <c r="C12" s="85"/>
      <c r="D12" s="85"/>
      <c r="E12" s="85"/>
      <c r="F12" s="93"/>
      <c r="G12" s="92">
        <f>SUM(G4:G11)</f>
        <v>18200</v>
      </c>
    </row>
    <row r="14" spans="1:7" x14ac:dyDescent="0.25">
      <c r="A14" s="107" t="s">
        <v>164</v>
      </c>
      <c r="B14" s="107"/>
      <c r="C14" s="107"/>
      <c r="D14" s="107"/>
      <c r="E14" s="107"/>
      <c r="F14" s="107"/>
      <c r="G14" s="107"/>
    </row>
    <row r="15" spans="1:7" x14ac:dyDescent="0.25">
      <c r="A15" s="25" t="s">
        <v>159</v>
      </c>
      <c r="B15" s="75" t="s">
        <v>19</v>
      </c>
      <c r="C15" s="75" t="s">
        <v>33</v>
      </c>
      <c r="D15" s="75" t="s">
        <v>160</v>
      </c>
      <c r="E15" s="75" t="s">
        <v>161</v>
      </c>
      <c r="F15" s="75" t="s">
        <v>163</v>
      </c>
      <c r="G15" s="75" t="s">
        <v>151</v>
      </c>
    </row>
    <row r="16" spans="1:7" x14ac:dyDescent="0.25">
      <c r="A16" s="25" t="s">
        <v>162</v>
      </c>
      <c r="B16" s="75">
        <v>710</v>
      </c>
      <c r="C16" s="75">
        <v>6</v>
      </c>
      <c r="D16" s="75">
        <v>4</v>
      </c>
      <c r="E16" s="75">
        <f>D16*C16</f>
        <v>24</v>
      </c>
      <c r="F16" s="92">
        <v>2950</v>
      </c>
      <c r="G16" s="92">
        <f>F16*D16</f>
        <v>11800</v>
      </c>
    </row>
    <row r="17" spans="1:7" x14ac:dyDescent="0.25">
      <c r="A17" s="25" t="s">
        <v>162</v>
      </c>
      <c r="B17" s="75">
        <v>560</v>
      </c>
      <c r="C17" s="75">
        <v>6</v>
      </c>
      <c r="D17" s="75">
        <f>D16</f>
        <v>4</v>
      </c>
      <c r="E17" s="75">
        <f t="shared" ref="E17" si="3">D17*C17</f>
        <v>24</v>
      </c>
      <c r="F17" s="92"/>
      <c r="G17" s="92"/>
    </row>
    <row r="18" spans="1:7" x14ac:dyDescent="0.25">
      <c r="A18" s="25"/>
      <c r="B18" s="75"/>
      <c r="C18" s="75"/>
      <c r="D18" s="75"/>
      <c r="E18" s="75"/>
      <c r="F18" s="92"/>
      <c r="G18" s="92"/>
    </row>
    <row r="19" spans="1:7" x14ac:dyDescent="0.25">
      <c r="A19" s="25" t="s">
        <v>35</v>
      </c>
      <c r="B19" s="75">
        <v>630</v>
      </c>
      <c r="C19" s="75">
        <v>12</v>
      </c>
      <c r="D19" s="75">
        <f>D17</f>
        <v>4</v>
      </c>
      <c r="E19" s="75">
        <f t="shared" ref="E19:E21" si="4">D19*C19</f>
        <v>48</v>
      </c>
      <c r="F19" s="92">
        <v>5</v>
      </c>
      <c r="G19" s="92">
        <f>F19*E19*4</f>
        <v>960</v>
      </c>
    </row>
    <row r="20" spans="1:7" x14ac:dyDescent="0.25">
      <c r="A20" s="25" t="s">
        <v>35</v>
      </c>
      <c r="B20" s="75">
        <v>710</v>
      </c>
      <c r="C20" s="75">
        <v>12</v>
      </c>
      <c r="D20" s="75">
        <f t="shared" ref="D20:D21" si="5">D19</f>
        <v>4</v>
      </c>
      <c r="E20" s="75">
        <f t="shared" si="4"/>
        <v>48</v>
      </c>
      <c r="F20" s="92">
        <f>F19</f>
        <v>5</v>
      </c>
      <c r="G20" s="92">
        <f t="shared" ref="G20:G21" si="6">F20*E20*4</f>
        <v>960</v>
      </c>
    </row>
    <row r="21" spans="1:7" x14ac:dyDescent="0.25">
      <c r="A21" s="25" t="s">
        <v>35</v>
      </c>
      <c r="B21" s="75">
        <v>800</v>
      </c>
      <c r="C21" s="75">
        <v>12</v>
      </c>
      <c r="D21" s="75">
        <f t="shared" si="5"/>
        <v>4</v>
      </c>
      <c r="E21" s="75">
        <f t="shared" si="4"/>
        <v>48</v>
      </c>
      <c r="F21" s="92">
        <f>F20</f>
        <v>5</v>
      </c>
      <c r="G21" s="92">
        <f t="shared" si="6"/>
        <v>960</v>
      </c>
    </row>
    <row r="22" spans="1:7" x14ac:dyDescent="0.25">
      <c r="A22" s="28"/>
      <c r="B22" s="85"/>
      <c r="C22" s="85"/>
      <c r="D22" s="85"/>
      <c r="E22" s="85"/>
      <c r="F22" s="93"/>
      <c r="G22" s="92">
        <f>SUM(G16:G21)</f>
        <v>14680</v>
      </c>
    </row>
    <row r="24" spans="1:7" x14ac:dyDescent="0.25">
      <c r="A24" s="146" t="s">
        <v>165</v>
      </c>
      <c r="B24" s="147"/>
      <c r="C24" s="147"/>
      <c r="D24" s="147"/>
      <c r="E24" s="147"/>
      <c r="F24" s="148"/>
      <c r="G24" s="92">
        <f>G12+G22</f>
        <v>32880</v>
      </c>
    </row>
    <row r="26" spans="1:7" x14ac:dyDescent="0.25">
      <c r="A26" s="146" t="s">
        <v>166</v>
      </c>
      <c r="B26" s="147"/>
      <c r="C26" s="147"/>
      <c r="D26" s="147"/>
      <c r="E26" s="147"/>
      <c r="F26" s="148"/>
      <c r="G26" s="92">
        <f>G24*1.15</f>
        <v>37812</v>
      </c>
    </row>
    <row r="28" spans="1:7" x14ac:dyDescent="0.25">
      <c r="A28" s="146" t="s">
        <v>167</v>
      </c>
      <c r="B28" s="147"/>
      <c r="C28" s="147"/>
      <c r="D28" s="147"/>
      <c r="E28" s="147"/>
      <c r="F28" s="148"/>
      <c r="G28" s="92">
        <f>G26/2</f>
        <v>18906</v>
      </c>
    </row>
  </sheetData>
  <mergeCells count="5">
    <mergeCell ref="A2:G2"/>
    <mergeCell ref="A14:G14"/>
    <mergeCell ref="A24:F24"/>
    <mergeCell ref="A26:F26"/>
    <mergeCell ref="A28:F28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CF53-2E0E-4439-AC51-992AE5AD3B81}">
  <dimension ref="A1:G25"/>
  <sheetViews>
    <sheetView workbookViewId="0">
      <selection sqref="A1:G25"/>
    </sheetView>
  </sheetViews>
  <sheetFormatPr defaultRowHeight="13.2" x14ac:dyDescent="0.25"/>
  <cols>
    <col min="2" max="4" width="9" style="17"/>
    <col min="5" max="5" width="10.44140625" style="17" bestFit="1" customWidth="1"/>
    <col min="6" max="6" width="11.44140625" style="17" bestFit="1" customWidth="1"/>
    <col min="7" max="7" width="12.6640625" style="17" bestFit="1" customWidth="1"/>
  </cols>
  <sheetData>
    <row r="1" spans="1:7" x14ac:dyDescent="0.25">
      <c r="A1" s="107" t="s">
        <v>158</v>
      </c>
      <c r="B1" s="107"/>
      <c r="C1" s="107"/>
      <c r="D1" s="107"/>
      <c r="E1" s="107"/>
      <c r="F1" s="107"/>
      <c r="G1" s="107"/>
    </row>
    <row r="2" spans="1:7" x14ac:dyDescent="0.25">
      <c r="A2" s="25" t="s">
        <v>159</v>
      </c>
      <c r="B2" s="75" t="s">
        <v>19</v>
      </c>
      <c r="C2" s="75" t="s">
        <v>33</v>
      </c>
      <c r="D2" s="75" t="s">
        <v>160</v>
      </c>
      <c r="E2" s="75" t="s">
        <v>161</v>
      </c>
      <c r="F2" s="75" t="s">
        <v>163</v>
      </c>
      <c r="G2" s="75" t="s">
        <v>151</v>
      </c>
    </row>
    <row r="3" spans="1:7" x14ac:dyDescent="0.25">
      <c r="A3" s="25" t="s">
        <v>162</v>
      </c>
      <c r="B3" s="75">
        <v>800</v>
      </c>
      <c r="C3" s="75">
        <v>4</v>
      </c>
      <c r="D3" s="75">
        <v>1</v>
      </c>
      <c r="E3" s="75">
        <f>D3*C3</f>
        <v>4</v>
      </c>
      <c r="F3" s="92">
        <v>2950</v>
      </c>
      <c r="G3" s="92">
        <f>F3*D3</f>
        <v>2950</v>
      </c>
    </row>
    <row r="4" spans="1:7" x14ac:dyDescent="0.25">
      <c r="A4" s="25" t="s">
        <v>162</v>
      </c>
      <c r="B4" s="75">
        <v>630</v>
      </c>
      <c r="C4" s="75">
        <v>4</v>
      </c>
      <c r="D4" s="75">
        <f>D3</f>
        <v>1</v>
      </c>
      <c r="E4" s="75">
        <f t="shared" ref="E4:E10" si="0">D4*C4</f>
        <v>4</v>
      </c>
      <c r="F4" s="92"/>
      <c r="G4" s="92"/>
    </row>
    <row r="5" spans="1:7" x14ac:dyDescent="0.25">
      <c r="A5" s="25" t="s">
        <v>162</v>
      </c>
      <c r="B5" s="75">
        <v>500</v>
      </c>
      <c r="C5" s="75">
        <v>4</v>
      </c>
      <c r="D5" s="75">
        <f t="shared" ref="D5:D10" si="1">D4</f>
        <v>1</v>
      </c>
      <c r="E5" s="75">
        <f t="shared" si="0"/>
        <v>4</v>
      </c>
      <c r="F5" s="92"/>
      <c r="G5" s="92"/>
    </row>
    <row r="6" spans="1:7" x14ac:dyDescent="0.25">
      <c r="A6" s="25"/>
      <c r="B6" s="75"/>
      <c r="C6" s="75"/>
      <c r="D6" s="75"/>
      <c r="E6" s="75"/>
      <c r="F6" s="92"/>
      <c r="G6" s="92"/>
    </row>
    <row r="7" spans="1:7" x14ac:dyDescent="0.25">
      <c r="A7" s="25" t="s">
        <v>35</v>
      </c>
      <c r="B7" s="75">
        <v>315</v>
      </c>
      <c r="C7" s="75">
        <v>25</v>
      </c>
      <c r="D7" s="75">
        <f>D5</f>
        <v>1</v>
      </c>
      <c r="E7" s="75">
        <f t="shared" si="0"/>
        <v>25</v>
      </c>
      <c r="F7" s="92">
        <v>5</v>
      </c>
      <c r="G7" s="92">
        <f>F7*E7*4</f>
        <v>500</v>
      </c>
    </row>
    <row r="8" spans="1:7" x14ac:dyDescent="0.25">
      <c r="A8" s="25" t="s">
        <v>35</v>
      </c>
      <c r="B8" s="75">
        <v>400</v>
      </c>
      <c r="C8" s="75">
        <v>25</v>
      </c>
      <c r="D8" s="75">
        <f t="shared" si="1"/>
        <v>1</v>
      </c>
      <c r="E8" s="75">
        <f t="shared" si="0"/>
        <v>25</v>
      </c>
      <c r="F8" s="92">
        <f>F7</f>
        <v>5</v>
      </c>
      <c r="G8" s="92">
        <f t="shared" ref="G8:G10" si="2">F8*E8*4</f>
        <v>500</v>
      </c>
    </row>
    <row r="9" spans="1:7" x14ac:dyDescent="0.25">
      <c r="A9" s="25" t="s">
        <v>35</v>
      </c>
      <c r="B9" s="75">
        <v>500</v>
      </c>
      <c r="C9" s="75">
        <v>15</v>
      </c>
      <c r="D9" s="75">
        <f t="shared" si="1"/>
        <v>1</v>
      </c>
      <c r="E9" s="75">
        <f t="shared" si="0"/>
        <v>15</v>
      </c>
      <c r="F9" s="92">
        <f>F8</f>
        <v>5</v>
      </c>
      <c r="G9" s="92">
        <f t="shared" si="2"/>
        <v>300</v>
      </c>
    </row>
    <row r="10" spans="1:7" x14ac:dyDescent="0.25">
      <c r="A10" s="25" t="s">
        <v>35</v>
      </c>
      <c r="B10" s="75">
        <v>560</v>
      </c>
      <c r="C10" s="75">
        <v>15</v>
      </c>
      <c r="D10" s="75">
        <f t="shared" si="1"/>
        <v>1</v>
      </c>
      <c r="E10" s="75">
        <f t="shared" si="0"/>
        <v>15</v>
      </c>
      <c r="F10" s="92">
        <f>F9</f>
        <v>5</v>
      </c>
      <c r="G10" s="92">
        <f t="shared" si="2"/>
        <v>300</v>
      </c>
    </row>
    <row r="11" spans="1:7" x14ac:dyDescent="0.25">
      <c r="A11" s="28"/>
      <c r="B11" s="85"/>
      <c r="C11" s="85"/>
      <c r="D11" s="85"/>
      <c r="E11" s="85"/>
      <c r="F11" s="93"/>
      <c r="G11" s="92">
        <f>SUM(G3:G10)</f>
        <v>4550</v>
      </c>
    </row>
    <row r="13" spans="1:7" x14ac:dyDescent="0.25">
      <c r="A13" s="107" t="s">
        <v>164</v>
      </c>
      <c r="B13" s="107"/>
      <c r="C13" s="107"/>
      <c r="D13" s="107"/>
      <c r="E13" s="107"/>
      <c r="F13" s="107"/>
      <c r="G13" s="107"/>
    </row>
    <row r="14" spans="1:7" x14ac:dyDescent="0.25">
      <c r="A14" s="25" t="s">
        <v>159</v>
      </c>
      <c r="B14" s="75" t="s">
        <v>19</v>
      </c>
      <c r="C14" s="75" t="s">
        <v>33</v>
      </c>
      <c r="D14" s="75" t="s">
        <v>160</v>
      </c>
      <c r="E14" s="75" t="s">
        <v>161</v>
      </c>
      <c r="F14" s="75" t="s">
        <v>163</v>
      </c>
      <c r="G14" s="75" t="s">
        <v>151</v>
      </c>
    </row>
    <row r="15" spans="1:7" x14ac:dyDescent="0.25">
      <c r="A15" s="25" t="s">
        <v>162</v>
      </c>
      <c r="B15" s="75">
        <v>710</v>
      </c>
      <c r="C15" s="75">
        <v>6</v>
      </c>
      <c r="D15" s="75">
        <v>1</v>
      </c>
      <c r="E15" s="75">
        <f>D15*C15</f>
        <v>6</v>
      </c>
      <c r="F15" s="92">
        <v>2950</v>
      </c>
      <c r="G15" s="92">
        <f>F15*D15</f>
        <v>2950</v>
      </c>
    </row>
    <row r="16" spans="1:7" x14ac:dyDescent="0.25">
      <c r="A16" s="25" t="s">
        <v>162</v>
      </c>
      <c r="B16" s="75">
        <v>560</v>
      </c>
      <c r="C16" s="75">
        <v>6</v>
      </c>
      <c r="D16" s="75">
        <f>D15</f>
        <v>1</v>
      </c>
      <c r="E16" s="75">
        <f t="shared" ref="E16" si="3">D16*C16</f>
        <v>6</v>
      </c>
      <c r="F16" s="92"/>
      <c r="G16" s="92"/>
    </row>
    <row r="17" spans="1:7" x14ac:dyDescent="0.25">
      <c r="A17" s="25"/>
      <c r="B17" s="75"/>
      <c r="C17" s="75"/>
      <c r="D17" s="75"/>
      <c r="E17" s="75"/>
      <c r="F17" s="92"/>
      <c r="G17" s="92"/>
    </row>
    <row r="18" spans="1:7" x14ac:dyDescent="0.25">
      <c r="A18" s="25" t="s">
        <v>35</v>
      </c>
      <c r="B18" s="75">
        <v>630</v>
      </c>
      <c r="C18" s="75">
        <v>12</v>
      </c>
      <c r="D18" s="75">
        <f>D16</f>
        <v>1</v>
      </c>
      <c r="E18" s="75">
        <f t="shared" ref="E18:E20" si="4">D18*C18</f>
        <v>12</v>
      </c>
      <c r="F18" s="92">
        <v>5</v>
      </c>
      <c r="G18" s="92">
        <f>F18*E18*4</f>
        <v>240</v>
      </c>
    </row>
    <row r="19" spans="1:7" x14ac:dyDescent="0.25">
      <c r="A19" s="25" t="s">
        <v>35</v>
      </c>
      <c r="B19" s="75">
        <v>710</v>
      </c>
      <c r="C19" s="75">
        <v>12</v>
      </c>
      <c r="D19" s="75">
        <f t="shared" ref="D19:D20" si="5">D18</f>
        <v>1</v>
      </c>
      <c r="E19" s="75">
        <f t="shared" si="4"/>
        <v>12</v>
      </c>
      <c r="F19" s="92">
        <f>F18</f>
        <v>5</v>
      </c>
      <c r="G19" s="92">
        <f t="shared" ref="G19:G20" si="6">F19*E19*4</f>
        <v>240</v>
      </c>
    </row>
    <row r="20" spans="1:7" x14ac:dyDescent="0.25">
      <c r="A20" s="25" t="s">
        <v>35</v>
      </c>
      <c r="B20" s="75">
        <v>800</v>
      </c>
      <c r="C20" s="75">
        <v>12</v>
      </c>
      <c r="D20" s="75">
        <f t="shared" si="5"/>
        <v>1</v>
      </c>
      <c r="E20" s="75">
        <f t="shared" si="4"/>
        <v>12</v>
      </c>
      <c r="F20" s="92">
        <f>F19</f>
        <v>5</v>
      </c>
      <c r="G20" s="92">
        <f t="shared" si="6"/>
        <v>240</v>
      </c>
    </row>
    <row r="21" spans="1:7" x14ac:dyDescent="0.25">
      <c r="A21" s="28"/>
      <c r="B21" s="85"/>
      <c r="C21" s="85"/>
      <c r="D21" s="85"/>
      <c r="E21" s="85"/>
      <c r="F21" s="93"/>
      <c r="G21" s="92">
        <f>SUM(G15:G20)</f>
        <v>3670</v>
      </c>
    </row>
    <row r="23" spans="1:7" x14ac:dyDescent="0.25">
      <c r="A23" s="146" t="s">
        <v>165</v>
      </c>
      <c r="B23" s="147"/>
      <c r="C23" s="147"/>
      <c r="D23" s="147"/>
      <c r="E23" s="147"/>
      <c r="F23" s="148"/>
      <c r="G23" s="92">
        <f>G11+G21</f>
        <v>8220</v>
      </c>
    </row>
    <row r="25" spans="1:7" x14ac:dyDescent="0.25">
      <c r="A25" s="146" t="s">
        <v>166</v>
      </c>
      <c r="B25" s="147"/>
      <c r="C25" s="147"/>
      <c r="D25" s="147"/>
      <c r="E25" s="147"/>
      <c r="F25" s="148"/>
      <c r="G25" s="92">
        <f>G23*1.15</f>
        <v>9453</v>
      </c>
    </row>
  </sheetData>
  <mergeCells count="4">
    <mergeCell ref="A1:G1"/>
    <mergeCell ref="A13:G13"/>
    <mergeCell ref="A23:F23"/>
    <mergeCell ref="A25:F2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BF60-E409-4596-B9BC-3FC18B68EB88}">
  <dimension ref="A1:M32"/>
  <sheetViews>
    <sheetView zoomScaleNormal="100" workbookViewId="0">
      <selection activeCell="D4" sqref="D4"/>
    </sheetView>
  </sheetViews>
  <sheetFormatPr defaultRowHeight="13.2" x14ac:dyDescent="0.25"/>
  <cols>
    <col min="2" max="4" width="9" style="17"/>
    <col min="5" max="5" width="10.44140625" style="17" bestFit="1" customWidth="1"/>
    <col min="6" max="6" width="11.44140625" style="17" bestFit="1" customWidth="1"/>
    <col min="7" max="7" width="12.6640625" style="17" bestFit="1" customWidth="1"/>
  </cols>
  <sheetData>
    <row r="1" spans="1:13" x14ac:dyDescent="0.25">
      <c r="A1" s="107" t="s">
        <v>168</v>
      </c>
      <c r="B1" s="107"/>
      <c r="C1" s="107"/>
      <c r="D1" s="107"/>
      <c r="E1" s="107"/>
      <c r="F1" s="107"/>
      <c r="G1" s="107"/>
    </row>
    <row r="2" spans="1:13" x14ac:dyDescent="0.25">
      <c r="A2" s="25" t="s">
        <v>159</v>
      </c>
      <c r="B2" s="75" t="s">
        <v>19</v>
      </c>
      <c r="C2" s="75" t="s">
        <v>33</v>
      </c>
      <c r="D2" s="75" t="s">
        <v>160</v>
      </c>
      <c r="E2" s="75" t="s">
        <v>161</v>
      </c>
      <c r="F2" s="75" t="s">
        <v>163</v>
      </c>
      <c r="G2" s="75" t="s">
        <v>151</v>
      </c>
      <c r="K2" s="94"/>
      <c r="M2" s="94"/>
    </row>
    <row r="3" spans="1:13" x14ac:dyDescent="0.25">
      <c r="A3" s="25" t="s">
        <v>162</v>
      </c>
      <c r="B3" s="75">
        <v>800</v>
      </c>
      <c r="C3" s="75">
        <v>4</v>
      </c>
      <c r="D3" s="95">
        <v>12</v>
      </c>
      <c r="E3" s="75">
        <f>D3*C3</f>
        <v>48</v>
      </c>
      <c r="F3" s="92">
        <v>2950</v>
      </c>
      <c r="G3" s="92">
        <f>F3*D3</f>
        <v>35400</v>
      </c>
      <c r="I3">
        <f>60/4/4</f>
        <v>3.75</v>
      </c>
      <c r="K3" s="94"/>
      <c r="M3" s="94"/>
    </row>
    <row r="4" spans="1:13" x14ac:dyDescent="0.25">
      <c r="A4" s="25" t="s">
        <v>162</v>
      </c>
      <c r="B4" s="75">
        <v>630</v>
      </c>
      <c r="C4" s="75">
        <v>4</v>
      </c>
      <c r="D4" s="75">
        <f>$D$3</f>
        <v>12</v>
      </c>
      <c r="E4" s="75">
        <f t="shared" ref="E4:E13" si="0">D4*C4</f>
        <v>48</v>
      </c>
      <c r="F4" s="92"/>
      <c r="G4" s="92"/>
      <c r="K4" s="94"/>
      <c r="M4" s="94"/>
    </row>
    <row r="5" spans="1:13" x14ac:dyDescent="0.25">
      <c r="A5" s="25" t="s">
        <v>162</v>
      </c>
      <c r="B5" s="75">
        <v>500</v>
      </c>
      <c r="C5" s="75">
        <v>4</v>
      </c>
      <c r="D5" s="75">
        <f>$D$3</f>
        <v>12</v>
      </c>
      <c r="E5" s="75">
        <f t="shared" si="0"/>
        <v>48</v>
      </c>
      <c r="F5" s="92"/>
      <c r="G5" s="92"/>
      <c r="K5" s="94"/>
      <c r="M5" s="94"/>
    </row>
    <row r="6" spans="1:13" x14ac:dyDescent="0.25">
      <c r="A6" s="25"/>
      <c r="B6" s="75"/>
      <c r="C6" s="75"/>
      <c r="D6" s="75"/>
      <c r="E6" s="75"/>
      <c r="F6" s="92"/>
      <c r="G6" s="92"/>
      <c r="K6" s="94"/>
      <c r="M6" s="94"/>
    </row>
    <row r="7" spans="1:13" x14ac:dyDescent="0.25">
      <c r="A7" s="25" t="s">
        <v>34</v>
      </c>
      <c r="B7" s="75">
        <v>800</v>
      </c>
      <c r="C7" s="75">
        <v>2</v>
      </c>
      <c r="D7" s="75">
        <f>$D$3</f>
        <v>12</v>
      </c>
      <c r="E7" s="75">
        <f t="shared" ref="E7:E9" si="1">D7*C7</f>
        <v>24</v>
      </c>
      <c r="F7" s="92">
        <v>5</v>
      </c>
      <c r="G7" s="92">
        <f>F7*E7*1</f>
        <v>120</v>
      </c>
      <c r="K7" s="94"/>
      <c r="M7" s="94"/>
    </row>
    <row r="8" spans="1:13" x14ac:dyDescent="0.25">
      <c r="A8" s="25" t="s">
        <v>34</v>
      </c>
      <c r="B8" s="75">
        <v>710</v>
      </c>
      <c r="C8" s="75">
        <v>3</v>
      </c>
      <c r="D8" s="75">
        <f>$D$3</f>
        <v>12</v>
      </c>
      <c r="E8" s="75">
        <f t="shared" si="1"/>
        <v>36</v>
      </c>
      <c r="F8" s="92">
        <v>5</v>
      </c>
      <c r="G8" s="92">
        <f t="shared" ref="G8:G9" si="2">F8*E8*1</f>
        <v>180</v>
      </c>
      <c r="K8" s="94"/>
      <c r="M8" s="94"/>
    </row>
    <row r="9" spans="1:13" x14ac:dyDescent="0.25">
      <c r="A9" s="25" t="s">
        <v>34</v>
      </c>
      <c r="B9" s="75">
        <v>630</v>
      </c>
      <c r="C9" s="75">
        <v>3</v>
      </c>
      <c r="D9" s="75">
        <f>$D$3</f>
        <v>12</v>
      </c>
      <c r="E9" s="75">
        <f t="shared" si="1"/>
        <v>36</v>
      </c>
      <c r="F9" s="92">
        <v>5</v>
      </c>
      <c r="G9" s="92">
        <f t="shared" si="2"/>
        <v>180</v>
      </c>
      <c r="K9" s="94"/>
      <c r="M9" s="94"/>
    </row>
    <row r="10" spans="1:13" x14ac:dyDescent="0.25">
      <c r="A10" s="25"/>
      <c r="B10" s="75"/>
      <c r="C10" s="75"/>
      <c r="D10" s="75"/>
      <c r="E10" s="75"/>
      <c r="F10" s="92"/>
      <c r="G10" s="92"/>
      <c r="K10" s="94"/>
      <c r="M10" s="94"/>
    </row>
    <row r="11" spans="1:13" x14ac:dyDescent="0.25">
      <c r="A11" s="25" t="s">
        <v>35</v>
      </c>
      <c r="B11" s="75">
        <v>800</v>
      </c>
      <c r="C11" s="75">
        <v>4</v>
      </c>
      <c r="D11" s="75">
        <f>$D$3</f>
        <v>12</v>
      </c>
      <c r="E11" s="75">
        <f t="shared" si="0"/>
        <v>48</v>
      </c>
      <c r="F11" s="92">
        <v>5</v>
      </c>
      <c r="G11" s="92">
        <f>F11*E11*4</f>
        <v>960</v>
      </c>
      <c r="K11" s="94"/>
    </row>
    <row r="12" spans="1:13" x14ac:dyDescent="0.25">
      <c r="A12" s="25" t="s">
        <v>35</v>
      </c>
      <c r="B12" s="75">
        <v>710</v>
      </c>
      <c r="C12" s="75">
        <v>4</v>
      </c>
      <c r="D12" s="75">
        <f>$D$3</f>
        <v>12</v>
      </c>
      <c r="E12" s="75">
        <f t="shared" si="0"/>
        <v>48</v>
      </c>
      <c r="F12" s="92">
        <f>F11</f>
        <v>5</v>
      </c>
      <c r="G12" s="92">
        <f t="shared" ref="G12:G13" si="3">F12*E12*4</f>
        <v>960</v>
      </c>
      <c r="K12" s="94"/>
    </row>
    <row r="13" spans="1:13" x14ac:dyDescent="0.25">
      <c r="A13" s="25" t="s">
        <v>35</v>
      </c>
      <c r="B13" s="75">
        <v>630</v>
      </c>
      <c r="C13" s="75">
        <v>4</v>
      </c>
      <c r="D13" s="75">
        <f>$D$3</f>
        <v>12</v>
      </c>
      <c r="E13" s="75">
        <f t="shared" si="0"/>
        <v>48</v>
      </c>
      <c r="F13" s="92">
        <f>F12</f>
        <v>5</v>
      </c>
      <c r="G13" s="92">
        <f t="shared" si="3"/>
        <v>960</v>
      </c>
      <c r="K13" s="94"/>
    </row>
    <row r="14" spans="1:13" x14ac:dyDescent="0.25">
      <c r="A14" s="28"/>
      <c r="B14" s="85"/>
      <c r="C14" s="85"/>
      <c r="D14" s="85"/>
      <c r="E14" s="85"/>
      <c r="F14" s="93"/>
      <c r="G14" s="92">
        <f>SUM(G3:G13)</f>
        <v>38760</v>
      </c>
      <c r="K14" s="94"/>
    </row>
    <row r="15" spans="1:13" x14ac:dyDescent="0.25">
      <c r="K15" s="94"/>
    </row>
    <row r="16" spans="1:13" x14ac:dyDescent="0.25">
      <c r="A16" s="107" t="s">
        <v>169</v>
      </c>
      <c r="B16" s="107"/>
      <c r="C16" s="107"/>
      <c r="D16" s="107"/>
      <c r="E16" s="107"/>
      <c r="F16" s="107"/>
      <c r="G16" s="107"/>
      <c r="K16" s="94"/>
    </row>
    <row r="17" spans="1:11" x14ac:dyDescent="0.25">
      <c r="A17" s="25" t="s">
        <v>159</v>
      </c>
      <c r="B17" s="75" t="s">
        <v>19</v>
      </c>
      <c r="C17" s="75" t="s">
        <v>33</v>
      </c>
      <c r="D17" s="75" t="s">
        <v>160</v>
      </c>
      <c r="E17" s="75" t="s">
        <v>161</v>
      </c>
      <c r="F17" s="75" t="s">
        <v>163</v>
      </c>
      <c r="G17" s="75" t="s">
        <v>151</v>
      </c>
      <c r="K17" s="94"/>
    </row>
    <row r="18" spans="1:11" x14ac:dyDescent="0.25">
      <c r="A18" s="25" t="s">
        <v>162</v>
      </c>
      <c r="B18" s="75">
        <v>710</v>
      </c>
      <c r="C18" s="75">
        <v>6</v>
      </c>
      <c r="D18" s="95">
        <v>2</v>
      </c>
      <c r="E18" s="75">
        <f>D18*C18</f>
        <v>12</v>
      </c>
      <c r="F18" s="92">
        <v>2950</v>
      </c>
      <c r="G18" s="92">
        <f>F18*D18</f>
        <v>5900</v>
      </c>
    </row>
    <row r="19" spans="1:11" x14ac:dyDescent="0.25">
      <c r="A19" s="25" t="s">
        <v>162</v>
      </c>
      <c r="B19" s="75">
        <v>560</v>
      </c>
      <c r="C19" s="75">
        <v>6</v>
      </c>
      <c r="D19" s="75">
        <f>$D$18</f>
        <v>2</v>
      </c>
      <c r="E19" s="75">
        <f t="shared" ref="E19" si="4">D19*C19</f>
        <v>12</v>
      </c>
      <c r="F19" s="92"/>
      <c r="G19" s="92"/>
    </row>
    <row r="20" spans="1:11" x14ac:dyDescent="0.25">
      <c r="A20" s="25"/>
      <c r="B20" s="75"/>
      <c r="C20" s="75"/>
      <c r="D20" s="75"/>
      <c r="E20" s="75"/>
      <c r="F20" s="92"/>
      <c r="G20" s="92"/>
    </row>
    <row r="21" spans="1:11" x14ac:dyDescent="0.25">
      <c r="A21" s="25" t="s">
        <v>34</v>
      </c>
      <c r="B21" s="75">
        <v>800</v>
      </c>
      <c r="C21" s="75">
        <v>2</v>
      </c>
      <c r="D21" s="75">
        <f>$D$18</f>
        <v>2</v>
      </c>
      <c r="E21" s="75">
        <f t="shared" ref="E21" si="5">D21*C21</f>
        <v>4</v>
      </c>
      <c r="F21" s="92">
        <v>5</v>
      </c>
      <c r="G21" s="92">
        <f>F21*E21*1</f>
        <v>20</v>
      </c>
    </row>
    <row r="22" spans="1:11" x14ac:dyDescent="0.25">
      <c r="A22" s="25" t="s">
        <v>34</v>
      </c>
      <c r="B22" s="75">
        <v>710</v>
      </c>
      <c r="C22" s="75">
        <v>1</v>
      </c>
      <c r="D22" s="75">
        <f>$D$18</f>
        <v>2</v>
      </c>
      <c r="E22" s="75">
        <f t="shared" ref="E22:E24" si="6">D22*C22</f>
        <v>2</v>
      </c>
      <c r="F22" s="92">
        <v>5</v>
      </c>
      <c r="G22" s="92">
        <f>F22*E22*1</f>
        <v>10</v>
      </c>
    </row>
    <row r="23" spans="1:11" x14ac:dyDescent="0.25">
      <c r="A23" s="25" t="s">
        <v>34</v>
      </c>
      <c r="B23" s="75">
        <v>630</v>
      </c>
      <c r="C23" s="75">
        <v>1</v>
      </c>
      <c r="D23" s="75">
        <f>$D$18</f>
        <v>2</v>
      </c>
      <c r="E23" s="75">
        <f t="shared" si="6"/>
        <v>2</v>
      </c>
      <c r="F23" s="92">
        <v>5</v>
      </c>
      <c r="G23" s="92">
        <f>F23*E23*1</f>
        <v>10</v>
      </c>
    </row>
    <row r="24" spans="1:11" x14ac:dyDescent="0.25">
      <c r="A24" s="25" t="s">
        <v>34</v>
      </c>
      <c r="B24" s="75">
        <v>500</v>
      </c>
      <c r="C24" s="75">
        <v>6</v>
      </c>
      <c r="D24" s="75">
        <f>$D$18</f>
        <v>2</v>
      </c>
      <c r="E24" s="75">
        <f t="shared" si="6"/>
        <v>12</v>
      </c>
      <c r="F24" s="92">
        <v>5</v>
      </c>
      <c r="G24" s="92">
        <f>F24*E24*1</f>
        <v>60</v>
      </c>
    </row>
    <row r="25" spans="1:11" x14ac:dyDescent="0.25">
      <c r="A25" s="25"/>
      <c r="B25" s="75"/>
      <c r="C25" s="75"/>
      <c r="D25" s="75"/>
      <c r="E25" s="75"/>
      <c r="F25" s="92"/>
      <c r="G25" s="92"/>
    </row>
    <row r="26" spans="1:11" x14ac:dyDescent="0.25">
      <c r="A26" s="25" t="s">
        <v>35</v>
      </c>
      <c r="B26" s="75">
        <v>710</v>
      </c>
      <c r="C26" s="75">
        <v>3</v>
      </c>
      <c r="D26" s="75">
        <f>$D$18</f>
        <v>2</v>
      </c>
      <c r="E26" s="75">
        <f>D26*C26</f>
        <v>6</v>
      </c>
      <c r="F26" s="92">
        <v>5</v>
      </c>
      <c r="G26" s="92">
        <f>F26*E26*4</f>
        <v>120</v>
      </c>
    </row>
    <row r="27" spans="1:11" x14ac:dyDescent="0.25">
      <c r="A27" s="25" t="s">
        <v>35</v>
      </c>
      <c r="B27" s="75">
        <v>630</v>
      </c>
      <c r="C27" s="75">
        <v>4</v>
      </c>
      <c r="D27" s="75">
        <f>$D$18</f>
        <v>2</v>
      </c>
      <c r="E27" s="75">
        <f t="shared" ref="E27" si="7">D27*C27</f>
        <v>8</v>
      </c>
      <c r="F27" s="92">
        <f>F26</f>
        <v>5</v>
      </c>
      <c r="G27" s="92">
        <f t="shared" ref="G27" si="8">F27*E27*4</f>
        <v>160</v>
      </c>
    </row>
    <row r="28" spans="1:11" x14ac:dyDescent="0.25">
      <c r="A28" s="28"/>
      <c r="B28" s="85"/>
      <c r="C28" s="85"/>
      <c r="D28" s="85"/>
      <c r="E28" s="85"/>
      <c r="F28" s="93"/>
      <c r="G28" s="92">
        <f>SUM(G18:G27)</f>
        <v>6280</v>
      </c>
    </row>
    <row r="30" spans="1:11" x14ac:dyDescent="0.25">
      <c r="A30" s="146" t="s">
        <v>165</v>
      </c>
      <c r="B30" s="147"/>
      <c r="C30" s="147"/>
      <c r="D30" s="147"/>
      <c r="E30" s="147"/>
      <c r="F30" s="148"/>
      <c r="G30" s="92">
        <f>G14+G28</f>
        <v>45040</v>
      </c>
    </row>
    <row r="32" spans="1:11" x14ac:dyDescent="0.25">
      <c r="A32" s="146" t="s">
        <v>166</v>
      </c>
      <c r="B32" s="147"/>
      <c r="C32" s="147"/>
      <c r="D32" s="147"/>
      <c r="E32" s="147"/>
      <c r="F32" s="148"/>
      <c r="G32" s="92">
        <f>G30*1.15</f>
        <v>51795.999999999993</v>
      </c>
    </row>
  </sheetData>
  <mergeCells count="4">
    <mergeCell ref="A1:G1"/>
    <mergeCell ref="A16:G16"/>
    <mergeCell ref="A30:F30"/>
    <mergeCell ref="A32:F3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8C17-F69F-4482-B06F-324A82DD292E}">
  <dimension ref="A1:M32"/>
  <sheetViews>
    <sheetView zoomScaleNormal="100" workbookViewId="0">
      <selection activeCell="D19" sqref="D19"/>
    </sheetView>
  </sheetViews>
  <sheetFormatPr defaultRowHeight="13.2" x14ac:dyDescent="0.25"/>
  <cols>
    <col min="2" max="4" width="9" style="17"/>
    <col min="5" max="5" width="10.44140625" style="17" bestFit="1" customWidth="1"/>
    <col min="6" max="6" width="11.44140625" style="17" bestFit="1" customWidth="1"/>
    <col min="7" max="7" width="12.6640625" style="17" bestFit="1" customWidth="1"/>
  </cols>
  <sheetData>
    <row r="1" spans="1:13" x14ac:dyDescent="0.25">
      <c r="A1" s="107" t="s">
        <v>168</v>
      </c>
      <c r="B1" s="107"/>
      <c r="C1" s="107"/>
      <c r="D1" s="107"/>
      <c r="E1" s="107"/>
      <c r="F1" s="107"/>
      <c r="G1" s="107"/>
    </row>
    <row r="2" spans="1:13" x14ac:dyDescent="0.25">
      <c r="A2" s="25" t="s">
        <v>159</v>
      </c>
      <c r="B2" s="75" t="s">
        <v>19</v>
      </c>
      <c r="C2" s="75" t="s">
        <v>33</v>
      </c>
      <c r="D2" s="75" t="s">
        <v>160</v>
      </c>
      <c r="E2" s="75" t="s">
        <v>161</v>
      </c>
      <c r="F2" s="75" t="s">
        <v>163</v>
      </c>
      <c r="G2" s="75" t="s">
        <v>151</v>
      </c>
      <c r="K2" s="94"/>
      <c r="M2" s="94"/>
    </row>
    <row r="3" spans="1:13" x14ac:dyDescent="0.25">
      <c r="A3" s="25" t="s">
        <v>162</v>
      </c>
      <c r="B3" s="75">
        <v>800</v>
      </c>
      <c r="C3" s="75">
        <v>4</v>
      </c>
      <c r="D3" s="75">
        <v>3</v>
      </c>
      <c r="E3" s="75">
        <f>D3*C3</f>
        <v>12</v>
      </c>
      <c r="F3" s="92">
        <v>2950</v>
      </c>
      <c r="G3" s="92">
        <f>F3*D3</f>
        <v>8850</v>
      </c>
      <c r="K3" s="94"/>
      <c r="M3" s="94"/>
    </row>
    <row r="4" spans="1:13" x14ac:dyDescent="0.25">
      <c r="A4" s="25" t="s">
        <v>162</v>
      </c>
      <c r="B4" s="75">
        <v>630</v>
      </c>
      <c r="C4" s="75">
        <v>4</v>
      </c>
      <c r="D4" s="75">
        <f>D3</f>
        <v>3</v>
      </c>
      <c r="E4" s="75">
        <f t="shared" ref="E4:E13" si="0">D4*C4</f>
        <v>12</v>
      </c>
      <c r="F4" s="92"/>
      <c r="G4" s="92"/>
      <c r="K4" s="94"/>
      <c r="M4" s="94"/>
    </row>
    <row r="5" spans="1:13" x14ac:dyDescent="0.25">
      <c r="A5" s="25" t="s">
        <v>162</v>
      </c>
      <c r="B5" s="75">
        <v>500</v>
      </c>
      <c r="C5" s="75">
        <v>4</v>
      </c>
      <c r="D5" s="75">
        <f t="shared" ref="D5:D13" si="1">D4</f>
        <v>3</v>
      </c>
      <c r="E5" s="75">
        <f t="shared" si="0"/>
        <v>12</v>
      </c>
      <c r="F5" s="92"/>
      <c r="G5" s="92"/>
      <c r="K5" s="94"/>
      <c r="M5" s="94"/>
    </row>
    <row r="6" spans="1:13" x14ac:dyDescent="0.25">
      <c r="A6" s="25"/>
      <c r="B6" s="75"/>
      <c r="C6" s="75"/>
      <c r="D6" s="75"/>
      <c r="E6" s="75"/>
      <c r="F6" s="92"/>
      <c r="G6" s="92"/>
      <c r="K6" s="94"/>
      <c r="M6" s="94"/>
    </row>
    <row r="7" spans="1:13" x14ac:dyDescent="0.25">
      <c r="A7" s="25" t="s">
        <v>34</v>
      </c>
      <c r="B7" s="75">
        <v>800</v>
      </c>
      <c r="C7" s="75">
        <v>2</v>
      </c>
      <c r="D7" s="75">
        <f>D3</f>
        <v>3</v>
      </c>
      <c r="E7" s="75">
        <f t="shared" ref="E7:E9" si="2">D7*C7</f>
        <v>6</v>
      </c>
      <c r="F7" s="92">
        <v>5</v>
      </c>
      <c r="G7" s="92">
        <f>F7*E7*1</f>
        <v>30</v>
      </c>
      <c r="K7" s="94"/>
      <c r="M7" s="94"/>
    </row>
    <row r="8" spans="1:13" x14ac:dyDescent="0.25">
      <c r="A8" s="25" t="s">
        <v>34</v>
      </c>
      <c r="B8" s="75">
        <v>710</v>
      </c>
      <c r="C8" s="75">
        <v>3</v>
      </c>
      <c r="D8" s="75">
        <f>D7</f>
        <v>3</v>
      </c>
      <c r="E8" s="75">
        <f t="shared" si="2"/>
        <v>9</v>
      </c>
      <c r="F8" s="92">
        <v>5</v>
      </c>
      <c r="G8" s="92">
        <f t="shared" ref="G8:G9" si="3">F8*E8*1</f>
        <v>45</v>
      </c>
      <c r="K8" s="94"/>
      <c r="M8" s="94"/>
    </row>
    <row r="9" spans="1:13" x14ac:dyDescent="0.25">
      <c r="A9" s="25" t="s">
        <v>34</v>
      </c>
      <c r="B9" s="75">
        <v>630</v>
      </c>
      <c r="C9" s="75">
        <v>3</v>
      </c>
      <c r="D9" s="75">
        <f>D8</f>
        <v>3</v>
      </c>
      <c r="E9" s="75">
        <f t="shared" si="2"/>
        <v>9</v>
      </c>
      <c r="F9" s="92">
        <v>5</v>
      </c>
      <c r="G9" s="92">
        <f t="shared" si="3"/>
        <v>45</v>
      </c>
      <c r="K9" s="94"/>
      <c r="M9" s="94"/>
    </row>
    <row r="10" spans="1:13" x14ac:dyDescent="0.25">
      <c r="A10" s="25"/>
      <c r="B10" s="75"/>
      <c r="C10" s="75"/>
      <c r="D10" s="75"/>
      <c r="E10" s="75"/>
      <c r="F10" s="92"/>
      <c r="G10" s="92"/>
      <c r="K10" s="94"/>
      <c r="M10" s="94"/>
    </row>
    <row r="11" spans="1:13" x14ac:dyDescent="0.25">
      <c r="A11" s="25" t="s">
        <v>35</v>
      </c>
      <c r="B11" s="75">
        <v>800</v>
      </c>
      <c r="C11" s="75">
        <v>4</v>
      </c>
      <c r="D11" s="75">
        <f>D5</f>
        <v>3</v>
      </c>
      <c r="E11" s="75">
        <f t="shared" si="0"/>
        <v>12</v>
      </c>
      <c r="F11" s="92">
        <v>5</v>
      </c>
      <c r="G11" s="92">
        <f>F11*E11*4</f>
        <v>240</v>
      </c>
      <c r="K11" s="94"/>
    </row>
    <row r="12" spans="1:13" x14ac:dyDescent="0.25">
      <c r="A12" s="25" t="s">
        <v>35</v>
      </c>
      <c r="B12" s="75">
        <v>710</v>
      </c>
      <c r="C12" s="75">
        <v>4</v>
      </c>
      <c r="D12" s="75">
        <f t="shared" si="1"/>
        <v>3</v>
      </c>
      <c r="E12" s="75">
        <f t="shared" si="0"/>
        <v>12</v>
      </c>
      <c r="F12" s="92">
        <f>F11</f>
        <v>5</v>
      </c>
      <c r="G12" s="92">
        <f t="shared" ref="G12:G13" si="4">F12*E12*4</f>
        <v>240</v>
      </c>
      <c r="K12" s="94"/>
    </row>
    <row r="13" spans="1:13" x14ac:dyDescent="0.25">
      <c r="A13" s="25" t="s">
        <v>35</v>
      </c>
      <c r="B13" s="75">
        <v>630</v>
      </c>
      <c r="C13" s="75">
        <v>4</v>
      </c>
      <c r="D13" s="75">
        <f t="shared" si="1"/>
        <v>3</v>
      </c>
      <c r="E13" s="75">
        <f t="shared" si="0"/>
        <v>12</v>
      </c>
      <c r="F13" s="92">
        <f>F12</f>
        <v>5</v>
      </c>
      <c r="G13" s="92">
        <f t="shared" si="4"/>
        <v>240</v>
      </c>
      <c r="K13" s="94"/>
    </row>
    <row r="14" spans="1:13" x14ac:dyDescent="0.25">
      <c r="A14" s="28"/>
      <c r="B14" s="85"/>
      <c r="C14" s="85"/>
      <c r="D14" s="85"/>
      <c r="E14" s="85"/>
      <c r="F14" s="93"/>
      <c r="G14" s="92">
        <f>SUM(G3:G13)</f>
        <v>9690</v>
      </c>
      <c r="K14" s="94"/>
    </row>
    <row r="15" spans="1:13" x14ac:dyDescent="0.25">
      <c r="K15" s="94"/>
    </row>
    <row r="16" spans="1:13" x14ac:dyDescent="0.25">
      <c r="A16" s="107" t="s">
        <v>169</v>
      </c>
      <c r="B16" s="107"/>
      <c r="C16" s="107"/>
      <c r="D16" s="107"/>
      <c r="E16" s="107"/>
      <c r="F16" s="107"/>
      <c r="G16" s="107"/>
      <c r="K16" s="94"/>
    </row>
    <row r="17" spans="1:11" x14ac:dyDescent="0.25">
      <c r="A17" s="25" t="s">
        <v>159</v>
      </c>
      <c r="B17" s="75" t="s">
        <v>19</v>
      </c>
      <c r="C17" s="75" t="s">
        <v>33</v>
      </c>
      <c r="D17" s="75" t="s">
        <v>160</v>
      </c>
      <c r="E17" s="75" t="s">
        <v>161</v>
      </c>
      <c r="F17" s="75" t="s">
        <v>163</v>
      </c>
      <c r="G17" s="75" t="s">
        <v>151</v>
      </c>
      <c r="K17" s="94"/>
    </row>
    <row r="18" spans="1:11" x14ac:dyDescent="0.25">
      <c r="A18" s="25" t="s">
        <v>162</v>
      </c>
      <c r="B18" s="75">
        <v>710</v>
      </c>
      <c r="C18" s="75">
        <v>6</v>
      </c>
      <c r="D18" s="75">
        <v>2</v>
      </c>
      <c r="E18" s="75">
        <f>D18*C18</f>
        <v>12</v>
      </c>
      <c r="F18" s="92">
        <v>2950</v>
      </c>
      <c r="G18" s="92">
        <f>F18*D18</f>
        <v>5900</v>
      </c>
    </row>
    <row r="19" spans="1:11" x14ac:dyDescent="0.25">
      <c r="A19" s="25" t="s">
        <v>162</v>
      </c>
      <c r="B19" s="75">
        <v>560</v>
      </c>
      <c r="C19" s="75">
        <v>6</v>
      </c>
      <c r="D19" s="75">
        <f>D18</f>
        <v>2</v>
      </c>
      <c r="E19" s="75">
        <f t="shared" ref="E19" si="5">D19*C19</f>
        <v>12</v>
      </c>
      <c r="F19" s="92"/>
      <c r="G19" s="92"/>
    </row>
    <row r="20" spans="1:11" x14ac:dyDescent="0.25">
      <c r="A20" s="25"/>
      <c r="B20" s="75"/>
      <c r="C20" s="75"/>
      <c r="D20" s="75"/>
      <c r="E20" s="75"/>
      <c r="F20" s="92"/>
      <c r="G20" s="92"/>
    </row>
    <row r="21" spans="1:11" x14ac:dyDescent="0.25">
      <c r="A21" s="25" t="s">
        <v>34</v>
      </c>
      <c r="B21" s="75">
        <v>800</v>
      </c>
      <c r="C21" s="75">
        <v>2</v>
      </c>
      <c r="D21" s="75">
        <f>D19</f>
        <v>2</v>
      </c>
      <c r="E21" s="75">
        <f t="shared" ref="E21:E24" si="6">D21*C21</f>
        <v>4</v>
      </c>
      <c r="F21" s="92">
        <v>5</v>
      </c>
      <c r="G21" s="92">
        <f>F21*E21*1</f>
        <v>20</v>
      </c>
    </row>
    <row r="22" spans="1:11" x14ac:dyDescent="0.25">
      <c r="A22" s="25" t="s">
        <v>34</v>
      </c>
      <c r="B22" s="75">
        <v>710</v>
      </c>
      <c r="C22" s="75">
        <v>1</v>
      </c>
      <c r="D22" s="75">
        <f>D21</f>
        <v>2</v>
      </c>
      <c r="E22" s="75">
        <f t="shared" si="6"/>
        <v>2</v>
      </c>
      <c r="F22" s="92">
        <v>5</v>
      </c>
      <c r="G22" s="92">
        <f>F22*E22*1</f>
        <v>10</v>
      </c>
    </row>
    <row r="23" spans="1:11" x14ac:dyDescent="0.25">
      <c r="A23" s="25" t="s">
        <v>34</v>
      </c>
      <c r="B23" s="75">
        <v>630</v>
      </c>
      <c r="C23" s="75">
        <v>1</v>
      </c>
      <c r="D23" s="75">
        <f>D21</f>
        <v>2</v>
      </c>
      <c r="E23" s="75">
        <f t="shared" si="6"/>
        <v>2</v>
      </c>
      <c r="F23" s="92">
        <v>5</v>
      </c>
      <c r="G23" s="92">
        <f>F23*E23*1</f>
        <v>10</v>
      </c>
    </row>
    <row r="24" spans="1:11" x14ac:dyDescent="0.25">
      <c r="A24" s="25" t="s">
        <v>34</v>
      </c>
      <c r="B24" s="75">
        <v>500</v>
      </c>
      <c r="C24" s="75">
        <v>6</v>
      </c>
      <c r="D24" s="75">
        <f>D23</f>
        <v>2</v>
      </c>
      <c r="E24" s="75">
        <f t="shared" si="6"/>
        <v>12</v>
      </c>
      <c r="F24" s="92">
        <v>5</v>
      </c>
      <c r="G24" s="92">
        <f>F24*E24*1</f>
        <v>60</v>
      </c>
    </row>
    <row r="25" spans="1:11" x14ac:dyDescent="0.25">
      <c r="A25" s="25"/>
      <c r="B25" s="75"/>
      <c r="C25" s="75"/>
      <c r="D25" s="75"/>
      <c r="E25" s="75"/>
      <c r="F25" s="92"/>
      <c r="G25" s="92"/>
    </row>
    <row r="26" spans="1:11" x14ac:dyDescent="0.25">
      <c r="A26" s="25" t="s">
        <v>35</v>
      </c>
      <c r="B26" s="75">
        <v>710</v>
      </c>
      <c r="C26" s="75">
        <v>3</v>
      </c>
      <c r="D26" s="75">
        <f>D19</f>
        <v>2</v>
      </c>
      <c r="E26" s="75">
        <f t="shared" ref="E26:E27" si="7">D26*C26</f>
        <v>6</v>
      </c>
      <c r="F26" s="92">
        <v>5</v>
      </c>
      <c r="G26" s="92">
        <f>F26*E26*4</f>
        <v>120</v>
      </c>
    </row>
    <row r="27" spans="1:11" x14ac:dyDescent="0.25">
      <c r="A27" s="25" t="s">
        <v>35</v>
      </c>
      <c r="B27" s="75">
        <v>630</v>
      </c>
      <c r="C27" s="75">
        <v>4</v>
      </c>
      <c r="D27" s="75">
        <f t="shared" ref="D27" si="8">D26</f>
        <v>2</v>
      </c>
      <c r="E27" s="75">
        <f t="shared" si="7"/>
        <v>8</v>
      </c>
      <c r="F27" s="92">
        <f>F26</f>
        <v>5</v>
      </c>
      <c r="G27" s="92">
        <f t="shared" ref="G27" si="9">F27*E27*4</f>
        <v>160</v>
      </c>
    </row>
    <row r="28" spans="1:11" x14ac:dyDescent="0.25">
      <c r="A28" s="28"/>
      <c r="B28" s="85"/>
      <c r="C28" s="85"/>
      <c r="D28" s="85"/>
      <c r="E28" s="85"/>
      <c r="F28" s="93"/>
      <c r="G28" s="92">
        <f>SUM(G18:G27)</f>
        <v>6280</v>
      </c>
    </row>
    <row r="30" spans="1:11" x14ac:dyDescent="0.25">
      <c r="A30" s="146" t="s">
        <v>165</v>
      </c>
      <c r="B30" s="147"/>
      <c r="C30" s="147"/>
      <c r="D30" s="147"/>
      <c r="E30" s="147"/>
      <c r="F30" s="148"/>
      <c r="G30" s="92">
        <f>G14+G28</f>
        <v>15970</v>
      </c>
    </row>
    <row r="32" spans="1:11" x14ac:dyDescent="0.25">
      <c r="A32" s="146" t="s">
        <v>166</v>
      </c>
      <c r="B32" s="147"/>
      <c r="C32" s="147"/>
      <c r="D32" s="147"/>
      <c r="E32" s="147"/>
      <c r="F32" s="148"/>
      <c r="G32" s="92">
        <f>G30*1.15</f>
        <v>18365.5</v>
      </c>
    </row>
  </sheetData>
  <mergeCells count="4">
    <mergeCell ref="A1:G1"/>
    <mergeCell ref="A16:G16"/>
    <mergeCell ref="A30:F30"/>
    <mergeCell ref="A32:F3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BA96-0F0B-4D51-976F-3A610F414A49}">
  <dimension ref="A1:M32"/>
  <sheetViews>
    <sheetView zoomScaleNormal="100" workbookViewId="0">
      <selection activeCell="D4" sqref="D4"/>
    </sheetView>
  </sheetViews>
  <sheetFormatPr defaultRowHeight="13.2" x14ac:dyDescent="0.25"/>
  <cols>
    <col min="2" max="4" width="8.88671875" style="17"/>
    <col min="5" max="5" width="10.44140625" style="17" bestFit="1" customWidth="1"/>
    <col min="6" max="6" width="11.44140625" style="17" bestFit="1" customWidth="1"/>
    <col min="7" max="7" width="12.6640625" style="17" bestFit="1" customWidth="1"/>
  </cols>
  <sheetData>
    <row r="1" spans="1:13" x14ac:dyDescent="0.25">
      <c r="A1" s="107" t="s">
        <v>168</v>
      </c>
      <c r="B1" s="107"/>
      <c r="C1" s="107"/>
      <c r="D1" s="107"/>
      <c r="E1" s="107"/>
      <c r="F1" s="107"/>
      <c r="G1" s="107"/>
    </row>
    <row r="2" spans="1:13" x14ac:dyDescent="0.25">
      <c r="A2" s="25" t="s">
        <v>159</v>
      </c>
      <c r="B2" s="75" t="s">
        <v>19</v>
      </c>
      <c r="C2" s="75" t="s">
        <v>33</v>
      </c>
      <c r="D2" s="75" t="s">
        <v>160</v>
      </c>
      <c r="E2" s="75" t="s">
        <v>161</v>
      </c>
      <c r="F2" s="75" t="s">
        <v>163</v>
      </c>
      <c r="G2" s="75" t="s">
        <v>151</v>
      </c>
      <c r="K2" s="94"/>
      <c r="M2" s="94"/>
    </row>
    <row r="3" spans="1:13" x14ac:dyDescent="0.25">
      <c r="A3" s="25" t="s">
        <v>162</v>
      </c>
      <c r="B3" s="75">
        <v>800</v>
      </c>
      <c r="C3" s="75">
        <v>4</v>
      </c>
      <c r="D3" s="95">
        <v>2</v>
      </c>
      <c r="E3" s="75">
        <f>D3*C3</f>
        <v>8</v>
      </c>
      <c r="F3" s="92">
        <v>2950</v>
      </c>
      <c r="G3" s="92">
        <f>F3*D3</f>
        <v>5900</v>
      </c>
      <c r="K3" s="94"/>
      <c r="M3" s="94"/>
    </row>
    <row r="4" spans="1:13" x14ac:dyDescent="0.25">
      <c r="A4" s="25" t="s">
        <v>162</v>
      </c>
      <c r="B4" s="75">
        <v>630</v>
      </c>
      <c r="C4" s="75">
        <v>4</v>
      </c>
      <c r="D4" s="75">
        <f>$D$3</f>
        <v>2</v>
      </c>
      <c r="E4" s="75">
        <f t="shared" ref="E4:E13" si="0">D4*C4</f>
        <v>8</v>
      </c>
      <c r="F4" s="92"/>
      <c r="G4" s="92"/>
      <c r="K4" s="94"/>
      <c r="M4" s="94"/>
    </row>
    <row r="5" spans="1:13" x14ac:dyDescent="0.25">
      <c r="A5" s="25" t="s">
        <v>162</v>
      </c>
      <c r="B5" s="75">
        <v>500</v>
      </c>
      <c r="C5" s="75">
        <v>4</v>
      </c>
      <c r="D5" s="75">
        <f>$D$3</f>
        <v>2</v>
      </c>
      <c r="E5" s="75">
        <f t="shared" si="0"/>
        <v>8</v>
      </c>
      <c r="F5" s="92"/>
      <c r="G5" s="92"/>
      <c r="K5" s="94"/>
      <c r="M5" s="94"/>
    </row>
    <row r="6" spans="1:13" x14ac:dyDescent="0.25">
      <c r="A6" s="25"/>
      <c r="B6" s="75"/>
      <c r="C6" s="75"/>
      <c r="D6" s="75"/>
      <c r="E6" s="75"/>
      <c r="F6" s="92"/>
      <c r="G6" s="92"/>
      <c r="K6" s="94"/>
      <c r="M6" s="94"/>
    </row>
    <row r="7" spans="1:13" x14ac:dyDescent="0.25">
      <c r="A7" s="25" t="s">
        <v>34</v>
      </c>
      <c r="B7" s="75">
        <v>800</v>
      </c>
      <c r="C7" s="75">
        <v>2</v>
      </c>
      <c r="D7" s="75">
        <f>$D$3</f>
        <v>2</v>
      </c>
      <c r="E7" s="75">
        <f t="shared" ref="E7:E9" si="1">D7*C7</f>
        <v>4</v>
      </c>
      <c r="F7" s="92">
        <v>5</v>
      </c>
      <c r="G7" s="92">
        <f>F7*E7*1</f>
        <v>20</v>
      </c>
      <c r="K7" s="94"/>
      <c r="M7" s="94"/>
    </row>
    <row r="8" spans="1:13" x14ac:dyDescent="0.25">
      <c r="A8" s="25" t="s">
        <v>34</v>
      </c>
      <c r="B8" s="75">
        <v>710</v>
      </c>
      <c r="C8" s="75">
        <v>3</v>
      </c>
      <c r="D8" s="75">
        <f>$D$3</f>
        <v>2</v>
      </c>
      <c r="E8" s="75">
        <f t="shared" si="1"/>
        <v>6</v>
      </c>
      <c r="F8" s="92">
        <v>5</v>
      </c>
      <c r="G8" s="92">
        <f t="shared" ref="G8:G9" si="2">F8*E8*1</f>
        <v>30</v>
      </c>
      <c r="K8" s="94"/>
      <c r="M8" s="94"/>
    </row>
    <row r="9" spans="1:13" x14ac:dyDescent="0.25">
      <c r="A9" s="25" t="s">
        <v>34</v>
      </c>
      <c r="B9" s="75">
        <v>630</v>
      </c>
      <c r="C9" s="75">
        <v>3</v>
      </c>
      <c r="D9" s="75">
        <f>$D$3</f>
        <v>2</v>
      </c>
      <c r="E9" s="75">
        <f t="shared" si="1"/>
        <v>6</v>
      </c>
      <c r="F9" s="92">
        <v>5</v>
      </c>
      <c r="G9" s="92">
        <f t="shared" si="2"/>
        <v>30</v>
      </c>
      <c r="K9" s="94"/>
      <c r="M9" s="94"/>
    </row>
    <row r="10" spans="1:13" x14ac:dyDescent="0.25">
      <c r="A10" s="25"/>
      <c r="B10" s="75"/>
      <c r="C10" s="75"/>
      <c r="D10" s="75"/>
      <c r="E10" s="75"/>
      <c r="F10" s="92"/>
      <c r="G10" s="92"/>
      <c r="K10" s="94"/>
      <c r="M10" s="94"/>
    </row>
    <row r="11" spans="1:13" x14ac:dyDescent="0.25">
      <c r="A11" s="25" t="s">
        <v>35</v>
      </c>
      <c r="B11" s="75">
        <v>800</v>
      </c>
      <c r="C11" s="75">
        <v>4</v>
      </c>
      <c r="D11" s="75">
        <f>$D$3</f>
        <v>2</v>
      </c>
      <c r="E11" s="75">
        <f t="shared" si="0"/>
        <v>8</v>
      </c>
      <c r="F11" s="92">
        <v>5</v>
      </c>
      <c r="G11" s="92">
        <f>F11*E11*4</f>
        <v>160</v>
      </c>
      <c r="K11" s="94"/>
    </row>
    <row r="12" spans="1:13" x14ac:dyDescent="0.25">
      <c r="A12" s="25" t="s">
        <v>35</v>
      </c>
      <c r="B12" s="75">
        <v>710</v>
      </c>
      <c r="C12" s="75">
        <v>4</v>
      </c>
      <c r="D12" s="75">
        <f>$D$3</f>
        <v>2</v>
      </c>
      <c r="E12" s="75">
        <f t="shared" si="0"/>
        <v>8</v>
      </c>
      <c r="F12" s="92">
        <f>F11</f>
        <v>5</v>
      </c>
      <c r="G12" s="92">
        <f t="shared" ref="G12:G13" si="3">F12*E12*4</f>
        <v>160</v>
      </c>
      <c r="K12" s="94"/>
    </row>
    <row r="13" spans="1:13" x14ac:dyDescent="0.25">
      <c r="A13" s="25" t="s">
        <v>35</v>
      </c>
      <c r="B13" s="75">
        <v>630</v>
      </c>
      <c r="C13" s="75">
        <v>4</v>
      </c>
      <c r="D13" s="75">
        <f>$D$3</f>
        <v>2</v>
      </c>
      <c r="E13" s="75">
        <f t="shared" si="0"/>
        <v>8</v>
      </c>
      <c r="F13" s="92">
        <f>F12</f>
        <v>5</v>
      </c>
      <c r="G13" s="92">
        <f t="shared" si="3"/>
        <v>160</v>
      </c>
      <c r="K13" s="94"/>
    </row>
    <row r="14" spans="1:13" x14ac:dyDescent="0.25">
      <c r="A14" s="28"/>
      <c r="B14" s="85"/>
      <c r="C14" s="85"/>
      <c r="D14" s="85"/>
      <c r="E14" s="85"/>
      <c r="F14" s="93"/>
      <c r="G14" s="92">
        <f>SUM(G3:G13)</f>
        <v>6460</v>
      </c>
      <c r="K14" s="94"/>
    </row>
    <row r="15" spans="1:13" x14ac:dyDescent="0.25">
      <c r="K15" s="94"/>
    </row>
    <row r="16" spans="1:13" x14ac:dyDescent="0.25">
      <c r="A16" s="107" t="s">
        <v>169</v>
      </c>
      <c r="B16" s="107"/>
      <c r="C16" s="107"/>
      <c r="D16" s="107"/>
      <c r="E16" s="107"/>
      <c r="F16" s="107"/>
      <c r="G16" s="107"/>
      <c r="K16" s="94"/>
    </row>
    <row r="17" spans="1:11" x14ac:dyDescent="0.25">
      <c r="A17" s="25" t="s">
        <v>159</v>
      </c>
      <c r="B17" s="75" t="s">
        <v>19</v>
      </c>
      <c r="C17" s="75" t="s">
        <v>33</v>
      </c>
      <c r="D17" s="75" t="s">
        <v>160</v>
      </c>
      <c r="E17" s="75" t="s">
        <v>161</v>
      </c>
      <c r="F17" s="75" t="s">
        <v>163</v>
      </c>
      <c r="G17" s="75" t="s">
        <v>151</v>
      </c>
      <c r="K17" s="94"/>
    </row>
    <row r="18" spans="1:11" x14ac:dyDescent="0.25">
      <c r="A18" s="25" t="s">
        <v>162</v>
      </c>
      <c r="B18" s="75">
        <v>710</v>
      </c>
      <c r="C18" s="75">
        <v>6</v>
      </c>
      <c r="D18" s="95">
        <v>2</v>
      </c>
      <c r="E18" s="75">
        <f>D18*C18</f>
        <v>12</v>
      </c>
      <c r="F18" s="92">
        <v>2950</v>
      </c>
      <c r="G18" s="92">
        <f>F18*D18</f>
        <v>5900</v>
      </c>
    </row>
    <row r="19" spans="1:11" x14ac:dyDescent="0.25">
      <c r="A19" s="25" t="s">
        <v>162</v>
      </c>
      <c r="B19" s="75">
        <v>560</v>
      </c>
      <c r="C19" s="75">
        <v>6</v>
      </c>
      <c r="D19" s="75">
        <f>$D$18</f>
        <v>2</v>
      </c>
      <c r="E19" s="75">
        <f t="shared" ref="E19" si="4">D19*C19</f>
        <v>12</v>
      </c>
      <c r="F19" s="92"/>
      <c r="G19" s="92"/>
    </row>
    <row r="20" spans="1:11" x14ac:dyDescent="0.25">
      <c r="A20" s="25"/>
      <c r="B20" s="75"/>
      <c r="C20" s="75"/>
      <c r="D20" s="75"/>
      <c r="E20" s="75"/>
      <c r="F20" s="92"/>
      <c r="G20" s="92"/>
    </row>
    <row r="21" spans="1:11" x14ac:dyDescent="0.25">
      <c r="A21" s="25" t="s">
        <v>34</v>
      </c>
      <c r="B21" s="75">
        <v>800</v>
      </c>
      <c r="C21" s="75">
        <v>2</v>
      </c>
      <c r="D21" s="75">
        <f>$D$18</f>
        <v>2</v>
      </c>
      <c r="E21" s="75">
        <f t="shared" ref="E21:E24" si="5">D21*C21</f>
        <v>4</v>
      </c>
      <c r="F21" s="92">
        <v>5</v>
      </c>
      <c r="G21" s="92">
        <f>F21*E21*1</f>
        <v>20</v>
      </c>
    </row>
    <row r="22" spans="1:11" x14ac:dyDescent="0.25">
      <c r="A22" s="25" t="s">
        <v>34</v>
      </c>
      <c r="B22" s="75">
        <v>710</v>
      </c>
      <c r="C22" s="75">
        <v>1</v>
      </c>
      <c r="D22" s="75">
        <f>$D$18</f>
        <v>2</v>
      </c>
      <c r="E22" s="75">
        <f t="shared" si="5"/>
        <v>2</v>
      </c>
      <c r="F22" s="92">
        <v>5</v>
      </c>
      <c r="G22" s="92">
        <f>F22*E22*1</f>
        <v>10</v>
      </c>
    </row>
    <row r="23" spans="1:11" x14ac:dyDescent="0.25">
      <c r="A23" s="25" t="s">
        <v>34</v>
      </c>
      <c r="B23" s="75">
        <v>630</v>
      </c>
      <c r="C23" s="75">
        <v>1</v>
      </c>
      <c r="D23" s="75">
        <f>$D$18</f>
        <v>2</v>
      </c>
      <c r="E23" s="75">
        <f t="shared" si="5"/>
        <v>2</v>
      </c>
      <c r="F23" s="92">
        <v>5</v>
      </c>
      <c r="G23" s="92">
        <f>F23*E23*1</f>
        <v>10</v>
      </c>
    </row>
    <row r="24" spans="1:11" x14ac:dyDescent="0.25">
      <c r="A24" s="25" t="s">
        <v>34</v>
      </c>
      <c r="B24" s="75">
        <v>500</v>
      </c>
      <c r="C24" s="75">
        <v>6</v>
      </c>
      <c r="D24" s="75">
        <f>$D$18</f>
        <v>2</v>
      </c>
      <c r="E24" s="75">
        <f t="shared" si="5"/>
        <v>12</v>
      </c>
      <c r="F24" s="92">
        <v>5</v>
      </c>
      <c r="G24" s="92">
        <f>F24*E24*1</f>
        <v>60</v>
      </c>
    </row>
    <row r="25" spans="1:11" x14ac:dyDescent="0.25">
      <c r="A25" s="25"/>
      <c r="B25" s="75"/>
      <c r="C25" s="75"/>
      <c r="D25" s="75"/>
      <c r="E25" s="75"/>
      <c r="F25" s="92"/>
      <c r="G25" s="92"/>
    </row>
    <row r="26" spans="1:11" x14ac:dyDescent="0.25">
      <c r="A26" s="25" t="s">
        <v>35</v>
      </c>
      <c r="B26" s="75">
        <v>710</v>
      </c>
      <c r="C26" s="75">
        <v>3</v>
      </c>
      <c r="D26" s="75">
        <f>$D$18</f>
        <v>2</v>
      </c>
      <c r="E26" s="75">
        <f>D26*C26</f>
        <v>6</v>
      </c>
      <c r="F26" s="92">
        <v>5</v>
      </c>
      <c r="G26" s="92">
        <f>F26*E26*4</f>
        <v>120</v>
      </c>
    </row>
    <row r="27" spans="1:11" x14ac:dyDescent="0.25">
      <c r="A27" s="25" t="s">
        <v>35</v>
      </c>
      <c r="B27" s="75">
        <v>630</v>
      </c>
      <c r="C27" s="75">
        <v>4</v>
      </c>
      <c r="D27" s="75">
        <f>$D$18</f>
        <v>2</v>
      </c>
      <c r="E27" s="75">
        <f t="shared" ref="E27" si="6">D27*C27</f>
        <v>8</v>
      </c>
      <c r="F27" s="92">
        <f>F26</f>
        <v>5</v>
      </c>
      <c r="G27" s="92">
        <f t="shared" ref="G27" si="7">F27*E27*4</f>
        <v>160</v>
      </c>
    </row>
    <row r="28" spans="1:11" x14ac:dyDescent="0.25">
      <c r="A28" s="28"/>
      <c r="B28" s="85"/>
      <c r="C28" s="85"/>
      <c r="D28" s="85"/>
      <c r="E28" s="85"/>
      <c r="F28" s="93"/>
      <c r="G28" s="92">
        <f>SUM(G18:G27)</f>
        <v>6280</v>
      </c>
    </row>
    <row r="30" spans="1:11" x14ac:dyDescent="0.25">
      <c r="A30" s="146" t="s">
        <v>165</v>
      </c>
      <c r="B30" s="147"/>
      <c r="C30" s="147"/>
      <c r="D30" s="147"/>
      <c r="E30" s="147"/>
      <c r="F30" s="148"/>
      <c r="G30" s="92">
        <f>G14+G28</f>
        <v>12740</v>
      </c>
    </row>
    <row r="32" spans="1:11" x14ac:dyDescent="0.25">
      <c r="A32" s="146" t="s">
        <v>166</v>
      </c>
      <c r="B32" s="147"/>
      <c r="C32" s="147"/>
      <c r="D32" s="147"/>
      <c r="E32" s="147"/>
      <c r="F32" s="148"/>
      <c r="G32" s="92">
        <f>G30*1.15</f>
        <v>14650.999999999998</v>
      </c>
    </row>
  </sheetData>
  <mergeCells count="4">
    <mergeCell ref="A1:G1"/>
    <mergeCell ref="A16:G16"/>
    <mergeCell ref="A30:F30"/>
    <mergeCell ref="A32:F3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043F-1B34-410A-89FC-945D8AF7E881}">
  <dimension ref="A1:M32"/>
  <sheetViews>
    <sheetView zoomScaleNormal="100" workbookViewId="0">
      <selection sqref="A1:G14"/>
    </sheetView>
  </sheetViews>
  <sheetFormatPr defaultRowHeight="13.2" x14ac:dyDescent="0.25"/>
  <cols>
    <col min="2" max="4" width="8.88671875" style="17"/>
    <col min="5" max="5" width="10.44140625" style="17" bestFit="1" customWidth="1"/>
    <col min="6" max="6" width="11.44140625" style="17" bestFit="1" customWidth="1"/>
    <col min="7" max="7" width="12.6640625" style="17" bestFit="1" customWidth="1"/>
  </cols>
  <sheetData>
    <row r="1" spans="1:13" x14ac:dyDescent="0.25">
      <c r="A1" s="107" t="s">
        <v>168</v>
      </c>
      <c r="B1" s="107"/>
      <c r="C1" s="107"/>
      <c r="D1" s="107"/>
      <c r="E1" s="107"/>
      <c r="F1" s="107"/>
      <c r="G1" s="107"/>
    </row>
    <row r="2" spans="1:13" x14ac:dyDescent="0.25">
      <c r="A2" s="25" t="s">
        <v>159</v>
      </c>
      <c r="B2" s="75" t="s">
        <v>19</v>
      </c>
      <c r="C2" s="75" t="s">
        <v>33</v>
      </c>
      <c r="D2" s="75" t="s">
        <v>160</v>
      </c>
      <c r="E2" s="75" t="s">
        <v>161</v>
      </c>
      <c r="F2" s="75" t="s">
        <v>163</v>
      </c>
      <c r="G2" s="75" t="s">
        <v>151</v>
      </c>
      <c r="K2" s="94"/>
      <c r="M2" s="94"/>
    </row>
    <row r="3" spans="1:13" x14ac:dyDescent="0.25">
      <c r="A3" s="25" t="s">
        <v>162</v>
      </c>
      <c r="B3" s="75">
        <v>800</v>
      </c>
      <c r="C3" s="75">
        <v>4</v>
      </c>
      <c r="D3" s="95">
        <v>2</v>
      </c>
      <c r="E3" s="75">
        <f>D3*C3</f>
        <v>8</v>
      </c>
      <c r="F3" s="92">
        <v>2950</v>
      </c>
      <c r="G3" s="92">
        <f>F3*D3</f>
        <v>5900</v>
      </c>
      <c r="K3" s="94"/>
      <c r="M3" s="94"/>
    </row>
    <row r="4" spans="1:13" x14ac:dyDescent="0.25">
      <c r="A4" s="25" t="s">
        <v>162</v>
      </c>
      <c r="B4" s="75">
        <v>630</v>
      </c>
      <c r="C4" s="75">
        <v>4</v>
      </c>
      <c r="D4" s="75">
        <f>$D$3</f>
        <v>2</v>
      </c>
      <c r="E4" s="75">
        <f t="shared" ref="E4:E13" si="0">D4*C4</f>
        <v>8</v>
      </c>
      <c r="F4" s="92"/>
      <c r="G4" s="92"/>
      <c r="K4" s="94"/>
      <c r="M4" s="94"/>
    </row>
    <row r="5" spans="1:13" x14ac:dyDescent="0.25">
      <c r="A5" s="25" t="s">
        <v>162</v>
      </c>
      <c r="B5" s="75">
        <v>500</v>
      </c>
      <c r="C5" s="75">
        <v>4</v>
      </c>
      <c r="D5" s="75">
        <f>$D$3</f>
        <v>2</v>
      </c>
      <c r="E5" s="75">
        <f t="shared" si="0"/>
        <v>8</v>
      </c>
      <c r="F5" s="92"/>
      <c r="G5" s="92"/>
      <c r="K5" s="94"/>
      <c r="M5" s="94"/>
    </row>
    <row r="6" spans="1:13" x14ac:dyDescent="0.25">
      <c r="A6" s="25"/>
      <c r="B6" s="75"/>
      <c r="C6" s="75"/>
      <c r="D6" s="75"/>
      <c r="E6" s="75"/>
      <c r="F6" s="92"/>
      <c r="G6" s="92"/>
      <c r="K6" s="94"/>
      <c r="M6" s="94"/>
    </row>
    <row r="7" spans="1:13" x14ac:dyDescent="0.25">
      <c r="A7" s="25" t="s">
        <v>34</v>
      </c>
      <c r="B7" s="75">
        <v>800</v>
      </c>
      <c r="C7" s="75">
        <v>2</v>
      </c>
      <c r="D7" s="75">
        <f>$D$3</f>
        <v>2</v>
      </c>
      <c r="E7" s="75">
        <f t="shared" ref="E7:E9" si="1">D7*C7</f>
        <v>4</v>
      </c>
      <c r="F7" s="92">
        <v>5</v>
      </c>
      <c r="G7" s="92">
        <f>F7*E7*1</f>
        <v>20</v>
      </c>
      <c r="K7" s="94"/>
      <c r="M7" s="94"/>
    </row>
    <row r="8" spans="1:13" x14ac:dyDescent="0.25">
      <c r="A8" s="25" t="s">
        <v>34</v>
      </c>
      <c r="B8" s="75">
        <v>710</v>
      </c>
      <c r="C8" s="75">
        <v>3</v>
      </c>
      <c r="D8" s="75">
        <f>$D$3</f>
        <v>2</v>
      </c>
      <c r="E8" s="75">
        <f t="shared" si="1"/>
        <v>6</v>
      </c>
      <c r="F8" s="92">
        <v>5</v>
      </c>
      <c r="G8" s="92">
        <f t="shared" ref="G8:G9" si="2">F8*E8*1</f>
        <v>30</v>
      </c>
      <c r="K8" s="94"/>
      <c r="M8" s="94"/>
    </row>
    <row r="9" spans="1:13" x14ac:dyDescent="0.25">
      <c r="A9" s="25" t="s">
        <v>34</v>
      </c>
      <c r="B9" s="75">
        <v>630</v>
      </c>
      <c r="C9" s="75">
        <v>3</v>
      </c>
      <c r="D9" s="75">
        <f>$D$3</f>
        <v>2</v>
      </c>
      <c r="E9" s="75">
        <f t="shared" si="1"/>
        <v>6</v>
      </c>
      <c r="F9" s="92">
        <v>5</v>
      </c>
      <c r="G9" s="92">
        <f t="shared" si="2"/>
        <v>30</v>
      </c>
      <c r="K9" s="94"/>
      <c r="M9" s="94"/>
    </row>
    <row r="10" spans="1:13" x14ac:dyDescent="0.25">
      <c r="A10" s="25"/>
      <c r="B10" s="75"/>
      <c r="C10" s="75"/>
      <c r="D10" s="75"/>
      <c r="E10" s="75"/>
      <c r="F10" s="92"/>
      <c r="G10" s="92"/>
      <c r="K10" s="94"/>
      <c r="M10" s="94"/>
    </row>
    <row r="11" spans="1:13" x14ac:dyDescent="0.25">
      <c r="A11" s="25" t="s">
        <v>35</v>
      </c>
      <c r="B11" s="75">
        <v>800</v>
      </c>
      <c r="C11" s="75">
        <v>4</v>
      </c>
      <c r="D11" s="75">
        <f>$D$3</f>
        <v>2</v>
      </c>
      <c r="E11" s="75">
        <f t="shared" si="0"/>
        <v>8</v>
      </c>
      <c r="F11" s="92">
        <v>5</v>
      </c>
      <c r="G11" s="92">
        <f>F11*E11*4</f>
        <v>160</v>
      </c>
      <c r="K11" s="94"/>
    </row>
    <row r="12" spans="1:13" x14ac:dyDescent="0.25">
      <c r="A12" s="25" t="s">
        <v>35</v>
      </c>
      <c r="B12" s="75">
        <v>710</v>
      </c>
      <c r="C12" s="75">
        <v>4</v>
      </c>
      <c r="D12" s="75">
        <f>$D$3</f>
        <v>2</v>
      </c>
      <c r="E12" s="75">
        <f t="shared" si="0"/>
        <v>8</v>
      </c>
      <c r="F12" s="92">
        <f>F11</f>
        <v>5</v>
      </c>
      <c r="G12" s="92">
        <f t="shared" ref="G12:G13" si="3">F12*E12*4</f>
        <v>160</v>
      </c>
      <c r="K12" s="94"/>
    </row>
    <row r="13" spans="1:13" x14ac:dyDescent="0.25">
      <c r="A13" s="25" t="s">
        <v>35</v>
      </c>
      <c r="B13" s="75">
        <v>630</v>
      </c>
      <c r="C13" s="75">
        <v>4</v>
      </c>
      <c r="D13" s="75">
        <f>$D$3</f>
        <v>2</v>
      </c>
      <c r="E13" s="75">
        <f t="shared" si="0"/>
        <v>8</v>
      </c>
      <c r="F13" s="92">
        <f>F12</f>
        <v>5</v>
      </c>
      <c r="G13" s="92">
        <f t="shared" si="3"/>
        <v>160</v>
      </c>
      <c r="K13" s="94"/>
    </row>
    <row r="14" spans="1:13" x14ac:dyDescent="0.25">
      <c r="A14" s="28"/>
      <c r="B14" s="85"/>
      <c r="C14" s="85"/>
      <c r="D14" s="85"/>
      <c r="E14" s="85"/>
      <c r="F14" s="93"/>
      <c r="G14" s="92">
        <f>SUM(G3:G13)</f>
        <v>6460</v>
      </c>
      <c r="K14" s="94"/>
    </row>
    <row r="15" spans="1:13" x14ac:dyDescent="0.25">
      <c r="K15" s="94"/>
    </row>
    <row r="16" spans="1:13" x14ac:dyDescent="0.25">
      <c r="A16" s="107" t="s">
        <v>169</v>
      </c>
      <c r="B16" s="107"/>
      <c r="C16" s="107"/>
      <c r="D16" s="107"/>
      <c r="E16" s="107"/>
      <c r="F16" s="107"/>
      <c r="G16" s="107"/>
      <c r="K16" s="94"/>
    </row>
    <row r="17" spans="1:11" x14ac:dyDescent="0.25">
      <c r="A17" s="25" t="s">
        <v>159</v>
      </c>
      <c r="B17" s="75" t="s">
        <v>19</v>
      </c>
      <c r="C17" s="75" t="s">
        <v>33</v>
      </c>
      <c r="D17" s="75" t="s">
        <v>160</v>
      </c>
      <c r="E17" s="75" t="s">
        <v>161</v>
      </c>
      <c r="F17" s="75" t="s">
        <v>163</v>
      </c>
      <c r="G17" s="75" t="s">
        <v>151</v>
      </c>
      <c r="K17" s="94"/>
    </row>
    <row r="18" spans="1:11" x14ac:dyDescent="0.25">
      <c r="A18" s="25" t="s">
        <v>162</v>
      </c>
      <c r="B18" s="75">
        <v>710</v>
      </c>
      <c r="C18" s="75">
        <v>6</v>
      </c>
      <c r="D18" s="95">
        <v>2</v>
      </c>
      <c r="E18" s="75">
        <f>D18*C18</f>
        <v>12</v>
      </c>
      <c r="F18" s="92">
        <v>2950</v>
      </c>
      <c r="G18" s="92">
        <f>F18*D18</f>
        <v>5900</v>
      </c>
    </row>
    <row r="19" spans="1:11" x14ac:dyDescent="0.25">
      <c r="A19" s="25" t="s">
        <v>162</v>
      </c>
      <c r="B19" s="75">
        <v>560</v>
      </c>
      <c r="C19" s="75">
        <v>6</v>
      </c>
      <c r="D19" s="75">
        <f>$D$18</f>
        <v>2</v>
      </c>
      <c r="E19" s="75">
        <f t="shared" ref="E19" si="4">D19*C19</f>
        <v>12</v>
      </c>
      <c r="F19" s="92"/>
      <c r="G19" s="92"/>
    </row>
    <row r="20" spans="1:11" x14ac:dyDescent="0.25">
      <c r="A20" s="25"/>
      <c r="B20" s="75"/>
      <c r="C20" s="75"/>
      <c r="D20" s="75"/>
      <c r="E20" s="75"/>
      <c r="F20" s="92"/>
      <c r="G20" s="92"/>
    </row>
    <row r="21" spans="1:11" x14ac:dyDescent="0.25">
      <c r="A21" s="25" t="s">
        <v>34</v>
      </c>
      <c r="B21" s="75">
        <v>800</v>
      </c>
      <c r="C21" s="75">
        <v>2</v>
      </c>
      <c r="D21" s="75">
        <f>$D$18</f>
        <v>2</v>
      </c>
      <c r="E21" s="75">
        <f t="shared" ref="E21:E24" si="5">D21*C21</f>
        <v>4</v>
      </c>
      <c r="F21" s="92">
        <v>5</v>
      </c>
      <c r="G21" s="92">
        <f>F21*E21*1</f>
        <v>20</v>
      </c>
    </row>
    <row r="22" spans="1:11" x14ac:dyDescent="0.25">
      <c r="A22" s="25" t="s">
        <v>34</v>
      </c>
      <c r="B22" s="75">
        <v>710</v>
      </c>
      <c r="C22" s="75">
        <v>1</v>
      </c>
      <c r="D22" s="75">
        <f>$D$18</f>
        <v>2</v>
      </c>
      <c r="E22" s="75">
        <f t="shared" si="5"/>
        <v>2</v>
      </c>
      <c r="F22" s="92">
        <v>5</v>
      </c>
      <c r="G22" s="92">
        <f>F22*E22*1</f>
        <v>10</v>
      </c>
    </row>
    <row r="23" spans="1:11" x14ac:dyDescent="0.25">
      <c r="A23" s="25" t="s">
        <v>34</v>
      </c>
      <c r="B23" s="75">
        <v>630</v>
      </c>
      <c r="C23" s="75">
        <v>1</v>
      </c>
      <c r="D23" s="75">
        <f>$D$18</f>
        <v>2</v>
      </c>
      <c r="E23" s="75">
        <f t="shared" si="5"/>
        <v>2</v>
      </c>
      <c r="F23" s="92">
        <v>5</v>
      </c>
      <c r="G23" s="92">
        <f>F23*E23*1</f>
        <v>10</v>
      </c>
    </row>
    <row r="24" spans="1:11" x14ac:dyDescent="0.25">
      <c r="A24" s="25" t="s">
        <v>34</v>
      </c>
      <c r="B24" s="75">
        <v>500</v>
      </c>
      <c r="C24" s="75">
        <v>6</v>
      </c>
      <c r="D24" s="75">
        <f>$D$18</f>
        <v>2</v>
      </c>
      <c r="E24" s="75">
        <f t="shared" si="5"/>
        <v>12</v>
      </c>
      <c r="F24" s="92">
        <v>5</v>
      </c>
      <c r="G24" s="92">
        <f>F24*E24*1</f>
        <v>60</v>
      </c>
    </row>
    <row r="25" spans="1:11" x14ac:dyDescent="0.25">
      <c r="A25" s="25"/>
      <c r="B25" s="75"/>
      <c r="C25" s="75"/>
      <c r="D25" s="75"/>
      <c r="E25" s="75"/>
      <c r="F25" s="92"/>
      <c r="G25" s="92"/>
    </row>
    <row r="26" spans="1:11" x14ac:dyDescent="0.25">
      <c r="A26" s="25" t="s">
        <v>35</v>
      </c>
      <c r="B26" s="75">
        <v>710</v>
      </c>
      <c r="C26" s="75">
        <v>3</v>
      </c>
      <c r="D26" s="75">
        <f>$D$18</f>
        <v>2</v>
      </c>
      <c r="E26" s="75">
        <f>D26*C26</f>
        <v>6</v>
      </c>
      <c r="F26" s="92">
        <v>5</v>
      </c>
      <c r="G26" s="92">
        <f>F26*E26*4</f>
        <v>120</v>
      </c>
    </row>
    <row r="27" spans="1:11" x14ac:dyDescent="0.25">
      <c r="A27" s="25" t="s">
        <v>35</v>
      </c>
      <c r="B27" s="75">
        <v>630</v>
      </c>
      <c r="C27" s="75">
        <v>4</v>
      </c>
      <c r="D27" s="75">
        <f>$D$18</f>
        <v>2</v>
      </c>
      <c r="E27" s="75">
        <f t="shared" ref="E27" si="6">D27*C27</f>
        <v>8</v>
      </c>
      <c r="F27" s="92">
        <f>F26</f>
        <v>5</v>
      </c>
      <c r="G27" s="92">
        <f t="shared" ref="G27" si="7">F27*E27*4</f>
        <v>160</v>
      </c>
    </row>
    <row r="28" spans="1:11" x14ac:dyDescent="0.25">
      <c r="A28" s="28"/>
      <c r="B28" s="85"/>
      <c r="C28" s="85"/>
      <c r="D28" s="85"/>
      <c r="E28" s="85"/>
      <c r="F28" s="93"/>
      <c r="G28" s="92">
        <f>SUM(G18:G27)</f>
        <v>6280</v>
      </c>
    </row>
    <row r="30" spans="1:11" x14ac:dyDescent="0.25">
      <c r="A30" s="146" t="s">
        <v>165</v>
      </c>
      <c r="B30" s="147"/>
      <c r="C30" s="147"/>
      <c r="D30" s="147"/>
      <c r="E30" s="147"/>
      <c r="F30" s="148"/>
      <c r="G30" s="92">
        <f>G14+G28</f>
        <v>12740</v>
      </c>
    </row>
    <row r="32" spans="1:11" x14ac:dyDescent="0.25">
      <c r="A32" s="146" t="s">
        <v>166</v>
      </c>
      <c r="B32" s="147"/>
      <c r="C32" s="147"/>
      <c r="D32" s="147"/>
      <c r="E32" s="147"/>
      <c r="F32" s="148"/>
      <c r="G32" s="92">
        <f>G30*1.15</f>
        <v>14650.999999999998</v>
      </c>
    </row>
  </sheetData>
  <mergeCells count="4">
    <mergeCell ref="A1:G1"/>
    <mergeCell ref="A16:G16"/>
    <mergeCell ref="A30:F30"/>
    <mergeCell ref="A32:F3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58C7-3A7C-4A67-BAA4-232CF9A50D5B}">
  <dimension ref="A1:H47"/>
  <sheetViews>
    <sheetView topLeftCell="A22" zoomScale="80" zoomScaleNormal="80" workbookViewId="0">
      <selection activeCell="Q20" sqref="Q20"/>
    </sheetView>
  </sheetViews>
  <sheetFormatPr defaultRowHeight="13.2" x14ac:dyDescent="0.25"/>
  <cols>
    <col min="1" max="1" width="8.21875" bestFit="1" customWidth="1"/>
    <col min="2" max="2" width="4.5546875" style="17" bestFit="1" customWidth="1"/>
    <col min="3" max="3" width="10" style="17" bestFit="1" customWidth="1"/>
    <col min="4" max="4" width="3.88671875" style="17" bestFit="1" customWidth="1"/>
    <col min="5" max="5" width="8.21875" style="17" bestFit="1" customWidth="1"/>
    <col min="6" max="6" width="9.6640625" style="17" bestFit="1" customWidth="1"/>
    <col min="7" max="7" width="10.6640625" style="17" bestFit="1" customWidth="1"/>
    <col min="8" max="8" width="11.6640625" style="17" bestFit="1" customWidth="1"/>
    <col min="11" max="11" width="8.21875" bestFit="1" customWidth="1"/>
    <col min="12" max="12" width="4.5546875" bestFit="1" customWidth="1"/>
    <col min="13" max="14" width="5.44140625" bestFit="1" customWidth="1"/>
    <col min="15" max="15" width="10.44140625" bestFit="1" customWidth="1"/>
  </cols>
  <sheetData>
    <row r="1" spans="1:8" x14ac:dyDescent="0.25">
      <c r="A1" s="107" t="s">
        <v>170</v>
      </c>
      <c r="B1" s="107"/>
      <c r="C1" s="107"/>
      <c r="D1" s="107"/>
      <c r="E1" s="107"/>
      <c r="F1" s="107"/>
      <c r="G1" s="107"/>
      <c r="H1" s="107"/>
    </row>
    <row r="2" spans="1:8" x14ac:dyDescent="0.25">
      <c r="A2" s="25" t="s">
        <v>159</v>
      </c>
      <c r="B2" s="75" t="s">
        <v>19</v>
      </c>
      <c r="C2" s="75"/>
      <c r="D2" s="75" t="s">
        <v>33</v>
      </c>
      <c r="E2" s="75" t="s">
        <v>160</v>
      </c>
      <c r="F2" s="75" t="s">
        <v>161</v>
      </c>
      <c r="G2" s="75" t="s">
        <v>163</v>
      </c>
      <c r="H2" s="75" t="s">
        <v>151</v>
      </c>
    </row>
    <row r="3" spans="1:8" x14ac:dyDescent="0.25">
      <c r="A3" s="25" t="s">
        <v>162</v>
      </c>
      <c r="B3" s="75">
        <v>800</v>
      </c>
      <c r="C3" s="75" t="str">
        <f>B3&amp;" "&amp;A3</f>
        <v>800 Flange</v>
      </c>
      <c r="D3" s="75">
        <v>4</v>
      </c>
      <c r="E3" s="95">
        <v>1</v>
      </c>
      <c r="F3" s="75">
        <f>E3*D3</f>
        <v>4</v>
      </c>
      <c r="G3" s="92">
        <v>2950</v>
      </c>
      <c r="H3" s="92">
        <f>G3*E3</f>
        <v>2950</v>
      </c>
    </row>
    <row r="4" spans="1:8" x14ac:dyDescent="0.25">
      <c r="A4" s="25" t="s">
        <v>162</v>
      </c>
      <c r="B4" s="75">
        <v>630</v>
      </c>
      <c r="C4" s="75" t="str">
        <f t="shared" ref="C4:C5" si="0">B4&amp;" "&amp;A4</f>
        <v>630 Flange</v>
      </c>
      <c r="D4" s="75">
        <v>4</v>
      </c>
      <c r="E4" s="75">
        <f>$E$3</f>
        <v>1</v>
      </c>
      <c r="F4" s="75">
        <f t="shared" ref="F4:F13" si="1">E4*D4</f>
        <v>4</v>
      </c>
      <c r="G4" s="92"/>
      <c r="H4" s="92"/>
    </row>
    <row r="5" spans="1:8" x14ac:dyDescent="0.25">
      <c r="A5" s="25" t="s">
        <v>162</v>
      </c>
      <c r="B5" s="75">
        <v>549</v>
      </c>
      <c r="C5" s="75" t="str">
        <f t="shared" si="0"/>
        <v>549 Flange</v>
      </c>
      <c r="D5" s="75">
        <v>4</v>
      </c>
      <c r="E5" s="75">
        <f>$E$3</f>
        <v>1</v>
      </c>
      <c r="F5" s="75">
        <f t="shared" si="1"/>
        <v>4</v>
      </c>
      <c r="G5" s="92"/>
      <c r="H5" s="92"/>
    </row>
    <row r="6" spans="1:8" x14ac:dyDescent="0.25">
      <c r="A6" s="25"/>
      <c r="B6" s="75"/>
      <c r="C6" s="75"/>
      <c r="D6" s="75"/>
      <c r="E6" s="75"/>
      <c r="F6" s="75"/>
      <c r="G6" s="92"/>
      <c r="H6" s="92"/>
    </row>
    <row r="7" spans="1:8" x14ac:dyDescent="0.25">
      <c r="A7" s="25" t="s">
        <v>34</v>
      </c>
      <c r="B7" s="75">
        <v>800</v>
      </c>
      <c r="C7" s="75"/>
      <c r="D7" s="75">
        <v>2</v>
      </c>
      <c r="E7" s="75">
        <f>$E$3</f>
        <v>1</v>
      </c>
      <c r="F7" s="75">
        <f t="shared" ref="F7:F9" si="2">E7*D7</f>
        <v>2</v>
      </c>
      <c r="G7" s="92">
        <v>5</v>
      </c>
      <c r="H7" s="92">
        <f>G7*F7*1</f>
        <v>10</v>
      </c>
    </row>
    <row r="8" spans="1:8" x14ac:dyDescent="0.25">
      <c r="A8" s="25" t="s">
        <v>34</v>
      </c>
      <c r="B8" s="75">
        <v>710</v>
      </c>
      <c r="C8" s="75"/>
      <c r="D8" s="75">
        <v>3</v>
      </c>
      <c r="E8" s="75">
        <f>$E$3</f>
        <v>1</v>
      </c>
      <c r="F8" s="75">
        <f t="shared" si="2"/>
        <v>3</v>
      </c>
      <c r="G8" s="92">
        <v>5</v>
      </c>
      <c r="H8" s="92">
        <f t="shared" ref="H8:H9" si="3">G8*F8*1</f>
        <v>15</v>
      </c>
    </row>
    <row r="9" spans="1:8" x14ac:dyDescent="0.25">
      <c r="A9" s="25" t="s">
        <v>34</v>
      </c>
      <c r="B9" s="75">
        <v>630</v>
      </c>
      <c r="C9" s="75"/>
      <c r="D9" s="75">
        <v>3</v>
      </c>
      <c r="E9" s="75">
        <f>$E$3</f>
        <v>1</v>
      </c>
      <c r="F9" s="75">
        <f t="shared" si="2"/>
        <v>3</v>
      </c>
      <c r="G9" s="92">
        <v>5</v>
      </c>
      <c r="H9" s="92">
        <f t="shared" si="3"/>
        <v>15</v>
      </c>
    </row>
    <row r="10" spans="1:8" x14ac:dyDescent="0.25">
      <c r="A10" s="25"/>
      <c r="B10" s="75"/>
      <c r="C10" s="75"/>
      <c r="D10" s="75"/>
      <c r="E10" s="75"/>
      <c r="F10" s="75"/>
      <c r="G10" s="92"/>
      <c r="H10" s="92"/>
    </row>
    <row r="11" spans="1:8" x14ac:dyDescent="0.25">
      <c r="A11" s="25" t="s">
        <v>35</v>
      </c>
      <c r="B11" s="75">
        <v>800</v>
      </c>
      <c r="C11" s="75"/>
      <c r="D11" s="75">
        <v>4</v>
      </c>
      <c r="E11" s="75">
        <f>$E$3</f>
        <v>1</v>
      </c>
      <c r="F11" s="75">
        <f t="shared" si="1"/>
        <v>4</v>
      </c>
      <c r="G11" s="92">
        <v>5</v>
      </c>
      <c r="H11" s="92">
        <f>G11*F11*4</f>
        <v>80</v>
      </c>
    </row>
    <row r="12" spans="1:8" x14ac:dyDescent="0.25">
      <c r="A12" s="25" t="s">
        <v>35</v>
      </c>
      <c r="B12" s="75">
        <v>710</v>
      </c>
      <c r="C12" s="75"/>
      <c r="D12" s="75">
        <v>4</v>
      </c>
      <c r="E12" s="75">
        <f>$E$3</f>
        <v>1</v>
      </c>
      <c r="F12" s="75">
        <f t="shared" si="1"/>
        <v>4</v>
      </c>
      <c r="G12" s="92">
        <f>G11</f>
        <v>5</v>
      </c>
      <c r="H12" s="92">
        <f t="shared" ref="H12:H13" si="4">G12*F12*4</f>
        <v>80</v>
      </c>
    </row>
    <row r="13" spans="1:8" x14ac:dyDescent="0.25">
      <c r="A13" s="25" t="s">
        <v>35</v>
      </c>
      <c r="B13" s="75">
        <v>630</v>
      </c>
      <c r="C13" s="75"/>
      <c r="D13" s="75">
        <v>4</v>
      </c>
      <c r="E13" s="75">
        <f>$E$3</f>
        <v>1</v>
      </c>
      <c r="F13" s="75">
        <f t="shared" si="1"/>
        <v>4</v>
      </c>
      <c r="G13" s="92">
        <f>G12</f>
        <v>5</v>
      </c>
      <c r="H13" s="92">
        <f t="shared" si="4"/>
        <v>80</v>
      </c>
    </row>
    <row r="14" spans="1:8" x14ac:dyDescent="0.25">
      <c r="A14" s="28"/>
      <c r="B14" s="85"/>
      <c r="C14" s="85"/>
      <c r="D14" s="85"/>
      <c r="E14" s="85"/>
      <c r="F14" s="85"/>
      <c r="G14" s="93"/>
      <c r="H14" s="92">
        <f>SUM(H3:H13)</f>
        <v>3230</v>
      </c>
    </row>
    <row r="16" spans="1:8" x14ac:dyDescent="0.25">
      <c r="A16" s="107" t="s">
        <v>169</v>
      </c>
      <c r="B16" s="107"/>
      <c r="C16" s="107"/>
      <c r="D16" s="107"/>
      <c r="E16" s="107"/>
      <c r="F16" s="107"/>
      <c r="G16" s="107"/>
      <c r="H16" s="107"/>
    </row>
    <row r="17" spans="1:8" x14ac:dyDescent="0.25">
      <c r="A17" s="25" t="s">
        <v>159</v>
      </c>
      <c r="B17" s="75" t="s">
        <v>19</v>
      </c>
      <c r="C17" s="75"/>
      <c r="D17" s="75" t="s">
        <v>33</v>
      </c>
      <c r="E17" s="75" t="s">
        <v>160</v>
      </c>
      <c r="F17" s="75" t="s">
        <v>161</v>
      </c>
      <c r="G17" s="75" t="s">
        <v>163</v>
      </c>
      <c r="H17" s="75" t="s">
        <v>151</v>
      </c>
    </row>
    <row r="18" spans="1:8" x14ac:dyDescent="0.25">
      <c r="A18" s="25" t="s">
        <v>162</v>
      </c>
      <c r="B18" s="75">
        <v>710</v>
      </c>
      <c r="C18" s="75"/>
      <c r="D18" s="75">
        <v>6</v>
      </c>
      <c r="E18" s="95">
        <v>1</v>
      </c>
      <c r="F18" s="75">
        <f>E18*D18</f>
        <v>6</v>
      </c>
      <c r="G18" s="92">
        <v>2950</v>
      </c>
      <c r="H18" s="92">
        <f>G18*E18</f>
        <v>2950</v>
      </c>
    </row>
    <row r="19" spans="1:8" x14ac:dyDescent="0.25">
      <c r="A19" s="25" t="s">
        <v>162</v>
      </c>
      <c r="B19" s="75">
        <v>560</v>
      </c>
      <c r="C19" s="75"/>
      <c r="D19" s="75">
        <v>6</v>
      </c>
      <c r="E19" s="75">
        <f>$E$18</f>
        <v>1</v>
      </c>
      <c r="F19" s="75">
        <f t="shared" ref="F19" si="5">E19*D19</f>
        <v>6</v>
      </c>
      <c r="G19" s="92"/>
      <c r="H19" s="92"/>
    </row>
    <row r="20" spans="1:8" x14ac:dyDescent="0.25">
      <c r="A20" s="25"/>
      <c r="B20" s="75"/>
      <c r="C20" s="75"/>
      <c r="D20" s="75"/>
      <c r="E20" s="75"/>
      <c r="F20" s="75"/>
      <c r="G20" s="92"/>
      <c r="H20" s="92"/>
    </row>
    <row r="21" spans="1:8" x14ac:dyDescent="0.25">
      <c r="A21" s="25" t="s">
        <v>34</v>
      </c>
      <c r="B21" s="75">
        <v>800</v>
      </c>
      <c r="C21" s="75"/>
      <c r="D21" s="75">
        <v>2</v>
      </c>
      <c r="E21" s="75">
        <f>$E$18</f>
        <v>1</v>
      </c>
      <c r="F21" s="75">
        <f t="shared" ref="F21:F24" si="6">E21*D21</f>
        <v>2</v>
      </c>
      <c r="G21" s="92">
        <v>5</v>
      </c>
      <c r="H21" s="92">
        <f>G21*F21*1</f>
        <v>10</v>
      </c>
    </row>
    <row r="22" spans="1:8" x14ac:dyDescent="0.25">
      <c r="A22" s="25" t="s">
        <v>34</v>
      </c>
      <c r="B22" s="75">
        <v>710</v>
      </c>
      <c r="C22" s="75"/>
      <c r="D22" s="75">
        <v>1</v>
      </c>
      <c r="E22" s="75">
        <f>$E$18</f>
        <v>1</v>
      </c>
      <c r="F22" s="75">
        <f t="shared" si="6"/>
        <v>1</v>
      </c>
      <c r="G22" s="92">
        <v>5</v>
      </c>
      <c r="H22" s="92">
        <f>G22*F22*1</f>
        <v>5</v>
      </c>
    </row>
    <row r="23" spans="1:8" x14ac:dyDescent="0.25">
      <c r="A23" s="25" t="s">
        <v>34</v>
      </c>
      <c r="B23" s="75">
        <v>630</v>
      </c>
      <c r="C23" s="75"/>
      <c r="D23" s="75">
        <v>1</v>
      </c>
      <c r="E23" s="75">
        <f>$E$18</f>
        <v>1</v>
      </c>
      <c r="F23" s="75">
        <f t="shared" si="6"/>
        <v>1</v>
      </c>
      <c r="G23" s="92">
        <v>5</v>
      </c>
      <c r="H23" s="92">
        <f>G23*F23*1</f>
        <v>5</v>
      </c>
    </row>
    <row r="24" spans="1:8" x14ac:dyDescent="0.25">
      <c r="A24" s="25" t="s">
        <v>34</v>
      </c>
      <c r="B24" s="75">
        <v>500</v>
      </c>
      <c r="C24" s="75"/>
      <c r="D24" s="75">
        <v>6</v>
      </c>
      <c r="E24" s="75">
        <f>$E$18</f>
        <v>1</v>
      </c>
      <c r="F24" s="75">
        <f t="shared" si="6"/>
        <v>6</v>
      </c>
      <c r="G24" s="92">
        <v>5</v>
      </c>
      <c r="H24" s="92">
        <f>G24*F24*1</f>
        <v>30</v>
      </c>
    </row>
    <row r="25" spans="1:8" x14ac:dyDescent="0.25">
      <c r="A25" s="25"/>
      <c r="B25" s="75"/>
      <c r="C25" s="75"/>
      <c r="D25" s="75"/>
      <c r="E25" s="75"/>
      <c r="F25" s="75"/>
      <c r="G25" s="92"/>
      <c r="H25" s="92"/>
    </row>
    <row r="26" spans="1:8" x14ac:dyDescent="0.25">
      <c r="A26" s="25" t="s">
        <v>35</v>
      </c>
      <c r="B26" s="75">
        <v>710</v>
      </c>
      <c r="C26" s="75"/>
      <c r="D26" s="75">
        <v>3</v>
      </c>
      <c r="E26" s="75">
        <f>$E$18</f>
        <v>1</v>
      </c>
      <c r="F26" s="75">
        <f>E26*D26</f>
        <v>3</v>
      </c>
      <c r="G26" s="92">
        <v>5</v>
      </c>
      <c r="H26" s="92">
        <f>G26*F26*4</f>
        <v>60</v>
      </c>
    </row>
    <row r="27" spans="1:8" x14ac:dyDescent="0.25">
      <c r="A27" s="25" t="s">
        <v>35</v>
      </c>
      <c r="B27" s="75">
        <v>630</v>
      </c>
      <c r="C27" s="75"/>
      <c r="D27" s="75">
        <v>4</v>
      </c>
      <c r="E27" s="75">
        <f>$E$18</f>
        <v>1</v>
      </c>
      <c r="F27" s="75">
        <f t="shared" ref="F27" si="7">E27*D27</f>
        <v>4</v>
      </c>
      <c r="G27" s="92">
        <f>G26</f>
        <v>5</v>
      </c>
      <c r="H27" s="92">
        <f t="shared" ref="H27" si="8">G27*F27*4</f>
        <v>80</v>
      </c>
    </row>
    <row r="28" spans="1:8" x14ac:dyDescent="0.25">
      <c r="A28" s="28"/>
      <c r="B28" s="85"/>
      <c r="C28" s="85"/>
      <c r="D28" s="85"/>
      <c r="E28" s="85"/>
      <c r="F28" s="85"/>
      <c r="G28" s="93"/>
      <c r="H28" s="92">
        <f>SUM(H18:H27)</f>
        <v>3140</v>
      </c>
    </row>
    <row r="30" spans="1:8" x14ac:dyDescent="0.25">
      <c r="A30" s="107" t="s">
        <v>168</v>
      </c>
      <c r="B30" s="107"/>
      <c r="C30" s="107"/>
      <c r="D30" s="107"/>
      <c r="E30" s="107"/>
      <c r="F30" s="107"/>
      <c r="G30" s="107"/>
      <c r="H30" s="107"/>
    </row>
    <row r="31" spans="1:8" x14ac:dyDescent="0.25">
      <c r="A31" s="25" t="s">
        <v>159</v>
      </c>
      <c r="B31" s="75" t="s">
        <v>19</v>
      </c>
      <c r="C31" s="75"/>
      <c r="D31" s="75" t="s">
        <v>33</v>
      </c>
      <c r="E31" s="75" t="s">
        <v>160</v>
      </c>
      <c r="F31" s="75" t="s">
        <v>161</v>
      </c>
      <c r="G31" s="75" t="s">
        <v>163</v>
      </c>
      <c r="H31" s="75" t="s">
        <v>151</v>
      </c>
    </row>
    <row r="32" spans="1:8" x14ac:dyDescent="0.25">
      <c r="A32" s="25" t="s">
        <v>162</v>
      </c>
      <c r="B32" s="75">
        <v>800</v>
      </c>
      <c r="C32" s="75"/>
      <c r="D32" s="75">
        <v>4</v>
      </c>
      <c r="E32" s="95">
        <v>4</v>
      </c>
      <c r="F32" s="75">
        <f>E32*D32</f>
        <v>16</v>
      </c>
      <c r="G32" s="92">
        <v>2950</v>
      </c>
      <c r="H32" s="92">
        <f>G32*E32</f>
        <v>11800</v>
      </c>
    </row>
    <row r="33" spans="1:8" x14ac:dyDescent="0.25">
      <c r="A33" s="25" t="s">
        <v>162</v>
      </c>
      <c r="B33" s="75">
        <v>630</v>
      </c>
      <c r="C33" s="75"/>
      <c r="D33" s="75">
        <v>4</v>
      </c>
      <c r="E33" s="75">
        <f>E32</f>
        <v>4</v>
      </c>
      <c r="F33" s="75">
        <f t="shared" ref="F33:F42" si="9">E33*D33</f>
        <v>16</v>
      </c>
      <c r="G33" s="92"/>
      <c r="H33" s="92"/>
    </row>
    <row r="34" spans="1:8" x14ac:dyDescent="0.25">
      <c r="A34" s="25" t="s">
        <v>162</v>
      </c>
      <c r="B34" s="75">
        <v>500</v>
      </c>
      <c r="C34" s="75"/>
      <c r="D34" s="75">
        <v>4</v>
      </c>
      <c r="E34" s="75">
        <f>E33</f>
        <v>4</v>
      </c>
      <c r="F34" s="75">
        <f t="shared" si="9"/>
        <v>16</v>
      </c>
      <c r="G34" s="92"/>
      <c r="H34" s="92"/>
    </row>
    <row r="35" spans="1:8" x14ac:dyDescent="0.25">
      <c r="A35" s="25"/>
      <c r="B35" s="75"/>
      <c r="C35" s="75"/>
      <c r="D35" s="75"/>
      <c r="E35" s="75"/>
      <c r="F35" s="75"/>
      <c r="G35" s="92"/>
      <c r="H35" s="92"/>
    </row>
    <row r="36" spans="1:8" x14ac:dyDescent="0.25">
      <c r="A36" s="25" t="s">
        <v>34</v>
      </c>
      <c r="B36" s="75">
        <v>800</v>
      </c>
      <c r="C36" s="75"/>
      <c r="D36" s="75">
        <v>2</v>
      </c>
      <c r="E36" s="75">
        <f>E34</f>
        <v>4</v>
      </c>
      <c r="F36" s="75">
        <f t="shared" ref="F36:F38" si="10">E36*D36</f>
        <v>8</v>
      </c>
      <c r="G36" s="92">
        <v>5</v>
      </c>
      <c r="H36" s="92">
        <f>G36*F36*1</f>
        <v>40</v>
      </c>
    </row>
    <row r="37" spans="1:8" x14ac:dyDescent="0.25">
      <c r="A37" s="25" t="s">
        <v>34</v>
      </c>
      <c r="B37" s="75">
        <v>710</v>
      </c>
      <c r="C37" s="75"/>
      <c r="D37" s="75">
        <v>3</v>
      </c>
      <c r="E37" s="75">
        <f>E36</f>
        <v>4</v>
      </c>
      <c r="F37" s="75">
        <f t="shared" si="10"/>
        <v>12</v>
      </c>
      <c r="G37" s="92">
        <v>5</v>
      </c>
      <c r="H37" s="92">
        <f t="shared" ref="H37:H38" si="11">G37*F37*1</f>
        <v>60</v>
      </c>
    </row>
    <row r="38" spans="1:8" x14ac:dyDescent="0.25">
      <c r="A38" s="25" t="s">
        <v>34</v>
      </c>
      <c r="B38" s="75">
        <v>630</v>
      </c>
      <c r="C38" s="75"/>
      <c r="D38" s="75">
        <v>3</v>
      </c>
      <c r="E38" s="75">
        <f>E37</f>
        <v>4</v>
      </c>
      <c r="F38" s="75">
        <f t="shared" si="10"/>
        <v>12</v>
      </c>
      <c r="G38" s="92">
        <v>5</v>
      </c>
      <c r="H38" s="92">
        <f t="shared" si="11"/>
        <v>60</v>
      </c>
    </row>
    <row r="39" spans="1:8" x14ac:dyDescent="0.25">
      <c r="A39" s="25"/>
      <c r="B39" s="75"/>
      <c r="C39" s="75"/>
      <c r="D39" s="75"/>
      <c r="E39" s="75"/>
      <c r="F39" s="75"/>
      <c r="G39" s="92"/>
      <c r="H39" s="92"/>
    </row>
    <row r="40" spans="1:8" x14ac:dyDescent="0.25">
      <c r="A40" s="25" t="s">
        <v>35</v>
      </c>
      <c r="B40" s="75">
        <v>800</v>
      </c>
      <c r="C40" s="75"/>
      <c r="D40" s="75">
        <v>4</v>
      </c>
      <c r="E40" s="75">
        <f>E38</f>
        <v>4</v>
      </c>
      <c r="F40" s="75">
        <f t="shared" si="9"/>
        <v>16</v>
      </c>
      <c r="G40" s="92">
        <v>5</v>
      </c>
      <c r="H40" s="92">
        <f>G40*F40*4</f>
        <v>320</v>
      </c>
    </row>
    <row r="41" spans="1:8" x14ac:dyDescent="0.25">
      <c r="A41" s="25" t="s">
        <v>35</v>
      </c>
      <c r="B41" s="75">
        <v>710</v>
      </c>
      <c r="C41" s="75"/>
      <c r="D41" s="75">
        <v>4</v>
      </c>
      <c r="E41" s="75">
        <f>E40</f>
        <v>4</v>
      </c>
      <c r="F41" s="75">
        <f t="shared" si="9"/>
        <v>16</v>
      </c>
      <c r="G41" s="92">
        <f>G40</f>
        <v>5</v>
      </c>
      <c r="H41" s="92">
        <f t="shared" ref="H41:H42" si="12">G41*F41*4</f>
        <v>320</v>
      </c>
    </row>
    <row r="42" spans="1:8" x14ac:dyDescent="0.25">
      <c r="A42" s="25" t="s">
        <v>35</v>
      </c>
      <c r="B42" s="75">
        <v>630</v>
      </c>
      <c r="C42" s="75"/>
      <c r="D42" s="75">
        <v>4</v>
      </c>
      <c r="E42" s="75">
        <f>E41</f>
        <v>4</v>
      </c>
      <c r="F42" s="75">
        <f t="shared" si="9"/>
        <v>16</v>
      </c>
      <c r="G42" s="92">
        <f>G41</f>
        <v>5</v>
      </c>
      <c r="H42" s="92">
        <f t="shared" si="12"/>
        <v>320</v>
      </c>
    </row>
    <row r="43" spans="1:8" x14ac:dyDescent="0.25">
      <c r="A43" s="28"/>
      <c r="B43" s="85"/>
      <c r="C43" s="85"/>
      <c r="D43" s="85"/>
      <c r="E43" s="85"/>
      <c r="F43" s="85"/>
      <c r="G43" s="93"/>
      <c r="H43" s="92">
        <f>SUM(H32:H42)</f>
        <v>12920</v>
      </c>
    </row>
    <row r="45" spans="1:8" x14ac:dyDescent="0.25">
      <c r="A45" s="146" t="s">
        <v>165</v>
      </c>
      <c r="B45" s="147"/>
      <c r="C45" s="147"/>
      <c r="D45" s="147"/>
      <c r="E45" s="147"/>
      <c r="F45" s="147"/>
      <c r="G45" s="148"/>
      <c r="H45" s="92">
        <f>H43+H28+H14</f>
        <v>19290</v>
      </c>
    </row>
    <row r="47" spans="1:8" x14ac:dyDescent="0.25">
      <c r="A47" s="146" t="s">
        <v>166</v>
      </c>
      <c r="B47" s="147"/>
      <c r="C47" s="147"/>
      <c r="D47" s="147"/>
      <c r="E47" s="147"/>
      <c r="F47" s="147"/>
      <c r="G47" s="148"/>
      <c r="H47" s="92">
        <f>H45*1.15</f>
        <v>22183.5</v>
      </c>
    </row>
  </sheetData>
  <mergeCells count="5">
    <mergeCell ref="A1:H1"/>
    <mergeCell ref="A16:H16"/>
    <mergeCell ref="A45:G45"/>
    <mergeCell ref="A47:G47"/>
    <mergeCell ref="A30:H3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9B30-DD3F-40B3-BD14-B8F64C4E207B}">
  <dimension ref="A1:H20"/>
  <sheetViews>
    <sheetView zoomScale="80" zoomScaleNormal="80" workbookViewId="0">
      <selection activeCell="H27" sqref="H27"/>
    </sheetView>
  </sheetViews>
  <sheetFormatPr defaultRowHeight="13.2" x14ac:dyDescent="0.25"/>
  <cols>
    <col min="2" max="2" width="8.88671875" style="17"/>
    <col min="3" max="3" width="10" style="17" bestFit="1" customWidth="1"/>
    <col min="4" max="5" width="8.88671875" style="17"/>
    <col min="6" max="6" width="10.44140625" style="17" bestFit="1" customWidth="1"/>
    <col min="7" max="7" width="11.44140625" style="17" bestFit="1" customWidth="1"/>
    <col min="8" max="8" width="12.6640625" style="17" bestFit="1" customWidth="1"/>
    <col min="10" max="10" width="9" customWidth="1"/>
  </cols>
  <sheetData>
    <row r="1" spans="1:8" ht="15.6" x14ac:dyDescent="0.25">
      <c r="A1" s="149" t="s">
        <v>184</v>
      </c>
      <c r="B1" s="149"/>
    </row>
    <row r="3" spans="1:8" x14ac:dyDescent="0.25">
      <c r="A3" s="107" t="s">
        <v>168</v>
      </c>
      <c r="B3" s="107"/>
      <c r="C3" s="107"/>
      <c r="D3" s="107"/>
      <c r="E3" s="107"/>
      <c r="F3" s="107"/>
      <c r="G3" s="107"/>
      <c r="H3" s="107"/>
    </row>
    <row r="4" spans="1:8" x14ac:dyDescent="0.25">
      <c r="A4" s="25" t="s">
        <v>159</v>
      </c>
      <c r="B4" s="75" t="s">
        <v>19</v>
      </c>
      <c r="C4" s="75"/>
      <c r="D4" s="75" t="s">
        <v>33</v>
      </c>
      <c r="E4" s="75" t="s">
        <v>160</v>
      </c>
      <c r="F4" s="75" t="s">
        <v>161</v>
      </c>
      <c r="G4" s="75" t="s">
        <v>163</v>
      </c>
      <c r="H4" s="75" t="s">
        <v>151</v>
      </c>
    </row>
    <row r="5" spans="1:8" x14ac:dyDescent="0.25">
      <c r="A5" s="25" t="s">
        <v>162</v>
      </c>
      <c r="B5" s="75">
        <v>800</v>
      </c>
      <c r="C5" s="75"/>
      <c r="D5" s="75">
        <v>4</v>
      </c>
      <c r="E5" s="95">
        <v>1</v>
      </c>
      <c r="F5" s="75">
        <f>E5*D5</f>
        <v>4</v>
      </c>
      <c r="G5" s="92">
        <v>2950</v>
      </c>
      <c r="H5" s="92">
        <f>G5*E5</f>
        <v>2950</v>
      </c>
    </row>
    <row r="6" spans="1:8" x14ac:dyDescent="0.25">
      <c r="A6" s="25" t="s">
        <v>162</v>
      </c>
      <c r="B6" s="75">
        <v>630</v>
      </c>
      <c r="C6" s="75"/>
      <c r="D6" s="75">
        <v>4</v>
      </c>
      <c r="E6" s="75">
        <f>E5</f>
        <v>1</v>
      </c>
      <c r="F6" s="75">
        <f t="shared" ref="F6:F15" si="0">E6*D6</f>
        <v>4</v>
      </c>
      <c r="G6" s="92"/>
      <c r="H6" s="92"/>
    </row>
    <row r="7" spans="1:8" x14ac:dyDescent="0.25">
      <c r="A7" s="25" t="s">
        <v>162</v>
      </c>
      <c r="B7" s="75">
        <v>500</v>
      </c>
      <c r="C7" s="75"/>
      <c r="D7" s="75">
        <v>4</v>
      </c>
      <c r="E7" s="75">
        <f>E6</f>
        <v>1</v>
      </c>
      <c r="F7" s="75">
        <f t="shared" si="0"/>
        <v>4</v>
      </c>
      <c r="G7" s="92"/>
      <c r="H7" s="92"/>
    </row>
    <row r="8" spans="1:8" x14ac:dyDescent="0.25">
      <c r="A8" s="25"/>
      <c r="B8" s="75"/>
      <c r="C8" s="75"/>
      <c r="D8" s="75"/>
      <c r="E8" s="75"/>
      <c r="F8" s="75"/>
      <c r="G8" s="92"/>
      <c r="H8" s="92"/>
    </row>
    <row r="9" spans="1:8" x14ac:dyDescent="0.25">
      <c r="A9" s="25" t="s">
        <v>34</v>
      </c>
      <c r="B9" s="75">
        <v>800</v>
      </c>
      <c r="C9" s="75"/>
      <c r="D9" s="75">
        <v>2</v>
      </c>
      <c r="E9" s="75">
        <f>E7</f>
        <v>1</v>
      </c>
      <c r="F9" s="75">
        <f t="shared" ref="F9:F11" si="1">E9*D9</f>
        <v>2</v>
      </c>
      <c r="G9" s="92">
        <v>5</v>
      </c>
      <c r="H9" s="92">
        <f>G9*F9*1</f>
        <v>10</v>
      </c>
    </row>
    <row r="10" spans="1:8" x14ac:dyDescent="0.25">
      <c r="A10" s="25" t="s">
        <v>34</v>
      </c>
      <c r="B10" s="75">
        <v>710</v>
      </c>
      <c r="C10" s="75"/>
      <c r="D10" s="75">
        <v>3</v>
      </c>
      <c r="E10" s="75">
        <f>E9</f>
        <v>1</v>
      </c>
      <c r="F10" s="75">
        <f t="shared" si="1"/>
        <v>3</v>
      </c>
      <c r="G10" s="92">
        <v>5</v>
      </c>
      <c r="H10" s="92">
        <f t="shared" ref="H10:H11" si="2">G10*F10*1</f>
        <v>15</v>
      </c>
    </row>
    <row r="11" spans="1:8" x14ac:dyDescent="0.25">
      <c r="A11" s="25" t="s">
        <v>34</v>
      </c>
      <c r="B11" s="75">
        <v>630</v>
      </c>
      <c r="C11" s="75"/>
      <c r="D11" s="75">
        <v>3</v>
      </c>
      <c r="E11" s="75">
        <f>E10</f>
        <v>1</v>
      </c>
      <c r="F11" s="75">
        <f t="shared" si="1"/>
        <v>3</v>
      </c>
      <c r="G11" s="92">
        <v>5</v>
      </c>
      <c r="H11" s="92">
        <f t="shared" si="2"/>
        <v>15</v>
      </c>
    </row>
    <row r="12" spans="1:8" x14ac:dyDescent="0.25">
      <c r="A12" s="25"/>
      <c r="B12" s="75"/>
      <c r="C12" s="75"/>
      <c r="D12" s="75"/>
      <c r="E12" s="75"/>
      <c r="F12" s="75"/>
      <c r="G12" s="92"/>
      <c r="H12" s="92"/>
    </row>
    <row r="13" spans="1:8" x14ac:dyDescent="0.25">
      <c r="A13" s="25" t="s">
        <v>35</v>
      </c>
      <c r="B13" s="75">
        <v>800</v>
      </c>
      <c r="C13" s="75"/>
      <c r="D13" s="75">
        <v>4</v>
      </c>
      <c r="E13" s="75">
        <f>E11</f>
        <v>1</v>
      </c>
      <c r="F13" s="75">
        <f t="shared" si="0"/>
        <v>4</v>
      </c>
      <c r="G13" s="92">
        <v>5</v>
      </c>
      <c r="H13" s="92">
        <f>G13*F13*4</f>
        <v>80</v>
      </c>
    </row>
    <row r="14" spans="1:8" x14ac:dyDescent="0.25">
      <c r="A14" s="25" t="s">
        <v>35</v>
      </c>
      <c r="B14" s="75">
        <v>710</v>
      </c>
      <c r="C14" s="75"/>
      <c r="D14" s="75">
        <v>4</v>
      </c>
      <c r="E14" s="75">
        <f>E13</f>
        <v>1</v>
      </c>
      <c r="F14" s="75">
        <f t="shared" si="0"/>
        <v>4</v>
      </c>
      <c r="G14" s="92">
        <f>G13</f>
        <v>5</v>
      </c>
      <c r="H14" s="92">
        <f t="shared" ref="H14:H15" si="3">G14*F14*4</f>
        <v>80</v>
      </c>
    </row>
    <row r="15" spans="1:8" x14ac:dyDescent="0.25">
      <c r="A15" s="25" t="s">
        <v>35</v>
      </c>
      <c r="B15" s="75">
        <v>630</v>
      </c>
      <c r="C15" s="75"/>
      <c r="D15" s="75">
        <v>4</v>
      </c>
      <c r="E15" s="75">
        <f>E14</f>
        <v>1</v>
      </c>
      <c r="F15" s="75">
        <f t="shared" si="0"/>
        <v>4</v>
      </c>
      <c r="G15" s="92">
        <f>G14</f>
        <v>5</v>
      </c>
      <c r="H15" s="92">
        <f t="shared" si="3"/>
        <v>80</v>
      </c>
    </row>
    <row r="16" spans="1:8" x14ac:dyDescent="0.25">
      <c r="A16" s="28"/>
      <c r="B16" s="85"/>
      <c r="C16" s="85"/>
      <c r="D16" s="85"/>
      <c r="E16" s="85"/>
      <c r="F16" s="85"/>
      <c r="G16" s="93"/>
      <c r="H16" s="92">
        <f>SUM(H5:H15)</f>
        <v>3230</v>
      </c>
    </row>
    <row r="18" spans="1:8" x14ac:dyDescent="0.25">
      <c r="A18" s="146" t="s">
        <v>165</v>
      </c>
      <c r="B18" s="147"/>
      <c r="C18" s="147"/>
      <c r="D18" s="147"/>
      <c r="E18" s="147"/>
      <c r="F18" s="147"/>
      <c r="G18" s="148"/>
      <c r="H18" s="92">
        <f>H16</f>
        <v>3230</v>
      </c>
    </row>
    <row r="20" spans="1:8" x14ac:dyDescent="0.25">
      <c r="A20" s="146" t="s">
        <v>166</v>
      </c>
      <c r="B20" s="147"/>
      <c r="C20" s="147"/>
      <c r="D20" s="147"/>
      <c r="E20" s="147"/>
      <c r="F20" s="147"/>
      <c r="G20" s="148"/>
      <c r="H20" s="92">
        <f>H18*1.15</f>
        <v>3714.4999999999995</v>
      </c>
    </row>
  </sheetData>
  <mergeCells count="4">
    <mergeCell ref="A3:H3"/>
    <mergeCell ref="A18:G18"/>
    <mergeCell ref="A20:G20"/>
    <mergeCell ref="A1:B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902B-9FE7-4454-9D56-BA618B7A00F9}">
  <dimension ref="A1:D20"/>
  <sheetViews>
    <sheetView workbookViewId="0">
      <selection activeCell="D14" sqref="D14:D15"/>
    </sheetView>
  </sheetViews>
  <sheetFormatPr defaultColWidth="8.88671875" defaultRowHeight="13.2" x14ac:dyDescent="0.25"/>
  <cols>
    <col min="1" max="1" width="20.77734375" style="28" customWidth="1"/>
    <col min="2" max="4" width="18.77734375" style="85" customWidth="1"/>
    <col min="5" max="16384" width="8.88671875" style="28"/>
  </cols>
  <sheetData>
    <row r="1" spans="1:4" s="97" customFormat="1" ht="13.8" x14ac:dyDescent="0.25">
      <c r="A1" s="150" t="s">
        <v>187</v>
      </c>
      <c r="B1" s="150"/>
      <c r="C1" s="150"/>
      <c r="D1" s="150"/>
    </row>
    <row r="2" spans="1:4" s="97" customFormat="1" ht="13.8" x14ac:dyDescent="0.25">
      <c r="B2" s="99"/>
      <c r="C2" s="99"/>
      <c r="D2" s="99"/>
    </row>
    <row r="3" spans="1:4" s="96" customFormat="1" x14ac:dyDescent="0.25">
      <c r="A3" s="96" t="s">
        <v>159</v>
      </c>
      <c r="B3" s="98" t="s">
        <v>185</v>
      </c>
      <c r="C3" s="98" t="s">
        <v>186</v>
      </c>
      <c r="D3" s="98" t="s">
        <v>153</v>
      </c>
    </row>
    <row r="4" spans="1:4" x14ac:dyDescent="0.25">
      <c r="A4" s="25" t="s">
        <v>183</v>
      </c>
      <c r="B4" s="75">
        <v>16</v>
      </c>
      <c r="C4" s="75">
        <v>16</v>
      </c>
      <c r="D4" s="75">
        <f>C4-B4</f>
        <v>0</v>
      </c>
    </row>
    <row r="5" spans="1:4" x14ac:dyDescent="0.25">
      <c r="A5" s="25" t="s">
        <v>173</v>
      </c>
      <c r="B5" s="75">
        <v>4</v>
      </c>
      <c r="C5" s="75">
        <v>4</v>
      </c>
      <c r="D5" s="75">
        <f t="shared" ref="D5:D9" si="0">C5-B5</f>
        <v>0</v>
      </c>
    </row>
    <row r="6" spans="1:4" x14ac:dyDescent="0.25">
      <c r="A6" s="25" t="s">
        <v>181</v>
      </c>
      <c r="B6" s="75">
        <v>18</v>
      </c>
      <c r="C6" s="75">
        <v>18</v>
      </c>
      <c r="D6" s="75">
        <f t="shared" si="0"/>
        <v>0</v>
      </c>
    </row>
    <row r="7" spans="1:4" x14ac:dyDescent="0.25">
      <c r="A7" s="25" t="s">
        <v>172</v>
      </c>
      <c r="B7" s="75">
        <v>20</v>
      </c>
      <c r="C7" s="75">
        <v>20</v>
      </c>
      <c r="D7" s="75">
        <f t="shared" si="0"/>
        <v>0</v>
      </c>
    </row>
    <row r="8" spans="1:4" x14ac:dyDescent="0.25">
      <c r="A8" s="25" t="s">
        <v>180</v>
      </c>
      <c r="B8" s="75">
        <v>18</v>
      </c>
      <c r="C8" s="75">
        <v>18</v>
      </c>
      <c r="D8" s="75">
        <f t="shared" si="0"/>
        <v>0</v>
      </c>
    </row>
    <row r="9" spans="1:4" x14ac:dyDescent="0.25">
      <c r="A9" s="25" t="s">
        <v>171</v>
      </c>
      <c r="B9" s="75">
        <v>20</v>
      </c>
      <c r="C9" s="75">
        <v>20</v>
      </c>
      <c r="D9" s="75">
        <f t="shared" si="0"/>
        <v>0</v>
      </c>
    </row>
    <row r="11" spans="1:4" s="96" customFormat="1" x14ac:dyDescent="0.25">
      <c r="A11" s="96" t="s">
        <v>159</v>
      </c>
      <c r="B11" s="98" t="s">
        <v>185</v>
      </c>
      <c r="C11" s="98" t="s">
        <v>186</v>
      </c>
      <c r="D11" s="98" t="s">
        <v>153</v>
      </c>
    </row>
    <row r="12" spans="1:4" x14ac:dyDescent="0.25">
      <c r="A12" s="25" t="s">
        <v>182</v>
      </c>
      <c r="B12" s="75">
        <v>18</v>
      </c>
      <c r="C12" s="75">
        <v>18</v>
      </c>
      <c r="D12" s="75">
        <f t="shared" ref="D12:D15" si="1">C12-B12</f>
        <v>0</v>
      </c>
    </row>
    <row r="13" spans="1:4" x14ac:dyDescent="0.25">
      <c r="A13" s="25" t="s">
        <v>176</v>
      </c>
      <c r="B13" s="75">
        <v>18</v>
      </c>
      <c r="C13" s="75">
        <v>21</v>
      </c>
      <c r="D13" s="75">
        <f t="shared" si="1"/>
        <v>3</v>
      </c>
    </row>
    <row r="14" spans="1:4" x14ac:dyDescent="0.25">
      <c r="A14" s="25" t="s">
        <v>175</v>
      </c>
      <c r="B14" s="75">
        <v>18</v>
      </c>
      <c r="C14" s="75">
        <v>21</v>
      </c>
      <c r="D14" s="75">
        <f t="shared" si="1"/>
        <v>3</v>
      </c>
    </row>
    <row r="15" spans="1:4" x14ac:dyDescent="0.25">
      <c r="A15" s="25" t="s">
        <v>174</v>
      </c>
      <c r="B15" s="75">
        <v>16</v>
      </c>
      <c r="C15" s="75">
        <v>17</v>
      </c>
      <c r="D15" s="75">
        <f t="shared" si="1"/>
        <v>1</v>
      </c>
    </row>
    <row r="17" spans="1:4" s="96" customFormat="1" x14ac:dyDescent="0.25">
      <c r="A17" s="96" t="s">
        <v>159</v>
      </c>
      <c r="B17" s="98" t="s">
        <v>185</v>
      </c>
      <c r="C17" s="98" t="s">
        <v>186</v>
      </c>
      <c r="D17" s="98" t="s">
        <v>153</v>
      </c>
    </row>
    <row r="18" spans="1:4" x14ac:dyDescent="0.25">
      <c r="A18" s="25" t="s">
        <v>179</v>
      </c>
      <c r="B18" s="75">
        <v>32</v>
      </c>
      <c r="C18" s="75">
        <v>42</v>
      </c>
      <c r="D18" s="75">
        <f t="shared" ref="D18:D20" si="2">C18-B18</f>
        <v>10</v>
      </c>
    </row>
    <row r="19" spans="1:4" x14ac:dyDescent="0.25">
      <c r="A19" s="25" t="s">
        <v>178</v>
      </c>
      <c r="B19" s="75">
        <v>29</v>
      </c>
      <c r="C19" s="75">
        <v>39</v>
      </c>
      <c r="D19" s="75">
        <f t="shared" si="2"/>
        <v>10</v>
      </c>
    </row>
    <row r="20" spans="1:4" x14ac:dyDescent="0.25">
      <c r="A20" s="25" t="s">
        <v>177</v>
      </c>
      <c r="B20" s="75">
        <v>20</v>
      </c>
      <c r="C20" s="75">
        <v>32</v>
      </c>
      <c r="D20" s="75">
        <f t="shared" si="2"/>
        <v>12</v>
      </c>
    </row>
  </sheetData>
  <sortState xmlns:xlrd2="http://schemas.microsoft.com/office/spreadsheetml/2017/richdata2" ref="A12:C24">
    <sortCondition ref="A12:A24"/>
  </sortState>
  <mergeCells count="1">
    <mergeCell ref="A1:D1"/>
  </mergeCells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2BA2-D56A-4691-981D-5550EF0A2F54}">
  <dimension ref="A1:M28"/>
  <sheetViews>
    <sheetView tabSelected="1" zoomScaleNormal="100" workbookViewId="0">
      <selection activeCell="J14" sqref="J14"/>
    </sheetView>
  </sheetViews>
  <sheetFormatPr defaultRowHeight="13.2" x14ac:dyDescent="0.25"/>
  <cols>
    <col min="2" max="4" width="9" style="17"/>
    <col min="5" max="5" width="10.44140625" style="17" bestFit="1" customWidth="1"/>
    <col min="6" max="6" width="11.44140625" style="17" bestFit="1" customWidth="1"/>
    <col min="7" max="7" width="12.6640625" style="17" bestFit="1" customWidth="1"/>
    <col min="10" max="10" width="10.44140625" bestFit="1" customWidth="1"/>
  </cols>
  <sheetData>
    <row r="1" spans="1:13" x14ac:dyDescent="0.25">
      <c r="A1" s="107" t="s">
        <v>188</v>
      </c>
      <c r="B1" s="107"/>
      <c r="C1" s="107"/>
      <c r="D1" s="107"/>
      <c r="E1" s="107"/>
      <c r="F1" s="107"/>
      <c r="G1" s="107"/>
    </row>
    <row r="2" spans="1:13" x14ac:dyDescent="0.25">
      <c r="A2" s="25" t="s">
        <v>159</v>
      </c>
      <c r="B2" s="75" t="s">
        <v>19</v>
      </c>
      <c r="C2" s="75" t="s">
        <v>33</v>
      </c>
      <c r="D2" s="75" t="s">
        <v>160</v>
      </c>
      <c r="E2" s="75" t="s">
        <v>161</v>
      </c>
      <c r="F2" s="75" t="s">
        <v>163</v>
      </c>
      <c r="G2" s="75" t="s">
        <v>151</v>
      </c>
      <c r="K2" s="94"/>
      <c r="M2" s="94"/>
    </row>
    <row r="3" spans="1:13" x14ac:dyDescent="0.25">
      <c r="A3" s="25" t="s">
        <v>162</v>
      </c>
      <c r="B3" s="75">
        <v>1000</v>
      </c>
      <c r="C3" s="75">
        <v>2</v>
      </c>
      <c r="D3" s="95">
        <v>3</v>
      </c>
      <c r="E3" s="75">
        <f>D3*C3</f>
        <v>6</v>
      </c>
      <c r="F3" s="92">
        <v>3000</v>
      </c>
      <c r="G3" s="92">
        <f>F3*D3</f>
        <v>9000</v>
      </c>
      <c r="I3">
        <f>C7/10</f>
        <v>0.4</v>
      </c>
      <c r="J3" s="151">
        <f>I3*F3</f>
        <v>1200</v>
      </c>
      <c r="K3" s="94"/>
      <c r="M3" s="94"/>
    </row>
    <row r="4" spans="1:13" x14ac:dyDescent="0.25">
      <c r="A4" s="25"/>
      <c r="B4" s="75"/>
      <c r="C4" s="75"/>
      <c r="D4" s="75"/>
      <c r="E4" s="75"/>
      <c r="F4" s="92"/>
      <c r="G4" s="92"/>
      <c r="J4" s="151">
        <f>J3/4</f>
        <v>300</v>
      </c>
      <c r="K4" s="94"/>
      <c r="M4" s="94"/>
    </row>
    <row r="5" spans="1:13" x14ac:dyDescent="0.25">
      <c r="A5" s="25" t="s">
        <v>34</v>
      </c>
      <c r="B5" s="75">
        <v>1000</v>
      </c>
      <c r="C5" s="75">
        <v>4</v>
      </c>
      <c r="D5" s="75">
        <f>$D$3</f>
        <v>3</v>
      </c>
      <c r="E5" s="75">
        <f t="shared" ref="E5" si="0">D5*C5</f>
        <v>12</v>
      </c>
      <c r="F5" s="92"/>
      <c r="G5" s="92">
        <f>F5*E5*1</f>
        <v>0</v>
      </c>
      <c r="K5" s="94"/>
      <c r="M5" s="94"/>
    </row>
    <row r="6" spans="1:13" x14ac:dyDescent="0.25">
      <c r="A6" s="25"/>
      <c r="B6" s="75"/>
      <c r="C6" s="75"/>
      <c r="D6" s="75"/>
      <c r="E6" s="75"/>
      <c r="F6" s="92"/>
      <c r="G6" s="92"/>
      <c r="K6" s="94"/>
      <c r="M6" s="94"/>
    </row>
    <row r="7" spans="1:13" x14ac:dyDescent="0.25">
      <c r="A7" s="25" t="s">
        <v>35</v>
      </c>
      <c r="B7" s="75">
        <v>1000</v>
      </c>
      <c r="C7" s="75">
        <v>4</v>
      </c>
      <c r="D7" s="75">
        <f>$D$3</f>
        <v>3</v>
      </c>
      <c r="E7" s="75">
        <f t="shared" ref="E7" si="1">D7*C7</f>
        <v>12</v>
      </c>
      <c r="F7" s="92"/>
      <c r="G7" s="92">
        <f>F7*E7*4</f>
        <v>0</v>
      </c>
      <c r="K7" s="94"/>
    </row>
    <row r="8" spans="1:13" x14ac:dyDescent="0.25">
      <c r="A8" s="28"/>
      <c r="B8" s="85"/>
      <c r="C8" s="85"/>
      <c r="D8" s="85"/>
      <c r="E8" s="85"/>
      <c r="F8" s="93"/>
      <c r="G8" s="92">
        <f>SUM(G3:G7)</f>
        <v>9000</v>
      </c>
      <c r="K8" s="94"/>
    </row>
    <row r="9" spans="1:13" x14ac:dyDescent="0.25">
      <c r="K9" s="94"/>
    </row>
    <row r="10" spans="1:13" x14ac:dyDescent="0.25">
      <c r="A10" s="107" t="s">
        <v>189</v>
      </c>
      <c r="B10" s="107"/>
      <c r="C10" s="107"/>
      <c r="D10" s="107"/>
      <c r="E10" s="107"/>
      <c r="F10" s="107"/>
      <c r="G10" s="107"/>
      <c r="K10" s="94"/>
    </row>
    <row r="11" spans="1:13" x14ac:dyDescent="0.25">
      <c r="A11" s="25" t="s">
        <v>159</v>
      </c>
      <c r="B11" s="75" t="s">
        <v>19</v>
      </c>
      <c r="C11" s="75" t="s">
        <v>33</v>
      </c>
      <c r="D11" s="75" t="s">
        <v>160</v>
      </c>
      <c r="E11" s="75" t="s">
        <v>161</v>
      </c>
      <c r="F11" s="75" t="s">
        <v>163</v>
      </c>
      <c r="G11" s="75" t="s">
        <v>151</v>
      </c>
      <c r="K11" s="94"/>
    </row>
    <row r="12" spans="1:13" x14ac:dyDescent="0.25">
      <c r="A12" s="25" t="s">
        <v>162</v>
      </c>
      <c r="B12" s="75">
        <v>900</v>
      </c>
      <c r="C12" s="75">
        <v>3</v>
      </c>
      <c r="D12" s="95">
        <v>3</v>
      </c>
      <c r="E12" s="75">
        <f>D12*C12</f>
        <v>9</v>
      </c>
      <c r="F12" s="92">
        <v>4200</v>
      </c>
      <c r="G12" s="92">
        <f>F12*D12</f>
        <v>12600</v>
      </c>
      <c r="I12">
        <f>C17/27</f>
        <v>0.29629629629629628</v>
      </c>
      <c r="J12" s="151">
        <f>I12*F12</f>
        <v>1244.4444444444443</v>
      </c>
    </row>
    <row r="13" spans="1:13" x14ac:dyDescent="0.25">
      <c r="A13" s="25"/>
      <c r="B13" s="75"/>
      <c r="C13" s="75"/>
      <c r="D13" s="75"/>
      <c r="E13" s="75"/>
      <c r="F13" s="92"/>
      <c r="G13" s="92"/>
      <c r="J13" s="151">
        <f>J12/4</f>
        <v>311.11111111111109</v>
      </c>
    </row>
    <row r="14" spans="1:13" x14ac:dyDescent="0.25">
      <c r="A14" s="25" t="s">
        <v>34</v>
      </c>
      <c r="B14" s="75">
        <v>900</v>
      </c>
      <c r="C14" s="75">
        <v>5</v>
      </c>
      <c r="D14" s="75">
        <f>$D$12</f>
        <v>3</v>
      </c>
      <c r="E14" s="75">
        <f t="shared" ref="E14:E15" si="2">D14*C14</f>
        <v>15</v>
      </c>
      <c r="F14" s="92"/>
      <c r="G14" s="92">
        <f>F14*E14*1</f>
        <v>0</v>
      </c>
    </row>
    <row r="15" spans="1:13" x14ac:dyDescent="0.25">
      <c r="A15" s="25" t="s">
        <v>34</v>
      </c>
      <c r="B15" s="75">
        <v>1000</v>
      </c>
      <c r="C15" s="75">
        <v>4</v>
      </c>
      <c r="D15" s="75">
        <f>$D$12</f>
        <v>3</v>
      </c>
      <c r="E15" s="75">
        <f t="shared" si="2"/>
        <v>12</v>
      </c>
      <c r="F15" s="92"/>
      <c r="G15" s="92">
        <f>F15*E15*1</f>
        <v>0</v>
      </c>
    </row>
    <row r="16" spans="1:13" x14ac:dyDescent="0.25">
      <c r="A16" s="25"/>
      <c r="B16" s="75"/>
      <c r="C16" s="75"/>
      <c r="D16" s="75"/>
      <c r="E16" s="75"/>
      <c r="F16" s="92"/>
      <c r="G16" s="92"/>
    </row>
    <row r="17" spans="1:7" x14ac:dyDescent="0.25">
      <c r="A17" s="25" t="s">
        <v>35</v>
      </c>
      <c r="B17" s="75">
        <v>900</v>
      </c>
      <c r="C17" s="75">
        <v>8</v>
      </c>
      <c r="D17" s="75">
        <f>$D$12</f>
        <v>3</v>
      </c>
      <c r="E17" s="75">
        <f>D17*C17</f>
        <v>24</v>
      </c>
      <c r="F17" s="92"/>
      <c r="G17" s="92">
        <f>F17*E17*4</f>
        <v>0</v>
      </c>
    </row>
    <row r="18" spans="1:7" x14ac:dyDescent="0.25">
      <c r="A18" s="25" t="s">
        <v>35</v>
      </c>
      <c r="B18" s="75">
        <v>800</v>
      </c>
      <c r="C18" s="75">
        <v>7</v>
      </c>
      <c r="D18" s="75">
        <f>$D$12</f>
        <v>3</v>
      </c>
      <c r="E18" s="75">
        <f>D18*C18</f>
        <v>21</v>
      </c>
      <c r="F18" s="92"/>
      <c r="G18" s="92">
        <f>F18*E18*4</f>
        <v>0</v>
      </c>
    </row>
    <row r="19" spans="1:7" x14ac:dyDescent="0.25">
      <c r="A19" s="28"/>
      <c r="B19" s="85"/>
      <c r="C19" s="85"/>
      <c r="D19" s="85"/>
      <c r="E19" s="85"/>
      <c r="F19" s="93"/>
      <c r="G19" s="92">
        <f>SUM(G12:G18)</f>
        <v>12600</v>
      </c>
    </row>
    <row r="21" spans="1:7" x14ac:dyDescent="0.25">
      <c r="A21" s="146" t="s">
        <v>165</v>
      </c>
      <c r="B21" s="147"/>
      <c r="C21" s="147"/>
      <c r="D21" s="147"/>
      <c r="E21" s="147"/>
      <c r="F21" s="148"/>
      <c r="G21" s="92">
        <f>G8+G19</f>
        <v>21600</v>
      </c>
    </row>
    <row r="23" spans="1:7" x14ac:dyDescent="0.25">
      <c r="A23" s="146" t="s">
        <v>166</v>
      </c>
      <c r="B23" s="147"/>
      <c r="C23" s="147"/>
      <c r="D23" s="147"/>
      <c r="E23" s="147"/>
      <c r="F23" s="148"/>
      <c r="G23" s="92">
        <f>G21*1.15</f>
        <v>24839.999999999996</v>
      </c>
    </row>
    <row r="26" spans="1:7" x14ac:dyDescent="0.25">
      <c r="A26" t="s">
        <v>190</v>
      </c>
      <c r="B26" s="17">
        <v>1000</v>
      </c>
      <c r="E26" s="17">
        <f>E15+E5</f>
        <v>24</v>
      </c>
    </row>
    <row r="28" spans="1:7" x14ac:dyDescent="0.25">
      <c r="A28" t="s">
        <v>191</v>
      </c>
      <c r="E28" s="100">
        <f>E26*870</f>
        <v>20880</v>
      </c>
    </row>
  </sheetData>
  <mergeCells count="4">
    <mergeCell ref="A1:G1"/>
    <mergeCell ref="A10:G10"/>
    <mergeCell ref="A21:F21"/>
    <mergeCell ref="A23:F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Table 1</vt:lpstr>
      <vt:lpstr>Table 1 (2)</vt:lpstr>
      <vt:lpstr>Sheet1</vt:lpstr>
      <vt:lpstr>Sheet1 (2)</vt:lpstr>
      <vt:lpstr>Sheet3</vt:lpstr>
      <vt:lpstr>LASER GUY PRICE</vt:lpstr>
      <vt:lpstr>LASER GUY PRICE  - 1238</vt:lpstr>
      <vt:lpstr>FLANGE PROGRAMME - 10-11-25</vt:lpstr>
      <vt:lpstr>FLANGE PROGRAMME - 10-11-25MS</vt:lpstr>
      <vt:lpstr>FLANGE PROG 3&amp;4 - 26-11-25</vt:lpstr>
      <vt:lpstr>FLANGE PROG 3&amp;4 - 26-11-25 O</vt:lpstr>
      <vt:lpstr>FLANGE PROG 3&amp;4 - 13-01-26</vt:lpstr>
      <vt:lpstr>FLANGE PROG 3&amp;4 - 13-01-26 (2)</vt:lpstr>
      <vt:lpstr>FL PRG Bf,3&amp;4-23.01.26</vt:lpstr>
      <vt:lpstr>FL PRG 3 - 29.01.26</vt:lpstr>
      <vt:lpstr>PO3721</vt:lpstr>
      <vt:lpstr>4mm programme</vt:lpstr>
      <vt:lpstr>'4mm programme'!Print_Area</vt:lpstr>
      <vt:lpstr>Sheet1!Print_Area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Zinziso Xhallie</dc:creator>
  <cp:lastModifiedBy>Tebello Lelosa</cp:lastModifiedBy>
  <cp:lastPrinted>2026-02-06T08:55:05Z</cp:lastPrinted>
  <dcterms:created xsi:type="dcterms:W3CDTF">2025-02-21T13:14:45Z</dcterms:created>
  <dcterms:modified xsi:type="dcterms:W3CDTF">2026-02-09T11:01:34Z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2025-01-10T00:00:00Z</vt:filetime>
  </property>
  <property fmtid="{D5CDD505-2E9C-101B-9397-08002B2CF9AE}" pid="3" name="Creator">
    <vt:lpwstr>Nitro PDF Pro 14 (14.32.0.15)</vt:lpwstr>
  </property>
  <property fmtid="{D5CDD505-2E9C-101B-9397-08002B2CF9AE}" pid="4" name="LastSaved">
    <vt:filetime>2025-02-21T00:00:00Z</vt:filetime>
  </property>
  <property fmtid="{D5CDD505-2E9C-101B-9397-08002B2CF9AE}" pid="5" name="Producer">
    <vt:lpwstr>Nitro PDF Pro 14 (14.32.0.15)</vt:lpwstr>
  </property>
</Properties>
</file>