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updateLinks="always" defaultThemeVersion="202300"/>
  <mc:AlternateContent xmlns:mc="http://schemas.openxmlformats.org/markup-compatibility/2006">
    <mc:Choice Requires="x15">
      <x15ac:absPath xmlns:x15ac="http://schemas.microsoft.com/office/spreadsheetml/2010/11/ac" url="https://fanmovement-my.sharepoint.com/personal/zinzi_xhallie_fanmovement_co_za/Documents/Sales/PROJECT - FMFS/June 2025 - Stock Taking/"/>
    </mc:Choice>
  </mc:AlternateContent>
  <xr:revisionPtr revIDLastSave="119" documentId="8_{CE8724BF-051D-4105-B0F6-F94E79B06CB6}" xr6:coauthVersionLast="47" xr6:coauthVersionMax="47" xr10:uidLastSave="{B696DC7D-76A1-4995-99C3-2F15DEE48FA5}"/>
  <bookViews>
    <workbookView xWindow="-110" yWindow="-110" windowWidth="19420" windowHeight="10420" xr2:uid="{9283C308-78EC-4443-8490-D94404941517}"/>
  </bookViews>
  <sheets>
    <sheet name="STOCK JUNE 2025" sheetId="1" r:id="rId1"/>
  </sheets>
  <definedNames>
    <definedName name="_xlnm._FilterDatabase" localSheetId="0" hidden="1">'STOCK JUNE 2025'!$A$2:$F$311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4" i="1" l="1"/>
  <c r="E31" i="1"/>
  <c r="F31" i="1"/>
  <c r="E30" i="1"/>
  <c r="F30" i="1" s="1"/>
  <c r="E29" i="1"/>
  <c r="F29" i="1" s="1"/>
  <c r="D25" i="1"/>
  <c r="E23" i="1"/>
  <c r="F23" i="1" s="1"/>
  <c r="D140" i="1"/>
  <c r="D139" i="1"/>
  <c r="E137" i="1"/>
  <c r="F137" i="1" s="1"/>
  <c r="E136" i="1"/>
  <c r="F136" i="1" s="1"/>
  <c r="D135" i="1"/>
  <c r="D134" i="1"/>
  <c r="F94" i="1"/>
  <c r="E294" i="1"/>
  <c r="E43" i="1"/>
  <c r="E44" i="1"/>
  <c r="E38" i="1"/>
  <c r="F5" i="1" l="1"/>
  <c r="F6" i="1"/>
  <c r="F7" i="1"/>
  <c r="F8" i="1"/>
  <c r="F9" i="1"/>
  <c r="F11" i="1"/>
  <c r="F12" i="1"/>
  <c r="F16" i="1"/>
  <c r="F17" i="1"/>
  <c r="F18" i="1"/>
  <c r="F19" i="1"/>
  <c r="F20" i="1"/>
  <c r="F22" i="1"/>
  <c r="F25" i="1"/>
  <c r="F27" i="1"/>
  <c r="F32" i="1"/>
  <c r="F34" i="1"/>
  <c r="F35" i="1"/>
  <c r="F36" i="1"/>
  <c r="F38" i="1"/>
  <c r="F39" i="1"/>
  <c r="F40" i="1"/>
  <c r="F41" i="1"/>
  <c r="F42" i="1"/>
  <c r="F43" i="1"/>
  <c r="F44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5" i="1"/>
  <c r="F116" i="1"/>
  <c r="F117" i="1"/>
  <c r="F118" i="1"/>
  <c r="F119" i="1"/>
  <c r="F120" i="1"/>
  <c r="F121" i="1"/>
  <c r="F122" i="1"/>
  <c r="F123" i="1"/>
  <c r="F125" i="1"/>
  <c r="F126" i="1"/>
  <c r="F127" i="1"/>
  <c r="F128" i="1"/>
  <c r="F129" i="1"/>
  <c r="F130" i="1"/>
  <c r="F131" i="1"/>
  <c r="F132" i="1"/>
  <c r="F133" i="1"/>
  <c r="F134" i="1"/>
  <c r="F135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7" i="1"/>
  <c r="F218" i="1"/>
  <c r="F219" i="1"/>
  <c r="F220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4" i="1"/>
  <c r="D70" i="1"/>
  <c r="F70" i="1" s="1"/>
  <c r="D37" i="1" l="1"/>
  <c r="F37" i="1" s="1"/>
  <c r="D28" i="1"/>
  <c r="F28" i="1" s="1"/>
  <c r="D26" i="1"/>
  <c r="F26" i="1" s="1"/>
  <c r="D21" i="1"/>
  <c r="F21" i="1" s="1"/>
  <c r="D14" i="1"/>
  <c r="F14" i="1" s="1"/>
  <c r="D13" i="1"/>
  <c r="F13" i="1" s="1"/>
  <c r="D10" i="1"/>
  <c r="F10" i="1" s="1"/>
  <c r="F313" i="1" l="1"/>
  <c r="F315" i="1" s="1"/>
</calcChain>
</file>

<file path=xl/sharedStrings.xml><?xml version="1.0" encoding="utf-8"?>
<sst xmlns="http://schemas.openxmlformats.org/spreadsheetml/2006/main" count="676" uniqueCount="490">
  <si>
    <t>Category</t>
  </si>
  <si>
    <t>Stock Code</t>
  </si>
  <si>
    <t>Description</t>
  </si>
  <si>
    <t xml:space="preserve">Cost Price </t>
  </si>
  <si>
    <t>DD Direct Drive</t>
  </si>
  <si>
    <t>DD 7/7 - 610303 - 62W 6P 230V-1Ph</t>
  </si>
  <si>
    <t>DD 7/7 - 610633 - 147W 4P 230V-1Ph</t>
  </si>
  <si>
    <t>6M0629</t>
  </si>
  <si>
    <t>DD 9/7 - 6M0629  - 373W 4P 220V - 13Ph</t>
  </si>
  <si>
    <t>6M0697</t>
  </si>
  <si>
    <t>DD 9/9 - 6M0697 - 300W 4P 220V - 1Ph</t>
  </si>
  <si>
    <t>6M0312</t>
  </si>
  <si>
    <t>DD 10/8 - 6M0312 - 245W 6P 220V - 1Ph</t>
  </si>
  <si>
    <t>6M061U</t>
  </si>
  <si>
    <t>QTY</t>
  </si>
  <si>
    <t>DDM Direct Drive</t>
  </si>
  <si>
    <t>6M0299</t>
  </si>
  <si>
    <t>DDM 7/7 - 6M0299 - 300W 4P 230V-1Ph</t>
  </si>
  <si>
    <t>6M020M</t>
  </si>
  <si>
    <t>DDM 9/7 - 6M020M -  550W 4P 230V-1Ph</t>
  </si>
  <si>
    <t>6M02H4</t>
  </si>
  <si>
    <t>DDM 10/8 - 6M02H4 -  550W 4P 230V-1Ph</t>
  </si>
  <si>
    <t>6M02H0</t>
  </si>
  <si>
    <t>DDM 10/10 - 6M02H0 - 600W 4P 220V-1Ph</t>
  </si>
  <si>
    <t>6M02P4</t>
  </si>
  <si>
    <t>DDM 10/10 - 6M02P4 - 550W 4P 230V-1Ph</t>
  </si>
  <si>
    <t>6M02R7</t>
  </si>
  <si>
    <t>DD 9/9 147W 6P</t>
  </si>
  <si>
    <t xml:space="preserve">DDMP 9/9 + Driver - 400W 4P </t>
  </si>
  <si>
    <t>DD 9/9 - 370W 4P</t>
  </si>
  <si>
    <t xml:space="preserve">DD 10/8 - 6M0648 - 370W 4P </t>
  </si>
  <si>
    <t>DD 10/10 - 6M067W - 245W 6P</t>
  </si>
  <si>
    <t>DD 10/10 - 6M0687 - 370W 6P</t>
  </si>
  <si>
    <t>DD 10/10 - 6M061U - 550W 4P 220V - 1Ph</t>
  </si>
  <si>
    <t>DDM 10/10 - 6M02R7 - 515W 6P 230V-1Ph</t>
  </si>
  <si>
    <t>Bare shaft Fans</t>
  </si>
  <si>
    <t>AT 7/7 SC - Single Unit</t>
  </si>
  <si>
    <t>AT 10/10 SC - Single Unit</t>
  </si>
  <si>
    <t>AT 12/9 SC - Single Unit</t>
  </si>
  <si>
    <t>AT 12/12 SC - Single Unit</t>
  </si>
  <si>
    <t>RDH - EO - 0180 - 2200W-MAX</t>
  </si>
  <si>
    <t>BD 12/9 M6 - 0.76KW</t>
  </si>
  <si>
    <t>BD 9/9 M4 - 0.35KW</t>
  </si>
  <si>
    <t>BD 12/9 T6 - 1.1KW</t>
  </si>
  <si>
    <t xml:space="preserve">BD 12/12 T6 1.1KW </t>
  </si>
  <si>
    <t>BD 15/15 T6 - 2.2KW</t>
  </si>
  <si>
    <t>MBP - 35 - 2.2KW</t>
  </si>
  <si>
    <t>CASALS</t>
  </si>
  <si>
    <t>NICOTRA</t>
  </si>
  <si>
    <t>HJBM PLUS - 40-4M - 0.25KW</t>
  </si>
  <si>
    <t xml:space="preserve">HJBM PLUS - 45-T4 - 0.55KW </t>
  </si>
  <si>
    <t xml:space="preserve">HJBM PLUS - 50-T4 - 0.55KW </t>
  </si>
  <si>
    <t>KASTORM - 404-T2 - 5.5KW</t>
  </si>
  <si>
    <t>KASTORM - 401-T2 - 3KW</t>
  </si>
  <si>
    <t>SODECA</t>
  </si>
  <si>
    <t>HC - Range</t>
  </si>
  <si>
    <t>1017052</t>
  </si>
  <si>
    <t>HC-25-2M/H</t>
  </si>
  <si>
    <t>1017069</t>
  </si>
  <si>
    <t>HC-25-4M/H</t>
  </si>
  <si>
    <t>1017082</t>
  </si>
  <si>
    <t>HC-31-2M/H</t>
  </si>
  <si>
    <t>1017099</t>
  </si>
  <si>
    <t>HC-31-4T/H</t>
  </si>
  <si>
    <t>1017112</t>
  </si>
  <si>
    <t>HC-35-4T/H</t>
  </si>
  <si>
    <t>1017106</t>
  </si>
  <si>
    <t>HC-35-4M/H</t>
  </si>
  <si>
    <t>1017125</t>
  </si>
  <si>
    <t>HC-40-4M/H</t>
  </si>
  <si>
    <t>1017130</t>
  </si>
  <si>
    <t>HC-40-6T/H</t>
  </si>
  <si>
    <t>1017131</t>
  </si>
  <si>
    <t>HC-45-4M/H</t>
  </si>
  <si>
    <t>1017155</t>
  </si>
  <si>
    <t>HC-56-6T/H</t>
  </si>
  <si>
    <t>1017154</t>
  </si>
  <si>
    <t>HC-56-6M/H</t>
  </si>
  <si>
    <t>1017179</t>
  </si>
  <si>
    <t>HC-63-4T/H IE3</t>
  </si>
  <si>
    <t>HCD - Range</t>
  </si>
  <si>
    <t>1000012</t>
  </si>
  <si>
    <t>HCD 20 4M</t>
  </si>
  <si>
    <t>1000013</t>
  </si>
  <si>
    <t>HCD 25 4M</t>
  </si>
  <si>
    <t>1000015</t>
  </si>
  <si>
    <t>HCD 30 4M</t>
  </si>
  <si>
    <t>1000016</t>
  </si>
  <si>
    <t>HCD 35 4M</t>
  </si>
  <si>
    <t>HTM - Range</t>
  </si>
  <si>
    <t>1005877</t>
  </si>
  <si>
    <t>HTM-45-4T</t>
  </si>
  <si>
    <t>HCT - Long Cased Axial Flow Fans</t>
  </si>
  <si>
    <t>1000040</t>
  </si>
  <si>
    <t>HCT-25-2T/PL</t>
  </si>
  <si>
    <t>1000039</t>
  </si>
  <si>
    <t>HCT-25-2M/PL</t>
  </si>
  <si>
    <t>1000044</t>
  </si>
  <si>
    <t>HCT-25-4T/PL</t>
  </si>
  <si>
    <t>1000043</t>
  </si>
  <si>
    <t>HCT-25-4M/PL</t>
  </si>
  <si>
    <t>1000047</t>
  </si>
  <si>
    <t>HCT-31-2T/PL</t>
  </si>
  <si>
    <t>1000046</t>
  </si>
  <si>
    <t>HCT-31-2M/PL</t>
  </si>
  <si>
    <t>1000050</t>
  </si>
  <si>
    <t>HCT-31-4T/PL</t>
  </si>
  <si>
    <t>1000049</t>
  </si>
  <si>
    <t>HCT-31-4M/PL</t>
  </si>
  <si>
    <t>1000052</t>
  </si>
  <si>
    <t>HCT-35-2T/PL</t>
  </si>
  <si>
    <t>1000051</t>
  </si>
  <si>
    <t>HCT-35-2M/PL</t>
  </si>
  <si>
    <t>1000054</t>
  </si>
  <si>
    <t>HCT-35-4M/PL</t>
  </si>
  <si>
    <t>HAT-35-4T</t>
  </si>
  <si>
    <t>HCDF - ATEX Rated Plate Mounted Axial Fans</t>
  </si>
  <si>
    <t>1006321</t>
  </si>
  <si>
    <t>HCDF 50 - 4T - Flameproof</t>
  </si>
  <si>
    <t>1006323</t>
  </si>
  <si>
    <t>HCDF 56 - 4T - Flameproof/ATEX</t>
  </si>
  <si>
    <t>CAM - Range</t>
  </si>
  <si>
    <t>1010396</t>
  </si>
  <si>
    <t>CAM 540 2T</t>
  </si>
  <si>
    <t>1010401</t>
  </si>
  <si>
    <t>CAM 545 2T 4</t>
  </si>
  <si>
    <t>1010407</t>
  </si>
  <si>
    <t>CAM 550 2T 7.5</t>
  </si>
  <si>
    <t>CAS Range</t>
  </si>
  <si>
    <t>1010596</t>
  </si>
  <si>
    <t>CAS 254 -2T -3</t>
  </si>
  <si>
    <t>1010606</t>
  </si>
  <si>
    <t>CAS 463-2T-7,5</t>
  </si>
  <si>
    <t>CMA - Range</t>
  </si>
  <si>
    <t>1008844</t>
  </si>
  <si>
    <t>CMA-218-2T</t>
  </si>
  <si>
    <t>1008843</t>
  </si>
  <si>
    <t>CMA-218-2M</t>
  </si>
  <si>
    <t>1008849</t>
  </si>
  <si>
    <t>CMA-324-2T</t>
  </si>
  <si>
    <t>1008847</t>
  </si>
  <si>
    <t>CMA-324-2M</t>
  </si>
  <si>
    <t>1008852</t>
  </si>
  <si>
    <t>CMA-325-2T</t>
  </si>
  <si>
    <t>1008851</t>
  </si>
  <si>
    <t>CMA-325-2M</t>
  </si>
  <si>
    <t>1008856</t>
  </si>
  <si>
    <t>CMA-426-2T</t>
  </si>
  <si>
    <t>1008854</t>
  </si>
  <si>
    <t>CMA-426-2M</t>
  </si>
  <si>
    <t>1008861</t>
  </si>
  <si>
    <t>CMA-527-2T</t>
  </si>
  <si>
    <t>1008870</t>
  </si>
  <si>
    <t>CMA-528-2T-1.5 IE3</t>
  </si>
  <si>
    <t>1008864</t>
  </si>
  <si>
    <t>CMA-528-2M-1.5</t>
  </si>
  <si>
    <t>1008873</t>
  </si>
  <si>
    <t>CMA-531-2T-1.5 IE3</t>
  </si>
  <si>
    <t>1008874</t>
  </si>
  <si>
    <t>CMA-531-2T-2 IE3</t>
  </si>
  <si>
    <t>1008867</t>
  </si>
  <si>
    <t>CMA-531-2M-2</t>
  </si>
  <si>
    <t>1008875</t>
  </si>
  <si>
    <t>CMA-531-2T-3 IE3</t>
  </si>
  <si>
    <t>CMAT Range</t>
  </si>
  <si>
    <t>1008985</t>
  </si>
  <si>
    <t>CMAT 531-2T</t>
  </si>
  <si>
    <t>CMP - Range</t>
  </si>
  <si>
    <t>1012391</t>
  </si>
  <si>
    <t>CMP 38 2M</t>
  </si>
  <si>
    <t>1012398</t>
  </si>
  <si>
    <t>CMP 512 2M</t>
  </si>
  <si>
    <t>1012411</t>
  </si>
  <si>
    <t>CMP 512 2T</t>
  </si>
  <si>
    <t>1012446</t>
  </si>
  <si>
    <t>CMP 514 2M</t>
  </si>
  <si>
    <t>1012461</t>
  </si>
  <si>
    <t>CMP 514 2T</t>
  </si>
  <si>
    <t>1012504</t>
  </si>
  <si>
    <t>CMP 616 2M</t>
  </si>
  <si>
    <t>1012516</t>
  </si>
  <si>
    <t>CMP 616 2T</t>
  </si>
  <si>
    <t>1012571</t>
  </si>
  <si>
    <t>CMP 718 2M</t>
  </si>
  <si>
    <t>1012658</t>
  </si>
  <si>
    <t>CMP 718 2T</t>
  </si>
  <si>
    <t>1012594</t>
  </si>
  <si>
    <t>CMP 820 2M</t>
  </si>
  <si>
    <t>1012671</t>
  </si>
  <si>
    <t>CMP 820 2T</t>
  </si>
  <si>
    <t>1012607</t>
  </si>
  <si>
    <t>CMP 820 4T</t>
  </si>
  <si>
    <t>CPV - Range</t>
  </si>
  <si>
    <t>1007947</t>
  </si>
  <si>
    <t>CPV 1325 4T</t>
  </si>
  <si>
    <t>1007960</t>
  </si>
  <si>
    <t>CPV 1325 2T</t>
  </si>
  <si>
    <t>CAM 550 2T 5.5</t>
  </si>
  <si>
    <t>CMP-1128-4T</t>
  </si>
  <si>
    <t>CA VO Range</t>
  </si>
  <si>
    <t>L10101101</t>
  </si>
  <si>
    <t>CA 100 VO - D Two Speed - Plastic</t>
  </si>
  <si>
    <t>L10101126</t>
  </si>
  <si>
    <t>CA 125 VO - D Two Speed - Plastic</t>
  </si>
  <si>
    <t>L10101151</t>
  </si>
  <si>
    <t>CA 150 VO - D Two Speed - Plastic</t>
  </si>
  <si>
    <t>L10101200</t>
  </si>
  <si>
    <t>CA 200Q VO Lower Volume In-Line Tube Fan Plastic Casin</t>
  </si>
  <si>
    <t>Dehumidifier</t>
  </si>
  <si>
    <t>DEUMIDO 20</t>
  </si>
  <si>
    <t>Chimney Fan</t>
  </si>
  <si>
    <t>Tiracamino Chimney Fan for Chimney Tops</t>
  </si>
  <si>
    <t>Lineo Inline Tube Fans</t>
  </si>
  <si>
    <t>LINEO 100 Q</t>
  </si>
  <si>
    <t>LINEO 150</t>
  </si>
  <si>
    <t>LINEO 200 Q</t>
  </si>
  <si>
    <t>NEW LINEO SILENT FAN</t>
  </si>
  <si>
    <t>LINEO 100 QUIET       </t>
  </si>
  <si>
    <t>LINEO 125 QUIET       </t>
  </si>
  <si>
    <t>LINEO 150 QUIET       </t>
  </si>
  <si>
    <t>LINEO 200 QUIET       </t>
  </si>
  <si>
    <t>LINEO 200 T    </t>
  </si>
  <si>
    <t>LINEO 200      </t>
  </si>
  <si>
    <t>LINEO 250      </t>
  </si>
  <si>
    <t>LINEO 315      </t>
  </si>
  <si>
    <t>C1.5 Speed Controller (to suit Lineo 100 to 200)</t>
  </si>
  <si>
    <t>C2.5 Speed Controller (to suit Lineo 250 &amp; 315)</t>
  </si>
  <si>
    <t>Speed Controller</t>
  </si>
  <si>
    <t>CR5 Speed Controller</t>
  </si>
  <si>
    <t>VORTICE</t>
  </si>
  <si>
    <t>CA Line 120</t>
  </si>
  <si>
    <t>CA Line 200</t>
  </si>
  <si>
    <r>
      <t>DEUMIDO 10 -</t>
    </r>
    <r>
      <rPr>
        <b/>
        <sz val="8"/>
        <color theme="1"/>
        <rFont val="Arial"/>
        <family val="2"/>
      </rPr>
      <t xml:space="preserve"> unique code(26010)</t>
    </r>
  </si>
  <si>
    <t>LINEO 100 - VOT</t>
  </si>
  <si>
    <t xml:space="preserve">LINEO 125 </t>
  </si>
  <si>
    <t>LINEO 125 - VO KIT</t>
  </si>
  <si>
    <t>LINEO 160 VO</t>
  </si>
  <si>
    <t>Punto Standard Range</t>
  </si>
  <si>
    <t>M 100 / 4</t>
  </si>
  <si>
    <t>M 120 / 5</t>
  </si>
  <si>
    <t>M 120 / 5 T</t>
  </si>
  <si>
    <t>M 150 / 6</t>
  </si>
  <si>
    <t>M 150 / 6 T</t>
  </si>
  <si>
    <t>Wall Mount Fixed Grille</t>
  </si>
  <si>
    <t>Ø100 Wall Fans</t>
  </si>
  <si>
    <t>Ø120/150 Wall Fans</t>
  </si>
  <si>
    <t>Punto Long Life Range</t>
  </si>
  <si>
    <t>M 100 / 4 LL</t>
  </si>
  <si>
    <t>M 100 / 4 T LL</t>
  </si>
  <si>
    <t>M 120 / 5 A LL *</t>
  </si>
  <si>
    <t>M 120 / 5 LL</t>
  </si>
  <si>
    <t>M 150 / 6 LL</t>
  </si>
  <si>
    <t>Punto Pull Cord Range</t>
  </si>
  <si>
    <t>M 120 / 5 P</t>
  </si>
  <si>
    <t>Punto EVO</t>
  </si>
  <si>
    <t>ME 100/4 LL</t>
  </si>
  <si>
    <t>ME 120/5 LL</t>
  </si>
  <si>
    <t>Punto EVO FLEXO</t>
  </si>
  <si>
    <t>MEX 100/4 LL 1S</t>
  </si>
  <si>
    <t>MEX 100/4 1S LLT</t>
  </si>
  <si>
    <t>MFO 120/5</t>
  </si>
  <si>
    <t>Punto Filo Std Range</t>
  </si>
  <si>
    <t>MF 100</t>
  </si>
  <si>
    <t>MF 100T</t>
  </si>
  <si>
    <t>MF 120</t>
  </si>
  <si>
    <t>MF 120 T</t>
  </si>
  <si>
    <t>MF 150</t>
  </si>
  <si>
    <t>Punto Filo Long Life Range</t>
  </si>
  <si>
    <t>MF 100 LL</t>
  </si>
  <si>
    <t>MF 100 T LL</t>
  </si>
  <si>
    <t>MF 120 LL</t>
  </si>
  <si>
    <t>MF 120 T LL</t>
  </si>
  <si>
    <t>MF 150 LL</t>
  </si>
  <si>
    <t>MF 150 T LL</t>
  </si>
  <si>
    <t>Punto Ghost Inline Fan</t>
  </si>
  <si>
    <t xml:space="preserve">MG 120/5 LL T </t>
  </si>
  <si>
    <t xml:space="preserve">MG 150/6 LL </t>
  </si>
  <si>
    <t>MF 150/6'' PIR-LL</t>
  </si>
  <si>
    <t>KIT-TE-150/6</t>
  </si>
  <si>
    <t>KIT-TE-230/9</t>
  </si>
  <si>
    <t>KIT-TC-230/9</t>
  </si>
  <si>
    <t>KIT-F-150/6</t>
  </si>
  <si>
    <t>KIT-F-120/5</t>
  </si>
  <si>
    <t>KIT-F-100/4</t>
  </si>
  <si>
    <t>Vario Axial Range</t>
  </si>
  <si>
    <t xml:space="preserve">V 150/6" AR  </t>
  </si>
  <si>
    <t xml:space="preserve">V 150/6" ARI  </t>
  </si>
  <si>
    <t>V 150/6" ARI  LL S</t>
  </si>
  <si>
    <t xml:space="preserve">V 230/9" AR  </t>
  </si>
  <si>
    <t xml:space="preserve">V 230/9" ARI  </t>
  </si>
  <si>
    <t>V 230/9" P LL S</t>
  </si>
  <si>
    <t>V 230/9" ARI  LL S</t>
  </si>
  <si>
    <t xml:space="preserve">V 300/12" AR </t>
  </si>
  <si>
    <t xml:space="preserve">V 300/12" ARI </t>
  </si>
  <si>
    <t>V 300/12" AR  LL S</t>
  </si>
  <si>
    <t>V 300/12" ARI  LL S</t>
  </si>
  <si>
    <t>28</t>
  </si>
  <si>
    <t>20</t>
  </si>
  <si>
    <t>10</t>
  </si>
  <si>
    <t>ATEX Rated E-Series Centrifual Fan</t>
  </si>
  <si>
    <t>C 10/2 T ATEX II 2G/D h T3/125° X Gb/Db</t>
  </si>
  <si>
    <t>C 15/2 T ATEX II 2G/D h T3/125° X Gb/Db</t>
  </si>
  <si>
    <t>C 20/2 T ATEX II 2G/D h T3/125° X Gb/Db</t>
  </si>
  <si>
    <t>C 30/2 T ATEX II 2G/D h T3/125° X Gb/Db</t>
  </si>
  <si>
    <t>C 31/4 T ATEX II 2G/D h T3/125° X Gb/Db</t>
  </si>
  <si>
    <t>C 35/4 T ATEX II 2G/D h T3/125° X Gb/Db</t>
  </si>
  <si>
    <t>C37/4T ATEX II 2G/D h T3/125°C X Gb/Db</t>
  </si>
  <si>
    <t>ATEX Rated E-Series Plate Axials</t>
  </si>
  <si>
    <t>E 304 M ATEX II 2G/D h T3/125°C X Gb/Db</t>
  </si>
  <si>
    <t>E 354 M ATEX II 2G/D h T3/125°C X Gb/Db</t>
  </si>
  <si>
    <t>E 404 M ATEX II 2G/D h T3/125°C X Gb/Db</t>
  </si>
  <si>
    <t>E 454 M ATEX II 2G/D h T3/125°C X Gb/Db</t>
  </si>
  <si>
    <t>E 254 T ATEX II 2G/D h T3/125°C X Gb/Db</t>
  </si>
  <si>
    <t>E 304 T ATEX II 2G/D h T3/125°C X Gb/Db</t>
  </si>
  <si>
    <t>E 354 T ATEX II 2G/D h T3/125°C X Gb/Db</t>
  </si>
  <si>
    <t>E 404 T ATEX II 2G/D h T3/125°C X Gb/Db</t>
  </si>
  <si>
    <t xml:space="preserve">E 454 T ATEX II 2G/D h T3/125°C X Gb/Db </t>
  </si>
  <si>
    <t>E 504 T ATEX II 2G/D h T3/125°C X Gb/Db</t>
  </si>
  <si>
    <t>C 30/4T ATEX II 2G/D h T3/125° X Gb/Db</t>
  </si>
  <si>
    <t>C 30/4 -T ATEX II 2G/D h T3/125° X Gb/Db</t>
  </si>
  <si>
    <t xml:space="preserve">E 454 M ATEX II 2G/D h T3/125°C X Gb/Db </t>
  </si>
  <si>
    <t>KAYITES</t>
  </si>
  <si>
    <t>KAF100</t>
  </si>
  <si>
    <t>KAF125</t>
  </si>
  <si>
    <t>KAF200</t>
  </si>
  <si>
    <t>KAF250</t>
  </si>
  <si>
    <t>KAF315</t>
  </si>
  <si>
    <t>RAD 100</t>
  </si>
  <si>
    <t>RAD100</t>
  </si>
  <si>
    <t>RAD 125</t>
  </si>
  <si>
    <t>RAD125</t>
  </si>
  <si>
    <t>RAD 150</t>
  </si>
  <si>
    <t>RAD150</t>
  </si>
  <si>
    <t>RAD 200</t>
  </si>
  <si>
    <t>RAD200</t>
  </si>
  <si>
    <t>RAD 250</t>
  </si>
  <si>
    <t>RAD250</t>
  </si>
  <si>
    <t>RAD 315</t>
  </si>
  <si>
    <t>RAD315</t>
  </si>
  <si>
    <t>RAD355</t>
  </si>
  <si>
    <t>REC3015</t>
  </si>
  <si>
    <t>REC4020B</t>
  </si>
  <si>
    <t>REC6035</t>
  </si>
  <si>
    <t>REC7040</t>
  </si>
  <si>
    <t>REC10050</t>
  </si>
  <si>
    <t>CUB100</t>
  </si>
  <si>
    <t>CUB150</t>
  </si>
  <si>
    <t>CUB315</t>
  </si>
  <si>
    <t>CUB355</t>
  </si>
  <si>
    <t>SAL400</t>
  </si>
  <si>
    <t>KAZ120</t>
  </si>
  <si>
    <t>KAZ140</t>
  </si>
  <si>
    <t>KAZ160</t>
  </si>
  <si>
    <t>BAF100</t>
  </si>
  <si>
    <t>BAF125</t>
  </si>
  <si>
    <t>BAF150</t>
  </si>
  <si>
    <t>SEF100</t>
  </si>
  <si>
    <t>SEF125</t>
  </si>
  <si>
    <t>SOF400</t>
  </si>
  <si>
    <t xml:space="preserve"> RAD 355</t>
  </si>
  <si>
    <t>Ostberg</t>
  </si>
  <si>
    <t>CK-100</t>
  </si>
  <si>
    <t>TT-PRO-100</t>
  </si>
  <si>
    <t>CK-125</t>
  </si>
  <si>
    <t>CK-160-B-AUTO</t>
  </si>
  <si>
    <t>KAF-100</t>
  </si>
  <si>
    <t>KAF-200</t>
  </si>
  <si>
    <t>KAF-125</t>
  </si>
  <si>
    <t>KAF-250</t>
  </si>
  <si>
    <t>KAF-315</t>
  </si>
  <si>
    <t>CUB-100</t>
  </si>
  <si>
    <t>CUB-315</t>
  </si>
  <si>
    <t>CUB-355</t>
  </si>
  <si>
    <t>CUB-150</t>
  </si>
  <si>
    <t>SAL-400</t>
  </si>
  <si>
    <t>SOF-400</t>
  </si>
  <si>
    <t>MRAD-315</t>
  </si>
  <si>
    <t>CRAD-450</t>
  </si>
  <si>
    <t>DREC-450</t>
  </si>
  <si>
    <t>KAZ-120</t>
  </si>
  <si>
    <t>KAZ-140</t>
  </si>
  <si>
    <t>KAZ-160</t>
  </si>
  <si>
    <t>BAF-100</t>
  </si>
  <si>
    <t>BAF-125</t>
  </si>
  <si>
    <t>BAF-150</t>
  </si>
  <si>
    <t>SEF-100</t>
  </si>
  <si>
    <t>SEF-125</t>
  </si>
  <si>
    <t>REC-30-15</t>
  </si>
  <si>
    <t>REC-40-20B</t>
  </si>
  <si>
    <t>REC-60-35</t>
  </si>
  <si>
    <t>REC-70-40</t>
  </si>
  <si>
    <t>REC-100-50</t>
  </si>
  <si>
    <t>KDAXIS-200-2</t>
  </si>
  <si>
    <t>KDAXIS-250-2</t>
  </si>
  <si>
    <t>KDAXIS-300-2</t>
  </si>
  <si>
    <t>KDAXIS-350-2</t>
  </si>
  <si>
    <t>KSA-400-4M</t>
  </si>
  <si>
    <t>KSA-400-4T</t>
  </si>
  <si>
    <t>KSA-450-4K-T</t>
  </si>
  <si>
    <t>KSA-500-4K-T</t>
  </si>
  <si>
    <t>DONKINS FANS</t>
  </si>
  <si>
    <t>VCN-100</t>
  </si>
  <si>
    <t>VCN-125</t>
  </si>
  <si>
    <t>VP-150-K</t>
  </si>
  <si>
    <t>KSB-250</t>
  </si>
  <si>
    <t>TT SILENT-M-250</t>
  </si>
  <si>
    <t>VKV-4E-450</t>
  </si>
  <si>
    <t>Model 2HB411A21 1300W-1ph Single Stage Freg/HP;50HZ</t>
  </si>
  <si>
    <t>Model 2HB210A11 400W-1ph Single Stage Freg/HP;50HZ</t>
  </si>
  <si>
    <t>Model 2HB220H26 700W-3ph - DOUBLE  Stage Freg/HP;50HZ</t>
  </si>
  <si>
    <t>K03MS055S</t>
  </si>
  <si>
    <t>K04MS11T</t>
  </si>
  <si>
    <t>SCL-K04 MS-1.1kW</t>
  </si>
  <si>
    <t>K04MS11S</t>
  </si>
  <si>
    <t>SCL-K04 MS-1.1kW-1-220V</t>
  </si>
  <si>
    <t>K05MS15T</t>
  </si>
  <si>
    <t>K05MS22T</t>
  </si>
  <si>
    <t>K07MS4</t>
  </si>
  <si>
    <t>K07RMD55</t>
  </si>
  <si>
    <t>SCL-K07R MD-5.5kW</t>
  </si>
  <si>
    <t>FPZ</t>
  </si>
  <si>
    <t>C.0.5</t>
  </si>
  <si>
    <t>CE-200</t>
  </si>
  <si>
    <t>Side Channel Blower</t>
  </si>
  <si>
    <t>SCL-K03 MS-0.55kW-1 -220V</t>
  </si>
  <si>
    <t>SCL-K03 MS-0.55kW- 3-380V</t>
  </si>
  <si>
    <t>SCL-K05 MS-2.2kW - 220V</t>
  </si>
  <si>
    <t>SCL-K05 MS-2.2kW-380V</t>
  </si>
  <si>
    <t>SCL-K05 MS-1.5kW-380V</t>
  </si>
  <si>
    <t>SCL-K07 MS-4kW - 525V</t>
  </si>
  <si>
    <t>K08TD11</t>
  </si>
  <si>
    <t>K09MD75</t>
  </si>
  <si>
    <t>SCL-K09 MD-7.5kW</t>
  </si>
  <si>
    <t>K09MS11</t>
  </si>
  <si>
    <t>SCL-K09 MS-11kW</t>
  </si>
  <si>
    <t>SCL-K08 TD-11kW - 400V</t>
  </si>
  <si>
    <t>Airmax-2-750- P -  Motor</t>
  </si>
  <si>
    <t>Airmax-2-750- P.E.C -  Motor</t>
  </si>
  <si>
    <t>Airmax-2-650-P - (W) Motor</t>
  </si>
  <si>
    <t>Airmax-2-750-P - (W) Motor</t>
  </si>
  <si>
    <t>Airmax-2-750- P.E.C - (W)-  Motor</t>
  </si>
  <si>
    <t>Airmax-2-850- P-  Motor</t>
  </si>
  <si>
    <t>Airmax-2-650- P.E.C -(W)  Motor</t>
  </si>
  <si>
    <t>Airmax-2-650- P.E.C - Motor</t>
  </si>
  <si>
    <t>Airmax-2-500 - P - Motor</t>
  </si>
  <si>
    <t>Airmax-2 - 500 - P (W) Motor</t>
  </si>
  <si>
    <t>Intake Filter - FL</t>
  </si>
  <si>
    <r>
      <t xml:space="preserve">FL4 - 1" </t>
    </r>
    <r>
      <rPr>
        <vertAlign val="superscript"/>
        <sz val="8"/>
        <color rgb="FF000000"/>
        <rFont val="Arial"/>
        <family val="2"/>
      </rPr>
      <t>1/4</t>
    </r>
  </si>
  <si>
    <t>FL4</t>
  </si>
  <si>
    <r>
      <t xml:space="preserve">FL5 - 1" </t>
    </r>
    <r>
      <rPr>
        <vertAlign val="superscript"/>
        <sz val="8"/>
        <color rgb="FF000000"/>
        <rFont val="Arial"/>
        <family val="2"/>
      </rPr>
      <t>1/2</t>
    </r>
  </si>
  <si>
    <t>FL5</t>
  </si>
  <si>
    <t>FL6 - 2"</t>
  </si>
  <si>
    <t>FL6</t>
  </si>
  <si>
    <t>FL8 - 3"</t>
  </si>
  <si>
    <t>FL8</t>
  </si>
  <si>
    <t>FL9 - 4"</t>
  </si>
  <si>
    <t>FL9</t>
  </si>
  <si>
    <t>Replacement Cartridge CF</t>
  </si>
  <si>
    <r>
      <t xml:space="preserve">CF4 - 1" </t>
    </r>
    <r>
      <rPr>
        <vertAlign val="superscript"/>
        <sz val="8"/>
        <color rgb="FF000000"/>
        <rFont val="Arial"/>
        <family val="2"/>
      </rPr>
      <t>1/4</t>
    </r>
  </si>
  <si>
    <t>CF4</t>
  </si>
  <si>
    <r>
      <t xml:space="preserve">CF5 - 1" </t>
    </r>
    <r>
      <rPr>
        <vertAlign val="superscript"/>
        <sz val="8"/>
        <color rgb="FF000000"/>
        <rFont val="Arial"/>
        <family val="2"/>
      </rPr>
      <t>1/2</t>
    </r>
  </si>
  <si>
    <t>CF5</t>
  </si>
  <si>
    <t>CF6 - 2"</t>
  </si>
  <si>
    <t>CF6</t>
  </si>
  <si>
    <t>CF8 - 3"</t>
  </si>
  <si>
    <t>CF8</t>
  </si>
  <si>
    <t>CF9 - 4"</t>
  </si>
  <si>
    <t>CF9</t>
  </si>
  <si>
    <t>Pressure Relief Valve</t>
  </si>
  <si>
    <t>VRL6 - 2"</t>
  </si>
  <si>
    <t>VRL6</t>
  </si>
  <si>
    <t>VRL8 - 3"</t>
  </si>
  <si>
    <t>VRL8</t>
  </si>
  <si>
    <t>VRL9 - 4"</t>
  </si>
  <si>
    <t>VRL9</t>
  </si>
  <si>
    <t>Total Price</t>
  </si>
  <si>
    <t>SCL-K06 MS-4kW-3-380V</t>
  </si>
  <si>
    <t>K06MS4</t>
  </si>
  <si>
    <t>K05MS22S</t>
  </si>
  <si>
    <t>LINEO 250 QUIET</t>
  </si>
  <si>
    <t>LINEO 315 QUIET</t>
  </si>
  <si>
    <t>6M02R9</t>
  </si>
  <si>
    <t>DDM 9/9 550W 4P 220V-1Ph</t>
  </si>
  <si>
    <t>AT 15/15 SC - Single Unit</t>
  </si>
  <si>
    <t>STOCK VALUE EXCL VAT</t>
  </si>
  <si>
    <t>AT 18/13 SC - Single Unit</t>
  </si>
  <si>
    <t>STOCK VALUE INCL VAT</t>
  </si>
  <si>
    <t>AT 18/18 SC - Single Unit</t>
  </si>
  <si>
    <t>MOTORE GM-63A4 B143F TC10 - TIRACAMINO MOTOR</t>
  </si>
  <si>
    <t>Tiracamino 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</si>
</sst>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-1C09]#,##0.00"/>
  </numFmts>
  <fonts count="16" x14ac:knownFonts="1">
    <font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name val="Aptos Narrow"/>
      <family val="2"/>
      <scheme val="minor"/>
    </font>
    <font>
      <sz val="12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theme="1"/>
      <name val="Arial"/>
      <family val="2"/>
    </font>
    <font>
      <vertAlign val="superscript"/>
      <sz val="8"/>
      <color rgb="FF000000"/>
      <name val="Arial"/>
      <family val="2"/>
    </font>
    <font>
      <sz val="8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8"/>
      <color rgb="FFFF0000"/>
      <name val="Aptos Narrow"/>
      <family val="2"/>
      <scheme val="minor"/>
    </font>
    <font>
      <b/>
      <sz val="8"/>
      <color rgb="FFFF0000"/>
      <name val="Arial"/>
      <family val="2"/>
    </font>
    <font>
      <sz val="8"/>
      <color rgb="FF000000"/>
      <name val="Arial"/>
      <family val="2"/>
    </font>
    <font>
      <b/>
      <sz val="8"/>
      <color rgb="FFFF0000"/>
      <name val="Arial"/>
      <family val="2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1F1F1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4" fillId="0" borderId="0"/>
  </cellStyleXfs>
  <cellXfs count="76">
    <xf numFmtId="0" fontId="0" fillId="0" borderId="0" xfId="0"/>
    <xf numFmtId="0" fontId="2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164" fontId="2" fillId="2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2" fillId="3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164" fontId="2" fillId="3" borderId="1" xfId="0" applyNumberFormat="1" applyFont="1" applyFill="1" applyBorder="1" applyAlignment="1">
      <alignment horizontal="right" vertical="top"/>
    </xf>
    <xf numFmtId="164" fontId="2" fillId="0" borderId="1" xfId="0" applyNumberFormat="1" applyFont="1" applyBorder="1" applyAlignment="1">
      <alignment horizontal="right" vertical="top"/>
    </xf>
    <xf numFmtId="0" fontId="9" fillId="3" borderId="0" xfId="0" applyFont="1" applyFill="1"/>
    <xf numFmtId="0" fontId="9" fillId="3" borderId="0" xfId="0" applyFont="1" applyFill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164" fontId="10" fillId="0" borderId="0" xfId="0" applyNumberFormat="1" applyFont="1" applyAlignment="1">
      <alignment horizontal="right"/>
    </xf>
    <xf numFmtId="164" fontId="12" fillId="5" borderId="1" xfId="0" applyNumberFormat="1" applyFont="1" applyFill="1" applyBorder="1" applyAlignment="1">
      <alignment horizontal="right"/>
    </xf>
    <xf numFmtId="164" fontId="9" fillId="3" borderId="0" xfId="0" applyNumberFormat="1" applyFont="1" applyFill="1" applyAlignment="1">
      <alignment horizontal="center"/>
    </xf>
    <xf numFmtId="164" fontId="10" fillId="3" borderId="1" xfId="0" applyNumberFormat="1" applyFont="1" applyFill="1" applyBorder="1" applyAlignment="1">
      <alignment horizontal="right"/>
    </xf>
    <xf numFmtId="164" fontId="10" fillId="4" borderId="1" xfId="0" applyNumberFormat="1" applyFont="1" applyFill="1" applyBorder="1" applyAlignment="1">
      <alignment horizontal="right"/>
    </xf>
    <xf numFmtId="0" fontId="2" fillId="0" borderId="2" xfId="0" applyFont="1" applyBorder="1" applyAlignment="1">
      <alignment vertical="top"/>
    </xf>
    <xf numFmtId="164" fontId="10" fillId="0" borderId="1" xfId="0" applyNumberFormat="1" applyFont="1" applyBorder="1" applyAlignment="1">
      <alignment horizontal="right"/>
    </xf>
    <xf numFmtId="0" fontId="9" fillId="0" borderId="1" xfId="0" applyFont="1" applyBorder="1"/>
    <xf numFmtId="0" fontId="13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center" vertical="top"/>
    </xf>
    <xf numFmtId="0" fontId="2" fillId="0" borderId="4" xfId="0" applyFont="1" applyBorder="1" applyAlignment="1">
      <alignment horizontal="left" vertical="top"/>
    </xf>
    <xf numFmtId="0" fontId="2" fillId="0" borderId="4" xfId="0" applyFont="1" applyBorder="1" applyAlignment="1">
      <alignment horizontal="center" vertical="top"/>
    </xf>
    <xf numFmtId="164" fontId="2" fillId="0" borderId="4" xfId="0" applyNumberFormat="1" applyFont="1" applyBorder="1" applyAlignment="1">
      <alignment horizontal="right" vertical="top"/>
    </xf>
    <xf numFmtId="49" fontId="5" fillId="0" borderId="1" xfId="1" applyNumberFormat="1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6" fillId="0" borderId="1" xfId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right"/>
    </xf>
    <xf numFmtId="164" fontId="10" fillId="0" borderId="5" xfId="0" applyNumberFormat="1" applyFont="1" applyBorder="1"/>
    <xf numFmtId="0" fontId="7" fillId="0" borderId="7" xfId="0" applyFont="1" applyBorder="1" applyAlignment="1">
      <alignment horizontal="left"/>
    </xf>
    <xf numFmtId="1" fontId="2" fillId="0" borderId="1" xfId="0" applyNumberFormat="1" applyFont="1" applyBorder="1" applyAlignment="1">
      <alignment horizontal="left" vertical="top"/>
    </xf>
    <xf numFmtId="164" fontId="10" fillId="0" borderId="1" xfId="0" applyNumberFormat="1" applyFont="1" applyBorder="1" applyAlignment="1">
      <alignment horizontal="right" vertical="top"/>
    </xf>
    <xf numFmtId="0" fontId="2" fillId="0" borderId="2" xfId="0" applyFont="1" applyBorder="1"/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/>
    <xf numFmtId="0" fontId="6" fillId="0" borderId="1" xfId="0" applyFont="1" applyBorder="1" applyAlignment="1">
      <alignment horizontal="center"/>
    </xf>
    <xf numFmtId="0" fontId="2" fillId="0" borderId="1" xfId="0" applyFont="1" applyBorder="1"/>
    <xf numFmtId="1" fontId="2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49" fontId="2" fillId="0" borderId="1" xfId="0" applyNumberFormat="1" applyFont="1" applyBorder="1"/>
    <xf numFmtId="49" fontId="2" fillId="0" borderId="1" xfId="0" applyNumberFormat="1" applyFont="1" applyBorder="1" applyAlignment="1">
      <alignment horizontal="center"/>
    </xf>
    <xf numFmtId="164" fontId="14" fillId="5" borderId="1" xfId="0" applyNumberFormat="1" applyFont="1" applyFill="1" applyBorder="1" applyAlignment="1">
      <alignment horizontal="right"/>
    </xf>
    <xf numFmtId="0" fontId="15" fillId="3" borderId="1" xfId="0" applyFont="1" applyFill="1" applyBorder="1" applyAlignment="1">
      <alignment horizontal="left" vertical="top"/>
    </xf>
    <xf numFmtId="0" fontId="15" fillId="3" borderId="2" xfId="0" applyFont="1" applyFill="1" applyBorder="1" applyAlignment="1">
      <alignment horizontal="left" vertical="top"/>
    </xf>
    <xf numFmtId="0" fontId="15" fillId="3" borderId="3" xfId="0" applyFont="1" applyFill="1" applyBorder="1" applyAlignment="1">
      <alignment horizontal="center" vertical="top"/>
    </xf>
    <xf numFmtId="164" fontId="15" fillId="3" borderId="1" xfId="0" applyNumberFormat="1" applyFont="1" applyFill="1" applyBorder="1" applyAlignment="1">
      <alignment horizontal="right" vertical="top"/>
    </xf>
    <xf numFmtId="0" fontId="7" fillId="3" borderId="1" xfId="0" applyFont="1" applyFill="1" applyBorder="1" applyAlignment="1">
      <alignment horizontal="left" vertical="top"/>
    </xf>
    <xf numFmtId="0" fontId="10" fillId="3" borderId="1" xfId="0" applyFont="1" applyFill="1" applyBorder="1" applyAlignment="1">
      <alignment horizontal="left" vertical="top"/>
    </xf>
    <xf numFmtId="0" fontId="10" fillId="3" borderId="1" xfId="0" applyFont="1" applyFill="1" applyBorder="1" applyAlignment="1">
      <alignment horizontal="center" vertical="top"/>
    </xf>
    <xf numFmtId="164" fontId="10" fillId="3" borderId="1" xfId="0" applyNumberFormat="1" applyFont="1" applyFill="1" applyBorder="1" applyAlignment="1">
      <alignment horizontal="center" vertical="top"/>
    </xf>
    <xf numFmtId="0" fontId="7" fillId="3" borderId="0" xfId="0" applyFont="1" applyFill="1"/>
    <xf numFmtId="164" fontId="0" fillId="0" borderId="0" xfId="0" applyNumberFormat="1"/>
    <xf numFmtId="0" fontId="6" fillId="5" borderId="1" xfId="1" applyFont="1" applyFill="1" applyBorder="1" applyAlignment="1">
      <alignment horizontal="center" vertical="center"/>
    </xf>
    <xf numFmtId="0" fontId="6" fillId="5" borderId="1" xfId="1" applyFont="1" applyFill="1" applyBorder="1" applyAlignment="1">
      <alignment horizontal="left" vertical="center"/>
    </xf>
    <xf numFmtId="0" fontId="11" fillId="5" borderId="2" xfId="0" applyFont="1" applyFill="1" applyBorder="1" applyAlignment="1">
      <alignment horizontal="center"/>
    </xf>
    <xf numFmtId="0" fontId="11" fillId="5" borderId="6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left" vertical="top"/>
    </xf>
    <xf numFmtId="0" fontId="2" fillId="6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left" vertical="top"/>
    </xf>
  </cellXfs>
  <cellStyles count="2">
    <cellStyle name="Normal" xfId="0" builtinId="0"/>
    <cellStyle name="Normal_Hoja1" xfId="1" xr:uid="{EA241376-1E13-4992-95E9-A15C021C37DA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F5E60-C2FC-46FB-9344-7CAF8B626DE5}">
  <dimension ref="A2:H315"/>
  <sheetViews>
    <sheetView tabSelected="1" zoomScale="110" zoomScaleNormal="110" workbookViewId="0">
      <pane ySplit="2" topLeftCell="A158" activePane="bottomLeft" state="frozen"/>
      <selection pane="bottomLeft" activeCell="D165" sqref="D165"/>
    </sheetView>
  </sheetViews>
  <sheetFormatPr defaultRowHeight="14.5" x14ac:dyDescent="0.35"/>
  <cols>
    <col min="1" max="1" width="23.90625" style="23" customWidth="1"/>
    <col min="2" max="2" width="20" style="23" customWidth="1"/>
    <col min="3" max="3" width="48.6328125" style="23" customWidth="1"/>
    <col min="4" max="4" width="10.1796875" style="24" customWidth="1"/>
    <col min="5" max="5" width="10.81640625" style="25" customWidth="1"/>
    <col min="6" max="6" width="11.453125" style="25" customWidth="1"/>
    <col min="8" max="8" width="13.453125" bestFit="1" customWidth="1"/>
  </cols>
  <sheetData>
    <row r="2" spans="1:6" x14ac:dyDescent="0.35">
      <c r="A2" s="58" t="s">
        <v>0</v>
      </c>
      <c r="B2" s="58" t="s">
        <v>1</v>
      </c>
      <c r="C2" s="59" t="s">
        <v>2</v>
      </c>
      <c r="D2" s="60" t="s">
        <v>14</v>
      </c>
      <c r="E2" s="61" t="s">
        <v>3</v>
      </c>
      <c r="F2" s="61" t="s">
        <v>475</v>
      </c>
    </row>
    <row r="3" spans="1:6" x14ac:dyDescent="0.35">
      <c r="A3" s="62" t="s">
        <v>48</v>
      </c>
      <c r="B3" s="63"/>
      <c r="C3" s="63"/>
      <c r="D3" s="64"/>
      <c r="E3" s="65"/>
      <c r="F3" s="64"/>
    </row>
    <row r="4" spans="1:6" x14ac:dyDescent="0.35">
      <c r="A4" s="2" t="s">
        <v>4</v>
      </c>
      <c r="B4" s="2">
        <v>610303</v>
      </c>
      <c r="C4" s="4" t="s">
        <v>5</v>
      </c>
      <c r="D4" s="34">
        <v>2</v>
      </c>
      <c r="E4" s="20">
        <v>2862</v>
      </c>
      <c r="F4" s="20">
        <f>E4*D4</f>
        <v>5724</v>
      </c>
    </row>
    <row r="5" spans="1:6" x14ac:dyDescent="0.35">
      <c r="A5" s="2" t="s">
        <v>4</v>
      </c>
      <c r="B5" s="2">
        <v>610633</v>
      </c>
      <c r="C5" s="4" t="s">
        <v>6</v>
      </c>
      <c r="D5" s="34">
        <v>4</v>
      </c>
      <c r="E5" s="20">
        <v>3011.25</v>
      </c>
      <c r="F5" s="20">
        <f t="shared" ref="F5:F71" si="0">E5*D5</f>
        <v>12045</v>
      </c>
    </row>
    <row r="6" spans="1:6" x14ac:dyDescent="0.35">
      <c r="A6" s="2" t="s">
        <v>4</v>
      </c>
      <c r="B6" s="2" t="s">
        <v>7</v>
      </c>
      <c r="C6" s="4" t="s">
        <v>8</v>
      </c>
      <c r="D6" s="34">
        <v>17</v>
      </c>
      <c r="E6" s="20">
        <v>3720.75</v>
      </c>
      <c r="F6" s="20">
        <f t="shared" si="0"/>
        <v>63252.75</v>
      </c>
    </row>
    <row r="7" spans="1:6" x14ac:dyDescent="0.35">
      <c r="A7" s="2" t="s">
        <v>4</v>
      </c>
      <c r="B7" s="2"/>
      <c r="C7" s="4" t="s">
        <v>27</v>
      </c>
      <c r="D7" s="34">
        <v>1</v>
      </c>
      <c r="E7" s="20">
        <v>4169</v>
      </c>
      <c r="F7" s="20">
        <f t="shared" si="0"/>
        <v>4169</v>
      </c>
    </row>
    <row r="8" spans="1:6" x14ac:dyDescent="0.35">
      <c r="A8" s="2" t="s">
        <v>4</v>
      </c>
      <c r="B8" s="2" t="s">
        <v>9</v>
      </c>
      <c r="C8" s="4" t="s">
        <v>10</v>
      </c>
      <c r="D8" s="34">
        <v>3</v>
      </c>
      <c r="E8" s="20">
        <v>4362</v>
      </c>
      <c r="F8" s="20">
        <f t="shared" si="0"/>
        <v>13086</v>
      </c>
    </row>
    <row r="9" spans="1:6" x14ac:dyDescent="0.35">
      <c r="A9" s="2" t="s">
        <v>4</v>
      </c>
      <c r="B9" s="2"/>
      <c r="C9" s="4" t="s">
        <v>29</v>
      </c>
      <c r="D9" s="34">
        <v>3</v>
      </c>
      <c r="E9" s="20">
        <v>4362</v>
      </c>
      <c r="F9" s="20">
        <f t="shared" si="0"/>
        <v>13086</v>
      </c>
    </row>
    <row r="10" spans="1:6" x14ac:dyDescent="0.35">
      <c r="A10" s="2" t="s">
        <v>4</v>
      </c>
      <c r="B10" s="2" t="s">
        <v>11</v>
      </c>
      <c r="C10" s="4" t="s">
        <v>12</v>
      </c>
      <c r="D10" s="34">
        <f>8+3</f>
        <v>11</v>
      </c>
      <c r="E10" s="20">
        <v>3890.25</v>
      </c>
      <c r="F10" s="20">
        <f t="shared" si="0"/>
        <v>42792.75</v>
      </c>
    </row>
    <row r="11" spans="1:6" x14ac:dyDescent="0.35">
      <c r="A11" s="2" t="s">
        <v>4</v>
      </c>
      <c r="B11" s="2"/>
      <c r="C11" s="4" t="s">
        <v>30</v>
      </c>
      <c r="D11" s="34">
        <v>3</v>
      </c>
      <c r="E11" s="20">
        <v>4030.5</v>
      </c>
      <c r="F11" s="20">
        <f t="shared" si="0"/>
        <v>12091.5</v>
      </c>
    </row>
    <row r="12" spans="1:6" x14ac:dyDescent="0.35">
      <c r="A12" s="2" t="s">
        <v>4</v>
      </c>
      <c r="B12" s="2" t="s">
        <v>13</v>
      </c>
      <c r="C12" s="4" t="s">
        <v>33</v>
      </c>
      <c r="D12" s="34">
        <v>1</v>
      </c>
      <c r="E12" s="20">
        <v>4995.75</v>
      </c>
      <c r="F12" s="20">
        <f t="shared" si="0"/>
        <v>4995.75</v>
      </c>
    </row>
    <row r="13" spans="1:6" x14ac:dyDescent="0.35">
      <c r="A13" s="2" t="s">
        <v>4</v>
      </c>
      <c r="B13" s="2"/>
      <c r="C13" s="4" t="s">
        <v>31</v>
      </c>
      <c r="D13" s="34">
        <f>7+2</f>
        <v>9</v>
      </c>
      <c r="E13" s="20">
        <v>3890.25</v>
      </c>
      <c r="F13" s="20">
        <f t="shared" si="0"/>
        <v>35012.25</v>
      </c>
    </row>
    <row r="14" spans="1:6" x14ac:dyDescent="0.35">
      <c r="A14" s="2" t="s">
        <v>4</v>
      </c>
      <c r="B14" s="2"/>
      <c r="C14" s="4" t="s">
        <v>32</v>
      </c>
      <c r="D14" s="34">
        <f>4+2</f>
        <v>6</v>
      </c>
      <c r="E14" s="20">
        <v>4030.5</v>
      </c>
      <c r="F14" s="20">
        <f t="shared" si="0"/>
        <v>24183</v>
      </c>
    </row>
    <row r="15" spans="1:6" x14ac:dyDescent="0.35">
      <c r="A15" s="62" t="s">
        <v>48</v>
      </c>
      <c r="B15" s="63"/>
      <c r="C15" s="63"/>
      <c r="D15" s="64"/>
      <c r="E15" s="65"/>
      <c r="F15" s="64"/>
    </row>
    <row r="16" spans="1:6" x14ac:dyDescent="0.35">
      <c r="A16" s="2" t="s">
        <v>15</v>
      </c>
      <c r="B16" s="2" t="s">
        <v>16</v>
      </c>
      <c r="C16" s="2" t="s">
        <v>17</v>
      </c>
      <c r="D16" s="12">
        <v>2</v>
      </c>
      <c r="E16" s="20">
        <v>5101.5</v>
      </c>
      <c r="F16" s="20">
        <f t="shared" si="0"/>
        <v>10203</v>
      </c>
    </row>
    <row r="17" spans="1:6" x14ac:dyDescent="0.35">
      <c r="A17" s="2" t="s">
        <v>15</v>
      </c>
      <c r="B17" s="2" t="s">
        <v>18</v>
      </c>
      <c r="C17" s="2" t="s">
        <v>19</v>
      </c>
      <c r="D17" s="12">
        <v>7</v>
      </c>
      <c r="E17" s="20">
        <v>5928.75</v>
      </c>
      <c r="F17" s="20">
        <f t="shared" si="0"/>
        <v>41501.25</v>
      </c>
    </row>
    <row r="18" spans="1:6" x14ac:dyDescent="0.35">
      <c r="A18" s="2" t="s">
        <v>15</v>
      </c>
      <c r="B18" s="2"/>
      <c r="C18" s="2" t="s">
        <v>28</v>
      </c>
      <c r="D18" s="12">
        <v>1</v>
      </c>
      <c r="E18" s="20">
        <v>10562</v>
      </c>
      <c r="F18" s="20">
        <f t="shared" si="0"/>
        <v>10562</v>
      </c>
    </row>
    <row r="19" spans="1:6" x14ac:dyDescent="0.35">
      <c r="A19" s="2" t="s">
        <v>15</v>
      </c>
      <c r="B19" s="2" t="s">
        <v>20</v>
      </c>
      <c r="C19" s="2" t="s">
        <v>21</v>
      </c>
      <c r="D19" s="12">
        <v>3</v>
      </c>
      <c r="E19" s="20">
        <v>6486.75</v>
      </c>
      <c r="F19" s="20">
        <f t="shared" si="0"/>
        <v>19460.25</v>
      </c>
    </row>
    <row r="20" spans="1:6" x14ac:dyDescent="0.35">
      <c r="A20" s="2" t="s">
        <v>15</v>
      </c>
      <c r="B20" s="2" t="s">
        <v>22</v>
      </c>
      <c r="C20" s="2" t="s">
        <v>23</v>
      </c>
      <c r="D20" s="12">
        <v>3</v>
      </c>
      <c r="E20" s="20">
        <v>7296.75</v>
      </c>
      <c r="F20" s="20">
        <f t="shared" si="0"/>
        <v>21890.25</v>
      </c>
    </row>
    <row r="21" spans="1:6" x14ac:dyDescent="0.35">
      <c r="A21" s="35" t="s">
        <v>15</v>
      </c>
      <c r="B21" s="35" t="s">
        <v>24</v>
      </c>
      <c r="C21" s="35" t="s">
        <v>25</v>
      </c>
      <c r="D21" s="36">
        <f>5+2</f>
        <v>7</v>
      </c>
      <c r="E21" s="37">
        <v>5715</v>
      </c>
      <c r="F21" s="20">
        <f t="shared" si="0"/>
        <v>40005</v>
      </c>
    </row>
    <row r="22" spans="1:6" x14ac:dyDescent="0.35">
      <c r="A22" s="2" t="s">
        <v>15</v>
      </c>
      <c r="B22" s="2" t="s">
        <v>26</v>
      </c>
      <c r="C22" s="2" t="s">
        <v>34</v>
      </c>
      <c r="D22" s="12">
        <v>6</v>
      </c>
      <c r="E22" s="20">
        <v>6722.25</v>
      </c>
      <c r="F22" s="20">
        <f t="shared" si="0"/>
        <v>40333.5</v>
      </c>
    </row>
    <row r="23" spans="1:6" x14ac:dyDescent="0.35">
      <c r="A23" s="2"/>
      <c r="B23" s="2" t="s">
        <v>481</v>
      </c>
      <c r="C23" s="2" t="s">
        <v>482</v>
      </c>
      <c r="D23" s="12">
        <v>6</v>
      </c>
      <c r="E23" s="20">
        <f>166.65*22.5*1.3</f>
        <v>4874.5124999999998</v>
      </c>
      <c r="F23" s="20">
        <f>E23*D23</f>
        <v>29247.074999999997</v>
      </c>
    </row>
    <row r="24" spans="1:6" x14ac:dyDescent="0.35">
      <c r="A24" s="66" t="s">
        <v>48</v>
      </c>
      <c r="B24" s="21"/>
      <c r="C24" s="21"/>
      <c r="D24" s="22"/>
      <c r="E24" s="27"/>
      <c r="F24" s="22"/>
    </row>
    <row r="25" spans="1:6" x14ac:dyDescent="0.35">
      <c r="A25" s="2" t="s">
        <v>35</v>
      </c>
      <c r="B25" s="2">
        <v>77521</v>
      </c>
      <c r="C25" s="4" t="s">
        <v>36</v>
      </c>
      <c r="D25" s="12">
        <f>1+4</f>
        <v>5</v>
      </c>
      <c r="E25" s="20">
        <v>2340</v>
      </c>
      <c r="F25" s="15">
        <f t="shared" si="0"/>
        <v>11700</v>
      </c>
    </row>
    <row r="26" spans="1:6" x14ac:dyDescent="0.35">
      <c r="A26" s="1" t="s">
        <v>35</v>
      </c>
      <c r="B26" s="1">
        <v>1010521</v>
      </c>
      <c r="C26" s="3" t="s">
        <v>37</v>
      </c>
      <c r="D26" s="11">
        <f>9+5</f>
        <v>14</v>
      </c>
      <c r="E26" s="20">
        <v>3576.75</v>
      </c>
      <c r="F26" s="15">
        <f t="shared" si="0"/>
        <v>50074.5</v>
      </c>
    </row>
    <row r="27" spans="1:6" x14ac:dyDescent="0.35">
      <c r="A27" s="2" t="s">
        <v>35</v>
      </c>
      <c r="B27" s="2">
        <v>129521</v>
      </c>
      <c r="C27" s="4" t="s">
        <v>38</v>
      </c>
      <c r="D27" s="12">
        <v>11</v>
      </c>
      <c r="E27" s="20">
        <v>3897.75</v>
      </c>
      <c r="F27" s="15">
        <f t="shared" si="0"/>
        <v>42875.25</v>
      </c>
    </row>
    <row r="28" spans="1:6" x14ac:dyDescent="0.35">
      <c r="A28" s="2" t="s">
        <v>35</v>
      </c>
      <c r="B28" s="1">
        <v>1212521</v>
      </c>
      <c r="C28" s="3" t="s">
        <v>39</v>
      </c>
      <c r="D28" s="11">
        <f>10+5</f>
        <v>15</v>
      </c>
      <c r="E28" s="20">
        <v>3804.75</v>
      </c>
      <c r="F28" s="15">
        <f t="shared" si="0"/>
        <v>57071.25</v>
      </c>
    </row>
    <row r="29" spans="1:6" x14ac:dyDescent="0.35">
      <c r="A29" s="2" t="s">
        <v>35</v>
      </c>
      <c r="B29" s="1">
        <v>1515521</v>
      </c>
      <c r="C29" s="3" t="s">
        <v>483</v>
      </c>
      <c r="D29" s="11">
        <v>15</v>
      </c>
      <c r="E29" s="20">
        <f>154.09*22.5*1.3</f>
        <v>4507.1325000000006</v>
      </c>
      <c r="F29" s="15">
        <f>E29*D29</f>
        <v>67606.987500000003</v>
      </c>
    </row>
    <row r="30" spans="1:6" x14ac:dyDescent="0.35">
      <c r="A30" s="2" t="s">
        <v>35</v>
      </c>
      <c r="B30" s="1">
        <v>1813521</v>
      </c>
      <c r="C30" s="3" t="s">
        <v>485</v>
      </c>
      <c r="D30" s="11">
        <v>1</v>
      </c>
      <c r="E30" s="20">
        <f>129.38*22.5*1.3</f>
        <v>3784.3649999999998</v>
      </c>
      <c r="F30" s="15">
        <f>E30*D30</f>
        <v>3784.3649999999998</v>
      </c>
    </row>
    <row r="31" spans="1:6" x14ac:dyDescent="0.35">
      <c r="A31" s="2" t="s">
        <v>35</v>
      </c>
      <c r="B31" s="1">
        <v>1818521</v>
      </c>
      <c r="C31" s="3" t="s">
        <v>487</v>
      </c>
      <c r="D31" s="11">
        <v>10</v>
      </c>
      <c r="E31" s="20">
        <f>195.39*22.5*1.3</f>
        <v>5715.1574999999993</v>
      </c>
      <c r="F31" s="15">
        <f>E31*D31</f>
        <v>57151.574999999997</v>
      </c>
    </row>
    <row r="32" spans="1:6" x14ac:dyDescent="0.35">
      <c r="A32" s="1"/>
      <c r="B32" s="1"/>
      <c r="C32" s="4" t="s">
        <v>40</v>
      </c>
      <c r="D32" s="12">
        <v>1</v>
      </c>
      <c r="E32" s="20">
        <v>7236</v>
      </c>
      <c r="F32" s="15">
        <f t="shared" si="0"/>
        <v>7236</v>
      </c>
    </row>
    <row r="33" spans="1:6" x14ac:dyDescent="0.35">
      <c r="A33" s="9" t="s">
        <v>47</v>
      </c>
      <c r="B33" s="5"/>
      <c r="C33" s="6"/>
      <c r="D33" s="13"/>
      <c r="E33" s="19"/>
      <c r="F33" s="19"/>
    </row>
    <row r="34" spans="1:6" x14ac:dyDescent="0.35">
      <c r="A34" s="7"/>
      <c r="B34" s="7"/>
      <c r="C34" s="4" t="s">
        <v>41</v>
      </c>
      <c r="D34" s="12">
        <v>2</v>
      </c>
      <c r="E34" s="20">
        <v>6418.5</v>
      </c>
      <c r="F34" s="15">
        <f t="shared" si="0"/>
        <v>12837</v>
      </c>
    </row>
    <row r="35" spans="1:6" x14ac:dyDescent="0.35">
      <c r="A35" s="1"/>
      <c r="B35" s="1"/>
      <c r="C35" s="3" t="s">
        <v>42</v>
      </c>
      <c r="D35" s="11">
        <v>8</v>
      </c>
      <c r="E35" s="20">
        <v>4362</v>
      </c>
      <c r="F35" s="15">
        <f t="shared" si="0"/>
        <v>34896</v>
      </c>
    </row>
    <row r="36" spans="1:6" x14ac:dyDescent="0.35">
      <c r="A36" s="7"/>
      <c r="B36" s="7"/>
      <c r="C36" s="8" t="s">
        <v>43</v>
      </c>
      <c r="D36" s="14">
        <v>3</v>
      </c>
      <c r="E36" s="16">
        <v>6878.25</v>
      </c>
      <c r="F36" s="15">
        <f t="shared" si="0"/>
        <v>20634.75</v>
      </c>
    </row>
    <row r="37" spans="1:6" x14ac:dyDescent="0.35">
      <c r="A37" s="1"/>
      <c r="B37" s="1"/>
      <c r="C37" s="3" t="s">
        <v>44</v>
      </c>
      <c r="D37" s="11">
        <f>4+7</f>
        <v>11</v>
      </c>
      <c r="E37" s="20">
        <v>7359</v>
      </c>
      <c r="F37" s="15">
        <f t="shared" si="0"/>
        <v>80949</v>
      </c>
    </row>
    <row r="38" spans="1:6" x14ac:dyDescent="0.35">
      <c r="A38" s="7"/>
      <c r="B38" s="7"/>
      <c r="C38" s="4" t="s">
        <v>45</v>
      </c>
      <c r="D38" s="12">
        <v>4</v>
      </c>
      <c r="E38" s="20">
        <f>392.49*22.5*1.3</f>
        <v>11480.3325</v>
      </c>
      <c r="F38" s="15">
        <f t="shared" si="0"/>
        <v>45921.33</v>
      </c>
    </row>
    <row r="39" spans="1:6" x14ac:dyDescent="0.35">
      <c r="A39" s="7"/>
      <c r="B39" s="7"/>
      <c r="C39" s="4" t="s">
        <v>46</v>
      </c>
      <c r="D39" s="12">
        <v>2</v>
      </c>
      <c r="E39" s="20">
        <v>25896</v>
      </c>
      <c r="F39" s="15">
        <f t="shared" si="0"/>
        <v>51792</v>
      </c>
    </row>
    <row r="40" spans="1:6" x14ac:dyDescent="0.35">
      <c r="A40" s="7"/>
      <c r="B40" s="7"/>
      <c r="C40" s="4" t="s">
        <v>49</v>
      </c>
      <c r="D40" s="12">
        <v>2</v>
      </c>
      <c r="E40" s="20">
        <v>5567.0940000000001</v>
      </c>
      <c r="F40" s="20">
        <f t="shared" si="0"/>
        <v>11134.188</v>
      </c>
    </row>
    <row r="41" spans="1:6" x14ac:dyDescent="0.35">
      <c r="A41" s="7"/>
      <c r="B41" s="7"/>
      <c r="C41" s="4" t="s">
        <v>50</v>
      </c>
      <c r="D41" s="12">
        <v>3</v>
      </c>
      <c r="E41" s="20">
        <v>6359.3010000000004</v>
      </c>
      <c r="F41" s="20">
        <f t="shared" si="0"/>
        <v>19077.903000000002</v>
      </c>
    </row>
    <row r="42" spans="1:6" x14ac:dyDescent="0.35">
      <c r="A42" s="7"/>
      <c r="B42" s="7"/>
      <c r="C42" s="4" t="s">
        <v>51</v>
      </c>
      <c r="D42" s="12">
        <v>1</v>
      </c>
      <c r="E42" s="20">
        <v>7277.5901000000003</v>
      </c>
      <c r="F42" s="20">
        <f t="shared" si="0"/>
        <v>7277.5901000000003</v>
      </c>
    </row>
    <row r="43" spans="1:6" x14ac:dyDescent="0.35">
      <c r="A43" s="7"/>
      <c r="B43" s="7"/>
      <c r="C43" s="4" t="s">
        <v>52</v>
      </c>
      <c r="D43" s="12">
        <v>1</v>
      </c>
      <c r="E43" s="20">
        <f>1390.56*22.5*1.3</f>
        <v>40673.879999999997</v>
      </c>
      <c r="F43" s="20">
        <f t="shared" si="0"/>
        <v>40673.879999999997</v>
      </c>
    </row>
    <row r="44" spans="1:6" x14ac:dyDescent="0.35">
      <c r="A44" s="7"/>
      <c r="B44" s="7"/>
      <c r="C44" s="4" t="s">
        <v>53</v>
      </c>
      <c r="D44" s="12">
        <v>1</v>
      </c>
      <c r="E44" s="20">
        <f>1251.2*22.5*1.3</f>
        <v>36597.599999999999</v>
      </c>
      <c r="F44" s="20">
        <f t="shared" si="0"/>
        <v>36597.599999999999</v>
      </c>
    </row>
    <row r="45" spans="1:6" x14ac:dyDescent="0.35">
      <c r="A45" s="9" t="s">
        <v>54</v>
      </c>
      <c r="B45" s="5"/>
      <c r="C45" s="6"/>
      <c r="D45" s="13"/>
      <c r="E45" s="19"/>
      <c r="F45" s="19"/>
    </row>
    <row r="46" spans="1:6" x14ac:dyDescent="0.35">
      <c r="A46" s="2" t="s">
        <v>55</v>
      </c>
      <c r="B46" s="38" t="s">
        <v>56</v>
      </c>
      <c r="C46" s="39" t="s">
        <v>57</v>
      </c>
      <c r="D46" s="40">
        <v>2</v>
      </c>
      <c r="E46" s="20">
        <v>4461</v>
      </c>
      <c r="F46" s="20">
        <f t="shared" si="0"/>
        <v>8922</v>
      </c>
    </row>
    <row r="47" spans="1:6" x14ac:dyDescent="0.35">
      <c r="A47" s="2" t="s">
        <v>55</v>
      </c>
      <c r="B47" s="38" t="s">
        <v>58</v>
      </c>
      <c r="C47" s="39" t="s">
        <v>59</v>
      </c>
      <c r="D47" s="40">
        <v>6</v>
      </c>
      <c r="E47" s="20">
        <v>4579.5</v>
      </c>
      <c r="F47" s="20">
        <f t="shared" si="0"/>
        <v>27477</v>
      </c>
    </row>
    <row r="48" spans="1:6" x14ac:dyDescent="0.35">
      <c r="A48" s="2" t="s">
        <v>55</v>
      </c>
      <c r="B48" s="38" t="s">
        <v>60</v>
      </c>
      <c r="C48" s="39" t="s">
        <v>61</v>
      </c>
      <c r="D48" s="40">
        <v>1</v>
      </c>
      <c r="E48" s="20">
        <v>5278.5</v>
      </c>
      <c r="F48" s="20">
        <f t="shared" si="0"/>
        <v>5278.5</v>
      </c>
    </row>
    <row r="49" spans="1:6" x14ac:dyDescent="0.35">
      <c r="A49" s="2" t="s">
        <v>55</v>
      </c>
      <c r="B49" s="38" t="s">
        <v>62</v>
      </c>
      <c r="C49" s="39" t="s">
        <v>63</v>
      </c>
      <c r="D49" s="40">
        <v>4</v>
      </c>
      <c r="E49" s="20">
        <v>4434.75</v>
      </c>
      <c r="F49" s="20">
        <f t="shared" si="0"/>
        <v>17739</v>
      </c>
    </row>
    <row r="50" spans="1:6" x14ac:dyDescent="0.35">
      <c r="A50" s="2" t="s">
        <v>55</v>
      </c>
      <c r="B50" s="38" t="s">
        <v>64</v>
      </c>
      <c r="C50" s="39" t="s">
        <v>65</v>
      </c>
      <c r="D50" s="40">
        <v>5</v>
      </c>
      <c r="E50" s="20">
        <v>4920.75</v>
      </c>
      <c r="F50" s="20">
        <f t="shared" si="0"/>
        <v>24603.75</v>
      </c>
    </row>
    <row r="51" spans="1:6" x14ac:dyDescent="0.35">
      <c r="A51" s="2" t="s">
        <v>55</v>
      </c>
      <c r="B51" s="38" t="s">
        <v>66</v>
      </c>
      <c r="C51" s="39" t="s">
        <v>67</v>
      </c>
      <c r="D51" s="40">
        <v>9</v>
      </c>
      <c r="E51" s="20">
        <v>5157</v>
      </c>
      <c r="F51" s="20">
        <f t="shared" si="0"/>
        <v>46413</v>
      </c>
    </row>
    <row r="52" spans="1:6" x14ac:dyDescent="0.35">
      <c r="A52" s="2" t="s">
        <v>55</v>
      </c>
      <c r="B52" s="38" t="s">
        <v>68</v>
      </c>
      <c r="C52" s="39" t="s">
        <v>69</v>
      </c>
      <c r="D52" s="40">
        <v>1</v>
      </c>
      <c r="E52" s="20">
        <v>5957.25</v>
      </c>
      <c r="F52" s="20">
        <f t="shared" si="0"/>
        <v>5957.25</v>
      </c>
    </row>
    <row r="53" spans="1:6" x14ac:dyDescent="0.35">
      <c r="A53" s="2" t="s">
        <v>55</v>
      </c>
      <c r="B53" s="38" t="s">
        <v>70</v>
      </c>
      <c r="C53" s="39" t="s">
        <v>71</v>
      </c>
      <c r="D53" s="40">
        <v>2</v>
      </c>
      <c r="E53" s="20">
        <v>6002.25</v>
      </c>
      <c r="F53" s="20">
        <f t="shared" si="0"/>
        <v>12004.5</v>
      </c>
    </row>
    <row r="54" spans="1:6" x14ac:dyDescent="0.35">
      <c r="A54" s="2" t="s">
        <v>55</v>
      </c>
      <c r="B54" s="38" t="s">
        <v>72</v>
      </c>
      <c r="C54" s="39" t="s">
        <v>73</v>
      </c>
      <c r="D54" s="40">
        <v>2</v>
      </c>
      <c r="E54" s="20">
        <v>8777.0475000000006</v>
      </c>
      <c r="F54" s="20">
        <f t="shared" si="0"/>
        <v>17554.095000000001</v>
      </c>
    </row>
    <row r="55" spans="1:6" x14ac:dyDescent="0.35">
      <c r="A55" s="2" t="s">
        <v>55</v>
      </c>
      <c r="B55" s="38" t="s">
        <v>74</v>
      </c>
      <c r="C55" s="69" t="s">
        <v>75</v>
      </c>
      <c r="D55" s="68">
        <v>0</v>
      </c>
      <c r="E55" s="20">
        <v>8270.25</v>
      </c>
      <c r="F55" s="20">
        <f t="shared" si="0"/>
        <v>0</v>
      </c>
    </row>
    <row r="56" spans="1:6" x14ac:dyDescent="0.35">
      <c r="A56" s="2" t="s">
        <v>55</v>
      </c>
      <c r="B56" s="38" t="s">
        <v>76</v>
      </c>
      <c r="C56" s="39" t="s">
        <v>77</v>
      </c>
      <c r="D56" s="40">
        <v>1</v>
      </c>
      <c r="E56" s="20">
        <v>12353.883750000003</v>
      </c>
      <c r="F56" s="20">
        <f t="shared" si="0"/>
        <v>12353.883750000003</v>
      </c>
    </row>
    <row r="57" spans="1:6" x14ac:dyDescent="0.35">
      <c r="A57" s="2" t="s">
        <v>55</v>
      </c>
      <c r="B57" s="38" t="s">
        <v>78</v>
      </c>
      <c r="C57" s="39" t="s">
        <v>79</v>
      </c>
      <c r="D57" s="40">
        <v>5</v>
      </c>
      <c r="E57" s="20">
        <v>11855.25</v>
      </c>
      <c r="F57" s="20">
        <f t="shared" si="0"/>
        <v>59276.25</v>
      </c>
    </row>
    <row r="58" spans="1:6" x14ac:dyDescent="0.35">
      <c r="A58" s="2" t="s">
        <v>80</v>
      </c>
      <c r="B58" s="38" t="s">
        <v>81</v>
      </c>
      <c r="C58" s="10" t="s">
        <v>82</v>
      </c>
      <c r="D58" s="12">
        <v>20</v>
      </c>
      <c r="E58" s="20">
        <v>1723.5</v>
      </c>
      <c r="F58" s="20">
        <f t="shared" si="0"/>
        <v>34470</v>
      </c>
    </row>
    <row r="59" spans="1:6" x14ac:dyDescent="0.35">
      <c r="A59" s="2" t="s">
        <v>80</v>
      </c>
      <c r="B59" s="38" t="s">
        <v>83</v>
      </c>
      <c r="C59" s="10" t="s">
        <v>84</v>
      </c>
      <c r="D59" s="12">
        <v>12</v>
      </c>
      <c r="E59" s="20">
        <v>2046</v>
      </c>
      <c r="F59" s="20">
        <f t="shared" si="0"/>
        <v>24552</v>
      </c>
    </row>
    <row r="60" spans="1:6" x14ac:dyDescent="0.35">
      <c r="A60" s="2" t="s">
        <v>80</v>
      </c>
      <c r="B60" s="38" t="s">
        <v>85</v>
      </c>
      <c r="C60" s="10" t="s">
        <v>86</v>
      </c>
      <c r="D60" s="12">
        <v>8</v>
      </c>
      <c r="E60" s="20">
        <v>2447.25</v>
      </c>
      <c r="F60" s="20">
        <f t="shared" si="0"/>
        <v>19578</v>
      </c>
    </row>
    <row r="61" spans="1:6" x14ac:dyDescent="0.35">
      <c r="A61" s="2" t="s">
        <v>80</v>
      </c>
      <c r="B61" s="38" t="s">
        <v>87</v>
      </c>
      <c r="C61" s="10" t="s">
        <v>88</v>
      </c>
      <c r="D61" s="12">
        <v>21</v>
      </c>
      <c r="E61" s="20">
        <v>3271.5</v>
      </c>
      <c r="F61" s="20">
        <f t="shared" si="0"/>
        <v>68701.5</v>
      </c>
    </row>
    <row r="62" spans="1:6" x14ac:dyDescent="0.35">
      <c r="A62" s="2" t="s">
        <v>89</v>
      </c>
      <c r="B62" s="38" t="s">
        <v>90</v>
      </c>
      <c r="C62" s="39" t="s">
        <v>91</v>
      </c>
      <c r="D62" s="40">
        <v>4</v>
      </c>
      <c r="E62" s="20">
        <v>14568</v>
      </c>
      <c r="F62" s="20">
        <f t="shared" si="0"/>
        <v>58272</v>
      </c>
    </row>
    <row r="63" spans="1:6" x14ac:dyDescent="0.35">
      <c r="A63" s="2" t="s">
        <v>92</v>
      </c>
      <c r="B63" s="38" t="s">
        <v>93</v>
      </c>
      <c r="C63" s="39" t="s">
        <v>94</v>
      </c>
      <c r="D63" s="40">
        <v>5</v>
      </c>
      <c r="E63" s="20">
        <v>5854.5</v>
      </c>
      <c r="F63" s="20">
        <f t="shared" si="0"/>
        <v>29272.5</v>
      </c>
    </row>
    <row r="64" spans="1:6" x14ac:dyDescent="0.35">
      <c r="A64" s="2" t="s">
        <v>92</v>
      </c>
      <c r="B64" s="38" t="s">
        <v>95</v>
      </c>
      <c r="C64" s="39" t="s">
        <v>96</v>
      </c>
      <c r="D64" s="40">
        <v>8</v>
      </c>
      <c r="E64" s="20">
        <v>6046.5</v>
      </c>
      <c r="F64" s="20">
        <f t="shared" si="0"/>
        <v>48372</v>
      </c>
    </row>
    <row r="65" spans="1:6" x14ac:dyDescent="0.35">
      <c r="A65" s="2" t="s">
        <v>92</v>
      </c>
      <c r="B65" s="38" t="s">
        <v>97</v>
      </c>
      <c r="C65" s="39" t="s">
        <v>98</v>
      </c>
      <c r="D65" s="40">
        <v>3</v>
      </c>
      <c r="E65" s="20">
        <v>5773.5</v>
      </c>
      <c r="F65" s="20">
        <f t="shared" si="0"/>
        <v>17320.5</v>
      </c>
    </row>
    <row r="66" spans="1:6" x14ac:dyDescent="0.35">
      <c r="A66" s="2" t="s">
        <v>92</v>
      </c>
      <c r="B66" s="38" t="s">
        <v>99</v>
      </c>
      <c r="C66" s="39" t="s">
        <v>100</v>
      </c>
      <c r="D66" s="40">
        <v>8</v>
      </c>
      <c r="E66" s="20">
        <v>6000.75</v>
      </c>
      <c r="F66" s="20">
        <f t="shared" si="0"/>
        <v>48006</v>
      </c>
    </row>
    <row r="67" spans="1:6" x14ac:dyDescent="0.35">
      <c r="A67" s="2" t="s">
        <v>92</v>
      </c>
      <c r="B67" s="38" t="s">
        <v>101</v>
      </c>
      <c r="C67" s="39" t="s">
        <v>102</v>
      </c>
      <c r="D67" s="40">
        <v>6</v>
      </c>
      <c r="E67" s="20">
        <v>7338.75</v>
      </c>
      <c r="F67" s="20">
        <f t="shared" si="0"/>
        <v>44032.5</v>
      </c>
    </row>
    <row r="68" spans="1:6" x14ac:dyDescent="0.35">
      <c r="A68" s="2" t="s">
        <v>92</v>
      </c>
      <c r="B68" s="38" t="s">
        <v>103</v>
      </c>
      <c r="C68" s="39" t="s">
        <v>104</v>
      </c>
      <c r="D68" s="40">
        <v>8</v>
      </c>
      <c r="E68" s="20">
        <v>7425</v>
      </c>
      <c r="F68" s="20">
        <f t="shared" si="0"/>
        <v>59400</v>
      </c>
    </row>
    <row r="69" spans="1:6" x14ac:dyDescent="0.35">
      <c r="A69" s="2" t="s">
        <v>92</v>
      </c>
      <c r="B69" s="38" t="s">
        <v>105</v>
      </c>
      <c r="C69" s="39" t="s">
        <v>106</v>
      </c>
      <c r="D69" s="40">
        <v>3</v>
      </c>
      <c r="E69" s="20">
        <v>6326.25</v>
      </c>
      <c r="F69" s="20">
        <f t="shared" si="0"/>
        <v>18978.75</v>
      </c>
    </row>
    <row r="70" spans="1:6" x14ac:dyDescent="0.35">
      <c r="A70" s="2" t="s">
        <v>92</v>
      </c>
      <c r="B70" s="38" t="s">
        <v>107</v>
      </c>
      <c r="C70" s="39" t="s">
        <v>108</v>
      </c>
      <c r="D70" s="40">
        <f>2+6</f>
        <v>8</v>
      </c>
      <c r="E70" s="20">
        <v>6500.25</v>
      </c>
      <c r="F70" s="20">
        <f t="shared" si="0"/>
        <v>52002</v>
      </c>
    </row>
    <row r="71" spans="1:6" x14ac:dyDescent="0.35">
      <c r="A71" s="2" t="s">
        <v>92</v>
      </c>
      <c r="B71" s="38" t="s">
        <v>109</v>
      </c>
      <c r="C71" s="39" t="s">
        <v>110</v>
      </c>
      <c r="D71" s="40">
        <v>6</v>
      </c>
      <c r="E71" s="20">
        <v>7834.5</v>
      </c>
      <c r="F71" s="20">
        <f t="shared" si="0"/>
        <v>47007</v>
      </c>
    </row>
    <row r="72" spans="1:6" x14ac:dyDescent="0.35">
      <c r="A72" s="2" t="s">
        <v>92</v>
      </c>
      <c r="B72" s="38" t="s">
        <v>111</v>
      </c>
      <c r="C72" s="39" t="s">
        <v>112</v>
      </c>
      <c r="D72" s="40">
        <v>1</v>
      </c>
      <c r="E72" s="20">
        <v>8233.5</v>
      </c>
      <c r="F72" s="20">
        <f t="shared" ref="F72:F138" si="1">E72*D72</f>
        <v>8233.5</v>
      </c>
    </row>
    <row r="73" spans="1:6" x14ac:dyDescent="0.35">
      <c r="A73" s="2" t="s">
        <v>92</v>
      </c>
      <c r="B73" s="38" t="s">
        <v>113</v>
      </c>
      <c r="C73" s="39" t="s">
        <v>114</v>
      </c>
      <c r="D73" s="40">
        <v>4</v>
      </c>
      <c r="E73" s="20">
        <v>6413</v>
      </c>
      <c r="F73" s="20">
        <f t="shared" si="1"/>
        <v>25652</v>
      </c>
    </row>
    <row r="74" spans="1:6" x14ac:dyDescent="0.35">
      <c r="A74" s="2"/>
      <c r="B74" s="38"/>
      <c r="C74" s="39" t="s">
        <v>115</v>
      </c>
      <c r="D74" s="40">
        <v>1</v>
      </c>
      <c r="E74" s="20">
        <v>6238</v>
      </c>
      <c r="F74" s="20">
        <f t="shared" si="1"/>
        <v>6238</v>
      </c>
    </row>
    <row r="75" spans="1:6" x14ac:dyDescent="0.35">
      <c r="A75" s="2" t="s">
        <v>116</v>
      </c>
      <c r="B75" s="38" t="s">
        <v>117</v>
      </c>
      <c r="C75" s="2" t="s">
        <v>118</v>
      </c>
      <c r="D75" s="12">
        <v>1</v>
      </c>
      <c r="E75" s="20">
        <v>17962.717500000002</v>
      </c>
      <c r="F75" s="20">
        <f t="shared" si="1"/>
        <v>17962.717500000002</v>
      </c>
    </row>
    <row r="76" spans="1:6" x14ac:dyDescent="0.35">
      <c r="A76" s="2" t="s">
        <v>116</v>
      </c>
      <c r="B76" s="38" t="s">
        <v>119</v>
      </c>
      <c r="C76" s="2" t="s">
        <v>120</v>
      </c>
      <c r="D76" s="12">
        <v>2</v>
      </c>
      <c r="E76" s="20">
        <v>20817.225000000002</v>
      </c>
      <c r="F76" s="20">
        <f t="shared" si="1"/>
        <v>41634.450000000004</v>
      </c>
    </row>
    <row r="77" spans="1:6" x14ac:dyDescent="0.35">
      <c r="A77" s="2" t="s">
        <v>121</v>
      </c>
      <c r="B77" s="38" t="s">
        <v>122</v>
      </c>
      <c r="C77" s="2" t="s">
        <v>123</v>
      </c>
      <c r="D77" s="12">
        <v>3</v>
      </c>
      <c r="E77" s="41">
        <v>19759.837499999998</v>
      </c>
      <c r="F77" s="20">
        <f t="shared" si="1"/>
        <v>59279.512499999997</v>
      </c>
    </row>
    <row r="78" spans="1:6" x14ac:dyDescent="0.35">
      <c r="A78" s="2" t="s">
        <v>121</v>
      </c>
      <c r="B78" s="38" t="s">
        <v>124</v>
      </c>
      <c r="C78" s="2" t="s">
        <v>125</v>
      </c>
      <c r="D78" s="12">
        <v>1</v>
      </c>
      <c r="E78" s="20">
        <v>22953.44025</v>
      </c>
      <c r="F78" s="20">
        <f t="shared" si="1"/>
        <v>22953.44025</v>
      </c>
    </row>
    <row r="79" spans="1:6" x14ac:dyDescent="0.35">
      <c r="A79" s="2" t="s">
        <v>121</v>
      </c>
      <c r="B79" s="38" t="s">
        <v>126</v>
      </c>
      <c r="C79" s="2" t="s">
        <v>127</v>
      </c>
      <c r="D79" s="12">
        <v>3</v>
      </c>
      <c r="E79" s="20">
        <v>34751.588624999997</v>
      </c>
      <c r="F79" s="20">
        <f t="shared" si="1"/>
        <v>104254.76587499998</v>
      </c>
    </row>
    <row r="80" spans="1:6" x14ac:dyDescent="0.35">
      <c r="A80" s="2"/>
      <c r="B80" s="38"/>
      <c r="C80" s="2" t="s">
        <v>197</v>
      </c>
      <c r="D80" s="12">
        <v>2</v>
      </c>
      <c r="E80" s="42">
        <v>28468.586250000004</v>
      </c>
      <c r="F80" s="20">
        <f t="shared" si="1"/>
        <v>56937.172500000008</v>
      </c>
    </row>
    <row r="81" spans="1:6" x14ac:dyDescent="0.35">
      <c r="A81" s="2" t="s">
        <v>128</v>
      </c>
      <c r="B81" s="38" t="s">
        <v>129</v>
      </c>
      <c r="C81" s="2" t="s">
        <v>130</v>
      </c>
      <c r="D81" s="12">
        <v>1</v>
      </c>
      <c r="E81" s="20">
        <v>23796.044999999998</v>
      </c>
      <c r="F81" s="20">
        <f t="shared" si="1"/>
        <v>23796.044999999998</v>
      </c>
    </row>
    <row r="82" spans="1:6" x14ac:dyDescent="0.35">
      <c r="A82" s="2" t="s">
        <v>128</v>
      </c>
      <c r="B82" s="38" t="s">
        <v>131</v>
      </c>
      <c r="C82" s="2" t="s">
        <v>132</v>
      </c>
      <c r="D82" s="12">
        <v>1</v>
      </c>
      <c r="E82" s="20">
        <v>39781.462500000001</v>
      </c>
      <c r="F82" s="20">
        <f t="shared" si="1"/>
        <v>39781.462500000001</v>
      </c>
    </row>
    <row r="83" spans="1:6" x14ac:dyDescent="0.35">
      <c r="A83" s="2" t="s">
        <v>133</v>
      </c>
      <c r="B83" s="38" t="s">
        <v>134</v>
      </c>
      <c r="C83" s="39" t="s">
        <v>135</v>
      </c>
      <c r="D83" s="40">
        <v>7</v>
      </c>
      <c r="E83" s="20">
        <v>39781.462500000001</v>
      </c>
      <c r="F83" s="20">
        <f t="shared" si="1"/>
        <v>278470.23749999999</v>
      </c>
    </row>
    <row r="84" spans="1:6" x14ac:dyDescent="0.35">
      <c r="A84" s="2" t="s">
        <v>133</v>
      </c>
      <c r="B84" s="38" t="s">
        <v>136</v>
      </c>
      <c r="C84" s="39" t="s">
        <v>137</v>
      </c>
      <c r="D84" s="40">
        <v>12</v>
      </c>
      <c r="E84" s="20">
        <v>5599.020375000001</v>
      </c>
      <c r="F84" s="20">
        <f t="shared" si="1"/>
        <v>67188.244500000015</v>
      </c>
    </row>
    <row r="85" spans="1:6" x14ac:dyDescent="0.35">
      <c r="A85" s="2" t="s">
        <v>133</v>
      </c>
      <c r="B85" s="38" t="s">
        <v>138</v>
      </c>
      <c r="C85" s="39" t="s">
        <v>139</v>
      </c>
      <c r="D85" s="40">
        <v>6</v>
      </c>
      <c r="E85" s="20">
        <v>5894.4746250000007</v>
      </c>
      <c r="F85" s="20">
        <f t="shared" si="1"/>
        <v>35366.847750000001</v>
      </c>
    </row>
    <row r="86" spans="1:6" x14ac:dyDescent="0.35">
      <c r="A86" s="2" t="s">
        <v>133</v>
      </c>
      <c r="B86" s="38" t="s">
        <v>140</v>
      </c>
      <c r="C86" s="39" t="s">
        <v>141</v>
      </c>
      <c r="D86" s="40">
        <v>8</v>
      </c>
      <c r="E86" s="20">
        <v>6406.920000000001</v>
      </c>
      <c r="F86" s="20">
        <f t="shared" si="1"/>
        <v>51255.360000000008</v>
      </c>
    </row>
    <row r="87" spans="1:6" x14ac:dyDescent="0.35">
      <c r="A87" s="2" t="s">
        <v>133</v>
      </c>
      <c r="B87" s="38" t="s">
        <v>142</v>
      </c>
      <c r="C87" s="39" t="s">
        <v>143</v>
      </c>
      <c r="D87" s="40">
        <v>11</v>
      </c>
      <c r="E87" s="20">
        <v>6703.4565000000002</v>
      </c>
      <c r="F87" s="20">
        <f t="shared" si="1"/>
        <v>73738.021500000003</v>
      </c>
    </row>
    <row r="88" spans="1:6" x14ac:dyDescent="0.35">
      <c r="A88" s="2" t="s">
        <v>133</v>
      </c>
      <c r="B88" s="38" t="s">
        <v>144</v>
      </c>
      <c r="C88" s="39" t="s">
        <v>145</v>
      </c>
      <c r="D88" s="40">
        <v>7</v>
      </c>
      <c r="E88" s="20">
        <v>7143.9322500000007</v>
      </c>
      <c r="F88" s="20">
        <f t="shared" si="1"/>
        <v>50007.525750000008</v>
      </c>
    </row>
    <row r="89" spans="1:6" x14ac:dyDescent="0.35">
      <c r="A89" s="2" t="s">
        <v>133</v>
      </c>
      <c r="B89" s="38" t="s">
        <v>146</v>
      </c>
      <c r="C89" s="39" t="s">
        <v>147</v>
      </c>
      <c r="D89" s="40">
        <v>6</v>
      </c>
      <c r="E89" s="20">
        <v>7674.2347500000014</v>
      </c>
      <c r="F89" s="20">
        <f t="shared" si="1"/>
        <v>46045.408500000005</v>
      </c>
    </row>
    <row r="90" spans="1:6" x14ac:dyDescent="0.35">
      <c r="A90" s="2" t="s">
        <v>133</v>
      </c>
      <c r="B90" s="38" t="s">
        <v>148</v>
      </c>
      <c r="C90" s="39" t="s">
        <v>149</v>
      </c>
      <c r="D90" s="40">
        <v>9</v>
      </c>
      <c r="E90" s="20">
        <v>7629.3213749999995</v>
      </c>
      <c r="F90" s="20">
        <f t="shared" si="1"/>
        <v>68663.892374999996</v>
      </c>
    </row>
    <row r="91" spans="1:6" x14ac:dyDescent="0.35">
      <c r="A91" s="2" t="s">
        <v>133</v>
      </c>
      <c r="B91" s="38" t="s">
        <v>150</v>
      </c>
      <c r="C91" s="39" t="s">
        <v>151</v>
      </c>
      <c r="D91" s="40">
        <v>4</v>
      </c>
      <c r="E91" s="20">
        <v>9444.7957500000011</v>
      </c>
      <c r="F91" s="20">
        <f t="shared" si="1"/>
        <v>37779.183000000005</v>
      </c>
    </row>
    <row r="92" spans="1:6" x14ac:dyDescent="0.35">
      <c r="A92" s="2" t="s">
        <v>133</v>
      </c>
      <c r="B92" s="38" t="s">
        <v>152</v>
      </c>
      <c r="C92" s="39" t="s">
        <v>153</v>
      </c>
      <c r="D92" s="40">
        <v>4</v>
      </c>
      <c r="E92" s="20">
        <v>12366.87075</v>
      </c>
      <c r="F92" s="20">
        <f t="shared" si="1"/>
        <v>49467.483</v>
      </c>
    </row>
    <row r="93" spans="1:6" x14ac:dyDescent="0.35">
      <c r="A93" s="2" t="s">
        <v>133</v>
      </c>
      <c r="B93" s="38" t="s">
        <v>154</v>
      </c>
      <c r="C93" s="39" t="s">
        <v>155</v>
      </c>
      <c r="D93" s="40">
        <v>4</v>
      </c>
      <c r="E93" s="20">
        <v>12259.728000000003</v>
      </c>
      <c r="F93" s="20">
        <f t="shared" si="1"/>
        <v>49038.912000000011</v>
      </c>
    </row>
    <row r="94" spans="1:6" x14ac:dyDescent="0.35">
      <c r="A94" s="2" t="s">
        <v>133</v>
      </c>
      <c r="B94" s="38" t="s">
        <v>156</v>
      </c>
      <c r="C94" s="39" t="s">
        <v>157</v>
      </c>
      <c r="D94" s="40">
        <v>2</v>
      </c>
      <c r="E94" s="20">
        <v>13391.761500000002</v>
      </c>
      <c r="F94" s="20">
        <f>E94*D94</f>
        <v>26783.523000000005</v>
      </c>
    </row>
    <row r="95" spans="1:6" x14ac:dyDescent="0.35">
      <c r="A95" s="2" t="s">
        <v>133</v>
      </c>
      <c r="B95" s="38" t="s">
        <v>158</v>
      </c>
      <c r="C95" s="39" t="s">
        <v>159</v>
      </c>
      <c r="D95" s="40">
        <v>3</v>
      </c>
      <c r="E95" s="20">
        <v>13869.574875000002</v>
      </c>
      <c r="F95" s="20">
        <f t="shared" si="1"/>
        <v>41608.724625000003</v>
      </c>
    </row>
    <row r="96" spans="1:6" x14ac:dyDescent="0.35">
      <c r="A96" s="2" t="s">
        <v>133</v>
      </c>
      <c r="B96" s="38" t="s">
        <v>160</v>
      </c>
      <c r="C96" s="39" t="s">
        <v>161</v>
      </c>
      <c r="D96" s="40">
        <v>5</v>
      </c>
      <c r="E96" s="20">
        <v>15664.486499999999</v>
      </c>
      <c r="F96" s="20">
        <f t="shared" si="1"/>
        <v>78322.432499999995</v>
      </c>
    </row>
    <row r="97" spans="1:6" x14ac:dyDescent="0.35">
      <c r="A97" s="2" t="s">
        <v>133</v>
      </c>
      <c r="B97" s="38" t="s">
        <v>162</v>
      </c>
      <c r="C97" s="39" t="s">
        <v>163</v>
      </c>
      <c r="D97" s="40">
        <v>3</v>
      </c>
      <c r="E97" s="20">
        <v>13059.510750000001</v>
      </c>
      <c r="F97" s="20">
        <f t="shared" si="1"/>
        <v>39178.532250000004</v>
      </c>
    </row>
    <row r="98" spans="1:6" x14ac:dyDescent="0.35">
      <c r="A98" s="2" t="s">
        <v>164</v>
      </c>
      <c r="B98" s="38" t="s">
        <v>165</v>
      </c>
      <c r="C98" s="2" t="s">
        <v>166</v>
      </c>
      <c r="D98" s="12">
        <v>2</v>
      </c>
      <c r="E98" s="20">
        <v>13247.822249999999</v>
      </c>
      <c r="F98" s="20">
        <f t="shared" si="1"/>
        <v>26495.644499999999</v>
      </c>
    </row>
    <row r="99" spans="1:6" x14ac:dyDescent="0.35">
      <c r="A99" s="2" t="s">
        <v>167</v>
      </c>
      <c r="B99" s="38" t="s">
        <v>168</v>
      </c>
      <c r="C99" s="4" t="s">
        <v>169</v>
      </c>
      <c r="D99" s="12">
        <v>7</v>
      </c>
      <c r="E99" s="20">
        <v>2139.6082500000002</v>
      </c>
      <c r="F99" s="20">
        <f t="shared" si="1"/>
        <v>14977.257750000001</v>
      </c>
    </row>
    <row r="100" spans="1:6" x14ac:dyDescent="0.35">
      <c r="A100" s="2" t="s">
        <v>167</v>
      </c>
      <c r="B100" s="38" t="s">
        <v>170</v>
      </c>
      <c r="C100" s="4" t="s">
        <v>171</v>
      </c>
      <c r="D100" s="12">
        <v>13</v>
      </c>
      <c r="E100" s="20">
        <v>2725.6466249999999</v>
      </c>
      <c r="F100" s="20">
        <f t="shared" si="1"/>
        <v>35433.406125000001</v>
      </c>
    </row>
    <row r="101" spans="1:6" x14ac:dyDescent="0.35">
      <c r="A101" s="2" t="s">
        <v>167</v>
      </c>
      <c r="B101" s="38" t="s">
        <v>172</v>
      </c>
      <c r="C101" s="4" t="s">
        <v>173</v>
      </c>
      <c r="D101" s="12">
        <v>11</v>
      </c>
      <c r="E101" s="20">
        <v>2576.83725</v>
      </c>
      <c r="F101" s="20">
        <f t="shared" si="1"/>
        <v>28345.209750000002</v>
      </c>
    </row>
    <row r="102" spans="1:6" x14ac:dyDescent="0.35">
      <c r="A102" s="2" t="s">
        <v>167</v>
      </c>
      <c r="B102" s="38" t="s">
        <v>174</v>
      </c>
      <c r="C102" s="4" t="s">
        <v>175</v>
      </c>
      <c r="D102" s="12">
        <v>9</v>
      </c>
      <c r="E102" s="20">
        <v>3096.3172500000001</v>
      </c>
      <c r="F102" s="20">
        <f t="shared" si="1"/>
        <v>27866.855250000001</v>
      </c>
    </row>
    <row r="103" spans="1:6" x14ac:dyDescent="0.35">
      <c r="A103" s="2" t="s">
        <v>167</v>
      </c>
      <c r="B103" s="38" t="s">
        <v>176</v>
      </c>
      <c r="C103" s="4" t="s">
        <v>177</v>
      </c>
      <c r="D103" s="12">
        <v>8</v>
      </c>
      <c r="E103" s="20">
        <v>3042.7458750000001</v>
      </c>
      <c r="F103" s="20">
        <f t="shared" si="1"/>
        <v>24341.967000000001</v>
      </c>
    </row>
    <row r="104" spans="1:6" x14ac:dyDescent="0.35">
      <c r="A104" s="2" t="s">
        <v>167</v>
      </c>
      <c r="B104" s="38" t="s">
        <v>178</v>
      </c>
      <c r="C104" s="4" t="s">
        <v>179</v>
      </c>
      <c r="D104" s="12">
        <v>10</v>
      </c>
      <c r="E104" s="20">
        <v>4555.1902500000015</v>
      </c>
      <c r="F104" s="20">
        <f t="shared" si="1"/>
        <v>45551.902500000011</v>
      </c>
    </row>
    <row r="105" spans="1:6" x14ac:dyDescent="0.35">
      <c r="A105" s="2" t="s">
        <v>167</v>
      </c>
      <c r="B105" s="38" t="s">
        <v>180</v>
      </c>
      <c r="C105" s="4" t="s">
        <v>181</v>
      </c>
      <c r="D105" s="12">
        <v>15</v>
      </c>
      <c r="E105" s="20">
        <v>3949.6713749999999</v>
      </c>
      <c r="F105" s="20">
        <f t="shared" si="1"/>
        <v>59245.070625</v>
      </c>
    </row>
    <row r="106" spans="1:6" x14ac:dyDescent="0.35">
      <c r="A106" s="2" t="s">
        <v>167</v>
      </c>
      <c r="B106" s="38" t="s">
        <v>182</v>
      </c>
      <c r="C106" s="4" t="s">
        <v>183</v>
      </c>
      <c r="D106" s="12">
        <v>7</v>
      </c>
      <c r="E106" s="20">
        <v>5741.3362500000003</v>
      </c>
      <c r="F106" s="20">
        <f t="shared" si="1"/>
        <v>40189.353750000002</v>
      </c>
    </row>
    <row r="107" spans="1:6" x14ac:dyDescent="0.35">
      <c r="A107" s="2" t="s">
        <v>167</v>
      </c>
      <c r="B107" s="38" t="s">
        <v>184</v>
      </c>
      <c r="C107" s="4" t="s">
        <v>185</v>
      </c>
      <c r="D107" s="12">
        <v>4</v>
      </c>
      <c r="E107" s="20">
        <v>5741.3362500000003</v>
      </c>
      <c r="F107" s="20">
        <f t="shared" si="1"/>
        <v>22965.345000000001</v>
      </c>
    </row>
    <row r="108" spans="1:6" x14ac:dyDescent="0.35">
      <c r="A108" s="2" t="s">
        <v>167</v>
      </c>
      <c r="B108" s="38" t="s">
        <v>186</v>
      </c>
      <c r="C108" s="4" t="s">
        <v>187</v>
      </c>
      <c r="D108" s="12">
        <v>5</v>
      </c>
      <c r="E108" s="20">
        <v>6255.9461249999995</v>
      </c>
      <c r="F108" s="20">
        <f t="shared" si="1"/>
        <v>31279.730624999997</v>
      </c>
    </row>
    <row r="109" spans="1:6" x14ac:dyDescent="0.35">
      <c r="A109" s="2" t="s">
        <v>167</v>
      </c>
      <c r="B109" s="38" t="s">
        <v>188</v>
      </c>
      <c r="C109" s="4" t="s">
        <v>189</v>
      </c>
      <c r="D109" s="12">
        <v>3</v>
      </c>
      <c r="E109" s="20">
        <v>6439.3874999999998</v>
      </c>
      <c r="F109" s="20">
        <f t="shared" si="1"/>
        <v>19318.162499999999</v>
      </c>
    </row>
    <row r="110" spans="1:6" x14ac:dyDescent="0.35">
      <c r="A110" s="2" t="s">
        <v>167</v>
      </c>
      <c r="B110" s="38" t="s">
        <v>190</v>
      </c>
      <c r="C110" s="4" t="s">
        <v>191</v>
      </c>
      <c r="D110" s="12">
        <v>2</v>
      </c>
      <c r="E110" s="20">
        <v>5279.756625</v>
      </c>
      <c r="F110" s="20">
        <f t="shared" si="1"/>
        <v>10559.51325</v>
      </c>
    </row>
    <row r="111" spans="1:6" x14ac:dyDescent="0.35">
      <c r="A111" s="2"/>
      <c r="B111" s="43">
        <v>1012725</v>
      </c>
      <c r="C111" s="4" t="s">
        <v>198</v>
      </c>
      <c r="D111" s="12">
        <v>1</v>
      </c>
      <c r="E111" s="20">
        <v>15371.74</v>
      </c>
      <c r="F111" s="20">
        <f t="shared" si="1"/>
        <v>15371.74</v>
      </c>
    </row>
    <row r="112" spans="1:6" x14ac:dyDescent="0.35">
      <c r="A112" s="2" t="s">
        <v>192</v>
      </c>
      <c r="B112" s="38" t="s">
        <v>193</v>
      </c>
      <c r="C112" s="4" t="s">
        <v>194</v>
      </c>
      <c r="D112" s="12">
        <v>1</v>
      </c>
      <c r="E112" s="20">
        <v>13495.657500000003</v>
      </c>
      <c r="F112" s="20">
        <f t="shared" si="1"/>
        <v>13495.657500000003</v>
      </c>
    </row>
    <row r="113" spans="1:6" x14ac:dyDescent="0.35">
      <c r="A113" s="2" t="s">
        <v>192</v>
      </c>
      <c r="B113" s="38" t="s">
        <v>195</v>
      </c>
      <c r="C113" s="4" t="s">
        <v>196</v>
      </c>
      <c r="D113" s="12">
        <v>2</v>
      </c>
      <c r="E113" s="20">
        <v>15600.633750000003</v>
      </c>
      <c r="F113" s="20">
        <f t="shared" si="1"/>
        <v>31201.267500000005</v>
      </c>
    </row>
    <row r="114" spans="1:6" x14ac:dyDescent="0.35">
      <c r="A114" s="66" t="s">
        <v>229</v>
      </c>
      <c r="B114" s="21"/>
      <c r="C114" s="21"/>
      <c r="D114" s="22"/>
      <c r="E114" s="22"/>
      <c r="F114" s="22"/>
    </row>
    <row r="115" spans="1:6" x14ac:dyDescent="0.35">
      <c r="A115" s="2" t="s">
        <v>199</v>
      </c>
      <c r="B115" s="2" t="s">
        <v>200</v>
      </c>
      <c r="C115" s="10" t="s">
        <v>201</v>
      </c>
      <c r="D115" s="12">
        <v>3</v>
      </c>
      <c r="E115" s="20">
        <v>2310</v>
      </c>
      <c r="F115" s="20">
        <f t="shared" si="1"/>
        <v>6930</v>
      </c>
    </row>
    <row r="116" spans="1:6" x14ac:dyDescent="0.35">
      <c r="A116" s="2" t="s">
        <v>199</v>
      </c>
      <c r="B116" s="2" t="s">
        <v>202</v>
      </c>
      <c r="C116" s="10" t="s">
        <v>203</v>
      </c>
      <c r="D116" s="12">
        <v>3</v>
      </c>
      <c r="E116" s="20">
        <v>2328</v>
      </c>
      <c r="F116" s="20">
        <f t="shared" si="1"/>
        <v>6984</v>
      </c>
    </row>
    <row r="117" spans="1:6" x14ac:dyDescent="0.35">
      <c r="A117" s="2"/>
      <c r="B117" s="2"/>
      <c r="C117" s="10" t="s">
        <v>230</v>
      </c>
      <c r="D117" s="12">
        <v>2</v>
      </c>
      <c r="E117" s="20">
        <v>1026</v>
      </c>
      <c r="F117" s="20">
        <f t="shared" si="1"/>
        <v>2052</v>
      </c>
    </row>
    <row r="118" spans="1:6" x14ac:dyDescent="0.35">
      <c r="A118" s="2" t="s">
        <v>199</v>
      </c>
      <c r="B118" s="2" t="s">
        <v>204</v>
      </c>
      <c r="C118" s="10" t="s">
        <v>205</v>
      </c>
      <c r="D118" s="12">
        <v>2</v>
      </c>
      <c r="E118" s="20">
        <v>2600.25</v>
      </c>
      <c r="F118" s="20">
        <f t="shared" si="1"/>
        <v>5200.5</v>
      </c>
    </row>
    <row r="119" spans="1:6" x14ac:dyDescent="0.35">
      <c r="A119" s="2" t="s">
        <v>199</v>
      </c>
      <c r="B119" s="2" t="s">
        <v>206</v>
      </c>
      <c r="C119" s="10" t="s">
        <v>207</v>
      </c>
      <c r="D119" s="12">
        <v>2</v>
      </c>
      <c r="E119" s="20">
        <v>3051.75</v>
      </c>
      <c r="F119" s="20">
        <f t="shared" si="1"/>
        <v>6103.5</v>
      </c>
    </row>
    <row r="120" spans="1:6" x14ac:dyDescent="0.35">
      <c r="A120" s="2"/>
      <c r="B120" s="2"/>
      <c r="C120" s="10" t="s">
        <v>231</v>
      </c>
      <c r="D120" s="12">
        <v>1</v>
      </c>
      <c r="E120" s="20">
        <v>3051.75</v>
      </c>
      <c r="F120" s="20">
        <f t="shared" si="1"/>
        <v>3051.75</v>
      </c>
    </row>
    <row r="121" spans="1:6" x14ac:dyDescent="0.35">
      <c r="A121" s="2" t="s">
        <v>208</v>
      </c>
      <c r="B121" s="44">
        <v>26025</v>
      </c>
      <c r="C121" s="10" t="s">
        <v>232</v>
      </c>
      <c r="D121" s="12">
        <v>7</v>
      </c>
      <c r="E121" s="45">
        <v>4203.1253013750002</v>
      </c>
      <c r="F121" s="20">
        <f t="shared" si="1"/>
        <v>29421.877109625002</v>
      </c>
    </row>
    <row r="122" spans="1:6" x14ac:dyDescent="0.35">
      <c r="A122" s="2" t="s">
        <v>208</v>
      </c>
      <c r="B122" s="44">
        <v>26027</v>
      </c>
      <c r="C122" s="10" t="s">
        <v>209</v>
      </c>
      <c r="D122" s="12">
        <v>4</v>
      </c>
      <c r="E122" s="20">
        <v>5219.0465827499993</v>
      </c>
      <c r="F122" s="20">
        <f t="shared" si="1"/>
        <v>20876.186330999997</v>
      </c>
    </row>
    <row r="123" spans="1:6" x14ac:dyDescent="0.35">
      <c r="A123" s="2" t="s">
        <v>210</v>
      </c>
      <c r="B123" s="44">
        <v>15000</v>
      </c>
      <c r="C123" s="10" t="s">
        <v>211</v>
      </c>
      <c r="D123" s="12">
        <v>10</v>
      </c>
      <c r="E123" s="20">
        <v>8608.2965718750002</v>
      </c>
      <c r="F123" s="20">
        <f t="shared" si="1"/>
        <v>86082.965718749998</v>
      </c>
    </row>
    <row r="124" spans="1:6" x14ac:dyDescent="0.35">
      <c r="A124" s="2" t="s">
        <v>489</v>
      </c>
      <c r="B124" s="44">
        <v>1373000218</v>
      </c>
      <c r="C124" s="30" t="s">
        <v>488</v>
      </c>
      <c r="D124" s="12">
        <v>4</v>
      </c>
      <c r="E124" s="20">
        <v>1926.405</v>
      </c>
      <c r="F124" s="20">
        <f>E124*D124</f>
        <v>7705.62</v>
      </c>
    </row>
    <row r="125" spans="1:6" x14ac:dyDescent="0.35">
      <c r="A125" s="2" t="s">
        <v>212</v>
      </c>
      <c r="B125" s="2">
        <v>17005</v>
      </c>
      <c r="C125" s="46" t="s">
        <v>213</v>
      </c>
      <c r="D125" s="47">
        <v>20</v>
      </c>
      <c r="E125" s="20">
        <v>1280.5730437500001</v>
      </c>
      <c r="F125" s="20">
        <f t="shared" si="1"/>
        <v>25611.460875000004</v>
      </c>
    </row>
    <row r="126" spans="1:6" x14ac:dyDescent="0.35">
      <c r="A126" s="2" t="s">
        <v>212</v>
      </c>
      <c r="B126" s="2">
        <v>17021</v>
      </c>
      <c r="C126" s="46" t="s">
        <v>233</v>
      </c>
      <c r="D126" s="47">
        <v>28</v>
      </c>
      <c r="E126" s="20">
        <v>1664.7449568750003</v>
      </c>
      <c r="F126" s="20">
        <f t="shared" si="1"/>
        <v>46612.85879250001</v>
      </c>
    </row>
    <row r="127" spans="1:6" x14ac:dyDescent="0.35">
      <c r="A127" s="2" t="s">
        <v>212</v>
      </c>
      <c r="B127" s="2">
        <v>17013</v>
      </c>
      <c r="C127" s="46" t="s">
        <v>235</v>
      </c>
      <c r="D127" s="47">
        <v>8</v>
      </c>
      <c r="E127" s="20">
        <v>1693.202135625</v>
      </c>
      <c r="F127" s="20">
        <f t="shared" si="1"/>
        <v>13545.617085</v>
      </c>
    </row>
    <row r="128" spans="1:6" x14ac:dyDescent="0.35">
      <c r="A128" s="2" t="s">
        <v>212</v>
      </c>
      <c r="B128" s="2">
        <v>17145</v>
      </c>
      <c r="C128" s="46" t="s">
        <v>234</v>
      </c>
      <c r="D128" s="47">
        <v>6</v>
      </c>
      <c r="E128" s="20">
        <v>1693.2</v>
      </c>
      <c r="F128" s="20">
        <f t="shared" si="1"/>
        <v>10159.200000000001</v>
      </c>
    </row>
    <row r="129" spans="1:6" x14ac:dyDescent="0.35">
      <c r="A129" s="2" t="s">
        <v>212</v>
      </c>
      <c r="B129" s="2">
        <v>17146</v>
      </c>
      <c r="C129" s="46" t="s">
        <v>214</v>
      </c>
      <c r="D129" s="47">
        <v>24</v>
      </c>
      <c r="E129" s="20">
        <v>1957.7025000000003</v>
      </c>
      <c r="F129" s="20">
        <f t="shared" si="1"/>
        <v>46984.860000000008</v>
      </c>
    </row>
    <row r="130" spans="1:6" x14ac:dyDescent="0.35">
      <c r="A130" s="2" t="s">
        <v>212</v>
      </c>
      <c r="B130" s="2"/>
      <c r="C130" s="46" t="s">
        <v>236</v>
      </c>
      <c r="D130" s="47">
        <v>11</v>
      </c>
      <c r="E130" s="20">
        <v>2063.145459375</v>
      </c>
      <c r="F130" s="20">
        <f t="shared" si="1"/>
        <v>22694.600053124999</v>
      </c>
    </row>
    <row r="131" spans="1:6" x14ac:dyDescent="0.35">
      <c r="A131" s="2" t="s">
        <v>212</v>
      </c>
      <c r="B131" s="2">
        <v>17148</v>
      </c>
      <c r="C131" s="46" t="s">
        <v>215</v>
      </c>
      <c r="D131" s="47">
        <v>4</v>
      </c>
      <c r="E131" s="20">
        <v>2205.431353125</v>
      </c>
      <c r="F131" s="20">
        <f t="shared" si="1"/>
        <v>8821.7254124999999</v>
      </c>
    </row>
    <row r="132" spans="1:6" x14ac:dyDescent="0.35">
      <c r="A132" s="48" t="s">
        <v>216</v>
      </c>
      <c r="B132" s="2">
        <v>17160</v>
      </c>
      <c r="C132" s="49" t="s">
        <v>217</v>
      </c>
      <c r="D132" s="50">
        <v>22</v>
      </c>
      <c r="E132" s="20">
        <v>2176.9741743750001</v>
      </c>
      <c r="F132" s="20">
        <f t="shared" si="1"/>
        <v>47893.431836250005</v>
      </c>
    </row>
    <row r="133" spans="1:6" x14ac:dyDescent="0.35">
      <c r="A133" s="48" t="s">
        <v>216</v>
      </c>
      <c r="B133" s="2">
        <v>17161</v>
      </c>
      <c r="C133" s="49" t="s">
        <v>218</v>
      </c>
      <c r="D133" s="50">
        <v>11</v>
      </c>
      <c r="E133" s="20">
        <v>2262.3457106249998</v>
      </c>
      <c r="F133" s="20">
        <f t="shared" si="1"/>
        <v>24885.802816874999</v>
      </c>
    </row>
    <row r="134" spans="1:6" x14ac:dyDescent="0.35">
      <c r="A134" s="48" t="s">
        <v>216</v>
      </c>
      <c r="B134" s="2">
        <v>17162</v>
      </c>
      <c r="C134" s="49" t="s">
        <v>219</v>
      </c>
      <c r="D134" s="50">
        <f>9+25</f>
        <v>34</v>
      </c>
      <c r="E134" s="20">
        <v>2535.9749999999999</v>
      </c>
      <c r="F134" s="20">
        <f t="shared" si="1"/>
        <v>86223.15</v>
      </c>
    </row>
    <row r="135" spans="1:6" x14ac:dyDescent="0.35">
      <c r="A135" s="48" t="s">
        <v>216</v>
      </c>
      <c r="B135" s="2">
        <v>17164</v>
      </c>
      <c r="C135" s="49" t="s">
        <v>220</v>
      </c>
      <c r="D135" s="50">
        <f>17+5</f>
        <v>22</v>
      </c>
      <c r="E135" s="20">
        <v>3750.1425000000004</v>
      </c>
      <c r="F135" s="20">
        <f t="shared" si="1"/>
        <v>82503.135000000009</v>
      </c>
    </row>
    <row r="136" spans="1:6" x14ac:dyDescent="0.35">
      <c r="A136" s="48" t="s">
        <v>216</v>
      </c>
      <c r="B136" s="2">
        <v>17165</v>
      </c>
      <c r="C136" s="49" t="s">
        <v>479</v>
      </c>
      <c r="D136" s="50">
        <v>22</v>
      </c>
      <c r="E136" s="20">
        <f>253.92*22.5*1.3</f>
        <v>7427.16</v>
      </c>
      <c r="F136" s="20">
        <f>E136*D136</f>
        <v>163397.51999999999</v>
      </c>
    </row>
    <row r="137" spans="1:6" x14ac:dyDescent="0.35">
      <c r="A137" s="48" t="s">
        <v>216</v>
      </c>
      <c r="B137" s="2">
        <v>17166</v>
      </c>
      <c r="C137" s="49" t="s">
        <v>480</v>
      </c>
      <c r="D137" s="50">
        <v>22</v>
      </c>
      <c r="E137" s="20">
        <f>337.11*22.5*1.3</f>
        <v>9860.4675000000007</v>
      </c>
      <c r="F137" s="20">
        <f>E137*D137</f>
        <v>216930.285</v>
      </c>
    </row>
    <row r="138" spans="1:6" x14ac:dyDescent="0.35">
      <c r="A138" s="2" t="s">
        <v>212</v>
      </c>
      <c r="B138" s="2"/>
      <c r="C138" s="51" t="s">
        <v>221</v>
      </c>
      <c r="D138" s="12">
        <v>3</v>
      </c>
      <c r="E138" s="20">
        <v>2973.7751793750003</v>
      </c>
      <c r="F138" s="20">
        <f t="shared" si="1"/>
        <v>8921.3255381250019</v>
      </c>
    </row>
    <row r="139" spans="1:6" x14ac:dyDescent="0.35">
      <c r="A139" s="2" t="s">
        <v>212</v>
      </c>
      <c r="B139" s="2">
        <v>17180</v>
      </c>
      <c r="C139" s="51" t="s">
        <v>222</v>
      </c>
      <c r="D139" s="12">
        <f>6+10</f>
        <v>16</v>
      </c>
      <c r="E139" s="20">
        <v>2618.0604449999996</v>
      </c>
      <c r="F139" s="20">
        <f t="shared" ref="F139:F200" si="2">E139*D139</f>
        <v>41888.967119999994</v>
      </c>
    </row>
    <row r="140" spans="1:6" x14ac:dyDescent="0.35">
      <c r="A140" s="2" t="s">
        <v>212</v>
      </c>
      <c r="B140" s="2">
        <v>17181</v>
      </c>
      <c r="C140" s="51" t="s">
        <v>223</v>
      </c>
      <c r="D140" s="12">
        <f>15+10</f>
        <v>25</v>
      </c>
      <c r="E140" s="20">
        <v>3941.3192568750001</v>
      </c>
      <c r="F140" s="20">
        <f t="shared" si="2"/>
        <v>98532.981421874996</v>
      </c>
    </row>
    <row r="141" spans="1:6" x14ac:dyDescent="0.35">
      <c r="A141" s="2" t="s">
        <v>212</v>
      </c>
      <c r="B141" s="2">
        <v>17182</v>
      </c>
      <c r="C141" s="51" t="s">
        <v>224</v>
      </c>
      <c r="D141" s="12">
        <v>7</v>
      </c>
      <c r="E141" s="20">
        <v>4475.25</v>
      </c>
      <c r="F141" s="20">
        <f t="shared" si="2"/>
        <v>31326.75</v>
      </c>
    </row>
    <row r="142" spans="1:6" x14ac:dyDescent="0.35">
      <c r="A142" s="2" t="s">
        <v>212</v>
      </c>
      <c r="B142" s="2">
        <v>12966</v>
      </c>
      <c r="C142" s="10" t="s">
        <v>225</v>
      </c>
      <c r="D142" s="12">
        <v>7</v>
      </c>
      <c r="E142" s="20">
        <v>739.88664749999998</v>
      </c>
      <c r="F142" s="20">
        <f t="shared" si="2"/>
        <v>5179.2065325000003</v>
      </c>
    </row>
    <row r="143" spans="1:6" x14ac:dyDescent="0.35">
      <c r="A143" s="2" t="s">
        <v>212</v>
      </c>
      <c r="B143" s="44">
        <v>12967</v>
      </c>
      <c r="C143" s="10" t="s">
        <v>226</v>
      </c>
      <c r="D143" s="12">
        <v>15</v>
      </c>
      <c r="E143" s="20">
        <v>896.40113062500006</v>
      </c>
      <c r="F143" s="20">
        <f t="shared" si="2"/>
        <v>13446.016959375002</v>
      </c>
    </row>
    <row r="144" spans="1:6" x14ac:dyDescent="0.35">
      <c r="A144" s="2" t="s">
        <v>227</v>
      </c>
      <c r="B144" s="2">
        <v>12943</v>
      </c>
      <c r="C144" s="4" t="s">
        <v>228</v>
      </c>
      <c r="D144" s="12">
        <v>11</v>
      </c>
      <c r="E144" s="20">
        <v>739.88664749999998</v>
      </c>
      <c r="F144" s="20">
        <f t="shared" si="2"/>
        <v>8138.7531225000002</v>
      </c>
    </row>
    <row r="145" spans="1:6" x14ac:dyDescent="0.35">
      <c r="A145" s="2"/>
      <c r="B145" s="2">
        <v>12987</v>
      </c>
      <c r="C145" s="4" t="s">
        <v>421</v>
      </c>
      <c r="D145" s="12">
        <v>6</v>
      </c>
      <c r="E145" s="20">
        <v>653</v>
      </c>
      <c r="F145" s="20">
        <f t="shared" si="2"/>
        <v>3918</v>
      </c>
    </row>
    <row r="146" spans="1:6" x14ac:dyDescent="0.35">
      <c r="A146" s="2" t="s">
        <v>237</v>
      </c>
      <c r="B146" s="2">
        <v>11201</v>
      </c>
      <c r="C146" s="2" t="s">
        <v>238</v>
      </c>
      <c r="D146" s="12">
        <v>27</v>
      </c>
      <c r="E146" s="20">
        <v>469.54344937500008</v>
      </c>
      <c r="F146" s="20">
        <f t="shared" si="2"/>
        <v>12677.673133125003</v>
      </c>
    </row>
    <row r="147" spans="1:6" x14ac:dyDescent="0.35">
      <c r="A147" s="2" t="s">
        <v>237</v>
      </c>
      <c r="B147" s="2">
        <v>11301</v>
      </c>
      <c r="C147" s="2" t="s">
        <v>239</v>
      </c>
      <c r="D147" s="12">
        <v>58</v>
      </c>
      <c r="E147" s="20">
        <v>554.9149856250001</v>
      </c>
      <c r="F147" s="20">
        <f t="shared" si="2"/>
        <v>32185.069166250007</v>
      </c>
    </row>
    <row r="148" spans="1:6" x14ac:dyDescent="0.35">
      <c r="A148" s="2" t="s">
        <v>237</v>
      </c>
      <c r="B148" s="2">
        <v>11311</v>
      </c>
      <c r="C148" s="2" t="s">
        <v>240</v>
      </c>
      <c r="D148" s="12">
        <v>20</v>
      </c>
      <c r="E148" s="20">
        <v>853.71536249999997</v>
      </c>
      <c r="F148" s="20">
        <f t="shared" si="2"/>
        <v>17074.307249999998</v>
      </c>
    </row>
    <row r="149" spans="1:6" x14ac:dyDescent="0.35">
      <c r="A149" s="2" t="s">
        <v>237</v>
      </c>
      <c r="B149" s="2">
        <v>11401</v>
      </c>
      <c r="C149" s="2" t="s">
        <v>241</v>
      </c>
      <c r="D149" s="12">
        <v>23</v>
      </c>
      <c r="E149" s="20">
        <v>996.00125624999998</v>
      </c>
      <c r="F149" s="20">
        <f t="shared" si="2"/>
        <v>22908.028893750001</v>
      </c>
    </row>
    <row r="150" spans="1:6" x14ac:dyDescent="0.35">
      <c r="A150" s="2" t="s">
        <v>237</v>
      </c>
      <c r="B150" s="2">
        <v>11411</v>
      </c>
      <c r="C150" s="2" t="s">
        <v>242</v>
      </c>
      <c r="D150" s="12">
        <v>5</v>
      </c>
      <c r="E150" s="20">
        <v>1337.4874012499999</v>
      </c>
      <c r="F150" s="20">
        <f t="shared" si="2"/>
        <v>6687.4370062500002</v>
      </c>
    </row>
    <row r="151" spans="1:6" x14ac:dyDescent="0.35">
      <c r="A151" s="2" t="s">
        <v>243</v>
      </c>
      <c r="B151" s="2">
        <v>22010</v>
      </c>
      <c r="C151" s="2" t="s">
        <v>244</v>
      </c>
      <c r="D151" s="12">
        <v>46</v>
      </c>
      <c r="E151" s="20">
        <v>65</v>
      </c>
      <c r="F151" s="20">
        <f t="shared" si="2"/>
        <v>2990</v>
      </c>
    </row>
    <row r="152" spans="1:6" x14ac:dyDescent="0.35">
      <c r="A152" s="2" t="s">
        <v>243</v>
      </c>
      <c r="B152" s="2">
        <v>22020</v>
      </c>
      <c r="C152" s="2" t="s">
        <v>245</v>
      </c>
      <c r="D152" s="12">
        <v>70</v>
      </c>
      <c r="E152" s="20">
        <v>82</v>
      </c>
      <c r="F152" s="20">
        <f t="shared" si="2"/>
        <v>5740</v>
      </c>
    </row>
    <row r="153" spans="1:6" x14ac:dyDescent="0.35">
      <c r="A153" s="2" t="s">
        <v>246</v>
      </c>
      <c r="B153" s="2">
        <v>11202</v>
      </c>
      <c r="C153" s="2" t="s">
        <v>247</v>
      </c>
      <c r="D153" s="12">
        <v>42</v>
      </c>
      <c r="E153" s="20">
        <v>768.34</v>
      </c>
      <c r="F153" s="20">
        <f t="shared" si="2"/>
        <v>32270.280000000002</v>
      </c>
    </row>
    <row r="154" spans="1:6" x14ac:dyDescent="0.35">
      <c r="A154" s="2" t="s">
        <v>246</v>
      </c>
      <c r="B154" s="2">
        <v>11212</v>
      </c>
      <c r="C154" s="2" t="s">
        <v>248</v>
      </c>
      <c r="D154" s="12">
        <v>36</v>
      </c>
      <c r="E154" s="20">
        <v>1067.1442031249999</v>
      </c>
      <c r="F154" s="20">
        <f t="shared" si="2"/>
        <v>38417.191312499999</v>
      </c>
    </row>
    <row r="155" spans="1:6" x14ac:dyDescent="0.35">
      <c r="A155" s="2" t="s">
        <v>246</v>
      </c>
      <c r="B155" s="2">
        <v>11322</v>
      </c>
      <c r="C155" s="2" t="s">
        <v>249</v>
      </c>
      <c r="D155" s="12">
        <v>18</v>
      </c>
      <c r="E155" s="20">
        <v>1195.2015074999999</v>
      </c>
      <c r="F155" s="20">
        <f t="shared" si="2"/>
        <v>21513.627134999999</v>
      </c>
    </row>
    <row r="156" spans="1:6" x14ac:dyDescent="0.35">
      <c r="A156" s="2" t="s">
        <v>246</v>
      </c>
      <c r="B156" s="2">
        <v>11302</v>
      </c>
      <c r="C156" s="2" t="s">
        <v>250</v>
      </c>
      <c r="D156" s="12">
        <v>28</v>
      </c>
      <c r="E156" s="20">
        <v>853.71536249999997</v>
      </c>
      <c r="F156" s="20">
        <f t="shared" si="2"/>
        <v>23904.030149999999</v>
      </c>
    </row>
    <row r="157" spans="1:6" x14ac:dyDescent="0.35">
      <c r="A157" s="2" t="s">
        <v>246</v>
      </c>
      <c r="B157" s="2">
        <v>11402</v>
      </c>
      <c r="C157" s="2" t="s">
        <v>251</v>
      </c>
      <c r="D157" s="12">
        <v>18</v>
      </c>
      <c r="E157" s="20">
        <v>1323.2588118750002</v>
      </c>
      <c r="F157" s="20">
        <f t="shared" si="2"/>
        <v>23818.658613750005</v>
      </c>
    </row>
    <row r="158" spans="1:6" x14ac:dyDescent="0.35">
      <c r="A158" s="2" t="s">
        <v>252</v>
      </c>
      <c r="B158" s="2">
        <v>11741</v>
      </c>
      <c r="C158" s="2" t="s">
        <v>253</v>
      </c>
      <c r="D158" s="12">
        <v>10</v>
      </c>
      <c r="E158" s="20">
        <v>721</v>
      </c>
      <c r="F158" s="20">
        <f t="shared" si="2"/>
        <v>7210</v>
      </c>
    </row>
    <row r="159" spans="1:6" x14ac:dyDescent="0.35">
      <c r="A159" s="2" t="s">
        <v>254</v>
      </c>
      <c r="B159" s="2">
        <v>11260</v>
      </c>
      <c r="C159" s="2" t="s">
        <v>255</v>
      </c>
      <c r="D159" s="12">
        <v>30</v>
      </c>
      <c r="E159" s="20">
        <v>1124.0585606249999</v>
      </c>
      <c r="F159" s="20">
        <f t="shared" si="2"/>
        <v>33721.75681875</v>
      </c>
    </row>
    <row r="160" spans="1:6" x14ac:dyDescent="0.35">
      <c r="A160" s="2" t="s">
        <v>254</v>
      </c>
      <c r="B160" s="2">
        <v>11270</v>
      </c>
      <c r="C160" s="2" t="s">
        <v>256</v>
      </c>
      <c r="D160" s="12">
        <v>12</v>
      </c>
      <c r="E160" s="20">
        <v>1252.115865</v>
      </c>
      <c r="F160" s="20">
        <f t="shared" si="2"/>
        <v>15025.390380000001</v>
      </c>
    </row>
    <row r="161" spans="1:6" x14ac:dyDescent="0.35">
      <c r="A161" s="2" t="s">
        <v>257</v>
      </c>
      <c r="B161" s="2">
        <v>11313</v>
      </c>
      <c r="C161" s="2" t="s">
        <v>258</v>
      </c>
      <c r="D161" s="12">
        <v>16</v>
      </c>
      <c r="E161" s="20">
        <v>853.71536249999997</v>
      </c>
      <c r="F161" s="20">
        <f t="shared" si="2"/>
        <v>13659.4458</v>
      </c>
    </row>
    <row r="162" spans="1:6" x14ac:dyDescent="0.35">
      <c r="A162" s="2" t="s">
        <v>257</v>
      </c>
      <c r="B162" s="2">
        <v>11314</v>
      </c>
      <c r="C162" s="2" t="s">
        <v>259</v>
      </c>
      <c r="D162" s="12">
        <v>19</v>
      </c>
      <c r="E162" s="20">
        <v>1223.6586862500001</v>
      </c>
      <c r="F162" s="20">
        <f t="shared" si="2"/>
        <v>23249.51503875</v>
      </c>
    </row>
    <row r="163" spans="1:6" x14ac:dyDescent="0.35">
      <c r="A163" s="2"/>
      <c r="B163" s="2">
        <v>11147</v>
      </c>
      <c r="C163" s="2" t="s">
        <v>260</v>
      </c>
      <c r="D163" s="12">
        <v>28</v>
      </c>
      <c r="E163" s="20">
        <v>853.71536249999997</v>
      </c>
      <c r="F163" s="20">
        <f t="shared" si="2"/>
        <v>23904.030149999999</v>
      </c>
    </row>
    <row r="164" spans="1:6" x14ac:dyDescent="0.35">
      <c r="A164" s="2" t="s">
        <v>261</v>
      </c>
      <c r="B164" s="75">
        <v>11123</v>
      </c>
      <c r="C164" s="73" t="s">
        <v>262</v>
      </c>
      <c r="D164" s="72">
        <v>89</v>
      </c>
      <c r="E164" s="20">
        <v>526.45780687500007</v>
      </c>
      <c r="F164" s="20">
        <f t="shared" si="2"/>
        <v>46854.744811875004</v>
      </c>
    </row>
    <row r="165" spans="1:6" x14ac:dyDescent="0.35">
      <c r="A165" s="2" t="s">
        <v>261</v>
      </c>
      <c r="B165" s="75">
        <v>11127</v>
      </c>
      <c r="C165" s="73" t="s">
        <v>263</v>
      </c>
      <c r="D165" s="74">
        <v>5</v>
      </c>
      <c r="E165" s="20">
        <v>782.57241562500019</v>
      </c>
      <c r="F165" s="20">
        <f t="shared" si="2"/>
        <v>3912.8620781250011</v>
      </c>
    </row>
    <row r="166" spans="1:6" x14ac:dyDescent="0.35">
      <c r="A166" s="2" t="s">
        <v>261</v>
      </c>
      <c r="B166" s="2">
        <v>11124</v>
      </c>
      <c r="C166" s="2" t="s">
        <v>264</v>
      </c>
      <c r="D166" s="12">
        <v>92</v>
      </c>
      <c r="E166" s="20">
        <v>626.05793249999999</v>
      </c>
      <c r="F166" s="20">
        <f t="shared" si="2"/>
        <v>57597.329789999996</v>
      </c>
    </row>
    <row r="167" spans="1:6" x14ac:dyDescent="0.35">
      <c r="A167" s="2" t="s">
        <v>261</v>
      </c>
      <c r="B167" s="2">
        <v>11128</v>
      </c>
      <c r="C167" s="2" t="s">
        <v>265</v>
      </c>
      <c r="D167" s="12">
        <v>29</v>
      </c>
      <c r="E167" s="20">
        <v>910.62971999999991</v>
      </c>
      <c r="F167" s="20">
        <f t="shared" si="2"/>
        <v>26408.261879999998</v>
      </c>
    </row>
    <row r="168" spans="1:6" x14ac:dyDescent="0.35">
      <c r="A168" s="2" t="s">
        <v>261</v>
      </c>
      <c r="B168" s="2">
        <v>11125</v>
      </c>
      <c r="C168" s="2" t="s">
        <v>266</v>
      </c>
      <c r="D168" s="12">
        <v>56</v>
      </c>
      <c r="E168" s="20">
        <v>1095.601381875</v>
      </c>
      <c r="F168" s="20">
        <f t="shared" si="2"/>
        <v>61353.677385000003</v>
      </c>
    </row>
    <row r="169" spans="1:6" x14ac:dyDescent="0.35">
      <c r="A169" s="2" t="s">
        <v>267</v>
      </c>
      <c r="B169" s="2">
        <v>11131</v>
      </c>
      <c r="C169" s="75" t="s">
        <v>268</v>
      </c>
      <c r="D169" s="12">
        <v>48</v>
      </c>
      <c r="E169" s="20">
        <v>796.80100500000015</v>
      </c>
      <c r="F169" s="20">
        <f t="shared" si="2"/>
        <v>38246.448240000005</v>
      </c>
    </row>
    <row r="170" spans="1:6" x14ac:dyDescent="0.35">
      <c r="A170" s="2" t="s">
        <v>267</v>
      </c>
      <c r="B170" s="2">
        <v>11135</v>
      </c>
      <c r="C170" s="75" t="s">
        <v>269</v>
      </c>
      <c r="D170" s="12">
        <v>8</v>
      </c>
      <c r="E170" s="20">
        <v>1138.2871499999999</v>
      </c>
      <c r="F170" s="20">
        <f t="shared" si="2"/>
        <v>9106.2971999999991</v>
      </c>
    </row>
    <row r="171" spans="1:6" x14ac:dyDescent="0.35">
      <c r="A171" s="2" t="s">
        <v>267</v>
      </c>
      <c r="B171" s="2">
        <v>11132</v>
      </c>
      <c r="C171" s="2" t="s">
        <v>270</v>
      </c>
      <c r="D171" s="12">
        <v>57</v>
      </c>
      <c r="E171" s="20">
        <v>896.40113062500006</v>
      </c>
      <c r="F171" s="20">
        <f t="shared" si="2"/>
        <v>51094.864445625004</v>
      </c>
    </row>
    <row r="172" spans="1:6" x14ac:dyDescent="0.35">
      <c r="A172" s="2" t="s">
        <v>267</v>
      </c>
      <c r="B172" s="2">
        <v>11136</v>
      </c>
      <c r="C172" s="2" t="s">
        <v>271</v>
      </c>
      <c r="D172" s="12">
        <v>27</v>
      </c>
      <c r="E172" s="20">
        <v>1237.887275625</v>
      </c>
      <c r="F172" s="20">
        <f t="shared" si="2"/>
        <v>33422.956441875001</v>
      </c>
    </row>
    <row r="173" spans="1:6" x14ac:dyDescent="0.35">
      <c r="A173" s="2" t="s">
        <v>267</v>
      </c>
      <c r="B173" s="2">
        <v>11133</v>
      </c>
      <c r="C173" s="2" t="s">
        <v>272</v>
      </c>
      <c r="D173" s="12">
        <v>6</v>
      </c>
      <c r="E173" s="20">
        <v>1380.173169375</v>
      </c>
      <c r="F173" s="20">
        <f t="shared" si="2"/>
        <v>8281.0390162500007</v>
      </c>
    </row>
    <row r="174" spans="1:6" x14ac:dyDescent="0.35">
      <c r="A174" s="2" t="s">
        <v>267</v>
      </c>
      <c r="B174" s="2">
        <v>11137</v>
      </c>
      <c r="C174" s="2" t="s">
        <v>273</v>
      </c>
      <c r="D174" s="12">
        <v>7</v>
      </c>
      <c r="E174" s="20">
        <v>1707.4307249999999</v>
      </c>
      <c r="F174" s="20">
        <f t="shared" si="2"/>
        <v>11952.015074999999</v>
      </c>
    </row>
    <row r="175" spans="1:6" x14ac:dyDescent="0.35">
      <c r="A175" s="2" t="s">
        <v>274</v>
      </c>
      <c r="B175" s="52">
        <v>11103</v>
      </c>
      <c r="C175" s="51" t="s">
        <v>275</v>
      </c>
      <c r="D175" s="53">
        <v>12</v>
      </c>
      <c r="E175" s="20">
        <v>1124.0585606249999</v>
      </c>
      <c r="F175" s="20">
        <f t="shared" si="2"/>
        <v>13488.7027275</v>
      </c>
    </row>
    <row r="176" spans="1:6" x14ac:dyDescent="0.35">
      <c r="A176" s="2" t="s">
        <v>274</v>
      </c>
      <c r="B176" s="52">
        <v>11104</v>
      </c>
      <c r="C176" s="51" t="s">
        <v>276</v>
      </c>
      <c r="D176" s="53">
        <v>5</v>
      </c>
      <c r="E176" s="20">
        <v>1223.6586862500001</v>
      </c>
      <c r="F176" s="20">
        <f t="shared" si="2"/>
        <v>6118.2934312500001</v>
      </c>
    </row>
    <row r="177" spans="1:6" x14ac:dyDescent="0.35">
      <c r="A177" s="2" t="s">
        <v>274</v>
      </c>
      <c r="B177" s="52">
        <v>11187</v>
      </c>
      <c r="C177" s="51" t="s">
        <v>277</v>
      </c>
      <c r="D177" s="53">
        <v>6</v>
      </c>
      <c r="E177" s="20">
        <v>1067.1442031249999</v>
      </c>
      <c r="F177" s="20">
        <f t="shared" si="2"/>
        <v>6402.8652187499993</v>
      </c>
    </row>
    <row r="178" spans="1:6" x14ac:dyDescent="0.35">
      <c r="A178" s="2"/>
      <c r="B178" s="52">
        <v>13001</v>
      </c>
      <c r="C178" s="51" t="s">
        <v>278</v>
      </c>
      <c r="D178" s="53">
        <v>4</v>
      </c>
      <c r="E178" s="20">
        <v>839.48677312500013</v>
      </c>
      <c r="F178" s="20">
        <f t="shared" si="2"/>
        <v>3357.9470925000005</v>
      </c>
    </row>
    <row r="179" spans="1:6" x14ac:dyDescent="0.35">
      <c r="A179" s="2"/>
      <c r="B179" s="52">
        <v>13002</v>
      </c>
      <c r="C179" s="51" t="s">
        <v>279</v>
      </c>
      <c r="D179" s="53">
        <v>20</v>
      </c>
      <c r="E179" s="20">
        <v>1095.601381875</v>
      </c>
      <c r="F179" s="20">
        <f t="shared" si="2"/>
        <v>21912.027637499999</v>
      </c>
    </row>
    <row r="180" spans="1:6" x14ac:dyDescent="0.35">
      <c r="A180" s="2"/>
      <c r="B180" s="52">
        <v>13028</v>
      </c>
      <c r="C180" s="51" t="s">
        <v>280</v>
      </c>
      <c r="D180" s="53">
        <v>14</v>
      </c>
      <c r="E180" s="20">
        <v>1095.601381875</v>
      </c>
      <c r="F180" s="20">
        <f t="shared" si="2"/>
        <v>15338.419346250001</v>
      </c>
    </row>
    <row r="181" spans="1:6" x14ac:dyDescent="0.35">
      <c r="A181" s="2"/>
      <c r="B181" s="52">
        <v>22133</v>
      </c>
      <c r="C181" s="51" t="s">
        <v>281</v>
      </c>
      <c r="D181" s="53">
        <v>17</v>
      </c>
      <c r="E181" s="20">
        <v>298.80037687499998</v>
      </c>
      <c r="F181" s="20">
        <f t="shared" si="2"/>
        <v>5079.6064068750002</v>
      </c>
    </row>
    <row r="182" spans="1:6" x14ac:dyDescent="0.35">
      <c r="A182" s="2"/>
      <c r="B182" s="52">
        <v>22132</v>
      </c>
      <c r="C182" s="51" t="s">
        <v>282</v>
      </c>
      <c r="D182" s="53">
        <v>28</v>
      </c>
      <c r="E182" s="20">
        <v>227.65742999999998</v>
      </c>
      <c r="F182" s="20">
        <f t="shared" si="2"/>
        <v>6374.4080399999993</v>
      </c>
    </row>
    <row r="183" spans="1:6" x14ac:dyDescent="0.35">
      <c r="A183" s="2"/>
      <c r="B183" s="52">
        <v>22131</v>
      </c>
      <c r="C183" s="51" t="s">
        <v>283</v>
      </c>
      <c r="D183" s="53">
        <v>14</v>
      </c>
      <c r="E183" s="20">
        <v>199.20025125000004</v>
      </c>
      <c r="F183" s="20">
        <f t="shared" si="2"/>
        <v>2788.8035175000005</v>
      </c>
    </row>
    <row r="184" spans="1:6" x14ac:dyDescent="0.35">
      <c r="A184" s="2" t="s">
        <v>284</v>
      </c>
      <c r="B184" s="54">
        <v>12612</v>
      </c>
      <c r="C184" s="55" t="s">
        <v>285</v>
      </c>
      <c r="D184" s="56" t="s">
        <v>296</v>
      </c>
      <c r="E184" s="20">
        <v>1307.25</v>
      </c>
      <c r="F184" s="20">
        <f t="shared" si="2"/>
        <v>36603</v>
      </c>
    </row>
    <row r="185" spans="1:6" x14ac:dyDescent="0.35">
      <c r="A185" s="2" t="s">
        <v>284</v>
      </c>
      <c r="B185" s="54">
        <v>12613</v>
      </c>
      <c r="C185" s="55" t="s">
        <v>286</v>
      </c>
      <c r="D185" s="56" t="s">
        <v>297</v>
      </c>
      <c r="E185" s="20">
        <v>2203.5</v>
      </c>
      <c r="F185" s="20">
        <f t="shared" si="2"/>
        <v>44070</v>
      </c>
    </row>
    <row r="186" spans="1:6" x14ac:dyDescent="0.35">
      <c r="A186" s="2" t="s">
        <v>284</v>
      </c>
      <c r="B186" s="54">
        <v>12616</v>
      </c>
      <c r="C186" s="55" t="s">
        <v>287</v>
      </c>
      <c r="D186" s="56" t="s">
        <v>298</v>
      </c>
      <c r="E186" s="20">
        <v>2541</v>
      </c>
      <c r="F186" s="20">
        <f t="shared" si="2"/>
        <v>25410</v>
      </c>
    </row>
    <row r="187" spans="1:6" x14ac:dyDescent="0.35">
      <c r="A187" s="2" t="s">
        <v>284</v>
      </c>
      <c r="B187" s="2">
        <v>12452</v>
      </c>
      <c r="C187" s="4" t="s">
        <v>288</v>
      </c>
      <c r="D187" s="12">
        <v>14</v>
      </c>
      <c r="E187" s="20">
        <v>2586.75</v>
      </c>
      <c r="F187" s="20">
        <f t="shared" si="2"/>
        <v>36214.5</v>
      </c>
    </row>
    <row r="188" spans="1:6" x14ac:dyDescent="0.35">
      <c r="A188" s="2" t="s">
        <v>284</v>
      </c>
      <c r="B188" s="2">
        <v>12453</v>
      </c>
      <c r="C188" s="4" t="s">
        <v>289</v>
      </c>
      <c r="D188" s="12">
        <v>30</v>
      </c>
      <c r="E188" s="20">
        <v>3056.25</v>
      </c>
      <c r="F188" s="20">
        <f t="shared" si="2"/>
        <v>91687.5</v>
      </c>
    </row>
    <row r="189" spans="1:6" x14ac:dyDescent="0.35">
      <c r="A189" s="2" t="s">
        <v>284</v>
      </c>
      <c r="B189" s="2">
        <v>12454</v>
      </c>
      <c r="C189" s="4" t="s">
        <v>290</v>
      </c>
      <c r="D189" s="12">
        <v>7</v>
      </c>
      <c r="E189" s="20">
        <v>2436</v>
      </c>
      <c r="F189" s="20">
        <f t="shared" si="2"/>
        <v>17052</v>
      </c>
    </row>
    <row r="190" spans="1:6" x14ac:dyDescent="0.35">
      <c r="A190" s="2" t="s">
        <v>284</v>
      </c>
      <c r="B190" s="2">
        <v>12456</v>
      </c>
      <c r="C190" s="4" t="s">
        <v>291</v>
      </c>
      <c r="D190" s="12">
        <v>13</v>
      </c>
      <c r="E190" s="20">
        <v>4005</v>
      </c>
      <c r="F190" s="20">
        <f t="shared" si="2"/>
        <v>52065</v>
      </c>
    </row>
    <row r="191" spans="1:6" x14ac:dyDescent="0.35">
      <c r="A191" s="2" t="s">
        <v>284</v>
      </c>
      <c r="B191" s="2">
        <v>12412</v>
      </c>
      <c r="C191" s="2" t="s">
        <v>292</v>
      </c>
      <c r="D191" s="12">
        <v>23</v>
      </c>
      <c r="E191" s="20">
        <v>3792.75</v>
      </c>
      <c r="F191" s="20">
        <f t="shared" si="2"/>
        <v>87233.25</v>
      </c>
    </row>
    <row r="192" spans="1:6" x14ac:dyDescent="0.35">
      <c r="A192" s="2" t="s">
        <v>284</v>
      </c>
      <c r="B192" s="2">
        <v>12413</v>
      </c>
      <c r="C192" s="2" t="s">
        <v>293</v>
      </c>
      <c r="D192" s="12">
        <v>25</v>
      </c>
      <c r="E192" s="20">
        <v>4593.75</v>
      </c>
      <c r="F192" s="20">
        <f t="shared" si="2"/>
        <v>114843.75</v>
      </c>
    </row>
    <row r="193" spans="1:6" x14ac:dyDescent="0.35">
      <c r="A193" s="2" t="s">
        <v>284</v>
      </c>
      <c r="B193" s="2">
        <v>12415</v>
      </c>
      <c r="C193" s="2" t="s">
        <v>294</v>
      </c>
      <c r="D193" s="12">
        <v>26</v>
      </c>
      <c r="E193" s="20">
        <v>5028.75</v>
      </c>
      <c r="F193" s="20">
        <f t="shared" si="2"/>
        <v>130747.5</v>
      </c>
    </row>
    <row r="194" spans="1:6" x14ac:dyDescent="0.35">
      <c r="A194" s="2" t="s">
        <v>284</v>
      </c>
      <c r="B194" s="2">
        <v>12416</v>
      </c>
      <c r="C194" s="2" t="s">
        <v>295</v>
      </c>
      <c r="D194" s="12">
        <v>11</v>
      </c>
      <c r="E194" s="20">
        <v>5140.5</v>
      </c>
      <c r="F194" s="20">
        <f t="shared" si="2"/>
        <v>56545.5</v>
      </c>
    </row>
    <row r="195" spans="1:6" x14ac:dyDescent="0.35">
      <c r="A195" s="2" t="s">
        <v>299</v>
      </c>
      <c r="B195" s="2">
        <v>30301</v>
      </c>
      <c r="C195" s="10" t="s">
        <v>300</v>
      </c>
      <c r="D195" s="12">
        <v>1</v>
      </c>
      <c r="E195" s="20">
        <v>9291</v>
      </c>
      <c r="F195" s="20">
        <f t="shared" si="2"/>
        <v>9291</v>
      </c>
    </row>
    <row r="196" spans="1:6" x14ac:dyDescent="0.35">
      <c r="A196" s="2" t="s">
        <v>299</v>
      </c>
      <c r="B196" s="2">
        <v>30304</v>
      </c>
      <c r="C196" s="10" t="s">
        <v>301</v>
      </c>
      <c r="D196" s="12">
        <v>1</v>
      </c>
      <c r="E196" s="20">
        <v>10371</v>
      </c>
      <c r="F196" s="20">
        <f t="shared" si="2"/>
        <v>10371</v>
      </c>
    </row>
    <row r="197" spans="1:6" x14ac:dyDescent="0.35">
      <c r="A197" s="2" t="s">
        <v>299</v>
      </c>
      <c r="B197" s="2">
        <v>30305</v>
      </c>
      <c r="C197" s="10" t="s">
        <v>302</v>
      </c>
      <c r="D197" s="12">
        <v>1</v>
      </c>
      <c r="E197" s="20">
        <v>11385</v>
      </c>
      <c r="F197" s="20">
        <f t="shared" si="2"/>
        <v>11385</v>
      </c>
    </row>
    <row r="198" spans="1:6" x14ac:dyDescent="0.35">
      <c r="A198" s="2" t="s">
        <v>299</v>
      </c>
      <c r="B198" s="2">
        <v>30307</v>
      </c>
      <c r="C198" s="10" t="s">
        <v>303</v>
      </c>
      <c r="D198" s="12">
        <v>1</v>
      </c>
      <c r="E198" s="20">
        <v>13429.5</v>
      </c>
      <c r="F198" s="20">
        <f t="shared" si="2"/>
        <v>13429.5</v>
      </c>
    </row>
    <row r="199" spans="1:6" x14ac:dyDescent="0.35">
      <c r="A199" s="2" t="s">
        <v>299</v>
      </c>
      <c r="B199" s="2">
        <v>30308</v>
      </c>
      <c r="C199" s="10" t="s">
        <v>319</v>
      </c>
      <c r="D199" s="12">
        <v>4</v>
      </c>
      <c r="E199" s="20">
        <v>14709</v>
      </c>
      <c r="F199" s="20">
        <f t="shared" si="2"/>
        <v>58836</v>
      </c>
    </row>
    <row r="200" spans="1:6" x14ac:dyDescent="0.35">
      <c r="A200" s="2"/>
      <c r="B200" s="2">
        <v>33353</v>
      </c>
      <c r="C200" s="10" t="s">
        <v>318</v>
      </c>
      <c r="D200" s="12">
        <v>1</v>
      </c>
      <c r="E200" s="20">
        <v>14709</v>
      </c>
      <c r="F200" s="20">
        <f t="shared" si="2"/>
        <v>14709</v>
      </c>
    </row>
    <row r="201" spans="1:6" x14ac:dyDescent="0.35">
      <c r="A201" s="2" t="s">
        <v>299</v>
      </c>
      <c r="B201" s="2">
        <v>30309</v>
      </c>
      <c r="C201" s="10" t="s">
        <v>304</v>
      </c>
      <c r="D201" s="12">
        <v>1</v>
      </c>
      <c r="E201" s="20">
        <v>15839.25</v>
      </c>
      <c r="F201" s="20">
        <f t="shared" ref="F201:F263" si="3">E201*D201</f>
        <v>15839.25</v>
      </c>
    </row>
    <row r="202" spans="1:6" x14ac:dyDescent="0.35">
      <c r="A202" s="2" t="s">
        <v>299</v>
      </c>
      <c r="B202" s="2">
        <v>30310</v>
      </c>
      <c r="C202" s="10" t="s">
        <v>305</v>
      </c>
      <c r="D202" s="12">
        <v>1</v>
      </c>
      <c r="E202" s="20">
        <v>18033</v>
      </c>
      <c r="F202" s="20">
        <f t="shared" si="3"/>
        <v>18033</v>
      </c>
    </row>
    <row r="203" spans="1:6" x14ac:dyDescent="0.35">
      <c r="A203" s="2" t="s">
        <v>299</v>
      </c>
      <c r="B203" s="2">
        <v>30311</v>
      </c>
      <c r="C203" s="10" t="s">
        <v>306</v>
      </c>
      <c r="D203" s="12">
        <v>2</v>
      </c>
      <c r="E203" s="20">
        <v>19745.25</v>
      </c>
      <c r="F203" s="20">
        <f t="shared" si="3"/>
        <v>39490.5</v>
      </c>
    </row>
    <row r="204" spans="1:6" x14ac:dyDescent="0.35">
      <c r="A204" s="2" t="s">
        <v>307</v>
      </c>
      <c r="B204" s="2">
        <v>40302</v>
      </c>
      <c r="C204" s="10" t="s">
        <v>308</v>
      </c>
      <c r="D204" s="12">
        <v>1</v>
      </c>
      <c r="E204" s="20">
        <v>11484.75</v>
      </c>
      <c r="F204" s="20">
        <f t="shared" si="3"/>
        <v>11484.75</v>
      </c>
    </row>
    <row r="205" spans="1:6" x14ac:dyDescent="0.35">
      <c r="A205" s="2" t="s">
        <v>307</v>
      </c>
      <c r="B205" s="2">
        <v>40304</v>
      </c>
      <c r="C205" s="10" t="s">
        <v>309</v>
      </c>
      <c r="D205" s="12">
        <v>1</v>
      </c>
      <c r="E205" s="20">
        <v>11767.5</v>
      </c>
      <c r="F205" s="20">
        <f t="shared" si="3"/>
        <v>11767.5</v>
      </c>
    </row>
    <row r="206" spans="1:6" x14ac:dyDescent="0.35">
      <c r="A206" s="2"/>
      <c r="B206" s="2">
        <v>40322</v>
      </c>
      <c r="C206" s="10" t="s">
        <v>309</v>
      </c>
      <c r="D206" s="12">
        <v>1</v>
      </c>
      <c r="E206" s="20">
        <v>11767.5</v>
      </c>
      <c r="F206" s="20">
        <f t="shared" si="3"/>
        <v>11767.5</v>
      </c>
    </row>
    <row r="207" spans="1:6" x14ac:dyDescent="0.35">
      <c r="A207" s="2" t="s">
        <v>307</v>
      </c>
      <c r="B207" s="2">
        <v>40306</v>
      </c>
      <c r="C207" s="10" t="s">
        <v>310</v>
      </c>
      <c r="D207" s="12">
        <v>3</v>
      </c>
      <c r="E207" s="20">
        <v>12232.5</v>
      </c>
      <c r="F207" s="20">
        <f t="shared" si="3"/>
        <v>36697.5</v>
      </c>
    </row>
    <row r="208" spans="1:6" x14ac:dyDescent="0.35">
      <c r="A208" s="2" t="s">
        <v>307</v>
      </c>
      <c r="B208" s="2">
        <v>40308</v>
      </c>
      <c r="C208" s="10" t="s">
        <v>311</v>
      </c>
      <c r="D208" s="12">
        <v>1</v>
      </c>
      <c r="E208" s="20">
        <v>12664.5</v>
      </c>
      <c r="F208" s="20">
        <f t="shared" si="3"/>
        <v>12664.5</v>
      </c>
    </row>
    <row r="209" spans="1:6" x14ac:dyDescent="0.35">
      <c r="A209" s="2" t="s">
        <v>307</v>
      </c>
      <c r="B209" s="2">
        <v>40309</v>
      </c>
      <c r="C209" s="10" t="s">
        <v>312</v>
      </c>
      <c r="D209" s="12">
        <v>1</v>
      </c>
      <c r="E209" s="20">
        <v>8609.25</v>
      </c>
      <c r="F209" s="20">
        <f t="shared" si="3"/>
        <v>8609.25</v>
      </c>
    </row>
    <row r="210" spans="1:6" x14ac:dyDescent="0.35">
      <c r="A210" s="2" t="s">
        <v>307</v>
      </c>
      <c r="B210" s="2">
        <v>40310</v>
      </c>
      <c r="C210" s="10" t="s">
        <v>313</v>
      </c>
      <c r="D210" s="12">
        <v>2</v>
      </c>
      <c r="E210" s="20">
        <v>9523.5</v>
      </c>
      <c r="F210" s="20">
        <f t="shared" si="3"/>
        <v>19047</v>
      </c>
    </row>
    <row r="211" spans="1:6" x14ac:dyDescent="0.35">
      <c r="A211" s="2" t="s">
        <v>307</v>
      </c>
      <c r="B211" s="2">
        <v>40313</v>
      </c>
      <c r="C211" s="10" t="s">
        <v>314</v>
      </c>
      <c r="D211" s="12">
        <v>2</v>
      </c>
      <c r="E211" s="20">
        <v>9615.75</v>
      </c>
      <c r="F211" s="20">
        <f t="shared" si="3"/>
        <v>19231.5</v>
      </c>
    </row>
    <row r="212" spans="1:6" x14ac:dyDescent="0.35">
      <c r="A212" s="2" t="s">
        <v>307</v>
      </c>
      <c r="B212" s="2">
        <v>40314</v>
      </c>
      <c r="C212" s="10" t="s">
        <v>315</v>
      </c>
      <c r="D212" s="12">
        <v>2</v>
      </c>
      <c r="E212" s="20">
        <v>10354.5</v>
      </c>
      <c r="F212" s="20">
        <f t="shared" si="3"/>
        <v>20709</v>
      </c>
    </row>
    <row r="213" spans="1:6" x14ac:dyDescent="0.35">
      <c r="A213" s="2" t="s">
        <v>307</v>
      </c>
      <c r="B213" s="2">
        <v>40316</v>
      </c>
      <c r="C213" s="10" t="s">
        <v>317</v>
      </c>
      <c r="D213" s="12">
        <v>7</v>
      </c>
      <c r="E213" s="20">
        <v>14442.75</v>
      </c>
      <c r="F213" s="20">
        <f t="shared" si="3"/>
        <v>101099.25</v>
      </c>
    </row>
    <row r="214" spans="1:6" x14ac:dyDescent="0.35">
      <c r="A214" s="2"/>
      <c r="B214" s="2">
        <v>40329</v>
      </c>
      <c r="C214" s="10" t="s">
        <v>316</v>
      </c>
      <c r="D214" s="12">
        <v>2</v>
      </c>
      <c r="E214" s="20">
        <v>11517.75</v>
      </c>
      <c r="F214" s="20">
        <f t="shared" si="3"/>
        <v>23035.5</v>
      </c>
    </row>
    <row r="215" spans="1:6" x14ac:dyDescent="0.35">
      <c r="A215" s="2"/>
      <c r="B215" s="2">
        <v>40324</v>
      </c>
      <c r="C215" s="10" t="s">
        <v>320</v>
      </c>
      <c r="D215" s="12">
        <v>1</v>
      </c>
      <c r="E215" s="20">
        <v>12664.5</v>
      </c>
      <c r="F215" s="20">
        <f t="shared" si="3"/>
        <v>12664.5</v>
      </c>
    </row>
    <row r="216" spans="1:6" x14ac:dyDescent="0.35">
      <c r="A216" s="9" t="s">
        <v>360</v>
      </c>
      <c r="B216" s="5"/>
      <c r="C216" s="17"/>
      <c r="D216" s="13"/>
      <c r="E216" s="28"/>
      <c r="F216" s="28"/>
    </row>
    <row r="217" spans="1:6" x14ac:dyDescent="0.35">
      <c r="A217" s="2"/>
      <c r="B217" s="7"/>
      <c r="C217" s="18" t="s">
        <v>361</v>
      </c>
      <c r="D217" s="14">
        <v>1</v>
      </c>
      <c r="E217" s="31">
        <v>1219.5</v>
      </c>
      <c r="F217" s="15">
        <f t="shared" si="3"/>
        <v>1219.5</v>
      </c>
    </row>
    <row r="218" spans="1:6" x14ac:dyDescent="0.35">
      <c r="A218" s="2"/>
      <c r="B218" s="7"/>
      <c r="C218" s="18" t="s">
        <v>362</v>
      </c>
      <c r="D218" s="14">
        <v>6</v>
      </c>
      <c r="E218" s="31">
        <v>1219.5</v>
      </c>
      <c r="F218" s="15">
        <f t="shared" si="3"/>
        <v>7317</v>
      </c>
    </row>
    <row r="219" spans="1:6" x14ac:dyDescent="0.35">
      <c r="A219" s="2"/>
      <c r="B219" s="7"/>
      <c r="C219" s="18" t="s">
        <v>363</v>
      </c>
      <c r="D219" s="14">
        <v>6</v>
      </c>
      <c r="E219" s="31">
        <v>1219.5</v>
      </c>
      <c r="F219" s="15">
        <f t="shared" si="3"/>
        <v>7317</v>
      </c>
    </row>
    <row r="220" spans="1:6" x14ac:dyDescent="0.35">
      <c r="A220" s="2"/>
      <c r="B220" s="7"/>
      <c r="C220" s="18" t="s">
        <v>364</v>
      </c>
      <c r="D220" s="14">
        <v>1</v>
      </c>
      <c r="E220" s="31">
        <v>1305.75</v>
      </c>
      <c r="F220" s="15">
        <f t="shared" si="3"/>
        <v>1305.75</v>
      </c>
    </row>
    <row r="221" spans="1:6" x14ac:dyDescent="0.35">
      <c r="A221" s="9" t="s">
        <v>321</v>
      </c>
      <c r="B221" s="5"/>
      <c r="C221" s="17"/>
      <c r="D221" s="13"/>
      <c r="E221" s="28"/>
      <c r="F221" s="28"/>
    </row>
    <row r="222" spans="1:6" x14ac:dyDescent="0.35">
      <c r="A222" s="2"/>
      <c r="B222" s="7" t="s">
        <v>328</v>
      </c>
      <c r="C222" s="18" t="s">
        <v>327</v>
      </c>
      <c r="D222" s="14">
        <v>20</v>
      </c>
      <c r="E222" s="29">
        <v>930</v>
      </c>
      <c r="F222" s="15">
        <f t="shared" si="3"/>
        <v>18600</v>
      </c>
    </row>
    <row r="223" spans="1:6" x14ac:dyDescent="0.35">
      <c r="A223" s="2"/>
      <c r="B223" s="7" t="s">
        <v>330</v>
      </c>
      <c r="C223" s="18" t="s">
        <v>329</v>
      </c>
      <c r="D223" s="14">
        <v>19</v>
      </c>
      <c r="E223" s="29">
        <v>1026</v>
      </c>
      <c r="F223" s="15">
        <f t="shared" si="3"/>
        <v>19494</v>
      </c>
    </row>
    <row r="224" spans="1:6" x14ac:dyDescent="0.35">
      <c r="A224" s="2"/>
      <c r="B224" s="7" t="s">
        <v>332</v>
      </c>
      <c r="C224" s="18" t="s">
        <v>331</v>
      </c>
      <c r="D224" s="14">
        <v>21</v>
      </c>
      <c r="E224" s="29">
        <v>1089.75</v>
      </c>
      <c r="F224" s="15">
        <f t="shared" si="3"/>
        <v>22884.75</v>
      </c>
    </row>
    <row r="225" spans="1:6" x14ac:dyDescent="0.35">
      <c r="A225" s="2"/>
      <c r="B225" s="7" t="s">
        <v>334</v>
      </c>
      <c r="C225" s="18" t="s">
        <v>333</v>
      </c>
      <c r="D225" s="14">
        <v>21</v>
      </c>
      <c r="E225" s="29">
        <v>1640.25</v>
      </c>
      <c r="F225" s="15">
        <f t="shared" si="3"/>
        <v>34445.25</v>
      </c>
    </row>
    <row r="226" spans="1:6" x14ac:dyDescent="0.35">
      <c r="A226" s="2"/>
      <c r="B226" s="7" t="s">
        <v>336</v>
      </c>
      <c r="C226" s="18" t="s">
        <v>335</v>
      </c>
      <c r="D226" s="14">
        <v>33</v>
      </c>
      <c r="E226" s="29">
        <v>1729.5</v>
      </c>
      <c r="F226" s="15">
        <f t="shared" si="3"/>
        <v>57073.5</v>
      </c>
    </row>
    <row r="227" spans="1:6" x14ac:dyDescent="0.35">
      <c r="A227" s="2"/>
      <c r="B227" s="7" t="s">
        <v>338</v>
      </c>
      <c r="C227" s="18" t="s">
        <v>337</v>
      </c>
      <c r="D227" s="14">
        <v>24</v>
      </c>
      <c r="E227" s="29">
        <v>2289</v>
      </c>
      <c r="F227" s="15">
        <f t="shared" si="3"/>
        <v>54936</v>
      </c>
    </row>
    <row r="228" spans="1:6" x14ac:dyDescent="0.35">
      <c r="A228" s="2"/>
      <c r="B228" s="7" t="s">
        <v>339</v>
      </c>
      <c r="C228" s="18" t="s">
        <v>359</v>
      </c>
      <c r="D228" s="14">
        <v>44</v>
      </c>
      <c r="E228" s="29">
        <v>3125.25</v>
      </c>
      <c r="F228" s="15">
        <f t="shared" si="3"/>
        <v>137511</v>
      </c>
    </row>
    <row r="229" spans="1:6" x14ac:dyDescent="0.35">
      <c r="A229" s="2"/>
      <c r="B229" s="7" t="s">
        <v>322</v>
      </c>
      <c r="C229" s="18" t="s">
        <v>365</v>
      </c>
      <c r="D229" s="14">
        <v>10</v>
      </c>
      <c r="E229" s="29">
        <v>1192.5</v>
      </c>
      <c r="F229" s="15">
        <f t="shared" si="3"/>
        <v>11925</v>
      </c>
    </row>
    <row r="230" spans="1:6" x14ac:dyDescent="0.35">
      <c r="A230" s="2"/>
      <c r="B230" s="7" t="s">
        <v>323</v>
      </c>
      <c r="C230" s="18" t="s">
        <v>367</v>
      </c>
      <c r="D230" s="14">
        <v>5</v>
      </c>
      <c r="E230" s="29">
        <v>1269.75</v>
      </c>
      <c r="F230" s="15">
        <f t="shared" si="3"/>
        <v>6348.75</v>
      </c>
    </row>
    <row r="231" spans="1:6" x14ac:dyDescent="0.35">
      <c r="A231" s="2"/>
      <c r="B231" s="7" t="s">
        <v>324</v>
      </c>
      <c r="C231" s="18" t="s">
        <v>366</v>
      </c>
      <c r="D231" s="14">
        <v>6</v>
      </c>
      <c r="E231" s="29">
        <v>2154</v>
      </c>
      <c r="F231" s="15">
        <f t="shared" si="3"/>
        <v>12924</v>
      </c>
    </row>
    <row r="232" spans="1:6" x14ac:dyDescent="0.35">
      <c r="A232" s="2"/>
      <c r="B232" s="7" t="s">
        <v>325</v>
      </c>
      <c r="C232" s="18" t="s">
        <v>368</v>
      </c>
      <c r="D232" s="14">
        <v>9</v>
      </c>
      <c r="E232" s="29">
        <v>2979.75</v>
      </c>
      <c r="F232" s="15">
        <f t="shared" si="3"/>
        <v>26817.75</v>
      </c>
    </row>
    <row r="233" spans="1:6" x14ac:dyDescent="0.35">
      <c r="A233" s="2"/>
      <c r="B233" s="7" t="s">
        <v>326</v>
      </c>
      <c r="C233" s="18" t="s">
        <v>369</v>
      </c>
      <c r="D233" s="14">
        <v>12</v>
      </c>
      <c r="E233" s="29">
        <v>4046.25</v>
      </c>
      <c r="F233" s="15">
        <f t="shared" si="3"/>
        <v>48555</v>
      </c>
    </row>
    <row r="234" spans="1:6" x14ac:dyDescent="0.35">
      <c r="A234" s="2"/>
      <c r="B234" s="7" t="s">
        <v>345</v>
      </c>
      <c r="C234" s="18" t="s">
        <v>370</v>
      </c>
      <c r="D234" s="14">
        <v>2</v>
      </c>
      <c r="E234" s="29">
        <v>1539</v>
      </c>
      <c r="F234" s="15">
        <f t="shared" si="3"/>
        <v>3078</v>
      </c>
    </row>
    <row r="235" spans="1:6" x14ac:dyDescent="0.35">
      <c r="A235" s="2"/>
      <c r="B235" s="7" t="s">
        <v>346</v>
      </c>
      <c r="C235" s="18" t="s">
        <v>373</v>
      </c>
      <c r="D235" s="14">
        <v>2</v>
      </c>
      <c r="E235" s="29">
        <v>2532.75</v>
      </c>
      <c r="F235" s="15">
        <f t="shared" si="3"/>
        <v>5065.5</v>
      </c>
    </row>
    <row r="236" spans="1:6" x14ac:dyDescent="0.35">
      <c r="A236" s="2"/>
      <c r="B236" s="7" t="s">
        <v>347</v>
      </c>
      <c r="C236" s="18" t="s">
        <v>371</v>
      </c>
      <c r="D236" s="14">
        <v>4</v>
      </c>
      <c r="E236" s="29">
        <v>4600.5</v>
      </c>
      <c r="F236" s="15">
        <f t="shared" si="3"/>
        <v>18402</v>
      </c>
    </row>
    <row r="237" spans="1:6" x14ac:dyDescent="0.35">
      <c r="A237" s="2"/>
      <c r="B237" s="7" t="s">
        <v>348</v>
      </c>
      <c r="C237" s="18" t="s">
        <v>372</v>
      </c>
      <c r="D237" s="14">
        <v>2</v>
      </c>
      <c r="E237" s="29">
        <v>4551.75</v>
      </c>
      <c r="F237" s="15">
        <f t="shared" si="3"/>
        <v>9103.5</v>
      </c>
    </row>
    <row r="238" spans="1:6" x14ac:dyDescent="0.35">
      <c r="A238" s="2"/>
      <c r="B238" s="7" t="s">
        <v>349</v>
      </c>
      <c r="C238" s="18" t="s">
        <v>374</v>
      </c>
      <c r="D238" s="14">
        <v>2</v>
      </c>
      <c r="E238" s="29">
        <v>9699.75</v>
      </c>
      <c r="F238" s="15">
        <f t="shared" si="3"/>
        <v>19399.5</v>
      </c>
    </row>
    <row r="239" spans="1:6" x14ac:dyDescent="0.35">
      <c r="A239" s="2"/>
      <c r="B239" s="7" t="s">
        <v>358</v>
      </c>
      <c r="C239" s="18" t="s">
        <v>375</v>
      </c>
      <c r="D239" s="14">
        <v>2</v>
      </c>
      <c r="E239" s="29">
        <v>2204.25</v>
      </c>
      <c r="F239" s="15">
        <f t="shared" si="3"/>
        <v>4408.5</v>
      </c>
    </row>
    <row r="240" spans="1:6" x14ac:dyDescent="0.35">
      <c r="A240" s="2"/>
      <c r="B240" s="7"/>
      <c r="C240" s="10" t="s">
        <v>376</v>
      </c>
      <c r="D240" s="12">
        <v>1</v>
      </c>
      <c r="E240" s="31">
        <v>2905</v>
      </c>
      <c r="F240" s="15">
        <f t="shared" si="3"/>
        <v>2905</v>
      </c>
    </row>
    <row r="241" spans="1:6" x14ac:dyDescent="0.35">
      <c r="A241" s="2"/>
      <c r="B241" s="7"/>
      <c r="C241" s="18" t="s">
        <v>377</v>
      </c>
      <c r="D241" s="14">
        <v>1</v>
      </c>
      <c r="E241" s="29">
        <v>9985.5</v>
      </c>
      <c r="F241" s="15">
        <f t="shared" si="3"/>
        <v>9985.5</v>
      </c>
    </row>
    <row r="242" spans="1:6" x14ac:dyDescent="0.35">
      <c r="A242" s="2"/>
      <c r="B242" s="7"/>
      <c r="C242" s="10" t="s">
        <v>378</v>
      </c>
      <c r="D242" s="12">
        <v>1</v>
      </c>
      <c r="E242" s="31">
        <v>10318</v>
      </c>
      <c r="F242" s="15">
        <f t="shared" si="3"/>
        <v>10318</v>
      </c>
    </row>
    <row r="243" spans="1:6" x14ac:dyDescent="0.35">
      <c r="A243" s="2"/>
      <c r="B243" s="7" t="s">
        <v>350</v>
      </c>
      <c r="C243" s="18" t="s">
        <v>379</v>
      </c>
      <c r="D243" s="14">
        <v>15</v>
      </c>
      <c r="E243" s="29">
        <v>1288.5</v>
      </c>
      <c r="F243" s="15">
        <f t="shared" si="3"/>
        <v>19327.5</v>
      </c>
    </row>
    <row r="244" spans="1:6" x14ac:dyDescent="0.35">
      <c r="A244" s="2"/>
      <c r="B244" s="7" t="s">
        <v>351</v>
      </c>
      <c r="C244" s="18" t="s">
        <v>380</v>
      </c>
      <c r="D244" s="14">
        <v>7</v>
      </c>
      <c r="E244" s="29">
        <v>1500</v>
      </c>
      <c r="F244" s="15">
        <f t="shared" si="3"/>
        <v>10500</v>
      </c>
    </row>
    <row r="245" spans="1:6" x14ac:dyDescent="0.35">
      <c r="A245" s="2"/>
      <c r="B245" s="7" t="s">
        <v>352</v>
      </c>
      <c r="C245" s="18" t="s">
        <v>381</v>
      </c>
      <c r="D245" s="14">
        <v>17</v>
      </c>
      <c r="E245" s="29">
        <v>1692.75</v>
      </c>
      <c r="F245" s="15">
        <f t="shared" si="3"/>
        <v>28776.75</v>
      </c>
    </row>
    <row r="246" spans="1:6" x14ac:dyDescent="0.35">
      <c r="A246" s="2"/>
      <c r="B246" s="7" t="s">
        <v>353</v>
      </c>
      <c r="C246" s="18" t="s">
        <v>382</v>
      </c>
      <c r="D246" s="14">
        <v>28</v>
      </c>
      <c r="E246" s="29">
        <v>309</v>
      </c>
      <c r="F246" s="15">
        <f t="shared" si="3"/>
        <v>8652</v>
      </c>
    </row>
    <row r="247" spans="1:6" x14ac:dyDescent="0.35">
      <c r="A247" s="2"/>
      <c r="B247" s="7" t="s">
        <v>354</v>
      </c>
      <c r="C247" s="18" t="s">
        <v>383</v>
      </c>
      <c r="D247" s="14">
        <v>23</v>
      </c>
      <c r="E247" s="29">
        <v>386.25</v>
      </c>
      <c r="F247" s="15">
        <f t="shared" si="3"/>
        <v>8883.75</v>
      </c>
    </row>
    <row r="248" spans="1:6" x14ac:dyDescent="0.35">
      <c r="A248" s="2"/>
      <c r="B248" s="7" t="s">
        <v>355</v>
      </c>
      <c r="C248" s="18" t="s">
        <v>384</v>
      </c>
      <c r="D248" s="14">
        <v>36</v>
      </c>
      <c r="E248" s="29">
        <v>603</v>
      </c>
      <c r="F248" s="15">
        <f t="shared" si="3"/>
        <v>21708</v>
      </c>
    </row>
    <row r="249" spans="1:6" x14ac:dyDescent="0.35">
      <c r="A249" s="2"/>
      <c r="B249" s="7" t="s">
        <v>356</v>
      </c>
      <c r="C249" s="18" t="s">
        <v>385</v>
      </c>
      <c r="D249" s="14">
        <v>16</v>
      </c>
      <c r="E249" s="29">
        <v>576.75</v>
      </c>
      <c r="F249" s="15">
        <f t="shared" si="3"/>
        <v>9228</v>
      </c>
    </row>
    <row r="250" spans="1:6" x14ac:dyDescent="0.35">
      <c r="A250" s="2"/>
      <c r="B250" s="7" t="s">
        <v>357</v>
      </c>
      <c r="C250" s="18" t="s">
        <v>386</v>
      </c>
      <c r="D250" s="14">
        <v>5</v>
      </c>
      <c r="E250" s="29">
        <v>750</v>
      </c>
      <c r="F250" s="15">
        <f t="shared" si="3"/>
        <v>3750</v>
      </c>
    </row>
    <row r="251" spans="1:6" x14ac:dyDescent="0.35">
      <c r="A251" s="2"/>
      <c r="B251" s="7" t="s">
        <v>340</v>
      </c>
      <c r="C251" s="18" t="s">
        <v>387</v>
      </c>
      <c r="D251" s="14">
        <v>2</v>
      </c>
      <c r="E251" s="29">
        <v>2415.75</v>
      </c>
      <c r="F251" s="15">
        <f t="shared" si="3"/>
        <v>4831.5</v>
      </c>
    </row>
    <row r="252" spans="1:6" x14ac:dyDescent="0.35">
      <c r="A252" s="2"/>
      <c r="B252" s="7" t="s">
        <v>341</v>
      </c>
      <c r="C252" s="18" t="s">
        <v>388</v>
      </c>
      <c r="D252" s="14">
        <v>2</v>
      </c>
      <c r="E252" s="29">
        <v>3156</v>
      </c>
      <c r="F252" s="15">
        <f t="shared" si="3"/>
        <v>6312</v>
      </c>
    </row>
    <row r="253" spans="1:6" x14ac:dyDescent="0.35">
      <c r="A253" s="2"/>
      <c r="B253" s="7" t="s">
        <v>342</v>
      </c>
      <c r="C253" s="18" t="s">
        <v>389</v>
      </c>
      <c r="D253" s="14">
        <v>2</v>
      </c>
      <c r="E253" s="29">
        <v>6999.75</v>
      </c>
      <c r="F253" s="15">
        <f t="shared" si="3"/>
        <v>13999.5</v>
      </c>
    </row>
    <row r="254" spans="1:6" x14ac:dyDescent="0.35">
      <c r="A254" s="2"/>
      <c r="B254" s="7" t="s">
        <v>343</v>
      </c>
      <c r="C254" s="18" t="s">
        <v>390</v>
      </c>
      <c r="D254" s="14">
        <v>1</v>
      </c>
      <c r="E254" s="29">
        <v>11813.25</v>
      </c>
      <c r="F254" s="15">
        <f t="shared" si="3"/>
        <v>11813.25</v>
      </c>
    </row>
    <row r="255" spans="1:6" x14ac:dyDescent="0.35">
      <c r="A255" s="2"/>
      <c r="B255" s="7" t="s">
        <v>344</v>
      </c>
      <c r="C255" s="18" t="s">
        <v>391</v>
      </c>
      <c r="D255" s="14">
        <v>1</v>
      </c>
      <c r="E255" s="29">
        <v>22462.5</v>
      </c>
      <c r="F255" s="15">
        <f t="shared" si="3"/>
        <v>22462.5</v>
      </c>
    </row>
    <row r="256" spans="1:6" x14ac:dyDescent="0.35">
      <c r="A256" s="2"/>
      <c r="B256" s="7"/>
      <c r="C256" s="18" t="s">
        <v>392</v>
      </c>
      <c r="D256" s="14">
        <v>34</v>
      </c>
      <c r="E256" s="29">
        <v>951.75</v>
      </c>
      <c r="F256" s="15">
        <f t="shared" si="3"/>
        <v>32359.5</v>
      </c>
    </row>
    <row r="257" spans="1:6" x14ac:dyDescent="0.35">
      <c r="A257" s="2"/>
      <c r="B257" s="7"/>
      <c r="C257" s="18" t="s">
        <v>393</v>
      </c>
      <c r="D257" s="14">
        <v>17</v>
      </c>
      <c r="E257" s="29">
        <v>1009.5</v>
      </c>
      <c r="F257" s="15">
        <f t="shared" si="3"/>
        <v>17161.5</v>
      </c>
    </row>
    <row r="258" spans="1:6" x14ac:dyDescent="0.35">
      <c r="A258" s="2"/>
      <c r="B258" s="7"/>
      <c r="C258" s="18" t="s">
        <v>394</v>
      </c>
      <c r="D258" s="14">
        <v>15</v>
      </c>
      <c r="E258" s="29">
        <v>1327.5</v>
      </c>
      <c r="F258" s="15">
        <f t="shared" si="3"/>
        <v>19912.5</v>
      </c>
    </row>
    <row r="259" spans="1:6" x14ac:dyDescent="0.35">
      <c r="A259" s="2"/>
      <c r="B259" s="7"/>
      <c r="C259" s="18" t="s">
        <v>395</v>
      </c>
      <c r="D259" s="14">
        <v>22</v>
      </c>
      <c r="E259" s="29">
        <v>1474.5</v>
      </c>
      <c r="F259" s="15">
        <f t="shared" si="3"/>
        <v>32439</v>
      </c>
    </row>
    <row r="260" spans="1:6" x14ac:dyDescent="0.35">
      <c r="A260" s="2"/>
      <c r="B260" s="7"/>
      <c r="C260" s="18" t="s">
        <v>396</v>
      </c>
      <c r="D260" s="14">
        <v>6</v>
      </c>
      <c r="E260" s="29">
        <v>2783.25</v>
      </c>
      <c r="F260" s="15">
        <f t="shared" si="3"/>
        <v>16699.5</v>
      </c>
    </row>
    <row r="261" spans="1:6" x14ac:dyDescent="0.35">
      <c r="A261" s="2"/>
      <c r="B261" s="7"/>
      <c r="C261" s="18" t="s">
        <v>397</v>
      </c>
      <c r="D261" s="14">
        <v>3</v>
      </c>
      <c r="E261" s="29">
        <v>2783.25</v>
      </c>
      <c r="F261" s="15">
        <f t="shared" si="3"/>
        <v>8349.75</v>
      </c>
    </row>
    <row r="262" spans="1:6" x14ac:dyDescent="0.35">
      <c r="A262" s="2"/>
      <c r="B262" s="7"/>
      <c r="C262" s="18" t="s">
        <v>398</v>
      </c>
      <c r="D262" s="14">
        <v>5</v>
      </c>
      <c r="E262" s="29">
        <v>3135</v>
      </c>
      <c r="F262" s="15">
        <f t="shared" si="3"/>
        <v>15675</v>
      </c>
    </row>
    <row r="263" spans="1:6" x14ac:dyDescent="0.35">
      <c r="A263" s="2"/>
      <c r="B263" s="7"/>
      <c r="C263" s="18" t="s">
        <v>399</v>
      </c>
      <c r="D263" s="14">
        <v>1</v>
      </c>
      <c r="E263" s="29">
        <v>3558</v>
      </c>
      <c r="F263" s="15">
        <f t="shared" si="3"/>
        <v>3558</v>
      </c>
    </row>
    <row r="264" spans="1:6" x14ac:dyDescent="0.35">
      <c r="A264" s="9" t="s">
        <v>400</v>
      </c>
      <c r="B264" s="5"/>
      <c r="C264" s="17"/>
      <c r="D264" s="13"/>
      <c r="E264" s="28"/>
      <c r="F264" s="28"/>
    </row>
    <row r="265" spans="1:6" x14ac:dyDescent="0.35">
      <c r="A265" s="2" t="s">
        <v>400</v>
      </c>
      <c r="B265" s="2"/>
      <c r="C265" s="10" t="s">
        <v>401</v>
      </c>
      <c r="D265" s="12">
        <v>20</v>
      </c>
      <c r="E265" s="31">
        <v>891.82</v>
      </c>
      <c r="F265" s="20">
        <f t="shared" ref="F265:F311" si="4">E265*D265</f>
        <v>17836.400000000001</v>
      </c>
    </row>
    <row r="266" spans="1:6" x14ac:dyDescent="0.35">
      <c r="A266" s="2" t="s">
        <v>400</v>
      </c>
      <c r="B266" s="2"/>
      <c r="C266" s="10" t="s">
        <v>402</v>
      </c>
      <c r="D266" s="12">
        <v>18</v>
      </c>
      <c r="E266" s="31">
        <v>907.25</v>
      </c>
      <c r="F266" s="20">
        <f t="shared" si="4"/>
        <v>16330.5</v>
      </c>
    </row>
    <row r="267" spans="1:6" x14ac:dyDescent="0.35">
      <c r="A267" s="2" t="s">
        <v>400</v>
      </c>
      <c r="B267" s="2"/>
      <c r="C267" s="10" t="s">
        <v>403</v>
      </c>
      <c r="D267" s="12">
        <v>10</v>
      </c>
      <c r="E267" s="31">
        <v>956.63</v>
      </c>
      <c r="F267" s="20">
        <f t="shared" si="4"/>
        <v>9566.2999999999993</v>
      </c>
    </row>
    <row r="268" spans="1:6" x14ac:dyDescent="0.35">
      <c r="A268" s="2" t="s">
        <v>400</v>
      </c>
      <c r="B268" s="2"/>
      <c r="C268" s="10" t="s">
        <v>404</v>
      </c>
      <c r="D268" s="12">
        <v>3</v>
      </c>
      <c r="E268" s="31">
        <v>1730.61</v>
      </c>
      <c r="F268" s="20">
        <f t="shared" si="4"/>
        <v>5191.83</v>
      </c>
    </row>
    <row r="269" spans="1:6" x14ac:dyDescent="0.35">
      <c r="A269" s="2" t="s">
        <v>400</v>
      </c>
      <c r="B269" s="2"/>
      <c r="C269" s="10" t="s">
        <v>405</v>
      </c>
      <c r="D269" s="12">
        <v>1</v>
      </c>
      <c r="E269" s="31">
        <v>2855.55</v>
      </c>
      <c r="F269" s="20">
        <f t="shared" si="4"/>
        <v>2855.55</v>
      </c>
    </row>
    <row r="270" spans="1:6" x14ac:dyDescent="0.35">
      <c r="A270" s="2" t="s">
        <v>400</v>
      </c>
      <c r="B270" s="2"/>
      <c r="C270" s="10" t="s">
        <v>406</v>
      </c>
      <c r="D270" s="12">
        <v>2</v>
      </c>
      <c r="E270" s="31">
        <v>5463.58</v>
      </c>
      <c r="F270" s="20">
        <f t="shared" si="4"/>
        <v>10927.16</v>
      </c>
    </row>
    <row r="271" spans="1:6" x14ac:dyDescent="0.35">
      <c r="A271" s="2" t="s">
        <v>400</v>
      </c>
      <c r="B271" s="2"/>
      <c r="C271" s="2" t="s">
        <v>408</v>
      </c>
      <c r="D271" s="12">
        <v>5</v>
      </c>
      <c r="E271" s="31">
        <v>1151</v>
      </c>
      <c r="F271" s="20">
        <f t="shared" si="4"/>
        <v>5755</v>
      </c>
    </row>
    <row r="272" spans="1:6" x14ac:dyDescent="0.35">
      <c r="A272" s="2" t="s">
        <v>400</v>
      </c>
      <c r="B272" s="2"/>
      <c r="C272" s="10" t="s">
        <v>407</v>
      </c>
      <c r="D272" s="12">
        <v>2</v>
      </c>
      <c r="E272" s="31">
        <v>1709</v>
      </c>
      <c r="F272" s="20">
        <f t="shared" si="4"/>
        <v>3418</v>
      </c>
    </row>
    <row r="273" spans="1:6" x14ac:dyDescent="0.35">
      <c r="A273" s="2" t="s">
        <v>400</v>
      </c>
      <c r="B273" s="2"/>
      <c r="C273" s="10" t="s">
        <v>409</v>
      </c>
      <c r="D273" s="12">
        <v>3</v>
      </c>
      <c r="E273" s="31">
        <v>2797</v>
      </c>
      <c r="F273" s="20">
        <f t="shared" si="4"/>
        <v>8391</v>
      </c>
    </row>
    <row r="274" spans="1:6" x14ac:dyDescent="0.35">
      <c r="A274" s="2" t="s">
        <v>400</v>
      </c>
      <c r="B274" s="2"/>
      <c r="C274" s="10" t="s">
        <v>422</v>
      </c>
      <c r="D274" s="12">
        <v>37</v>
      </c>
      <c r="E274" s="31">
        <v>157.5</v>
      </c>
      <c r="F274" s="20">
        <f t="shared" si="4"/>
        <v>5827.5</v>
      </c>
    </row>
    <row r="275" spans="1:6" x14ac:dyDescent="0.35">
      <c r="A275" s="2" t="s">
        <v>400</v>
      </c>
      <c r="B275" s="2"/>
      <c r="C275" s="10" t="s">
        <v>444</v>
      </c>
      <c r="D275" s="12">
        <v>4</v>
      </c>
      <c r="E275" s="31">
        <v>1333.5</v>
      </c>
      <c r="F275" s="20">
        <f t="shared" si="4"/>
        <v>5334</v>
      </c>
    </row>
    <row r="276" spans="1:6" x14ac:dyDescent="0.35">
      <c r="A276" s="2" t="s">
        <v>400</v>
      </c>
      <c r="B276" s="2"/>
      <c r="C276" s="10" t="s">
        <v>445</v>
      </c>
      <c r="D276" s="12">
        <v>8</v>
      </c>
      <c r="E276" s="31">
        <v>1227.75</v>
      </c>
      <c r="F276" s="20">
        <f t="shared" si="4"/>
        <v>9822</v>
      </c>
    </row>
    <row r="277" spans="1:6" x14ac:dyDescent="0.35">
      <c r="A277" s="2" t="s">
        <v>400</v>
      </c>
      <c r="B277" s="2"/>
      <c r="C277" s="10" t="s">
        <v>438</v>
      </c>
      <c r="D277" s="12">
        <v>4</v>
      </c>
      <c r="E277" s="31">
        <v>1473.75</v>
      </c>
      <c r="F277" s="20">
        <f t="shared" si="4"/>
        <v>5895</v>
      </c>
    </row>
    <row r="278" spans="1:6" x14ac:dyDescent="0.35">
      <c r="A278" s="2" t="s">
        <v>400</v>
      </c>
      <c r="B278" s="2"/>
      <c r="C278" s="10" t="s">
        <v>439</v>
      </c>
      <c r="D278" s="12">
        <v>10</v>
      </c>
      <c r="E278" s="31">
        <v>1508.25</v>
      </c>
      <c r="F278" s="20">
        <f t="shared" si="4"/>
        <v>15082.5</v>
      </c>
    </row>
    <row r="279" spans="1:6" x14ac:dyDescent="0.35">
      <c r="A279" s="2" t="s">
        <v>400</v>
      </c>
      <c r="B279" s="2"/>
      <c r="C279" s="10" t="s">
        <v>436</v>
      </c>
      <c r="D279" s="12">
        <v>6</v>
      </c>
      <c r="E279" s="31">
        <v>1614</v>
      </c>
      <c r="F279" s="20">
        <f t="shared" si="4"/>
        <v>9684</v>
      </c>
    </row>
    <row r="280" spans="1:6" x14ac:dyDescent="0.35">
      <c r="A280" s="2" t="s">
        <v>400</v>
      </c>
      <c r="B280" s="2"/>
      <c r="C280" s="10" t="s">
        <v>437</v>
      </c>
      <c r="D280" s="12">
        <v>43</v>
      </c>
      <c r="E280" s="31">
        <v>2069.25</v>
      </c>
      <c r="F280" s="20">
        <f t="shared" si="4"/>
        <v>88977.75</v>
      </c>
    </row>
    <row r="281" spans="1:6" x14ac:dyDescent="0.35">
      <c r="A281" s="2" t="s">
        <v>400</v>
      </c>
      <c r="B281" s="2"/>
      <c r="C281" s="10" t="s">
        <v>440</v>
      </c>
      <c r="D281" s="12">
        <v>5</v>
      </c>
      <c r="E281" s="31">
        <v>1929</v>
      </c>
      <c r="F281" s="20">
        <f t="shared" si="4"/>
        <v>9645</v>
      </c>
    </row>
    <row r="282" spans="1:6" x14ac:dyDescent="0.35">
      <c r="A282" s="2" t="s">
        <v>400</v>
      </c>
      <c r="B282" s="2"/>
      <c r="C282" s="10" t="s">
        <v>441</v>
      </c>
      <c r="D282" s="12">
        <v>3</v>
      </c>
      <c r="E282" s="31">
        <v>1711.5</v>
      </c>
      <c r="F282" s="20">
        <f t="shared" si="4"/>
        <v>5134.5</v>
      </c>
    </row>
    <row r="283" spans="1:6" x14ac:dyDescent="0.35">
      <c r="A283" s="2" t="s">
        <v>400</v>
      </c>
      <c r="B283" s="2"/>
      <c r="C283" s="10" t="s">
        <v>442</v>
      </c>
      <c r="D283" s="12">
        <v>36</v>
      </c>
      <c r="E283" s="31">
        <v>1859.25</v>
      </c>
      <c r="F283" s="20">
        <f t="shared" si="4"/>
        <v>66933</v>
      </c>
    </row>
    <row r="284" spans="1:6" x14ac:dyDescent="0.35">
      <c r="A284" s="2" t="s">
        <v>400</v>
      </c>
      <c r="B284" s="2"/>
      <c r="C284" s="10" t="s">
        <v>443</v>
      </c>
      <c r="D284" s="12">
        <v>8</v>
      </c>
      <c r="E284" s="31">
        <v>1964.25</v>
      </c>
      <c r="F284" s="20">
        <f t="shared" si="4"/>
        <v>15714</v>
      </c>
    </row>
    <row r="285" spans="1:6" x14ac:dyDescent="0.35">
      <c r="A285" s="9" t="s">
        <v>420</v>
      </c>
      <c r="B285" s="5"/>
      <c r="C285" s="17"/>
      <c r="D285" s="13"/>
      <c r="E285" s="28"/>
      <c r="F285" s="28"/>
    </row>
    <row r="286" spans="1:6" x14ac:dyDescent="0.35">
      <c r="A286" s="32" t="s">
        <v>423</v>
      </c>
      <c r="B286" s="2" t="s">
        <v>410</v>
      </c>
      <c r="C286" s="10" t="s">
        <v>424</v>
      </c>
      <c r="D286" s="12">
        <v>5</v>
      </c>
      <c r="E286" s="20">
        <v>8457.4</v>
      </c>
      <c r="F286" s="20">
        <f t="shared" si="4"/>
        <v>42287</v>
      </c>
    </row>
    <row r="287" spans="1:6" x14ac:dyDescent="0.35">
      <c r="A287" s="32" t="s">
        <v>423</v>
      </c>
      <c r="B287" s="2"/>
      <c r="C287" s="10" t="s">
        <v>425</v>
      </c>
      <c r="D287" s="12">
        <v>1</v>
      </c>
      <c r="E287" s="20">
        <v>8245.9649999999983</v>
      </c>
      <c r="F287" s="20">
        <f t="shared" si="4"/>
        <v>8245.9649999999983</v>
      </c>
    </row>
    <row r="288" spans="1:6" x14ac:dyDescent="0.35">
      <c r="A288" s="32" t="s">
        <v>423</v>
      </c>
      <c r="B288" s="2" t="s">
        <v>411</v>
      </c>
      <c r="C288" s="10" t="s">
        <v>412</v>
      </c>
      <c r="D288" s="12">
        <v>2</v>
      </c>
      <c r="E288" s="20">
        <v>9883.2999999999993</v>
      </c>
      <c r="F288" s="20">
        <f t="shared" si="4"/>
        <v>19766.599999999999</v>
      </c>
    </row>
    <row r="289" spans="1:6" x14ac:dyDescent="0.35">
      <c r="A289" s="32" t="s">
        <v>423</v>
      </c>
      <c r="B289" s="2" t="s">
        <v>413</v>
      </c>
      <c r="C289" s="10" t="s">
        <v>414</v>
      </c>
      <c r="D289" s="12">
        <v>2</v>
      </c>
      <c r="E289" s="20">
        <v>10317.299999999999</v>
      </c>
      <c r="F289" s="20">
        <f t="shared" si="4"/>
        <v>20634.599999999999</v>
      </c>
    </row>
    <row r="290" spans="1:6" x14ac:dyDescent="0.35">
      <c r="A290" s="32" t="s">
        <v>423</v>
      </c>
      <c r="B290" s="2" t="s">
        <v>415</v>
      </c>
      <c r="C290" s="10" t="s">
        <v>428</v>
      </c>
      <c r="D290" s="12">
        <v>2</v>
      </c>
      <c r="E290" s="20">
        <v>12822.599999999999</v>
      </c>
      <c r="F290" s="20">
        <f t="shared" si="4"/>
        <v>25645.199999999997</v>
      </c>
    </row>
    <row r="291" spans="1:6" x14ac:dyDescent="0.35">
      <c r="A291" s="32" t="s">
        <v>423</v>
      </c>
      <c r="B291" s="2" t="s">
        <v>416</v>
      </c>
      <c r="C291" s="10" t="s">
        <v>427</v>
      </c>
      <c r="D291" s="12">
        <v>2</v>
      </c>
      <c r="E291" s="20">
        <v>12909.4</v>
      </c>
      <c r="F291" s="20">
        <f t="shared" si="4"/>
        <v>25818.799999999999</v>
      </c>
    </row>
    <row r="292" spans="1:6" x14ac:dyDescent="0.35">
      <c r="A292" s="32"/>
      <c r="B292" s="2" t="s">
        <v>478</v>
      </c>
      <c r="C292" s="10" t="s">
        <v>426</v>
      </c>
      <c r="D292" s="12">
        <v>1</v>
      </c>
      <c r="E292" s="20">
        <v>17752</v>
      </c>
      <c r="F292" s="20">
        <f t="shared" si="4"/>
        <v>17752</v>
      </c>
    </row>
    <row r="293" spans="1:6" x14ac:dyDescent="0.35">
      <c r="A293" s="32"/>
      <c r="B293" s="33" t="s">
        <v>477</v>
      </c>
      <c r="C293" s="10" t="s">
        <v>476</v>
      </c>
      <c r="D293" s="12">
        <v>3</v>
      </c>
      <c r="E293" s="20">
        <v>18243</v>
      </c>
      <c r="F293" s="20">
        <f t="shared" si="4"/>
        <v>54729</v>
      </c>
    </row>
    <row r="294" spans="1:6" x14ac:dyDescent="0.35">
      <c r="A294" s="32" t="s">
        <v>423</v>
      </c>
      <c r="B294" s="2" t="s">
        <v>417</v>
      </c>
      <c r="C294" s="10" t="s">
        <v>429</v>
      </c>
      <c r="D294" s="12">
        <v>3</v>
      </c>
      <c r="E294" s="20">
        <f>36199.1*1.03</f>
        <v>37285.072999999997</v>
      </c>
      <c r="F294" s="20">
        <f t="shared" si="4"/>
        <v>111855.21899999998</v>
      </c>
    </row>
    <row r="295" spans="1:6" x14ac:dyDescent="0.35">
      <c r="A295" s="32" t="s">
        <v>423</v>
      </c>
      <c r="B295" s="2" t="s">
        <v>418</v>
      </c>
      <c r="C295" s="10" t="s">
        <v>419</v>
      </c>
      <c r="D295" s="12">
        <v>2</v>
      </c>
      <c r="E295" s="20">
        <v>40768.699999999997</v>
      </c>
      <c r="F295" s="20">
        <f t="shared" si="4"/>
        <v>81537.399999999994</v>
      </c>
    </row>
    <row r="296" spans="1:6" x14ac:dyDescent="0.35">
      <c r="A296" s="2"/>
      <c r="B296" s="2" t="s">
        <v>430</v>
      </c>
      <c r="C296" s="2" t="s">
        <v>435</v>
      </c>
      <c r="D296" s="12">
        <v>1</v>
      </c>
      <c r="E296" s="20">
        <v>74024.299999999988</v>
      </c>
      <c r="F296" s="20">
        <f t="shared" si="4"/>
        <v>74024.299999999988</v>
      </c>
    </row>
    <row r="297" spans="1:6" x14ac:dyDescent="0.35">
      <c r="A297" s="32" t="s">
        <v>423</v>
      </c>
      <c r="B297" s="2" t="s">
        <v>431</v>
      </c>
      <c r="C297" s="2" t="s">
        <v>432</v>
      </c>
      <c r="D297" s="12">
        <v>2</v>
      </c>
      <c r="E297" s="20">
        <v>63451.499999999993</v>
      </c>
      <c r="F297" s="20">
        <f t="shared" si="4"/>
        <v>126902.99999999999</v>
      </c>
    </row>
    <row r="298" spans="1:6" x14ac:dyDescent="0.35">
      <c r="A298" s="32" t="s">
        <v>423</v>
      </c>
      <c r="B298" s="2" t="s">
        <v>433</v>
      </c>
      <c r="C298" s="2" t="s">
        <v>434</v>
      </c>
      <c r="D298" s="12">
        <v>1</v>
      </c>
      <c r="E298" s="20">
        <v>63815.499999999993</v>
      </c>
      <c r="F298" s="20">
        <f t="shared" si="4"/>
        <v>63815.499999999993</v>
      </c>
    </row>
    <row r="299" spans="1:6" x14ac:dyDescent="0.35">
      <c r="A299" s="2" t="s">
        <v>446</v>
      </c>
      <c r="B299" s="12" t="s">
        <v>448</v>
      </c>
      <c r="C299" s="30" t="s">
        <v>447</v>
      </c>
      <c r="D299" s="12">
        <v>8</v>
      </c>
      <c r="E299" s="20">
        <v>700.245</v>
      </c>
      <c r="F299" s="20">
        <f t="shared" si="4"/>
        <v>5601.96</v>
      </c>
    </row>
    <row r="300" spans="1:6" x14ac:dyDescent="0.35">
      <c r="A300" s="2" t="s">
        <v>446</v>
      </c>
      <c r="B300" s="12" t="s">
        <v>450</v>
      </c>
      <c r="C300" s="10" t="s">
        <v>449</v>
      </c>
      <c r="D300" s="12">
        <v>16</v>
      </c>
      <c r="E300" s="20">
        <v>921.375</v>
      </c>
      <c r="F300" s="20">
        <f t="shared" si="4"/>
        <v>14742</v>
      </c>
    </row>
    <row r="301" spans="1:6" x14ac:dyDescent="0.35">
      <c r="A301" s="2" t="s">
        <v>446</v>
      </c>
      <c r="B301" s="12" t="s">
        <v>452</v>
      </c>
      <c r="C301" s="30" t="s">
        <v>451</v>
      </c>
      <c r="D301" s="12">
        <v>9</v>
      </c>
      <c r="E301" s="20">
        <v>1154.79</v>
      </c>
      <c r="F301" s="20">
        <f t="shared" si="4"/>
        <v>10393.11</v>
      </c>
    </row>
    <row r="302" spans="1:6" x14ac:dyDescent="0.35">
      <c r="A302" s="2" t="s">
        <v>446</v>
      </c>
      <c r="B302" s="12" t="s">
        <v>454</v>
      </c>
      <c r="C302" s="10" t="s">
        <v>453</v>
      </c>
      <c r="D302" s="12">
        <v>9</v>
      </c>
      <c r="E302" s="20">
        <v>1744.47</v>
      </c>
      <c r="F302" s="20">
        <f t="shared" si="4"/>
        <v>15700.23</v>
      </c>
    </row>
    <row r="303" spans="1:6" x14ac:dyDescent="0.35">
      <c r="A303" s="2" t="s">
        <v>446</v>
      </c>
      <c r="B303" s="12" t="s">
        <v>456</v>
      </c>
      <c r="C303" s="30" t="s">
        <v>455</v>
      </c>
      <c r="D303" s="12">
        <v>14</v>
      </c>
      <c r="E303" s="20">
        <v>1646.19</v>
      </c>
      <c r="F303" s="20">
        <f t="shared" si="4"/>
        <v>23046.66</v>
      </c>
    </row>
    <row r="304" spans="1:6" x14ac:dyDescent="0.35">
      <c r="A304" s="2" t="s">
        <v>457</v>
      </c>
      <c r="B304" s="12" t="s">
        <v>459</v>
      </c>
      <c r="C304" s="30" t="s">
        <v>458</v>
      </c>
      <c r="D304" s="12">
        <v>8</v>
      </c>
      <c r="E304" s="20">
        <v>135.13500000000002</v>
      </c>
      <c r="F304" s="20">
        <f t="shared" si="4"/>
        <v>1081.0800000000002</v>
      </c>
    </row>
    <row r="305" spans="1:8" x14ac:dyDescent="0.35">
      <c r="A305" s="2" t="s">
        <v>457</v>
      </c>
      <c r="B305" s="12" t="s">
        <v>461</v>
      </c>
      <c r="C305" s="10" t="s">
        <v>460</v>
      </c>
      <c r="D305" s="12">
        <v>11</v>
      </c>
      <c r="E305" s="20">
        <v>233.41499999999999</v>
      </c>
      <c r="F305" s="20">
        <f t="shared" si="4"/>
        <v>2567.5650000000001</v>
      </c>
    </row>
    <row r="306" spans="1:8" x14ac:dyDescent="0.35">
      <c r="A306" s="2" t="s">
        <v>457</v>
      </c>
      <c r="B306" s="12" t="s">
        <v>463</v>
      </c>
      <c r="C306" s="30" t="s">
        <v>462</v>
      </c>
      <c r="D306" s="12">
        <v>18</v>
      </c>
      <c r="E306" s="20">
        <v>307.125</v>
      </c>
      <c r="F306" s="20">
        <f t="shared" si="4"/>
        <v>5528.25</v>
      </c>
    </row>
    <row r="307" spans="1:8" x14ac:dyDescent="0.35">
      <c r="A307" s="2" t="s">
        <v>457</v>
      </c>
      <c r="B307" s="12" t="s">
        <v>465</v>
      </c>
      <c r="C307" s="10" t="s">
        <v>464</v>
      </c>
      <c r="D307" s="12">
        <v>12</v>
      </c>
      <c r="E307" s="20">
        <v>405.40499999999997</v>
      </c>
      <c r="F307" s="20">
        <f t="shared" si="4"/>
        <v>4864.8599999999997</v>
      </c>
    </row>
    <row r="308" spans="1:8" x14ac:dyDescent="0.35">
      <c r="A308" s="2" t="s">
        <v>457</v>
      </c>
      <c r="B308" s="12" t="s">
        <v>467</v>
      </c>
      <c r="C308" s="30" t="s">
        <v>466</v>
      </c>
      <c r="D308" s="12">
        <v>13</v>
      </c>
      <c r="E308" s="20">
        <v>773.95499999999993</v>
      </c>
      <c r="F308" s="20">
        <f t="shared" si="4"/>
        <v>10061.414999999999</v>
      </c>
    </row>
    <row r="309" spans="1:8" x14ac:dyDescent="0.35">
      <c r="A309" s="2" t="s">
        <v>468</v>
      </c>
      <c r="B309" s="12" t="s">
        <v>470</v>
      </c>
      <c r="C309" s="30" t="s">
        <v>469</v>
      </c>
      <c r="D309" s="12">
        <v>7</v>
      </c>
      <c r="E309" s="20">
        <v>1904.1749999999997</v>
      </c>
      <c r="F309" s="20">
        <f t="shared" si="4"/>
        <v>13329.224999999999</v>
      </c>
    </row>
    <row r="310" spans="1:8" x14ac:dyDescent="0.35">
      <c r="A310" s="2" t="s">
        <v>468</v>
      </c>
      <c r="B310" s="12" t="s">
        <v>472</v>
      </c>
      <c r="C310" s="30" t="s">
        <v>471</v>
      </c>
      <c r="D310" s="12">
        <v>4</v>
      </c>
      <c r="E310" s="20">
        <v>3562.65</v>
      </c>
      <c r="F310" s="20">
        <f t="shared" si="4"/>
        <v>14250.6</v>
      </c>
    </row>
    <row r="311" spans="1:8" x14ac:dyDescent="0.35">
      <c r="A311" s="2" t="s">
        <v>468</v>
      </c>
      <c r="B311" s="12" t="s">
        <v>474</v>
      </c>
      <c r="C311" s="30" t="s">
        <v>473</v>
      </c>
      <c r="D311" s="12">
        <v>7</v>
      </c>
      <c r="E311" s="20">
        <v>4115.4749999999995</v>
      </c>
      <c r="F311" s="20">
        <f t="shared" si="4"/>
        <v>28808.324999999997</v>
      </c>
    </row>
    <row r="313" spans="1:8" x14ac:dyDescent="0.35">
      <c r="D313" s="70" t="s">
        <v>484</v>
      </c>
      <c r="E313" s="71"/>
      <c r="F313" s="26">
        <f>SUM(F4:F312)</f>
        <v>8906507.111704994</v>
      </c>
    </row>
    <row r="315" spans="1:8" x14ac:dyDescent="0.35">
      <c r="D315" s="70" t="s">
        <v>486</v>
      </c>
      <c r="E315" s="71"/>
      <c r="F315" s="57">
        <f>F313*1.15</f>
        <v>10242483.178460741</v>
      </c>
      <c r="H315" s="67"/>
    </row>
  </sheetData>
  <mergeCells count="2">
    <mergeCell ref="D313:E313"/>
    <mergeCell ref="D315:E315"/>
  </mergeCells>
  <phoneticPr fontId="3" type="noConversion"/>
  <conditionalFormatting sqref="B175:B183">
    <cfRule type="duplicateValues" dxfId="1" priority="8"/>
  </conditionalFormatting>
  <conditionalFormatting sqref="B184:B186">
    <cfRule type="duplicateValues" dxfId="0" priority="7"/>
  </conditionalFormatting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JUNE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Kgaugelo Sebuyi</dc:creator>
  <cp:lastModifiedBy>Kgaugelo Sebuyi</cp:lastModifiedBy>
  <cp:lastPrinted>2025-06-26T09:12:58Z</cp:lastPrinted>
  <dcterms:created xsi:type="dcterms:W3CDTF">2025-06-17T06:29:01Z</dcterms:created>
  <dcterms:modified xsi:type="dcterms:W3CDTF">2025-08-21T12:49:01Z</dcterms:modified>
</cp:coreProperties>
</file>