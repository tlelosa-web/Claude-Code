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anmovement-my.sharepoint.com/personal/operations_fanmovement_co_za/Documents/Desktop/FM Planning &amp; Stock Control/Job Tool/"/>
    </mc:Choice>
  </mc:AlternateContent>
  <xr:revisionPtr revIDLastSave="4161" documentId="6_{3E006168-1D6F-4A7C-959E-9B537E752671}" xr6:coauthVersionLast="47" xr6:coauthVersionMax="47" xr10:uidLastSave="{25CFF034-2313-4AE1-8126-C02A5106E312}"/>
  <bookViews>
    <workbookView xWindow="-108" yWindow="-108" windowWidth="23256" windowHeight="12456" firstSheet="1" activeTab="1" xr2:uid="{00000000-000D-0000-FFFF-FFFF00000000}"/>
  </bookViews>
  <sheets>
    <sheet name="Categories" sheetId="2" state="hidden" r:id="rId1"/>
    <sheet name="Contracts 2025" sheetId="9" r:id="rId2"/>
    <sheet name="Reps" sheetId="4" state="hidden" r:id="rId3"/>
    <sheet name="Contacts" sheetId="3" state="hidden" r:id="rId4"/>
  </sheets>
  <definedNames>
    <definedName name="_xlnm._FilterDatabase" localSheetId="1" hidden="1">'Contracts 2025'!$A$4:$Q$866</definedName>
    <definedName name="_xlnm.Print_Area" localSheetId="1">'Contracts 2025'!$A:$M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67" i="9" l="1"/>
  <c r="K768" i="9"/>
  <c r="K769" i="9"/>
  <c r="K770" i="9"/>
  <c r="K766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0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K201" i="9"/>
  <c r="K202" i="9"/>
  <c r="K203" i="9"/>
  <c r="K204" i="9"/>
  <c r="K205" i="9"/>
  <c r="K206" i="9"/>
  <c r="K207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224" i="9"/>
  <c r="K225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K241" i="9"/>
  <c r="K242" i="9"/>
  <c r="K243" i="9"/>
  <c r="K244" i="9"/>
  <c r="K245" i="9"/>
  <c r="K246" i="9"/>
  <c r="K247" i="9"/>
  <c r="K248" i="9"/>
  <c r="K249" i="9"/>
  <c r="K250" i="9"/>
  <c r="K251" i="9"/>
  <c r="K252" i="9"/>
  <c r="K253" i="9"/>
  <c r="K254" i="9"/>
  <c r="K255" i="9"/>
  <c r="K256" i="9"/>
  <c r="K257" i="9"/>
  <c r="K258" i="9"/>
  <c r="K259" i="9"/>
  <c r="K260" i="9"/>
  <c r="K261" i="9"/>
  <c r="K262" i="9"/>
  <c r="K263" i="9"/>
  <c r="K264" i="9"/>
  <c r="K265" i="9"/>
  <c r="K266" i="9"/>
  <c r="K267" i="9"/>
  <c r="K268" i="9"/>
  <c r="K269" i="9"/>
  <c r="K270" i="9"/>
  <c r="K271" i="9"/>
  <c r="K272" i="9"/>
  <c r="K273" i="9"/>
  <c r="K274" i="9"/>
  <c r="K275" i="9"/>
  <c r="K276" i="9"/>
  <c r="K277" i="9"/>
  <c r="K278" i="9"/>
  <c r="K279" i="9"/>
  <c r="K280" i="9"/>
  <c r="K281" i="9"/>
  <c r="K282" i="9"/>
  <c r="K283" i="9"/>
  <c r="K284" i="9"/>
  <c r="K285" i="9"/>
  <c r="K286" i="9"/>
  <c r="K287" i="9"/>
  <c r="K288" i="9"/>
  <c r="K289" i="9"/>
  <c r="K290" i="9"/>
  <c r="K291" i="9"/>
  <c r="K292" i="9"/>
  <c r="K293" i="9"/>
  <c r="K294" i="9"/>
  <c r="K295" i="9"/>
  <c r="K296" i="9"/>
  <c r="K297" i="9"/>
  <c r="K298" i="9"/>
  <c r="K299" i="9"/>
  <c r="K300" i="9"/>
  <c r="K301" i="9"/>
  <c r="K302" i="9"/>
  <c r="K303" i="9"/>
  <c r="K304" i="9"/>
  <c r="K305" i="9"/>
  <c r="K306" i="9"/>
  <c r="K307" i="9"/>
  <c r="K308" i="9"/>
  <c r="K309" i="9"/>
  <c r="K310" i="9"/>
  <c r="K311" i="9"/>
  <c r="K312" i="9"/>
  <c r="K313" i="9"/>
  <c r="K314" i="9"/>
  <c r="K315" i="9"/>
  <c r="K316" i="9"/>
  <c r="K317" i="9"/>
  <c r="K318" i="9"/>
  <c r="K319" i="9"/>
  <c r="K320" i="9"/>
  <c r="K321" i="9"/>
  <c r="K322" i="9"/>
  <c r="K323" i="9"/>
  <c r="K324" i="9"/>
  <c r="K325" i="9"/>
  <c r="K326" i="9"/>
  <c r="K327" i="9"/>
  <c r="K328" i="9"/>
  <c r="K329" i="9"/>
  <c r="K330" i="9"/>
  <c r="K331" i="9"/>
  <c r="K332" i="9"/>
  <c r="K333" i="9"/>
  <c r="K334" i="9"/>
  <c r="K335" i="9"/>
  <c r="K336" i="9"/>
  <c r="K337" i="9"/>
  <c r="K338" i="9"/>
  <c r="K339" i="9"/>
  <c r="K340" i="9"/>
  <c r="K341" i="9"/>
  <c r="K342" i="9"/>
  <c r="K343" i="9"/>
  <c r="K344" i="9"/>
  <c r="K345" i="9"/>
  <c r="K346" i="9"/>
  <c r="K347" i="9"/>
  <c r="K348" i="9"/>
  <c r="K349" i="9"/>
  <c r="K350" i="9"/>
  <c r="K351" i="9"/>
  <c r="K352" i="9"/>
  <c r="K353" i="9"/>
  <c r="K354" i="9"/>
  <c r="K355" i="9"/>
  <c r="K356" i="9"/>
  <c r="K357" i="9"/>
  <c r="K358" i="9"/>
  <c r="K359" i="9"/>
  <c r="K360" i="9"/>
  <c r="K361" i="9"/>
  <c r="K362" i="9"/>
  <c r="K363" i="9"/>
  <c r="K364" i="9"/>
  <c r="K365" i="9"/>
  <c r="K366" i="9"/>
  <c r="K367" i="9"/>
  <c r="K368" i="9"/>
  <c r="K369" i="9"/>
  <c r="K370" i="9"/>
  <c r="K371" i="9"/>
  <c r="K372" i="9"/>
  <c r="K373" i="9"/>
  <c r="K374" i="9"/>
  <c r="K375" i="9"/>
  <c r="K376" i="9"/>
  <c r="K377" i="9"/>
  <c r="K378" i="9"/>
  <c r="K379" i="9"/>
  <c r="K380" i="9"/>
  <c r="K381" i="9"/>
  <c r="K382" i="9"/>
  <c r="K383" i="9"/>
  <c r="K384" i="9"/>
  <c r="K385" i="9"/>
  <c r="K386" i="9"/>
  <c r="K387" i="9"/>
  <c r="K388" i="9"/>
  <c r="K389" i="9"/>
  <c r="K390" i="9"/>
  <c r="K391" i="9"/>
  <c r="K392" i="9"/>
  <c r="K393" i="9"/>
  <c r="K394" i="9"/>
  <c r="K395" i="9"/>
  <c r="K396" i="9"/>
  <c r="K397" i="9"/>
  <c r="K398" i="9"/>
  <c r="K399" i="9"/>
  <c r="K400" i="9"/>
  <c r="K401" i="9"/>
  <c r="K402" i="9"/>
  <c r="K403" i="9"/>
  <c r="K404" i="9"/>
  <c r="K405" i="9"/>
  <c r="K406" i="9"/>
  <c r="K407" i="9"/>
  <c r="K408" i="9"/>
  <c r="K409" i="9"/>
  <c r="K410" i="9"/>
  <c r="K411" i="9"/>
  <c r="K412" i="9"/>
  <c r="K413" i="9"/>
  <c r="K414" i="9"/>
  <c r="K415" i="9"/>
  <c r="K416" i="9"/>
  <c r="K417" i="9"/>
  <c r="K418" i="9"/>
  <c r="K419" i="9"/>
  <c r="K420" i="9"/>
  <c r="K421" i="9"/>
  <c r="K422" i="9"/>
  <c r="K423" i="9"/>
  <c r="K424" i="9"/>
  <c r="K425" i="9"/>
  <c r="K426" i="9"/>
  <c r="K427" i="9"/>
  <c r="K428" i="9"/>
  <c r="K429" i="9"/>
  <c r="K430" i="9"/>
  <c r="K431" i="9"/>
  <c r="K432" i="9"/>
  <c r="K433" i="9"/>
  <c r="K434" i="9"/>
  <c r="K435" i="9"/>
  <c r="K436" i="9"/>
  <c r="K437" i="9"/>
  <c r="K438" i="9"/>
  <c r="K439" i="9"/>
  <c r="K440" i="9"/>
  <c r="K441" i="9"/>
  <c r="K442" i="9"/>
  <c r="K443" i="9"/>
  <c r="K444" i="9"/>
  <c r="K445" i="9"/>
  <c r="K446" i="9"/>
  <c r="K447" i="9"/>
  <c r="K448" i="9"/>
  <c r="K449" i="9"/>
  <c r="K450" i="9"/>
  <c r="K451" i="9"/>
  <c r="K452" i="9"/>
  <c r="K453" i="9"/>
  <c r="K454" i="9"/>
  <c r="K455" i="9"/>
  <c r="K456" i="9"/>
  <c r="K457" i="9"/>
  <c r="K458" i="9"/>
  <c r="K459" i="9"/>
  <c r="K460" i="9"/>
  <c r="K461" i="9"/>
  <c r="K462" i="9"/>
  <c r="K463" i="9"/>
  <c r="K464" i="9"/>
  <c r="K465" i="9"/>
  <c r="K466" i="9"/>
  <c r="K467" i="9"/>
  <c r="K468" i="9"/>
  <c r="K469" i="9"/>
  <c r="K470" i="9"/>
  <c r="K471" i="9"/>
  <c r="K472" i="9"/>
  <c r="K473" i="9"/>
  <c r="K474" i="9"/>
  <c r="K475" i="9"/>
  <c r="K476" i="9"/>
  <c r="K477" i="9"/>
  <c r="K478" i="9"/>
  <c r="K479" i="9"/>
  <c r="K480" i="9"/>
  <c r="K481" i="9"/>
  <c r="K482" i="9"/>
  <c r="K483" i="9"/>
  <c r="K484" i="9"/>
  <c r="K485" i="9"/>
  <c r="K486" i="9"/>
  <c r="K487" i="9"/>
  <c r="K488" i="9"/>
  <c r="K489" i="9"/>
  <c r="K490" i="9"/>
  <c r="K491" i="9"/>
  <c r="K492" i="9"/>
  <c r="K493" i="9"/>
  <c r="K494" i="9"/>
  <c r="K495" i="9"/>
  <c r="K496" i="9"/>
  <c r="K497" i="9"/>
  <c r="K498" i="9"/>
  <c r="K499" i="9"/>
  <c r="K500" i="9"/>
  <c r="K501" i="9"/>
  <c r="K502" i="9"/>
  <c r="K503" i="9"/>
  <c r="K504" i="9"/>
  <c r="K505" i="9"/>
  <c r="K506" i="9"/>
  <c r="K507" i="9"/>
  <c r="K508" i="9"/>
  <c r="K509" i="9"/>
  <c r="K510" i="9"/>
  <c r="K511" i="9"/>
  <c r="K512" i="9"/>
  <c r="K513" i="9"/>
  <c r="K514" i="9"/>
  <c r="K515" i="9"/>
  <c r="K516" i="9"/>
  <c r="K517" i="9"/>
  <c r="K518" i="9"/>
  <c r="K519" i="9"/>
  <c r="K520" i="9"/>
  <c r="K521" i="9"/>
  <c r="K522" i="9"/>
  <c r="K523" i="9"/>
  <c r="K524" i="9"/>
  <c r="K525" i="9"/>
  <c r="K526" i="9"/>
  <c r="K527" i="9"/>
  <c r="K528" i="9"/>
  <c r="K529" i="9"/>
  <c r="K530" i="9"/>
  <c r="K531" i="9"/>
  <c r="K532" i="9"/>
  <c r="K533" i="9"/>
  <c r="K534" i="9"/>
  <c r="K535" i="9"/>
  <c r="K536" i="9"/>
  <c r="K537" i="9"/>
  <c r="K538" i="9"/>
  <c r="K539" i="9"/>
  <c r="K540" i="9"/>
  <c r="K541" i="9"/>
  <c r="K542" i="9"/>
  <c r="K543" i="9"/>
  <c r="K544" i="9"/>
  <c r="K545" i="9"/>
  <c r="K546" i="9"/>
  <c r="K547" i="9"/>
  <c r="K548" i="9"/>
  <c r="K549" i="9"/>
  <c r="K550" i="9"/>
  <c r="K551" i="9"/>
  <c r="K552" i="9"/>
  <c r="K553" i="9"/>
  <c r="K554" i="9"/>
  <c r="K555" i="9"/>
  <c r="K556" i="9"/>
  <c r="K557" i="9"/>
  <c r="K558" i="9"/>
  <c r="K559" i="9"/>
  <c r="K560" i="9"/>
  <c r="K561" i="9"/>
  <c r="K562" i="9"/>
  <c r="K563" i="9"/>
  <c r="K564" i="9"/>
  <c r="K565" i="9"/>
  <c r="K566" i="9"/>
  <c r="K567" i="9"/>
  <c r="K568" i="9"/>
  <c r="K569" i="9"/>
  <c r="K570" i="9"/>
  <c r="K571" i="9"/>
  <c r="K572" i="9"/>
  <c r="K573" i="9"/>
  <c r="K574" i="9"/>
  <c r="K575" i="9"/>
  <c r="K576" i="9"/>
  <c r="K577" i="9"/>
  <c r="K578" i="9"/>
  <c r="K579" i="9"/>
  <c r="K580" i="9"/>
  <c r="K581" i="9"/>
  <c r="K582" i="9"/>
  <c r="K583" i="9"/>
  <c r="K584" i="9"/>
  <c r="K585" i="9"/>
  <c r="K586" i="9"/>
  <c r="K587" i="9"/>
  <c r="K588" i="9"/>
  <c r="K589" i="9"/>
  <c r="K590" i="9"/>
  <c r="K591" i="9"/>
  <c r="K592" i="9"/>
  <c r="K593" i="9"/>
  <c r="K594" i="9"/>
  <c r="K595" i="9"/>
  <c r="K596" i="9"/>
  <c r="K597" i="9"/>
  <c r="K598" i="9"/>
  <c r="K599" i="9"/>
  <c r="K600" i="9"/>
  <c r="K601" i="9"/>
  <c r="K602" i="9"/>
  <c r="K603" i="9"/>
  <c r="K604" i="9"/>
  <c r="K605" i="9"/>
  <c r="K606" i="9"/>
  <c r="K607" i="9"/>
  <c r="K608" i="9"/>
  <c r="K609" i="9"/>
  <c r="K610" i="9"/>
  <c r="K611" i="9"/>
  <c r="K612" i="9"/>
  <c r="K613" i="9"/>
  <c r="K614" i="9"/>
  <c r="K615" i="9"/>
  <c r="K616" i="9"/>
  <c r="K617" i="9"/>
  <c r="K618" i="9"/>
  <c r="K619" i="9"/>
  <c r="K620" i="9"/>
  <c r="K621" i="9"/>
  <c r="K622" i="9"/>
  <c r="K623" i="9"/>
  <c r="K624" i="9"/>
  <c r="K625" i="9"/>
  <c r="K626" i="9"/>
  <c r="K627" i="9"/>
  <c r="K628" i="9"/>
  <c r="K629" i="9"/>
  <c r="K630" i="9"/>
  <c r="K631" i="9"/>
  <c r="K632" i="9"/>
  <c r="K633" i="9"/>
  <c r="K634" i="9"/>
  <c r="K635" i="9"/>
  <c r="K636" i="9"/>
  <c r="K637" i="9"/>
  <c r="K638" i="9"/>
  <c r="K639" i="9"/>
  <c r="K640" i="9"/>
  <c r="K641" i="9"/>
  <c r="K642" i="9"/>
  <c r="K643" i="9"/>
  <c r="K644" i="9"/>
  <c r="K645" i="9"/>
  <c r="K646" i="9"/>
  <c r="K647" i="9"/>
  <c r="K648" i="9"/>
  <c r="K649" i="9"/>
  <c r="K650" i="9"/>
  <c r="K651" i="9"/>
  <c r="K652" i="9"/>
  <c r="K653" i="9"/>
  <c r="K654" i="9"/>
  <c r="K655" i="9"/>
  <c r="K656" i="9"/>
  <c r="K657" i="9"/>
  <c r="K658" i="9"/>
  <c r="K659" i="9"/>
  <c r="K660" i="9"/>
  <c r="K661" i="9"/>
  <c r="K662" i="9"/>
  <c r="K663" i="9"/>
  <c r="K664" i="9"/>
  <c r="K665" i="9"/>
  <c r="K666" i="9"/>
  <c r="K667" i="9"/>
  <c r="K668" i="9"/>
  <c r="K669" i="9"/>
  <c r="K670" i="9"/>
  <c r="K671" i="9"/>
  <c r="K672" i="9"/>
  <c r="K673" i="9"/>
  <c r="K674" i="9"/>
  <c r="K675" i="9"/>
  <c r="K676" i="9"/>
  <c r="K677" i="9"/>
  <c r="K678" i="9"/>
  <c r="K679" i="9"/>
  <c r="K680" i="9"/>
  <c r="K681" i="9"/>
  <c r="K682" i="9"/>
  <c r="K683" i="9"/>
  <c r="K684" i="9"/>
  <c r="K685" i="9"/>
  <c r="K686" i="9"/>
  <c r="K687" i="9"/>
  <c r="K688" i="9"/>
  <c r="K689" i="9"/>
  <c r="K690" i="9"/>
  <c r="K691" i="9"/>
  <c r="K692" i="9"/>
  <c r="K693" i="9"/>
  <c r="K694" i="9"/>
  <c r="K695" i="9"/>
  <c r="K696" i="9"/>
  <c r="K697" i="9"/>
  <c r="K698" i="9"/>
  <c r="K699" i="9"/>
  <c r="K700" i="9"/>
  <c r="K701" i="9"/>
  <c r="K702" i="9"/>
  <c r="K703" i="9"/>
  <c r="K704" i="9"/>
  <c r="K705" i="9"/>
  <c r="K706" i="9"/>
  <c r="K707" i="9"/>
  <c r="K708" i="9"/>
  <c r="K709" i="9"/>
  <c r="K710" i="9"/>
  <c r="K711" i="9"/>
  <c r="K712" i="9"/>
  <c r="K713" i="9"/>
  <c r="K714" i="9"/>
  <c r="K715" i="9"/>
  <c r="K716" i="9"/>
  <c r="K717" i="9"/>
  <c r="K718" i="9"/>
  <c r="K719" i="9"/>
  <c r="K720" i="9"/>
  <c r="K721" i="9"/>
  <c r="K722" i="9"/>
  <c r="K723" i="9"/>
  <c r="K724" i="9"/>
  <c r="K725" i="9"/>
  <c r="K726" i="9"/>
  <c r="K727" i="9"/>
  <c r="K728" i="9"/>
  <c r="K729" i="9"/>
  <c r="K730" i="9"/>
  <c r="K731" i="9"/>
  <c r="K732" i="9"/>
  <c r="K733" i="9"/>
  <c r="K734" i="9"/>
  <c r="K735" i="9"/>
  <c r="K736" i="9"/>
  <c r="K737" i="9"/>
  <c r="K738" i="9"/>
  <c r="K739" i="9"/>
  <c r="K740" i="9"/>
  <c r="K741" i="9"/>
  <c r="K742" i="9"/>
  <c r="K743" i="9"/>
  <c r="K744" i="9"/>
  <c r="K745" i="9"/>
  <c r="K746" i="9"/>
  <c r="K747" i="9"/>
  <c r="K748" i="9"/>
  <c r="K749" i="9"/>
  <c r="K750" i="9"/>
  <c r="K751" i="9"/>
  <c r="K752" i="9"/>
  <c r="K753" i="9"/>
  <c r="K754" i="9"/>
  <c r="K755" i="9"/>
  <c r="K756" i="9"/>
  <c r="K757" i="9"/>
  <c r="K758" i="9"/>
  <c r="K759" i="9"/>
  <c r="K760" i="9"/>
  <c r="K761" i="9"/>
  <c r="K762" i="9"/>
  <c r="K763" i="9"/>
  <c r="K764" i="9"/>
  <c r="K765" i="9"/>
  <c r="K772" i="9"/>
  <c r="K773" i="9"/>
  <c r="K774" i="9"/>
  <c r="K775" i="9"/>
  <c r="K776" i="9"/>
  <c r="K777" i="9"/>
  <c r="K778" i="9"/>
  <c r="K779" i="9"/>
  <c r="K780" i="9"/>
  <c r="K781" i="9"/>
  <c r="K782" i="9"/>
  <c r="K783" i="9"/>
  <c r="K784" i="9"/>
  <c r="K785" i="9"/>
  <c r="K786" i="9"/>
  <c r="K787" i="9"/>
  <c r="K788" i="9"/>
  <c r="K789" i="9"/>
  <c r="K790" i="9"/>
  <c r="K791" i="9"/>
  <c r="K792" i="9"/>
  <c r="K793" i="9"/>
  <c r="K794" i="9"/>
  <c r="K795" i="9"/>
  <c r="K796" i="9"/>
  <c r="K797" i="9"/>
  <c r="K798" i="9"/>
  <c r="K799" i="9"/>
  <c r="K800" i="9"/>
  <c r="K801" i="9"/>
  <c r="K802" i="9"/>
  <c r="K803" i="9"/>
  <c r="K804" i="9"/>
  <c r="K805" i="9"/>
  <c r="K806" i="9"/>
  <c r="K807" i="9"/>
  <c r="K808" i="9"/>
  <c r="K809" i="9"/>
  <c r="K810" i="9"/>
  <c r="K811" i="9"/>
  <c r="K812" i="9"/>
  <c r="K813" i="9"/>
  <c r="K814" i="9"/>
  <c r="K815" i="9"/>
  <c r="K816" i="9"/>
  <c r="K817" i="9"/>
  <c r="K818" i="9"/>
  <c r="K819" i="9"/>
  <c r="K820" i="9"/>
  <c r="K821" i="9"/>
  <c r="K822" i="9"/>
  <c r="K823" i="9"/>
  <c r="K824" i="9"/>
  <c r="K825" i="9"/>
  <c r="K826" i="9"/>
  <c r="K827" i="9"/>
  <c r="K828" i="9"/>
  <c r="K829" i="9"/>
  <c r="K830" i="9"/>
  <c r="K831" i="9"/>
  <c r="K832" i="9"/>
  <c r="K833" i="9"/>
  <c r="K834" i="9"/>
  <c r="K835" i="9"/>
  <c r="K836" i="9"/>
  <c r="K837" i="9"/>
  <c r="K838" i="9"/>
  <c r="K839" i="9"/>
  <c r="K840" i="9"/>
  <c r="K841" i="9"/>
  <c r="K842" i="9"/>
  <c r="K843" i="9"/>
  <c r="K844" i="9"/>
  <c r="K845" i="9"/>
  <c r="K846" i="9"/>
  <c r="K847" i="9"/>
  <c r="K848" i="9"/>
  <c r="K849" i="9"/>
  <c r="K850" i="9"/>
  <c r="K851" i="9"/>
  <c r="K852" i="9"/>
  <c r="K853" i="9"/>
  <c r="K854" i="9"/>
  <c r="K855" i="9"/>
  <c r="K856" i="9"/>
  <c r="K857" i="9"/>
  <c r="K858" i="9"/>
  <c r="K859" i="9"/>
  <c r="K860" i="9"/>
  <c r="K861" i="9"/>
  <c r="K862" i="9"/>
  <c r="K863" i="9"/>
  <c r="K864" i="9"/>
  <c r="K865" i="9"/>
  <c r="K866" i="9"/>
  <c r="K5" i="9"/>
  <c r="G766" i="9"/>
  <c r="G762" i="9"/>
  <c r="G740" i="9"/>
  <c r="H737" i="9"/>
  <c r="H738" i="9"/>
  <c r="G732" i="9"/>
  <c r="G731" i="9"/>
  <c r="G717" i="9"/>
  <c r="H666" i="9"/>
  <c r="H606" i="9"/>
  <c r="H317" i="9"/>
  <c r="H26" i="9"/>
  <c r="G587" i="9"/>
  <c r="G586" i="9"/>
  <c r="G585" i="9"/>
  <c r="H551" i="9"/>
  <c r="G526" i="9"/>
  <c r="H526" i="9" s="1"/>
  <c r="G511" i="9"/>
  <c r="G510" i="9"/>
  <c r="G455" i="9"/>
  <c r="G454" i="9"/>
  <c r="G453" i="9"/>
  <c r="G452" i="9"/>
  <c r="H408" i="9"/>
  <c r="G341" i="9"/>
  <c r="G340" i="9"/>
  <c r="H303" i="9"/>
  <c r="G292" i="9"/>
  <c r="H292" i="9" s="1"/>
  <c r="H275" i="9"/>
  <c r="H249" i="9"/>
  <c r="H248" i="9"/>
  <c r="G241" i="9"/>
  <c r="G232" i="9" l="1"/>
  <c r="G231" i="9"/>
  <c r="H231" i="9" s="1"/>
  <c r="G230" i="9"/>
  <c r="H230" i="9" s="1"/>
  <c r="G229" i="9"/>
  <c r="H229" i="9" s="1"/>
  <c r="G233" i="9"/>
  <c r="H233" i="9" s="1"/>
  <c r="H211" i="9"/>
  <c r="H212" i="9"/>
  <c r="H210" i="9"/>
  <c r="G206" i="9"/>
  <c r="H206" i="9" s="1"/>
  <c r="G205" i="9"/>
  <c r="H205" i="9" s="1"/>
  <c r="H197" i="9"/>
  <c r="H198" i="9"/>
  <c r="H199" i="9"/>
  <c r="H200" i="9"/>
  <c r="H201" i="9"/>
  <c r="H202" i="9"/>
  <c r="H203" i="9"/>
  <c r="H204" i="9"/>
  <c r="H207" i="9"/>
  <c r="H208" i="9"/>
  <c r="H209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32" i="9"/>
  <c r="H235" i="9"/>
  <c r="H236" i="9"/>
  <c r="H237" i="9"/>
  <c r="H238" i="9"/>
  <c r="H239" i="9"/>
  <c r="H240" i="9"/>
  <c r="H241" i="9"/>
  <c r="H242" i="9"/>
  <c r="H243" i="9"/>
  <c r="H244" i="9"/>
  <c r="H246" i="9"/>
  <c r="H247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6" i="9"/>
  <c r="H277" i="9"/>
  <c r="H279" i="9"/>
  <c r="H280" i="9"/>
  <c r="H282" i="9"/>
  <c r="H283" i="9"/>
  <c r="H284" i="9"/>
  <c r="H285" i="9"/>
  <c r="H286" i="9"/>
  <c r="H287" i="9"/>
  <c r="H288" i="9"/>
  <c r="H289" i="9"/>
  <c r="H291" i="9"/>
  <c r="H293" i="9"/>
  <c r="H294" i="9"/>
  <c r="H295" i="9"/>
  <c r="H297" i="9"/>
  <c r="H298" i="9"/>
  <c r="H299" i="9"/>
  <c r="H301" i="9"/>
  <c r="H302" i="9"/>
  <c r="H304" i="9"/>
  <c r="H305" i="9"/>
  <c r="H306" i="9"/>
  <c r="H307" i="9"/>
  <c r="H308" i="9"/>
  <c r="H311" i="9"/>
  <c r="H312" i="9"/>
  <c r="H313" i="9"/>
  <c r="H314" i="9"/>
  <c r="H315" i="9"/>
  <c r="H316" i="9"/>
  <c r="H318" i="9"/>
  <c r="H319" i="9"/>
  <c r="H320" i="9"/>
  <c r="H321" i="9"/>
  <c r="H322" i="9"/>
  <c r="H323" i="9"/>
  <c r="H324" i="9"/>
  <c r="H326" i="9"/>
  <c r="H327" i="9"/>
  <c r="H328" i="9"/>
  <c r="H329" i="9"/>
  <c r="H330" i="9"/>
  <c r="H331" i="9"/>
  <c r="H332" i="9"/>
  <c r="H333" i="9"/>
  <c r="H334" i="9"/>
  <c r="H336" i="9"/>
  <c r="H337" i="9"/>
  <c r="H338" i="9"/>
  <c r="H339" i="9"/>
  <c r="H340" i="9"/>
  <c r="H341" i="9"/>
  <c r="H342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404" i="9"/>
  <c r="H405" i="9"/>
  <c r="H407" i="9"/>
  <c r="H409" i="9"/>
  <c r="H410" i="9"/>
  <c r="H411" i="9"/>
  <c r="H412" i="9"/>
  <c r="H414" i="9"/>
  <c r="H415" i="9"/>
  <c r="H416" i="9"/>
  <c r="H417" i="9"/>
  <c r="H418" i="9"/>
  <c r="H419" i="9"/>
  <c r="H420" i="9"/>
  <c r="H421" i="9"/>
  <c r="H422" i="9"/>
  <c r="H423" i="9"/>
  <c r="H425" i="9"/>
  <c r="H426" i="9"/>
  <c r="H427" i="9"/>
  <c r="H428" i="9"/>
  <c r="H429" i="9"/>
  <c r="H430" i="9"/>
  <c r="H431" i="9"/>
  <c r="H432" i="9"/>
  <c r="H433" i="9"/>
  <c r="H434" i="9"/>
  <c r="H436" i="9"/>
  <c r="H437" i="9"/>
  <c r="H438" i="9"/>
  <c r="H439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3" i="9"/>
  <c r="H474" i="9"/>
  <c r="H475" i="9"/>
  <c r="H476" i="9"/>
  <c r="H477" i="9"/>
  <c r="H478" i="9"/>
  <c r="H480" i="9"/>
  <c r="H481" i="9"/>
  <c r="H482" i="9"/>
  <c r="H483" i="9"/>
  <c r="H484" i="9"/>
  <c r="H485" i="9"/>
  <c r="H486" i="9"/>
  <c r="H488" i="9"/>
  <c r="H489" i="9"/>
  <c r="H490" i="9"/>
  <c r="H492" i="9"/>
  <c r="H493" i="9"/>
  <c r="H494" i="9"/>
  <c r="H495" i="9"/>
  <c r="H496" i="9"/>
  <c r="H497" i="9"/>
  <c r="H498" i="9"/>
  <c r="H500" i="9"/>
  <c r="H501" i="9"/>
  <c r="H502" i="9"/>
  <c r="H504" i="9"/>
  <c r="H505" i="9"/>
  <c r="H507" i="9"/>
  <c r="H508" i="9"/>
  <c r="H509" i="9"/>
  <c r="H510" i="9"/>
  <c r="H511" i="9"/>
  <c r="H512" i="9"/>
  <c r="H513" i="9"/>
  <c r="H514" i="9"/>
  <c r="H515" i="9"/>
  <c r="H516" i="9"/>
  <c r="H517" i="9"/>
  <c r="H518" i="9"/>
  <c r="H519" i="9"/>
  <c r="H520" i="9"/>
  <c r="H521" i="9"/>
  <c r="H522" i="9"/>
  <c r="H523" i="9"/>
  <c r="H524" i="9"/>
  <c r="H525" i="9"/>
  <c r="H527" i="9"/>
  <c r="H528" i="9"/>
  <c r="H529" i="9"/>
  <c r="H530" i="9"/>
  <c r="H531" i="9"/>
  <c r="H532" i="9"/>
  <c r="H533" i="9"/>
  <c r="H534" i="9"/>
  <c r="H535" i="9"/>
  <c r="H536" i="9"/>
  <c r="H537" i="9"/>
  <c r="H538" i="9"/>
  <c r="H539" i="9"/>
  <c r="H540" i="9"/>
  <c r="H541" i="9"/>
  <c r="H542" i="9"/>
  <c r="H543" i="9"/>
  <c r="H544" i="9"/>
  <c r="H545" i="9"/>
  <c r="H547" i="9"/>
  <c r="H548" i="9"/>
  <c r="H549" i="9"/>
  <c r="H550" i="9"/>
  <c r="H552" i="9"/>
  <c r="H553" i="9"/>
  <c r="H554" i="9"/>
  <c r="H555" i="9"/>
  <c r="H556" i="9"/>
  <c r="H557" i="9"/>
  <c r="H558" i="9"/>
  <c r="H559" i="9"/>
  <c r="H560" i="9"/>
  <c r="H561" i="9"/>
  <c r="H562" i="9"/>
  <c r="H563" i="9"/>
  <c r="H564" i="9"/>
  <c r="H565" i="9"/>
  <c r="H566" i="9"/>
  <c r="H567" i="9"/>
  <c r="H568" i="9"/>
  <c r="H569" i="9"/>
  <c r="H570" i="9"/>
  <c r="H571" i="9"/>
  <c r="H572" i="9"/>
  <c r="H573" i="9"/>
  <c r="H574" i="9"/>
  <c r="H575" i="9"/>
  <c r="H576" i="9"/>
  <c r="H577" i="9"/>
  <c r="H578" i="9"/>
  <c r="H579" i="9"/>
  <c r="H580" i="9"/>
  <c r="H582" i="9"/>
  <c r="H583" i="9"/>
  <c r="H584" i="9"/>
  <c r="H585" i="9"/>
  <c r="H586" i="9"/>
  <c r="H587" i="9"/>
  <c r="H588" i="9"/>
  <c r="H589" i="9"/>
  <c r="H590" i="9"/>
  <c r="H591" i="9"/>
  <c r="H592" i="9"/>
  <c r="H593" i="9"/>
  <c r="H594" i="9"/>
  <c r="H595" i="9"/>
  <c r="H596" i="9"/>
  <c r="H597" i="9"/>
  <c r="H598" i="9"/>
  <c r="H599" i="9"/>
  <c r="H600" i="9"/>
  <c r="H601" i="9"/>
  <c r="H602" i="9"/>
  <c r="H603" i="9"/>
  <c r="H604" i="9"/>
  <c r="H605" i="9"/>
  <c r="H607" i="9"/>
  <c r="H609" i="9"/>
  <c r="H610" i="9"/>
  <c r="H611" i="9"/>
  <c r="H612" i="9"/>
  <c r="H613" i="9"/>
  <c r="H614" i="9"/>
  <c r="H615" i="9"/>
  <c r="H616" i="9"/>
  <c r="H617" i="9"/>
  <c r="H618" i="9"/>
  <c r="H619" i="9"/>
  <c r="H620" i="9"/>
  <c r="H621" i="9"/>
  <c r="H622" i="9"/>
  <c r="H623" i="9"/>
  <c r="H624" i="9"/>
  <c r="H625" i="9"/>
  <c r="H626" i="9"/>
  <c r="H627" i="9"/>
  <c r="H628" i="9"/>
  <c r="H629" i="9"/>
  <c r="H630" i="9"/>
  <c r="H631" i="9"/>
  <c r="H632" i="9"/>
  <c r="H633" i="9"/>
  <c r="H634" i="9"/>
  <c r="H635" i="9"/>
  <c r="H636" i="9"/>
  <c r="H637" i="9"/>
  <c r="H638" i="9"/>
  <c r="H639" i="9"/>
  <c r="H640" i="9"/>
  <c r="H641" i="9"/>
  <c r="H642" i="9"/>
  <c r="H643" i="9"/>
  <c r="H644" i="9"/>
  <c r="H645" i="9"/>
  <c r="H646" i="9"/>
  <c r="H648" i="9"/>
  <c r="H649" i="9"/>
  <c r="H650" i="9"/>
  <c r="H651" i="9"/>
  <c r="H652" i="9"/>
  <c r="H653" i="9"/>
  <c r="H654" i="9"/>
  <c r="H655" i="9"/>
  <c r="H656" i="9"/>
  <c r="H657" i="9"/>
  <c r="H658" i="9"/>
  <c r="H659" i="9"/>
  <c r="H660" i="9"/>
  <c r="H661" i="9"/>
  <c r="H662" i="9"/>
  <c r="H663" i="9"/>
  <c r="H664" i="9"/>
  <c r="H665" i="9"/>
  <c r="H667" i="9"/>
  <c r="H668" i="9"/>
  <c r="H669" i="9"/>
  <c r="H670" i="9"/>
  <c r="H671" i="9"/>
  <c r="H672" i="9"/>
  <c r="H673" i="9"/>
  <c r="H674" i="9"/>
  <c r="H675" i="9"/>
  <c r="H676" i="9"/>
  <c r="H677" i="9"/>
  <c r="H678" i="9"/>
  <c r="H679" i="9"/>
  <c r="H680" i="9"/>
  <c r="H681" i="9"/>
  <c r="H682" i="9"/>
  <c r="H683" i="9"/>
  <c r="H684" i="9"/>
  <c r="H685" i="9"/>
  <c r="H686" i="9"/>
  <c r="H687" i="9"/>
  <c r="H688" i="9"/>
  <c r="H689" i="9"/>
  <c r="H690" i="9"/>
  <c r="H691" i="9"/>
  <c r="H692" i="9"/>
  <c r="H693" i="9"/>
  <c r="H694" i="9"/>
  <c r="H695" i="9"/>
  <c r="H696" i="9"/>
  <c r="H697" i="9"/>
  <c r="H698" i="9"/>
  <c r="H699" i="9"/>
  <c r="H700" i="9"/>
  <c r="H701" i="9"/>
  <c r="H702" i="9"/>
  <c r="H703" i="9"/>
  <c r="H704" i="9"/>
  <c r="H707" i="9"/>
  <c r="H708" i="9"/>
  <c r="H711" i="9"/>
  <c r="H712" i="9"/>
  <c r="H713" i="9"/>
  <c r="H714" i="9"/>
  <c r="H715" i="9"/>
  <c r="H716" i="9"/>
  <c r="H717" i="9"/>
  <c r="H718" i="9"/>
  <c r="H719" i="9"/>
  <c r="H720" i="9"/>
  <c r="H721" i="9"/>
  <c r="H722" i="9"/>
  <c r="H723" i="9"/>
  <c r="H724" i="9"/>
  <c r="H725" i="9"/>
  <c r="H726" i="9"/>
  <c r="H727" i="9"/>
  <c r="H728" i="9"/>
  <c r="H729" i="9"/>
  <c r="H730" i="9"/>
  <c r="H731" i="9"/>
  <c r="H732" i="9"/>
  <c r="H733" i="9"/>
  <c r="H734" i="9"/>
  <c r="H735" i="9"/>
  <c r="H739" i="9"/>
  <c r="H740" i="9"/>
  <c r="H741" i="9"/>
  <c r="H742" i="9"/>
  <c r="H743" i="9"/>
  <c r="H744" i="9"/>
  <c r="H745" i="9"/>
  <c r="H746" i="9"/>
  <c r="H748" i="9"/>
  <c r="H749" i="9"/>
  <c r="H750" i="9"/>
  <c r="H751" i="9"/>
  <c r="H753" i="9"/>
  <c r="H754" i="9"/>
  <c r="H755" i="9"/>
  <c r="H756" i="9"/>
  <c r="H758" i="9"/>
  <c r="H759" i="9"/>
  <c r="H760" i="9"/>
  <c r="H761" i="9"/>
  <c r="H762" i="9"/>
  <c r="H763" i="9"/>
  <c r="H764" i="9"/>
  <c r="H765" i="9"/>
  <c r="H766" i="9"/>
  <c r="H767" i="9"/>
  <c r="H768" i="9"/>
  <c r="H769" i="9"/>
  <c r="H770" i="9"/>
  <c r="H771" i="9"/>
  <c r="H772" i="9"/>
  <c r="H773" i="9"/>
  <c r="H776" i="9"/>
  <c r="H777" i="9"/>
  <c r="H778" i="9"/>
  <c r="H779" i="9"/>
  <c r="H780" i="9"/>
  <c r="H781" i="9"/>
  <c r="H782" i="9"/>
  <c r="H783" i="9"/>
  <c r="H784" i="9"/>
  <c r="H785" i="9"/>
  <c r="H786" i="9"/>
  <c r="H787" i="9"/>
  <c r="H788" i="9"/>
  <c r="H789" i="9"/>
  <c r="H790" i="9"/>
  <c r="H791" i="9"/>
  <c r="H792" i="9"/>
  <c r="H793" i="9"/>
  <c r="H794" i="9"/>
  <c r="H795" i="9"/>
  <c r="H796" i="9"/>
  <c r="H797" i="9"/>
  <c r="H798" i="9"/>
  <c r="H799" i="9"/>
  <c r="H800" i="9"/>
  <c r="H801" i="9"/>
  <c r="H802" i="9"/>
  <c r="H803" i="9"/>
  <c r="H804" i="9"/>
  <c r="H805" i="9"/>
  <c r="H806" i="9"/>
  <c r="H807" i="9"/>
  <c r="H808" i="9"/>
  <c r="H809" i="9"/>
  <c r="H810" i="9"/>
  <c r="H811" i="9"/>
  <c r="H812" i="9"/>
  <c r="H813" i="9"/>
  <c r="H814" i="9"/>
  <c r="H815" i="9"/>
  <c r="H816" i="9"/>
  <c r="H817" i="9"/>
  <c r="H818" i="9"/>
  <c r="H819" i="9"/>
  <c r="H820" i="9"/>
  <c r="H821" i="9"/>
  <c r="H822" i="9"/>
  <c r="H823" i="9"/>
  <c r="H824" i="9"/>
  <c r="H825" i="9"/>
  <c r="H826" i="9"/>
  <c r="H827" i="9"/>
  <c r="H828" i="9"/>
  <c r="H829" i="9"/>
  <c r="H830" i="9"/>
  <c r="H831" i="9"/>
  <c r="H832" i="9"/>
  <c r="H833" i="9"/>
  <c r="H834" i="9"/>
  <c r="H835" i="9"/>
  <c r="H836" i="9"/>
  <c r="H837" i="9"/>
  <c r="H838" i="9"/>
  <c r="H839" i="9"/>
  <c r="H840" i="9"/>
  <c r="H841" i="9"/>
  <c r="H842" i="9"/>
  <c r="H843" i="9"/>
  <c r="H844" i="9"/>
  <c r="H845" i="9"/>
  <c r="H846" i="9"/>
  <c r="H847" i="9"/>
  <c r="H848" i="9"/>
  <c r="H849" i="9"/>
  <c r="H850" i="9"/>
  <c r="H851" i="9"/>
  <c r="H852" i="9"/>
  <c r="H853" i="9"/>
  <c r="H854" i="9"/>
  <c r="H855" i="9"/>
  <c r="H856" i="9"/>
  <c r="H857" i="9"/>
  <c r="H858" i="9"/>
  <c r="H859" i="9"/>
  <c r="H860" i="9"/>
  <c r="H861" i="9"/>
  <c r="H862" i="9"/>
  <c r="H863" i="9"/>
  <c r="H864" i="9"/>
  <c r="H865" i="9"/>
  <c r="H866" i="9"/>
  <c r="H195" i="9"/>
  <c r="H196" i="9"/>
  <c r="H194" i="9"/>
  <c r="H189" i="9"/>
  <c r="H190" i="9"/>
  <c r="H191" i="9"/>
  <c r="H192" i="9"/>
  <c r="H193" i="9"/>
  <c r="F182" i="9"/>
  <c r="H182" i="9" s="1"/>
  <c r="H181" i="9"/>
  <c r="H183" i="9"/>
  <c r="H184" i="9"/>
  <c r="H185" i="9"/>
  <c r="H186" i="9"/>
  <c r="H187" i="9"/>
  <c r="H175" i="9"/>
  <c r="H176" i="9"/>
  <c r="H177" i="9"/>
  <c r="H178" i="9"/>
  <c r="H179" i="9"/>
  <c r="H180" i="9"/>
  <c r="H173" i="9"/>
  <c r="H174" i="9"/>
  <c r="H169" i="9"/>
  <c r="H170" i="9"/>
  <c r="H171" i="9"/>
  <c r="H172" i="9"/>
  <c r="H168" i="9"/>
  <c r="H163" i="9"/>
  <c r="H164" i="9"/>
  <c r="H165" i="9"/>
  <c r="H166" i="9"/>
  <c r="G162" i="9"/>
  <c r="H162" i="9" s="1"/>
  <c r="H153" i="9"/>
  <c r="H154" i="9"/>
  <c r="H155" i="9"/>
  <c r="H156" i="9"/>
  <c r="H157" i="9"/>
  <c r="H158" i="9"/>
  <c r="H160" i="9"/>
  <c r="H161" i="9"/>
  <c r="G148" i="9"/>
  <c r="H148" i="9" s="1"/>
  <c r="G147" i="9"/>
  <c r="H147" i="9" s="1"/>
  <c r="H136" i="9"/>
  <c r="H137" i="9"/>
  <c r="H135" i="9"/>
  <c r="H138" i="9"/>
  <c r="H139" i="9"/>
  <c r="H140" i="9"/>
  <c r="H141" i="9"/>
  <c r="H142" i="9"/>
  <c r="H143" i="9"/>
  <c r="H144" i="9"/>
  <c r="H145" i="9"/>
  <c r="H146" i="9"/>
  <c r="H150" i="9"/>
  <c r="H151" i="9"/>
  <c r="H152" i="9"/>
  <c r="G134" i="9"/>
  <c r="H134" i="9" s="1"/>
  <c r="G133" i="9"/>
  <c r="H133" i="9" s="1"/>
  <c r="G110" i="9"/>
  <c r="H110" i="9" s="1"/>
  <c r="H108" i="9"/>
  <c r="H107" i="9"/>
  <c r="H109" i="9"/>
  <c r="H79" i="9"/>
  <c r="H81" i="9"/>
  <c r="G82" i="9"/>
  <c r="H82" i="9" s="1"/>
  <c r="H80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G44" i="9"/>
  <c r="H44" i="9" s="1"/>
  <c r="H10" i="9"/>
  <c r="H11" i="9"/>
  <c r="H12" i="9"/>
  <c r="H13" i="9"/>
  <c r="H5" i="9"/>
  <c r="H132" i="9"/>
  <c r="H131" i="9"/>
  <c r="H129" i="9"/>
  <c r="H128" i="9"/>
  <c r="H127" i="9"/>
  <c r="H126" i="9"/>
  <c r="H125" i="9"/>
  <c r="H124" i="9"/>
  <c r="H123" i="9"/>
  <c r="H122" i="9"/>
  <c r="H121" i="9"/>
  <c r="H120" i="9"/>
  <c r="H119" i="9"/>
  <c r="H118" i="9"/>
  <c r="H117" i="9"/>
  <c r="H115" i="9"/>
  <c r="H114" i="9"/>
  <c r="H113" i="9"/>
  <c r="H112" i="9"/>
  <c r="H111" i="9"/>
  <c r="H106" i="9"/>
  <c r="H105" i="9"/>
  <c r="H104" i="9"/>
  <c r="H103" i="9"/>
  <c r="H102" i="9"/>
  <c r="H101" i="9"/>
  <c r="H100" i="9"/>
  <c r="H99" i="9"/>
  <c r="H98" i="9"/>
  <c r="H97" i="9"/>
  <c r="H96" i="9"/>
  <c r="H95" i="9"/>
  <c r="H94" i="9"/>
  <c r="H93" i="9"/>
  <c r="H92" i="9"/>
  <c r="H91" i="9"/>
  <c r="H90" i="9"/>
  <c r="H89" i="9"/>
  <c r="H88" i="9"/>
  <c r="H87" i="9"/>
  <c r="H86" i="9"/>
  <c r="H85" i="9"/>
  <c r="H84" i="9"/>
  <c r="H83" i="9"/>
  <c r="H63" i="9"/>
  <c r="H62" i="9"/>
  <c r="H61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3" i="9"/>
  <c r="H42" i="9"/>
  <c r="H40" i="9"/>
  <c r="H39" i="9"/>
  <c r="H38" i="9"/>
  <c r="H37" i="9"/>
  <c r="H36" i="9"/>
  <c r="H35" i="9"/>
  <c r="H34" i="9"/>
  <c r="H33" i="9"/>
  <c r="H32" i="9"/>
  <c r="H30" i="9"/>
  <c r="H29" i="9"/>
  <c r="H28" i="9"/>
  <c r="H27" i="9"/>
  <c r="H25" i="9"/>
  <c r="H24" i="9"/>
  <c r="H23" i="9"/>
  <c r="H22" i="9"/>
  <c r="H21" i="9"/>
  <c r="H20" i="9"/>
  <c r="H19" i="9"/>
  <c r="H18" i="9"/>
  <c r="H17" i="9"/>
  <c r="H16" i="9"/>
  <c r="H15" i="9"/>
  <c r="H14" i="9"/>
  <c r="H9" i="9"/>
  <c r="H8" i="9"/>
  <c r="H7" i="9"/>
  <c r="H6" i="9"/>
  <c r="G188" i="9" l="1"/>
  <c r="H188" i="9" s="1"/>
</calcChain>
</file>

<file path=xl/sharedStrings.xml><?xml version="1.0" encoding="utf-8"?>
<sst xmlns="http://schemas.openxmlformats.org/spreadsheetml/2006/main" count="3842" uniqueCount="2122">
  <si>
    <t>Contract Information</t>
  </si>
  <si>
    <t>Classification</t>
  </si>
  <si>
    <t>Contact Information</t>
  </si>
  <si>
    <t>Contract Number</t>
  </si>
  <si>
    <t>Order Number</t>
  </si>
  <si>
    <t>Client Name</t>
  </si>
  <si>
    <t>Job Description</t>
  </si>
  <si>
    <t>Qty</t>
  </si>
  <si>
    <t>Value</t>
  </si>
  <si>
    <t>Total Value</t>
  </si>
  <si>
    <t>Sold By</t>
  </si>
  <si>
    <t>Category</t>
  </si>
  <si>
    <t>Name and Surname</t>
  </si>
  <si>
    <t>Contact Number</t>
  </si>
  <si>
    <t>Email</t>
  </si>
  <si>
    <t>Notes</t>
  </si>
  <si>
    <t>Cash Sale</t>
  </si>
  <si>
    <t>SM</t>
  </si>
  <si>
    <t>Class B Zinzi/Simon</t>
  </si>
  <si>
    <t>All</t>
  </si>
  <si>
    <t>ZX</t>
  </si>
  <si>
    <t>Class A Zinzi</t>
  </si>
  <si>
    <t>Arta Masjinerie</t>
  </si>
  <si>
    <t>Class C Simon/Magena</t>
  </si>
  <si>
    <t>Tiracamino</t>
  </si>
  <si>
    <t>Africa Trading</t>
  </si>
  <si>
    <t>CMP 718-2M</t>
  </si>
  <si>
    <t>Compre Air</t>
  </si>
  <si>
    <t>Compu Cool</t>
  </si>
  <si>
    <t>CMA 426-2M</t>
  </si>
  <si>
    <t>Morlyn Fans</t>
  </si>
  <si>
    <t>Optimal Air</t>
  </si>
  <si>
    <t>PO1014</t>
  </si>
  <si>
    <t>CMP 512 2M</t>
  </si>
  <si>
    <t>Kenmare</t>
  </si>
  <si>
    <t>St Air</t>
  </si>
  <si>
    <t>Universal Fans</t>
  </si>
  <si>
    <t>CMA 325-2T</t>
  </si>
  <si>
    <t>NWK</t>
  </si>
  <si>
    <t>Cape Fans</t>
  </si>
  <si>
    <t>Total Mining</t>
  </si>
  <si>
    <t>Craig</t>
  </si>
  <si>
    <t>CMP 718-2T</t>
  </si>
  <si>
    <t>PO2103</t>
  </si>
  <si>
    <t>CMP 514-2M</t>
  </si>
  <si>
    <t>Elmec Air</t>
  </si>
  <si>
    <t>Aberdare Cables</t>
  </si>
  <si>
    <t>CMP 514 2M</t>
  </si>
  <si>
    <t>Lineo 150</t>
  </si>
  <si>
    <t xml:space="preserve">Hucra Fans </t>
  </si>
  <si>
    <t>PO3525</t>
  </si>
  <si>
    <t>CMP 616-2T</t>
  </si>
  <si>
    <t>Arctic Air</t>
  </si>
  <si>
    <t>CMP 514 2T</t>
  </si>
  <si>
    <t>Midrand Air</t>
  </si>
  <si>
    <t>CE200</t>
  </si>
  <si>
    <t>AVMs</t>
  </si>
  <si>
    <t>Chash Sale</t>
  </si>
  <si>
    <t>CPV 1020-4T</t>
  </si>
  <si>
    <t>V150/6 AR</t>
  </si>
  <si>
    <t>V150/6 AR LLS</t>
  </si>
  <si>
    <t xml:space="preserve">Tiracamino </t>
  </si>
  <si>
    <t>Lineo 125</t>
  </si>
  <si>
    <t>V230/9 ARI</t>
  </si>
  <si>
    <t>V230/9 AR LLS</t>
  </si>
  <si>
    <t>HV 1250</t>
  </si>
  <si>
    <t>HCD 25-4M</t>
  </si>
  <si>
    <t>Karan Beef</t>
  </si>
  <si>
    <t>Lineo 150 Quiet</t>
  </si>
  <si>
    <t>Lineo 200</t>
  </si>
  <si>
    <t>Jaft Aircon Services</t>
  </si>
  <si>
    <t>Lineo 250 Quiet</t>
  </si>
  <si>
    <t>V230/9 AR</t>
  </si>
  <si>
    <t>Lineo 315</t>
  </si>
  <si>
    <t>CE 250</t>
  </si>
  <si>
    <t>Accessories</t>
  </si>
  <si>
    <t>Elemecair</t>
  </si>
  <si>
    <t>Insukamini</t>
  </si>
  <si>
    <t>CMA 527-2T</t>
  </si>
  <si>
    <t>Cool Tech</t>
  </si>
  <si>
    <t>AT 12/12 SC</t>
  </si>
  <si>
    <t>Lineo 200 Quiet</t>
  </si>
  <si>
    <t>PO1975</t>
  </si>
  <si>
    <t>Wall fans</t>
  </si>
  <si>
    <t>cash Sale</t>
  </si>
  <si>
    <t>Categories</t>
  </si>
  <si>
    <t>cash sale</t>
  </si>
  <si>
    <t>Zefs More Vision</t>
  </si>
  <si>
    <t>Delivery</t>
  </si>
  <si>
    <t>Enviroware Construction</t>
  </si>
  <si>
    <t>CE250</t>
  </si>
  <si>
    <t>Bearing Services Lydenburg</t>
  </si>
  <si>
    <t>Air Speration</t>
  </si>
  <si>
    <t>Box Fans</t>
  </si>
  <si>
    <t>Midstone Engineering t/a Midair</t>
  </si>
  <si>
    <t>Aircycle Engineering</t>
  </si>
  <si>
    <t>CMA-324-2T</t>
  </si>
  <si>
    <t>ECS DEEP CLEAN INDUSTRIES</t>
  </si>
  <si>
    <t>GTI</t>
  </si>
  <si>
    <t>DJ Airconditioning</t>
  </si>
  <si>
    <t>LINEO 200</t>
  </si>
  <si>
    <t>RAD315</t>
  </si>
  <si>
    <t>MK Technical Services</t>
  </si>
  <si>
    <t>CMP 820-4T</t>
  </si>
  <si>
    <t>Noble Motors &amp; Control</t>
  </si>
  <si>
    <t>RAD 315</t>
  </si>
  <si>
    <t>Aircontech Technologies</t>
  </si>
  <si>
    <t>RAD 250</t>
  </si>
  <si>
    <t>National Industrial Supplies</t>
  </si>
  <si>
    <t>Dormas</t>
  </si>
  <si>
    <t>ADC Engineers</t>
  </si>
  <si>
    <t>CDC 160</t>
  </si>
  <si>
    <t>Various Fans</t>
  </si>
  <si>
    <t>CMP 512 2T</t>
  </si>
  <si>
    <t>Airventfil</t>
  </si>
  <si>
    <t>V 150/6 ARI</t>
  </si>
  <si>
    <t>Various fans</t>
  </si>
  <si>
    <t>V300/12 AR</t>
  </si>
  <si>
    <t>KDAXIS 350</t>
  </si>
  <si>
    <t>Minelog</t>
  </si>
  <si>
    <t>Wito Plastics</t>
  </si>
  <si>
    <t>AT 18/18 SC</t>
  </si>
  <si>
    <t>CMA-325-2M</t>
  </si>
  <si>
    <t>RAD 200</t>
  </si>
  <si>
    <t>RAD FANS</t>
  </si>
  <si>
    <t>Date</t>
  </si>
  <si>
    <t>Noble Motors</t>
  </si>
  <si>
    <t>CMP 820 2T</t>
  </si>
  <si>
    <t>Apex Engineering</t>
  </si>
  <si>
    <t>Chabo &amp; Joubert</t>
  </si>
  <si>
    <t>CMA-426-2M</t>
  </si>
  <si>
    <t>RAD 355</t>
  </si>
  <si>
    <t>Celette SA</t>
  </si>
  <si>
    <t>Boxed Fans</t>
  </si>
  <si>
    <t>Rand Refinery</t>
  </si>
  <si>
    <t>Electric 2000</t>
  </si>
  <si>
    <t>Calibre Engineering</t>
  </si>
  <si>
    <t>CMP 38 2M</t>
  </si>
  <si>
    <t>Pinnacle Airconditioning</t>
  </si>
  <si>
    <t>Majax 2 800 c/w 3kW 4Pole</t>
  </si>
  <si>
    <t>Alberton Labels</t>
  </si>
  <si>
    <t>Sulit Projects</t>
  </si>
  <si>
    <t>Dueltron</t>
  </si>
  <si>
    <t>ST</t>
  </si>
  <si>
    <t>Mega Winds</t>
  </si>
  <si>
    <t>Cash sale</t>
  </si>
  <si>
    <t>Boxed fans</t>
  </si>
  <si>
    <t>PO1960</t>
  </si>
  <si>
    <t>BAF 150</t>
  </si>
  <si>
    <t>Prospec Engineering</t>
  </si>
  <si>
    <t>Butec</t>
  </si>
  <si>
    <t>PO2022</t>
  </si>
  <si>
    <t>Ikhephu</t>
  </si>
  <si>
    <t>IEPS</t>
  </si>
  <si>
    <t>200 Diam Tube Silencer</t>
  </si>
  <si>
    <t>Cash Sales</t>
  </si>
  <si>
    <t>Raptor Engineering</t>
  </si>
  <si>
    <t>Orion Real Estate</t>
  </si>
  <si>
    <t>RAD 150</t>
  </si>
  <si>
    <t>Kdaxis 250</t>
  </si>
  <si>
    <t>Bidvest</t>
  </si>
  <si>
    <t>Kenred</t>
  </si>
  <si>
    <t>CMA-531-2T-3 IE3</t>
  </si>
  <si>
    <t>New Life Embassy</t>
  </si>
  <si>
    <t>Nompilo Engineering</t>
  </si>
  <si>
    <t>cash</t>
  </si>
  <si>
    <t>CMP-512-2T</t>
  </si>
  <si>
    <t>FM2803</t>
  </si>
  <si>
    <t>FM2804</t>
  </si>
  <si>
    <t>FM2805</t>
  </si>
  <si>
    <t>FM2806</t>
  </si>
  <si>
    <t>FM2807</t>
  </si>
  <si>
    <t>FM2808</t>
  </si>
  <si>
    <t>FM2809</t>
  </si>
  <si>
    <t>FM2810</t>
  </si>
  <si>
    <t>FM2811</t>
  </si>
  <si>
    <t>FM2812</t>
  </si>
  <si>
    <t>FM2813</t>
  </si>
  <si>
    <t>FM2814</t>
  </si>
  <si>
    <t>FM2815</t>
  </si>
  <si>
    <t>FM2816</t>
  </si>
  <si>
    <t>FM2817</t>
  </si>
  <si>
    <t>FM2818</t>
  </si>
  <si>
    <t>FM2819</t>
  </si>
  <si>
    <t>FM2820</t>
  </si>
  <si>
    <t>FM2821</t>
  </si>
  <si>
    <t>FM2822</t>
  </si>
  <si>
    <t>FM2823</t>
  </si>
  <si>
    <t>FM2824</t>
  </si>
  <si>
    <t>FM2825</t>
  </si>
  <si>
    <t>FM2826</t>
  </si>
  <si>
    <t>FM2827</t>
  </si>
  <si>
    <t>FM2828</t>
  </si>
  <si>
    <t>FM2829</t>
  </si>
  <si>
    <t>FM2830</t>
  </si>
  <si>
    <t>FM2831</t>
  </si>
  <si>
    <t>FM2832</t>
  </si>
  <si>
    <t>FM2833</t>
  </si>
  <si>
    <t>FM2834</t>
  </si>
  <si>
    <t>FM2835</t>
  </si>
  <si>
    <t>FM2836</t>
  </si>
  <si>
    <t>FM2837</t>
  </si>
  <si>
    <t>FM2838</t>
  </si>
  <si>
    <t>FM2839</t>
  </si>
  <si>
    <t>FM2840</t>
  </si>
  <si>
    <t>FM2841</t>
  </si>
  <si>
    <t>FM2842</t>
  </si>
  <si>
    <t>FM2843</t>
  </si>
  <si>
    <t>FM2844</t>
  </si>
  <si>
    <t>FM2845</t>
  </si>
  <si>
    <t>FM2846</t>
  </si>
  <si>
    <t>FM2847</t>
  </si>
  <si>
    <t>FM2848</t>
  </si>
  <si>
    <t>FM2849</t>
  </si>
  <si>
    <t>FM2850</t>
  </si>
  <si>
    <t>FM2851</t>
  </si>
  <si>
    <t>FM2852</t>
  </si>
  <si>
    <t>FM2853</t>
  </si>
  <si>
    <t>FM2854</t>
  </si>
  <si>
    <t>FM2855</t>
  </si>
  <si>
    <t>FM2856</t>
  </si>
  <si>
    <t>FM2857</t>
  </si>
  <si>
    <t>FM2858</t>
  </si>
  <si>
    <t>FM2859</t>
  </si>
  <si>
    <t>FM2860</t>
  </si>
  <si>
    <t>FM2861</t>
  </si>
  <si>
    <t>FM2862</t>
  </si>
  <si>
    <t>FM2863</t>
  </si>
  <si>
    <t>FM2864</t>
  </si>
  <si>
    <t>FM2865</t>
  </si>
  <si>
    <t>FM2866</t>
  </si>
  <si>
    <t>FM2867</t>
  </si>
  <si>
    <t>FM2868</t>
  </si>
  <si>
    <t>FM2869</t>
  </si>
  <si>
    <t>FM2870</t>
  </si>
  <si>
    <t>FM2871</t>
  </si>
  <si>
    <t>FM2872</t>
  </si>
  <si>
    <t>FM2873</t>
  </si>
  <si>
    <t>FM2874</t>
  </si>
  <si>
    <t>FM2875</t>
  </si>
  <si>
    <t>FM2876</t>
  </si>
  <si>
    <t>FM2877</t>
  </si>
  <si>
    <t>FM2878</t>
  </si>
  <si>
    <t>FM2879</t>
  </si>
  <si>
    <t>FM2880</t>
  </si>
  <si>
    <t>FM2881</t>
  </si>
  <si>
    <t>FM2882</t>
  </si>
  <si>
    <t>FM2883</t>
  </si>
  <si>
    <t>FM2884</t>
  </si>
  <si>
    <t>FM2885</t>
  </si>
  <si>
    <t>FM2886</t>
  </si>
  <si>
    <t>FM2887</t>
  </si>
  <si>
    <t>FM2888</t>
  </si>
  <si>
    <t>FM2889</t>
  </si>
  <si>
    <t>FM2890</t>
  </si>
  <si>
    <t>FM2891</t>
  </si>
  <si>
    <t>FM2892</t>
  </si>
  <si>
    <t>FM2893</t>
  </si>
  <si>
    <t>FM2894</t>
  </si>
  <si>
    <t>FM2895</t>
  </si>
  <si>
    <t>FM2896</t>
  </si>
  <si>
    <t>FM2897</t>
  </si>
  <si>
    <t>FM2898</t>
  </si>
  <si>
    <t>FM2899</t>
  </si>
  <si>
    <t>FM2900</t>
  </si>
  <si>
    <t>FM2901</t>
  </si>
  <si>
    <t>FM2902</t>
  </si>
  <si>
    <t>FM2903</t>
  </si>
  <si>
    <t>FM2904</t>
  </si>
  <si>
    <t>FM2905</t>
  </si>
  <si>
    <t>FM2906</t>
  </si>
  <si>
    <t>FM2907</t>
  </si>
  <si>
    <t>FM2908</t>
  </si>
  <si>
    <t>FM2909</t>
  </si>
  <si>
    <t>FM2910</t>
  </si>
  <si>
    <t>FM2911</t>
  </si>
  <si>
    <t>FM2912</t>
  </si>
  <si>
    <t>FM2913</t>
  </si>
  <si>
    <t>FM2914</t>
  </si>
  <si>
    <t>FM2915</t>
  </si>
  <si>
    <t>FM2916</t>
  </si>
  <si>
    <t>FM2917</t>
  </si>
  <si>
    <t>FM2918</t>
  </si>
  <si>
    <t>FM2919</t>
  </si>
  <si>
    <t>FM2920</t>
  </si>
  <si>
    <t>FM2921</t>
  </si>
  <si>
    <t>FM2922</t>
  </si>
  <si>
    <t>FM2923</t>
  </si>
  <si>
    <t>FM2924</t>
  </si>
  <si>
    <t>FM2925</t>
  </si>
  <si>
    <t>FM2926</t>
  </si>
  <si>
    <t>FM2927</t>
  </si>
  <si>
    <t>FM2928</t>
  </si>
  <si>
    <t>FM2929</t>
  </si>
  <si>
    <t>FM2930</t>
  </si>
  <si>
    <t>Pricing &amp; Delivery/Completion</t>
  </si>
  <si>
    <t>Tender No.</t>
  </si>
  <si>
    <t>LT (DAYS)</t>
  </si>
  <si>
    <t>Exp.Cmpl. Date</t>
  </si>
  <si>
    <t>PC6/PO-1667</t>
  </si>
  <si>
    <t>Pretoria River Walk Block A</t>
  </si>
  <si>
    <t>MT</t>
  </si>
  <si>
    <t>AT18/18 AR c/w 7.5kW 4P 400V</t>
  </si>
  <si>
    <t>Vortron System</t>
  </si>
  <si>
    <t>Majax 2 630 c/w 1,1kW 4Pole</t>
  </si>
  <si>
    <t>Majax 2 500 c/w 0,55kW 4Pole</t>
  </si>
  <si>
    <t>Majax 2 560 c/w 1,1kW 4Pole</t>
  </si>
  <si>
    <t>Majax 2 630 c/w 2.2kW 4Pole</t>
  </si>
  <si>
    <t>Majax 2 710 c/w 3kW 4Pole</t>
  </si>
  <si>
    <t>PO1906</t>
  </si>
  <si>
    <t>V230/9 -P-LLS</t>
  </si>
  <si>
    <t xml:space="preserve">PRO5374 SCHORN-CASH </t>
  </si>
  <si>
    <t>Schorn Cryogenics CC</t>
  </si>
  <si>
    <t>PO1907</t>
  </si>
  <si>
    <t>Power Choice</t>
  </si>
  <si>
    <t>Majax-2 400 15.B.8 c/w 0.37kW 4 Pole 380V(34degrees)+acc</t>
  </si>
  <si>
    <t>Majax-2 500 20.C.8 c/w 0.55kW 4 Pole 380V(19degrees)+acc</t>
  </si>
  <si>
    <t>Majax-2 500 20.C.8 c/w 0.75kW 4 Pole 380V(27degrees)+acc</t>
  </si>
  <si>
    <t>Majax-2 400 15.B.8 c/w 0.25kW 4 Pole 380V(29degrees)+acc</t>
  </si>
  <si>
    <t>Majax-2 400 15.B.8 c/w 0.55kW 4 Pole 380V(39degrees)+acc</t>
  </si>
  <si>
    <t>PO1908</t>
  </si>
  <si>
    <t>Johnson Thermal Engineering</t>
  </si>
  <si>
    <t>Maxflo 500/150/10A c/w 3 kw 2P 380V</t>
  </si>
  <si>
    <t>PO223287</t>
  </si>
  <si>
    <t>2 Majax2 315 0.55kw 4P</t>
  </si>
  <si>
    <t>PO115487</t>
  </si>
  <si>
    <t>Boleng</t>
  </si>
  <si>
    <t>CE250/2 150T600 /RAD150</t>
  </si>
  <si>
    <t>PO-000005457</t>
  </si>
  <si>
    <t>CMA 218 2T</t>
  </si>
  <si>
    <t>PO132165</t>
  </si>
  <si>
    <t>FL6-2</t>
  </si>
  <si>
    <t>PO4149</t>
  </si>
  <si>
    <t>DEPO-0090</t>
  </si>
  <si>
    <t>630S1.5D Silencer</t>
  </si>
  <si>
    <t>POI114448</t>
  </si>
  <si>
    <t>Air Filter Maintenance Services International</t>
  </si>
  <si>
    <t>DDM 9/7 -6020M - 550W 4P 230V 1Ph</t>
  </si>
  <si>
    <t>POEE2932</t>
  </si>
  <si>
    <t>Majax 2 1000 c/w7.5kw 4P 380V</t>
  </si>
  <si>
    <t>PO130631</t>
  </si>
  <si>
    <t>Howden Power</t>
  </si>
  <si>
    <t>Bellax c/w 2.2kW 4Pole</t>
  </si>
  <si>
    <t>Filter Box 1200x1200</t>
  </si>
  <si>
    <t>GLF 7 &amp; 12.5</t>
  </si>
  <si>
    <t>PO1920</t>
  </si>
  <si>
    <t>CF9 - 4''</t>
  </si>
  <si>
    <t>UJ FAN - FMTA3519</t>
  </si>
  <si>
    <t>MK Technical Services (Pty) Ltd</t>
  </si>
  <si>
    <t>DD 9/7 - 6M0629 - 373W 220V</t>
  </si>
  <si>
    <t>PO1921</t>
  </si>
  <si>
    <t>CMA-426-2T Sodeca</t>
  </si>
  <si>
    <t>PO10286</t>
  </si>
  <si>
    <t>Phoenix Fans &amp; Eng</t>
  </si>
  <si>
    <t>PO0000984</t>
  </si>
  <si>
    <t>Denflo Services Pty Ltd</t>
  </si>
  <si>
    <t>Airmax-750-Wall EC</t>
  </si>
  <si>
    <t>GTG CIVILS AND ENGINEERING</t>
  </si>
  <si>
    <t>Maxflo 630 c/w 2.2kW 4Pole</t>
  </si>
  <si>
    <t>Reef Lords</t>
  </si>
  <si>
    <t xml:space="preserve"> Majax-3 500 20.C c/w 0.37kW 4Pole 380V + Acc</t>
  </si>
  <si>
    <t>Majax-2 400 c/w 0.25kw 4P 380V</t>
  </si>
  <si>
    <t>Jamarmic Pumps and Valve Engineering</t>
  </si>
  <si>
    <t>900/250/12 Impeller</t>
  </si>
  <si>
    <t>PO1924</t>
  </si>
  <si>
    <t>SCL-K06-MS 4.0KW/380V FPZ Blower</t>
  </si>
  <si>
    <t>PO1925</t>
  </si>
  <si>
    <t>V300/12-AR-LLS</t>
  </si>
  <si>
    <t>PO0002282</t>
  </si>
  <si>
    <t>Tru Mining</t>
  </si>
  <si>
    <t>JB1948HPLV 630.71 C/W4.0KW 2890RPM 525 Motor</t>
  </si>
  <si>
    <t>MP013958</t>
  </si>
  <si>
    <t>E404 T ATEX</t>
  </si>
  <si>
    <t>RPO26118</t>
  </si>
  <si>
    <t>SAN Refridgeration PTY Ltd</t>
  </si>
  <si>
    <t>CMP514 2M</t>
  </si>
  <si>
    <t>PO 608522</t>
  </si>
  <si>
    <t xml:space="preserve">560 2.0D Podded </t>
  </si>
  <si>
    <t>PO131145</t>
  </si>
  <si>
    <t>PVT/50</t>
  </si>
  <si>
    <t>K08 MS-7.5KW &amp; K10-MS-11KW</t>
  </si>
  <si>
    <t>PO1928</t>
  </si>
  <si>
    <t>PO1929</t>
  </si>
  <si>
    <t>Airmax-2 650 Wall</t>
  </si>
  <si>
    <t>Forsmay Muslim Butchery</t>
  </si>
  <si>
    <t>Airmax-2 650 Wall fan</t>
  </si>
  <si>
    <t>PO OA15373</t>
  </si>
  <si>
    <t>Majax 2 500 c/w1.1kw 2P 220V</t>
  </si>
  <si>
    <t>JH Cooling</t>
  </si>
  <si>
    <t>Fans Maintenance &amp; More</t>
  </si>
  <si>
    <t>RAD100 &amp; RAD200</t>
  </si>
  <si>
    <t>PO131268</t>
  </si>
  <si>
    <t>SCL-K09 MS-5.5kW 2P 400V</t>
  </si>
  <si>
    <t>Rey &amp; Leferna</t>
  </si>
  <si>
    <t>Maxflo 560 c/w 0.75kW 4P + Accessories</t>
  </si>
  <si>
    <t>PC6/PO-1887</t>
  </si>
  <si>
    <t>Maxflo800/250/14 c/w 3kw 4P 380 + Accessories</t>
  </si>
  <si>
    <t>PO128033</t>
  </si>
  <si>
    <t>Home Fires TVL PTY Ltd</t>
  </si>
  <si>
    <t>Breezeair</t>
  </si>
  <si>
    <t>Berves Limited</t>
  </si>
  <si>
    <t xml:space="preserve">Filters &amp; Airfreight </t>
  </si>
  <si>
    <t>CMA 2324 2M</t>
  </si>
  <si>
    <t>Gree Products SA pty Ltd</t>
  </si>
  <si>
    <t>Majax3 710 c/w 1.1KW 4P 380V</t>
  </si>
  <si>
    <t>Majax-3 710 c/w 1.1KW 4P 380V</t>
  </si>
  <si>
    <t>Majax-3 500 c/w 0.55KW 2P 380V (Impeller &amp; Motor only)</t>
  </si>
  <si>
    <t>Majax-3 710 c/w 1.5KW 4P 380V</t>
  </si>
  <si>
    <t>Maxflo 400/150/10 p c/w 0.75KW 2P 380V</t>
  </si>
  <si>
    <t>Fumax 710.20.D.8 c/w 1.5KW 4P 380V</t>
  </si>
  <si>
    <t>Fumax 800.32.E.8 4KW 4P 380V</t>
  </si>
  <si>
    <t>Fumax 800.32.E.8 5.5KW 4P 380V</t>
  </si>
  <si>
    <t>Maxflo 315/150/10 P c/w 0.37KW 2P 380V</t>
  </si>
  <si>
    <t>Maxflo 315/150/10 P c/w 0.25KW 4P 380V</t>
  </si>
  <si>
    <t>Fumax 800.32.E.8 4 KW 4P 380V</t>
  </si>
  <si>
    <t>Account- Awaiting PO NO:</t>
  </si>
  <si>
    <t>Centrifab (PTY) Ltd</t>
  </si>
  <si>
    <t>PO25020500001S</t>
  </si>
  <si>
    <t>AGNUS DEI Airconditioning Services (Pty) Ltd</t>
  </si>
  <si>
    <t>Vortice Medio I</t>
  </si>
  <si>
    <t>Pinnecle AC</t>
  </si>
  <si>
    <t>HC 25 4M</t>
  </si>
  <si>
    <t>PO131343</t>
  </si>
  <si>
    <t>SCP 315-4</t>
  </si>
  <si>
    <t>PO097177</t>
  </si>
  <si>
    <t>CAM 545-2T 4 c/w 3.0KW 2P 400V - Handing LG 90</t>
  </si>
  <si>
    <t>PO1935</t>
  </si>
  <si>
    <t>CMA-527-2T + CMA-528-2T 1.5</t>
  </si>
  <si>
    <t>PO1934</t>
  </si>
  <si>
    <t>CMP-1128-2T-5.5 Sodeca</t>
  </si>
  <si>
    <t>PO 151726</t>
  </si>
  <si>
    <t>Auto Industrial Foundry</t>
  </si>
  <si>
    <t>PO1937</t>
  </si>
  <si>
    <t>Lineo Q VO / RAD 250</t>
  </si>
  <si>
    <t>Finestar Jewellery</t>
  </si>
  <si>
    <t>Maxflo 315 c/w 0.55kW 2Pole</t>
  </si>
  <si>
    <t>DEPO-0091</t>
  </si>
  <si>
    <t>Dueltron System Integration</t>
  </si>
  <si>
    <t>BCC 21/01 Class1(2A)Belt Driven-BCC 21//0.8 2.2KW 4P 380V</t>
  </si>
  <si>
    <t xml:space="preserve">Airmax 650 </t>
  </si>
  <si>
    <t>PO132404</t>
  </si>
  <si>
    <t>3" INTAKE FILTER 5KW SCL K07-MS
MOR</t>
  </si>
  <si>
    <t>PO608781</t>
  </si>
  <si>
    <t>Dormas Pty Ltd</t>
  </si>
  <si>
    <t>560 1,5D Attenuator</t>
  </si>
  <si>
    <t>2 800 Counter flanges</t>
  </si>
  <si>
    <t>PO OA15425</t>
  </si>
  <si>
    <t>1 maxflo 560 c/w1.1kw 4p 380v with 1 silencer</t>
  </si>
  <si>
    <t>PO-2356</t>
  </si>
  <si>
    <t>Olot Engineering</t>
  </si>
  <si>
    <t>RAD 315 + Accessories</t>
  </si>
  <si>
    <t>Maxflo 560 c/w 0.55kW 4P + Accessories</t>
  </si>
  <si>
    <t>Maxflo 500 c/w 0.25kW 4P + Accessories</t>
  </si>
  <si>
    <t>Maxflo 500 c/w 0.37kW 4P + Accessories</t>
  </si>
  <si>
    <t>PO0000525</t>
  </si>
  <si>
    <t>ATM TECH</t>
  </si>
  <si>
    <t>FAN-FA30/4</t>
  </si>
  <si>
    <t>PO151148</t>
  </si>
  <si>
    <t>Luft Industries Natal</t>
  </si>
  <si>
    <t>CMP-512-2T + CMP 514-2T</t>
  </si>
  <si>
    <t>PO201676</t>
  </si>
  <si>
    <t>K07 Blower</t>
  </si>
  <si>
    <t>Arrow</t>
  </si>
  <si>
    <t>HVF 105N</t>
  </si>
  <si>
    <t>MT Refrigeration</t>
  </si>
  <si>
    <t>RAD 315 + 315 Tube silencers</t>
  </si>
  <si>
    <t>PO1940</t>
  </si>
  <si>
    <t>PO25321</t>
  </si>
  <si>
    <t>CMA-531-2T-3 IE3 - c/w 2.2kw 2P</t>
  </si>
  <si>
    <t>J5366-002ORD</t>
  </si>
  <si>
    <t>RTS Africa Engineering (Pty) Ltd</t>
  </si>
  <si>
    <t>Maxflo 400/150/10 c/w 1.1 KW 2P 380V + QCP  &amp; Screen</t>
  </si>
  <si>
    <t xml:space="preserve">Industrial Thermodynamics </t>
  </si>
  <si>
    <t>MF 150/6</t>
  </si>
  <si>
    <t>PO 30541</t>
  </si>
  <si>
    <t>Compu cool (pty) ltd</t>
  </si>
  <si>
    <t>500mm 1.5D Silencers</t>
  </si>
  <si>
    <t>PO-000005558</t>
  </si>
  <si>
    <t>CMA-527-2T</t>
  </si>
  <si>
    <t>PO-000005559</t>
  </si>
  <si>
    <t>CPV-1020-4T + CPV-1325-4T</t>
  </si>
  <si>
    <t>PO-42</t>
  </si>
  <si>
    <t>Sulit</t>
  </si>
  <si>
    <t>Rectangular Attenuator/ Fan</t>
  </si>
  <si>
    <t>K05 Blower</t>
  </si>
  <si>
    <t>PO1950</t>
  </si>
  <si>
    <t>PO1952</t>
  </si>
  <si>
    <t>KAZ-140 Kayites</t>
  </si>
  <si>
    <t>PO-169</t>
  </si>
  <si>
    <t>RAD200 and accesorries</t>
  </si>
  <si>
    <t>Maxflo 400 + Accessories</t>
  </si>
  <si>
    <t>PO1955</t>
  </si>
  <si>
    <t>MF 150/6 LL - Vortice Punto Filo Extract Fan 150mm</t>
  </si>
  <si>
    <t>Credit-Cash sale</t>
  </si>
  <si>
    <t>DD 9/9 373W 4P 220V + DD12/9 1100W 6P 400V 3Ph</t>
  </si>
  <si>
    <t>Bilva Enterprise</t>
  </si>
  <si>
    <t>Sodeca Motors</t>
  </si>
  <si>
    <t>PO1956</t>
  </si>
  <si>
    <t>V230/9-AR-LL-S</t>
  </si>
  <si>
    <t>MP014072</t>
  </si>
  <si>
    <t>Tiracamino 220V Fan</t>
  </si>
  <si>
    <t>PO1957</t>
  </si>
  <si>
    <t>CUB-355</t>
  </si>
  <si>
    <t>PO1959</t>
  </si>
  <si>
    <t>CPV-1020-4T</t>
  </si>
  <si>
    <t>PO223501</t>
  </si>
  <si>
    <t>2 315 Majax2 0.55kw 4p 380v</t>
  </si>
  <si>
    <t xml:space="preserve"> Majax 800.20.D.8 c/w 3 kW 4P 380V</t>
  </si>
  <si>
    <t>POOSG105432</t>
  </si>
  <si>
    <t>On site Gas System International</t>
  </si>
  <si>
    <t>FM2931</t>
  </si>
  <si>
    <t>Maxflo 560/250/14 c/w 0.75kW 4P + Accessories</t>
  </si>
  <si>
    <t>FM2932</t>
  </si>
  <si>
    <t>FM2933</t>
  </si>
  <si>
    <t>PO6153</t>
  </si>
  <si>
    <t>Bircraft Geared Motors-Linear Actuators</t>
  </si>
  <si>
    <t>FM2934</t>
  </si>
  <si>
    <t>A1213 - FRED SUITE 2</t>
  </si>
  <si>
    <t>CAM 545 2T 4 c/w 3.0kw 2P 400V - Handing LG 90</t>
  </si>
  <si>
    <t>FM2935</t>
  </si>
  <si>
    <t>1898C/1002</t>
  </si>
  <si>
    <t>RAD 315*2 + RAD 250*1</t>
  </si>
  <si>
    <t>FM2936</t>
  </si>
  <si>
    <t>PO-000005602</t>
  </si>
  <si>
    <t>FM2937</t>
  </si>
  <si>
    <t>PO.3347</t>
  </si>
  <si>
    <t>Af Fans</t>
  </si>
  <si>
    <t>FM2938</t>
  </si>
  <si>
    <t>Majax 2 630 c/w 0.75kW 4Pole</t>
  </si>
  <si>
    <t>FM2939</t>
  </si>
  <si>
    <t>Base Supply Trading</t>
  </si>
  <si>
    <t>FAN001</t>
  </si>
  <si>
    <t>FM2940</t>
  </si>
  <si>
    <t>Q-TIQUE 28</t>
  </si>
  <si>
    <t>Majax 2 315 c/w 0.55kW 2Pole</t>
  </si>
  <si>
    <t>FM2941</t>
  </si>
  <si>
    <t>PO-009921</t>
  </si>
  <si>
    <t>LCF56</t>
  </si>
  <si>
    <t>FM2942</t>
  </si>
  <si>
    <t>PO132561</t>
  </si>
  <si>
    <t>VKMK150</t>
  </si>
  <si>
    <t>FM2943</t>
  </si>
  <si>
    <t>RAD200 + KSB250</t>
  </si>
  <si>
    <t>FM2944</t>
  </si>
  <si>
    <t>PO1964</t>
  </si>
  <si>
    <t>Lineo 100 VO T</t>
  </si>
  <si>
    <t>FM2945</t>
  </si>
  <si>
    <t>PO0000131</t>
  </si>
  <si>
    <t>HVAC PARTNERS PTY LTD</t>
  </si>
  <si>
    <t>Majax 2 315 c/w 0.37kW 2Pole</t>
  </si>
  <si>
    <t>FM2946</t>
  </si>
  <si>
    <t>Majax 2 560 c/w 0.37kW 4Pole</t>
  </si>
  <si>
    <t>FM2947</t>
  </si>
  <si>
    <t>PO11862</t>
  </si>
  <si>
    <t>G.O. Plastics</t>
  </si>
  <si>
    <t>FM2948</t>
  </si>
  <si>
    <t>PO0000134</t>
  </si>
  <si>
    <t>Fumax 630.20.D.4 c/w 1.1 kW 4 Pole 380V</t>
  </si>
  <si>
    <t>FM2949</t>
  </si>
  <si>
    <t>Fumax 900.20.E.4 c/w 4 kW 4 Pole 380V</t>
  </si>
  <si>
    <t>FM2950</t>
  </si>
  <si>
    <t>FM2951</t>
  </si>
  <si>
    <t>Fumax 710.20.D.4 c/w 4 kW 4 Pole 380V</t>
  </si>
  <si>
    <t>FM2952</t>
  </si>
  <si>
    <t>FM2953</t>
  </si>
  <si>
    <t>Majax-3 560.20.D.4 c/w 0.37 kW 4 Pole 380V</t>
  </si>
  <si>
    <t>FM2954</t>
  </si>
  <si>
    <t>Maxflo 400/150/10 c/w 0.25 kW 4 Pole 380V</t>
  </si>
  <si>
    <t>FM2955</t>
  </si>
  <si>
    <t>Maxflo 315/150/10 c/w 0.25 kW 4 Pole 380V</t>
  </si>
  <si>
    <t>FM2956</t>
  </si>
  <si>
    <t>CMA-528-2T-1</t>
  </si>
  <si>
    <t>FM2957</t>
  </si>
  <si>
    <t>PO946</t>
  </si>
  <si>
    <t>Maxflo 315/150/10 c/w .055kw 2p 380v</t>
  </si>
  <si>
    <t>FM2958</t>
  </si>
  <si>
    <t>Zefs</t>
  </si>
  <si>
    <t>Majax-3 630.20.D.4 c/w1.5 kW 4 Pole 380V</t>
  </si>
  <si>
    <t>FM2959</t>
  </si>
  <si>
    <t>J.B Refrigeration</t>
  </si>
  <si>
    <t xml:space="preserve">RAD 150 &amp; Tube silencers </t>
  </si>
  <si>
    <t>FM2960</t>
  </si>
  <si>
    <t>Ubuntu Pty Ltd</t>
  </si>
  <si>
    <t xml:space="preserve">Lineo 250 Quite </t>
  </si>
  <si>
    <t>FM2961</t>
  </si>
  <si>
    <t>Inlanda HVAC</t>
  </si>
  <si>
    <t>315 Diam Tube Silencer 600L</t>
  </si>
  <si>
    <t>FM2962</t>
  </si>
  <si>
    <t>FM2963</t>
  </si>
  <si>
    <t xml:space="preserve">P1970 </t>
  </si>
  <si>
    <t>SCL-K11-MS-11KW - 525V</t>
  </si>
  <si>
    <t>FM2964</t>
  </si>
  <si>
    <t>PO30201</t>
  </si>
  <si>
    <t>Radel</t>
  </si>
  <si>
    <t>Lineo Q 100</t>
  </si>
  <si>
    <t>FM2965</t>
  </si>
  <si>
    <t>2 Impellers &amp; 2 Shaft</t>
  </si>
  <si>
    <t>FM2966</t>
  </si>
  <si>
    <t>J5368-001ORD</t>
  </si>
  <si>
    <t xml:space="preserve">Majax-3 500 c/w 1.1KW 2P 380V </t>
  </si>
  <si>
    <t>FM2967</t>
  </si>
  <si>
    <t>PO174010040</t>
  </si>
  <si>
    <t>Dust-A-Side Central (Pty) Ltd</t>
  </si>
  <si>
    <t>Majax-2 630-20-D-8 Impeller</t>
  </si>
  <si>
    <t>FM2968</t>
  </si>
  <si>
    <t>PO-OA15607</t>
  </si>
  <si>
    <t>315-600L attenuators</t>
  </si>
  <si>
    <t>FM2969</t>
  </si>
  <si>
    <t>PO 53118</t>
  </si>
  <si>
    <t>Aircontec</t>
  </si>
  <si>
    <t xml:space="preserve"> 500/15/10 c/w 2.2KW 2P 380V </t>
  </si>
  <si>
    <t>FM2970</t>
  </si>
  <si>
    <t>PO1971</t>
  </si>
  <si>
    <t>Lineo 100 Q VO</t>
  </si>
  <si>
    <t>FM2971</t>
  </si>
  <si>
    <t>PO1972</t>
  </si>
  <si>
    <t>FM2972</t>
  </si>
  <si>
    <t>K10 Blower</t>
  </si>
  <si>
    <t>FM2973</t>
  </si>
  <si>
    <t>maxflo 710/250/14 c/w 2.2kw 4P 380V</t>
  </si>
  <si>
    <t>FM2974</t>
  </si>
  <si>
    <t>PO-000021</t>
  </si>
  <si>
    <t>Compu- Cool</t>
  </si>
  <si>
    <t>Maxflo 500/150/10 c/w 1.5kw 4P 380V</t>
  </si>
  <si>
    <t>FM2975</t>
  </si>
  <si>
    <t>PO151814</t>
  </si>
  <si>
    <t>FM2976</t>
  </si>
  <si>
    <t>P.O.No. 4650</t>
  </si>
  <si>
    <t>Attenu-tec</t>
  </si>
  <si>
    <t>315, 400, &amp; 500 Counter Flange - Raw</t>
  </si>
  <si>
    <t>FM2977</t>
  </si>
  <si>
    <t xml:space="preserve">Cancelled </t>
  </si>
  <si>
    <t>LJ Trading</t>
  </si>
  <si>
    <t>Maxflo 630/250/14 c/w 0.75kw 4P</t>
  </si>
  <si>
    <t>FM2978</t>
  </si>
  <si>
    <t>Maxflo 800/150/10 c/w 2.2kw 4P</t>
  </si>
  <si>
    <t>FM2979</t>
  </si>
  <si>
    <t>Maxflo 630/250/14 c/w 1.1kw 4P</t>
  </si>
  <si>
    <t>FM2980</t>
  </si>
  <si>
    <t>Maxflo 400/150/5 c/w 0.55kw 2P</t>
  </si>
  <si>
    <t>FM2981</t>
  </si>
  <si>
    <t xml:space="preserve">Maxflo 710/150/10 c/w 1.5Kw 4P </t>
  </si>
  <si>
    <t>FM2982</t>
  </si>
  <si>
    <t>Maxflo 560/250/14 c/w 0.55kW 4P</t>
  </si>
  <si>
    <t>FM2983</t>
  </si>
  <si>
    <t>Maxflo 315/150/5 c/w 0.55kw 2P</t>
  </si>
  <si>
    <t>FM2984</t>
  </si>
  <si>
    <t>Maxflo 630/150/10 c/w 0.55kw 4P</t>
  </si>
  <si>
    <t>FM2985</t>
  </si>
  <si>
    <t>Maxflo 630/150/10 c/w 0.75kw 4P</t>
  </si>
  <si>
    <t>FM2986</t>
  </si>
  <si>
    <t>FM2987</t>
  </si>
  <si>
    <t>MAXFLO 710/250/14 A c/w 4,00KW 4P 380V</t>
  </si>
  <si>
    <t>FM2988</t>
  </si>
  <si>
    <t>MAXFLO 630/250/14 A c/w 1,50KW 4P 380V</t>
  </si>
  <si>
    <t>FM2989</t>
  </si>
  <si>
    <t>FM2990</t>
  </si>
  <si>
    <t>MAXFLO 560/250/14 A c/w 0,75KW 4P 380V</t>
  </si>
  <si>
    <t>FM2991</t>
  </si>
  <si>
    <t>Fumax 900 c/w 5.5kW 4Pole</t>
  </si>
  <si>
    <t>FM2992</t>
  </si>
  <si>
    <t>PO132703</t>
  </si>
  <si>
    <t>SCL−K08MS−5,5/5 _x0013_ Blower c/w 5,5kW 525V motor</t>
  </si>
  <si>
    <t>FM2993</t>
  </si>
  <si>
    <t>CDC100 and accesories</t>
  </si>
  <si>
    <t>FM2994</t>
  </si>
  <si>
    <t>P262898HS</t>
  </si>
  <si>
    <t>HV 12</t>
  </si>
  <si>
    <t>FM2995</t>
  </si>
  <si>
    <t>PO-2534411452</t>
  </si>
  <si>
    <t>Randblower</t>
  </si>
  <si>
    <t>BCC2 c/w2.2kw 4P 400V</t>
  </si>
  <si>
    <t>FM2996</t>
  </si>
  <si>
    <t>PO-000027</t>
  </si>
  <si>
    <t>Kdaxis 350</t>
  </si>
  <si>
    <t>FM2997</t>
  </si>
  <si>
    <t>AM Electricidade</t>
  </si>
  <si>
    <t>AT 18/18</t>
  </si>
  <si>
    <t>FM2998</t>
  </si>
  <si>
    <t>FM2999</t>
  </si>
  <si>
    <t>PO115725</t>
  </si>
  <si>
    <t>CE200/RAD200 &amp; Accesories</t>
  </si>
  <si>
    <t>FM3000</t>
  </si>
  <si>
    <t>PO138129</t>
  </si>
  <si>
    <t>Lumen</t>
  </si>
  <si>
    <t xml:space="preserve">UV 710 c/w 2.2kW </t>
  </si>
  <si>
    <t>FM3001</t>
  </si>
  <si>
    <t>FM3002</t>
  </si>
  <si>
    <t>PO1976</t>
  </si>
  <si>
    <t>FM3003</t>
  </si>
  <si>
    <t>Prexos Engineering</t>
  </si>
  <si>
    <t>Maxflo 400/150/10 c/w 1.1 KW 2P 380V</t>
  </si>
  <si>
    <t>FM3004</t>
  </si>
  <si>
    <t>Maxflo 315/150/10 c/w 0.55 KW 2P 380V</t>
  </si>
  <si>
    <t>FM3005</t>
  </si>
  <si>
    <t>PO0000999</t>
  </si>
  <si>
    <t>FM3006</t>
  </si>
  <si>
    <t>PO1977</t>
  </si>
  <si>
    <t>FM3007</t>
  </si>
  <si>
    <t>FM3008</t>
  </si>
  <si>
    <t>PO0000004</t>
  </si>
  <si>
    <t xml:space="preserve">Meka Industrial </t>
  </si>
  <si>
    <t>FM3009</t>
  </si>
  <si>
    <t>PO-0000543</t>
  </si>
  <si>
    <t>Jaft Aircon</t>
  </si>
  <si>
    <t>Lineo Q 315</t>
  </si>
  <si>
    <t>FM3010</t>
  </si>
  <si>
    <t>DPO0862</t>
  </si>
  <si>
    <t>1000 Counter Flanges</t>
  </si>
  <si>
    <t>FM3011</t>
  </si>
  <si>
    <t>PO0001405</t>
  </si>
  <si>
    <t>Wagner Systems</t>
  </si>
  <si>
    <t>FM3012</t>
  </si>
  <si>
    <t>Maxflo 630 c/w1.5kw 4P 380V &amp; Avms</t>
  </si>
  <si>
    <t>FM3013</t>
  </si>
  <si>
    <t>PURO0000045393</t>
  </si>
  <si>
    <t>Lineo Quiet Fans</t>
  </si>
  <si>
    <t>FM3014</t>
  </si>
  <si>
    <t>Maxflo 900 c/w 4kW 4Pole</t>
  </si>
  <si>
    <t>FM3015</t>
  </si>
  <si>
    <t>Maxflo 800 c/w 2.2kW 4Pole</t>
  </si>
  <si>
    <t>FM3016</t>
  </si>
  <si>
    <t>Maxflo 400 c/w 1.1kW 2Pole</t>
  </si>
  <si>
    <t>FM3017</t>
  </si>
  <si>
    <t>Maxflo 1000 c/w 15kW 4Pole</t>
  </si>
  <si>
    <t>FM3018</t>
  </si>
  <si>
    <t>Maxflo 1000 c/w 5.5kW 4Pole</t>
  </si>
  <si>
    <t>FM3019</t>
  </si>
  <si>
    <t>Maxflo 315 c/w 0.37kW 2Pole</t>
  </si>
  <si>
    <t>FM3020</t>
  </si>
  <si>
    <t>FM3021</t>
  </si>
  <si>
    <t>FM3022</t>
  </si>
  <si>
    <t>FM3023</t>
  </si>
  <si>
    <t>Maxflo 630 c/w 1.5kW 4Pole</t>
  </si>
  <si>
    <t>FM3024</t>
  </si>
  <si>
    <t>FM3025</t>
  </si>
  <si>
    <t>FM3026</t>
  </si>
  <si>
    <t>FM3027</t>
  </si>
  <si>
    <t>Cash</t>
  </si>
  <si>
    <t>Drake &amp; Gorham (Zambia) LTD</t>
  </si>
  <si>
    <t>Maxflo 630/250/14 P c/w 3 kW 4 P + Accessories</t>
  </si>
  <si>
    <t>FM3028</t>
  </si>
  <si>
    <t>Maxflo 710/250/14 A c/w 4 kW 4 P + Accessories</t>
  </si>
  <si>
    <t>FM3029</t>
  </si>
  <si>
    <t>FM3030</t>
  </si>
  <si>
    <t>FM3031</t>
  </si>
  <si>
    <t>PO-25852</t>
  </si>
  <si>
    <t>Majax-3 500 15.B.8 c/w 0.37kW 2P + Accessories</t>
  </si>
  <si>
    <t>FM3032</t>
  </si>
  <si>
    <t>Majax 710/630 fans</t>
  </si>
  <si>
    <t>FM3033</t>
  </si>
  <si>
    <t>POE11779</t>
  </si>
  <si>
    <t>FM3034</t>
  </si>
  <si>
    <t>FM3035</t>
  </si>
  <si>
    <t>FM3036</t>
  </si>
  <si>
    <t>FM3037</t>
  </si>
  <si>
    <t>FM3038</t>
  </si>
  <si>
    <t>FM3039</t>
  </si>
  <si>
    <t>Orion Property Holding Trust</t>
  </si>
  <si>
    <t>Fumax 900 c/w 5,50KW 4P 380V</t>
  </si>
  <si>
    <t>FM3040</t>
  </si>
  <si>
    <t>PO 17458</t>
  </si>
  <si>
    <t>Wubbeling Airconditioning</t>
  </si>
  <si>
    <t>FM3041</t>
  </si>
  <si>
    <t>PO1984</t>
  </si>
  <si>
    <t>V150/6 AR-LLS &amp; V230/9 AR-LLS</t>
  </si>
  <si>
    <t>FM3042</t>
  </si>
  <si>
    <t>Maxflo 710/250/14 c/w 1.5 kW 4 Pole 380V</t>
  </si>
  <si>
    <t>FM3043</t>
  </si>
  <si>
    <t>cash sales</t>
  </si>
  <si>
    <t>Kdaxis 250 &amp; Louvers</t>
  </si>
  <si>
    <t>FM3044</t>
  </si>
  <si>
    <t>MFE6715</t>
  </si>
  <si>
    <t>FM3045</t>
  </si>
  <si>
    <t>MFE6716</t>
  </si>
  <si>
    <t>FM3046</t>
  </si>
  <si>
    <t>PO174331</t>
  </si>
  <si>
    <t>CABMED</t>
  </si>
  <si>
    <t>K04 1.1KW 2P 220V</t>
  </si>
  <si>
    <t>FM3047</t>
  </si>
  <si>
    <t>Da Salva Projects</t>
  </si>
  <si>
    <t>FM3048</t>
  </si>
  <si>
    <t>PO53176</t>
  </si>
  <si>
    <t>710 Wall Cowl</t>
  </si>
  <si>
    <t>FM3049</t>
  </si>
  <si>
    <t>PO1988</t>
  </si>
  <si>
    <t>FM3050</t>
  </si>
  <si>
    <t>SESBUYILE PROJECTS &amp; MAINTENANCE CC</t>
  </si>
  <si>
    <t>Maxflo 710/250/14 c/w 1.5 kW 4 Pole 380V + Acc</t>
  </si>
  <si>
    <t>FM3051</t>
  </si>
  <si>
    <t>Prestige Auto Body</t>
  </si>
  <si>
    <t>HC45 6H/T</t>
  </si>
  <si>
    <t>FM3052</t>
  </si>
  <si>
    <t>PC6/PO-2433</t>
  </si>
  <si>
    <t>FM3053</t>
  </si>
  <si>
    <t xml:space="preserve">Zefs </t>
  </si>
  <si>
    <t>630 2D poded</t>
  </si>
  <si>
    <t>FM3054</t>
  </si>
  <si>
    <t>Dawaila Group</t>
  </si>
  <si>
    <t>Majax-2 710.20.D.8 c/w 3.0KW 4P 380V - ( J62771/1)</t>
  </si>
  <si>
    <t>FM3055</t>
  </si>
  <si>
    <t>Majax-2 710.20.D.8 c/w 2.2KW 4P 380V  - (J62770/1)</t>
  </si>
  <si>
    <t>FM3056</t>
  </si>
  <si>
    <t>Majax-2 710.20.D.8 c/w 4.0KW 4P 380V - (J62769/1)</t>
  </si>
  <si>
    <t>FM3057</t>
  </si>
  <si>
    <t>Majax-2 710.20.D.8 c/w 2.2KW 4P 380V  - (J62762/1)</t>
  </si>
  <si>
    <t>FM3058</t>
  </si>
  <si>
    <t>Majax-2 630.20.D.8 c/w 1.5KW 4P 380V - (J62764/1)</t>
  </si>
  <si>
    <t>FM3059</t>
  </si>
  <si>
    <t>Majax-2 710.20.D.8 c/w 2.2KW 4P 380V - (J62760/1)</t>
  </si>
  <si>
    <t>FM3060</t>
  </si>
  <si>
    <t>Majax-2 1000.32.F.8 c/w 11KW 4P 400V - (J57606/1)</t>
  </si>
  <si>
    <t>FM3061</t>
  </si>
  <si>
    <t>Majax-2 1000.32.F.8 c/w 11KW 4P 400V - (J57606/3)</t>
  </si>
  <si>
    <t>FM3062</t>
  </si>
  <si>
    <t>Majax-2 1000.32.F.8 c/w 11KW 4P 400V - (J57606/4)</t>
  </si>
  <si>
    <t>FM3063</t>
  </si>
  <si>
    <t>Majax-2 1000.32.F.4 c/w 7.5KW 4P 400V - (J62749/1)</t>
  </si>
  <si>
    <t>FM3064</t>
  </si>
  <si>
    <t>Majax-2 630.20.D.8 c/w 1.1KW 4P 380V - (J62767/1)</t>
  </si>
  <si>
    <t>FM3065</t>
  </si>
  <si>
    <t>Majax-2 535 Two Stage 4.0KW 2P 400V - (J57605/1)</t>
  </si>
  <si>
    <t>FM3066</t>
  </si>
  <si>
    <t>Roedolf</t>
  </si>
  <si>
    <t>FM3067</t>
  </si>
  <si>
    <t>M150/6 + Grill</t>
  </si>
  <si>
    <t>FM3068</t>
  </si>
  <si>
    <t>KwaNgwane Construction</t>
  </si>
  <si>
    <t>Vario fans</t>
  </si>
  <si>
    <t>FM3069</t>
  </si>
  <si>
    <t>Airmax-2 500 wall</t>
  </si>
  <si>
    <t>FM3070</t>
  </si>
  <si>
    <t>FM3071</t>
  </si>
  <si>
    <t>Stephen Richard</t>
  </si>
  <si>
    <t>FM3072</t>
  </si>
  <si>
    <t>PO143187</t>
  </si>
  <si>
    <t>Majax 2 400 0.75kw 2p 525V</t>
  </si>
  <si>
    <t>FM3073</t>
  </si>
  <si>
    <t>FM3074</t>
  </si>
  <si>
    <t>Maxflo 630 c/w 0.75kw 4p 380v &amp; other accesories</t>
  </si>
  <si>
    <t>FM3075</t>
  </si>
  <si>
    <t>MP014283</t>
  </si>
  <si>
    <t>FM3076</t>
  </si>
  <si>
    <t>Pinanncle Aircondition</t>
  </si>
  <si>
    <t>HC25 &amp; Lineo 150</t>
  </si>
  <si>
    <t>FM3077</t>
  </si>
  <si>
    <t>Tavish Exports</t>
  </si>
  <si>
    <t>Majax 2 560 c/w 2.2kW 2Pole</t>
  </si>
  <si>
    <t>FM3078</t>
  </si>
  <si>
    <t>PO 51</t>
  </si>
  <si>
    <t>800 Impeller</t>
  </si>
  <si>
    <t>FM3079</t>
  </si>
  <si>
    <t>PO-0000574</t>
  </si>
  <si>
    <t>Jaft Aircon Service</t>
  </si>
  <si>
    <t>Lineo fans</t>
  </si>
  <si>
    <t>FM3080</t>
  </si>
  <si>
    <t>PO1992</t>
  </si>
  <si>
    <t>FM3081</t>
  </si>
  <si>
    <t>FM3082</t>
  </si>
  <si>
    <t>PO-000090</t>
  </si>
  <si>
    <t>Uv630/3/6/W 1.5kw</t>
  </si>
  <si>
    <t>FM3083</t>
  </si>
  <si>
    <t>Bidvest Moz</t>
  </si>
  <si>
    <t>Grilles</t>
  </si>
  <si>
    <t>FM3084</t>
  </si>
  <si>
    <t>PO1993</t>
  </si>
  <si>
    <t>FM3085</t>
  </si>
  <si>
    <t>CMP-514-2M</t>
  </si>
  <si>
    <t>FM3086</t>
  </si>
  <si>
    <t>MP014303</t>
  </si>
  <si>
    <t>FM3087</t>
  </si>
  <si>
    <t>PO1994</t>
  </si>
  <si>
    <t>FM3088</t>
  </si>
  <si>
    <t>PO-098265</t>
  </si>
  <si>
    <t xml:space="preserve">Industrial Thermodynamics  </t>
  </si>
  <si>
    <t>Fans Accessories</t>
  </si>
  <si>
    <t>FM3089</t>
  </si>
  <si>
    <t>PO 40735</t>
  </si>
  <si>
    <t>Sound Attenuators</t>
  </si>
  <si>
    <t>FM3090</t>
  </si>
  <si>
    <t>FM3091</t>
  </si>
  <si>
    <t>SJ Global Construction</t>
  </si>
  <si>
    <t>FM3092</t>
  </si>
  <si>
    <t>FM3093</t>
  </si>
  <si>
    <t>FM3094</t>
  </si>
  <si>
    <t>PC6/PO-2665</t>
  </si>
  <si>
    <t>FM3095</t>
  </si>
  <si>
    <t>PO1997</t>
  </si>
  <si>
    <t>FM3096</t>
  </si>
  <si>
    <t>Maddox Adams International</t>
  </si>
  <si>
    <t>SCL-K04-1.1KW 380V</t>
  </si>
  <si>
    <t>FM3097</t>
  </si>
  <si>
    <t>PO-0246</t>
  </si>
  <si>
    <t>Resonant Environmental Tech</t>
  </si>
  <si>
    <t>CMA-527-2T - IP65</t>
  </si>
  <si>
    <t>FM3098</t>
  </si>
  <si>
    <t>PC6/PO-2719</t>
  </si>
  <si>
    <t>FM3099</t>
  </si>
  <si>
    <t>PO…....</t>
  </si>
  <si>
    <t>ME 120/5</t>
  </si>
  <si>
    <t>FM3100</t>
  </si>
  <si>
    <t>K11 TD - 22KW</t>
  </si>
  <si>
    <t>FM3101</t>
  </si>
  <si>
    <t>POM90415</t>
  </si>
  <si>
    <t>Airex</t>
  </si>
  <si>
    <t>Majax-2 630 20.D.8 c/w 2.2 kW 4Pole 380V</t>
  </si>
  <si>
    <t>FM3102</t>
  </si>
  <si>
    <t>PO-0000579</t>
  </si>
  <si>
    <t>Majax 630 Belt Driven</t>
  </si>
  <si>
    <t>FM3103</t>
  </si>
  <si>
    <t>TSI Projects</t>
  </si>
  <si>
    <t>FM3104</t>
  </si>
  <si>
    <t>PO2010</t>
  </si>
  <si>
    <t>SCL-K05-2.2 380V TO 525V</t>
  </si>
  <si>
    <t>FM3105</t>
  </si>
  <si>
    <t>PO2002</t>
  </si>
  <si>
    <t>CMA-528-2T-1 &amp; RAD250</t>
  </si>
  <si>
    <t>FM3106</t>
  </si>
  <si>
    <t>PO-0000588</t>
  </si>
  <si>
    <t>Lineo Q250</t>
  </si>
  <si>
    <t>FM3107</t>
  </si>
  <si>
    <t>PO-0000589</t>
  </si>
  <si>
    <t>Lineo Q315 &amp; 1 315L 600 attenuator</t>
  </si>
  <si>
    <t>FM3108</t>
  </si>
  <si>
    <t>PC6/PO-275</t>
  </si>
  <si>
    <t>Rad 315 &amp; Accessories</t>
  </si>
  <si>
    <t>FM3109</t>
  </si>
  <si>
    <t>PO2011</t>
  </si>
  <si>
    <t>SCL-K05-2.2KW 525V</t>
  </si>
  <si>
    <t>FM3110</t>
  </si>
  <si>
    <t>PO2012</t>
  </si>
  <si>
    <t>FM3111</t>
  </si>
  <si>
    <t>PO2014</t>
  </si>
  <si>
    <t>FM3112</t>
  </si>
  <si>
    <t>Brother Cash &amp; Carry CC</t>
  </si>
  <si>
    <t>FM3113</t>
  </si>
  <si>
    <t>MP014358</t>
  </si>
  <si>
    <t>Tiracamino 220V CHIMNEY FAN</t>
  </si>
  <si>
    <t>FM3114</t>
  </si>
  <si>
    <t>Lure Holdings</t>
  </si>
  <si>
    <t>AT 15/15</t>
  </si>
  <si>
    <t>FM3115</t>
  </si>
  <si>
    <t>PO223785</t>
  </si>
  <si>
    <t>Majax-2 315 0.55KW 4P 380V &amp; Accessories</t>
  </si>
  <si>
    <t>FM3116</t>
  </si>
  <si>
    <t>PO:2528</t>
  </si>
  <si>
    <t>Kdaxis 200</t>
  </si>
  <si>
    <t>FM3117</t>
  </si>
  <si>
    <t>CMP-38-2M</t>
  </si>
  <si>
    <t>FM3118</t>
  </si>
  <si>
    <t>PO0000402</t>
  </si>
  <si>
    <t>St Air Services &amp; Maintenance</t>
  </si>
  <si>
    <t>Lineo 250 Quite &amp; Tube Silencers</t>
  </si>
  <si>
    <t>FM3119</t>
  </si>
  <si>
    <t>DRAKE &amp; GORHAM (Zambia) Ltd.</t>
  </si>
  <si>
    <t>Maxflo 400/150/10 c/w 0,37 kW 4P 380V</t>
  </si>
  <si>
    <t>FM3120</t>
  </si>
  <si>
    <t>PO2017</t>
  </si>
  <si>
    <t>FM3121</t>
  </si>
  <si>
    <t>PO2016</t>
  </si>
  <si>
    <t>HCT-25-2T/PL</t>
  </si>
  <si>
    <t>FM3122</t>
  </si>
  <si>
    <t>Raptor</t>
  </si>
  <si>
    <t>V230 AR</t>
  </si>
  <si>
    <t>FM3123</t>
  </si>
  <si>
    <t>PC6/PO-2828</t>
  </si>
  <si>
    <t>Maxflo710 1.5kw 4p/Maxflo500 0.37kw 4p 380v</t>
  </si>
  <si>
    <t>FM3124</t>
  </si>
  <si>
    <t>Setati Sol</t>
  </si>
  <si>
    <t>FM3125</t>
  </si>
  <si>
    <t>P264208 HS</t>
  </si>
  <si>
    <t xml:space="preserve">Majax-2 630Plate Mount </t>
  </si>
  <si>
    <t>FM3126</t>
  </si>
  <si>
    <t>SASCOM Maintenance Services CC</t>
  </si>
  <si>
    <t>Majax-2 710 Fan Blades only</t>
  </si>
  <si>
    <t>FM3127</t>
  </si>
  <si>
    <t>F04791205</t>
  </si>
  <si>
    <t>Fans Unlimitted</t>
  </si>
  <si>
    <t>FM3128</t>
  </si>
  <si>
    <t>FM3129</t>
  </si>
  <si>
    <t>Mekan Group</t>
  </si>
  <si>
    <t>Rad 315</t>
  </si>
  <si>
    <t>FM3130</t>
  </si>
  <si>
    <t>Merwanes</t>
  </si>
  <si>
    <t>Tiracamino spare motor</t>
  </si>
  <si>
    <t>FM3131</t>
  </si>
  <si>
    <t>630 CF</t>
  </si>
  <si>
    <t>FM3132</t>
  </si>
  <si>
    <t>710 Silencer</t>
  </si>
  <si>
    <t>FM3133</t>
  </si>
  <si>
    <t>PO115838</t>
  </si>
  <si>
    <t>Maxflo710/315 &amp; accesorries</t>
  </si>
  <si>
    <t>FM3134</t>
  </si>
  <si>
    <t>MP014388</t>
  </si>
  <si>
    <t>FM3135</t>
  </si>
  <si>
    <t>PO:52</t>
  </si>
  <si>
    <t>Rectangular Attenuator</t>
  </si>
  <si>
    <t>FM3136</t>
  </si>
  <si>
    <t xml:space="preserve">V300/12-AR LLS &amp; V230/9-AR LLS </t>
  </si>
  <si>
    <t>FM3137</t>
  </si>
  <si>
    <t>PO2024</t>
  </si>
  <si>
    <t>CF4 - FPZ Replacement Filter Cartridge</t>
  </si>
  <si>
    <t>FM3138</t>
  </si>
  <si>
    <t>PO0000224</t>
  </si>
  <si>
    <t>Prexoz Engineering</t>
  </si>
  <si>
    <t>FM3139</t>
  </si>
  <si>
    <t>Lineo 315 + Acc</t>
  </si>
  <si>
    <t>FM3140</t>
  </si>
  <si>
    <t>PO0000587</t>
  </si>
  <si>
    <t>ATM Technical Power</t>
  </si>
  <si>
    <t>FM3141</t>
  </si>
  <si>
    <t>PO:OA16010</t>
  </si>
  <si>
    <t>Maxflo400/150/10 0.75kw 2p/Maxflo500 1.1kw 2p 380v</t>
  </si>
  <si>
    <t>FM3142</t>
  </si>
  <si>
    <t>Sizanzni</t>
  </si>
  <si>
    <t>630 Impeller</t>
  </si>
  <si>
    <t>FM3143</t>
  </si>
  <si>
    <t>PO:0000608</t>
  </si>
  <si>
    <t>Lineo 315Q</t>
  </si>
  <si>
    <t>FM3144</t>
  </si>
  <si>
    <t>FM3145</t>
  </si>
  <si>
    <t xml:space="preserve">DD 9/9 373W 4P 220V </t>
  </si>
  <si>
    <t>FM3146</t>
  </si>
  <si>
    <t>MP014408</t>
  </si>
  <si>
    <t>FM3147</t>
  </si>
  <si>
    <t>FAM202501P</t>
  </si>
  <si>
    <t>Ndalama Amarture Winders</t>
  </si>
  <si>
    <t>1250 Impeller</t>
  </si>
  <si>
    <t>FM3148</t>
  </si>
  <si>
    <t>PO-00021</t>
  </si>
  <si>
    <t>Nompelo Engineering</t>
  </si>
  <si>
    <t>VSDs</t>
  </si>
  <si>
    <t>FM3149</t>
  </si>
  <si>
    <t>PO0000225</t>
  </si>
  <si>
    <t>FM3150</t>
  </si>
  <si>
    <t>Cash Trip</t>
  </si>
  <si>
    <t>BAF125</t>
  </si>
  <si>
    <t>FM3151</t>
  </si>
  <si>
    <t>PO 49263</t>
  </si>
  <si>
    <t>SEF 100</t>
  </si>
  <si>
    <t>FM3152</t>
  </si>
  <si>
    <t>PO 0000527</t>
  </si>
  <si>
    <t>Maxflo 500/150/10 A c/w 3,0KW 4P 380V</t>
  </si>
  <si>
    <t>FM3153</t>
  </si>
  <si>
    <t>Cash Sale - Manzi</t>
  </si>
  <si>
    <t>Axton Matrix Constraction</t>
  </si>
  <si>
    <t>FM3154</t>
  </si>
  <si>
    <t>Cash Sale - NM Cleaners</t>
  </si>
  <si>
    <t>FM3155</t>
  </si>
  <si>
    <t>Cash Sale - Busanani JV</t>
  </si>
  <si>
    <t>FM3156</t>
  </si>
  <si>
    <t>Cash Sale - Palipa</t>
  </si>
  <si>
    <t>FM3157</t>
  </si>
  <si>
    <t>FM3158</t>
  </si>
  <si>
    <t>PO124095</t>
  </si>
  <si>
    <t>CPV 1020-2T</t>
  </si>
  <si>
    <t>FM3159</t>
  </si>
  <si>
    <t>Maxflo 560/150/10 c/w1.1kw 4P 380V</t>
  </si>
  <si>
    <t>FM3160</t>
  </si>
  <si>
    <t>FM3161</t>
  </si>
  <si>
    <t>G and S Winders Luck and King</t>
  </si>
  <si>
    <t>Maxflo 630/250/6</t>
  </si>
  <si>
    <t>FM3162</t>
  </si>
  <si>
    <t>PO-000005855</t>
  </si>
  <si>
    <t>Cape Fans (Pty) Ltd</t>
  </si>
  <si>
    <t>CMA-218-2T</t>
  </si>
  <si>
    <t>FM3163</t>
  </si>
  <si>
    <t>PO134997</t>
  </si>
  <si>
    <t>FM3164</t>
  </si>
  <si>
    <t>PO-00024</t>
  </si>
  <si>
    <t xml:space="preserve">Attenuators </t>
  </si>
  <si>
    <t>FM3165</t>
  </si>
  <si>
    <t>PO2030</t>
  </si>
  <si>
    <t>Tiracamino - Vortice Chimney Extractor Fan 230V</t>
  </si>
  <si>
    <t>FM3166</t>
  </si>
  <si>
    <t>Majax-2 760</t>
  </si>
  <si>
    <t>FM3167</t>
  </si>
  <si>
    <t>FM3168</t>
  </si>
  <si>
    <t>P264752HS</t>
  </si>
  <si>
    <t>FM3169</t>
  </si>
  <si>
    <t>PO00020977</t>
  </si>
  <si>
    <t>Craig International Supplier</t>
  </si>
  <si>
    <t>DDM 10/10 6P 3F 550W 460V</t>
  </si>
  <si>
    <t>FM3170</t>
  </si>
  <si>
    <t>KPO169815</t>
  </si>
  <si>
    <t>HVJ-2S</t>
  </si>
  <si>
    <t>FM3171</t>
  </si>
  <si>
    <t>KPO169816</t>
  </si>
  <si>
    <t>FM3172</t>
  </si>
  <si>
    <t>PO2039</t>
  </si>
  <si>
    <t>FM3173</t>
  </si>
  <si>
    <t>PO349</t>
  </si>
  <si>
    <t>Majax-2 710.20.D.8 c/w 4Kw 4P 400V</t>
  </si>
  <si>
    <t>FM3174</t>
  </si>
  <si>
    <t>Majax-2 710.20.D.8 c/w 2.2Kw 4P 400V</t>
  </si>
  <si>
    <t>FM3175</t>
  </si>
  <si>
    <t>Majax-2 630.20.D.8 c/w 1.5Kw 4P 400V</t>
  </si>
  <si>
    <t>FM3176</t>
  </si>
  <si>
    <t>Majax-2 800.32.E.8 c/w 4.0Kw 4P 400V</t>
  </si>
  <si>
    <t>FM3177</t>
  </si>
  <si>
    <t>FM3178</t>
  </si>
  <si>
    <t>FM3179</t>
  </si>
  <si>
    <t>FM3180</t>
  </si>
  <si>
    <t>Majax-2 630.20.D.8 c/w 0.75Kw 6P 400V</t>
  </si>
  <si>
    <t>FM3181</t>
  </si>
  <si>
    <t>Majax-2 560.20.D.8 c/w 0.75Kw 4P 400V</t>
  </si>
  <si>
    <t>FM3182</t>
  </si>
  <si>
    <t>FM3183</t>
  </si>
  <si>
    <t>Loumine</t>
  </si>
  <si>
    <t>HV 1250 c/w 1.1kW 525v</t>
  </si>
  <si>
    <t>FM3184</t>
  </si>
  <si>
    <t>PO7059</t>
  </si>
  <si>
    <t>LOJ Trade and Export (Pty) Ltd</t>
  </si>
  <si>
    <t>Maxflo Fan 710/150/10 A C/W 4.0kw 4P 380</t>
  </si>
  <si>
    <t>FM3185</t>
  </si>
  <si>
    <t>PO153504</t>
  </si>
  <si>
    <t>FM3186</t>
  </si>
  <si>
    <t>FM3187</t>
  </si>
  <si>
    <t>Maxflo 900 c/w 5.5kW 4Pole 380v</t>
  </si>
  <si>
    <t>FM3188</t>
  </si>
  <si>
    <t>Maxflo 900 c/w 3kW 4Pole 380v</t>
  </si>
  <si>
    <t>FM3189</t>
  </si>
  <si>
    <t>Maxflo 315 c/w 0.25kW 4Pole 380v</t>
  </si>
  <si>
    <t>FM3190</t>
  </si>
  <si>
    <t>Maxflo 500 c/w 0.75kW 4Ppole 380v</t>
  </si>
  <si>
    <t>FM3191</t>
  </si>
  <si>
    <t>Maxflo 500 c/w 0.55kW 4Pole 380v</t>
  </si>
  <si>
    <t>FM3192</t>
  </si>
  <si>
    <t>FM3193</t>
  </si>
  <si>
    <t>Maxflo 500 c/w 3kW 2Pole 380v Motor</t>
  </si>
  <si>
    <t>FM3194</t>
  </si>
  <si>
    <t>Maxflo 400 c/w 2.2kW 2Pole 380v</t>
  </si>
  <si>
    <t>FM3195</t>
  </si>
  <si>
    <t>FM3196</t>
  </si>
  <si>
    <t>FM3197</t>
  </si>
  <si>
    <t>PO3495</t>
  </si>
  <si>
    <t xml:space="preserve">MAJAX-3 710Plate Mount c/w 4,00KW 4P 380V </t>
  </si>
  <si>
    <t>FM3198</t>
  </si>
  <si>
    <t>Majax-3 315 Repaire</t>
  </si>
  <si>
    <t>FM3199</t>
  </si>
  <si>
    <t>MAJAX-3 710Plate Mount c/w 4,00KW 4P 380V Form B</t>
  </si>
  <si>
    <t>FM3200</t>
  </si>
  <si>
    <t>MAJAX-3 710Plate Mount c/w 4,00KW 4P 380V Form A</t>
  </si>
  <si>
    <t>FM3201</t>
  </si>
  <si>
    <t>FM3202</t>
  </si>
  <si>
    <t>Count Air Conditioning</t>
  </si>
  <si>
    <t>Impeller 500/150/10 A - Set Pitch 27DEG</t>
  </si>
  <si>
    <t>FM3203</t>
  </si>
  <si>
    <t>PO2047</t>
  </si>
  <si>
    <t xml:space="preserve">Vortice C2.5 Speed Controller </t>
  </si>
  <si>
    <t>FM3204</t>
  </si>
  <si>
    <t>PO:SP731488</t>
  </si>
  <si>
    <t>Dteq</t>
  </si>
  <si>
    <t>BAF100 &amp; Grills</t>
  </si>
  <si>
    <t>FM3205</t>
  </si>
  <si>
    <t>PC6/PO-3234</t>
  </si>
  <si>
    <t>FM3206</t>
  </si>
  <si>
    <t>PO21644</t>
  </si>
  <si>
    <t>Majax 800 c/w 1.5kW 6Pole</t>
  </si>
  <si>
    <t>FM3207</t>
  </si>
  <si>
    <t>PO2049</t>
  </si>
  <si>
    <t>FM3208</t>
  </si>
  <si>
    <t>315 2.0D Podded Attenuators, 710 and 800 Couter Flange</t>
  </si>
  <si>
    <t>FM3209</t>
  </si>
  <si>
    <t>PO0000632</t>
  </si>
  <si>
    <t>Majax1 965 c/w5.5 kw belt driven</t>
  </si>
  <si>
    <t>FM3210</t>
  </si>
  <si>
    <t>BTS Breezeair</t>
  </si>
  <si>
    <t>FM3211</t>
  </si>
  <si>
    <t>PO:OA16182</t>
  </si>
  <si>
    <t>Maxflo 560/150/5 c/w3kw 2p 380V</t>
  </si>
  <si>
    <t>FM3212</t>
  </si>
  <si>
    <t>PO:079759</t>
  </si>
  <si>
    <t>Total Comfort</t>
  </si>
  <si>
    <t>AT 15/15 SC2</t>
  </si>
  <si>
    <t>FM3213</t>
  </si>
  <si>
    <t xml:space="preserve">Howden  </t>
  </si>
  <si>
    <t>Duct Assembly</t>
  </si>
  <si>
    <t>FM3214</t>
  </si>
  <si>
    <t>PC6/PO-3275</t>
  </si>
  <si>
    <t>RAD150</t>
  </si>
  <si>
    <t>FM3215</t>
  </si>
  <si>
    <t>PO:OA16195</t>
  </si>
  <si>
    <t>Maxflo 315/150/10 c/w0.55kw2p 380v</t>
  </si>
  <si>
    <t>FM3216</t>
  </si>
  <si>
    <t>LAP2965-01 Cash sale</t>
  </si>
  <si>
    <t>KAF200 &amp; 200 Attenuators</t>
  </si>
  <si>
    <t>FM3217</t>
  </si>
  <si>
    <t>Lineo 250 &amp; 250 Attenuators</t>
  </si>
  <si>
    <t>FM3218</t>
  </si>
  <si>
    <t>PO:OA16205</t>
  </si>
  <si>
    <t>RAD315/ Accessories</t>
  </si>
  <si>
    <t>FM3219</t>
  </si>
  <si>
    <t>PC6/PO-3310</t>
  </si>
  <si>
    <t>FM3220</t>
  </si>
  <si>
    <t>PO028698</t>
  </si>
  <si>
    <t>Atlas Air</t>
  </si>
  <si>
    <t>FM3221</t>
  </si>
  <si>
    <t>SCL K10-MS MOR 11Kw</t>
  </si>
  <si>
    <t>FM3222</t>
  </si>
  <si>
    <t>PO115904</t>
  </si>
  <si>
    <t>Maxflo 560 c/w1.5kw 4P 380V &amp;Accessories</t>
  </si>
  <si>
    <t>FM3223</t>
  </si>
  <si>
    <t>CMP 616-2T 525V</t>
  </si>
  <si>
    <t>FM3224</t>
  </si>
  <si>
    <t>PO804072</t>
  </si>
  <si>
    <t>Bi-tron Technical Services</t>
  </si>
  <si>
    <t>CA 250 VO</t>
  </si>
  <si>
    <t>FM3225</t>
  </si>
  <si>
    <t>RAD 315 &amp; 315 Diam Tube Silencers</t>
  </si>
  <si>
    <t>FM3226</t>
  </si>
  <si>
    <t>PO052956</t>
  </si>
  <si>
    <t>Airetronic</t>
  </si>
  <si>
    <t>M 100/4 Window Mount Extract and fixed Grill</t>
  </si>
  <si>
    <t>FM3227</t>
  </si>
  <si>
    <t>Lynx Motorsport</t>
  </si>
  <si>
    <t>M150/6 Motor</t>
  </si>
  <si>
    <t>FM3228</t>
  </si>
  <si>
    <t>DAI/2025/29001</t>
  </si>
  <si>
    <t>GMN Trading Enterprise</t>
  </si>
  <si>
    <t>Maxflo 560 c/w1.5kw 4P 380V</t>
  </si>
  <si>
    <t>FM3229</t>
  </si>
  <si>
    <t xml:space="preserve">Global Cooling </t>
  </si>
  <si>
    <t>FM3230</t>
  </si>
  <si>
    <t>Breezeair Technical Service</t>
  </si>
  <si>
    <t>Maxflo 900/250/14 c/w 4kw 4P 380V</t>
  </si>
  <si>
    <t>FM3231</t>
  </si>
  <si>
    <t>PO2055</t>
  </si>
  <si>
    <t>FM3232</t>
  </si>
  <si>
    <t>AAP 441/66</t>
  </si>
  <si>
    <t xml:space="preserve">Ar Azul </t>
  </si>
  <si>
    <t>FM3233</t>
  </si>
  <si>
    <t>PO:OA16245</t>
  </si>
  <si>
    <t>RAD 200 &amp; 315 &amp;Accessories</t>
  </si>
  <si>
    <t>FM3234</t>
  </si>
  <si>
    <t>FM3235</t>
  </si>
  <si>
    <t>POA10035</t>
  </si>
  <si>
    <t>RAD 200 &amp; Accessories</t>
  </si>
  <si>
    <t>FM3236</t>
  </si>
  <si>
    <t>maxflo710/250/14 1.1kw 4P 380V</t>
  </si>
  <si>
    <t>FM3237</t>
  </si>
  <si>
    <t>PO2056</t>
  </si>
  <si>
    <t>CF9 - FPZ Filter Element 4inch</t>
  </si>
  <si>
    <t>FM3238</t>
  </si>
  <si>
    <t>PC6/PO-3396</t>
  </si>
  <si>
    <t>FM3239</t>
  </si>
  <si>
    <t>FM3240</t>
  </si>
  <si>
    <t>PO 4240</t>
  </si>
  <si>
    <t>FM3241</t>
  </si>
  <si>
    <t>Kusasa Electrical solutions</t>
  </si>
  <si>
    <t>HCDF-50-4T Flameproof &amp; Louvre Shutter Alum. 18</t>
  </si>
  <si>
    <t>FM3242</t>
  </si>
  <si>
    <t>PO0000209</t>
  </si>
  <si>
    <t>500S2.0DP - 500 Diam Silencer 2.0DPodded</t>
  </si>
  <si>
    <t>FM3243</t>
  </si>
  <si>
    <t>PO0000019</t>
  </si>
  <si>
    <t>FM3244</t>
  </si>
  <si>
    <t>PO2059</t>
  </si>
  <si>
    <t>FM3245</t>
  </si>
  <si>
    <t>FM3246</t>
  </si>
  <si>
    <t>560 Dia Silencer 2.0D Podded</t>
  </si>
  <si>
    <t>FM3247</t>
  </si>
  <si>
    <t>MT5600374 - MAJAX-3 560 c/w 0,37KW 4P380V(FA03/ICC/FR) + Acc</t>
  </si>
  <si>
    <t>FM3248</t>
  </si>
  <si>
    <t>MT5000374 - MAJAX-3 500 c/w 0,37KW 4P380V(FA04/ICC/FR) + Acc</t>
  </si>
  <si>
    <t>FM3249</t>
  </si>
  <si>
    <t>560 Dia Silencer 2.0D Podded (FA04/ICC/FR) + CF , MF &amp; AVMs</t>
  </si>
  <si>
    <t>FM3250</t>
  </si>
  <si>
    <t>MT5600374 - MAJAX-3 560 c/w 0,75KW 4P380V(FA03/ICC/FR) + Acc</t>
  </si>
  <si>
    <t>FM3251</t>
  </si>
  <si>
    <t>Fumax 630 c/w 1.1 KW 4P 380V + Acc</t>
  </si>
  <si>
    <t>FM3252</t>
  </si>
  <si>
    <t>500 Dia Silencer 2.0D Podded (FA04/ICC/FR) + CF , MF &amp; AVMs</t>
  </si>
  <si>
    <t>FM3253</t>
  </si>
  <si>
    <t>FM3254</t>
  </si>
  <si>
    <t>MT5000374 - MAJAX-3 500 c/w 1.1KW 2P380V(FA04/ICC/FR) + Acc</t>
  </si>
  <si>
    <t>FM3255</t>
  </si>
  <si>
    <t>MT5000374 - MAJAX-3 500 c/w 1.5KW 2P380V(FA04/ICC/FR) + Acc</t>
  </si>
  <si>
    <t>FM3256</t>
  </si>
  <si>
    <t>Mpumalanga Duct</t>
  </si>
  <si>
    <t xml:space="preserve">Fumax Motor 5.5kW </t>
  </si>
  <si>
    <t>FM3257</t>
  </si>
  <si>
    <t>PO101080</t>
  </si>
  <si>
    <t>JAMARMIC PUMP AND VALVE</t>
  </si>
  <si>
    <t>Impeller 710  - Set Pitch 28DEG</t>
  </si>
  <si>
    <t>FM3258</t>
  </si>
  <si>
    <t>Prexoz(Pty) Ltd</t>
  </si>
  <si>
    <t>BD 12/12 1.1KW 6P + DD 9/9 300W 4P</t>
  </si>
  <si>
    <t>FM3259</t>
  </si>
  <si>
    <t>Wax Comple Tech Projects</t>
  </si>
  <si>
    <t>FM3260</t>
  </si>
  <si>
    <t>Maxflo 400 c/w 1.5kW 2p</t>
  </si>
  <si>
    <t>FM3261</t>
  </si>
  <si>
    <t>Maxflo 800 c/w 3kW</t>
  </si>
  <si>
    <t>FM3262</t>
  </si>
  <si>
    <t>Global Cooling Air</t>
  </si>
  <si>
    <t>Majax-2 315 0.55KW 2P 230V &amp; Accessories</t>
  </si>
  <si>
    <t>FM3263</t>
  </si>
  <si>
    <t>Punto</t>
  </si>
  <si>
    <t>FM3264</t>
  </si>
  <si>
    <t>PO2058</t>
  </si>
  <si>
    <t>FM3265</t>
  </si>
  <si>
    <t>FM3266</t>
  </si>
  <si>
    <t>PO2061</t>
  </si>
  <si>
    <t>FM3267</t>
  </si>
  <si>
    <t>PO111951</t>
  </si>
  <si>
    <t>Vario 150/6 AR</t>
  </si>
  <si>
    <t>FM3268</t>
  </si>
  <si>
    <t>PO53602</t>
  </si>
  <si>
    <t>Aircontech</t>
  </si>
  <si>
    <t>Maxflo 500/150/10 A c/w 3,0KW 2P 380V &amp; Accessories</t>
  </si>
  <si>
    <t>FM3269</t>
  </si>
  <si>
    <t>Lubeng</t>
  </si>
  <si>
    <t>Majax 1000 c/w 9.2kW 4Pole</t>
  </si>
  <si>
    <t>FM3270</t>
  </si>
  <si>
    <t>FAM202502P</t>
  </si>
  <si>
    <t>Ndalama</t>
  </si>
  <si>
    <t>Plate axial Fans</t>
  </si>
  <si>
    <t>FM3271</t>
  </si>
  <si>
    <t>A3412092593</t>
  </si>
  <si>
    <t>Majax 2 500 c/w 2.2kW 2Pole</t>
  </si>
  <si>
    <t>FM3272</t>
  </si>
  <si>
    <t>MFE6727</t>
  </si>
  <si>
    <t>HCD 25-4M &amp; Louvre Shutter PVC Gravity - 9''</t>
  </si>
  <si>
    <t>FM3273</t>
  </si>
  <si>
    <t>PO-000005990</t>
  </si>
  <si>
    <t>DDM 9/7 6M020M - 550W 220/1/50 - 4P</t>
  </si>
  <si>
    <t>FM3274</t>
  </si>
  <si>
    <t>FM3275</t>
  </si>
  <si>
    <t>Ref Air Services</t>
  </si>
  <si>
    <t>HCD 30 4M &amp; Louvre Shutter</t>
  </si>
  <si>
    <t>FM3276</t>
  </si>
  <si>
    <t>COLIN</t>
  </si>
  <si>
    <t>BD 12/9 1.1KW 6P 400V &amp; DDM 9/7 300W 400-440V 4P</t>
  </si>
  <si>
    <t>FM3277</t>
  </si>
  <si>
    <t>Technomobile</t>
  </si>
  <si>
    <t>BCC-2 500/1.0 D1(Belt Driven)c/w 0.75kw 4P 380v</t>
  </si>
  <si>
    <t>FM3278</t>
  </si>
  <si>
    <t xml:space="preserve">RAD 250 &amp; 1 Sillencer </t>
  </si>
  <si>
    <t>FM3279</t>
  </si>
  <si>
    <t>PO2066</t>
  </si>
  <si>
    <t>M120/5 &amp; F120 Vortice Punto Window Kit  120mm</t>
  </si>
  <si>
    <t>FM3280</t>
  </si>
  <si>
    <t>PO136399</t>
  </si>
  <si>
    <t>MEX 100 c/w speed controller</t>
  </si>
  <si>
    <t>FM3281</t>
  </si>
  <si>
    <t>CMP-718-2T</t>
  </si>
  <si>
    <t>FM3282</t>
  </si>
  <si>
    <t>PO0000647</t>
  </si>
  <si>
    <t>Majax1 610 c/w0.55kw 4p 380v</t>
  </si>
  <si>
    <t>FM3283</t>
  </si>
  <si>
    <t xml:space="preserve">PO2068 </t>
  </si>
  <si>
    <t xml:space="preserve">Tiracamino Motors &amp; C1.5 Speed controllers -  </t>
  </si>
  <si>
    <t>FM3284</t>
  </si>
  <si>
    <t>PO0000663</t>
  </si>
  <si>
    <t>Jaft-Aircon</t>
  </si>
  <si>
    <t>Majax 400 c/w 1.1kw 2P 380V</t>
  </si>
  <si>
    <t>FM3285</t>
  </si>
  <si>
    <t>Matla</t>
  </si>
  <si>
    <t>FM3286</t>
  </si>
  <si>
    <t>PR025135</t>
  </si>
  <si>
    <t>Maxflo 630 c/w2.2kw 4p 380v &amp; Accesorries</t>
  </si>
  <si>
    <t>FM3287</t>
  </si>
  <si>
    <t>PO2069</t>
  </si>
  <si>
    <t>FM3288</t>
  </si>
  <si>
    <t>PO2070</t>
  </si>
  <si>
    <t xml:space="preserve">Tiracamino Motors-10-Off &amp; C1.5 Speed controllers -5-off  </t>
  </si>
  <si>
    <t>FM3289</t>
  </si>
  <si>
    <t>PO:4500203527</t>
  </si>
  <si>
    <t>Rand refinery</t>
  </si>
  <si>
    <t>Maxflo 500 c/w 4 kw 2P 380V &amp;Accessories.</t>
  </si>
  <si>
    <t>FM3290</t>
  </si>
  <si>
    <t xml:space="preserve">PO2071 </t>
  </si>
  <si>
    <t>FM3291</t>
  </si>
  <si>
    <t>PO0000338</t>
  </si>
  <si>
    <t>E&amp;S Balancing Solution</t>
  </si>
  <si>
    <t>Maxflo 560/150/10 c/w 1,1kw 4p 380v &amp; Accesorries</t>
  </si>
  <si>
    <t>FM3292</t>
  </si>
  <si>
    <t>MP014640</t>
  </si>
  <si>
    <t>Tiracamino Chimney Fan 220V</t>
  </si>
  <si>
    <t>FM3293</t>
  </si>
  <si>
    <t>PO:OA16333</t>
  </si>
  <si>
    <t>Kdaxis 350 &amp; 400 Louver shutter</t>
  </si>
  <si>
    <t>FM3294</t>
  </si>
  <si>
    <t>PO115976</t>
  </si>
  <si>
    <t>Maxflo 560 c/w 1.1kw 4P 380V &amp; Accessories</t>
  </si>
  <si>
    <t>FM3295</t>
  </si>
  <si>
    <t>Natal Airconditioning Solutions</t>
  </si>
  <si>
    <t>FM3296</t>
  </si>
  <si>
    <t>PC6/PO-3641</t>
  </si>
  <si>
    <t>560/250/14 c/w 2.2kw 4p 380v</t>
  </si>
  <si>
    <t>FM3297</t>
  </si>
  <si>
    <t>Breezeair technical Service</t>
  </si>
  <si>
    <t>FM3298</t>
  </si>
  <si>
    <t>Ubuntu</t>
  </si>
  <si>
    <t xml:space="preserve">LINEO 250 Quiet </t>
  </si>
  <si>
    <t>FM3299</t>
  </si>
  <si>
    <t>FM3300</t>
  </si>
  <si>
    <t>Vario 300/9 AR</t>
  </si>
  <si>
    <t>FM3301</t>
  </si>
  <si>
    <t>Smarttech woman</t>
  </si>
  <si>
    <t>CMP514 2T</t>
  </si>
  <si>
    <t>FM3302</t>
  </si>
  <si>
    <t>PO2077</t>
  </si>
  <si>
    <t>V300/12 AR-LLS</t>
  </si>
  <si>
    <t>FM3303</t>
  </si>
  <si>
    <t>PO2078</t>
  </si>
  <si>
    <t>HCT-31-2T/PL</t>
  </si>
  <si>
    <t>FM3304</t>
  </si>
  <si>
    <t>PC6/PO-3672</t>
  </si>
  <si>
    <t>RAD 200/315 &amp; accessories</t>
  </si>
  <si>
    <t>FM3305</t>
  </si>
  <si>
    <t>PO154424</t>
  </si>
  <si>
    <t>FM3306</t>
  </si>
  <si>
    <t>Bluetech Fans</t>
  </si>
  <si>
    <t>FM3307</t>
  </si>
  <si>
    <t>PO6331</t>
  </si>
  <si>
    <t>Aircycle Engineering CC</t>
  </si>
  <si>
    <t>FM3308</t>
  </si>
  <si>
    <t>Structural Mining &amp; Industrial Services</t>
  </si>
  <si>
    <t>Majax-2 315 15.B.8 c/w 0.55 kW 2 Pole 380V</t>
  </si>
  <si>
    <t>FM3309</t>
  </si>
  <si>
    <t>JPA1067-PO-010-r1</t>
  </si>
  <si>
    <t>Jord Proxa</t>
  </si>
  <si>
    <t>Special CMP 5142T SS316 and Inlet transition</t>
  </si>
  <si>
    <t>FM3310</t>
  </si>
  <si>
    <t>Cool Star Airconditioning</t>
  </si>
  <si>
    <t>FM3311</t>
  </si>
  <si>
    <t>FM3312</t>
  </si>
  <si>
    <t xml:space="preserve">Mvelo Air </t>
  </si>
  <si>
    <t>FM3313</t>
  </si>
  <si>
    <t>PO:OA16363</t>
  </si>
  <si>
    <t>HJMB-Plus-50-T4-0.55kw &amp; Louvre</t>
  </si>
  <si>
    <t>FM3314</t>
  </si>
  <si>
    <t>PO18907</t>
  </si>
  <si>
    <t>Airmach systems (Pty) Ltd</t>
  </si>
  <si>
    <t>CMP 616-2T 380V</t>
  </si>
  <si>
    <t>FM3315</t>
  </si>
  <si>
    <t>Maxflo 500/150/10 c/w1.1kw 4P 380V &amp; Accesories</t>
  </si>
  <si>
    <t>FM3316</t>
  </si>
  <si>
    <t>Vortron</t>
  </si>
  <si>
    <t>Maxflo 560 c/w 1.5kW 4Pole</t>
  </si>
  <si>
    <t>FM3317</t>
  </si>
  <si>
    <t>FM3318</t>
  </si>
  <si>
    <t>Maxflo 800 c/w 1.5kW 4Pole</t>
  </si>
  <si>
    <t>FM3319</t>
  </si>
  <si>
    <t>FM3320</t>
  </si>
  <si>
    <t>FM3321</t>
  </si>
  <si>
    <t>Kenneth</t>
  </si>
  <si>
    <t>FM3322</t>
  </si>
  <si>
    <t>FM3323</t>
  </si>
  <si>
    <t>P2663448</t>
  </si>
  <si>
    <t>RB9/1 c/w 2.2kW 2P 380V</t>
  </si>
  <si>
    <t>FM3324</t>
  </si>
  <si>
    <t>PO-00009371</t>
  </si>
  <si>
    <t>CONTROL SYSTEMS TECHNOLOGY CC</t>
  </si>
  <si>
    <t>MAJAX-2 560 c/w 4,00KW 2P 380V</t>
  </si>
  <si>
    <t>FM3325</t>
  </si>
  <si>
    <t>Invester Amalgam pty ltd</t>
  </si>
  <si>
    <t>FM3326</t>
  </si>
  <si>
    <t>Tiro Access</t>
  </si>
  <si>
    <t>Bellax 800 c/w 1.1kW motor</t>
  </si>
  <si>
    <t>FM3327</t>
  </si>
  <si>
    <t>PO 443</t>
  </si>
  <si>
    <t>MAJAX-2 630 c/w 1,50KW 4P 380V</t>
  </si>
  <si>
    <t>FM3328</t>
  </si>
  <si>
    <t>MAJAX-2 315 c/w 0,55KW 2P 380V</t>
  </si>
  <si>
    <t>FM3329</t>
  </si>
  <si>
    <t>PO0000772</t>
  </si>
  <si>
    <t>KSA-500-4K-T - 380V</t>
  </si>
  <si>
    <t>FM3330</t>
  </si>
  <si>
    <t>MP014728</t>
  </si>
  <si>
    <t>FM3331</t>
  </si>
  <si>
    <t>500 Diam 1.5D Podded</t>
  </si>
  <si>
    <t>FM3332</t>
  </si>
  <si>
    <t xml:space="preserve"> PO137249</t>
  </si>
  <si>
    <t>FM3333</t>
  </si>
  <si>
    <t>PO116042</t>
  </si>
  <si>
    <t>Lineo Q 150</t>
  </si>
  <si>
    <t>FM3334</t>
  </si>
  <si>
    <t>PH Energy Systems</t>
  </si>
  <si>
    <t>630/250/14 Poly-Prop 28mm Bore - Form B to suit  2.2Kw 4P 380V</t>
  </si>
  <si>
    <t>FM3335</t>
  </si>
  <si>
    <t>SP731868</t>
  </si>
  <si>
    <t>D-teq Air (Pty) Ltd</t>
  </si>
  <si>
    <t>Maxflo 630/250/14 P c/w 3 kW 4 P</t>
  </si>
  <si>
    <t>FM3336</t>
  </si>
  <si>
    <t xml:space="preserve">PO2085 </t>
  </si>
  <si>
    <t>FM3337</t>
  </si>
  <si>
    <t>Superbond Construction</t>
  </si>
  <si>
    <t>FM3338</t>
  </si>
  <si>
    <t>1904C/1914</t>
  </si>
  <si>
    <t>UV 500 - Dome Only</t>
  </si>
  <si>
    <t>FM3339</t>
  </si>
  <si>
    <t>Pool House</t>
  </si>
  <si>
    <t>MAXFLO 315/150/10 P c/w 0,25KW 4P  380V &amp; Accessories</t>
  </si>
  <si>
    <t>FM3340</t>
  </si>
  <si>
    <t>CLINTON</t>
  </si>
  <si>
    <t>Centrifab</t>
  </si>
  <si>
    <t>FM3341</t>
  </si>
  <si>
    <t>PT056</t>
  </si>
  <si>
    <t>AVH ENGINEERING</t>
  </si>
  <si>
    <t>Bellax 630 1.5kw 4P 380V</t>
  </si>
  <si>
    <t>FM3342</t>
  </si>
  <si>
    <t>PT059</t>
  </si>
  <si>
    <t>Bellax 800 4kW 4Pole 380V</t>
  </si>
  <si>
    <t>FM3343</t>
  </si>
  <si>
    <t>Donavan</t>
  </si>
  <si>
    <t xml:space="preserve">E 354 T ATEX </t>
  </si>
  <si>
    <t>FM3344</t>
  </si>
  <si>
    <t>FM3345</t>
  </si>
  <si>
    <t>PO2087</t>
  </si>
  <si>
    <t>CMA-325-2T</t>
  </si>
  <si>
    <t>FM3346</t>
  </si>
  <si>
    <t>Sphetho Trading</t>
  </si>
  <si>
    <t>Lieno's &amp; CE 250</t>
  </si>
  <si>
    <t>FM3347</t>
  </si>
  <si>
    <t>PO11532</t>
  </si>
  <si>
    <t>Xtrem Air Control</t>
  </si>
  <si>
    <t>RAD 315 Inline Circular Duct Fan</t>
  </si>
  <si>
    <t>FM3348</t>
  </si>
  <si>
    <t>PO2088</t>
  </si>
  <si>
    <t>SCL-K11-MS 11KW 525V</t>
  </si>
  <si>
    <t>FM3349</t>
  </si>
  <si>
    <t>G &amp; S Winders T/A Luck and King</t>
  </si>
  <si>
    <t>FM3350</t>
  </si>
  <si>
    <t>FM3351</t>
  </si>
  <si>
    <t>PO000857</t>
  </si>
  <si>
    <t>Filterman</t>
  </si>
  <si>
    <t>FM3352</t>
  </si>
  <si>
    <t>PO2089</t>
  </si>
  <si>
    <t>FM3353</t>
  </si>
  <si>
    <t>Majax-2 560.20.D.8 BELT DRIVEN</t>
  </si>
  <si>
    <t>FM3354</t>
  </si>
  <si>
    <t>FM3355</t>
  </si>
  <si>
    <t>FM3356</t>
  </si>
  <si>
    <t>FS C.25A Fan Speed Controller</t>
  </si>
  <si>
    <t>FM3357</t>
  </si>
  <si>
    <t>POA10078</t>
  </si>
  <si>
    <t>Compu Cool Pty Ltd</t>
  </si>
  <si>
    <t xml:space="preserve">Mxflo 500/150/5 A c/w 0.75Kw 2P 380V &amp; Accessories &amp;V230AR </t>
  </si>
  <si>
    <t>FM3358</t>
  </si>
  <si>
    <t>PO:SP731916</t>
  </si>
  <si>
    <t>Vario 230/9 AR</t>
  </si>
  <si>
    <t>FM3359</t>
  </si>
  <si>
    <t>PO-000006129</t>
  </si>
  <si>
    <t>FM3360</t>
  </si>
  <si>
    <t>FM3361</t>
  </si>
  <si>
    <t>MFE6734</t>
  </si>
  <si>
    <t>FM3362</t>
  </si>
  <si>
    <t>Impeller</t>
  </si>
  <si>
    <t>FM3363</t>
  </si>
  <si>
    <t>PO0000814</t>
  </si>
  <si>
    <t>Mxflo 500/150/5 P c/w 0.55Kw 4P 380V &amp; Accessories</t>
  </si>
  <si>
    <t>FM3364</t>
  </si>
  <si>
    <t>PO-26451</t>
  </si>
  <si>
    <t>Lineo 250 Quiet X 2-Off &amp; Lineo 200Quiet 1-Off</t>
  </si>
  <si>
    <t>FM3365</t>
  </si>
  <si>
    <t>FM3366</t>
  </si>
  <si>
    <t>PO:A23375</t>
  </si>
  <si>
    <t>Rotary Opencast Mining</t>
  </si>
  <si>
    <t>Majax-2 500-20-c-8 c/w 2p 380v Buffalo</t>
  </si>
  <si>
    <t>FM3367</t>
  </si>
  <si>
    <t>PO529LM</t>
  </si>
  <si>
    <t>Intervent Universal (Pty)Ltd</t>
  </si>
  <si>
    <t>FM3368</t>
  </si>
  <si>
    <t>FM3369</t>
  </si>
  <si>
    <t>Mexan Products</t>
  </si>
  <si>
    <t>FM3370</t>
  </si>
  <si>
    <t>PO2092</t>
  </si>
  <si>
    <t>FM3371</t>
  </si>
  <si>
    <t>PO2093</t>
  </si>
  <si>
    <t>FM3372</t>
  </si>
  <si>
    <t>PO101093</t>
  </si>
  <si>
    <t>Supply &amp; Fit new Aluminium Impeller 800 Diam</t>
  </si>
  <si>
    <t>FM3373</t>
  </si>
  <si>
    <t>KPO144</t>
  </si>
  <si>
    <t>Kareo</t>
  </si>
  <si>
    <t>FM3374</t>
  </si>
  <si>
    <t>Maxflo 400 c/w 0.75kW 2Pole</t>
  </si>
  <si>
    <t>FM3375</t>
  </si>
  <si>
    <t>FM3376</t>
  </si>
  <si>
    <t>FM3377</t>
  </si>
  <si>
    <t>FM3378</t>
  </si>
  <si>
    <t>FM3379</t>
  </si>
  <si>
    <t>Smarttech women</t>
  </si>
  <si>
    <t>FM3380</t>
  </si>
  <si>
    <t>PO-000006172</t>
  </si>
  <si>
    <t>FM3381</t>
  </si>
  <si>
    <t>Airlec</t>
  </si>
  <si>
    <t>FM3382</t>
  </si>
  <si>
    <t>MFE6735</t>
  </si>
  <si>
    <t>FM3383</t>
  </si>
  <si>
    <t>M25-194-018-002</t>
  </si>
  <si>
    <t>Masgcor</t>
  </si>
  <si>
    <t>DDM 10/10 - 6M02P4 - 550W 4P 230V-1Ph</t>
  </si>
  <si>
    <t>FM3384</t>
  </si>
  <si>
    <t>M25-196-024-002</t>
  </si>
  <si>
    <t>FM3385</t>
  </si>
  <si>
    <t>Isukamin</t>
  </si>
  <si>
    <t>Maxflo 630/250/14 c/w 2.2kW 4Pole + Accessories</t>
  </si>
  <si>
    <t>FM3386</t>
  </si>
  <si>
    <t>PO-000006181</t>
  </si>
  <si>
    <t xml:space="preserve">BD 12/9 1.1KW 6P 400V </t>
  </si>
  <si>
    <t>FM3387</t>
  </si>
  <si>
    <t>PO-26487</t>
  </si>
  <si>
    <t>630 - 1000 VSD</t>
  </si>
  <si>
    <t>FM3388</t>
  </si>
  <si>
    <t>PO116114</t>
  </si>
  <si>
    <t>Lineo 315 Q</t>
  </si>
  <si>
    <t>FM3389</t>
  </si>
  <si>
    <t>PO2094</t>
  </si>
  <si>
    <t>FM3390</t>
  </si>
  <si>
    <t>PCE Group Pty Ltd</t>
  </si>
  <si>
    <t>FM3391</t>
  </si>
  <si>
    <t>MP014851</t>
  </si>
  <si>
    <t>FM3392</t>
  </si>
  <si>
    <t>PO0001362</t>
  </si>
  <si>
    <t>AL Steel &amp; Mining</t>
  </si>
  <si>
    <t>HPLV 710 c/w 5.5kw 2P 400V</t>
  </si>
  <si>
    <t>FM3393</t>
  </si>
  <si>
    <t>Airpro Fans and blowers</t>
  </si>
  <si>
    <t>FM3394</t>
  </si>
  <si>
    <t>SCL K04 MS 1.1KW 380V</t>
  </si>
  <si>
    <t>FM3395</t>
  </si>
  <si>
    <t>Lineo 125 quiet &amp; Lineo 250 Quiet</t>
  </si>
  <si>
    <t>FM3396</t>
  </si>
  <si>
    <t>Maxflo560/630 4P 380v</t>
  </si>
  <si>
    <t>FM3397</t>
  </si>
  <si>
    <t>PO000106</t>
  </si>
  <si>
    <t>Powernex T/A Power nex (Pty)Ltd</t>
  </si>
  <si>
    <t>FM3398</t>
  </si>
  <si>
    <t>150x150mm extract grills, diam collar, volume control damper</t>
  </si>
  <si>
    <t>FM3399</t>
  </si>
  <si>
    <t>240x150mm 10m longflexible duct</t>
  </si>
  <si>
    <t>FM3400</t>
  </si>
  <si>
    <t>200x200 back draft damper</t>
  </si>
  <si>
    <t>FM3401</t>
  </si>
  <si>
    <t>A3412093733</t>
  </si>
  <si>
    <t>CMA FANS</t>
  </si>
  <si>
    <t>FM3402</t>
  </si>
  <si>
    <t>Gordon De Vaal</t>
  </si>
  <si>
    <t>FM3403</t>
  </si>
  <si>
    <t>PO116128</t>
  </si>
  <si>
    <t>Boleng Mechical Engineering</t>
  </si>
  <si>
    <t>RAD 200 &amp; Speed controller</t>
  </si>
  <si>
    <t>FM3404</t>
  </si>
  <si>
    <t>PO224335</t>
  </si>
  <si>
    <t>Minelog Supplies</t>
  </si>
  <si>
    <t>2-off Majax-2 315 c/w 0.55Kw 4P 380V &amp; Accessories</t>
  </si>
  <si>
    <t>FM3405</t>
  </si>
  <si>
    <t>Maxflo 560 c/w0.55kw 4p 380v &amp; Accessories</t>
  </si>
  <si>
    <t>FM3406</t>
  </si>
  <si>
    <t>Real Comfort Solutions</t>
  </si>
  <si>
    <t>VSD</t>
  </si>
  <si>
    <t>FM3407</t>
  </si>
  <si>
    <t>VSD 1.1 KW Speed controller</t>
  </si>
  <si>
    <t>FM3408</t>
  </si>
  <si>
    <t>Global Stride Trading &amp; Logistics</t>
  </si>
  <si>
    <t>FM3409</t>
  </si>
  <si>
    <t>PC6/PO-4238</t>
  </si>
  <si>
    <t>FM3410</t>
  </si>
  <si>
    <t xml:space="preserve">Maxflo 560/150/10 A c/w 1.10Kw 4P 380V </t>
  </si>
  <si>
    <t>FM3411</t>
  </si>
  <si>
    <t>MFE6737</t>
  </si>
  <si>
    <t>FM3412</t>
  </si>
  <si>
    <t>FM3413</t>
  </si>
  <si>
    <t>PO2104</t>
  </si>
  <si>
    <t>FM3414</t>
  </si>
  <si>
    <t>PO2105</t>
  </si>
  <si>
    <t>FM3415</t>
  </si>
  <si>
    <t>FM3416</t>
  </si>
  <si>
    <t>PO2107</t>
  </si>
  <si>
    <t>SCL-K07 MS-5.5KW 400V</t>
  </si>
  <si>
    <t>FM3417</t>
  </si>
  <si>
    <t>560 &amp; 630 Conter Flange &amp; Mounting feet</t>
  </si>
  <si>
    <t>FM3418</t>
  </si>
  <si>
    <t>PR026774</t>
  </si>
  <si>
    <t>RAD 315  &amp; 315 TUBE SILENCERS</t>
  </si>
  <si>
    <t>FM3419</t>
  </si>
  <si>
    <t>Raptor Engineering CC</t>
  </si>
  <si>
    <t>FM3420</t>
  </si>
  <si>
    <t>First Cool CC</t>
  </si>
  <si>
    <t>Lineo 315, BAF 150 &amp; Tube silencers</t>
  </si>
  <si>
    <t>FM3421</t>
  </si>
  <si>
    <t>Pr026904</t>
  </si>
  <si>
    <t>Avm's 315-560</t>
  </si>
  <si>
    <t>FM3422</t>
  </si>
  <si>
    <t>POA23434</t>
  </si>
  <si>
    <t>Rotary Opencast Service</t>
  </si>
  <si>
    <t>MAJAX-2 500-20-C-8 c/w 2p 380v</t>
  </si>
  <si>
    <t>FM3423</t>
  </si>
  <si>
    <t>PRO26932</t>
  </si>
  <si>
    <t>Maxflo 710c/w 1.5kW 4Pole</t>
  </si>
  <si>
    <t>FM3424</t>
  </si>
  <si>
    <t>Maxflo 1000 c/w 7.5kW 4Pole</t>
  </si>
  <si>
    <t>FM3425</t>
  </si>
  <si>
    <t>Maxflo 560 c/w 1.1kW 4Pole</t>
  </si>
  <si>
    <t>FM3426</t>
  </si>
  <si>
    <t>FM3427</t>
  </si>
  <si>
    <t>XL Air Conditioning</t>
  </si>
  <si>
    <t>Maxflo 1000 Impeller</t>
  </si>
  <si>
    <t>FM3428</t>
  </si>
  <si>
    <t>PO145789</t>
  </si>
  <si>
    <t>Majax-2 800 c/w5.5kw 4P 380v</t>
  </si>
  <si>
    <t>FM3429</t>
  </si>
  <si>
    <t>PO-26565</t>
  </si>
  <si>
    <t>FM3430</t>
  </si>
  <si>
    <t>Express Ducts Pty Ltd</t>
  </si>
  <si>
    <t>630 1.5D Silencers &amp; 630 Counter Flanges</t>
  </si>
  <si>
    <t>FM3431</t>
  </si>
  <si>
    <t>FM3432</t>
  </si>
  <si>
    <t>Orion Estate</t>
  </si>
  <si>
    <t>ksa-450-4K-T - 380V</t>
  </si>
  <si>
    <t>FM3433</t>
  </si>
  <si>
    <t>PO-000006248</t>
  </si>
  <si>
    <t>FM3434</t>
  </si>
  <si>
    <t>Silungisa Ugesi</t>
  </si>
  <si>
    <t>FM3435</t>
  </si>
  <si>
    <t>DJ Air Conditioning</t>
  </si>
  <si>
    <t>RAD355 &amp; RAD 200</t>
  </si>
  <si>
    <t>FM3436</t>
  </si>
  <si>
    <t>560 Diam Silencers 1.5D Podded</t>
  </si>
  <si>
    <t>FM3437</t>
  </si>
  <si>
    <t>FM3438</t>
  </si>
  <si>
    <t>FM3439</t>
  </si>
  <si>
    <t>PO053795</t>
  </si>
  <si>
    <t>Window Kit</t>
  </si>
  <si>
    <t>FM3440</t>
  </si>
  <si>
    <t>FM3441</t>
  </si>
  <si>
    <t>Witness</t>
  </si>
  <si>
    <t>VORT QUADRO I SUPER I</t>
  </si>
  <si>
    <t>FM3442</t>
  </si>
  <si>
    <t>PC5/PO-4452</t>
  </si>
  <si>
    <t>MAJAX-2 400 c/w 0.25kw 4P 380v</t>
  </si>
  <si>
    <t>FM3443</t>
  </si>
  <si>
    <t>LP Air</t>
  </si>
  <si>
    <t>Maxflo 315 P c/w 0,37kW 2Pole</t>
  </si>
  <si>
    <t>FM3444</t>
  </si>
  <si>
    <t>FM3445</t>
  </si>
  <si>
    <t>Mekan House</t>
  </si>
  <si>
    <t>RAD 315 &amp; Accessories + RAD200</t>
  </si>
  <si>
    <t>FM3446</t>
  </si>
  <si>
    <t>PO-0000712</t>
  </si>
  <si>
    <t>Maxflo 500/150/10 A c/w 2P 380V</t>
  </si>
  <si>
    <t>FM3447</t>
  </si>
  <si>
    <t>Maxflo 560 A c/w 0.55kW 4Pole</t>
  </si>
  <si>
    <t>FM3448</t>
  </si>
  <si>
    <t>Maxflo 560 A c/w 1.1kW 4Pole</t>
  </si>
  <si>
    <t>FM3449</t>
  </si>
  <si>
    <t>Maxflo 630 A c/w 2.2kW 4Pole</t>
  </si>
  <si>
    <t>FM3450</t>
  </si>
  <si>
    <t>FM3451</t>
  </si>
  <si>
    <t>Maxflo 800 A c/w 4kW 4Pole</t>
  </si>
  <si>
    <t>FM3452</t>
  </si>
  <si>
    <t>Maxflo 800 c/w 5.5kW 4Pole</t>
  </si>
  <si>
    <t>FM3453</t>
  </si>
  <si>
    <t>FM3454</t>
  </si>
  <si>
    <t>zefs more vision</t>
  </si>
  <si>
    <t>560 attenuator</t>
  </si>
  <si>
    <t>FM3455</t>
  </si>
  <si>
    <t>FM3456</t>
  </si>
  <si>
    <t>TRI-D BOERDERY</t>
  </si>
  <si>
    <t>Majax-2 610 20.D.8 c/w 1.1kW 4P 380V</t>
  </si>
  <si>
    <t>FM3457</t>
  </si>
  <si>
    <t>560 &amp; 500 Counter Flanges</t>
  </si>
  <si>
    <t>FM3458</t>
  </si>
  <si>
    <t>PO4304</t>
  </si>
  <si>
    <t xml:space="preserve">Air-Speration (Pty) Ltd </t>
  </si>
  <si>
    <t>FM3459</t>
  </si>
  <si>
    <t>FM3460</t>
  </si>
  <si>
    <t>MP015008</t>
  </si>
  <si>
    <t>lineo 150 &amp; 200 Quiet</t>
  </si>
  <si>
    <t>FM3461</t>
  </si>
  <si>
    <t>PO2115</t>
  </si>
  <si>
    <t>FM3462</t>
  </si>
  <si>
    <t>PO2116</t>
  </si>
  <si>
    <t>FM3463</t>
  </si>
  <si>
    <t>PC6/PO-4526</t>
  </si>
  <si>
    <t>630 Mounting Feet</t>
  </si>
  <si>
    <t>FM3464</t>
  </si>
  <si>
    <t>FM3465</t>
  </si>
  <si>
    <t>PO116181</t>
  </si>
  <si>
    <t>Maxflo 710/150/1 c/w 1.1kw 4P 380V + acc</t>
  </si>
  <si>
    <t>FM3466</t>
  </si>
  <si>
    <t>Maxflo 400/150/10 c/w 2.2kw 2P 380V + acc</t>
  </si>
  <si>
    <t>FM3467</t>
  </si>
  <si>
    <t>Lineo 315 + acc</t>
  </si>
  <si>
    <t>FM3468</t>
  </si>
  <si>
    <t>PO2117</t>
  </si>
  <si>
    <t>FM3469</t>
  </si>
  <si>
    <t>FM3470</t>
  </si>
  <si>
    <t>PO-000057591</t>
  </si>
  <si>
    <t>Masingita Management Company</t>
  </si>
  <si>
    <t>FM3471</t>
  </si>
  <si>
    <t>PO0000456</t>
  </si>
  <si>
    <t>Maxflo 710/250/14 c/w 1.5kw 4P 380V + acc</t>
  </si>
  <si>
    <t>FM3472</t>
  </si>
  <si>
    <t>Maxflo 710/250/14 c/w 1.1kw 4P 380V + acc</t>
  </si>
  <si>
    <t>FM3473</t>
  </si>
  <si>
    <t>Maxflo 560/250/14 c/w 0.75kw 4P 380V + acc</t>
  </si>
  <si>
    <t>FM3474</t>
  </si>
  <si>
    <t>Maxflo 630/250/14 c/w 1.1kw 4P 380V + acc</t>
  </si>
  <si>
    <t>FM3475</t>
  </si>
  <si>
    <t>Maxflo 560/150/10 c/w 0.55kw 4P 380V + acc</t>
  </si>
  <si>
    <t>FM3476</t>
  </si>
  <si>
    <t>Maxflo 710/250/14 c/w 2.2kw 4P 380V + acc</t>
  </si>
  <si>
    <t>FM3477</t>
  </si>
  <si>
    <t>FM3478</t>
  </si>
  <si>
    <t>Maxflo 630/150/10 c/w 1.1kw 4P 380V + acc</t>
  </si>
  <si>
    <t>FM3479</t>
  </si>
  <si>
    <t>FM3480</t>
  </si>
  <si>
    <t>Maxflo 560/250/14 c/w 0.55kw 4P 380V + acc</t>
  </si>
  <si>
    <t>FM3481</t>
  </si>
  <si>
    <t>Maxflo 560/150/10 c/w 0.37kw 4P 380V + acc</t>
  </si>
  <si>
    <t>FM3482</t>
  </si>
  <si>
    <t>Maxflo 630/250/14 c/w 0.75kw 4P 380V + acc</t>
  </si>
  <si>
    <t>FM3483</t>
  </si>
  <si>
    <t>FM3484</t>
  </si>
  <si>
    <t>Maxflo 560 c/w 0,55kW 4Pole</t>
  </si>
  <si>
    <t>FM3485</t>
  </si>
  <si>
    <t>FM3486</t>
  </si>
  <si>
    <t>Maxflo 560 c/w 0.75kW 4Pole</t>
  </si>
  <si>
    <t>FM3487</t>
  </si>
  <si>
    <t>FM3488</t>
  </si>
  <si>
    <t>Maxflo 710 c/w 4kW 4Pole</t>
  </si>
  <si>
    <t>FM3489</t>
  </si>
  <si>
    <t>FM3490</t>
  </si>
  <si>
    <t>FM3491</t>
  </si>
  <si>
    <t>FM3492</t>
  </si>
  <si>
    <t>Maxflo 710 c/w 3kW 4Pole</t>
  </si>
  <si>
    <t>FM3493</t>
  </si>
  <si>
    <t>Maxflo 800 c/w 4kW 4Pole</t>
  </si>
  <si>
    <t>FM3494</t>
  </si>
  <si>
    <t>PO-00436</t>
  </si>
  <si>
    <t>K03-MS 0.55KW 230V</t>
  </si>
  <si>
    <t>FM3495</t>
  </si>
  <si>
    <t>PO-0768</t>
  </si>
  <si>
    <t>Rad 200 &amp; 200 Diam Tube Silencer</t>
  </si>
  <si>
    <t>FM3496</t>
  </si>
  <si>
    <t>PO-26657</t>
  </si>
  <si>
    <t>FM3497</t>
  </si>
  <si>
    <t>PO4000232253</t>
  </si>
  <si>
    <t>Barloworld Power</t>
  </si>
  <si>
    <t>800SM1.0DP - 800 Diam Melinex Silencer</t>
  </si>
  <si>
    <t>FM3498</t>
  </si>
  <si>
    <t>PO:SP732309</t>
  </si>
  <si>
    <t>Maxflo315 c/w0.37 4P 220v &amp; acce +RAD200</t>
  </si>
  <si>
    <t>FM3499</t>
  </si>
  <si>
    <t>PO32122</t>
  </si>
  <si>
    <t>MT5004002 - MAJAX-3 500 c/w 4,00KW 2P 380V</t>
  </si>
  <si>
    <t>FM3500</t>
  </si>
  <si>
    <t>PO2118</t>
  </si>
  <si>
    <t>DDM 10/10 550W 4P 230V</t>
  </si>
  <si>
    <t>FM3501</t>
  </si>
  <si>
    <t>GOLDILOCKS GROUP (PTY )LTD</t>
  </si>
  <si>
    <t>Motors and Filters</t>
  </si>
  <si>
    <t>FM3502</t>
  </si>
  <si>
    <t>MFE6742</t>
  </si>
  <si>
    <t>KP6H Filter Boxes fitted with 550Watt/1440rpm/220v/1/50</t>
  </si>
  <si>
    <t>FM3503</t>
  </si>
  <si>
    <t>PO-0009</t>
  </si>
  <si>
    <t>Rad 315 &amp; Lineo 150</t>
  </si>
  <si>
    <t>FM3504</t>
  </si>
  <si>
    <t>Letsatsi General Trading</t>
  </si>
  <si>
    <t>Kdaxis &amp; Installation</t>
  </si>
  <si>
    <t>FM3505</t>
  </si>
  <si>
    <t>400/450 Wall cowls Galvinized</t>
  </si>
  <si>
    <t>FM3506</t>
  </si>
  <si>
    <t>PO2120</t>
  </si>
  <si>
    <t>Tiracamino + Tiracamino Motors + C1.5 Speed controllers</t>
  </si>
  <si>
    <t>FM3507</t>
  </si>
  <si>
    <t>Allbro</t>
  </si>
  <si>
    <t>Motor replacemnt</t>
  </si>
  <si>
    <t>FM3508</t>
  </si>
  <si>
    <t>PO-0010</t>
  </si>
  <si>
    <t>Maxflo 630 c/w 2.2kw 4p 380v/Maxflo 400 c/w 0.37 kw 4p 380v</t>
  </si>
  <si>
    <t>FM3509</t>
  </si>
  <si>
    <t>315 Counter Flanges</t>
  </si>
  <si>
    <t>FM3510</t>
  </si>
  <si>
    <t>Robust Ventilation system</t>
  </si>
  <si>
    <t>FM3511</t>
  </si>
  <si>
    <t>101PO12405</t>
  </si>
  <si>
    <t>WL 400 - 520X520 Grille</t>
  </si>
  <si>
    <t>FM3512</t>
  </si>
  <si>
    <t>PO053958</t>
  </si>
  <si>
    <t>Vortice Punto M100/ 4 &amp; Grilles</t>
  </si>
  <si>
    <t>FM3513</t>
  </si>
  <si>
    <t>PO134225</t>
  </si>
  <si>
    <t>CF9 &amp;FL25-9</t>
  </si>
  <si>
    <t>FM3514</t>
  </si>
  <si>
    <t>PO-36143</t>
  </si>
  <si>
    <t xml:space="preserve">HV 7 c/w 0.45kW 6Pole </t>
  </si>
  <si>
    <t>FM3515</t>
  </si>
  <si>
    <t>PO 9- JHB FORENSIC PATHOLOGY LABORATORIES</t>
  </si>
  <si>
    <t>FM3516</t>
  </si>
  <si>
    <t>Majax-2 560 20.D.8 c/w 0.55 kW 4 Pole 380V</t>
  </si>
  <si>
    <t>FM3517</t>
  </si>
  <si>
    <t>Majax-2 560 20.D.8 c/w 0.37 kW 4 Pole 380V</t>
  </si>
  <si>
    <t>FM3518</t>
  </si>
  <si>
    <t>12413 - V 300/12 ARI</t>
  </si>
  <si>
    <t>FM3519</t>
  </si>
  <si>
    <t>P267948 HS</t>
  </si>
  <si>
    <t>HV1250 c/w 1.1KW 4P 380V</t>
  </si>
  <si>
    <t>FM3520</t>
  </si>
  <si>
    <t>PO116233</t>
  </si>
  <si>
    <t>RAD150 &amp;1 600L 150 Tube</t>
  </si>
  <si>
    <t>FM3521</t>
  </si>
  <si>
    <t>PO-000006348</t>
  </si>
  <si>
    <t>DDM 7/7 - 6M0299 - 300W 220/1/50</t>
  </si>
  <si>
    <t>FM3522</t>
  </si>
  <si>
    <t>RPO29065</t>
  </si>
  <si>
    <t>San refrigeration (Pty) Ltd</t>
  </si>
  <si>
    <t>FM3523</t>
  </si>
  <si>
    <t>PO2127</t>
  </si>
  <si>
    <t>CMP 514-2T + CMP  616-2T</t>
  </si>
  <si>
    <t>FM3524</t>
  </si>
  <si>
    <t>PO-0011</t>
  </si>
  <si>
    <t>Mekan Facilities Management</t>
  </si>
  <si>
    <t>FM3525</t>
  </si>
  <si>
    <t>FM3526</t>
  </si>
  <si>
    <t>FM3527</t>
  </si>
  <si>
    <t>800 Silencers</t>
  </si>
  <si>
    <t>FM3528</t>
  </si>
  <si>
    <t>Tiracamino &amp; Lineo 150 Quiet</t>
  </si>
  <si>
    <t>FM3529</t>
  </si>
  <si>
    <t>J5379-002ORD</t>
  </si>
  <si>
    <t>MAJAX-2 500 2.2KW 2 POLE, 400V + FAN SCREEN +FAN QCP</t>
  </si>
  <si>
    <t>FM3530</t>
  </si>
  <si>
    <t>FM3531</t>
  </si>
  <si>
    <t>PO-000006201</t>
  </si>
  <si>
    <t>Maxflo 500 c/w0.25 4P380V &amp;1 500-attenuator</t>
  </si>
  <si>
    <t>FM3532</t>
  </si>
  <si>
    <t>Tarvish Exports</t>
  </si>
  <si>
    <t>Majax 400 c/w 1.1 kW 2Pole</t>
  </si>
  <si>
    <t>FM3533</t>
  </si>
  <si>
    <t>Mark &amp; B Projects</t>
  </si>
  <si>
    <t>FM3534</t>
  </si>
  <si>
    <t>PO-000006285</t>
  </si>
  <si>
    <t xml:space="preserve">Butec </t>
  </si>
  <si>
    <t>Flange, Feet &amp; AVMS</t>
  </si>
  <si>
    <t>FM3535</t>
  </si>
  <si>
    <t xml:space="preserve">CMA 426-2T </t>
  </si>
  <si>
    <t>FM3536</t>
  </si>
  <si>
    <t>Lion Fourie Electrical</t>
  </si>
  <si>
    <t>MRAD 315 &amp; Speed Controller</t>
  </si>
  <si>
    <t>FM3537</t>
  </si>
  <si>
    <t>PO2131</t>
  </si>
  <si>
    <t>FM3538</t>
  </si>
  <si>
    <t>PO 22- JHB FORENSIC PATHOLOGY LABORATORIES</t>
  </si>
  <si>
    <t>ST AIR SERVICES AND MAINTENANCE (PTY) LTD</t>
  </si>
  <si>
    <t>FM3539</t>
  </si>
  <si>
    <t>PO 21- JHB FORENSIC PATHOLOGY LABORATORIES</t>
  </si>
  <si>
    <t>EAF 06. - 3040 l/s @ 300Pa (Set 710 Blades to 20 Degree)</t>
  </si>
  <si>
    <t>FM3540</t>
  </si>
  <si>
    <t>MFAZ6301104 - MAXFLO 630/250/14 A c/w 1,10KW 4P 380V</t>
  </si>
  <si>
    <t>FM3541</t>
  </si>
  <si>
    <t>MFAZ6301104 - MAXFLO 630/250/14 P c/w 1,10KW 4P 380V</t>
  </si>
  <si>
    <t>FM3542</t>
  </si>
  <si>
    <t xml:space="preserve">RAD200 - RAD 200 </t>
  </si>
  <si>
    <t>FM3543</t>
  </si>
  <si>
    <t>Bellax Screens</t>
  </si>
  <si>
    <t>FM3544</t>
  </si>
  <si>
    <t>F05831510&amp;F05811510</t>
  </si>
  <si>
    <t>Majax 2 1OOODiam screens</t>
  </si>
  <si>
    <t>FM3545</t>
  </si>
  <si>
    <t>PO-0012</t>
  </si>
  <si>
    <t>Various Accessories</t>
  </si>
  <si>
    <t>FM3546</t>
  </si>
  <si>
    <t xml:space="preserve">Maxflo 710/150/10 c/w 4Kw 4P 380V </t>
  </si>
  <si>
    <t>FM3547</t>
  </si>
  <si>
    <t>FM3548</t>
  </si>
  <si>
    <t>FM3549</t>
  </si>
  <si>
    <t>PO-3084</t>
  </si>
  <si>
    <t>Centrifab (Pty) Ltd</t>
  </si>
  <si>
    <t>RAD 315,RAD 200 &amp; Tube silencers 600L</t>
  </si>
  <si>
    <t>FM3550</t>
  </si>
  <si>
    <t>PO:029426</t>
  </si>
  <si>
    <t>FM3551</t>
  </si>
  <si>
    <t>Airmax 500</t>
  </si>
  <si>
    <t>FM3552</t>
  </si>
  <si>
    <t>RAD 355 &amp; 355 Tubes Silencers 600L</t>
  </si>
  <si>
    <t>FM3553</t>
  </si>
  <si>
    <t>ABMS Engineering</t>
  </si>
  <si>
    <t>FM3554</t>
  </si>
  <si>
    <t xml:space="preserve">Owza Trading &amp; Projects </t>
  </si>
  <si>
    <t>FM3555</t>
  </si>
  <si>
    <t>PO:029430</t>
  </si>
  <si>
    <t>RAD315&amp;RAD250 &amp;Accesories &amp; Speed controller</t>
  </si>
  <si>
    <t>FM3556</t>
  </si>
  <si>
    <t>PO2132</t>
  </si>
  <si>
    <t>DDM 9/9 - 6N02R9 Nicotra 550W/4P/230V</t>
  </si>
  <si>
    <t>FM3557</t>
  </si>
  <si>
    <t>FM3558</t>
  </si>
  <si>
    <t>Sphetho Trading Pty Ltd</t>
  </si>
  <si>
    <t>RAD 200 &amp; 150</t>
  </si>
  <si>
    <t>FM3559</t>
  </si>
  <si>
    <t>FM3560</t>
  </si>
  <si>
    <t>CDC Airconditioning</t>
  </si>
  <si>
    <t>UV 400/3/6 c/w 0.55kW 6 Pole 380V</t>
  </si>
  <si>
    <t>FM3561</t>
  </si>
  <si>
    <t>DPO-1220</t>
  </si>
  <si>
    <t>CMA 531 2M 2HP 2P</t>
  </si>
  <si>
    <t>FM3562</t>
  </si>
  <si>
    <t>DPO-1221</t>
  </si>
  <si>
    <t>Majax 800 c/w 3kw 4p 380V</t>
  </si>
  <si>
    <t>FM3563</t>
  </si>
  <si>
    <t>PO:4500208447</t>
  </si>
  <si>
    <t>500diam 1.5D 750mm Long Attenuators</t>
  </si>
  <si>
    <t>FM3564</t>
  </si>
  <si>
    <t>Botaniq</t>
  </si>
  <si>
    <t>C20/2T</t>
  </si>
  <si>
    <t>N/A</t>
  </si>
  <si>
    <t>FM3565</t>
  </si>
  <si>
    <t>FM3566</t>
  </si>
  <si>
    <t>LJ Trading &amp; Projects (Pty) Ltd</t>
  </si>
  <si>
    <t>Maxflo 900/250/14 c/w kw 3P 380V &amp; Accessories</t>
  </si>
  <si>
    <t>FM3567</t>
  </si>
  <si>
    <t>0.75kw 2P 380V pad mount Motor</t>
  </si>
  <si>
    <t>FM3568</t>
  </si>
  <si>
    <t>Majax 500 c/w 5.5kW SP</t>
  </si>
  <si>
    <t>FM3569</t>
  </si>
  <si>
    <t>22/10/2025</t>
  </si>
  <si>
    <t>PO 582/25</t>
  </si>
  <si>
    <t>Majax 315 c/w 0.37kW 2Pole</t>
  </si>
  <si>
    <t>27/10/2025</t>
  </si>
  <si>
    <t>FM3570</t>
  </si>
  <si>
    <t>PO2133</t>
  </si>
  <si>
    <t>FM3571</t>
  </si>
  <si>
    <t>Partek SA</t>
  </si>
  <si>
    <t>Maxflo 560 impeller</t>
  </si>
  <si>
    <t>FM3572</t>
  </si>
  <si>
    <t>PO:EE6526</t>
  </si>
  <si>
    <t>FM3573</t>
  </si>
  <si>
    <t>FM3574</t>
  </si>
  <si>
    <t>FM3575</t>
  </si>
  <si>
    <t>FM3576</t>
  </si>
  <si>
    <t>FM3577</t>
  </si>
  <si>
    <t>FM3578</t>
  </si>
  <si>
    <t>FM3579</t>
  </si>
  <si>
    <t>FM3580</t>
  </si>
  <si>
    <t>FM3581</t>
  </si>
  <si>
    <t>FM3582</t>
  </si>
  <si>
    <t>FM3583</t>
  </si>
  <si>
    <t>FM3584</t>
  </si>
  <si>
    <t>FM3585</t>
  </si>
  <si>
    <t>FM3586</t>
  </si>
  <si>
    <t>FM3587</t>
  </si>
  <si>
    <t>FM3588</t>
  </si>
  <si>
    <t>FM3589</t>
  </si>
  <si>
    <t>FM3590</t>
  </si>
  <si>
    <t>FM3591</t>
  </si>
  <si>
    <t>FM3592</t>
  </si>
  <si>
    <t>FM3593</t>
  </si>
  <si>
    <t>FM3594</t>
  </si>
  <si>
    <t>FM3595</t>
  </si>
  <si>
    <t>FM3596</t>
  </si>
  <si>
    <t>FM3597</t>
  </si>
  <si>
    <t>FM3598</t>
  </si>
  <si>
    <t>FM3599</t>
  </si>
  <si>
    <t>FM3600</t>
  </si>
  <si>
    <t>FM3601</t>
  </si>
  <si>
    <t>FM3602</t>
  </si>
  <si>
    <t>FM3603</t>
  </si>
  <si>
    <t>FM3604</t>
  </si>
  <si>
    <t>FM3605</t>
  </si>
  <si>
    <t>FM3606</t>
  </si>
  <si>
    <t>FM3607</t>
  </si>
  <si>
    <t>FM3608</t>
  </si>
  <si>
    <t>FM3609</t>
  </si>
  <si>
    <t>FM3610</t>
  </si>
  <si>
    <t>FM3611</t>
  </si>
  <si>
    <t>FM3612</t>
  </si>
  <si>
    <t>FM3613</t>
  </si>
  <si>
    <t>FM3614</t>
  </si>
  <si>
    <t>FM3615</t>
  </si>
  <si>
    <t>FM3616</t>
  </si>
  <si>
    <t>FM3617</t>
  </si>
  <si>
    <t>FM3618</t>
  </si>
  <si>
    <t>FM3619</t>
  </si>
  <si>
    <t>FM3620</t>
  </si>
  <si>
    <t>FM3621</t>
  </si>
  <si>
    <t>FM3622</t>
  </si>
  <si>
    <t>FM3623</t>
  </si>
  <si>
    <t>FM3624</t>
  </si>
  <si>
    <t>FM3625</t>
  </si>
  <si>
    <t>FM3626</t>
  </si>
  <si>
    <t>FM3627</t>
  </si>
  <si>
    <t>FM3628</t>
  </si>
  <si>
    <t>FM3629</t>
  </si>
  <si>
    <t>FM3630</t>
  </si>
  <si>
    <t>FM3631</t>
  </si>
  <si>
    <t>FM3632</t>
  </si>
  <si>
    <t>FM3633</t>
  </si>
  <si>
    <t>FM3634</t>
  </si>
  <si>
    <t>FM3635</t>
  </si>
  <si>
    <t>FM3636</t>
  </si>
  <si>
    <t>Sales reps</t>
  </si>
  <si>
    <t>Reps Abbreviation</t>
  </si>
  <si>
    <t>Name</t>
  </si>
  <si>
    <t>Phone</t>
  </si>
  <si>
    <t>Zinzi Xhallie</t>
  </si>
  <si>
    <t>zinzi.xhallie@fanmovement.co.za</t>
  </si>
  <si>
    <t>Simon Mokgola</t>
  </si>
  <si>
    <t>simon.mokgola@fanmovement.co.za</t>
  </si>
  <si>
    <t>Sizwe Tshabalala</t>
  </si>
  <si>
    <t>sales6@fanmovement.co.za</t>
  </si>
  <si>
    <t>Mashudu Tshifulara</t>
  </si>
  <si>
    <t>sales3@fanmovement.co.za</t>
  </si>
  <si>
    <t>MB</t>
  </si>
  <si>
    <t>Matimu Budeli</t>
  </si>
  <si>
    <t>sales1@fanmovement.co.za</t>
  </si>
  <si>
    <t>employee@company.com</t>
  </si>
  <si>
    <t>(011)-321-2313</t>
  </si>
  <si>
    <t>Employee 2</t>
  </si>
  <si>
    <t>employee2@company.com</t>
  </si>
  <si>
    <t>Customer 1</t>
  </si>
  <si>
    <t>customer@company.com</t>
  </si>
  <si>
    <t>Customer 2</t>
  </si>
  <si>
    <t>customer2@company.com</t>
  </si>
  <si>
    <t>PO2134</t>
  </si>
  <si>
    <t>PO2135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</si>
</sst>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[$-409]d\-mmm\-yy;@"/>
    <numFmt numFmtId="166" formatCode="[$R-1C09]#,##0.00"/>
    <numFmt numFmtId="167" formatCode="&quot;R&quot;#,##0.00"/>
    <numFmt numFmtId="170" formatCode="dd/mm/yyyy"/>
  </numFmts>
  <fonts count="11" x14ac:knownFonts="1">
    <font>
      <sz val="11"/>
      <color theme="1"/>
      <name val="Calibri"/>
      <family val="2"/>
      <scheme val="minor"/>
    </font>
    <font>
      <b/>
      <sz val="11"/>
      <color rgb="FF595959"/>
      <name val="Calibri"/>
      <family val="2"/>
    </font>
    <font>
      <u/>
      <sz val="11"/>
      <color theme="10"/>
      <name val="Calibri"/>
      <family val="2"/>
      <scheme val="minor"/>
    </font>
    <font>
      <b/>
      <sz val="16"/>
      <color rgb="FF595959"/>
      <name val="Calibri"/>
      <family val="2"/>
    </font>
    <font>
      <sz val="8"/>
      <name val="Calibri"/>
      <family val="2"/>
      <scheme val="minor"/>
    </font>
    <font>
      <b/>
      <sz val="14"/>
      <color rgb="FF595959"/>
      <name val="Calibri"/>
      <family val="2"/>
    </font>
    <font>
      <u/>
      <sz val="11"/>
      <color rgb="FF0070C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242424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EEEEEE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6" xfId="1" applyBorder="1"/>
    <xf numFmtId="0" fontId="1" fillId="2" borderId="15" xfId="0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1" fillId="2" borderId="18" xfId="0" applyFont="1" applyFill="1" applyBorder="1" applyAlignment="1">
      <alignment horizontal="center" vertical="center"/>
    </xf>
    <xf numFmtId="0" fontId="2" fillId="0" borderId="19" xfId="1" applyBorder="1"/>
    <xf numFmtId="0" fontId="2" fillId="0" borderId="17" xfId="1" applyBorder="1"/>
    <xf numFmtId="0" fontId="0" fillId="0" borderId="15" xfId="0" applyBorder="1"/>
    <xf numFmtId="0" fontId="6" fillId="0" borderId="15" xfId="1" applyFont="1" applyBorder="1"/>
    <xf numFmtId="0" fontId="2" fillId="0" borderId="5" xfId="1" applyBorder="1"/>
    <xf numFmtId="0" fontId="0" fillId="0" borderId="0" xfId="0" applyAlignment="1">
      <alignment horizontal="left" vertical="top"/>
    </xf>
    <xf numFmtId="0" fontId="9" fillId="5" borderId="0" xfId="0" applyFont="1" applyFill="1" applyAlignment="1">
      <alignment vertical="top" wrapText="1"/>
    </xf>
    <xf numFmtId="0" fontId="9" fillId="5" borderId="8" xfId="0" applyFont="1" applyFill="1" applyBorder="1" applyAlignment="1">
      <alignment vertical="top"/>
    </xf>
    <xf numFmtId="0" fontId="9" fillId="5" borderId="0" xfId="0" applyFont="1" applyFill="1" applyAlignment="1">
      <alignment vertical="top"/>
    </xf>
    <xf numFmtId="0" fontId="7" fillId="5" borderId="8" xfId="0" applyFont="1" applyFill="1" applyBorder="1" applyAlignment="1">
      <alignment horizontal="center" vertical="top"/>
    </xf>
    <xf numFmtId="0" fontId="7" fillId="5" borderId="22" xfId="0" applyFont="1" applyFill="1" applyBorder="1" applyAlignment="1">
      <alignment vertical="top"/>
    </xf>
    <xf numFmtId="0" fontId="1" fillId="2" borderId="8" xfId="0" applyFont="1" applyFill="1" applyBorder="1" applyAlignment="1">
      <alignment horizontal="center" vertical="top" wrapText="1"/>
    </xf>
    <xf numFmtId="165" fontId="1" fillId="2" borderId="8" xfId="0" applyNumberFormat="1" applyFont="1" applyFill="1" applyBorder="1" applyAlignment="1">
      <alignment horizontal="center" vertical="top" wrapText="1"/>
    </xf>
    <xf numFmtId="166" fontId="1" fillId="2" borderId="8" xfId="0" applyNumberFormat="1" applyFont="1" applyFill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170" fontId="1" fillId="2" borderId="8" xfId="0" applyNumberFormat="1" applyFont="1" applyFill="1" applyBorder="1" applyAlignment="1">
      <alignment horizontal="center" vertical="top" wrapText="1"/>
    </xf>
    <xf numFmtId="1" fontId="1" fillId="2" borderId="8" xfId="0" applyNumberFormat="1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3" fillId="2" borderId="8" xfId="0" applyFont="1" applyFill="1" applyBorder="1" applyAlignment="1">
      <alignment horizontal="center" vertical="top"/>
    </xf>
    <xf numFmtId="0" fontId="0" fillId="0" borderId="11" xfId="0" applyBorder="1" applyAlignment="1">
      <alignment vertical="top"/>
    </xf>
    <xf numFmtId="170" fontId="0" fillId="0" borderId="8" xfId="0" applyNumberFormat="1" applyBorder="1" applyAlignment="1">
      <alignment horizontal="center" vertical="top"/>
    </xf>
    <xf numFmtId="0" fontId="0" fillId="0" borderId="8" xfId="0" applyBorder="1" applyAlignment="1">
      <alignment horizontal="left" vertical="top"/>
    </xf>
    <xf numFmtId="0" fontId="0" fillId="0" borderId="8" xfId="0" applyBorder="1" applyAlignment="1">
      <alignment horizontal="center" vertical="top"/>
    </xf>
    <xf numFmtId="166" fontId="0" fillId="0" borderId="8" xfId="0" applyNumberFormat="1" applyBorder="1" applyAlignment="1">
      <alignment vertical="top"/>
    </xf>
    <xf numFmtId="166" fontId="0" fillId="0" borderId="8" xfId="0" applyNumberFormat="1" applyBorder="1" applyAlignment="1">
      <alignment horizontal="right" vertical="top"/>
    </xf>
    <xf numFmtId="1" fontId="0" fillId="0" borderId="8" xfId="0" applyNumberFormat="1" applyBorder="1" applyAlignment="1">
      <alignment horizontal="center" vertical="top"/>
    </xf>
    <xf numFmtId="170" fontId="0" fillId="0" borderId="8" xfId="0" applyNumberFormat="1" applyBorder="1" applyAlignment="1">
      <alignment horizontal="right" vertical="top"/>
    </xf>
    <xf numFmtId="166" fontId="0" fillId="0" borderId="8" xfId="0" applyNumberFormat="1" applyBorder="1" applyAlignment="1">
      <alignment horizontal="left" vertical="top"/>
    </xf>
    <xf numFmtId="0" fontId="0" fillId="0" borderId="8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9" xfId="0" applyBorder="1" applyAlignment="1">
      <alignment vertical="top"/>
    </xf>
    <xf numFmtId="166" fontId="0" fillId="4" borderId="8" xfId="0" applyNumberFormat="1" applyFill="1" applyBorder="1" applyAlignment="1">
      <alignment horizontal="left" vertical="top"/>
    </xf>
    <xf numFmtId="0" fontId="8" fillId="0" borderId="0" xfId="0" applyFont="1" applyAlignment="1">
      <alignment vertical="top"/>
    </xf>
    <xf numFmtId="0" fontId="0" fillId="0" borderId="8" xfId="0" applyBorder="1" applyAlignment="1">
      <alignment vertical="top" wrapText="1"/>
    </xf>
    <xf numFmtId="166" fontId="0" fillId="0" borderId="0" xfId="0" applyNumberFormat="1" applyAlignment="1">
      <alignment horizontal="left" vertical="top"/>
    </xf>
    <xf numFmtId="1" fontId="0" fillId="0" borderId="4" xfId="0" applyNumberFormat="1" applyBorder="1" applyAlignment="1">
      <alignment horizontal="center" vertical="top"/>
    </xf>
    <xf numFmtId="1" fontId="0" fillId="0" borderId="3" xfId="0" applyNumberFormat="1" applyBorder="1" applyAlignment="1">
      <alignment horizontal="center" vertical="top"/>
    </xf>
    <xf numFmtId="0" fontId="8" fillId="0" borderId="8" xfId="0" applyFont="1" applyBorder="1" applyAlignment="1">
      <alignment horizontal="left" vertical="top"/>
    </xf>
    <xf numFmtId="167" fontId="0" fillId="0" borderId="0" xfId="0" applyNumberFormat="1" applyAlignment="1">
      <alignment vertical="top"/>
    </xf>
    <xf numFmtId="0" fontId="0" fillId="6" borderId="8" xfId="0" applyFill="1" applyBorder="1" applyAlignment="1">
      <alignment horizontal="left" vertical="top"/>
    </xf>
    <xf numFmtId="0" fontId="7" fillId="5" borderId="8" xfId="0" applyFont="1" applyFill="1" applyBorder="1" applyAlignment="1">
      <alignment horizontal="left" vertical="top"/>
    </xf>
    <xf numFmtId="165" fontId="0" fillId="0" borderId="0" xfId="0" applyNumberFormat="1" applyAlignment="1">
      <alignment horizontal="center" vertical="top"/>
    </xf>
    <xf numFmtId="165" fontId="0" fillId="0" borderId="0" xfId="0" applyNumberFormat="1" applyAlignment="1">
      <alignment horizontal="left" vertical="top"/>
    </xf>
    <xf numFmtId="167" fontId="0" fillId="0" borderId="8" xfId="0" applyNumberFormat="1" applyBorder="1" applyAlignment="1">
      <alignment vertical="top" wrapText="1"/>
    </xf>
    <xf numFmtId="0" fontId="0" fillId="0" borderId="20" xfId="0" applyBorder="1" applyAlignment="1">
      <alignment vertical="top"/>
    </xf>
    <xf numFmtId="170" fontId="0" fillId="0" borderId="10" xfId="0" applyNumberFormat="1" applyBorder="1" applyAlignment="1">
      <alignment horizontal="center" vertical="top"/>
    </xf>
    <xf numFmtId="0" fontId="0" fillId="0" borderId="10" xfId="0" applyBorder="1" applyAlignment="1">
      <alignment horizontal="left" vertical="top"/>
    </xf>
    <xf numFmtId="0" fontId="0" fillId="0" borderId="10" xfId="0" applyBorder="1" applyAlignment="1">
      <alignment vertical="top"/>
    </xf>
    <xf numFmtId="0" fontId="0" fillId="0" borderId="10" xfId="0" applyBorder="1" applyAlignment="1">
      <alignment horizontal="center" vertical="top"/>
    </xf>
    <xf numFmtId="166" fontId="0" fillId="0" borderId="10" xfId="0" applyNumberFormat="1" applyBorder="1" applyAlignment="1">
      <alignment vertical="top"/>
    </xf>
    <xf numFmtId="166" fontId="0" fillId="0" borderId="10" xfId="0" applyNumberFormat="1" applyBorder="1" applyAlignment="1">
      <alignment horizontal="right" vertical="top"/>
    </xf>
    <xf numFmtId="165" fontId="0" fillId="0" borderId="8" xfId="0" applyNumberFormat="1" applyBorder="1" applyAlignment="1">
      <alignment horizontal="left" vertical="top"/>
    </xf>
    <xf numFmtId="0" fontId="0" fillId="0" borderId="14" xfId="0" applyBorder="1" applyAlignment="1">
      <alignment vertical="top"/>
    </xf>
    <xf numFmtId="170" fontId="0" fillId="0" borderId="21" xfId="0" applyNumberFormat="1" applyBorder="1" applyAlignment="1">
      <alignment horizontal="center" vertical="top"/>
    </xf>
    <xf numFmtId="0" fontId="0" fillId="0" borderId="21" xfId="0" applyBorder="1" applyAlignment="1">
      <alignment horizontal="left" vertical="top"/>
    </xf>
    <xf numFmtId="0" fontId="0" fillId="0" borderId="21" xfId="0" applyBorder="1" applyAlignment="1">
      <alignment vertical="top"/>
    </xf>
    <xf numFmtId="0" fontId="0" fillId="0" borderId="21" xfId="0" applyBorder="1" applyAlignment="1">
      <alignment horizontal="center" vertical="top"/>
    </xf>
    <xf numFmtId="166" fontId="0" fillId="0" borderId="21" xfId="0" applyNumberFormat="1" applyBorder="1" applyAlignment="1">
      <alignment vertical="top"/>
    </xf>
    <xf numFmtId="166" fontId="0" fillId="0" borderId="21" xfId="0" applyNumberFormat="1" applyBorder="1" applyAlignment="1">
      <alignment horizontal="right" vertical="top"/>
    </xf>
    <xf numFmtId="0" fontId="0" fillId="0" borderId="8" xfId="0" applyBorder="1" applyAlignment="1">
      <alignment horizontal="left" vertical="top" wrapText="1"/>
    </xf>
    <xf numFmtId="0" fontId="0" fillId="3" borderId="11" xfId="0" applyFill="1" applyBorder="1" applyAlignment="1">
      <alignment vertical="top"/>
    </xf>
    <xf numFmtId="170" fontId="0" fillId="3" borderId="8" xfId="0" applyNumberFormat="1" applyFill="1" applyBorder="1" applyAlignment="1">
      <alignment horizontal="center" vertical="top"/>
    </xf>
    <xf numFmtId="0" fontId="0" fillId="3" borderId="8" xfId="0" applyFill="1" applyBorder="1" applyAlignment="1">
      <alignment horizontal="left" vertical="top"/>
    </xf>
    <xf numFmtId="0" fontId="0" fillId="3" borderId="8" xfId="0" applyFill="1" applyBorder="1" applyAlignment="1">
      <alignment vertical="top"/>
    </xf>
    <xf numFmtId="0" fontId="0" fillId="3" borderId="8" xfId="0" applyFill="1" applyBorder="1" applyAlignment="1">
      <alignment horizontal="center" vertical="top"/>
    </xf>
    <xf numFmtId="0" fontId="0" fillId="3" borderId="8" xfId="0" applyFill="1" applyBorder="1" applyAlignment="1">
      <alignment vertical="top" wrapText="1"/>
    </xf>
    <xf numFmtId="0" fontId="10" fillId="0" borderId="0" xfId="0" applyFont="1" applyAlignment="1">
      <alignment vertical="top"/>
    </xf>
    <xf numFmtId="166" fontId="0" fillId="3" borderId="8" xfId="0" applyNumberFormat="1" applyFill="1" applyBorder="1" applyAlignment="1">
      <alignment vertical="top"/>
    </xf>
    <xf numFmtId="166" fontId="0" fillId="3" borderId="8" xfId="0" applyNumberFormat="1" applyFill="1" applyBorder="1" applyAlignment="1">
      <alignment horizontal="right" vertical="top"/>
    </xf>
    <xf numFmtId="1" fontId="0" fillId="3" borderId="8" xfId="0" applyNumberFormat="1" applyFill="1" applyBorder="1" applyAlignment="1">
      <alignment horizontal="center" vertical="top"/>
    </xf>
    <xf numFmtId="0" fontId="0" fillId="3" borderId="8" xfId="0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166" fontId="0" fillId="0" borderId="0" xfId="0" applyNumberFormat="1" applyAlignment="1">
      <alignment vertical="top"/>
    </xf>
    <xf numFmtId="166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center" vertical="top"/>
    </xf>
    <xf numFmtId="170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center" vertical="top"/>
    </xf>
    <xf numFmtId="166" fontId="0" fillId="0" borderId="8" xfId="0" applyNumberFormat="1" applyBorder="1" applyAlignment="1">
      <alignment horizontal="center" vertical="top"/>
    </xf>
    <xf numFmtId="166" fontId="0" fillId="0" borderId="4" xfId="0" applyNumberFormat="1" applyBorder="1" applyAlignment="1">
      <alignment horizontal="center" vertical="top"/>
    </xf>
    <xf numFmtId="166" fontId="0" fillId="0" borderId="3" xfId="0" applyNumberFormat="1" applyBorder="1" applyAlignment="1">
      <alignment horizontal="center" vertical="top"/>
    </xf>
    <xf numFmtId="166" fontId="0" fillId="3" borderId="8" xfId="0" applyNumberFormat="1" applyFill="1" applyBorder="1" applyAlignment="1">
      <alignment horizontal="center" vertical="top"/>
    </xf>
    <xf numFmtId="166" fontId="0" fillId="0" borderId="0" xfId="0" applyNumberFormat="1" applyAlignment="1">
      <alignment horizontal="center" vertical="top"/>
    </xf>
    <xf numFmtId="0" fontId="3" fillId="0" borderId="8" xfId="0" applyFont="1" applyBorder="1" applyAlignment="1">
      <alignment horizontal="center" vertical="top"/>
    </xf>
    <xf numFmtId="0" fontId="5" fillId="2" borderId="8" xfId="0" applyFont="1" applyFill="1" applyBorder="1" applyAlignment="1">
      <alignment horizontal="center" vertical="top"/>
    </xf>
    <xf numFmtId="165" fontId="5" fillId="2" borderId="8" xfId="0" applyNumberFormat="1" applyFont="1" applyFill="1" applyBorder="1" applyAlignment="1">
      <alignment horizontal="center" vertical="top"/>
    </xf>
    <xf numFmtId="0" fontId="3" fillId="2" borderId="8" xfId="0" applyFont="1" applyFill="1" applyBorder="1" applyAlignment="1">
      <alignment horizontal="center" vertical="top"/>
    </xf>
    <xf numFmtId="0" fontId="5" fillId="2" borderId="11" xfId="0" applyFont="1" applyFill="1" applyBorder="1" applyAlignment="1">
      <alignment horizontal="center" vertical="top"/>
    </xf>
    <xf numFmtId="0" fontId="5" fillId="2" borderId="12" xfId="0" applyFont="1" applyFill="1" applyBorder="1" applyAlignment="1">
      <alignment horizontal="center" vertical="top"/>
    </xf>
    <xf numFmtId="0" fontId="5" fillId="2" borderId="13" xfId="0" applyFont="1" applyFill="1" applyBorder="1" applyAlignment="1">
      <alignment horizontal="center" vertical="top"/>
    </xf>
    <xf numFmtId="0" fontId="5" fillId="0" borderId="20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5" fillId="0" borderId="14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0" fillId="0" borderId="7" xfId="0" applyBorder="1" applyAlignment="1">
      <alignment horizontal="center"/>
    </xf>
  </cellXfs>
  <cellStyles count="2">
    <cellStyle name="Hyperlink" xfId="1" builtinId="8"/>
    <cellStyle name="Normal" xfId="0" builtinId="0"/>
  </cellStyles>
  <dxfs count="18"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000000"/>
      <color rgb="FFFFC7CE"/>
      <color rgb="FFD0CECE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14</xdr:col>
      <xdr:colOff>1038225</xdr:colOff>
      <xdr:row>1</xdr:row>
      <xdr:rowOff>882356</xdr:rowOff>
    </xdr:to>
    <xdr:pic>
      <xdr:nvPicPr>
        <xdr:cNvPr id="2" name="Picture 5" descr="Abstract banner" title="Banner 1">
          <a:extLst>
            <a:ext uri="{FF2B5EF4-FFF2-40B4-BE49-F238E27FC236}">
              <a16:creationId xmlns:a16="http://schemas.microsoft.com/office/drawing/2014/main" id="{97972C89-5BC6-4840-8B24-E7F7DEB2A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0"/>
          <a:ext cx="16659225" cy="1149056"/>
        </a:xfrm>
        <a:prstGeom prst="rect">
          <a:avLst/>
        </a:prstGeom>
      </xdr:spPr>
    </xdr:pic>
    <xdr:clientData/>
  </xdr:twoCellAnchor>
  <xdr:twoCellAnchor>
    <xdr:from>
      <xdr:col>3</xdr:col>
      <xdr:colOff>2282643</xdr:colOff>
      <xdr:row>1</xdr:row>
      <xdr:rowOff>0</xdr:rowOff>
    </xdr:from>
    <xdr:to>
      <xdr:col>8</xdr:col>
      <xdr:colOff>0</xdr:colOff>
      <xdr:row>1</xdr:row>
      <xdr:rowOff>574476</xdr:rowOff>
    </xdr:to>
    <xdr:sp macro="" textlink="">
      <xdr:nvSpPr>
        <xdr:cNvPr id="3" name="TextBox 2" descr="Quotation" title="Title">
          <a:extLst>
            <a:ext uri="{FF2B5EF4-FFF2-40B4-BE49-F238E27FC236}">
              <a16:creationId xmlns:a16="http://schemas.microsoft.com/office/drawing/2014/main" id="{D73C3F72-7E51-42B6-A54F-3A292B61F6C3}"/>
            </a:ext>
          </a:extLst>
        </xdr:cNvPr>
        <xdr:cNvSpPr txBox="1"/>
      </xdr:nvSpPr>
      <xdr:spPr>
        <a:xfrm>
          <a:off x="6868498" y="263236"/>
          <a:ext cx="9341320" cy="5744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000" b="1">
              <a:solidFill>
                <a:schemeClr val="bg1"/>
              </a:solidFill>
              <a:latin typeface="+mj-lt"/>
            </a:rPr>
            <a:t>Contract</a:t>
          </a:r>
          <a:r>
            <a:rPr lang="en-US" sz="4000" b="1" baseline="0">
              <a:solidFill>
                <a:schemeClr val="bg1"/>
              </a:solidFill>
              <a:latin typeface="+mj-lt"/>
            </a:rPr>
            <a:t> Register</a:t>
          </a:r>
          <a:endParaRPr lang="en-US" sz="4000" b="1">
            <a:solidFill>
              <a:schemeClr val="bg1"/>
            </a:solidFill>
            <a:latin typeface="+mj-lt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1543049</xdr:colOff>
      <xdr:row>2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4B99AE7-D387-4EB0-BD5B-99E253876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67099" cy="1162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zinzi.xhallie@fanmovement.co.za" TargetMode="External"/><Relationship Id="rId2" Type="http://schemas.openxmlformats.org/officeDocument/2006/relationships/hyperlink" Target="mailto:simon.mokgola@fanmovement.co.za" TargetMode="External"/><Relationship Id="rId1" Type="http://schemas.openxmlformats.org/officeDocument/2006/relationships/hyperlink" Target="mailto:sales6@fanmovement.co.za" TargetMode="External"/><Relationship Id="rId5" Type="http://schemas.openxmlformats.org/officeDocument/2006/relationships/hyperlink" Target="mailto:sales1@fanmovement.co.za" TargetMode="External"/><Relationship Id="rId4" Type="http://schemas.openxmlformats.org/officeDocument/2006/relationships/hyperlink" Target="mailto:sales3@fanmovement.co.za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customer@company.com" TargetMode="External"/><Relationship Id="rId2" Type="http://schemas.openxmlformats.org/officeDocument/2006/relationships/hyperlink" Target="mailto:employee2@company.com" TargetMode="External"/><Relationship Id="rId1" Type="http://schemas.openxmlformats.org/officeDocument/2006/relationships/hyperlink" Target="mailto:employee@company.com" TargetMode="External"/><Relationship Id="rId4" Type="http://schemas.openxmlformats.org/officeDocument/2006/relationships/hyperlink" Target="mailto:customer2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A8"/>
  <sheetViews>
    <sheetView workbookViewId="0">
      <selection activeCell="D6" sqref="D6"/>
    </sheetView>
  </sheetViews>
  <sheetFormatPr defaultRowHeight="14.4" x14ac:dyDescent="0.3"/>
  <cols>
    <col min="1" max="1" width="26" customWidth="1"/>
  </cols>
  <sheetData>
    <row r="2" spans="1:1" x14ac:dyDescent="0.3">
      <c r="A2" s="1" t="s">
        <v>85</v>
      </c>
    </row>
    <row r="3" spans="1:1" x14ac:dyDescent="0.3">
      <c r="A3" s="4" t="s">
        <v>21</v>
      </c>
    </row>
    <row r="4" spans="1:1" x14ac:dyDescent="0.3">
      <c r="A4" s="2" t="s">
        <v>18</v>
      </c>
    </row>
    <row r="5" spans="1:1" x14ac:dyDescent="0.3">
      <c r="A5" s="2" t="s">
        <v>23</v>
      </c>
    </row>
    <row r="6" spans="1:1" x14ac:dyDescent="0.3">
      <c r="A6" s="2" t="s">
        <v>19</v>
      </c>
    </row>
    <row r="7" spans="1:1" x14ac:dyDescent="0.3">
      <c r="A7" s="2"/>
    </row>
    <row r="8" spans="1:1" x14ac:dyDescent="0.3">
      <c r="A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F3E1B-945D-45E2-9EAF-148A81892291}">
  <dimension ref="A1:AA1048576"/>
  <sheetViews>
    <sheetView tabSelected="1" view="pageBreakPreview" zoomScale="80" zoomScaleNormal="80" zoomScaleSheetLayoutView="80" workbookViewId="0">
      <pane ySplit="4" topLeftCell="A757" activePane="bottomLeft" state="frozen"/>
      <selection pane="bottomLeft" activeCell="J780" sqref="J780"/>
    </sheetView>
  </sheetViews>
  <sheetFormatPr defaultColWidth="8.77734375" defaultRowHeight="14.4" x14ac:dyDescent="0.3"/>
  <cols>
    <col min="1" max="1" width="12.21875" style="29" customWidth="1"/>
    <col min="2" max="2" width="15.109375" style="89" bestFit="1" customWidth="1"/>
    <col min="3" max="3" width="23.109375" style="17" customWidth="1"/>
    <col min="4" max="4" width="35" style="29" customWidth="1"/>
    <col min="5" max="5" width="44" style="29" customWidth="1"/>
    <col min="6" max="6" width="9.6640625" style="84" bestFit="1" customWidth="1"/>
    <col min="7" max="7" width="12.77734375" style="85" customWidth="1"/>
    <col min="8" max="8" width="16.21875" style="86" bestFit="1" customWidth="1"/>
    <col min="9" max="9" width="16.109375" style="94" bestFit="1" customWidth="1"/>
    <col min="10" max="10" width="10.6640625" style="87" customWidth="1"/>
    <col min="11" max="11" width="14.77734375" style="88" customWidth="1"/>
    <col min="12" max="12" width="18.21875" style="94" bestFit="1" customWidth="1"/>
    <col min="13" max="13" width="19.77734375" style="46" bestFit="1" customWidth="1"/>
    <col min="14" max="14" width="31.77734375" style="29" bestFit="1" customWidth="1"/>
    <col min="15" max="15" width="28" style="29" bestFit="1" customWidth="1"/>
    <col min="16" max="16" width="15.77734375" style="29" bestFit="1" customWidth="1"/>
    <col min="17" max="17" width="16.21875" style="29" bestFit="1" customWidth="1"/>
    <col min="18" max="16384" width="8.77734375" style="29"/>
  </cols>
  <sheetData>
    <row r="1" spans="1:17" ht="21" customHeight="1" x14ac:dyDescent="0.3">
      <c r="A1" s="102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6"/>
      <c r="N1" s="95"/>
      <c r="O1" s="95"/>
      <c r="P1" s="95"/>
      <c r="Q1" s="95"/>
    </row>
    <row r="2" spans="1:17" ht="70.5" customHeight="1" x14ac:dyDescent="0.3">
      <c r="A2" s="104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7"/>
      <c r="N2" s="95"/>
      <c r="O2" s="95"/>
      <c r="P2" s="95"/>
      <c r="Q2" s="95"/>
    </row>
    <row r="3" spans="1:17" ht="27.75" customHeight="1" x14ac:dyDescent="0.3">
      <c r="A3" s="96" t="s">
        <v>0</v>
      </c>
      <c r="B3" s="96"/>
      <c r="C3" s="96"/>
      <c r="D3" s="96"/>
      <c r="E3" s="96"/>
      <c r="F3" s="99" t="s">
        <v>295</v>
      </c>
      <c r="G3" s="100"/>
      <c r="H3" s="100"/>
      <c r="I3" s="100"/>
      <c r="J3" s="100"/>
      <c r="K3" s="101"/>
      <c r="L3" s="97" t="s">
        <v>1</v>
      </c>
      <c r="M3" s="97"/>
      <c r="N3" s="98" t="s">
        <v>2</v>
      </c>
      <c r="O3" s="98"/>
      <c r="P3" s="98"/>
      <c r="Q3" s="30"/>
    </row>
    <row r="4" spans="1:17" s="26" customFormat="1" ht="27.75" customHeight="1" x14ac:dyDescent="0.3">
      <c r="A4" s="23" t="s">
        <v>3</v>
      </c>
      <c r="B4" s="27" t="s">
        <v>125</v>
      </c>
      <c r="C4" s="23" t="s">
        <v>4</v>
      </c>
      <c r="D4" s="23" t="s">
        <v>5</v>
      </c>
      <c r="E4" s="23" t="s">
        <v>6</v>
      </c>
      <c r="F4" s="23" t="s">
        <v>7</v>
      </c>
      <c r="G4" s="25" t="s">
        <v>8</v>
      </c>
      <c r="H4" s="25" t="s">
        <v>9</v>
      </c>
      <c r="I4" s="25" t="s">
        <v>296</v>
      </c>
      <c r="J4" s="28" t="s">
        <v>297</v>
      </c>
      <c r="K4" s="27" t="s">
        <v>298</v>
      </c>
      <c r="L4" s="25" t="s">
        <v>10</v>
      </c>
      <c r="M4" s="24" t="s">
        <v>11</v>
      </c>
      <c r="N4" s="23" t="s">
        <v>12</v>
      </c>
      <c r="O4" s="23" t="s">
        <v>13</v>
      </c>
      <c r="P4" s="23" t="s">
        <v>14</v>
      </c>
      <c r="Q4" s="23" t="s">
        <v>15</v>
      </c>
    </row>
    <row r="5" spans="1:17" x14ac:dyDescent="0.3">
      <c r="A5" s="31" t="s">
        <v>167</v>
      </c>
      <c r="B5" s="32">
        <v>45663</v>
      </c>
      <c r="C5" s="33" t="s">
        <v>299</v>
      </c>
      <c r="D5" s="29" t="s">
        <v>150</v>
      </c>
      <c r="E5" s="29" t="s">
        <v>300</v>
      </c>
      <c r="F5" s="34">
        <v>1</v>
      </c>
      <c r="G5" s="35">
        <v>33289.589999999997</v>
      </c>
      <c r="H5" s="36">
        <f t="shared" ref="H5:H30" si="0">G5*F5</f>
        <v>33289.589999999997</v>
      </c>
      <c r="I5" s="90"/>
      <c r="J5" s="37"/>
      <c r="K5" s="38">
        <f>J5+B5</f>
        <v>45663</v>
      </c>
      <c r="L5" s="90" t="s">
        <v>301</v>
      </c>
      <c r="M5" s="39"/>
      <c r="N5" s="40"/>
      <c r="O5" s="40"/>
      <c r="P5" s="40"/>
      <c r="Q5" s="40"/>
    </row>
    <row r="6" spans="1:17" x14ac:dyDescent="0.3">
      <c r="A6" s="31" t="s">
        <v>168</v>
      </c>
      <c r="B6" s="32">
        <v>45663</v>
      </c>
      <c r="C6" s="33" t="s">
        <v>16</v>
      </c>
      <c r="D6" s="40" t="s">
        <v>77</v>
      </c>
      <c r="E6" s="40" t="s">
        <v>302</v>
      </c>
      <c r="F6" s="34">
        <v>1</v>
      </c>
      <c r="G6" s="35">
        <v>33517</v>
      </c>
      <c r="H6" s="36">
        <f t="shared" si="0"/>
        <v>33517</v>
      </c>
      <c r="I6" s="90"/>
      <c r="J6" s="37"/>
      <c r="K6" s="38">
        <f t="shared" ref="K6:K69" si="1">J6+B6</f>
        <v>45663</v>
      </c>
      <c r="L6" s="90" t="s">
        <v>17</v>
      </c>
      <c r="M6" s="39"/>
      <c r="N6" s="40"/>
      <c r="O6" s="40"/>
      <c r="P6" s="40"/>
      <c r="Q6" s="40"/>
    </row>
    <row r="7" spans="1:17" x14ac:dyDescent="0.3">
      <c r="A7" s="31" t="s">
        <v>169</v>
      </c>
      <c r="B7" s="32">
        <v>45663</v>
      </c>
      <c r="C7" s="33" t="s">
        <v>16</v>
      </c>
      <c r="D7" s="40" t="s">
        <v>303</v>
      </c>
      <c r="E7" s="41" t="s">
        <v>304</v>
      </c>
      <c r="F7" s="34">
        <v>2</v>
      </c>
      <c r="G7" s="35">
        <v>18658.05</v>
      </c>
      <c r="H7" s="36">
        <f t="shared" si="0"/>
        <v>37316.1</v>
      </c>
      <c r="I7" s="90"/>
      <c r="J7" s="37"/>
      <c r="K7" s="38">
        <f t="shared" si="1"/>
        <v>45663</v>
      </c>
      <c r="L7" s="90" t="s">
        <v>143</v>
      </c>
      <c r="M7" s="39"/>
      <c r="N7" s="40"/>
      <c r="O7" s="40"/>
      <c r="P7" s="40"/>
      <c r="Q7" s="40"/>
    </row>
    <row r="8" spans="1:17" x14ac:dyDescent="0.3">
      <c r="A8" s="31" t="s">
        <v>170</v>
      </c>
      <c r="B8" s="32">
        <v>45663</v>
      </c>
      <c r="C8" s="33" t="s">
        <v>16</v>
      </c>
      <c r="D8" s="40" t="s">
        <v>303</v>
      </c>
      <c r="E8" s="40" t="s">
        <v>305</v>
      </c>
      <c r="F8" s="34">
        <v>2</v>
      </c>
      <c r="G8" s="35">
        <v>14080.06</v>
      </c>
      <c r="H8" s="36">
        <f t="shared" si="0"/>
        <v>28160.12</v>
      </c>
      <c r="I8" s="90"/>
      <c r="J8" s="37"/>
      <c r="K8" s="38">
        <f t="shared" si="1"/>
        <v>45663</v>
      </c>
      <c r="L8" s="90" t="s">
        <v>143</v>
      </c>
      <c r="M8" s="39"/>
      <c r="N8" s="40"/>
      <c r="O8" s="40"/>
      <c r="P8" s="40"/>
      <c r="Q8" s="40"/>
    </row>
    <row r="9" spans="1:17" x14ac:dyDescent="0.3">
      <c r="A9" s="31" t="s">
        <v>171</v>
      </c>
      <c r="B9" s="32">
        <v>45663</v>
      </c>
      <c r="C9" s="33" t="s">
        <v>16</v>
      </c>
      <c r="D9" s="40" t="s">
        <v>303</v>
      </c>
      <c r="E9" s="40" t="s">
        <v>305</v>
      </c>
      <c r="F9" s="34">
        <v>2</v>
      </c>
      <c r="G9" s="35">
        <v>14080.06</v>
      </c>
      <c r="H9" s="36">
        <f t="shared" si="0"/>
        <v>28160.12</v>
      </c>
      <c r="I9" s="90"/>
      <c r="J9" s="37"/>
      <c r="K9" s="38">
        <f t="shared" si="1"/>
        <v>45663</v>
      </c>
      <c r="L9" s="90" t="s">
        <v>143</v>
      </c>
      <c r="M9" s="39"/>
      <c r="N9" s="40"/>
      <c r="O9" s="40"/>
      <c r="P9" s="40"/>
      <c r="Q9" s="40"/>
    </row>
    <row r="10" spans="1:17" x14ac:dyDescent="0.3">
      <c r="A10" s="31" t="s">
        <v>172</v>
      </c>
      <c r="B10" s="32">
        <v>45663</v>
      </c>
      <c r="C10" s="33" t="s">
        <v>16</v>
      </c>
      <c r="D10" s="40" t="s">
        <v>303</v>
      </c>
      <c r="E10" s="40" t="s">
        <v>306</v>
      </c>
      <c r="F10" s="34">
        <v>2</v>
      </c>
      <c r="G10" s="35">
        <v>17020.54</v>
      </c>
      <c r="H10" s="36">
        <f t="shared" si="0"/>
        <v>34041.08</v>
      </c>
      <c r="I10" s="90"/>
      <c r="J10" s="37"/>
      <c r="K10" s="38">
        <f t="shared" si="1"/>
        <v>45663</v>
      </c>
      <c r="L10" s="90" t="s">
        <v>143</v>
      </c>
      <c r="M10" s="39"/>
      <c r="N10" s="40"/>
      <c r="O10" s="40"/>
      <c r="P10" s="40"/>
      <c r="Q10" s="40"/>
    </row>
    <row r="11" spans="1:17" x14ac:dyDescent="0.3">
      <c r="A11" s="31" t="s">
        <v>173</v>
      </c>
      <c r="B11" s="32">
        <v>45663</v>
      </c>
      <c r="C11" s="33" t="s">
        <v>16</v>
      </c>
      <c r="D11" s="40" t="s">
        <v>303</v>
      </c>
      <c r="E11" s="40" t="s">
        <v>307</v>
      </c>
      <c r="F11" s="34">
        <v>2</v>
      </c>
      <c r="G11" s="35">
        <v>19808.38</v>
      </c>
      <c r="H11" s="36">
        <f t="shared" si="0"/>
        <v>39616.76</v>
      </c>
      <c r="I11" s="90"/>
      <c r="J11" s="37"/>
      <c r="K11" s="38">
        <f t="shared" si="1"/>
        <v>45663</v>
      </c>
      <c r="L11" s="90" t="s">
        <v>143</v>
      </c>
      <c r="M11" s="39"/>
      <c r="N11" s="40"/>
      <c r="O11" s="40"/>
      <c r="P11" s="40"/>
      <c r="Q11" s="40"/>
    </row>
    <row r="12" spans="1:17" x14ac:dyDescent="0.3">
      <c r="A12" s="31" t="s">
        <v>174</v>
      </c>
      <c r="B12" s="32">
        <v>45663</v>
      </c>
      <c r="C12" s="33" t="s">
        <v>16</v>
      </c>
      <c r="D12" s="40" t="s">
        <v>303</v>
      </c>
      <c r="E12" s="40" t="s">
        <v>139</v>
      </c>
      <c r="F12" s="34">
        <v>1</v>
      </c>
      <c r="G12" s="35">
        <v>26321.63</v>
      </c>
      <c r="H12" s="36">
        <f t="shared" si="0"/>
        <v>26321.63</v>
      </c>
      <c r="I12" s="90"/>
      <c r="J12" s="37"/>
      <c r="K12" s="38">
        <f t="shared" si="1"/>
        <v>45663</v>
      </c>
      <c r="L12" s="90" t="s">
        <v>143</v>
      </c>
      <c r="M12" s="39"/>
      <c r="N12" s="40"/>
      <c r="O12" s="40"/>
      <c r="P12" s="40"/>
      <c r="Q12" s="40"/>
    </row>
    <row r="13" spans="1:17" x14ac:dyDescent="0.3">
      <c r="A13" s="31" t="s">
        <v>175</v>
      </c>
      <c r="B13" s="32">
        <v>45663</v>
      </c>
      <c r="C13" s="33" t="s">
        <v>16</v>
      </c>
      <c r="D13" s="40" t="s">
        <v>303</v>
      </c>
      <c r="E13" s="40" t="s">
        <v>308</v>
      </c>
      <c r="F13" s="34">
        <v>1</v>
      </c>
      <c r="G13" s="35">
        <v>23290.6</v>
      </c>
      <c r="H13" s="36">
        <f t="shared" si="0"/>
        <v>23290.6</v>
      </c>
      <c r="I13" s="90"/>
      <c r="J13" s="37"/>
      <c r="K13" s="38">
        <f t="shared" si="1"/>
        <v>45663</v>
      </c>
      <c r="L13" s="90" t="s">
        <v>143</v>
      </c>
      <c r="M13" s="39"/>
      <c r="N13" s="40"/>
      <c r="O13" s="40"/>
      <c r="P13" s="40"/>
      <c r="Q13" s="40"/>
    </row>
    <row r="14" spans="1:17" x14ac:dyDescent="0.3">
      <c r="A14" s="31" t="s">
        <v>176</v>
      </c>
      <c r="B14" s="32">
        <v>45663</v>
      </c>
      <c r="C14" s="33" t="s">
        <v>309</v>
      </c>
      <c r="D14" s="40" t="s">
        <v>49</v>
      </c>
      <c r="E14" s="40" t="s">
        <v>310</v>
      </c>
      <c r="F14" s="34">
        <v>1</v>
      </c>
      <c r="G14" s="35">
        <v>3093</v>
      </c>
      <c r="H14" s="36">
        <f t="shared" si="0"/>
        <v>3093</v>
      </c>
      <c r="I14" s="90"/>
      <c r="J14" s="37"/>
      <c r="K14" s="38">
        <f t="shared" si="1"/>
        <v>45663</v>
      </c>
      <c r="L14" s="90" t="s">
        <v>20</v>
      </c>
      <c r="M14" s="39"/>
      <c r="N14" s="40"/>
      <c r="O14" s="40"/>
      <c r="P14" s="40"/>
      <c r="Q14" s="40"/>
    </row>
    <row r="15" spans="1:17" x14ac:dyDescent="0.3">
      <c r="A15" s="31" t="s">
        <v>177</v>
      </c>
      <c r="B15" s="32">
        <v>45665</v>
      </c>
      <c r="C15" s="33" t="s">
        <v>311</v>
      </c>
      <c r="D15" s="40" t="s">
        <v>312</v>
      </c>
      <c r="E15" s="40" t="s">
        <v>137</v>
      </c>
      <c r="F15" s="34">
        <v>1</v>
      </c>
      <c r="G15" s="35">
        <v>5116.62</v>
      </c>
      <c r="H15" s="36">
        <f t="shared" si="0"/>
        <v>5116.62</v>
      </c>
      <c r="I15" s="90"/>
      <c r="J15" s="37"/>
      <c r="K15" s="38">
        <f t="shared" si="1"/>
        <v>45665</v>
      </c>
      <c r="L15" s="90" t="s">
        <v>301</v>
      </c>
      <c r="M15" s="39"/>
      <c r="N15" s="40"/>
      <c r="O15" s="40"/>
      <c r="P15" s="40"/>
      <c r="Q15" s="40"/>
    </row>
    <row r="16" spans="1:17" x14ac:dyDescent="0.3">
      <c r="A16" s="31" t="s">
        <v>178</v>
      </c>
      <c r="B16" s="32">
        <v>45665</v>
      </c>
      <c r="C16" s="33" t="s">
        <v>313</v>
      </c>
      <c r="D16" s="40" t="s">
        <v>49</v>
      </c>
      <c r="E16" s="40" t="s">
        <v>107</v>
      </c>
      <c r="F16" s="34">
        <v>4</v>
      </c>
      <c r="G16" s="35">
        <v>2097</v>
      </c>
      <c r="H16" s="36">
        <f t="shared" si="0"/>
        <v>8388</v>
      </c>
      <c r="I16" s="90"/>
      <c r="J16" s="37"/>
      <c r="K16" s="38">
        <f t="shared" si="1"/>
        <v>45665</v>
      </c>
      <c r="L16" s="90" t="s">
        <v>20</v>
      </c>
      <c r="M16" s="39"/>
      <c r="N16" s="40"/>
      <c r="O16" s="40"/>
      <c r="P16" s="40"/>
      <c r="Q16" s="40"/>
    </row>
    <row r="17" spans="1:17" x14ac:dyDescent="0.3">
      <c r="A17" s="31" t="s">
        <v>179</v>
      </c>
      <c r="B17" s="32">
        <v>45665</v>
      </c>
      <c r="C17" s="33">
        <v>4500719864</v>
      </c>
      <c r="D17" s="40" t="s">
        <v>46</v>
      </c>
      <c r="E17" s="40" t="s">
        <v>113</v>
      </c>
      <c r="F17" s="34">
        <v>3</v>
      </c>
      <c r="G17" s="35">
        <v>4659</v>
      </c>
      <c r="H17" s="36">
        <f t="shared" si="0"/>
        <v>13977</v>
      </c>
      <c r="I17" s="90"/>
      <c r="J17" s="37"/>
      <c r="K17" s="38">
        <f t="shared" si="1"/>
        <v>45665</v>
      </c>
      <c r="L17" s="90" t="s">
        <v>143</v>
      </c>
      <c r="M17" s="39"/>
      <c r="N17" s="40"/>
      <c r="O17" s="40"/>
      <c r="P17" s="40"/>
      <c r="Q17" s="40"/>
    </row>
    <row r="18" spans="1:17" x14ac:dyDescent="0.3">
      <c r="A18" s="31" t="s">
        <v>180</v>
      </c>
      <c r="B18" s="32">
        <v>45666</v>
      </c>
      <c r="C18" s="33" t="s">
        <v>16</v>
      </c>
      <c r="D18" s="40" t="s">
        <v>314</v>
      </c>
      <c r="E18" s="40" t="s">
        <v>315</v>
      </c>
      <c r="F18" s="34">
        <v>5</v>
      </c>
      <c r="G18" s="35"/>
      <c r="H18" s="36">
        <f t="shared" si="0"/>
        <v>0</v>
      </c>
      <c r="I18" s="90"/>
      <c r="J18" s="37"/>
      <c r="K18" s="38">
        <f t="shared" si="1"/>
        <v>45666</v>
      </c>
      <c r="L18" s="90" t="s">
        <v>17</v>
      </c>
      <c r="M18" s="39"/>
      <c r="N18" s="40"/>
      <c r="O18" s="40"/>
      <c r="P18" s="40"/>
      <c r="Q18" s="40"/>
    </row>
    <row r="19" spans="1:17" x14ac:dyDescent="0.3">
      <c r="A19" s="31" t="s">
        <v>181</v>
      </c>
      <c r="B19" s="32">
        <v>45666</v>
      </c>
      <c r="C19" s="33" t="s">
        <v>16</v>
      </c>
      <c r="D19" s="40" t="s">
        <v>314</v>
      </c>
      <c r="E19" s="40" t="s">
        <v>316</v>
      </c>
      <c r="F19" s="34">
        <v>1</v>
      </c>
      <c r="G19" s="35"/>
      <c r="H19" s="36">
        <f t="shared" si="0"/>
        <v>0</v>
      </c>
      <c r="I19" s="90"/>
      <c r="J19" s="37"/>
      <c r="K19" s="38">
        <f t="shared" si="1"/>
        <v>45666</v>
      </c>
      <c r="L19" s="90" t="s">
        <v>17</v>
      </c>
      <c r="M19" s="39"/>
      <c r="N19" s="40"/>
      <c r="O19" s="40"/>
      <c r="P19" s="40"/>
      <c r="Q19" s="40"/>
    </row>
    <row r="20" spans="1:17" x14ac:dyDescent="0.3">
      <c r="A20" s="31" t="s">
        <v>182</v>
      </c>
      <c r="B20" s="32">
        <v>45666</v>
      </c>
      <c r="C20" s="33" t="s">
        <v>16</v>
      </c>
      <c r="D20" s="40" t="s">
        <v>314</v>
      </c>
      <c r="E20" s="40" t="s">
        <v>317</v>
      </c>
      <c r="F20" s="34">
        <v>1</v>
      </c>
      <c r="G20" s="35"/>
      <c r="H20" s="36">
        <f t="shared" si="0"/>
        <v>0</v>
      </c>
      <c r="I20" s="90"/>
      <c r="J20" s="37"/>
      <c r="K20" s="38">
        <f t="shared" si="1"/>
        <v>45666</v>
      </c>
      <c r="L20" s="90" t="s">
        <v>17</v>
      </c>
      <c r="M20" s="39"/>
      <c r="N20" s="40"/>
      <c r="O20" s="40"/>
      <c r="P20" s="40"/>
      <c r="Q20" s="40"/>
    </row>
    <row r="21" spans="1:17" x14ac:dyDescent="0.3">
      <c r="A21" s="31" t="s">
        <v>183</v>
      </c>
      <c r="B21" s="32">
        <v>45666</v>
      </c>
      <c r="C21" s="33" t="s">
        <v>16</v>
      </c>
      <c r="D21" s="40" t="s">
        <v>314</v>
      </c>
      <c r="E21" s="40" t="s">
        <v>318</v>
      </c>
      <c r="F21" s="34">
        <v>2</v>
      </c>
      <c r="G21" s="35"/>
      <c r="H21" s="36">
        <f t="shared" si="0"/>
        <v>0</v>
      </c>
      <c r="I21" s="90"/>
      <c r="J21" s="37"/>
      <c r="K21" s="38">
        <f t="shared" si="1"/>
        <v>45666</v>
      </c>
      <c r="L21" s="90" t="s">
        <v>17</v>
      </c>
      <c r="M21" s="39"/>
      <c r="N21" s="40"/>
      <c r="O21" s="40"/>
      <c r="P21" s="40"/>
      <c r="Q21" s="40"/>
    </row>
    <row r="22" spans="1:17" x14ac:dyDescent="0.3">
      <c r="A22" s="31" t="s">
        <v>184</v>
      </c>
      <c r="B22" s="32">
        <v>45666</v>
      </c>
      <c r="C22" s="33" t="s">
        <v>16</v>
      </c>
      <c r="D22" s="40" t="s">
        <v>314</v>
      </c>
      <c r="E22" s="40" t="s">
        <v>319</v>
      </c>
      <c r="F22" s="34">
        <v>2</v>
      </c>
      <c r="G22" s="35"/>
      <c r="H22" s="36">
        <f t="shared" si="0"/>
        <v>0</v>
      </c>
      <c r="I22" s="90"/>
      <c r="J22" s="37"/>
      <c r="K22" s="38">
        <f t="shared" si="1"/>
        <v>45666</v>
      </c>
      <c r="L22" s="90" t="s">
        <v>17</v>
      </c>
      <c r="M22" s="39"/>
      <c r="N22" s="40"/>
      <c r="O22" s="40"/>
      <c r="P22" s="40"/>
      <c r="Q22" s="40"/>
    </row>
    <row r="23" spans="1:17" x14ac:dyDescent="0.3">
      <c r="A23" s="31" t="s">
        <v>185</v>
      </c>
      <c r="B23" s="32">
        <v>45666</v>
      </c>
      <c r="C23" s="33" t="s">
        <v>16</v>
      </c>
      <c r="D23" s="40" t="s">
        <v>314</v>
      </c>
      <c r="E23" s="40" t="s">
        <v>93</v>
      </c>
      <c r="F23" s="34">
        <v>1</v>
      </c>
      <c r="G23" s="35"/>
      <c r="H23" s="36">
        <f t="shared" si="0"/>
        <v>0</v>
      </c>
      <c r="I23" s="90"/>
      <c r="J23" s="37"/>
      <c r="K23" s="38">
        <f t="shared" si="1"/>
        <v>45666</v>
      </c>
      <c r="L23" s="90" t="s">
        <v>17</v>
      </c>
      <c r="M23" s="39"/>
      <c r="N23" s="40"/>
      <c r="O23" s="40"/>
      <c r="P23" s="40"/>
      <c r="Q23" s="40"/>
    </row>
    <row r="24" spans="1:17" x14ac:dyDescent="0.3">
      <c r="A24" s="31" t="s">
        <v>186</v>
      </c>
      <c r="B24" s="32">
        <v>45670</v>
      </c>
      <c r="C24" s="33" t="s">
        <v>320</v>
      </c>
      <c r="D24" s="40" t="s">
        <v>49</v>
      </c>
      <c r="E24" s="40" t="s">
        <v>61</v>
      </c>
      <c r="F24" s="34">
        <v>5</v>
      </c>
      <c r="G24" s="35">
        <v>11310</v>
      </c>
      <c r="H24" s="36">
        <f t="shared" si="0"/>
        <v>56550</v>
      </c>
      <c r="I24" s="90"/>
      <c r="J24" s="37"/>
      <c r="K24" s="38">
        <f t="shared" si="1"/>
        <v>45670</v>
      </c>
      <c r="L24" s="90" t="s">
        <v>20</v>
      </c>
      <c r="M24" s="39"/>
      <c r="N24" s="40"/>
      <c r="O24" s="40"/>
      <c r="P24" s="40"/>
      <c r="Q24" s="40"/>
    </row>
    <row r="25" spans="1:17" x14ac:dyDescent="0.3">
      <c r="A25" s="31" t="s">
        <v>187</v>
      </c>
      <c r="B25" s="32">
        <v>45671</v>
      </c>
      <c r="C25" s="33" t="s">
        <v>16</v>
      </c>
      <c r="D25" s="40" t="s">
        <v>321</v>
      </c>
      <c r="E25" s="40" t="s">
        <v>322</v>
      </c>
      <c r="F25" s="34">
        <v>2</v>
      </c>
      <c r="G25" s="35">
        <v>11765</v>
      </c>
      <c r="H25" s="36">
        <f t="shared" si="0"/>
        <v>23530</v>
      </c>
      <c r="I25" s="90"/>
      <c r="J25" s="37"/>
      <c r="K25" s="38">
        <f t="shared" si="1"/>
        <v>45671</v>
      </c>
      <c r="L25" s="90" t="s">
        <v>17</v>
      </c>
      <c r="M25" s="39"/>
      <c r="N25" s="40"/>
      <c r="O25" s="40"/>
      <c r="P25" s="40"/>
      <c r="Q25" s="40"/>
    </row>
    <row r="26" spans="1:17" x14ac:dyDescent="0.3">
      <c r="A26" s="31" t="s">
        <v>188</v>
      </c>
      <c r="B26" s="32">
        <v>45671</v>
      </c>
      <c r="C26" s="33" t="s">
        <v>323</v>
      </c>
      <c r="D26" s="40" t="s">
        <v>119</v>
      </c>
      <c r="E26" s="40" t="s">
        <v>324</v>
      </c>
      <c r="F26" s="34">
        <v>2</v>
      </c>
      <c r="G26" s="35">
        <v>10769</v>
      </c>
      <c r="H26" s="36">
        <f>G26*F26</f>
        <v>21538</v>
      </c>
      <c r="I26" s="90"/>
      <c r="J26" s="37"/>
      <c r="K26" s="38">
        <f t="shared" si="1"/>
        <v>45671</v>
      </c>
      <c r="L26" s="90" t="s">
        <v>301</v>
      </c>
      <c r="M26" s="39"/>
      <c r="N26" s="40"/>
      <c r="O26" s="40"/>
      <c r="P26" s="40"/>
      <c r="Q26" s="40"/>
    </row>
    <row r="27" spans="1:17" x14ac:dyDescent="0.3">
      <c r="A27" s="31" t="s">
        <v>189</v>
      </c>
      <c r="B27" s="32">
        <v>45672</v>
      </c>
      <c r="C27" s="33" t="s">
        <v>325</v>
      </c>
      <c r="D27" s="40" t="s">
        <v>326</v>
      </c>
      <c r="E27" s="40" t="s">
        <v>327</v>
      </c>
      <c r="F27" s="34">
        <v>1</v>
      </c>
      <c r="G27" s="35">
        <v>3087</v>
      </c>
      <c r="H27" s="36">
        <f t="shared" si="0"/>
        <v>3087</v>
      </c>
      <c r="I27" s="90"/>
      <c r="J27" s="37"/>
      <c r="K27" s="38">
        <f t="shared" si="1"/>
        <v>45672</v>
      </c>
      <c r="L27" s="90"/>
      <c r="M27" s="39"/>
      <c r="N27" s="40"/>
      <c r="O27" s="40"/>
      <c r="P27" s="40"/>
      <c r="Q27" s="40"/>
    </row>
    <row r="28" spans="1:17" x14ac:dyDescent="0.3">
      <c r="A28" s="31" t="s">
        <v>190</v>
      </c>
      <c r="B28" s="32">
        <v>45672</v>
      </c>
      <c r="C28" s="33" t="s">
        <v>328</v>
      </c>
      <c r="D28" s="40" t="s">
        <v>39</v>
      </c>
      <c r="E28" s="40" t="s">
        <v>329</v>
      </c>
      <c r="F28" s="34">
        <v>1</v>
      </c>
      <c r="G28" s="35">
        <v>7216</v>
      </c>
      <c r="H28" s="36">
        <f t="shared" si="0"/>
        <v>7216</v>
      </c>
      <c r="I28" s="90"/>
      <c r="J28" s="37"/>
      <c r="K28" s="38">
        <f t="shared" si="1"/>
        <v>45672</v>
      </c>
      <c r="L28" s="90" t="s">
        <v>143</v>
      </c>
      <c r="M28" s="39"/>
      <c r="N28" s="40"/>
      <c r="O28" s="40"/>
      <c r="P28" s="40"/>
      <c r="Q28" s="40"/>
    </row>
    <row r="29" spans="1:17" x14ac:dyDescent="0.3">
      <c r="A29" s="31" t="s">
        <v>191</v>
      </c>
      <c r="B29" s="32">
        <v>45672</v>
      </c>
      <c r="C29" s="33" t="s">
        <v>330</v>
      </c>
      <c r="D29" s="40" t="s">
        <v>25</v>
      </c>
      <c r="E29" s="40" t="s">
        <v>331</v>
      </c>
      <c r="F29" s="34">
        <v>2</v>
      </c>
      <c r="G29" s="35">
        <v>1865</v>
      </c>
      <c r="H29" s="36">
        <f t="shared" si="0"/>
        <v>3730</v>
      </c>
      <c r="I29" s="90"/>
      <c r="J29" s="37"/>
      <c r="K29" s="38">
        <f t="shared" si="1"/>
        <v>45672</v>
      </c>
      <c r="L29" s="90"/>
      <c r="M29" s="39"/>
      <c r="N29" s="40"/>
      <c r="O29" s="40"/>
      <c r="P29" s="40"/>
      <c r="Q29" s="40"/>
    </row>
    <row r="30" spans="1:17" x14ac:dyDescent="0.3">
      <c r="A30" s="31" t="s">
        <v>192</v>
      </c>
      <c r="B30" s="32">
        <v>45673</v>
      </c>
      <c r="C30" s="33" t="s">
        <v>332</v>
      </c>
      <c r="D30" s="40" t="s">
        <v>92</v>
      </c>
      <c r="E30" s="40" t="s">
        <v>78</v>
      </c>
      <c r="F30" s="34">
        <v>1</v>
      </c>
      <c r="G30" s="35">
        <v>14942</v>
      </c>
      <c r="H30" s="36">
        <f t="shared" si="0"/>
        <v>14942</v>
      </c>
      <c r="I30" s="90"/>
      <c r="J30" s="37"/>
      <c r="K30" s="38">
        <f t="shared" si="1"/>
        <v>45673</v>
      </c>
      <c r="L30" s="90" t="s">
        <v>143</v>
      </c>
      <c r="M30" s="39"/>
      <c r="N30" s="40"/>
      <c r="O30" s="40"/>
      <c r="P30" s="40"/>
      <c r="Q30" s="40"/>
    </row>
    <row r="31" spans="1:17" x14ac:dyDescent="0.3">
      <c r="A31" s="31" t="s">
        <v>193</v>
      </c>
      <c r="B31" s="32">
        <v>45673</v>
      </c>
      <c r="C31" s="33" t="s">
        <v>333</v>
      </c>
      <c r="D31" s="40" t="s">
        <v>142</v>
      </c>
      <c r="E31" s="40" t="s">
        <v>334</v>
      </c>
      <c r="F31" s="34">
        <v>2</v>
      </c>
      <c r="G31" s="35">
        <v>4354</v>
      </c>
      <c r="H31" s="36">
        <v>4354</v>
      </c>
      <c r="I31" s="90"/>
      <c r="J31" s="37"/>
      <c r="K31" s="38">
        <f t="shared" si="1"/>
        <v>45673</v>
      </c>
      <c r="L31" s="90" t="s">
        <v>301</v>
      </c>
      <c r="M31" s="39"/>
      <c r="N31" s="40"/>
      <c r="O31" s="40"/>
      <c r="P31" s="40"/>
      <c r="Q31" s="40"/>
    </row>
    <row r="32" spans="1:17" x14ac:dyDescent="0.3">
      <c r="A32" s="31" t="s">
        <v>194</v>
      </c>
      <c r="B32" s="32">
        <v>45674</v>
      </c>
      <c r="C32" s="33" t="s">
        <v>32</v>
      </c>
      <c r="D32" s="40" t="s">
        <v>49</v>
      </c>
      <c r="E32" s="40" t="s">
        <v>107</v>
      </c>
      <c r="F32" s="34">
        <v>2</v>
      </c>
      <c r="G32" s="35">
        <v>2097</v>
      </c>
      <c r="H32" s="36">
        <f t="shared" ref="H32:H40" si="2">G32*F32</f>
        <v>4194</v>
      </c>
      <c r="I32" s="90"/>
      <c r="J32" s="37"/>
      <c r="K32" s="38">
        <f t="shared" si="1"/>
        <v>45674</v>
      </c>
      <c r="L32" s="90" t="s">
        <v>20</v>
      </c>
      <c r="M32" s="39"/>
      <c r="N32" s="40"/>
      <c r="O32" s="40"/>
      <c r="P32" s="40"/>
      <c r="Q32" s="40"/>
    </row>
    <row r="33" spans="1:17" x14ac:dyDescent="0.3">
      <c r="A33" s="31" t="s">
        <v>195</v>
      </c>
      <c r="B33" s="32">
        <v>45674</v>
      </c>
      <c r="C33" s="33" t="s">
        <v>335</v>
      </c>
      <c r="D33" s="40" t="s">
        <v>336</v>
      </c>
      <c r="E33" s="40" t="s">
        <v>337</v>
      </c>
      <c r="F33" s="34">
        <v>1</v>
      </c>
      <c r="G33" s="35">
        <v>7905</v>
      </c>
      <c r="H33" s="36">
        <f t="shared" si="2"/>
        <v>7905</v>
      </c>
      <c r="I33" s="90"/>
      <c r="J33" s="37"/>
      <c r="K33" s="38">
        <f t="shared" si="1"/>
        <v>45674</v>
      </c>
      <c r="L33" s="90" t="s">
        <v>17</v>
      </c>
      <c r="M33" s="39"/>
      <c r="N33" s="40"/>
      <c r="O33" s="40"/>
      <c r="P33" s="40"/>
      <c r="Q33" s="40"/>
    </row>
    <row r="34" spans="1:17" x14ac:dyDescent="0.3">
      <c r="A34" s="31" t="s">
        <v>196</v>
      </c>
      <c r="B34" s="32">
        <v>45677</v>
      </c>
      <c r="C34" s="17" t="s">
        <v>338</v>
      </c>
      <c r="D34" s="42" t="s">
        <v>76</v>
      </c>
      <c r="E34" s="40" t="s">
        <v>339</v>
      </c>
      <c r="F34" s="34">
        <v>1</v>
      </c>
      <c r="G34" s="35">
        <v>16969</v>
      </c>
      <c r="H34" s="36">
        <f t="shared" si="2"/>
        <v>16969</v>
      </c>
      <c r="I34" s="90"/>
      <c r="J34" s="37"/>
      <c r="K34" s="38">
        <f t="shared" si="1"/>
        <v>45677</v>
      </c>
      <c r="L34" s="90"/>
      <c r="M34" s="39"/>
      <c r="N34" s="40"/>
      <c r="O34" s="40"/>
      <c r="P34" s="40"/>
      <c r="Q34" s="40"/>
    </row>
    <row r="35" spans="1:17" x14ac:dyDescent="0.3">
      <c r="A35" s="31" t="s">
        <v>197</v>
      </c>
      <c r="B35" s="32">
        <v>45677</v>
      </c>
      <c r="C35" s="33" t="s">
        <v>340</v>
      </c>
      <c r="D35" s="40" t="s">
        <v>341</v>
      </c>
      <c r="E35" s="40" t="s">
        <v>342</v>
      </c>
      <c r="F35" s="34">
        <v>3</v>
      </c>
      <c r="G35" s="35">
        <v>17702</v>
      </c>
      <c r="H35" s="36">
        <f t="shared" si="2"/>
        <v>53106</v>
      </c>
      <c r="I35" s="90"/>
      <c r="J35" s="37"/>
      <c r="K35" s="38">
        <f t="shared" si="1"/>
        <v>45677</v>
      </c>
      <c r="L35" s="90" t="s">
        <v>143</v>
      </c>
      <c r="M35" s="39"/>
      <c r="N35" s="40"/>
      <c r="O35" s="40"/>
      <c r="P35" s="40"/>
      <c r="Q35" s="40"/>
    </row>
    <row r="36" spans="1:17" x14ac:dyDescent="0.3">
      <c r="A36" s="31" t="s">
        <v>198</v>
      </c>
      <c r="B36" s="32">
        <v>45677</v>
      </c>
      <c r="C36" s="33" t="s">
        <v>340</v>
      </c>
      <c r="D36" s="40" t="s">
        <v>341</v>
      </c>
      <c r="E36" s="40" t="s">
        <v>343</v>
      </c>
      <c r="F36" s="34">
        <v>3</v>
      </c>
      <c r="G36" s="35">
        <v>21081</v>
      </c>
      <c r="H36" s="36">
        <f t="shared" si="2"/>
        <v>63243</v>
      </c>
      <c r="I36" s="90"/>
      <c r="J36" s="37"/>
      <c r="K36" s="38">
        <f t="shared" si="1"/>
        <v>45677</v>
      </c>
      <c r="L36" s="90" t="s">
        <v>143</v>
      </c>
      <c r="M36" s="39"/>
      <c r="N36" s="40"/>
      <c r="O36" s="40"/>
      <c r="P36" s="40"/>
      <c r="Q36" s="40"/>
    </row>
    <row r="37" spans="1:17" x14ac:dyDescent="0.3">
      <c r="A37" s="31" t="s">
        <v>199</v>
      </c>
      <c r="B37" s="32">
        <v>45677</v>
      </c>
      <c r="C37" s="33" t="s">
        <v>340</v>
      </c>
      <c r="D37" s="40" t="s">
        <v>341</v>
      </c>
      <c r="E37" s="40" t="s">
        <v>344</v>
      </c>
      <c r="F37" s="34">
        <v>8</v>
      </c>
      <c r="G37" s="35">
        <v>11755</v>
      </c>
      <c r="H37" s="36">
        <f t="shared" si="2"/>
        <v>94040</v>
      </c>
      <c r="I37" s="90"/>
      <c r="J37" s="37"/>
      <c r="K37" s="38">
        <f t="shared" si="1"/>
        <v>45677</v>
      </c>
      <c r="L37" s="90" t="s">
        <v>143</v>
      </c>
      <c r="M37" s="39"/>
      <c r="N37" s="40"/>
      <c r="O37" s="40"/>
      <c r="P37" s="40"/>
      <c r="Q37" s="40"/>
    </row>
    <row r="38" spans="1:17" x14ac:dyDescent="0.3">
      <c r="A38" s="31" t="s">
        <v>200</v>
      </c>
      <c r="B38" s="32">
        <v>45678</v>
      </c>
      <c r="C38" s="33" t="s">
        <v>345</v>
      </c>
      <c r="D38" s="40" t="s">
        <v>49</v>
      </c>
      <c r="E38" s="40" t="s">
        <v>346</v>
      </c>
      <c r="F38" s="34">
        <v>9</v>
      </c>
      <c r="G38" s="35">
        <v>1063</v>
      </c>
      <c r="H38" s="36">
        <f t="shared" si="2"/>
        <v>9567</v>
      </c>
      <c r="I38" s="90"/>
      <c r="J38" s="37"/>
      <c r="K38" s="38">
        <f t="shared" si="1"/>
        <v>45678</v>
      </c>
      <c r="L38" s="90" t="s">
        <v>20</v>
      </c>
      <c r="M38" s="39"/>
      <c r="N38" s="40"/>
      <c r="O38" s="40"/>
      <c r="P38" s="40"/>
      <c r="Q38" s="40"/>
    </row>
    <row r="39" spans="1:17" x14ac:dyDescent="0.3">
      <c r="A39" s="31" t="s">
        <v>201</v>
      </c>
      <c r="B39" s="32">
        <v>45678</v>
      </c>
      <c r="C39" s="33" t="s">
        <v>347</v>
      </c>
      <c r="D39" s="40" t="s">
        <v>348</v>
      </c>
      <c r="E39" s="40" t="s">
        <v>349</v>
      </c>
      <c r="F39" s="34">
        <v>1</v>
      </c>
      <c r="G39" s="35">
        <v>5513</v>
      </c>
      <c r="H39" s="36">
        <f t="shared" si="2"/>
        <v>5513</v>
      </c>
      <c r="I39" s="90"/>
      <c r="J39" s="37"/>
      <c r="K39" s="38">
        <f t="shared" si="1"/>
        <v>45678</v>
      </c>
      <c r="L39" s="90" t="s">
        <v>17</v>
      </c>
      <c r="M39" s="39"/>
      <c r="N39" s="40"/>
      <c r="O39" s="40"/>
      <c r="P39" s="40"/>
      <c r="Q39" s="40"/>
    </row>
    <row r="40" spans="1:17" x14ac:dyDescent="0.3">
      <c r="A40" s="31" t="s">
        <v>202</v>
      </c>
      <c r="B40" s="32">
        <v>45678</v>
      </c>
      <c r="C40" s="33" t="s">
        <v>350</v>
      </c>
      <c r="D40" s="40" t="s">
        <v>49</v>
      </c>
      <c r="E40" s="40" t="s">
        <v>351</v>
      </c>
      <c r="F40" s="34">
        <v>1</v>
      </c>
      <c r="G40" s="35">
        <v>10936</v>
      </c>
      <c r="H40" s="36">
        <f t="shared" si="2"/>
        <v>10936</v>
      </c>
      <c r="I40" s="90"/>
      <c r="J40" s="37"/>
      <c r="K40" s="38">
        <f t="shared" si="1"/>
        <v>45678</v>
      </c>
      <c r="L40" s="90" t="s">
        <v>20</v>
      </c>
      <c r="M40" s="39"/>
      <c r="N40" s="40"/>
      <c r="O40" s="40"/>
      <c r="P40" s="40"/>
      <c r="Q40" s="40"/>
    </row>
    <row r="41" spans="1:17" x14ac:dyDescent="0.3">
      <c r="A41" s="31" t="s">
        <v>203</v>
      </c>
      <c r="B41" s="32">
        <v>45678</v>
      </c>
      <c r="C41" s="33" t="s">
        <v>352</v>
      </c>
      <c r="D41" s="40" t="s">
        <v>353</v>
      </c>
      <c r="E41" s="40" t="s">
        <v>33</v>
      </c>
      <c r="F41" s="34">
        <v>1</v>
      </c>
      <c r="G41" s="35">
        <v>5250</v>
      </c>
      <c r="H41" s="36">
        <v>5250</v>
      </c>
      <c r="I41" s="90"/>
      <c r="J41" s="37"/>
      <c r="K41" s="38">
        <f t="shared" si="1"/>
        <v>45678</v>
      </c>
      <c r="L41" s="90" t="s">
        <v>17</v>
      </c>
      <c r="M41" s="39"/>
      <c r="N41" s="40"/>
      <c r="O41" s="40"/>
      <c r="P41" s="40"/>
      <c r="Q41" s="40"/>
    </row>
    <row r="42" spans="1:17" x14ac:dyDescent="0.3">
      <c r="A42" s="31" t="s">
        <v>204</v>
      </c>
      <c r="B42" s="32">
        <v>45678</v>
      </c>
      <c r="C42" s="33" t="s">
        <v>354</v>
      </c>
      <c r="D42" s="40" t="s">
        <v>355</v>
      </c>
      <c r="E42" s="40" t="s">
        <v>356</v>
      </c>
      <c r="F42" s="34">
        <v>3</v>
      </c>
      <c r="G42" s="35">
        <v>2872</v>
      </c>
      <c r="H42" s="36">
        <f t="shared" ref="H42:H59" si="3">G42*F42</f>
        <v>8616</v>
      </c>
      <c r="I42" s="90"/>
      <c r="J42" s="37"/>
      <c r="K42" s="38">
        <f t="shared" si="1"/>
        <v>45678</v>
      </c>
      <c r="L42" s="90" t="s">
        <v>17</v>
      </c>
      <c r="M42" s="39"/>
      <c r="N42" s="40"/>
      <c r="O42" s="40"/>
      <c r="P42" s="40"/>
      <c r="Q42" s="40"/>
    </row>
    <row r="43" spans="1:17" x14ac:dyDescent="0.3">
      <c r="A43" s="31" t="s">
        <v>205</v>
      </c>
      <c r="B43" s="32">
        <v>45679</v>
      </c>
      <c r="C43" s="33" t="s">
        <v>16</v>
      </c>
      <c r="D43" s="29" t="s">
        <v>357</v>
      </c>
      <c r="E43" s="40" t="s">
        <v>358</v>
      </c>
      <c r="F43" s="34">
        <v>2</v>
      </c>
      <c r="G43" s="35">
        <v>12342.22</v>
      </c>
      <c r="H43" s="36">
        <f t="shared" si="3"/>
        <v>24684.44</v>
      </c>
      <c r="I43" s="90"/>
      <c r="J43" s="37"/>
      <c r="K43" s="38">
        <f t="shared" si="1"/>
        <v>45679</v>
      </c>
      <c r="L43" s="90" t="s">
        <v>143</v>
      </c>
      <c r="M43" s="39"/>
      <c r="N43" s="40"/>
      <c r="O43" s="40"/>
      <c r="P43" s="40"/>
      <c r="Q43" s="40"/>
    </row>
    <row r="44" spans="1:17" x14ac:dyDescent="0.3">
      <c r="A44" s="31" t="s">
        <v>206</v>
      </c>
      <c r="B44" s="32">
        <v>45679</v>
      </c>
      <c r="C44" s="17" t="s">
        <v>16</v>
      </c>
      <c r="D44" s="42" t="s">
        <v>359</v>
      </c>
      <c r="E44" s="40" t="s">
        <v>360</v>
      </c>
      <c r="F44" s="34">
        <v>3</v>
      </c>
      <c r="G44" s="35">
        <f>40866/3</f>
        <v>13622</v>
      </c>
      <c r="H44" s="36">
        <f t="shared" si="3"/>
        <v>40866</v>
      </c>
      <c r="I44" s="90"/>
      <c r="J44" s="37"/>
      <c r="K44" s="38">
        <f t="shared" si="1"/>
        <v>45679</v>
      </c>
      <c r="L44" s="90" t="s">
        <v>17</v>
      </c>
      <c r="M44" s="39"/>
      <c r="N44" s="40"/>
      <c r="O44" s="40"/>
      <c r="P44" s="40"/>
      <c r="Q44" s="40"/>
    </row>
    <row r="45" spans="1:17" x14ac:dyDescent="0.3">
      <c r="A45" s="31" t="s">
        <v>207</v>
      </c>
      <c r="B45" s="32">
        <v>45679</v>
      </c>
      <c r="C45" s="33" t="s">
        <v>16</v>
      </c>
      <c r="D45" s="40" t="s">
        <v>348</v>
      </c>
      <c r="E45" s="40" t="s">
        <v>361</v>
      </c>
      <c r="F45" s="34">
        <v>1</v>
      </c>
      <c r="G45" s="35">
        <v>10968</v>
      </c>
      <c r="H45" s="36">
        <f t="shared" si="3"/>
        <v>10968</v>
      </c>
      <c r="I45" s="90"/>
      <c r="J45" s="37"/>
      <c r="K45" s="38">
        <f t="shared" si="1"/>
        <v>45679</v>
      </c>
      <c r="L45" s="90" t="s">
        <v>17</v>
      </c>
      <c r="M45" s="39"/>
      <c r="N45" s="40"/>
      <c r="O45" s="40"/>
      <c r="P45" s="40"/>
      <c r="Q45" s="40"/>
    </row>
    <row r="46" spans="1:17" x14ac:dyDescent="0.3">
      <c r="A46" s="31" t="s">
        <v>208</v>
      </c>
      <c r="B46" s="32">
        <v>45680</v>
      </c>
      <c r="C46" s="33" t="s">
        <v>16</v>
      </c>
      <c r="D46" s="40" t="s">
        <v>348</v>
      </c>
      <c r="E46" s="40" t="s">
        <v>73</v>
      </c>
      <c r="F46" s="34">
        <v>1</v>
      </c>
      <c r="G46" s="35">
        <v>7062</v>
      </c>
      <c r="H46" s="36">
        <f t="shared" si="3"/>
        <v>7062</v>
      </c>
      <c r="I46" s="90"/>
      <c r="J46" s="37"/>
      <c r="K46" s="38">
        <f t="shared" si="1"/>
        <v>45680</v>
      </c>
      <c r="L46" s="90" t="s">
        <v>17</v>
      </c>
      <c r="M46" s="39"/>
      <c r="N46" s="40"/>
      <c r="O46" s="40"/>
      <c r="P46" s="40"/>
      <c r="Q46" s="40"/>
    </row>
    <row r="47" spans="1:17" x14ac:dyDescent="0.3">
      <c r="A47" s="31" t="s">
        <v>209</v>
      </c>
      <c r="B47" s="32">
        <v>45680</v>
      </c>
      <c r="C47" s="33" t="s">
        <v>16</v>
      </c>
      <c r="D47" s="40" t="s">
        <v>362</v>
      </c>
      <c r="E47" s="40" t="s">
        <v>363</v>
      </c>
      <c r="F47" s="34">
        <v>1</v>
      </c>
      <c r="G47" s="35">
        <v>5516</v>
      </c>
      <c r="H47" s="36">
        <f t="shared" si="3"/>
        <v>5516</v>
      </c>
      <c r="I47" s="90"/>
      <c r="J47" s="37"/>
      <c r="K47" s="38">
        <f t="shared" si="1"/>
        <v>45680</v>
      </c>
      <c r="L47" s="90" t="s">
        <v>17</v>
      </c>
      <c r="M47" s="39"/>
      <c r="N47" s="40"/>
      <c r="O47" s="40"/>
      <c r="P47" s="40"/>
      <c r="Q47" s="40"/>
    </row>
    <row r="48" spans="1:17" x14ac:dyDescent="0.3">
      <c r="A48" s="31" t="s">
        <v>210</v>
      </c>
      <c r="B48" s="32">
        <v>45681</v>
      </c>
      <c r="C48" s="33" t="s">
        <v>364</v>
      </c>
      <c r="D48" s="40" t="s">
        <v>49</v>
      </c>
      <c r="E48" s="40" t="s">
        <v>365</v>
      </c>
      <c r="F48" s="34">
        <v>1</v>
      </c>
      <c r="G48" s="35">
        <v>24059</v>
      </c>
      <c r="H48" s="36">
        <f t="shared" si="3"/>
        <v>24059</v>
      </c>
      <c r="I48" s="90"/>
      <c r="J48" s="37"/>
      <c r="K48" s="38">
        <f t="shared" si="1"/>
        <v>45681</v>
      </c>
      <c r="L48" s="90" t="s">
        <v>20</v>
      </c>
      <c r="M48" s="39"/>
      <c r="N48" s="40"/>
      <c r="O48" s="40"/>
      <c r="P48" s="40"/>
      <c r="Q48" s="40"/>
    </row>
    <row r="49" spans="1:17" x14ac:dyDescent="0.3">
      <c r="A49" s="31" t="s">
        <v>211</v>
      </c>
      <c r="B49" s="32">
        <v>45681</v>
      </c>
      <c r="C49" s="33" t="s">
        <v>366</v>
      </c>
      <c r="D49" s="40" t="s">
        <v>49</v>
      </c>
      <c r="E49" s="40" t="s">
        <v>367</v>
      </c>
      <c r="F49" s="34">
        <v>1</v>
      </c>
      <c r="G49" s="35">
        <v>6385</v>
      </c>
      <c r="H49" s="36">
        <f t="shared" si="3"/>
        <v>6385</v>
      </c>
      <c r="I49" s="90"/>
      <c r="J49" s="37"/>
      <c r="K49" s="38">
        <f t="shared" si="1"/>
        <v>45681</v>
      </c>
      <c r="L49" s="90" t="s">
        <v>20</v>
      </c>
      <c r="M49" s="39"/>
      <c r="N49" s="40"/>
      <c r="O49" s="40"/>
      <c r="P49" s="40"/>
      <c r="Q49" s="40"/>
    </row>
    <row r="50" spans="1:17" x14ac:dyDescent="0.3">
      <c r="A50" s="31" t="s">
        <v>212</v>
      </c>
      <c r="B50" s="32">
        <v>45685</v>
      </c>
      <c r="C50" s="33" t="s">
        <v>368</v>
      </c>
      <c r="D50" s="40" t="s">
        <v>369</v>
      </c>
      <c r="E50" s="40" t="s">
        <v>370</v>
      </c>
      <c r="F50" s="34">
        <v>1</v>
      </c>
      <c r="G50" s="35">
        <v>48411</v>
      </c>
      <c r="H50" s="36">
        <f t="shared" si="3"/>
        <v>48411</v>
      </c>
      <c r="I50" s="90"/>
      <c r="J50" s="37"/>
      <c r="K50" s="38">
        <f t="shared" si="1"/>
        <v>45685</v>
      </c>
      <c r="L50" s="90" t="s">
        <v>301</v>
      </c>
      <c r="M50" s="39"/>
      <c r="N50" s="40"/>
      <c r="O50" s="40"/>
      <c r="P50" s="40"/>
      <c r="Q50" s="40"/>
    </row>
    <row r="51" spans="1:17" x14ac:dyDescent="0.3">
      <c r="A51" s="31" t="s">
        <v>213</v>
      </c>
      <c r="B51" s="32">
        <v>45685</v>
      </c>
      <c r="C51" s="33" t="s">
        <v>371</v>
      </c>
      <c r="D51" s="40" t="s">
        <v>94</v>
      </c>
      <c r="E51" s="40" t="s">
        <v>372</v>
      </c>
      <c r="F51" s="34">
        <v>1</v>
      </c>
      <c r="G51" s="35">
        <v>13806</v>
      </c>
      <c r="H51" s="36">
        <f t="shared" si="3"/>
        <v>13806</v>
      </c>
      <c r="I51" s="90"/>
      <c r="J51" s="37"/>
      <c r="K51" s="38">
        <f t="shared" si="1"/>
        <v>45685</v>
      </c>
      <c r="L51" s="90" t="s">
        <v>301</v>
      </c>
      <c r="M51" s="39"/>
      <c r="N51" s="40"/>
      <c r="O51" s="40"/>
      <c r="P51" s="40"/>
      <c r="Q51" s="40"/>
    </row>
    <row r="52" spans="1:17" x14ac:dyDescent="0.3">
      <c r="A52" s="31" t="s">
        <v>214</v>
      </c>
      <c r="B52" s="32">
        <v>45685</v>
      </c>
      <c r="C52" s="17" t="s">
        <v>373</v>
      </c>
      <c r="D52" s="40" t="s">
        <v>374</v>
      </c>
      <c r="E52" s="42" t="s">
        <v>375</v>
      </c>
      <c r="F52" s="34">
        <v>1</v>
      </c>
      <c r="G52" s="35">
        <v>6569</v>
      </c>
      <c r="H52" s="36">
        <f t="shared" si="3"/>
        <v>6569</v>
      </c>
      <c r="I52" s="90"/>
      <c r="J52" s="37"/>
      <c r="K52" s="38">
        <f t="shared" si="1"/>
        <v>45685</v>
      </c>
      <c r="L52" s="90" t="s">
        <v>301</v>
      </c>
      <c r="M52" s="39"/>
      <c r="N52" s="40"/>
      <c r="O52" s="40"/>
      <c r="P52" s="40"/>
      <c r="Q52" s="40"/>
    </row>
    <row r="53" spans="1:17" x14ac:dyDescent="0.3">
      <c r="A53" s="31" t="s">
        <v>215</v>
      </c>
      <c r="B53" s="32">
        <v>45685</v>
      </c>
      <c r="C53" s="33" t="s">
        <v>376</v>
      </c>
      <c r="D53" s="40" t="s">
        <v>109</v>
      </c>
      <c r="E53" s="40" t="s">
        <v>377</v>
      </c>
      <c r="F53" s="34">
        <v>4</v>
      </c>
      <c r="G53" s="35">
        <v>5223</v>
      </c>
      <c r="H53" s="36">
        <f t="shared" si="3"/>
        <v>20892</v>
      </c>
      <c r="I53" s="90"/>
      <c r="J53" s="37"/>
      <c r="K53" s="38">
        <f t="shared" si="1"/>
        <v>45685</v>
      </c>
      <c r="L53" s="90" t="s">
        <v>17</v>
      </c>
      <c r="M53" s="39"/>
      <c r="N53" s="40"/>
      <c r="O53" s="40"/>
      <c r="P53" s="40"/>
      <c r="Q53" s="40"/>
    </row>
    <row r="54" spans="1:17" x14ac:dyDescent="0.3">
      <c r="A54" s="31" t="s">
        <v>216</v>
      </c>
      <c r="B54" s="32">
        <v>45686</v>
      </c>
      <c r="C54" s="33" t="s">
        <v>378</v>
      </c>
      <c r="D54" s="40" t="s">
        <v>341</v>
      </c>
      <c r="E54" s="40" t="s">
        <v>379</v>
      </c>
      <c r="F54" s="34">
        <v>1</v>
      </c>
      <c r="G54" s="35">
        <v>12363</v>
      </c>
      <c r="H54" s="36">
        <f t="shared" si="3"/>
        <v>12363</v>
      </c>
      <c r="I54" s="90"/>
      <c r="J54" s="37"/>
      <c r="K54" s="38">
        <f t="shared" si="1"/>
        <v>45686</v>
      </c>
      <c r="L54" s="90" t="s">
        <v>143</v>
      </c>
      <c r="M54" s="39"/>
      <c r="N54" s="40"/>
      <c r="O54" s="40"/>
      <c r="P54" s="40"/>
      <c r="Q54" s="40"/>
    </row>
    <row r="55" spans="1:17" x14ac:dyDescent="0.3">
      <c r="A55" s="31" t="s">
        <v>217</v>
      </c>
      <c r="B55" s="32">
        <v>45687</v>
      </c>
      <c r="C55" s="33">
        <v>201384</v>
      </c>
      <c r="D55" s="40" t="s">
        <v>34</v>
      </c>
      <c r="E55" s="40" t="s">
        <v>380</v>
      </c>
      <c r="F55" s="34">
        <v>3</v>
      </c>
      <c r="G55" s="35">
        <v>84781</v>
      </c>
      <c r="H55" s="36">
        <f t="shared" si="3"/>
        <v>254343</v>
      </c>
      <c r="I55" s="90"/>
      <c r="J55" s="37"/>
      <c r="K55" s="38">
        <f t="shared" si="1"/>
        <v>45687</v>
      </c>
      <c r="L55" s="90" t="s">
        <v>143</v>
      </c>
      <c r="M55" s="39"/>
      <c r="N55" s="40"/>
      <c r="O55" s="40"/>
      <c r="P55" s="40"/>
      <c r="Q55" s="40"/>
    </row>
    <row r="56" spans="1:17" x14ac:dyDescent="0.3">
      <c r="A56" s="31" t="s">
        <v>218</v>
      </c>
      <c r="B56" s="32">
        <v>45687</v>
      </c>
      <c r="C56" s="33" t="s">
        <v>381</v>
      </c>
      <c r="D56" s="40" t="s">
        <v>49</v>
      </c>
      <c r="E56" s="40" t="s">
        <v>48</v>
      </c>
      <c r="F56" s="34">
        <v>1</v>
      </c>
      <c r="G56" s="35">
        <v>2553</v>
      </c>
      <c r="H56" s="36">
        <f t="shared" si="3"/>
        <v>2553</v>
      </c>
      <c r="I56" s="90"/>
      <c r="J56" s="37"/>
      <c r="K56" s="38">
        <f t="shared" si="1"/>
        <v>45687</v>
      </c>
      <c r="L56" s="90" t="s">
        <v>20</v>
      </c>
      <c r="M56" s="39"/>
      <c r="N56" s="40"/>
      <c r="O56" s="40"/>
      <c r="P56" s="40"/>
      <c r="Q56" s="40"/>
    </row>
    <row r="57" spans="1:17" x14ac:dyDescent="0.3">
      <c r="A57" s="31" t="s">
        <v>219</v>
      </c>
      <c r="B57" s="32">
        <v>45687</v>
      </c>
      <c r="C57" s="33" t="s">
        <v>382</v>
      </c>
      <c r="D57" s="40" t="s">
        <v>49</v>
      </c>
      <c r="E57" s="40" t="s">
        <v>69</v>
      </c>
      <c r="F57" s="34">
        <v>1</v>
      </c>
      <c r="G57" s="35">
        <v>3370</v>
      </c>
      <c r="H57" s="36">
        <f t="shared" si="3"/>
        <v>3370</v>
      </c>
      <c r="I57" s="90"/>
      <c r="J57" s="37"/>
      <c r="K57" s="38">
        <f t="shared" si="1"/>
        <v>45687</v>
      </c>
      <c r="L57" s="90" t="s">
        <v>20</v>
      </c>
      <c r="M57" s="39"/>
      <c r="N57" s="40"/>
      <c r="O57" s="40"/>
      <c r="P57" s="40"/>
      <c r="Q57" s="40"/>
    </row>
    <row r="58" spans="1:17" x14ac:dyDescent="0.3">
      <c r="A58" s="31" t="s">
        <v>220</v>
      </c>
      <c r="B58" s="32">
        <v>45687</v>
      </c>
      <c r="C58" s="33" t="s">
        <v>383</v>
      </c>
      <c r="D58" s="40" t="s">
        <v>384</v>
      </c>
      <c r="E58" s="40" t="s">
        <v>385</v>
      </c>
      <c r="F58" s="34">
        <v>4</v>
      </c>
      <c r="G58" s="35">
        <v>2800</v>
      </c>
      <c r="H58" s="36">
        <f t="shared" si="3"/>
        <v>11200</v>
      </c>
      <c r="I58" s="90"/>
      <c r="J58" s="37"/>
      <c r="K58" s="38">
        <f t="shared" si="1"/>
        <v>45687</v>
      </c>
      <c r="L58" s="90" t="s">
        <v>17</v>
      </c>
      <c r="M58" s="39"/>
      <c r="N58" s="40"/>
      <c r="O58" s="40"/>
      <c r="P58" s="40"/>
      <c r="Q58" s="40"/>
    </row>
    <row r="59" spans="1:17" x14ac:dyDescent="0.3">
      <c r="A59" s="31" t="s">
        <v>221</v>
      </c>
      <c r="B59" s="32">
        <v>45687</v>
      </c>
      <c r="C59" s="33" t="s">
        <v>386</v>
      </c>
      <c r="D59" s="40" t="s">
        <v>31</v>
      </c>
      <c r="E59" s="40" t="s">
        <v>387</v>
      </c>
      <c r="F59" s="34">
        <v>1</v>
      </c>
      <c r="G59" s="35">
        <v>8672</v>
      </c>
      <c r="H59" s="36">
        <f t="shared" si="3"/>
        <v>8672</v>
      </c>
      <c r="I59" s="90"/>
      <c r="J59" s="37"/>
      <c r="K59" s="38">
        <f t="shared" si="1"/>
        <v>45687</v>
      </c>
      <c r="L59" s="90"/>
      <c r="M59" s="39"/>
      <c r="N59" s="40"/>
      <c r="O59" s="40"/>
      <c r="P59" s="40"/>
      <c r="Q59" s="40"/>
    </row>
    <row r="60" spans="1:17" x14ac:dyDescent="0.3">
      <c r="A60" s="31" t="s">
        <v>222</v>
      </c>
      <c r="B60" s="32">
        <v>45688</v>
      </c>
      <c r="C60" s="33" t="s">
        <v>16</v>
      </c>
      <c r="D60" s="40" t="s">
        <v>388</v>
      </c>
      <c r="E60" s="40" t="s">
        <v>127</v>
      </c>
      <c r="F60" s="34">
        <v>1</v>
      </c>
      <c r="G60" s="35">
        <v>12822</v>
      </c>
      <c r="H60" s="36">
        <v>12822</v>
      </c>
      <c r="I60" s="90"/>
      <c r="J60" s="37"/>
      <c r="K60" s="38">
        <f t="shared" si="1"/>
        <v>45688</v>
      </c>
      <c r="L60" s="90" t="s">
        <v>143</v>
      </c>
      <c r="M60" s="43"/>
      <c r="N60" s="40"/>
      <c r="O60" s="40"/>
      <c r="P60" s="40"/>
      <c r="Q60" s="40"/>
    </row>
    <row r="61" spans="1:17" x14ac:dyDescent="0.3">
      <c r="A61" s="31" t="s">
        <v>223</v>
      </c>
      <c r="B61" s="32">
        <v>45688</v>
      </c>
      <c r="C61" s="33">
        <v>501267</v>
      </c>
      <c r="D61" s="40" t="s">
        <v>389</v>
      </c>
      <c r="E61" s="40" t="s">
        <v>390</v>
      </c>
      <c r="F61" s="34">
        <v>4</v>
      </c>
      <c r="G61" s="35">
        <v>1342.5</v>
      </c>
      <c r="H61" s="36">
        <f t="shared" ref="H61:H92" si="4">G61*F61</f>
        <v>5370</v>
      </c>
      <c r="I61" s="90"/>
      <c r="J61" s="37"/>
      <c r="K61" s="38">
        <f t="shared" si="1"/>
        <v>45688</v>
      </c>
      <c r="L61" s="90" t="s">
        <v>20</v>
      </c>
      <c r="M61" s="39"/>
      <c r="N61" s="40"/>
      <c r="O61" s="40"/>
      <c r="P61" s="40"/>
      <c r="Q61" s="40"/>
    </row>
    <row r="62" spans="1:17" x14ac:dyDescent="0.3">
      <c r="A62" s="31" t="s">
        <v>224</v>
      </c>
      <c r="B62" s="32">
        <v>45688</v>
      </c>
      <c r="C62" s="44" t="s">
        <v>391</v>
      </c>
      <c r="D62" s="40" t="s">
        <v>341</v>
      </c>
      <c r="E62" s="40" t="s">
        <v>392</v>
      </c>
      <c r="F62" s="34">
        <v>1</v>
      </c>
      <c r="G62" s="35">
        <v>90192</v>
      </c>
      <c r="H62" s="36">
        <f t="shared" si="4"/>
        <v>90192</v>
      </c>
      <c r="I62" s="90"/>
      <c r="J62" s="37"/>
      <c r="K62" s="38">
        <f t="shared" si="1"/>
        <v>45688</v>
      </c>
      <c r="L62" s="90" t="s">
        <v>143</v>
      </c>
      <c r="M62" s="39"/>
      <c r="N62" s="40"/>
      <c r="O62" s="40"/>
      <c r="P62" s="40"/>
      <c r="Q62" s="40"/>
    </row>
    <row r="63" spans="1:17" x14ac:dyDescent="0.3">
      <c r="A63" s="31" t="s">
        <v>225</v>
      </c>
      <c r="B63" s="32">
        <v>45689</v>
      </c>
      <c r="C63" s="33"/>
      <c r="D63" s="40" t="s">
        <v>393</v>
      </c>
      <c r="E63" s="40" t="s">
        <v>394</v>
      </c>
      <c r="F63" s="34">
        <v>3</v>
      </c>
      <c r="G63" s="35">
        <v>13302</v>
      </c>
      <c r="H63" s="36">
        <f t="shared" si="4"/>
        <v>39906</v>
      </c>
      <c r="I63" s="90"/>
      <c r="J63" s="37"/>
      <c r="K63" s="38">
        <f t="shared" si="1"/>
        <v>45689</v>
      </c>
      <c r="L63" s="90" t="s">
        <v>143</v>
      </c>
      <c r="M63" s="39"/>
      <c r="N63" s="40"/>
      <c r="O63" s="40"/>
      <c r="P63" s="40"/>
      <c r="Q63" s="40"/>
    </row>
    <row r="64" spans="1:17" x14ac:dyDescent="0.3">
      <c r="A64" s="31" t="s">
        <v>226</v>
      </c>
      <c r="B64" s="32">
        <v>45691</v>
      </c>
      <c r="C64" s="33" t="s">
        <v>395</v>
      </c>
      <c r="D64" s="40" t="s">
        <v>150</v>
      </c>
      <c r="E64" s="40" t="s">
        <v>396</v>
      </c>
      <c r="F64" s="34">
        <v>1</v>
      </c>
      <c r="G64" s="35">
        <v>28947.47</v>
      </c>
      <c r="H64" s="36">
        <f t="shared" si="4"/>
        <v>28947.47</v>
      </c>
      <c r="I64" s="90"/>
      <c r="J64" s="37"/>
      <c r="K64" s="38">
        <f t="shared" si="1"/>
        <v>45691</v>
      </c>
      <c r="L64" s="90" t="s">
        <v>301</v>
      </c>
      <c r="M64" s="39"/>
      <c r="N64" s="40"/>
      <c r="O64" s="40"/>
      <c r="P64" s="40"/>
      <c r="Q64" s="40"/>
    </row>
    <row r="65" spans="1:17" x14ac:dyDescent="0.3">
      <c r="A65" s="31" t="s">
        <v>227</v>
      </c>
      <c r="B65" s="32">
        <v>45691</v>
      </c>
      <c r="C65" s="33" t="s">
        <v>397</v>
      </c>
      <c r="D65" s="40" t="s">
        <v>398</v>
      </c>
      <c r="E65" s="40" t="s">
        <v>61</v>
      </c>
      <c r="F65" s="34">
        <v>1</v>
      </c>
      <c r="G65" s="35">
        <v>13196</v>
      </c>
      <c r="H65" s="36">
        <f t="shared" si="4"/>
        <v>13196</v>
      </c>
      <c r="I65" s="90"/>
      <c r="J65" s="37"/>
      <c r="K65" s="38">
        <f t="shared" si="1"/>
        <v>45691</v>
      </c>
      <c r="L65" s="90" t="s">
        <v>17</v>
      </c>
      <c r="M65" s="39"/>
      <c r="N65" s="40"/>
      <c r="O65" s="40"/>
      <c r="P65" s="40"/>
      <c r="Q65" s="40"/>
    </row>
    <row r="66" spans="1:17" x14ac:dyDescent="0.3">
      <c r="A66" s="31" t="s">
        <v>228</v>
      </c>
      <c r="B66" s="32">
        <v>45691</v>
      </c>
      <c r="C66" s="33"/>
      <c r="D66" s="40" t="s">
        <v>399</v>
      </c>
      <c r="E66" s="40" t="s">
        <v>116</v>
      </c>
      <c r="F66" s="34">
        <v>1</v>
      </c>
      <c r="G66" s="35">
        <v>81500.759999999995</v>
      </c>
      <c r="H66" s="36">
        <f t="shared" si="4"/>
        <v>81500.759999999995</v>
      </c>
      <c r="I66" s="90"/>
      <c r="J66" s="37"/>
      <c r="K66" s="38">
        <f t="shared" si="1"/>
        <v>45691</v>
      </c>
      <c r="L66" s="90" t="s">
        <v>301</v>
      </c>
      <c r="M66" s="39"/>
      <c r="N66" s="40"/>
      <c r="O66" s="40"/>
      <c r="P66" s="40"/>
      <c r="Q66" s="40"/>
    </row>
    <row r="67" spans="1:17" x14ac:dyDescent="0.3">
      <c r="A67" s="31" t="s">
        <v>229</v>
      </c>
      <c r="B67" s="32">
        <v>45692</v>
      </c>
      <c r="C67" s="33" t="s">
        <v>16</v>
      </c>
      <c r="D67" s="40" t="s">
        <v>400</v>
      </c>
      <c r="E67" s="40" t="s">
        <v>401</v>
      </c>
      <c r="F67" s="34">
        <v>1</v>
      </c>
      <c r="G67" s="35">
        <v>91234.34</v>
      </c>
      <c r="H67" s="36">
        <f t="shared" si="4"/>
        <v>91234.34</v>
      </c>
      <c r="I67" s="90"/>
      <c r="J67" s="37"/>
      <c r="K67" s="38">
        <f t="shared" si="1"/>
        <v>45692</v>
      </c>
      <c r="L67" s="90" t="s">
        <v>20</v>
      </c>
      <c r="M67" s="39"/>
      <c r="N67" s="40"/>
      <c r="O67" s="40"/>
      <c r="P67" s="40"/>
      <c r="Q67" s="40"/>
    </row>
    <row r="68" spans="1:17" x14ac:dyDescent="0.3">
      <c r="A68" s="31" t="s">
        <v>230</v>
      </c>
      <c r="B68" s="32">
        <v>45692</v>
      </c>
      <c r="C68" s="33" t="s">
        <v>16</v>
      </c>
      <c r="D68" s="40" t="s">
        <v>98</v>
      </c>
      <c r="E68" s="40" t="s">
        <v>402</v>
      </c>
      <c r="F68" s="34">
        <v>2</v>
      </c>
      <c r="G68" s="35">
        <v>9995</v>
      </c>
      <c r="H68" s="36">
        <f t="shared" si="4"/>
        <v>19990</v>
      </c>
      <c r="I68" s="90"/>
      <c r="J68" s="37"/>
      <c r="K68" s="38">
        <f t="shared" si="1"/>
        <v>45692</v>
      </c>
      <c r="L68" s="90" t="s">
        <v>17</v>
      </c>
      <c r="M68" s="39"/>
      <c r="N68" s="40"/>
      <c r="O68" s="40"/>
      <c r="P68" s="40"/>
      <c r="Q68" s="40"/>
    </row>
    <row r="69" spans="1:17" x14ac:dyDescent="0.3">
      <c r="A69" s="31" t="s">
        <v>231</v>
      </c>
      <c r="B69" s="32">
        <v>45692</v>
      </c>
      <c r="C69" s="33" t="s">
        <v>16</v>
      </c>
      <c r="D69" s="40" t="s">
        <v>403</v>
      </c>
      <c r="E69" s="40" t="s">
        <v>404</v>
      </c>
      <c r="F69" s="34">
        <v>2</v>
      </c>
      <c r="G69" s="35">
        <v>8549</v>
      </c>
      <c r="H69" s="36">
        <f t="shared" si="4"/>
        <v>17098</v>
      </c>
      <c r="I69" s="90"/>
      <c r="J69" s="37"/>
      <c r="K69" s="38">
        <f t="shared" si="1"/>
        <v>45692</v>
      </c>
      <c r="L69" s="90" t="s">
        <v>17</v>
      </c>
      <c r="M69" s="39"/>
      <c r="N69" s="40"/>
      <c r="O69" s="40"/>
      <c r="P69" s="40"/>
      <c r="Q69" s="40"/>
    </row>
    <row r="70" spans="1:17" x14ac:dyDescent="0.3">
      <c r="A70" s="31" t="s">
        <v>232</v>
      </c>
      <c r="B70" s="32">
        <v>45692</v>
      </c>
      <c r="C70" s="33" t="s">
        <v>16</v>
      </c>
      <c r="D70" s="40" t="s">
        <v>403</v>
      </c>
      <c r="E70" s="40" t="s">
        <v>405</v>
      </c>
      <c r="F70" s="34">
        <v>1</v>
      </c>
      <c r="G70" s="35">
        <v>9030</v>
      </c>
      <c r="H70" s="36">
        <f t="shared" si="4"/>
        <v>9030</v>
      </c>
      <c r="I70" s="90"/>
      <c r="J70" s="37"/>
      <c r="K70" s="38">
        <f t="shared" ref="K70:K133" si="5">J70+B70</f>
        <v>45692</v>
      </c>
      <c r="L70" s="90" t="s">
        <v>17</v>
      </c>
      <c r="M70" s="39"/>
      <c r="N70" s="40"/>
      <c r="O70" s="40"/>
      <c r="P70" s="40"/>
      <c r="Q70" s="40"/>
    </row>
    <row r="71" spans="1:17" x14ac:dyDescent="0.3">
      <c r="A71" s="31" t="s">
        <v>233</v>
      </c>
      <c r="B71" s="32">
        <v>45692</v>
      </c>
      <c r="C71" s="33" t="s">
        <v>16</v>
      </c>
      <c r="D71" s="40" t="s">
        <v>403</v>
      </c>
      <c r="E71" s="40" t="s">
        <v>406</v>
      </c>
      <c r="F71" s="34">
        <v>1</v>
      </c>
      <c r="G71" s="35">
        <v>2863</v>
      </c>
      <c r="H71" s="36">
        <f t="shared" si="4"/>
        <v>2863</v>
      </c>
      <c r="I71" s="90"/>
      <c r="J71" s="37"/>
      <c r="K71" s="38">
        <f t="shared" si="5"/>
        <v>45692</v>
      </c>
      <c r="L71" s="90" t="s">
        <v>17</v>
      </c>
      <c r="M71" s="39"/>
      <c r="N71" s="40"/>
      <c r="O71" s="40"/>
      <c r="P71" s="40"/>
      <c r="Q71" s="40"/>
    </row>
    <row r="72" spans="1:17" x14ac:dyDescent="0.3">
      <c r="A72" s="31" t="s">
        <v>234</v>
      </c>
      <c r="B72" s="32">
        <v>45692</v>
      </c>
      <c r="C72" s="33" t="s">
        <v>16</v>
      </c>
      <c r="D72" s="40" t="s">
        <v>403</v>
      </c>
      <c r="E72" s="40" t="s">
        <v>407</v>
      </c>
      <c r="F72" s="34">
        <v>1</v>
      </c>
      <c r="G72" s="35">
        <v>9030</v>
      </c>
      <c r="H72" s="36">
        <f t="shared" si="4"/>
        <v>9030</v>
      </c>
      <c r="I72" s="90"/>
      <c r="J72" s="37"/>
      <c r="K72" s="38">
        <f t="shared" si="5"/>
        <v>45692</v>
      </c>
      <c r="L72" s="90"/>
      <c r="M72" s="39"/>
      <c r="N72" s="40"/>
      <c r="O72" s="40"/>
      <c r="P72" s="40"/>
      <c r="Q72" s="40"/>
    </row>
    <row r="73" spans="1:17" x14ac:dyDescent="0.3">
      <c r="A73" s="31" t="s">
        <v>235</v>
      </c>
      <c r="B73" s="32">
        <v>45692</v>
      </c>
      <c r="C73" s="33" t="s">
        <v>16</v>
      </c>
      <c r="D73" s="40" t="s">
        <v>403</v>
      </c>
      <c r="E73" s="40" t="s">
        <v>408</v>
      </c>
      <c r="F73" s="34">
        <v>1</v>
      </c>
      <c r="G73" s="35">
        <v>6204</v>
      </c>
      <c r="H73" s="36">
        <f t="shared" si="4"/>
        <v>6204</v>
      </c>
      <c r="I73" s="90"/>
      <c r="J73" s="37"/>
      <c r="K73" s="38">
        <f t="shared" si="5"/>
        <v>45692</v>
      </c>
      <c r="L73" s="90" t="s">
        <v>17</v>
      </c>
      <c r="M73" s="39"/>
      <c r="N73" s="40"/>
      <c r="O73" s="40"/>
      <c r="P73" s="40"/>
      <c r="Q73" s="40"/>
    </row>
    <row r="74" spans="1:17" x14ac:dyDescent="0.3">
      <c r="A74" s="31" t="s">
        <v>236</v>
      </c>
      <c r="B74" s="32">
        <v>45692</v>
      </c>
      <c r="C74" s="33" t="s">
        <v>16</v>
      </c>
      <c r="D74" s="40" t="s">
        <v>403</v>
      </c>
      <c r="E74" s="40" t="s">
        <v>409</v>
      </c>
      <c r="F74" s="34">
        <v>1</v>
      </c>
      <c r="G74" s="35">
        <v>15576</v>
      </c>
      <c r="H74" s="36">
        <f t="shared" si="4"/>
        <v>15576</v>
      </c>
      <c r="I74" s="90"/>
      <c r="J74" s="37"/>
      <c r="K74" s="38">
        <f t="shared" si="5"/>
        <v>45692</v>
      </c>
      <c r="L74" s="90" t="s">
        <v>17</v>
      </c>
      <c r="M74" s="39"/>
      <c r="N74" s="40"/>
      <c r="O74" s="40"/>
      <c r="P74" s="40"/>
      <c r="Q74" s="40"/>
    </row>
    <row r="75" spans="1:17" x14ac:dyDescent="0.3">
      <c r="A75" s="31" t="s">
        <v>237</v>
      </c>
      <c r="B75" s="32">
        <v>45692</v>
      </c>
      <c r="C75" s="33" t="s">
        <v>16</v>
      </c>
      <c r="D75" s="40" t="s">
        <v>403</v>
      </c>
      <c r="E75" s="40" t="s">
        <v>410</v>
      </c>
      <c r="F75" s="34">
        <v>1</v>
      </c>
      <c r="G75" s="35">
        <v>21777</v>
      </c>
      <c r="H75" s="36">
        <f t="shared" si="4"/>
        <v>21777</v>
      </c>
      <c r="I75" s="90"/>
      <c r="J75" s="37"/>
      <c r="K75" s="38">
        <f t="shared" si="5"/>
        <v>45692</v>
      </c>
      <c r="L75" s="90" t="s">
        <v>17</v>
      </c>
      <c r="M75" s="39"/>
      <c r="N75" s="40"/>
      <c r="O75" s="40"/>
      <c r="P75" s="40"/>
      <c r="Q75" s="40"/>
    </row>
    <row r="76" spans="1:17" x14ac:dyDescent="0.3">
      <c r="A76" s="31" t="s">
        <v>238</v>
      </c>
      <c r="B76" s="32">
        <v>45692</v>
      </c>
      <c r="C76" s="33" t="s">
        <v>16</v>
      </c>
      <c r="D76" s="40" t="s">
        <v>403</v>
      </c>
      <c r="E76" s="40" t="s">
        <v>411</v>
      </c>
      <c r="F76" s="34">
        <v>1</v>
      </c>
      <c r="G76" s="35">
        <v>25935</v>
      </c>
      <c r="H76" s="36">
        <f t="shared" si="4"/>
        <v>25935</v>
      </c>
      <c r="I76" s="90"/>
      <c r="J76" s="37"/>
      <c r="K76" s="38">
        <f t="shared" si="5"/>
        <v>45692</v>
      </c>
      <c r="L76" s="90" t="s">
        <v>17</v>
      </c>
      <c r="M76" s="39"/>
      <c r="N76" s="40"/>
      <c r="O76" s="40"/>
      <c r="P76" s="40"/>
      <c r="Q76" s="40"/>
    </row>
    <row r="77" spans="1:17" x14ac:dyDescent="0.3">
      <c r="A77" s="31" t="s">
        <v>239</v>
      </c>
      <c r="B77" s="32">
        <v>45692</v>
      </c>
      <c r="C77" s="33" t="s">
        <v>16</v>
      </c>
      <c r="D77" s="40" t="s">
        <v>403</v>
      </c>
      <c r="E77" s="40" t="s">
        <v>412</v>
      </c>
      <c r="F77" s="34">
        <v>1</v>
      </c>
      <c r="G77" s="35">
        <v>5299</v>
      </c>
      <c r="H77" s="36">
        <f t="shared" si="4"/>
        <v>5299</v>
      </c>
      <c r="I77" s="90"/>
      <c r="J77" s="37"/>
      <c r="K77" s="38">
        <f t="shared" si="5"/>
        <v>45692</v>
      </c>
      <c r="L77" s="90" t="s">
        <v>17</v>
      </c>
      <c r="M77" s="39"/>
      <c r="N77" s="40"/>
      <c r="O77" s="40"/>
      <c r="P77" s="40"/>
      <c r="Q77" s="40"/>
    </row>
    <row r="78" spans="1:17" x14ac:dyDescent="0.3">
      <c r="A78" s="31" t="s">
        <v>240</v>
      </c>
      <c r="B78" s="32">
        <v>45692</v>
      </c>
      <c r="C78" s="33" t="s">
        <v>16</v>
      </c>
      <c r="D78" s="40" t="s">
        <v>403</v>
      </c>
      <c r="E78" s="40" t="s">
        <v>413</v>
      </c>
      <c r="F78" s="34">
        <v>2</v>
      </c>
      <c r="G78" s="35">
        <v>5213</v>
      </c>
      <c r="H78" s="36">
        <f t="shared" si="4"/>
        <v>10426</v>
      </c>
      <c r="I78" s="90"/>
      <c r="J78" s="37"/>
      <c r="K78" s="38">
        <f t="shared" si="5"/>
        <v>45692</v>
      </c>
      <c r="L78" s="90" t="s">
        <v>17</v>
      </c>
      <c r="M78" s="39"/>
      <c r="N78" s="40"/>
      <c r="O78" s="40"/>
      <c r="P78" s="40"/>
      <c r="Q78" s="40"/>
    </row>
    <row r="79" spans="1:17" x14ac:dyDescent="0.3">
      <c r="A79" s="31" t="s">
        <v>241</v>
      </c>
      <c r="B79" s="32">
        <v>45692</v>
      </c>
      <c r="C79" s="33" t="s">
        <v>16</v>
      </c>
      <c r="D79" s="40" t="s">
        <v>403</v>
      </c>
      <c r="E79" s="40" t="s">
        <v>414</v>
      </c>
      <c r="F79" s="34">
        <v>1</v>
      </c>
      <c r="G79" s="35">
        <v>25935</v>
      </c>
      <c r="H79" s="36">
        <f t="shared" si="4"/>
        <v>25935</v>
      </c>
      <c r="I79" s="90"/>
      <c r="J79" s="37"/>
      <c r="K79" s="38">
        <f t="shared" si="5"/>
        <v>45692</v>
      </c>
      <c r="L79" s="90" t="s">
        <v>17</v>
      </c>
      <c r="M79" s="39"/>
      <c r="N79" s="40"/>
      <c r="O79" s="40"/>
      <c r="P79" s="40"/>
      <c r="Q79" s="40"/>
    </row>
    <row r="80" spans="1:17" x14ac:dyDescent="0.3">
      <c r="A80" s="31" t="s">
        <v>242</v>
      </c>
      <c r="B80" s="32">
        <v>45693</v>
      </c>
      <c r="C80" s="33" t="s">
        <v>415</v>
      </c>
      <c r="D80" s="40" t="s">
        <v>416</v>
      </c>
      <c r="E80" s="40" t="s">
        <v>118</v>
      </c>
      <c r="F80" s="34">
        <v>1</v>
      </c>
      <c r="G80" s="35">
        <v>2810</v>
      </c>
      <c r="H80" s="36">
        <f t="shared" si="4"/>
        <v>2810</v>
      </c>
      <c r="I80" s="90"/>
      <c r="J80" s="37"/>
      <c r="K80" s="38">
        <f t="shared" si="5"/>
        <v>45693</v>
      </c>
      <c r="L80" s="90" t="s">
        <v>301</v>
      </c>
      <c r="M80" s="39"/>
      <c r="N80" s="40"/>
      <c r="O80" s="40"/>
      <c r="P80" s="40"/>
      <c r="Q80" s="40"/>
    </row>
    <row r="81" spans="1:17" x14ac:dyDescent="0.3">
      <c r="A81" s="31" t="s">
        <v>243</v>
      </c>
      <c r="B81" s="32">
        <v>45693</v>
      </c>
      <c r="C81" s="29" t="s">
        <v>417</v>
      </c>
      <c r="D81" s="29" t="s">
        <v>418</v>
      </c>
      <c r="E81" s="40" t="s">
        <v>419</v>
      </c>
      <c r="F81" s="34">
        <v>1</v>
      </c>
      <c r="G81" s="35">
        <v>3948</v>
      </c>
      <c r="H81" s="36">
        <f t="shared" si="4"/>
        <v>3948</v>
      </c>
      <c r="I81" s="90"/>
      <c r="J81" s="37"/>
      <c r="K81" s="38">
        <f t="shared" si="5"/>
        <v>45693</v>
      </c>
      <c r="L81" s="90" t="s">
        <v>143</v>
      </c>
      <c r="M81" s="39"/>
      <c r="N81" s="40"/>
      <c r="O81" s="40"/>
      <c r="P81" s="40"/>
      <c r="Q81" s="40"/>
    </row>
    <row r="82" spans="1:17" x14ac:dyDescent="0.3">
      <c r="A82" s="31" t="s">
        <v>244</v>
      </c>
      <c r="B82" s="32">
        <v>45693</v>
      </c>
      <c r="C82" s="33" t="s">
        <v>16</v>
      </c>
      <c r="D82" s="40" t="s">
        <v>420</v>
      </c>
      <c r="E82" s="40" t="s">
        <v>421</v>
      </c>
      <c r="F82" s="34">
        <v>2</v>
      </c>
      <c r="G82" s="35">
        <f>6106+958</f>
        <v>7064</v>
      </c>
      <c r="H82" s="36">
        <f t="shared" si="4"/>
        <v>14128</v>
      </c>
      <c r="I82" s="90"/>
      <c r="J82" s="37"/>
      <c r="K82" s="38">
        <f t="shared" si="5"/>
        <v>45693</v>
      </c>
      <c r="L82" s="90"/>
      <c r="M82" s="39"/>
      <c r="N82" s="40"/>
      <c r="O82" s="40"/>
      <c r="P82" s="40"/>
      <c r="Q82" s="40"/>
    </row>
    <row r="83" spans="1:17" x14ac:dyDescent="0.3">
      <c r="A83" s="31" t="s">
        <v>245</v>
      </c>
      <c r="B83" s="32">
        <v>45694</v>
      </c>
      <c r="C83" s="33" t="s">
        <v>16</v>
      </c>
      <c r="D83" s="40" t="s">
        <v>128</v>
      </c>
      <c r="E83" s="40" t="s">
        <v>122</v>
      </c>
      <c r="F83" s="34">
        <v>1</v>
      </c>
      <c r="G83" s="35">
        <v>11644</v>
      </c>
      <c r="H83" s="36">
        <f t="shared" si="4"/>
        <v>11644</v>
      </c>
      <c r="I83" s="90"/>
      <c r="J83" s="37"/>
      <c r="K83" s="38">
        <f t="shared" si="5"/>
        <v>45694</v>
      </c>
      <c r="L83" s="90" t="s">
        <v>143</v>
      </c>
      <c r="M83" s="39"/>
      <c r="N83" s="40"/>
      <c r="O83" s="40"/>
      <c r="P83" s="40"/>
      <c r="Q83" s="40"/>
    </row>
    <row r="84" spans="1:17" x14ac:dyDescent="0.3">
      <c r="A84" s="31" t="s">
        <v>246</v>
      </c>
      <c r="B84" s="32">
        <v>45694</v>
      </c>
      <c r="C84" s="44" t="s">
        <v>422</v>
      </c>
      <c r="D84" s="40" t="s">
        <v>341</v>
      </c>
      <c r="E84" s="40" t="s">
        <v>423</v>
      </c>
      <c r="F84" s="34">
        <v>1</v>
      </c>
      <c r="G84" s="35">
        <v>7104</v>
      </c>
      <c r="H84" s="36">
        <f t="shared" si="4"/>
        <v>7104</v>
      </c>
      <c r="I84" s="90"/>
      <c r="J84" s="37"/>
      <c r="K84" s="38">
        <f t="shared" si="5"/>
        <v>45694</v>
      </c>
      <c r="L84" s="90" t="s">
        <v>143</v>
      </c>
      <c r="M84" s="39"/>
      <c r="N84" s="40"/>
      <c r="O84" s="40"/>
      <c r="P84" s="40"/>
      <c r="Q84" s="40"/>
    </row>
    <row r="85" spans="1:17" x14ac:dyDescent="0.3">
      <c r="A85" s="31" t="s">
        <v>247</v>
      </c>
      <c r="B85" s="32">
        <v>45694</v>
      </c>
      <c r="C85" s="33" t="s">
        <v>424</v>
      </c>
      <c r="D85" s="40" t="s">
        <v>136</v>
      </c>
      <c r="E85" s="40" t="s">
        <v>425</v>
      </c>
      <c r="F85" s="34">
        <v>1</v>
      </c>
      <c r="G85" s="35">
        <v>39149</v>
      </c>
      <c r="H85" s="36">
        <f t="shared" si="4"/>
        <v>39149</v>
      </c>
      <c r="I85" s="90"/>
      <c r="J85" s="37"/>
      <c r="K85" s="38">
        <f t="shared" si="5"/>
        <v>45694</v>
      </c>
      <c r="L85" s="90" t="s">
        <v>301</v>
      </c>
      <c r="M85" s="39"/>
      <c r="N85" s="40"/>
      <c r="O85" s="40"/>
      <c r="P85" s="40"/>
      <c r="Q85" s="40"/>
    </row>
    <row r="86" spans="1:17" x14ac:dyDescent="0.3">
      <c r="A86" s="31" t="s">
        <v>248</v>
      </c>
      <c r="B86" s="32">
        <v>45694</v>
      </c>
      <c r="C86" s="33" t="s">
        <v>426</v>
      </c>
      <c r="D86" s="40" t="s">
        <v>49</v>
      </c>
      <c r="E86" s="40" t="s">
        <v>427</v>
      </c>
      <c r="F86" s="34">
        <v>4</v>
      </c>
      <c r="G86" s="35">
        <v>16562.5</v>
      </c>
      <c r="H86" s="36">
        <f t="shared" si="4"/>
        <v>66250</v>
      </c>
      <c r="I86" s="90"/>
      <c r="J86" s="37"/>
      <c r="K86" s="38">
        <f t="shared" si="5"/>
        <v>45694</v>
      </c>
      <c r="L86" s="90" t="s">
        <v>20</v>
      </c>
      <c r="M86" s="39"/>
      <c r="N86" s="40"/>
      <c r="O86" s="40"/>
      <c r="P86" s="40"/>
      <c r="Q86" s="40"/>
    </row>
    <row r="87" spans="1:17" x14ac:dyDescent="0.3">
      <c r="A87" s="31" t="s">
        <v>249</v>
      </c>
      <c r="B87" s="32">
        <v>45694</v>
      </c>
      <c r="C87" s="33" t="s">
        <v>428</v>
      </c>
      <c r="D87" s="40" t="s">
        <v>49</v>
      </c>
      <c r="E87" s="40" t="s">
        <v>429</v>
      </c>
      <c r="F87" s="34">
        <v>4</v>
      </c>
      <c r="G87" s="35">
        <v>25189</v>
      </c>
      <c r="H87" s="36">
        <f t="shared" si="4"/>
        <v>100756</v>
      </c>
      <c r="I87" s="90"/>
      <c r="J87" s="37"/>
      <c r="K87" s="38">
        <f t="shared" si="5"/>
        <v>45694</v>
      </c>
      <c r="L87" s="90" t="s">
        <v>20</v>
      </c>
      <c r="M87" s="39"/>
      <c r="N87" s="40"/>
      <c r="O87" s="40"/>
      <c r="P87" s="40"/>
      <c r="Q87" s="40"/>
    </row>
    <row r="88" spans="1:17" x14ac:dyDescent="0.3">
      <c r="A88" s="31" t="s">
        <v>250</v>
      </c>
      <c r="B88" s="32">
        <v>45694</v>
      </c>
      <c r="C88" s="33" t="s">
        <v>430</v>
      </c>
      <c r="D88" s="40" t="s">
        <v>431</v>
      </c>
      <c r="E88" s="40" t="s">
        <v>51</v>
      </c>
      <c r="F88" s="34">
        <v>1</v>
      </c>
      <c r="G88" s="35">
        <v>8290</v>
      </c>
      <c r="H88" s="36">
        <f t="shared" si="4"/>
        <v>8290</v>
      </c>
      <c r="I88" s="90"/>
      <c r="J88" s="37"/>
      <c r="K88" s="38">
        <f t="shared" si="5"/>
        <v>45694</v>
      </c>
      <c r="L88" s="90" t="s">
        <v>301</v>
      </c>
      <c r="M88" s="39"/>
      <c r="N88" s="40"/>
      <c r="O88" s="40"/>
      <c r="P88" s="40"/>
      <c r="Q88" s="40"/>
    </row>
    <row r="89" spans="1:17" x14ac:dyDescent="0.3">
      <c r="A89" s="31" t="s">
        <v>251</v>
      </c>
      <c r="B89" s="32">
        <v>45694</v>
      </c>
      <c r="C89" s="33" t="s">
        <v>432</v>
      </c>
      <c r="D89" s="40" t="s">
        <v>49</v>
      </c>
      <c r="E89" s="40" t="s">
        <v>433</v>
      </c>
      <c r="F89" s="34">
        <v>3</v>
      </c>
      <c r="G89" s="35">
        <v>1929</v>
      </c>
      <c r="H89" s="36">
        <f t="shared" si="4"/>
        <v>5787</v>
      </c>
      <c r="I89" s="90"/>
      <c r="J89" s="37"/>
      <c r="K89" s="38">
        <f t="shared" si="5"/>
        <v>45694</v>
      </c>
      <c r="L89" s="90" t="s">
        <v>20</v>
      </c>
      <c r="M89" s="39"/>
      <c r="N89" s="40"/>
      <c r="O89" s="40"/>
      <c r="P89" s="40"/>
      <c r="Q89" s="40"/>
    </row>
    <row r="90" spans="1:17" x14ac:dyDescent="0.3">
      <c r="A90" s="31" t="s">
        <v>252</v>
      </c>
      <c r="B90" s="32">
        <v>45694</v>
      </c>
      <c r="C90" s="33" t="s">
        <v>16</v>
      </c>
      <c r="D90" s="40" t="s">
        <v>434</v>
      </c>
      <c r="E90" s="40" t="s">
        <v>435</v>
      </c>
      <c r="F90" s="34">
        <v>6</v>
      </c>
      <c r="G90" s="35">
        <v>9457</v>
      </c>
      <c r="H90" s="36">
        <f t="shared" si="4"/>
        <v>56742</v>
      </c>
      <c r="I90" s="90"/>
      <c r="J90" s="37"/>
      <c r="K90" s="38">
        <f t="shared" si="5"/>
        <v>45694</v>
      </c>
      <c r="L90" s="90" t="s">
        <v>143</v>
      </c>
      <c r="M90" s="39"/>
      <c r="N90" s="40"/>
      <c r="O90" s="40"/>
      <c r="P90" s="40"/>
      <c r="Q90" s="40"/>
    </row>
    <row r="91" spans="1:17" x14ac:dyDescent="0.3">
      <c r="A91" s="31" t="s">
        <v>253</v>
      </c>
      <c r="B91" s="32">
        <v>45695</v>
      </c>
      <c r="C91" s="33" t="s">
        <v>436</v>
      </c>
      <c r="D91" s="40" t="s">
        <v>437</v>
      </c>
      <c r="E91" s="40" t="s">
        <v>438</v>
      </c>
      <c r="F91" s="34">
        <v>1</v>
      </c>
      <c r="G91" s="35">
        <v>59460</v>
      </c>
      <c r="H91" s="36">
        <f t="shared" si="4"/>
        <v>59460</v>
      </c>
      <c r="I91" s="90"/>
      <c r="J91" s="37"/>
      <c r="K91" s="38">
        <f t="shared" si="5"/>
        <v>45695</v>
      </c>
      <c r="L91" s="90"/>
      <c r="M91" s="39"/>
      <c r="N91" s="40"/>
      <c r="O91" s="40"/>
      <c r="P91" s="40"/>
      <c r="Q91" s="40"/>
    </row>
    <row r="92" spans="1:17" x14ac:dyDescent="0.3">
      <c r="A92" s="31" t="s">
        <v>254</v>
      </c>
      <c r="B92" s="32">
        <v>45695</v>
      </c>
      <c r="C92" s="33" t="s">
        <v>16</v>
      </c>
      <c r="D92" s="40" t="s">
        <v>16</v>
      </c>
      <c r="E92" s="40" t="s">
        <v>439</v>
      </c>
      <c r="F92" s="34">
        <v>1</v>
      </c>
      <c r="G92" s="35"/>
      <c r="H92" s="36">
        <f t="shared" si="4"/>
        <v>0</v>
      </c>
      <c r="I92" s="90"/>
      <c r="J92" s="37"/>
      <c r="K92" s="38">
        <f t="shared" si="5"/>
        <v>45695</v>
      </c>
      <c r="L92" s="90" t="s">
        <v>17</v>
      </c>
      <c r="M92" s="39"/>
      <c r="N92" s="40"/>
      <c r="O92" s="40"/>
      <c r="P92" s="40"/>
      <c r="Q92" s="40"/>
    </row>
    <row r="93" spans="1:17" ht="28.8" x14ac:dyDescent="0.3">
      <c r="A93" s="31" t="s">
        <v>255</v>
      </c>
      <c r="B93" s="32">
        <v>45695</v>
      </c>
      <c r="C93" s="33" t="s">
        <v>440</v>
      </c>
      <c r="D93" s="40" t="s">
        <v>25</v>
      </c>
      <c r="E93" s="45" t="s">
        <v>441</v>
      </c>
      <c r="F93" s="34">
        <v>2</v>
      </c>
      <c r="G93" s="35">
        <v>2258.34</v>
      </c>
      <c r="H93" s="36">
        <f t="shared" ref="H93:H115" si="6">G93*F93</f>
        <v>4516.68</v>
      </c>
      <c r="I93" s="90"/>
      <c r="J93" s="37"/>
      <c r="K93" s="38">
        <f t="shared" si="5"/>
        <v>45695</v>
      </c>
      <c r="L93" s="90"/>
      <c r="M93" s="39"/>
      <c r="N93" s="40"/>
      <c r="O93" s="40"/>
      <c r="P93" s="40"/>
      <c r="Q93" s="40"/>
    </row>
    <row r="94" spans="1:17" x14ac:dyDescent="0.3">
      <c r="A94" s="31" t="s">
        <v>256</v>
      </c>
      <c r="B94" s="32">
        <v>45698</v>
      </c>
      <c r="C94" s="33" t="s">
        <v>442</v>
      </c>
      <c r="D94" s="40" t="s">
        <v>443</v>
      </c>
      <c r="E94" s="40" t="s">
        <v>444</v>
      </c>
      <c r="F94" s="34">
        <v>4</v>
      </c>
      <c r="G94" s="35">
        <v>3874</v>
      </c>
      <c r="H94" s="36">
        <f t="shared" si="6"/>
        <v>15496</v>
      </c>
      <c r="I94" s="90"/>
      <c r="J94" s="37"/>
      <c r="K94" s="38">
        <f t="shared" si="5"/>
        <v>45698</v>
      </c>
      <c r="L94" s="90" t="s">
        <v>17</v>
      </c>
      <c r="M94" s="39"/>
      <c r="N94" s="40"/>
      <c r="O94" s="40"/>
      <c r="P94" s="40"/>
      <c r="Q94" s="40"/>
    </row>
    <row r="95" spans="1:17" x14ac:dyDescent="0.3">
      <c r="A95" s="31" t="s">
        <v>257</v>
      </c>
      <c r="B95" s="32">
        <v>45698</v>
      </c>
      <c r="C95" s="33"/>
      <c r="D95" s="40" t="s">
        <v>150</v>
      </c>
      <c r="E95" s="40" t="s">
        <v>445</v>
      </c>
      <c r="F95" s="34">
        <v>2</v>
      </c>
      <c r="G95" s="35">
        <v>608</v>
      </c>
      <c r="H95" s="36">
        <f t="shared" si="6"/>
        <v>1216</v>
      </c>
      <c r="I95" s="90"/>
      <c r="J95" s="37"/>
      <c r="K95" s="38">
        <f t="shared" si="5"/>
        <v>45698</v>
      </c>
      <c r="L95" s="90"/>
      <c r="M95" s="39"/>
      <c r="N95" s="40"/>
      <c r="O95" s="40"/>
      <c r="P95" s="40"/>
      <c r="Q95" s="40"/>
    </row>
    <row r="96" spans="1:17" x14ac:dyDescent="0.3">
      <c r="A96" s="31" t="s">
        <v>258</v>
      </c>
      <c r="B96" s="32">
        <v>45698</v>
      </c>
      <c r="C96" s="33" t="s">
        <v>446</v>
      </c>
      <c r="D96" s="40" t="s">
        <v>31</v>
      </c>
      <c r="E96" s="40" t="s">
        <v>447</v>
      </c>
      <c r="F96" s="34">
        <v>1</v>
      </c>
      <c r="G96" s="35">
        <v>11693</v>
      </c>
      <c r="H96" s="36">
        <f t="shared" si="6"/>
        <v>11693</v>
      </c>
      <c r="I96" s="90"/>
      <c r="J96" s="37"/>
      <c r="K96" s="38">
        <f t="shared" si="5"/>
        <v>45698</v>
      </c>
      <c r="L96" s="90"/>
      <c r="M96" s="39"/>
      <c r="N96" s="40"/>
      <c r="O96" s="40"/>
      <c r="P96" s="40"/>
      <c r="Q96" s="40"/>
    </row>
    <row r="97" spans="1:17" x14ac:dyDescent="0.3">
      <c r="A97" s="31" t="s">
        <v>259</v>
      </c>
      <c r="B97" s="32">
        <v>45698</v>
      </c>
      <c r="C97" s="33" t="s">
        <v>448</v>
      </c>
      <c r="D97" s="40" t="s">
        <v>449</v>
      </c>
      <c r="E97" s="40" t="s">
        <v>450</v>
      </c>
      <c r="F97" s="34">
        <v>1</v>
      </c>
      <c r="G97" s="35"/>
      <c r="H97" s="36">
        <f t="shared" si="6"/>
        <v>0</v>
      </c>
      <c r="I97" s="90"/>
      <c r="J97" s="37"/>
      <c r="K97" s="38">
        <f t="shared" si="5"/>
        <v>45698</v>
      </c>
      <c r="L97" s="90"/>
      <c r="M97" s="39"/>
      <c r="N97" s="40"/>
      <c r="O97" s="40"/>
      <c r="P97" s="40"/>
      <c r="Q97" s="40"/>
    </row>
    <row r="98" spans="1:17" x14ac:dyDescent="0.3">
      <c r="A98" s="31" t="s">
        <v>260</v>
      </c>
      <c r="B98" s="32">
        <v>45698</v>
      </c>
      <c r="C98" s="33" t="s">
        <v>448</v>
      </c>
      <c r="D98" s="40" t="s">
        <v>449</v>
      </c>
      <c r="E98" s="40" t="s">
        <v>451</v>
      </c>
      <c r="F98" s="34">
        <v>1</v>
      </c>
      <c r="G98" s="35"/>
      <c r="H98" s="36">
        <f t="shared" si="6"/>
        <v>0</v>
      </c>
      <c r="I98" s="90"/>
      <c r="J98" s="37"/>
      <c r="K98" s="38">
        <f t="shared" si="5"/>
        <v>45698</v>
      </c>
      <c r="L98" s="90"/>
      <c r="M98" s="39"/>
      <c r="N98" s="40"/>
      <c r="O98" s="40"/>
      <c r="P98" s="40"/>
      <c r="Q98" s="40"/>
    </row>
    <row r="99" spans="1:17" x14ac:dyDescent="0.3">
      <c r="A99" s="31" t="s">
        <v>261</v>
      </c>
      <c r="B99" s="32">
        <v>45698</v>
      </c>
      <c r="C99" s="33" t="s">
        <v>448</v>
      </c>
      <c r="D99" s="40" t="s">
        <v>449</v>
      </c>
      <c r="E99" s="40" t="s">
        <v>452</v>
      </c>
      <c r="F99" s="34">
        <v>1</v>
      </c>
      <c r="G99" s="35"/>
      <c r="H99" s="36">
        <f t="shared" si="6"/>
        <v>0</v>
      </c>
      <c r="I99" s="90"/>
      <c r="J99" s="37"/>
      <c r="K99" s="38">
        <f t="shared" si="5"/>
        <v>45698</v>
      </c>
      <c r="L99" s="90"/>
      <c r="M99" s="39"/>
      <c r="N99" s="40"/>
      <c r="O99" s="40"/>
      <c r="P99" s="40"/>
      <c r="Q99" s="40"/>
    </row>
    <row r="100" spans="1:17" x14ac:dyDescent="0.3">
      <c r="A100" s="31" t="s">
        <v>262</v>
      </c>
      <c r="B100" s="32">
        <v>45698</v>
      </c>
      <c r="C100" s="33" t="s">
        <v>448</v>
      </c>
      <c r="D100" s="40" t="s">
        <v>449</v>
      </c>
      <c r="E100" s="40" t="s">
        <v>453</v>
      </c>
      <c r="F100" s="34">
        <v>2</v>
      </c>
      <c r="G100" s="35"/>
      <c r="H100" s="36">
        <f t="shared" si="6"/>
        <v>0</v>
      </c>
      <c r="I100" s="90"/>
      <c r="J100" s="37"/>
      <c r="K100" s="38">
        <f t="shared" si="5"/>
        <v>45698</v>
      </c>
      <c r="L100" s="90"/>
      <c r="M100" s="39"/>
      <c r="N100" s="40"/>
      <c r="O100" s="40"/>
      <c r="P100" s="40"/>
      <c r="Q100" s="40"/>
    </row>
    <row r="101" spans="1:17" x14ac:dyDescent="0.3">
      <c r="A101" s="31" t="s">
        <v>263</v>
      </c>
      <c r="B101" s="32">
        <v>45698</v>
      </c>
      <c r="C101" s="33" t="s">
        <v>448</v>
      </c>
      <c r="D101" s="40" t="s">
        <v>449</v>
      </c>
      <c r="E101" s="40" t="s">
        <v>451</v>
      </c>
      <c r="F101" s="34">
        <v>1</v>
      </c>
      <c r="G101" s="35"/>
      <c r="H101" s="36">
        <f t="shared" si="6"/>
        <v>0</v>
      </c>
      <c r="I101" s="90"/>
      <c r="J101" s="37"/>
      <c r="K101" s="38">
        <f t="shared" si="5"/>
        <v>45698</v>
      </c>
      <c r="L101" s="90"/>
      <c r="M101" s="39"/>
      <c r="N101" s="40"/>
      <c r="O101" s="40"/>
      <c r="P101" s="40"/>
      <c r="Q101" s="40"/>
    </row>
    <row r="102" spans="1:17" x14ac:dyDescent="0.3">
      <c r="A102" s="31" t="s">
        <v>264</v>
      </c>
      <c r="B102" s="32">
        <v>45698</v>
      </c>
      <c r="C102" s="17" t="s">
        <v>454</v>
      </c>
      <c r="D102" s="40" t="s">
        <v>455</v>
      </c>
      <c r="E102" s="42" t="s">
        <v>456</v>
      </c>
      <c r="F102" s="34">
        <v>1</v>
      </c>
      <c r="G102" s="35">
        <v>2227</v>
      </c>
      <c r="H102" s="36">
        <f t="shared" si="6"/>
        <v>2227</v>
      </c>
      <c r="I102" s="90"/>
      <c r="J102" s="37"/>
      <c r="K102" s="38">
        <f t="shared" si="5"/>
        <v>45698</v>
      </c>
      <c r="L102" s="90"/>
      <c r="M102" s="39"/>
      <c r="N102" s="40"/>
      <c r="O102" s="40"/>
      <c r="P102" s="40"/>
      <c r="Q102" s="40"/>
    </row>
    <row r="103" spans="1:17" x14ac:dyDescent="0.3">
      <c r="A103" s="31" t="s">
        <v>265</v>
      </c>
      <c r="B103" s="32">
        <v>45699</v>
      </c>
      <c r="C103" s="33" t="s">
        <v>457</v>
      </c>
      <c r="D103" s="40" t="s">
        <v>458</v>
      </c>
      <c r="E103" s="40" t="s">
        <v>459</v>
      </c>
      <c r="F103" s="34">
        <v>4</v>
      </c>
      <c r="G103" s="35">
        <v>5049.5</v>
      </c>
      <c r="H103" s="36">
        <f t="shared" si="6"/>
        <v>20198</v>
      </c>
      <c r="I103" s="90"/>
      <c r="J103" s="37"/>
      <c r="K103" s="38">
        <f t="shared" si="5"/>
        <v>45699</v>
      </c>
      <c r="L103" s="90" t="s">
        <v>17</v>
      </c>
      <c r="M103" s="39"/>
      <c r="N103" s="40"/>
      <c r="O103" s="40"/>
      <c r="P103" s="40"/>
      <c r="Q103" s="40"/>
    </row>
    <row r="104" spans="1:17" ht="16.5" customHeight="1" x14ac:dyDescent="0.3">
      <c r="A104" s="31" t="s">
        <v>266</v>
      </c>
      <c r="B104" s="32">
        <v>45700</v>
      </c>
      <c r="C104" s="17" t="s">
        <v>460</v>
      </c>
      <c r="D104" s="40" t="s">
        <v>34</v>
      </c>
      <c r="E104" s="40" t="s">
        <v>461</v>
      </c>
      <c r="F104" s="34">
        <v>1</v>
      </c>
      <c r="G104" s="35">
        <v>55013</v>
      </c>
      <c r="H104" s="36">
        <f t="shared" si="6"/>
        <v>55013</v>
      </c>
      <c r="I104" s="90"/>
      <c r="J104" s="37"/>
      <c r="K104" s="38">
        <f t="shared" si="5"/>
        <v>45700</v>
      </c>
      <c r="L104" s="90" t="s">
        <v>143</v>
      </c>
      <c r="M104" s="39"/>
      <c r="N104" s="40"/>
      <c r="O104" s="40"/>
      <c r="P104" s="40"/>
      <c r="Q104" s="40"/>
    </row>
    <row r="105" spans="1:17" x14ac:dyDescent="0.3">
      <c r="A105" s="31" t="s">
        <v>267</v>
      </c>
      <c r="B105" s="32">
        <v>45700</v>
      </c>
      <c r="C105" s="33" t="s">
        <v>16</v>
      </c>
      <c r="D105" s="40" t="s">
        <v>462</v>
      </c>
      <c r="E105" s="40" t="s">
        <v>463</v>
      </c>
      <c r="F105" s="34">
        <v>1</v>
      </c>
      <c r="G105" s="35">
        <v>21472</v>
      </c>
      <c r="H105" s="36">
        <f t="shared" si="6"/>
        <v>21472</v>
      </c>
      <c r="I105" s="90"/>
      <c r="J105" s="37"/>
      <c r="K105" s="38">
        <f t="shared" si="5"/>
        <v>45700</v>
      </c>
      <c r="L105" s="90" t="s">
        <v>143</v>
      </c>
      <c r="M105" s="39"/>
      <c r="N105" s="40"/>
      <c r="O105" s="40"/>
      <c r="P105" s="40"/>
      <c r="Q105" s="40"/>
    </row>
    <row r="106" spans="1:17" x14ac:dyDescent="0.3">
      <c r="A106" s="31" t="s">
        <v>268</v>
      </c>
      <c r="B106" s="32">
        <v>45700</v>
      </c>
      <c r="C106" s="33" t="s">
        <v>16</v>
      </c>
      <c r="D106" s="40" t="s">
        <v>464</v>
      </c>
      <c r="E106" s="40" t="s">
        <v>465</v>
      </c>
      <c r="F106" s="34">
        <v>3</v>
      </c>
      <c r="G106" s="35">
        <v>1606.6666</v>
      </c>
      <c r="H106" s="36">
        <f t="shared" si="6"/>
        <v>4819.9997999999996</v>
      </c>
      <c r="I106" s="90"/>
      <c r="J106" s="37"/>
      <c r="K106" s="38">
        <f t="shared" si="5"/>
        <v>45700</v>
      </c>
      <c r="L106" s="90" t="s">
        <v>301</v>
      </c>
      <c r="M106" s="39"/>
      <c r="N106" s="40"/>
      <c r="O106" s="40"/>
      <c r="P106" s="40"/>
      <c r="Q106" s="40"/>
    </row>
    <row r="107" spans="1:17" x14ac:dyDescent="0.3">
      <c r="A107" s="31" t="s">
        <v>269</v>
      </c>
      <c r="B107" s="32">
        <v>45700</v>
      </c>
      <c r="C107" s="33" t="s">
        <v>466</v>
      </c>
      <c r="D107" s="40" t="s">
        <v>49</v>
      </c>
      <c r="E107" s="40" t="s">
        <v>51</v>
      </c>
      <c r="F107" s="34">
        <v>2</v>
      </c>
      <c r="G107" s="35">
        <v>7105</v>
      </c>
      <c r="H107" s="36">
        <f t="shared" si="6"/>
        <v>14210</v>
      </c>
      <c r="I107" s="90"/>
      <c r="J107" s="37"/>
      <c r="K107" s="38">
        <f t="shared" si="5"/>
        <v>45700</v>
      </c>
      <c r="L107" s="90" t="s">
        <v>20</v>
      </c>
      <c r="M107" s="39"/>
      <c r="N107" s="40"/>
      <c r="O107" s="40"/>
      <c r="P107" s="40"/>
      <c r="Q107" s="40"/>
    </row>
    <row r="108" spans="1:17" x14ac:dyDescent="0.3">
      <c r="A108" s="31" t="s">
        <v>270</v>
      </c>
      <c r="B108" s="32">
        <v>45701</v>
      </c>
      <c r="C108" s="33" t="s">
        <v>467</v>
      </c>
      <c r="D108" s="40" t="s">
        <v>36</v>
      </c>
      <c r="E108" s="40" t="s">
        <v>468</v>
      </c>
      <c r="F108" s="34">
        <v>1</v>
      </c>
      <c r="G108" s="35">
        <v>28556</v>
      </c>
      <c r="H108" s="36">
        <f t="shared" si="6"/>
        <v>28556</v>
      </c>
      <c r="I108" s="90"/>
      <c r="J108" s="37"/>
      <c r="K108" s="38">
        <f t="shared" si="5"/>
        <v>45701</v>
      </c>
      <c r="L108" s="90" t="s">
        <v>17</v>
      </c>
      <c r="M108" s="39"/>
      <c r="N108" s="40"/>
      <c r="O108" s="40"/>
      <c r="P108" s="40"/>
      <c r="Q108" s="40"/>
    </row>
    <row r="109" spans="1:17" x14ac:dyDescent="0.3">
      <c r="A109" s="31" t="s">
        <v>271</v>
      </c>
      <c r="B109" s="32">
        <v>45701</v>
      </c>
      <c r="C109" s="33">
        <v>501281</v>
      </c>
      <c r="D109" s="40" t="s">
        <v>389</v>
      </c>
      <c r="E109" s="40" t="s">
        <v>42</v>
      </c>
      <c r="F109" s="34">
        <v>1</v>
      </c>
      <c r="G109" s="35">
        <v>9636</v>
      </c>
      <c r="H109" s="36">
        <f t="shared" si="6"/>
        <v>9636</v>
      </c>
      <c r="I109" s="90"/>
      <c r="J109" s="37"/>
      <c r="K109" s="38">
        <f t="shared" si="5"/>
        <v>45701</v>
      </c>
      <c r="L109" s="90" t="s">
        <v>20</v>
      </c>
      <c r="M109" s="39"/>
      <c r="N109" s="40"/>
      <c r="O109" s="40"/>
      <c r="P109" s="40"/>
      <c r="Q109" s="40"/>
    </row>
    <row r="110" spans="1:17" x14ac:dyDescent="0.3">
      <c r="A110" s="31" t="s">
        <v>272</v>
      </c>
      <c r="B110" s="32">
        <v>45701</v>
      </c>
      <c r="C110" s="33" t="s">
        <v>469</v>
      </c>
      <c r="D110" s="40" t="s">
        <v>470</v>
      </c>
      <c r="E110" s="40" t="s">
        <v>471</v>
      </c>
      <c r="F110" s="34">
        <v>2</v>
      </c>
      <c r="G110" s="35">
        <f>10159+335+3792.91</f>
        <v>14286.91</v>
      </c>
      <c r="H110" s="36">
        <f t="shared" si="6"/>
        <v>28573.82</v>
      </c>
      <c r="I110" s="90"/>
      <c r="J110" s="37"/>
      <c r="K110" s="38">
        <f t="shared" si="5"/>
        <v>45701</v>
      </c>
      <c r="L110" s="90" t="s">
        <v>17</v>
      </c>
      <c r="M110" s="39"/>
      <c r="N110" s="40"/>
      <c r="O110" s="40"/>
      <c r="P110" s="40"/>
      <c r="Q110" s="40"/>
    </row>
    <row r="111" spans="1:17" x14ac:dyDescent="0.3">
      <c r="A111" s="31" t="s">
        <v>273</v>
      </c>
      <c r="B111" s="32">
        <v>45702</v>
      </c>
      <c r="C111" s="33" t="s">
        <v>16</v>
      </c>
      <c r="D111" s="40" t="s">
        <v>472</v>
      </c>
      <c r="E111" s="40" t="s">
        <v>473</v>
      </c>
      <c r="F111" s="34">
        <v>1</v>
      </c>
      <c r="G111" s="35">
        <v>1510</v>
      </c>
      <c r="H111" s="36">
        <f t="shared" si="6"/>
        <v>1510</v>
      </c>
      <c r="I111" s="90"/>
      <c r="J111" s="37"/>
      <c r="K111" s="38">
        <f t="shared" si="5"/>
        <v>45702</v>
      </c>
      <c r="L111" s="90" t="s">
        <v>301</v>
      </c>
      <c r="M111" s="39"/>
      <c r="N111" s="40"/>
      <c r="O111" s="40"/>
      <c r="P111" s="40"/>
      <c r="Q111" s="40"/>
    </row>
    <row r="112" spans="1:17" x14ac:dyDescent="0.3">
      <c r="A112" s="31" t="s">
        <v>274</v>
      </c>
      <c r="B112" s="32">
        <v>45705</v>
      </c>
      <c r="C112" s="33" t="s">
        <v>474</v>
      </c>
      <c r="D112" s="40" t="s">
        <v>475</v>
      </c>
      <c r="E112" s="40" t="s">
        <v>154</v>
      </c>
      <c r="F112" s="34">
        <v>1</v>
      </c>
      <c r="G112" s="35">
        <v>694</v>
      </c>
      <c r="H112" s="36">
        <f t="shared" si="6"/>
        <v>694</v>
      </c>
      <c r="I112" s="90"/>
      <c r="J112" s="37"/>
      <c r="K112" s="38">
        <f t="shared" si="5"/>
        <v>45705</v>
      </c>
      <c r="L112" s="90" t="s">
        <v>301</v>
      </c>
      <c r="M112" s="39"/>
      <c r="N112" s="40"/>
      <c r="O112" s="40"/>
      <c r="P112" s="40"/>
      <c r="Q112" s="40"/>
    </row>
    <row r="113" spans="1:17" x14ac:dyDescent="0.3">
      <c r="A113" s="31" t="s">
        <v>275</v>
      </c>
      <c r="B113" s="32">
        <v>45705</v>
      </c>
      <c r="C113" s="33">
        <v>4500196253</v>
      </c>
      <c r="D113" s="40" t="s">
        <v>134</v>
      </c>
      <c r="E113" s="40" t="s">
        <v>476</v>
      </c>
      <c r="F113" s="34">
        <v>2</v>
      </c>
      <c r="G113" s="35">
        <v>6325.6</v>
      </c>
      <c r="H113" s="36">
        <f t="shared" si="6"/>
        <v>12651.2</v>
      </c>
      <c r="I113" s="90"/>
      <c r="J113" s="37"/>
      <c r="K113" s="38">
        <f t="shared" si="5"/>
        <v>45705</v>
      </c>
      <c r="L113" s="90" t="s">
        <v>301</v>
      </c>
      <c r="M113" s="39"/>
      <c r="N113" s="40"/>
      <c r="O113" s="40"/>
      <c r="P113" s="40"/>
      <c r="Q113" s="40"/>
    </row>
    <row r="114" spans="1:17" x14ac:dyDescent="0.3">
      <c r="A114" s="31" t="s">
        <v>276</v>
      </c>
      <c r="B114" s="32">
        <v>45705</v>
      </c>
      <c r="C114" s="33" t="s">
        <v>477</v>
      </c>
      <c r="D114" s="40" t="s">
        <v>39</v>
      </c>
      <c r="E114" s="40" t="s">
        <v>478</v>
      </c>
      <c r="F114" s="34">
        <v>1</v>
      </c>
      <c r="G114" s="35">
        <v>14321</v>
      </c>
      <c r="H114" s="36">
        <f t="shared" si="6"/>
        <v>14321</v>
      </c>
      <c r="I114" s="90"/>
      <c r="J114" s="37"/>
      <c r="K114" s="38">
        <f t="shared" si="5"/>
        <v>45705</v>
      </c>
      <c r="L114" s="90" t="s">
        <v>143</v>
      </c>
      <c r="M114" s="39"/>
      <c r="N114" s="40"/>
      <c r="O114" s="40"/>
      <c r="P114" s="40"/>
      <c r="Q114" s="40"/>
    </row>
    <row r="115" spans="1:17" x14ac:dyDescent="0.3">
      <c r="A115" s="31" t="s">
        <v>277</v>
      </c>
      <c r="B115" s="32">
        <v>45705</v>
      </c>
      <c r="C115" s="33" t="s">
        <v>479</v>
      </c>
      <c r="D115" s="40" t="s">
        <v>39</v>
      </c>
      <c r="E115" s="40" t="s">
        <v>480</v>
      </c>
      <c r="F115" s="34">
        <v>2</v>
      </c>
      <c r="G115" s="35">
        <v>22048.5</v>
      </c>
      <c r="H115" s="36">
        <f t="shared" si="6"/>
        <v>44097</v>
      </c>
      <c r="I115" s="90"/>
      <c r="J115" s="37"/>
      <c r="K115" s="38">
        <f t="shared" si="5"/>
        <v>45705</v>
      </c>
      <c r="L115" s="90" t="s">
        <v>143</v>
      </c>
      <c r="M115" s="39"/>
      <c r="N115" s="40"/>
      <c r="O115" s="40"/>
      <c r="P115" s="40"/>
      <c r="Q115" s="40"/>
    </row>
    <row r="116" spans="1:17" x14ac:dyDescent="0.3">
      <c r="A116" s="31" t="s">
        <v>278</v>
      </c>
      <c r="B116" s="32">
        <v>45706</v>
      </c>
      <c r="C116" s="33" t="s">
        <v>481</v>
      </c>
      <c r="D116" s="40" t="s">
        <v>482</v>
      </c>
      <c r="E116" s="40" t="s">
        <v>483</v>
      </c>
      <c r="F116" s="34">
        <v>5</v>
      </c>
      <c r="G116" s="35">
        <v>106515.1</v>
      </c>
      <c r="H116" s="36">
        <v>106515.1</v>
      </c>
      <c r="I116" s="90"/>
      <c r="J116" s="37"/>
      <c r="K116" s="38">
        <f t="shared" si="5"/>
        <v>45706</v>
      </c>
      <c r="L116" s="90" t="s">
        <v>301</v>
      </c>
      <c r="M116" s="39"/>
      <c r="N116" s="40"/>
      <c r="O116" s="40"/>
      <c r="P116" s="40"/>
      <c r="Q116" s="40"/>
    </row>
    <row r="117" spans="1:17" x14ac:dyDescent="0.3">
      <c r="A117" s="31" t="s">
        <v>279</v>
      </c>
      <c r="B117" s="32">
        <v>45706</v>
      </c>
      <c r="C117" s="17">
        <v>201873</v>
      </c>
      <c r="D117" s="29" t="s">
        <v>34</v>
      </c>
      <c r="E117" s="40" t="s">
        <v>484</v>
      </c>
      <c r="F117" s="34">
        <v>1</v>
      </c>
      <c r="G117" s="35">
        <v>21322</v>
      </c>
      <c r="H117" s="36">
        <f t="shared" ref="H117:H129" si="7">G117*F117</f>
        <v>21322</v>
      </c>
      <c r="I117" s="90"/>
      <c r="J117" s="37"/>
      <c r="K117" s="38">
        <f t="shared" si="5"/>
        <v>45706</v>
      </c>
      <c r="L117" s="90" t="s">
        <v>143</v>
      </c>
      <c r="M117" s="39"/>
      <c r="N117" s="40"/>
      <c r="O117" s="40"/>
      <c r="P117" s="40"/>
      <c r="Q117" s="40"/>
    </row>
    <row r="118" spans="1:17" x14ac:dyDescent="0.3">
      <c r="A118" s="31" t="s">
        <v>280</v>
      </c>
      <c r="B118" s="32">
        <v>45707</v>
      </c>
      <c r="C118" s="33" t="s">
        <v>485</v>
      </c>
      <c r="D118" s="40" t="s">
        <v>49</v>
      </c>
      <c r="E118" s="40" t="s">
        <v>130</v>
      </c>
      <c r="F118" s="34">
        <v>4</v>
      </c>
      <c r="G118" s="35">
        <v>10933</v>
      </c>
      <c r="H118" s="36">
        <f t="shared" si="7"/>
        <v>43732</v>
      </c>
      <c r="I118" s="90"/>
      <c r="J118" s="37"/>
      <c r="K118" s="38">
        <f t="shared" si="5"/>
        <v>45707</v>
      </c>
      <c r="L118" s="90" t="s">
        <v>20</v>
      </c>
      <c r="M118" s="39"/>
      <c r="N118" s="40"/>
      <c r="O118" s="40"/>
      <c r="P118" s="40"/>
      <c r="Q118" s="40"/>
    </row>
    <row r="119" spans="1:17" x14ac:dyDescent="0.3">
      <c r="A119" s="31" t="s">
        <v>281</v>
      </c>
      <c r="B119" s="32">
        <v>45707</v>
      </c>
      <c r="C119" s="33" t="s">
        <v>486</v>
      </c>
      <c r="D119" s="40" t="s">
        <v>49</v>
      </c>
      <c r="E119" s="40" t="s">
        <v>487</v>
      </c>
      <c r="F119" s="34">
        <v>3</v>
      </c>
      <c r="G119" s="35">
        <v>1819</v>
      </c>
      <c r="H119" s="36">
        <f t="shared" si="7"/>
        <v>5457</v>
      </c>
      <c r="I119" s="90"/>
      <c r="J119" s="37"/>
      <c r="K119" s="38">
        <f t="shared" si="5"/>
        <v>45707</v>
      </c>
      <c r="L119" s="90" t="s">
        <v>20</v>
      </c>
      <c r="M119" s="39"/>
      <c r="N119" s="40"/>
      <c r="O119" s="40"/>
      <c r="P119" s="40"/>
      <c r="Q119" s="40"/>
    </row>
    <row r="120" spans="1:17" x14ac:dyDescent="0.3">
      <c r="A120" s="31" t="s">
        <v>282</v>
      </c>
      <c r="B120" s="32">
        <v>45708</v>
      </c>
      <c r="C120" s="33" t="s">
        <v>488</v>
      </c>
      <c r="D120" s="40" t="s">
        <v>482</v>
      </c>
      <c r="E120" s="40" t="s">
        <v>489</v>
      </c>
      <c r="F120" s="34">
        <v>1</v>
      </c>
      <c r="G120" s="35">
        <v>5046</v>
      </c>
      <c r="H120" s="36">
        <f t="shared" si="7"/>
        <v>5046</v>
      </c>
      <c r="I120" s="90"/>
      <c r="J120" s="37"/>
      <c r="K120" s="38">
        <f t="shared" si="5"/>
        <v>45708</v>
      </c>
      <c r="L120" s="90"/>
      <c r="M120" s="39"/>
      <c r="N120" s="40"/>
      <c r="O120" s="40"/>
      <c r="P120" s="40"/>
      <c r="Q120" s="40"/>
    </row>
    <row r="121" spans="1:17" x14ac:dyDescent="0.3">
      <c r="A121" s="31" t="s">
        <v>283</v>
      </c>
      <c r="B121" s="32">
        <v>45708</v>
      </c>
      <c r="C121" s="17" t="s">
        <v>16</v>
      </c>
      <c r="D121" s="40" t="s">
        <v>149</v>
      </c>
      <c r="E121" s="40" t="s">
        <v>490</v>
      </c>
      <c r="F121" s="34">
        <v>1</v>
      </c>
      <c r="G121" s="35">
        <v>10627</v>
      </c>
      <c r="H121" s="36">
        <f t="shared" si="7"/>
        <v>10627</v>
      </c>
      <c r="I121" s="90"/>
      <c r="J121" s="37"/>
      <c r="K121" s="38">
        <f t="shared" si="5"/>
        <v>45708</v>
      </c>
      <c r="L121" s="90" t="s">
        <v>143</v>
      </c>
      <c r="M121" s="39"/>
      <c r="N121" s="40"/>
      <c r="O121" s="40"/>
      <c r="P121" s="40"/>
      <c r="Q121" s="40"/>
    </row>
    <row r="122" spans="1:17" x14ac:dyDescent="0.3">
      <c r="A122" s="31" t="s">
        <v>284</v>
      </c>
      <c r="B122" s="32">
        <v>45708</v>
      </c>
      <c r="C122" s="33" t="s">
        <v>491</v>
      </c>
      <c r="D122" s="40" t="s">
        <v>49</v>
      </c>
      <c r="E122" s="40" t="s">
        <v>492</v>
      </c>
      <c r="F122" s="34">
        <v>6</v>
      </c>
      <c r="G122" s="35">
        <v>1695</v>
      </c>
      <c r="H122" s="36">
        <f t="shared" si="7"/>
        <v>10170</v>
      </c>
      <c r="I122" s="90"/>
      <c r="J122" s="37"/>
      <c r="K122" s="38">
        <f t="shared" si="5"/>
        <v>45708</v>
      </c>
      <c r="L122" s="90" t="s">
        <v>20</v>
      </c>
      <c r="M122" s="39"/>
      <c r="N122" s="40"/>
      <c r="O122" s="40"/>
      <c r="P122" s="40"/>
      <c r="Q122" s="40"/>
    </row>
    <row r="123" spans="1:17" x14ac:dyDescent="0.3">
      <c r="A123" s="31" t="s">
        <v>285</v>
      </c>
      <c r="B123" s="32">
        <v>45708</v>
      </c>
      <c r="C123" s="33" t="s">
        <v>493</v>
      </c>
      <c r="D123" s="40" t="s">
        <v>362</v>
      </c>
      <c r="E123" s="40" t="s">
        <v>494</v>
      </c>
      <c r="F123" s="34">
        <v>3</v>
      </c>
      <c r="G123" s="35">
        <v>7334.33</v>
      </c>
      <c r="H123" s="36">
        <f t="shared" si="7"/>
        <v>22002.989999999998</v>
      </c>
      <c r="I123" s="90"/>
      <c r="J123" s="37"/>
      <c r="K123" s="38">
        <f t="shared" si="5"/>
        <v>45708</v>
      </c>
      <c r="L123" s="90" t="s">
        <v>17</v>
      </c>
      <c r="M123" s="39"/>
      <c r="N123" s="40"/>
      <c r="O123" s="40"/>
      <c r="P123" s="40"/>
      <c r="Q123" s="40"/>
    </row>
    <row r="124" spans="1:17" x14ac:dyDescent="0.3">
      <c r="A124" s="31" t="s">
        <v>286</v>
      </c>
      <c r="B124" s="32">
        <v>45708</v>
      </c>
      <c r="C124" s="33" t="s">
        <v>16</v>
      </c>
      <c r="D124" s="40" t="s">
        <v>495</v>
      </c>
      <c r="E124" s="40" t="s">
        <v>496</v>
      </c>
      <c r="F124" s="34">
        <v>2</v>
      </c>
      <c r="G124" s="35">
        <v>3021</v>
      </c>
      <c r="H124" s="36">
        <f t="shared" si="7"/>
        <v>6042</v>
      </c>
      <c r="I124" s="90"/>
      <c r="J124" s="37"/>
      <c r="K124" s="38">
        <f t="shared" si="5"/>
        <v>45708</v>
      </c>
      <c r="L124" s="90" t="s">
        <v>301</v>
      </c>
      <c r="M124" s="39"/>
      <c r="N124" s="40"/>
      <c r="O124" s="40"/>
      <c r="P124" s="40"/>
      <c r="Q124" s="40"/>
    </row>
    <row r="125" spans="1:17" x14ac:dyDescent="0.3">
      <c r="A125" s="31" t="s">
        <v>287</v>
      </c>
      <c r="B125" s="32">
        <v>45708</v>
      </c>
      <c r="C125" s="33" t="s">
        <v>497</v>
      </c>
      <c r="D125" s="40" t="s">
        <v>49</v>
      </c>
      <c r="E125" s="40" t="s">
        <v>498</v>
      </c>
      <c r="F125" s="34">
        <v>2</v>
      </c>
      <c r="G125" s="35">
        <v>3756</v>
      </c>
      <c r="H125" s="36">
        <f t="shared" si="7"/>
        <v>7512</v>
      </c>
      <c r="I125" s="90"/>
      <c r="J125" s="37"/>
      <c r="K125" s="38">
        <f t="shared" si="5"/>
        <v>45708</v>
      </c>
      <c r="L125" s="90" t="s">
        <v>20</v>
      </c>
      <c r="M125" s="39"/>
      <c r="N125" s="40"/>
      <c r="O125" s="40"/>
      <c r="P125" s="40"/>
      <c r="Q125" s="40"/>
    </row>
    <row r="126" spans="1:17" x14ac:dyDescent="0.3">
      <c r="A126" s="31" t="s">
        <v>288</v>
      </c>
      <c r="B126" s="32">
        <v>45708</v>
      </c>
      <c r="C126" s="33" t="s">
        <v>499</v>
      </c>
      <c r="D126" s="40" t="s">
        <v>94</v>
      </c>
      <c r="E126" s="40" t="s">
        <v>500</v>
      </c>
      <c r="F126" s="34">
        <v>1</v>
      </c>
      <c r="G126" s="35">
        <v>11500</v>
      </c>
      <c r="H126" s="36">
        <f t="shared" si="7"/>
        <v>11500</v>
      </c>
      <c r="I126" s="90"/>
      <c r="J126" s="37"/>
      <c r="K126" s="38">
        <f t="shared" si="5"/>
        <v>45708</v>
      </c>
      <c r="L126" s="90" t="s">
        <v>301</v>
      </c>
      <c r="M126" s="39"/>
      <c r="N126" s="40"/>
      <c r="O126" s="40"/>
      <c r="P126" s="40"/>
      <c r="Q126" s="40"/>
    </row>
    <row r="127" spans="1:17" x14ac:dyDescent="0.3">
      <c r="A127" s="31" t="s">
        <v>289</v>
      </c>
      <c r="B127" s="32">
        <v>45709</v>
      </c>
      <c r="C127" s="33" t="s">
        <v>501</v>
      </c>
      <c r="D127" s="40" t="s">
        <v>49</v>
      </c>
      <c r="E127" s="40" t="s">
        <v>502</v>
      </c>
      <c r="F127" s="34">
        <v>1</v>
      </c>
      <c r="G127" s="35">
        <v>5518</v>
      </c>
      <c r="H127" s="36">
        <f t="shared" si="7"/>
        <v>5518</v>
      </c>
      <c r="I127" s="90"/>
      <c r="J127" s="37"/>
      <c r="K127" s="38">
        <f t="shared" si="5"/>
        <v>45709</v>
      </c>
      <c r="L127" s="90" t="s">
        <v>20</v>
      </c>
      <c r="M127" s="39"/>
      <c r="N127" s="40"/>
      <c r="O127" s="40"/>
      <c r="P127" s="40"/>
      <c r="Q127" s="40"/>
    </row>
    <row r="128" spans="1:17" x14ac:dyDescent="0.3">
      <c r="A128" s="31" t="s">
        <v>290</v>
      </c>
      <c r="B128" s="32">
        <v>45709</v>
      </c>
      <c r="C128" s="33" t="s">
        <v>503</v>
      </c>
      <c r="D128" s="40" t="s">
        <v>49</v>
      </c>
      <c r="E128" s="40" t="s">
        <v>69</v>
      </c>
      <c r="F128" s="34">
        <v>2</v>
      </c>
      <c r="G128" s="35">
        <v>3370</v>
      </c>
      <c r="H128" s="36">
        <f t="shared" si="7"/>
        <v>6740</v>
      </c>
      <c r="I128" s="90"/>
      <c r="J128" s="37"/>
      <c r="K128" s="38">
        <f t="shared" si="5"/>
        <v>45709</v>
      </c>
      <c r="L128" s="90" t="s">
        <v>20</v>
      </c>
      <c r="M128" s="39"/>
      <c r="N128" s="40"/>
      <c r="O128" s="40"/>
      <c r="P128" s="40"/>
      <c r="Q128" s="40"/>
    </row>
    <row r="129" spans="1:17" x14ac:dyDescent="0.3">
      <c r="A129" s="31" t="s">
        <v>291</v>
      </c>
      <c r="B129" s="32">
        <v>45709</v>
      </c>
      <c r="C129" s="33" t="s">
        <v>147</v>
      </c>
      <c r="D129" s="40" t="s">
        <v>49</v>
      </c>
      <c r="E129" s="40" t="s">
        <v>504</v>
      </c>
      <c r="F129" s="34">
        <v>1</v>
      </c>
      <c r="G129" s="35">
        <v>19517</v>
      </c>
      <c r="H129" s="36">
        <f t="shared" si="7"/>
        <v>19517</v>
      </c>
      <c r="I129" s="90"/>
      <c r="J129" s="37"/>
      <c r="K129" s="38">
        <f t="shared" si="5"/>
        <v>45709</v>
      </c>
      <c r="L129" s="90" t="s">
        <v>20</v>
      </c>
      <c r="M129" s="39"/>
      <c r="N129" s="40"/>
      <c r="O129" s="40"/>
      <c r="P129" s="40"/>
      <c r="Q129" s="40"/>
    </row>
    <row r="130" spans="1:17" x14ac:dyDescent="0.3">
      <c r="A130" s="31" t="s">
        <v>292</v>
      </c>
      <c r="B130" s="32">
        <v>45712</v>
      </c>
      <c r="C130" s="33" t="s">
        <v>505</v>
      </c>
      <c r="D130" s="40" t="s">
        <v>119</v>
      </c>
      <c r="E130" s="40" t="s">
        <v>506</v>
      </c>
      <c r="F130" s="34">
        <v>2</v>
      </c>
      <c r="G130" s="35">
        <v>21538</v>
      </c>
      <c r="H130" s="36">
        <v>21538</v>
      </c>
      <c r="I130" s="90"/>
      <c r="J130" s="37"/>
      <c r="K130" s="38">
        <f t="shared" si="5"/>
        <v>45712</v>
      </c>
      <c r="L130" s="90" t="s">
        <v>301</v>
      </c>
      <c r="M130" s="39"/>
      <c r="N130" s="40"/>
      <c r="O130" s="40"/>
      <c r="P130" s="40"/>
      <c r="Q130" s="40"/>
    </row>
    <row r="131" spans="1:17" x14ac:dyDescent="0.3">
      <c r="A131" s="31" t="s">
        <v>293</v>
      </c>
      <c r="B131" s="32">
        <v>45712</v>
      </c>
      <c r="C131" s="33">
        <v>13523</v>
      </c>
      <c r="D131" s="40" t="s">
        <v>22</v>
      </c>
      <c r="E131" s="40" t="s">
        <v>507</v>
      </c>
      <c r="F131" s="34">
        <v>1</v>
      </c>
      <c r="G131" s="35">
        <v>12742</v>
      </c>
      <c r="H131" s="36">
        <f t="shared" ref="H131:H148" si="8">G131*F131</f>
        <v>12742</v>
      </c>
      <c r="I131" s="90"/>
      <c r="J131" s="37"/>
      <c r="K131" s="38">
        <f t="shared" si="5"/>
        <v>45712</v>
      </c>
      <c r="L131" s="90" t="s">
        <v>17</v>
      </c>
      <c r="M131" s="39"/>
      <c r="N131" s="40"/>
      <c r="O131" s="40"/>
      <c r="P131" s="40"/>
      <c r="Q131" s="40"/>
    </row>
    <row r="132" spans="1:17" x14ac:dyDescent="0.3">
      <c r="A132" s="31" t="s">
        <v>294</v>
      </c>
      <c r="B132" s="32">
        <v>45712</v>
      </c>
      <c r="C132" s="33" t="s">
        <v>508</v>
      </c>
      <c r="D132" s="40" t="s">
        <v>509</v>
      </c>
      <c r="E132" s="40" t="s">
        <v>93</v>
      </c>
      <c r="F132" s="34">
        <v>1</v>
      </c>
      <c r="G132" s="35">
        <v>12042</v>
      </c>
      <c r="H132" s="36">
        <f t="shared" si="8"/>
        <v>12042</v>
      </c>
      <c r="I132" s="90"/>
      <c r="J132" s="37"/>
      <c r="K132" s="38">
        <f t="shared" si="5"/>
        <v>45712</v>
      </c>
      <c r="L132" s="90" t="s">
        <v>17</v>
      </c>
      <c r="M132" s="39"/>
      <c r="N132" s="40"/>
      <c r="O132" s="40"/>
      <c r="P132" s="40"/>
      <c r="Q132" s="40"/>
    </row>
    <row r="133" spans="1:17" x14ac:dyDescent="0.3">
      <c r="A133" s="31" t="s">
        <v>510</v>
      </c>
      <c r="B133" s="32">
        <v>45712</v>
      </c>
      <c r="C133" s="33" t="s">
        <v>508</v>
      </c>
      <c r="D133" s="40" t="s">
        <v>509</v>
      </c>
      <c r="E133" s="40" t="s">
        <v>511</v>
      </c>
      <c r="F133" s="34">
        <v>1</v>
      </c>
      <c r="G133" s="35">
        <f>8983.33+(3787*2)+(2*441)+(4*319)</f>
        <v>18715.330000000002</v>
      </c>
      <c r="H133" s="36">
        <f t="shared" si="8"/>
        <v>18715.330000000002</v>
      </c>
      <c r="I133" s="90"/>
      <c r="J133" s="37"/>
      <c r="K133" s="38">
        <f t="shared" si="5"/>
        <v>45712</v>
      </c>
      <c r="L133" s="90" t="s">
        <v>17</v>
      </c>
    </row>
    <row r="134" spans="1:17" x14ac:dyDescent="0.3">
      <c r="A134" s="31" t="s">
        <v>512</v>
      </c>
      <c r="B134" s="32">
        <v>45712</v>
      </c>
      <c r="C134" s="33" t="s">
        <v>508</v>
      </c>
      <c r="D134" s="40" t="s">
        <v>509</v>
      </c>
      <c r="E134" s="40" t="s">
        <v>511</v>
      </c>
      <c r="F134" s="34">
        <v>1</v>
      </c>
      <c r="G134" s="35">
        <f>(3*8983.33)+(3787*6)+(6*441)+(12*319)</f>
        <v>56145.99</v>
      </c>
      <c r="H134" s="36">
        <f t="shared" si="8"/>
        <v>56145.99</v>
      </c>
      <c r="I134" s="90"/>
      <c r="J134" s="37"/>
      <c r="K134" s="38">
        <f t="shared" ref="K134:K197" si="9">J134+B134</f>
        <v>45712</v>
      </c>
      <c r="L134" s="90" t="s">
        <v>17</v>
      </c>
      <c r="M134" s="39"/>
      <c r="N134" s="40"/>
      <c r="O134" s="40"/>
      <c r="P134" s="40"/>
      <c r="Q134" s="40"/>
    </row>
    <row r="135" spans="1:17" x14ac:dyDescent="0.3">
      <c r="A135" s="31" t="s">
        <v>513</v>
      </c>
      <c r="B135" s="32">
        <v>45713</v>
      </c>
      <c r="C135" s="33" t="s">
        <v>514</v>
      </c>
      <c r="D135" s="40" t="s">
        <v>515</v>
      </c>
      <c r="E135" s="40" t="s">
        <v>51</v>
      </c>
      <c r="F135" s="34">
        <v>1</v>
      </c>
      <c r="G135" s="35">
        <v>8466.24</v>
      </c>
      <c r="H135" s="36">
        <f t="shared" si="8"/>
        <v>8466.24</v>
      </c>
      <c r="I135" s="90"/>
      <c r="J135" s="37"/>
      <c r="K135" s="38">
        <f t="shared" si="9"/>
        <v>45713</v>
      </c>
      <c r="L135" s="90" t="s">
        <v>17</v>
      </c>
      <c r="M135" s="39"/>
      <c r="N135" s="40"/>
      <c r="O135" s="40"/>
      <c r="P135" s="40"/>
      <c r="Q135" s="40"/>
    </row>
    <row r="136" spans="1:17" x14ac:dyDescent="0.3">
      <c r="A136" s="31" t="s">
        <v>516</v>
      </c>
      <c r="B136" s="32">
        <v>45713</v>
      </c>
      <c r="C136" s="33" t="s">
        <v>517</v>
      </c>
      <c r="D136" s="40" t="s">
        <v>472</v>
      </c>
      <c r="E136" s="40" t="s">
        <v>518</v>
      </c>
      <c r="F136" s="34">
        <v>1</v>
      </c>
      <c r="G136" s="35">
        <v>39149.480000000003</v>
      </c>
      <c r="H136" s="36">
        <f t="shared" si="8"/>
        <v>39149.480000000003</v>
      </c>
      <c r="I136" s="91"/>
      <c r="J136" s="47"/>
      <c r="K136" s="38">
        <f t="shared" si="9"/>
        <v>45713</v>
      </c>
      <c r="L136" s="91" t="s">
        <v>301</v>
      </c>
      <c r="M136" s="39"/>
      <c r="N136" s="40"/>
      <c r="O136" s="40"/>
      <c r="P136" s="40"/>
      <c r="Q136" s="40"/>
    </row>
    <row r="137" spans="1:17" x14ac:dyDescent="0.3">
      <c r="A137" s="31" t="s">
        <v>519</v>
      </c>
      <c r="B137" s="32">
        <v>45713</v>
      </c>
      <c r="C137" s="33" t="s">
        <v>520</v>
      </c>
      <c r="D137" s="40" t="s">
        <v>89</v>
      </c>
      <c r="E137" s="40" t="s">
        <v>521</v>
      </c>
      <c r="F137" s="34">
        <v>1</v>
      </c>
      <c r="G137" s="35">
        <v>8410</v>
      </c>
      <c r="H137" s="36">
        <f t="shared" si="8"/>
        <v>8410</v>
      </c>
      <c r="I137" s="92"/>
      <c r="J137" s="48"/>
      <c r="K137" s="38">
        <f t="shared" si="9"/>
        <v>45713</v>
      </c>
      <c r="L137" s="92"/>
      <c r="M137" s="39"/>
      <c r="N137" s="40"/>
      <c r="O137" s="40"/>
      <c r="P137" s="40"/>
      <c r="Q137" s="40"/>
    </row>
    <row r="138" spans="1:17" x14ac:dyDescent="0.3">
      <c r="A138" s="31" t="s">
        <v>522</v>
      </c>
      <c r="B138" s="32">
        <v>45714</v>
      </c>
      <c r="C138" s="33" t="s">
        <v>523</v>
      </c>
      <c r="D138" s="40" t="s">
        <v>39</v>
      </c>
      <c r="E138" s="40" t="s">
        <v>166</v>
      </c>
      <c r="F138" s="34">
        <v>2</v>
      </c>
      <c r="G138" s="35">
        <v>4125</v>
      </c>
      <c r="H138" s="36">
        <f t="shared" si="8"/>
        <v>8250</v>
      </c>
      <c r="I138" s="90"/>
      <c r="J138" s="37"/>
      <c r="K138" s="38">
        <f t="shared" si="9"/>
        <v>45714</v>
      </c>
      <c r="L138" s="90" t="s">
        <v>143</v>
      </c>
      <c r="M138" s="39"/>
      <c r="N138" s="40"/>
      <c r="O138" s="40"/>
      <c r="P138" s="40"/>
      <c r="Q138" s="40"/>
    </row>
    <row r="139" spans="1:17" x14ac:dyDescent="0.3">
      <c r="A139" s="31" t="s">
        <v>524</v>
      </c>
      <c r="B139" s="32">
        <v>45714</v>
      </c>
      <c r="C139" s="33" t="s">
        <v>525</v>
      </c>
      <c r="D139" s="40" t="s">
        <v>526</v>
      </c>
      <c r="E139" s="40" t="s">
        <v>500</v>
      </c>
      <c r="F139" s="34">
        <v>1</v>
      </c>
      <c r="G139" s="35">
        <v>11310</v>
      </c>
      <c r="H139" s="36">
        <f t="shared" si="8"/>
        <v>11310</v>
      </c>
      <c r="I139" s="90"/>
      <c r="J139" s="37"/>
      <c r="K139" s="38">
        <f t="shared" si="9"/>
        <v>45714</v>
      </c>
      <c r="L139" s="90" t="s">
        <v>17</v>
      </c>
      <c r="M139" s="39"/>
      <c r="N139" s="40"/>
      <c r="O139" s="40"/>
      <c r="P139" s="40"/>
      <c r="Q139" s="40"/>
    </row>
    <row r="140" spans="1:17" ht="15" customHeight="1" x14ac:dyDescent="0.3">
      <c r="A140" s="31" t="s">
        <v>527</v>
      </c>
      <c r="B140" s="32">
        <v>45715</v>
      </c>
      <c r="C140" s="49">
        <v>60238</v>
      </c>
      <c r="D140" s="40" t="s">
        <v>129</v>
      </c>
      <c r="E140" s="40" t="s">
        <v>528</v>
      </c>
      <c r="F140" s="34">
        <v>1</v>
      </c>
      <c r="G140" s="35">
        <v>23457.31</v>
      </c>
      <c r="H140" s="36">
        <f t="shared" si="8"/>
        <v>23457.31</v>
      </c>
      <c r="I140" s="90"/>
      <c r="J140" s="37"/>
      <c r="K140" s="38">
        <f t="shared" si="9"/>
        <v>45715</v>
      </c>
      <c r="L140" s="90" t="s">
        <v>143</v>
      </c>
      <c r="M140" s="39"/>
      <c r="N140" s="40"/>
      <c r="O140" s="40"/>
      <c r="P140" s="40"/>
      <c r="Q140" s="40"/>
    </row>
    <row r="141" spans="1:17" x14ac:dyDescent="0.3">
      <c r="A141" s="31" t="s">
        <v>529</v>
      </c>
      <c r="B141" s="32">
        <v>45716</v>
      </c>
      <c r="C141" s="29" t="s">
        <v>530</v>
      </c>
      <c r="D141" s="40" t="s">
        <v>531</v>
      </c>
      <c r="E141" s="40" t="s">
        <v>139</v>
      </c>
      <c r="F141" s="34">
        <v>5</v>
      </c>
      <c r="G141" s="35">
        <v>16823</v>
      </c>
      <c r="H141" s="36">
        <f t="shared" si="8"/>
        <v>84115</v>
      </c>
      <c r="I141" s="90"/>
      <c r="J141" s="37"/>
      <c r="K141" s="38">
        <f t="shared" si="9"/>
        <v>45716</v>
      </c>
      <c r="L141" s="90" t="s">
        <v>143</v>
      </c>
      <c r="M141" s="39"/>
      <c r="N141" s="40"/>
      <c r="O141" s="40"/>
      <c r="P141" s="40"/>
      <c r="Q141" s="40"/>
    </row>
    <row r="142" spans="1:17" x14ac:dyDescent="0.3">
      <c r="A142" s="31" t="s">
        <v>532</v>
      </c>
      <c r="B142" s="32">
        <v>45716</v>
      </c>
      <c r="C142" s="33" t="s">
        <v>16</v>
      </c>
      <c r="D142" s="29" t="s">
        <v>533</v>
      </c>
      <c r="E142" s="40" t="s">
        <v>534</v>
      </c>
      <c r="F142" s="34">
        <v>1</v>
      </c>
      <c r="G142" s="35">
        <v>5697</v>
      </c>
      <c r="H142" s="36">
        <f t="shared" si="8"/>
        <v>5697</v>
      </c>
      <c r="I142" s="90"/>
      <c r="J142" s="37"/>
      <c r="K142" s="38">
        <f t="shared" si="9"/>
        <v>45716</v>
      </c>
      <c r="L142" s="90" t="s">
        <v>17</v>
      </c>
      <c r="M142" s="39"/>
      <c r="N142" s="40"/>
      <c r="O142" s="40"/>
      <c r="P142" s="40"/>
      <c r="Q142" s="40"/>
    </row>
    <row r="143" spans="1:17" x14ac:dyDescent="0.3">
      <c r="A143" s="31" t="s">
        <v>535</v>
      </c>
      <c r="B143" s="32">
        <v>45716</v>
      </c>
      <c r="C143" s="33" t="s">
        <v>536</v>
      </c>
      <c r="D143" s="40" t="s">
        <v>161</v>
      </c>
      <c r="E143" s="40" t="s">
        <v>537</v>
      </c>
      <c r="F143" s="34">
        <v>1</v>
      </c>
      <c r="G143" s="35">
        <v>1043</v>
      </c>
      <c r="H143" s="36">
        <f t="shared" si="8"/>
        <v>1043</v>
      </c>
      <c r="I143" s="90"/>
      <c r="J143" s="37"/>
      <c r="K143" s="38">
        <f t="shared" si="9"/>
        <v>45716</v>
      </c>
      <c r="L143" s="90" t="s">
        <v>301</v>
      </c>
      <c r="M143" s="39"/>
      <c r="N143" s="40"/>
      <c r="O143" s="40"/>
      <c r="P143" s="40"/>
      <c r="Q143" s="40"/>
    </row>
    <row r="144" spans="1:17" x14ac:dyDescent="0.3">
      <c r="A144" s="31" t="s">
        <v>538</v>
      </c>
      <c r="B144" s="32">
        <v>45716</v>
      </c>
      <c r="C144" s="33" t="s">
        <v>539</v>
      </c>
      <c r="D144" s="40" t="s">
        <v>25</v>
      </c>
      <c r="E144" s="40" t="s">
        <v>540</v>
      </c>
      <c r="F144" s="34">
        <v>1</v>
      </c>
      <c r="G144" s="35">
        <v>4745</v>
      </c>
      <c r="H144" s="36">
        <f t="shared" si="8"/>
        <v>4745</v>
      </c>
      <c r="I144" s="90"/>
      <c r="J144" s="37"/>
      <c r="K144" s="38">
        <f t="shared" si="9"/>
        <v>45716</v>
      </c>
      <c r="L144" s="90" t="s">
        <v>301</v>
      </c>
      <c r="M144" s="39"/>
      <c r="N144" s="40"/>
      <c r="O144" s="40"/>
      <c r="P144" s="40"/>
      <c r="Q144" s="40"/>
    </row>
    <row r="145" spans="1:17" x14ac:dyDescent="0.3">
      <c r="A145" s="31" t="s">
        <v>541</v>
      </c>
      <c r="B145" s="32">
        <v>45716</v>
      </c>
      <c r="D145" s="40" t="s">
        <v>163</v>
      </c>
      <c r="E145" s="40" t="s">
        <v>542</v>
      </c>
      <c r="F145" s="34">
        <v>2</v>
      </c>
      <c r="G145" s="35">
        <v>2789.5</v>
      </c>
      <c r="H145" s="36">
        <f t="shared" si="8"/>
        <v>5579</v>
      </c>
      <c r="I145" s="90"/>
      <c r="J145" s="37"/>
      <c r="K145" s="38">
        <f t="shared" si="9"/>
        <v>45716</v>
      </c>
      <c r="L145" s="90" t="s">
        <v>17</v>
      </c>
      <c r="M145" s="39"/>
      <c r="N145" s="40"/>
      <c r="O145" s="40"/>
      <c r="P145" s="40"/>
      <c r="Q145" s="40"/>
    </row>
    <row r="146" spans="1:17" x14ac:dyDescent="0.3">
      <c r="A146" s="31" t="s">
        <v>543</v>
      </c>
      <c r="B146" s="32">
        <v>45716</v>
      </c>
      <c r="C146" s="33" t="s">
        <v>544</v>
      </c>
      <c r="D146" s="40" t="s">
        <v>49</v>
      </c>
      <c r="E146" s="40" t="s">
        <v>545</v>
      </c>
      <c r="F146" s="34">
        <v>4</v>
      </c>
      <c r="G146" s="35">
        <v>2130</v>
      </c>
      <c r="H146" s="36">
        <f t="shared" si="8"/>
        <v>8520</v>
      </c>
      <c r="I146" s="90"/>
      <c r="J146" s="37"/>
      <c r="K146" s="38">
        <f t="shared" si="9"/>
        <v>45716</v>
      </c>
      <c r="L146" s="90" t="s">
        <v>20</v>
      </c>
      <c r="M146" s="39"/>
      <c r="N146" s="40"/>
      <c r="O146" s="40"/>
      <c r="P146" s="40"/>
      <c r="Q146" s="40"/>
    </row>
    <row r="147" spans="1:17" x14ac:dyDescent="0.3">
      <c r="A147" s="31" t="s">
        <v>546</v>
      </c>
      <c r="B147" s="32">
        <v>45716</v>
      </c>
      <c r="C147" s="33" t="s">
        <v>547</v>
      </c>
      <c r="D147" s="40" t="s">
        <v>548</v>
      </c>
      <c r="E147" s="40" t="s">
        <v>549</v>
      </c>
      <c r="F147" s="34">
        <v>1</v>
      </c>
      <c r="G147" s="35">
        <f>5857.6+424+500+560</f>
        <v>7341.6</v>
      </c>
      <c r="H147" s="36">
        <f t="shared" si="8"/>
        <v>7341.6</v>
      </c>
      <c r="I147" s="90"/>
      <c r="J147" s="37"/>
      <c r="K147" s="38">
        <f t="shared" si="9"/>
        <v>45716</v>
      </c>
      <c r="L147" s="90" t="s">
        <v>17</v>
      </c>
      <c r="M147" s="39"/>
      <c r="N147" s="40"/>
      <c r="O147" s="40"/>
      <c r="P147" s="40"/>
      <c r="Q147" s="40"/>
    </row>
    <row r="148" spans="1:17" x14ac:dyDescent="0.3">
      <c r="A148" s="31" t="s">
        <v>550</v>
      </c>
      <c r="B148" s="32">
        <v>45716</v>
      </c>
      <c r="C148" s="33" t="s">
        <v>547</v>
      </c>
      <c r="D148" s="40" t="s">
        <v>548</v>
      </c>
      <c r="E148" s="40" t="s">
        <v>551</v>
      </c>
      <c r="F148" s="34">
        <v>1</v>
      </c>
      <c r="G148" s="35">
        <f>7414+326+1036+560</f>
        <v>9336</v>
      </c>
      <c r="H148" s="36">
        <f t="shared" si="8"/>
        <v>9336</v>
      </c>
      <c r="I148" s="90"/>
      <c r="J148" s="37"/>
      <c r="K148" s="38">
        <f t="shared" si="9"/>
        <v>45716</v>
      </c>
      <c r="L148" s="90" t="s">
        <v>17</v>
      </c>
      <c r="M148" s="39"/>
      <c r="N148" s="40"/>
      <c r="O148" s="40"/>
      <c r="P148" s="40"/>
      <c r="Q148" s="40"/>
    </row>
    <row r="149" spans="1:17" x14ac:dyDescent="0.3">
      <c r="A149" s="31" t="s">
        <v>552</v>
      </c>
      <c r="B149" s="32">
        <v>45719</v>
      </c>
      <c r="C149" s="33" t="s">
        <v>553</v>
      </c>
      <c r="D149" s="40" t="s">
        <v>554</v>
      </c>
      <c r="E149" s="40" t="s">
        <v>53</v>
      </c>
      <c r="F149" s="34">
        <v>4</v>
      </c>
      <c r="G149" s="35">
        <v>24808</v>
      </c>
      <c r="H149" s="36">
        <v>24808</v>
      </c>
      <c r="I149" s="90"/>
      <c r="J149" s="37"/>
      <c r="K149" s="38">
        <f t="shared" si="9"/>
        <v>45719</v>
      </c>
      <c r="L149" s="90" t="s">
        <v>301</v>
      </c>
      <c r="M149" s="39"/>
      <c r="N149" s="40"/>
      <c r="O149" s="40"/>
      <c r="P149" s="40"/>
      <c r="Q149" s="40"/>
    </row>
    <row r="150" spans="1:17" x14ac:dyDescent="0.3">
      <c r="A150" s="31" t="s">
        <v>555</v>
      </c>
      <c r="B150" s="32">
        <v>45719</v>
      </c>
      <c r="C150" s="33" t="s">
        <v>556</v>
      </c>
      <c r="D150" s="40" t="s">
        <v>548</v>
      </c>
      <c r="E150" s="40" t="s">
        <v>557</v>
      </c>
      <c r="F150" s="34">
        <v>1</v>
      </c>
      <c r="G150" s="35"/>
      <c r="H150" s="36">
        <f t="shared" ref="H150:H158" si="10">G150*F150</f>
        <v>0</v>
      </c>
      <c r="I150" s="90"/>
      <c r="J150" s="37"/>
      <c r="K150" s="38">
        <f t="shared" si="9"/>
        <v>45719</v>
      </c>
      <c r="L150" s="90"/>
      <c r="M150" s="39"/>
      <c r="N150" s="40"/>
      <c r="O150" s="40"/>
      <c r="P150" s="40"/>
      <c r="Q150" s="40"/>
    </row>
    <row r="151" spans="1:17" x14ac:dyDescent="0.3">
      <c r="A151" s="31" t="s">
        <v>558</v>
      </c>
      <c r="B151" s="32">
        <v>45719</v>
      </c>
      <c r="C151" s="33" t="s">
        <v>556</v>
      </c>
      <c r="D151" s="40" t="s">
        <v>548</v>
      </c>
      <c r="E151" s="40" t="s">
        <v>559</v>
      </c>
      <c r="F151" s="34">
        <v>1</v>
      </c>
      <c r="G151" s="35"/>
      <c r="H151" s="36">
        <f t="shared" si="10"/>
        <v>0</v>
      </c>
      <c r="I151" s="90"/>
      <c r="J151" s="37"/>
      <c r="K151" s="38">
        <f t="shared" si="9"/>
        <v>45719</v>
      </c>
      <c r="L151" s="90"/>
      <c r="M151" s="39"/>
      <c r="N151" s="40"/>
      <c r="O151" s="40"/>
      <c r="P151" s="40"/>
      <c r="Q151" s="40"/>
    </row>
    <row r="152" spans="1:17" x14ac:dyDescent="0.3">
      <c r="A152" s="31" t="s">
        <v>560</v>
      </c>
      <c r="B152" s="32">
        <v>45719</v>
      </c>
      <c r="C152" s="33" t="s">
        <v>556</v>
      </c>
      <c r="D152" s="40" t="s">
        <v>548</v>
      </c>
      <c r="E152" s="40" t="s">
        <v>557</v>
      </c>
      <c r="F152" s="34">
        <v>1</v>
      </c>
      <c r="G152" s="35"/>
      <c r="H152" s="36">
        <f t="shared" si="10"/>
        <v>0</v>
      </c>
      <c r="I152" s="90"/>
      <c r="J152" s="37"/>
      <c r="K152" s="38">
        <f t="shared" si="9"/>
        <v>45719</v>
      </c>
      <c r="L152" s="90"/>
      <c r="M152" s="39"/>
      <c r="N152" s="40"/>
      <c r="O152" s="40"/>
      <c r="P152" s="40"/>
      <c r="Q152" s="40"/>
    </row>
    <row r="153" spans="1:17" x14ac:dyDescent="0.3">
      <c r="A153" s="31" t="s">
        <v>561</v>
      </c>
      <c r="B153" s="32">
        <v>45719</v>
      </c>
      <c r="C153" s="33" t="s">
        <v>556</v>
      </c>
      <c r="D153" s="40" t="s">
        <v>548</v>
      </c>
      <c r="E153" s="40" t="s">
        <v>562</v>
      </c>
      <c r="F153" s="34">
        <v>1</v>
      </c>
      <c r="G153" s="35"/>
      <c r="H153" s="36">
        <f t="shared" si="10"/>
        <v>0</v>
      </c>
      <c r="I153" s="90"/>
      <c r="J153" s="37"/>
      <c r="K153" s="38">
        <f t="shared" si="9"/>
        <v>45719</v>
      </c>
      <c r="L153" s="90"/>
      <c r="M153" s="39"/>
      <c r="N153" s="40"/>
      <c r="O153" s="40"/>
      <c r="P153" s="40"/>
      <c r="Q153" s="40"/>
    </row>
    <row r="154" spans="1:17" x14ac:dyDescent="0.3">
      <c r="A154" s="31" t="s">
        <v>563</v>
      </c>
      <c r="B154" s="32">
        <v>45719</v>
      </c>
      <c r="C154" s="33" t="s">
        <v>556</v>
      </c>
      <c r="D154" s="40" t="s">
        <v>548</v>
      </c>
      <c r="E154" s="40" t="s">
        <v>557</v>
      </c>
      <c r="F154" s="34">
        <v>1</v>
      </c>
      <c r="G154" s="35"/>
      <c r="H154" s="36">
        <f t="shared" si="10"/>
        <v>0</v>
      </c>
      <c r="I154" s="90"/>
      <c r="J154" s="37"/>
      <c r="K154" s="38">
        <f t="shared" si="9"/>
        <v>45719</v>
      </c>
      <c r="L154" s="90"/>
      <c r="M154" s="39"/>
      <c r="N154" s="40"/>
      <c r="O154" s="40"/>
      <c r="P154" s="40"/>
      <c r="Q154" s="40"/>
    </row>
    <row r="155" spans="1:17" x14ac:dyDescent="0.3">
      <c r="A155" s="31" t="s">
        <v>564</v>
      </c>
      <c r="B155" s="32">
        <v>45719</v>
      </c>
      <c r="C155" s="33" t="s">
        <v>556</v>
      </c>
      <c r="D155" s="40" t="s">
        <v>548</v>
      </c>
      <c r="E155" s="40" t="s">
        <v>565</v>
      </c>
      <c r="F155" s="34">
        <v>1</v>
      </c>
      <c r="G155" s="35"/>
      <c r="H155" s="36">
        <f t="shared" si="10"/>
        <v>0</v>
      </c>
      <c r="I155" s="90"/>
      <c r="J155" s="37"/>
      <c r="K155" s="38">
        <f t="shared" si="9"/>
        <v>45719</v>
      </c>
      <c r="L155" s="90"/>
      <c r="M155" s="39"/>
      <c r="N155" s="40"/>
      <c r="O155" s="40"/>
      <c r="P155" s="40"/>
      <c r="Q155" s="40"/>
    </row>
    <row r="156" spans="1:17" x14ac:dyDescent="0.3">
      <c r="A156" s="31" t="s">
        <v>566</v>
      </c>
      <c r="B156" s="32">
        <v>45719</v>
      </c>
      <c r="C156" s="33" t="s">
        <v>556</v>
      </c>
      <c r="D156" s="40" t="s">
        <v>548</v>
      </c>
      <c r="E156" s="40" t="s">
        <v>567</v>
      </c>
      <c r="F156" s="34">
        <v>1</v>
      </c>
      <c r="G156" s="35"/>
      <c r="H156" s="36">
        <f t="shared" si="10"/>
        <v>0</v>
      </c>
      <c r="I156" s="90"/>
      <c r="J156" s="37"/>
      <c r="K156" s="38">
        <f t="shared" si="9"/>
        <v>45719</v>
      </c>
      <c r="L156" s="90"/>
      <c r="M156" s="39"/>
      <c r="N156" s="40"/>
      <c r="O156" s="40"/>
      <c r="P156" s="40"/>
      <c r="Q156" s="40"/>
    </row>
    <row r="157" spans="1:17" x14ac:dyDescent="0.3">
      <c r="A157" s="31" t="s">
        <v>568</v>
      </c>
      <c r="B157" s="32">
        <v>45719</v>
      </c>
      <c r="C157" s="33" t="s">
        <v>556</v>
      </c>
      <c r="D157" s="40" t="s">
        <v>548</v>
      </c>
      <c r="E157" s="40" t="s">
        <v>569</v>
      </c>
      <c r="F157" s="34">
        <v>1</v>
      </c>
      <c r="G157" s="35"/>
      <c r="H157" s="36">
        <f t="shared" si="10"/>
        <v>0</v>
      </c>
      <c r="I157" s="90"/>
      <c r="J157" s="37"/>
      <c r="K157" s="38">
        <f t="shared" si="9"/>
        <v>45719</v>
      </c>
      <c r="L157" s="90"/>
      <c r="M157" s="39"/>
      <c r="N157" s="40"/>
      <c r="O157" s="40"/>
      <c r="P157" s="40"/>
      <c r="Q157" s="40"/>
    </row>
    <row r="158" spans="1:17" x14ac:dyDescent="0.3">
      <c r="A158" s="31" t="s">
        <v>570</v>
      </c>
      <c r="B158" s="32">
        <v>45720</v>
      </c>
      <c r="C158" s="33">
        <v>501299</v>
      </c>
      <c r="D158" s="40" t="s">
        <v>389</v>
      </c>
      <c r="E158" s="40" t="s">
        <v>571</v>
      </c>
      <c r="F158" s="34">
        <v>2</v>
      </c>
      <c r="G158" s="35">
        <v>17356</v>
      </c>
      <c r="H158" s="36">
        <f t="shared" si="10"/>
        <v>34712</v>
      </c>
      <c r="I158" s="90"/>
      <c r="J158" s="37"/>
      <c r="K158" s="38">
        <f t="shared" si="9"/>
        <v>45720</v>
      </c>
      <c r="L158" s="90" t="s">
        <v>20</v>
      </c>
      <c r="M158" s="39"/>
      <c r="N158" s="40"/>
      <c r="O158" s="40"/>
      <c r="P158" s="40"/>
      <c r="Q158" s="40"/>
    </row>
    <row r="159" spans="1:17" x14ac:dyDescent="0.3">
      <c r="A159" s="31" t="s">
        <v>572</v>
      </c>
      <c r="B159" s="32">
        <v>45720</v>
      </c>
      <c r="C159" s="33" t="s">
        <v>573</v>
      </c>
      <c r="D159" s="40" t="s">
        <v>482</v>
      </c>
      <c r="E159" s="40" t="s">
        <v>574</v>
      </c>
      <c r="F159" s="34">
        <v>2</v>
      </c>
      <c r="G159" s="35">
        <v>19754</v>
      </c>
      <c r="H159" s="36">
        <v>19754</v>
      </c>
      <c r="I159" s="90"/>
      <c r="J159" s="37"/>
      <c r="K159" s="38">
        <f t="shared" si="9"/>
        <v>45720</v>
      </c>
      <c r="L159" s="90"/>
      <c r="M159" s="39"/>
      <c r="N159" s="40"/>
      <c r="O159" s="40"/>
      <c r="P159" s="40"/>
      <c r="Q159" s="40"/>
    </row>
    <row r="160" spans="1:17" x14ac:dyDescent="0.3">
      <c r="A160" s="31" t="s">
        <v>575</v>
      </c>
      <c r="B160" s="32">
        <v>45722</v>
      </c>
      <c r="C160" s="33" t="s">
        <v>16</v>
      </c>
      <c r="D160" s="40" t="s">
        <v>576</v>
      </c>
      <c r="E160" s="40" t="s">
        <v>577</v>
      </c>
      <c r="F160" s="34">
        <v>1</v>
      </c>
      <c r="G160" s="35"/>
      <c r="H160" s="36">
        <f t="shared" ref="H160:H166" si="11">G160*F160</f>
        <v>0</v>
      </c>
      <c r="I160" s="90"/>
      <c r="J160" s="37"/>
      <c r="K160" s="38">
        <f t="shared" si="9"/>
        <v>45722</v>
      </c>
      <c r="L160" s="90"/>
      <c r="M160" s="39"/>
      <c r="N160" s="40"/>
      <c r="O160" s="40"/>
      <c r="P160" s="40"/>
      <c r="Q160" s="40"/>
    </row>
    <row r="161" spans="1:17" x14ac:dyDescent="0.3">
      <c r="A161" s="31" t="s">
        <v>578</v>
      </c>
      <c r="B161" s="32">
        <v>45722</v>
      </c>
      <c r="C161" s="33" t="s">
        <v>16</v>
      </c>
      <c r="D161" s="40" t="s">
        <v>579</v>
      </c>
      <c r="E161" s="40" t="s">
        <v>580</v>
      </c>
      <c r="F161" s="34">
        <v>3</v>
      </c>
      <c r="G161" s="35">
        <v>962.33299999999997</v>
      </c>
      <c r="H161" s="36">
        <f t="shared" si="11"/>
        <v>2886.9989999999998</v>
      </c>
      <c r="I161" s="90"/>
      <c r="J161" s="37"/>
      <c r="K161" s="38">
        <f t="shared" si="9"/>
        <v>45722</v>
      </c>
      <c r="L161" s="90" t="s">
        <v>17</v>
      </c>
      <c r="M161" s="39"/>
      <c r="N161" s="40"/>
      <c r="O161" s="40"/>
      <c r="P161" s="40"/>
      <c r="Q161" s="40"/>
    </row>
    <row r="162" spans="1:17" x14ac:dyDescent="0.3">
      <c r="A162" s="31" t="s">
        <v>581</v>
      </c>
      <c r="B162" s="32">
        <v>45722</v>
      </c>
      <c r="C162" s="33" t="s">
        <v>16</v>
      </c>
      <c r="D162" s="40" t="s">
        <v>582</v>
      </c>
      <c r="E162" s="40" t="s">
        <v>583</v>
      </c>
      <c r="F162" s="34">
        <v>10</v>
      </c>
      <c r="G162" s="35">
        <f>81247.2/10</f>
        <v>8124.7199999999993</v>
      </c>
      <c r="H162" s="36">
        <f t="shared" si="11"/>
        <v>81247.199999999997</v>
      </c>
      <c r="I162" s="90"/>
      <c r="J162" s="37"/>
      <c r="K162" s="38">
        <f t="shared" si="9"/>
        <v>45722</v>
      </c>
      <c r="L162" s="90" t="s">
        <v>17</v>
      </c>
      <c r="M162" s="39"/>
      <c r="N162" s="40"/>
      <c r="O162" s="40"/>
      <c r="P162" s="40"/>
      <c r="Q162" s="40"/>
    </row>
    <row r="163" spans="1:17" x14ac:dyDescent="0.3">
      <c r="A163" s="31" t="s">
        <v>584</v>
      </c>
      <c r="B163" s="32">
        <v>45723</v>
      </c>
      <c r="C163" s="33" t="s">
        <v>16</v>
      </c>
      <c r="D163" s="40" t="s">
        <v>585</v>
      </c>
      <c r="E163" s="40" t="s">
        <v>586</v>
      </c>
      <c r="F163" s="34">
        <v>2</v>
      </c>
      <c r="G163" s="35">
        <v>884</v>
      </c>
      <c r="H163" s="36">
        <f t="shared" si="11"/>
        <v>1768</v>
      </c>
      <c r="I163" s="90"/>
      <c r="J163" s="37"/>
      <c r="K163" s="38">
        <f t="shared" si="9"/>
        <v>45723</v>
      </c>
      <c r="L163" s="90" t="s">
        <v>17</v>
      </c>
      <c r="M163" s="39"/>
      <c r="N163" s="40"/>
      <c r="O163" s="40"/>
      <c r="P163" s="40"/>
      <c r="Q163" s="40"/>
    </row>
    <row r="164" spans="1:17" x14ac:dyDescent="0.3">
      <c r="A164" s="31" t="s">
        <v>587</v>
      </c>
      <c r="B164" s="32">
        <v>45723</v>
      </c>
      <c r="C164" s="33" t="s">
        <v>16</v>
      </c>
      <c r="D164" s="40" t="s">
        <v>149</v>
      </c>
      <c r="E164" s="40" t="s">
        <v>59</v>
      </c>
      <c r="F164" s="34">
        <v>7</v>
      </c>
      <c r="G164" s="35">
        <v>1582</v>
      </c>
      <c r="H164" s="36">
        <f t="shared" si="11"/>
        <v>11074</v>
      </c>
      <c r="I164" s="90"/>
      <c r="J164" s="37"/>
      <c r="K164" s="38">
        <f t="shared" si="9"/>
        <v>45723</v>
      </c>
      <c r="L164" s="90" t="s">
        <v>143</v>
      </c>
      <c r="M164" s="39"/>
      <c r="N164" s="40"/>
      <c r="O164" s="40"/>
      <c r="P164" s="40"/>
      <c r="Q164" s="40"/>
    </row>
    <row r="165" spans="1:17" x14ac:dyDescent="0.3">
      <c r="A165" s="31" t="s">
        <v>588</v>
      </c>
      <c r="B165" s="32">
        <v>45723</v>
      </c>
      <c r="C165" s="33" t="s">
        <v>589</v>
      </c>
      <c r="D165" s="40" t="s">
        <v>49</v>
      </c>
      <c r="E165" s="40" t="s">
        <v>590</v>
      </c>
      <c r="F165" s="34">
        <v>3</v>
      </c>
      <c r="G165" s="35">
        <v>103534</v>
      </c>
      <c r="H165" s="36">
        <f t="shared" si="11"/>
        <v>310602</v>
      </c>
      <c r="I165" s="90"/>
      <c r="J165" s="37"/>
      <c r="K165" s="38">
        <f t="shared" si="9"/>
        <v>45723</v>
      </c>
      <c r="L165" s="90" t="s">
        <v>20</v>
      </c>
      <c r="M165" s="39"/>
      <c r="N165" s="40"/>
      <c r="O165" s="40"/>
      <c r="P165" s="40"/>
      <c r="Q165" s="40"/>
    </row>
    <row r="166" spans="1:17" x14ac:dyDescent="0.3">
      <c r="A166" s="31" t="s">
        <v>591</v>
      </c>
      <c r="B166" s="32">
        <v>45726</v>
      </c>
      <c r="C166" s="33" t="s">
        <v>592</v>
      </c>
      <c r="D166" s="40" t="s">
        <v>593</v>
      </c>
      <c r="E166" s="40" t="s">
        <v>594</v>
      </c>
      <c r="F166" s="34">
        <v>1</v>
      </c>
      <c r="G166" s="35">
        <v>3006</v>
      </c>
      <c r="H166" s="36">
        <f t="shared" si="11"/>
        <v>3006</v>
      </c>
      <c r="I166" s="90"/>
      <c r="J166" s="37"/>
      <c r="K166" s="38">
        <f t="shared" si="9"/>
        <v>45726</v>
      </c>
      <c r="L166" s="90" t="s">
        <v>301</v>
      </c>
      <c r="M166" s="39"/>
      <c r="N166" s="40"/>
      <c r="O166" s="40"/>
      <c r="P166" s="40"/>
      <c r="Q166" s="40"/>
    </row>
    <row r="167" spans="1:17" x14ac:dyDescent="0.3">
      <c r="A167" s="31" t="s">
        <v>595</v>
      </c>
      <c r="B167" s="32">
        <v>45726</v>
      </c>
      <c r="C167" s="33" t="s">
        <v>16</v>
      </c>
      <c r="D167" s="40" t="s">
        <v>114</v>
      </c>
      <c r="E167" s="40" t="s">
        <v>596</v>
      </c>
      <c r="F167" s="34">
        <v>4</v>
      </c>
      <c r="G167" s="35">
        <v>6544</v>
      </c>
      <c r="H167" s="36">
        <v>6544</v>
      </c>
      <c r="I167" s="90"/>
      <c r="J167" s="37"/>
      <c r="K167" s="38">
        <f t="shared" si="9"/>
        <v>45726</v>
      </c>
      <c r="L167" s="90" t="s">
        <v>301</v>
      </c>
      <c r="M167" s="39"/>
      <c r="N167" s="40"/>
      <c r="O167" s="40"/>
      <c r="P167" s="40"/>
      <c r="Q167" s="40"/>
    </row>
    <row r="168" spans="1:17" x14ac:dyDescent="0.3">
      <c r="A168" s="31" t="s">
        <v>597</v>
      </c>
      <c r="B168" s="32">
        <v>45727</v>
      </c>
      <c r="C168" s="33" t="s">
        <v>598</v>
      </c>
      <c r="D168" s="40" t="s">
        <v>470</v>
      </c>
      <c r="E168" s="40" t="s">
        <v>599</v>
      </c>
      <c r="F168" s="34">
        <v>1</v>
      </c>
      <c r="G168" s="35">
        <v>12240.44</v>
      </c>
      <c r="H168" s="36">
        <f t="shared" ref="H168:H199" si="12">F168*G168</f>
        <v>12240.44</v>
      </c>
      <c r="I168" s="90"/>
      <c r="J168" s="37"/>
      <c r="K168" s="38">
        <f t="shared" si="9"/>
        <v>45727</v>
      </c>
      <c r="L168" s="90" t="s">
        <v>17</v>
      </c>
      <c r="M168" s="39"/>
      <c r="N168" s="40"/>
      <c r="O168" s="40"/>
      <c r="P168" s="40"/>
      <c r="Q168" s="40"/>
    </row>
    <row r="169" spans="1:17" x14ac:dyDescent="0.3">
      <c r="A169" s="31" t="s">
        <v>600</v>
      </c>
      <c r="B169" s="32">
        <v>45726</v>
      </c>
      <c r="C169" s="33" t="s">
        <v>601</v>
      </c>
      <c r="D169" s="40" t="s">
        <v>602</v>
      </c>
      <c r="E169" s="40" t="s">
        <v>603</v>
      </c>
      <c r="F169" s="34">
        <v>3</v>
      </c>
      <c r="G169" s="35">
        <v>5029.1899999999996</v>
      </c>
      <c r="H169" s="36">
        <f t="shared" si="12"/>
        <v>15087.57</v>
      </c>
      <c r="I169" s="90"/>
      <c r="J169" s="37"/>
      <c r="K169" s="38">
        <f t="shared" si="9"/>
        <v>45726</v>
      </c>
      <c r="L169" s="90" t="s">
        <v>17</v>
      </c>
      <c r="M169" s="39"/>
      <c r="N169" s="40"/>
      <c r="O169" s="40"/>
      <c r="P169" s="40"/>
      <c r="Q169" s="40"/>
    </row>
    <row r="170" spans="1:17" x14ac:dyDescent="0.3">
      <c r="A170" s="31" t="s">
        <v>604</v>
      </c>
      <c r="B170" s="32">
        <v>45727</v>
      </c>
      <c r="C170" s="33" t="s">
        <v>605</v>
      </c>
      <c r="D170" s="40" t="s">
        <v>31</v>
      </c>
      <c r="E170" s="40" t="s">
        <v>606</v>
      </c>
      <c r="F170" s="34">
        <v>2</v>
      </c>
      <c r="G170" s="35">
        <v>884</v>
      </c>
      <c r="H170" s="36">
        <f t="shared" si="12"/>
        <v>1768</v>
      </c>
      <c r="I170" s="90"/>
      <c r="J170" s="37"/>
      <c r="K170" s="38">
        <f t="shared" si="9"/>
        <v>45727</v>
      </c>
      <c r="L170" s="90" t="s">
        <v>301</v>
      </c>
      <c r="M170" s="39"/>
      <c r="N170" s="40"/>
      <c r="O170" s="40"/>
      <c r="P170" s="40"/>
      <c r="Q170" s="40"/>
    </row>
    <row r="171" spans="1:17" x14ac:dyDescent="0.3">
      <c r="A171" s="31" t="s">
        <v>607</v>
      </c>
      <c r="B171" s="32">
        <v>45727</v>
      </c>
      <c r="C171" s="33" t="s">
        <v>608</v>
      </c>
      <c r="D171" s="40" t="s">
        <v>609</v>
      </c>
      <c r="E171" s="40" t="s">
        <v>610</v>
      </c>
      <c r="F171" s="34"/>
      <c r="G171" s="35"/>
      <c r="H171" s="36">
        <f t="shared" si="12"/>
        <v>0</v>
      </c>
      <c r="I171" s="90"/>
      <c r="J171" s="37"/>
      <c r="K171" s="38">
        <f t="shared" si="9"/>
        <v>45727</v>
      </c>
      <c r="L171" s="90"/>
      <c r="M171" s="39"/>
      <c r="N171" s="40"/>
      <c r="O171" s="40"/>
      <c r="P171" s="40"/>
      <c r="Q171" s="40"/>
    </row>
    <row r="172" spans="1:17" x14ac:dyDescent="0.3">
      <c r="A172" s="31" t="s">
        <v>611</v>
      </c>
      <c r="B172" s="32">
        <v>45727</v>
      </c>
      <c r="C172" s="33" t="s">
        <v>612</v>
      </c>
      <c r="D172" s="40" t="s">
        <v>49</v>
      </c>
      <c r="E172" s="40" t="s">
        <v>613</v>
      </c>
      <c r="F172" s="34">
        <v>1</v>
      </c>
      <c r="G172" s="35">
        <v>1593</v>
      </c>
      <c r="H172" s="36">
        <f t="shared" si="12"/>
        <v>1593</v>
      </c>
      <c r="I172" s="90"/>
      <c r="J172" s="37"/>
      <c r="K172" s="38">
        <f t="shared" si="9"/>
        <v>45727</v>
      </c>
      <c r="L172" s="90" t="s">
        <v>20</v>
      </c>
      <c r="M172" s="39"/>
      <c r="N172" s="40"/>
      <c r="O172" s="40"/>
      <c r="P172" s="40"/>
      <c r="Q172" s="40"/>
    </row>
    <row r="173" spans="1:17" x14ac:dyDescent="0.3">
      <c r="A173" s="31" t="s">
        <v>614</v>
      </c>
      <c r="B173" s="32">
        <v>45727</v>
      </c>
      <c r="C173" s="33" t="s">
        <v>615</v>
      </c>
      <c r="D173" s="40" t="s">
        <v>49</v>
      </c>
      <c r="E173" s="40" t="s">
        <v>96</v>
      </c>
      <c r="F173" s="34">
        <v>1</v>
      </c>
      <c r="G173" s="35">
        <v>8581</v>
      </c>
      <c r="H173" s="36">
        <f t="shared" si="12"/>
        <v>8581</v>
      </c>
      <c r="I173" s="90"/>
      <c r="J173" s="37"/>
      <c r="K173" s="38">
        <f t="shared" si="9"/>
        <v>45727</v>
      </c>
      <c r="L173" s="90" t="s">
        <v>20</v>
      </c>
      <c r="M173" s="39"/>
      <c r="N173" s="40"/>
      <c r="O173" s="40"/>
      <c r="P173" s="40"/>
      <c r="Q173" s="40"/>
    </row>
    <row r="174" spans="1:17" x14ac:dyDescent="0.3">
      <c r="A174" s="31" t="s">
        <v>616</v>
      </c>
      <c r="B174" s="32">
        <v>45727</v>
      </c>
      <c r="C174" s="17">
        <v>202481</v>
      </c>
      <c r="D174" s="40" t="s">
        <v>34</v>
      </c>
      <c r="E174" s="40" t="s">
        <v>617</v>
      </c>
      <c r="F174" s="34">
        <v>2</v>
      </c>
      <c r="G174" s="50">
        <v>97489</v>
      </c>
      <c r="H174" s="36">
        <f t="shared" si="12"/>
        <v>194978</v>
      </c>
      <c r="I174" s="90"/>
      <c r="J174" s="37"/>
      <c r="K174" s="38">
        <f t="shared" si="9"/>
        <v>45727</v>
      </c>
      <c r="L174" s="90" t="s">
        <v>143</v>
      </c>
      <c r="M174" s="39"/>
      <c r="N174" s="40"/>
      <c r="O174" s="40"/>
      <c r="P174" s="40"/>
      <c r="Q174" s="40"/>
    </row>
    <row r="175" spans="1:17" x14ac:dyDescent="0.3">
      <c r="A175" s="31" t="s">
        <v>618</v>
      </c>
      <c r="B175" s="32">
        <v>45728</v>
      </c>
      <c r="C175" s="33" t="s">
        <v>155</v>
      </c>
      <c r="D175" s="40" t="s">
        <v>141</v>
      </c>
      <c r="E175" s="40" t="s">
        <v>619</v>
      </c>
      <c r="F175" s="34">
        <v>1</v>
      </c>
      <c r="G175" s="35">
        <v>22116.52</v>
      </c>
      <c r="H175" s="36">
        <f t="shared" si="12"/>
        <v>22116.52</v>
      </c>
      <c r="I175" s="90"/>
      <c r="J175" s="37"/>
      <c r="K175" s="38">
        <f t="shared" si="9"/>
        <v>45728</v>
      </c>
      <c r="L175" s="90" t="s">
        <v>301</v>
      </c>
      <c r="M175" s="39"/>
      <c r="N175" s="40"/>
      <c r="O175" s="40"/>
      <c r="P175" s="40"/>
      <c r="Q175" s="40"/>
    </row>
    <row r="176" spans="1:17" x14ac:dyDescent="0.3">
      <c r="A176" s="31" t="s">
        <v>620</v>
      </c>
      <c r="B176" s="32">
        <v>45728</v>
      </c>
      <c r="C176" s="33" t="s">
        <v>621</v>
      </c>
      <c r="D176" s="40" t="s">
        <v>622</v>
      </c>
      <c r="E176" s="40" t="s">
        <v>623</v>
      </c>
      <c r="F176" s="34">
        <v>1</v>
      </c>
      <c r="G176" s="35">
        <v>7036.65</v>
      </c>
      <c r="H176" s="36">
        <f t="shared" si="12"/>
        <v>7036.65</v>
      </c>
      <c r="I176" s="90"/>
      <c r="J176" s="37"/>
      <c r="K176" s="38">
        <f t="shared" si="9"/>
        <v>45728</v>
      </c>
      <c r="L176" s="90" t="s">
        <v>301</v>
      </c>
      <c r="M176" s="39"/>
      <c r="N176" s="40"/>
      <c r="O176" s="40"/>
      <c r="P176" s="40"/>
      <c r="Q176" s="40"/>
    </row>
    <row r="177" spans="1:17" x14ac:dyDescent="0.3">
      <c r="A177" s="31" t="s">
        <v>624</v>
      </c>
      <c r="B177" s="32">
        <v>45729</v>
      </c>
      <c r="C177" s="33" t="s">
        <v>625</v>
      </c>
      <c r="D177" s="40" t="s">
        <v>458</v>
      </c>
      <c r="E177" s="40" t="s">
        <v>53</v>
      </c>
      <c r="F177" s="34">
        <v>4</v>
      </c>
      <c r="G177" s="35">
        <v>5767</v>
      </c>
      <c r="H177" s="36">
        <f t="shared" si="12"/>
        <v>23068</v>
      </c>
      <c r="I177" s="90"/>
      <c r="J177" s="37"/>
      <c r="K177" s="38">
        <f t="shared" si="9"/>
        <v>45729</v>
      </c>
      <c r="L177" s="90" t="s">
        <v>17</v>
      </c>
      <c r="M177" s="39"/>
      <c r="N177" s="40"/>
      <c r="O177" s="40"/>
      <c r="P177" s="40"/>
      <c r="Q177" s="40"/>
    </row>
    <row r="178" spans="1:17" x14ac:dyDescent="0.3">
      <c r="A178" s="31" t="s">
        <v>626</v>
      </c>
      <c r="B178" s="32">
        <v>45729</v>
      </c>
      <c r="C178" s="33" t="s">
        <v>627</v>
      </c>
      <c r="D178" s="40" t="s">
        <v>628</v>
      </c>
      <c r="E178" s="40" t="s">
        <v>629</v>
      </c>
      <c r="F178" s="34">
        <v>138</v>
      </c>
      <c r="G178" s="35">
        <v>85.579700000000003</v>
      </c>
      <c r="H178" s="36">
        <f t="shared" si="12"/>
        <v>11809.998600000001</v>
      </c>
      <c r="I178" s="90"/>
      <c r="J178" s="37"/>
      <c r="K178" s="38">
        <f t="shared" si="9"/>
        <v>45729</v>
      </c>
      <c r="L178" s="90" t="s">
        <v>301</v>
      </c>
      <c r="M178" s="39"/>
      <c r="N178" s="40"/>
      <c r="O178" s="40"/>
      <c r="P178" s="40"/>
      <c r="Q178" s="40"/>
    </row>
    <row r="179" spans="1:17" x14ac:dyDescent="0.3">
      <c r="A179" s="31" t="s">
        <v>630</v>
      </c>
      <c r="B179" s="32">
        <v>45730</v>
      </c>
      <c r="C179" s="51" t="s">
        <v>631</v>
      </c>
      <c r="D179" s="40" t="s">
        <v>632</v>
      </c>
      <c r="E179" s="40" t="s">
        <v>633</v>
      </c>
      <c r="F179" s="34">
        <v>6</v>
      </c>
      <c r="G179" s="35">
        <v>11747</v>
      </c>
      <c r="H179" s="36">
        <f t="shared" si="12"/>
        <v>70482</v>
      </c>
      <c r="I179" s="90"/>
      <c r="J179" s="37"/>
      <c r="K179" s="38">
        <f t="shared" si="9"/>
        <v>45730</v>
      </c>
      <c r="L179" s="90" t="s">
        <v>17</v>
      </c>
      <c r="M179" s="39"/>
      <c r="N179" s="40"/>
      <c r="O179" s="40"/>
      <c r="P179" s="40"/>
      <c r="Q179" s="40"/>
    </row>
    <row r="180" spans="1:17" x14ac:dyDescent="0.3">
      <c r="A180" s="31" t="s">
        <v>634</v>
      </c>
      <c r="B180" s="32">
        <v>45730</v>
      </c>
      <c r="C180" s="51" t="s">
        <v>631</v>
      </c>
      <c r="D180" s="40" t="s">
        <v>632</v>
      </c>
      <c r="E180" s="40" t="s">
        <v>635</v>
      </c>
      <c r="F180" s="34">
        <v>2</v>
      </c>
      <c r="G180" s="35">
        <v>12872</v>
      </c>
      <c r="H180" s="36">
        <f t="shared" si="12"/>
        <v>25744</v>
      </c>
      <c r="I180" s="90"/>
      <c r="J180" s="37"/>
      <c r="K180" s="38">
        <f t="shared" si="9"/>
        <v>45730</v>
      </c>
      <c r="L180" s="90" t="s">
        <v>17</v>
      </c>
      <c r="M180" s="39"/>
      <c r="N180" s="40"/>
      <c r="O180" s="40"/>
      <c r="P180" s="40"/>
      <c r="Q180" s="40"/>
    </row>
    <row r="181" spans="1:17" x14ac:dyDescent="0.3">
      <c r="A181" s="31" t="s">
        <v>636</v>
      </c>
      <c r="B181" s="32">
        <v>45730</v>
      </c>
      <c r="C181" s="51" t="s">
        <v>631</v>
      </c>
      <c r="D181" s="40" t="s">
        <v>632</v>
      </c>
      <c r="E181" s="40" t="s">
        <v>637</v>
      </c>
      <c r="F181" s="34">
        <v>1</v>
      </c>
      <c r="G181" s="35">
        <v>11886</v>
      </c>
      <c r="H181" s="36">
        <f t="shared" si="12"/>
        <v>11886</v>
      </c>
      <c r="I181" s="90"/>
      <c r="J181" s="37"/>
      <c r="K181" s="38">
        <f t="shared" si="9"/>
        <v>45730</v>
      </c>
      <c r="L181" s="90" t="s">
        <v>17</v>
      </c>
      <c r="M181" s="39"/>
      <c r="N181" s="40"/>
      <c r="O181" s="40"/>
      <c r="P181" s="40"/>
      <c r="Q181" s="40"/>
    </row>
    <row r="182" spans="1:17" x14ac:dyDescent="0.3">
      <c r="A182" s="31" t="s">
        <v>638</v>
      </c>
      <c r="B182" s="32">
        <v>45730</v>
      </c>
      <c r="C182" s="51" t="s">
        <v>631</v>
      </c>
      <c r="D182" s="40" t="s">
        <v>632</v>
      </c>
      <c r="E182" s="40" t="s">
        <v>639</v>
      </c>
      <c r="F182" s="34">
        <f>11+3-1</f>
        <v>13</v>
      </c>
      <c r="G182" s="35">
        <v>4745</v>
      </c>
      <c r="H182" s="36">
        <f t="shared" si="12"/>
        <v>61685</v>
      </c>
      <c r="I182" s="90"/>
      <c r="J182" s="37"/>
      <c r="K182" s="38">
        <f t="shared" si="9"/>
        <v>45730</v>
      </c>
      <c r="L182" s="90" t="s">
        <v>17</v>
      </c>
      <c r="M182" s="39"/>
      <c r="N182" s="40"/>
      <c r="O182" s="40"/>
      <c r="P182" s="40"/>
      <c r="Q182" s="40"/>
    </row>
    <row r="183" spans="1:17" x14ac:dyDescent="0.3">
      <c r="A183" s="31" t="s">
        <v>640</v>
      </c>
      <c r="B183" s="32">
        <v>45730</v>
      </c>
      <c r="C183" s="51" t="s">
        <v>631</v>
      </c>
      <c r="D183" s="40" t="s">
        <v>632</v>
      </c>
      <c r="E183" s="40" t="s">
        <v>641</v>
      </c>
      <c r="F183" s="34">
        <v>2</v>
      </c>
      <c r="G183" s="35">
        <v>11682</v>
      </c>
      <c r="H183" s="36">
        <f t="shared" si="12"/>
        <v>23364</v>
      </c>
      <c r="I183" s="90"/>
      <c r="J183" s="37"/>
      <c r="K183" s="38">
        <f t="shared" si="9"/>
        <v>45730</v>
      </c>
      <c r="L183" s="90" t="s">
        <v>17</v>
      </c>
      <c r="M183" s="39"/>
      <c r="N183" s="40"/>
      <c r="O183" s="40"/>
      <c r="P183" s="40"/>
      <c r="Q183" s="40"/>
    </row>
    <row r="184" spans="1:17" x14ac:dyDescent="0.3">
      <c r="A184" s="31" t="s">
        <v>642</v>
      </c>
      <c r="B184" s="32">
        <v>45730</v>
      </c>
      <c r="C184" s="51" t="s">
        <v>631</v>
      </c>
      <c r="D184" s="40" t="s">
        <v>632</v>
      </c>
      <c r="E184" s="40" t="s">
        <v>643</v>
      </c>
      <c r="F184" s="34">
        <v>1</v>
      </c>
      <c r="G184" s="35">
        <v>6265</v>
      </c>
      <c r="H184" s="36">
        <f t="shared" si="12"/>
        <v>6265</v>
      </c>
      <c r="I184" s="90"/>
      <c r="J184" s="37"/>
      <c r="K184" s="38">
        <f t="shared" si="9"/>
        <v>45730</v>
      </c>
      <c r="L184" s="90" t="s">
        <v>17</v>
      </c>
      <c r="M184" s="39"/>
      <c r="N184" s="40"/>
      <c r="O184" s="40"/>
      <c r="P184" s="40"/>
      <c r="Q184" s="40"/>
    </row>
    <row r="185" spans="1:17" x14ac:dyDescent="0.3">
      <c r="A185" s="31" t="s">
        <v>644</v>
      </c>
      <c r="B185" s="32">
        <v>45730</v>
      </c>
      <c r="C185" s="51" t="s">
        <v>631</v>
      </c>
      <c r="D185" s="40" t="s">
        <v>632</v>
      </c>
      <c r="E185" s="40" t="s">
        <v>645</v>
      </c>
      <c r="F185" s="34">
        <v>1</v>
      </c>
      <c r="G185" s="35">
        <v>6505</v>
      </c>
      <c r="H185" s="36">
        <f t="shared" si="12"/>
        <v>6505</v>
      </c>
      <c r="I185" s="90"/>
      <c r="J185" s="37"/>
      <c r="K185" s="38">
        <f t="shared" si="9"/>
        <v>45730</v>
      </c>
      <c r="L185" s="90" t="s">
        <v>17</v>
      </c>
      <c r="M185" s="39"/>
      <c r="N185" s="40"/>
      <c r="O185" s="40"/>
      <c r="P185" s="40"/>
      <c r="Q185" s="40"/>
    </row>
    <row r="186" spans="1:17" x14ac:dyDescent="0.3">
      <c r="A186" s="31" t="s">
        <v>646</v>
      </c>
      <c r="B186" s="32">
        <v>45730</v>
      </c>
      <c r="C186" s="51" t="s">
        <v>631</v>
      </c>
      <c r="D186" s="40" t="s">
        <v>632</v>
      </c>
      <c r="E186" s="40" t="s">
        <v>647</v>
      </c>
      <c r="F186" s="34">
        <v>2</v>
      </c>
      <c r="G186" s="35">
        <v>9138</v>
      </c>
      <c r="H186" s="36">
        <f t="shared" si="12"/>
        <v>18276</v>
      </c>
      <c r="I186" s="90"/>
      <c r="J186" s="37"/>
      <c r="K186" s="38">
        <f t="shared" si="9"/>
        <v>45730</v>
      </c>
      <c r="L186" s="90" t="s">
        <v>17</v>
      </c>
      <c r="M186" s="39"/>
      <c r="N186" s="40"/>
      <c r="O186" s="40"/>
      <c r="P186" s="40"/>
      <c r="Q186" s="40"/>
    </row>
    <row r="187" spans="1:17" x14ac:dyDescent="0.3">
      <c r="A187" s="31" t="s">
        <v>648</v>
      </c>
      <c r="B187" s="32">
        <v>45730</v>
      </c>
      <c r="C187" s="51" t="s">
        <v>631</v>
      </c>
      <c r="D187" s="40" t="s">
        <v>632</v>
      </c>
      <c r="E187" s="40" t="s">
        <v>649</v>
      </c>
      <c r="F187" s="34">
        <v>1</v>
      </c>
      <c r="G187" s="35">
        <v>9562</v>
      </c>
      <c r="H187" s="36">
        <f t="shared" si="12"/>
        <v>9562</v>
      </c>
      <c r="I187" s="90"/>
      <c r="J187" s="37"/>
      <c r="K187" s="38">
        <f t="shared" si="9"/>
        <v>45730</v>
      </c>
      <c r="L187" s="90" t="s">
        <v>17</v>
      </c>
      <c r="M187" s="39"/>
      <c r="N187" s="40"/>
      <c r="O187" s="40"/>
      <c r="P187" s="40"/>
      <c r="Q187" s="40"/>
    </row>
    <row r="188" spans="1:17" x14ac:dyDescent="0.3">
      <c r="A188" s="31" t="s">
        <v>650</v>
      </c>
      <c r="B188" s="32">
        <v>45730</v>
      </c>
      <c r="C188" s="51" t="s">
        <v>631</v>
      </c>
      <c r="D188" s="40" t="s">
        <v>632</v>
      </c>
      <c r="E188" s="40" t="s">
        <v>93</v>
      </c>
      <c r="F188" s="34">
        <v>1</v>
      </c>
      <c r="G188" s="35">
        <f>444706-SUM(H179:H187)</f>
        <v>210937</v>
      </c>
      <c r="H188" s="36">
        <f t="shared" si="12"/>
        <v>210937</v>
      </c>
      <c r="I188" s="90"/>
      <c r="J188" s="37"/>
      <c r="K188" s="38">
        <f t="shared" si="9"/>
        <v>45730</v>
      </c>
      <c r="L188" s="90" t="s">
        <v>17</v>
      </c>
      <c r="M188" s="39"/>
      <c r="N188" s="40"/>
      <c r="O188" s="40"/>
      <c r="P188" s="40"/>
      <c r="Q188" s="40"/>
    </row>
    <row r="189" spans="1:17" ht="15" customHeight="1" x14ac:dyDescent="0.3">
      <c r="A189" s="31" t="s">
        <v>651</v>
      </c>
      <c r="B189" s="32">
        <v>45730</v>
      </c>
      <c r="C189" s="33">
        <v>60305</v>
      </c>
      <c r="D189" s="40" t="s">
        <v>129</v>
      </c>
      <c r="E189" s="40" t="s">
        <v>652</v>
      </c>
      <c r="F189" s="34">
        <v>1</v>
      </c>
      <c r="G189" s="35">
        <v>25762</v>
      </c>
      <c r="H189" s="36">
        <f t="shared" si="12"/>
        <v>25762</v>
      </c>
      <c r="I189" s="90"/>
      <c r="J189" s="37"/>
      <c r="K189" s="38">
        <f t="shared" si="9"/>
        <v>45730</v>
      </c>
      <c r="L189" s="90" t="s">
        <v>143</v>
      </c>
      <c r="M189" s="39"/>
      <c r="N189" s="40"/>
      <c r="O189" s="40"/>
      <c r="P189" s="40"/>
      <c r="Q189" s="40"/>
    </row>
    <row r="190" spans="1:17" x14ac:dyDescent="0.3">
      <c r="A190" s="31" t="s">
        <v>653</v>
      </c>
      <c r="B190" s="32">
        <v>45730</v>
      </c>
      <c r="C190" s="33">
        <v>60305</v>
      </c>
      <c r="D190" s="40" t="s">
        <v>129</v>
      </c>
      <c r="E190" s="40" t="s">
        <v>654</v>
      </c>
      <c r="F190" s="34">
        <v>1</v>
      </c>
      <c r="G190" s="35">
        <v>25357</v>
      </c>
      <c r="H190" s="36">
        <f t="shared" si="12"/>
        <v>25357</v>
      </c>
      <c r="I190" s="90"/>
      <c r="J190" s="37"/>
      <c r="K190" s="38">
        <f t="shared" si="9"/>
        <v>45730</v>
      </c>
      <c r="L190" s="90" t="s">
        <v>143</v>
      </c>
      <c r="M190" s="39"/>
      <c r="N190" s="40"/>
      <c r="O190" s="40"/>
      <c r="P190" s="40"/>
      <c r="Q190" s="40"/>
    </row>
    <row r="191" spans="1:17" x14ac:dyDescent="0.3">
      <c r="A191" s="31" t="s">
        <v>655</v>
      </c>
      <c r="B191" s="32">
        <v>45730</v>
      </c>
      <c r="C191" s="33">
        <v>60305</v>
      </c>
      <c r="D191" s="40" t="s">
        <v>129</v>
      </c>
      <c r="E191" s="40" t="s">
        <v>654</v>
      </c>
      <c r="F191" s="34">
        <v>1</v>
      </c>
      <c r="G191" s="35">
        <v>25357</v>
      </c>
      <c r="H191" s="36">
        <f t="shared" si="12"/>
        <v>25357</v>
      </c>
      <c r="I191" s="90"/>
      <c r="J191" s="37"/>
      <c r="K191" s="38">
        <f t="shared" si="9"/>
        <v>45730</v>
      </c>
      <c r="L191" s="90" t="s">
        <v>143</v>
      </c>
      <c r="M191" s="39"/>
      <c r="N191" s="40"/>
      <c r="O191" s="40"/>
      <c r="P191" s="40"/>
      <c r="Q191" s="40"/>
    </row>
    <row r="192" spans="1:17" x14ac:dyDescent="0.3">
      <c r="A192" s="31" t="s">
        <v>656</v>
      </c>
      <c r="B192" s="32">
        <v>45730</v>
      </c>
      <c r="C192" s="33">
        <v>60305</v>
      </c>
      <c r="D192" s="40" t="s">
        <v>129</v>
      </c>
      <c r="E192" s="40" t="s">
        <v>657</v>
      </c>
      <c r="F192" s="34">
        <v>1</v>
      </c>
      <c r="G192" s="35">
        <v>22914</v>
      </c>
      <c r="H192" s="36">
        <f t="shared" si="12"/>
        <v>22914</v>
      </c>
      <c r="I192" s="90"/>
      <c r="J192" s="37"/>
      <c r="K192" s="38">
        <f t="shared" si="9"/>
        <v>45730</v>
      </c>
      <c r="L192" s="90" t="s">
        <v>143</v>
      </c>
      <c r="M192" s="39"/>
      <c r="N192" s="40"/>
      <c r="O192" s="40"/>
      <c r="P192" s="40"/>
      <c r="Q192" s="40"/>
    </row>
    <row r="193" spans="1:17" ht="15" customHeight="1" x14ac:dyDescent="0.3">
      <c r="A193" s="31" t="s">
        <v>658</v>
      </c>
      <c r="B193" s="32">
        <v>45730</v>
      </c>
      <c r="C193" s="33">
        <v>60315</v>
      </c>
      <c r="D193" s="40" t="s">
        <v>129</v>
      </c>
      <c r="E193" s="40" t="s">
        <v>659</v>
      </c>
      <c r="F193" s="34">
        <v>3</v>
      </c>
      <c r="G193" s="35">
        <v>34924</v>
      </c>
      <c r="H193" s="36">
        <f t="shared" si="12"/>
        <v>104772</v>
      </c>
      <c r="I193" s="90"/>
      <c r="J193" s="37"/>
      <c r="K193" s="38">
        <f t="shared" si="9"/>
        <v>45730</v>
      </c>
      <c r="L193" s="90" t="s">
        <v>143</v>
      </c>
      <c r="M193" s="39"/>
      <c r="N193" s="40"/>
      <c r="O193" s="40"/>
      <c r="P193" s="40"/>
      <c r="Q193" s="40"/>
    </row>
    <row r="194" spans="1:17" x14ac:dyDescent="0.3">
      <c r="A194" s="31" t="s">
        <v>660</v>
      </c>
      <c r="B194" s="32">
        <v>45730</v>
      </c>
      <c r="C194" s="29" t="s">
        <v>661</v>
      </c>
      <c r="D194" s="40" t="s">
        <v>341</v>
      </c>
      <c r="E194" s="29" t="s">
        <v>662</v>
      </c>
      <c r="F194" s="34">
        <v>1</v>
      </c>
      <c r="G194" s="35">
        <v>88484</v>
      </c>
      <c r="H194" s="36">
        <f t="shared" si="12"/>
        <v>88484</v>
      </c>
      <c r="I194" s="90"/>
      <c r="J194" s="37"/>
      <c r="K194" s="38">
        <f t="shared" si="9"/>
        <v>45730</v>
      </c>
      <c r="L194" s="90" t="s">
        <v>143</v>
      </c>
      <c r="M194" s="39"/>
      <c r="N194" s="40"/>
      <c r="O194" s="40"/>
      <c r="P194" s="40"/>
      <c r="Q194" s="40"/>
    </row>
    <row r="195" spans="1:17" x14ac:dyDescent="0.3">
      <c r="A195" s="31" t="s">
        <v>663</v>
      </c>
      <c r="B195" s="32">
        <v>45733</v>
      </c>
      <c r="C195" s="33" t="s">
        <v>16</v>
      </c>
      <c r="D195" s="40" t="s">
        <v>482</v>
      </c>
      <c r="E195" s="40" t="s">
        <v>664</v>
      </c>
      <c r="F195" s="34">
        <v>1</v>
      </c>
      <c r="G195" s="35">
        <v>2562</v>
      </c>
      <c r="H195" s="36">
        <f t="shared" si="12"/>
        <v>2562</v>
      </c>
      <c r="I195" s="90"/>
      <c r="J195" s="37"/>
      <c r="K195" s="38">
        <f t="shared" si="9"/>
        <v>45733</v>
      </c>
      <c r="L195" s="90" t="s">
        <v>301</v>
      </c>
      <c r="M195" s="39"/>
      <c r="N195" s="40"/>
      <c r="O195" s="40"/>
      <c r="P195" s="40"/>
      <c r="Q195" s="40"/>
    </row>
    <row r="196" spans="1:17" x14ac:dyDescent="0.3">
      <c r="A196" s="31" t="s">
        <v>665</v>
      </c>
      <c r="B196" s="32">
        <v>45733</v>
      </c>
      <c r="C196" s="33" t="s">
        <v>666</v>
      </c>
      <c r="D196" s="40" t="s">
        <v>126</v>
      </c>
      <c r="E196" s="40" t="s">
        <v>667</v>
      </c>
      <c r="F196" s="34">
        <v>3</v>
      </c>
      <c r="G196" s="35">
        <v>13900</v>
      </c>
      <c r="H196" s="36">
        <f t="shared" si="12"/>
        <v>41700</v>
      </c>
      <c r="I196" s="90"/>
      <c r="J196" s="37"/>
      <c r="K196" s="38">
        <f t="shared" si="9"/>
        <v>45733</v>
      </c>
      <c r="L196" s="90" t="s">
        <v>17</v>
      </c>
      <c r="M196" s="39"/>
      <c r="N196" s="40"/>
      <c r="O196" s="40"/>
      <c r="P196" s="40"/>
      <c r="Q196" s="40"/>
    </row>
    <row r="197" spans="1:17" x14ac:dyDescent="0.3">
      <c r="A197" s="31" t="s">
        <v>668</v>
      </c>
      <c r="B197" s="32">
        <v>45733</v>
      </c>
      <c r="C197" s="33" t="s">
        <v>669</v>
      </c>
      <c r="D197" s="40" t="s">
        <v>670</v>
      </c>
      <c r="E197" s="40" t="s">
        <v>671</v>
      </c>
      <c r="F197" s="34">
        <v>1</v>
      </c>
      <c r="G197" s="35">
        <v>54719.32</v>
      </c>
      <c r="H197" s="36">
        <f t="shared" si="12"/>
        <v>54719.32</v>
      </c>
      <c r="I197" s="90"/>
      <c r="J197" s="37"/>
      <c r="K197" s="38">
        <f t="shared" si="9"/>
        <v>45733</v>
      </c>
      <c r="L197" s="90" t="s">
        <v>301</v>
      </c>
      <c r="M197" s="39"/>
      <c r="N197" s="40"/>
      <c r="O197" s="40"/>
      <c r="P197" s="40"/>
      <c r="Q197" s="40"/>
    </row>
    <row r="198" spans="1:17" x14ac:dyDescent="0.3">
      <c r="A198" s="31" t="s">
        <v>672</v>
      </c>
      <c r="B198" s="32">
        <v>45734</v>
      </c>
      <c r="C198" s="33" t="s">
        <v>673</v>
      </c>
      <c r="D198" s="40" t="s">
        <v>28</v>
      </c>
      <c r="E198" s="40" t="s">
        <v>674</v>
      </c>
      <c r="F198" s="34">
        <v>1</v>
      </c>
      <c r="G198" s="35">
        <v>1966</v>
      </c>
      <c r="H198" s="36">
        <f t="shared" si="12"/>
        <v>1966</v>
      </c>
      <c r="I198" s="90"/>
      <c r="J198" s="37"/>
      <c r="K198" s="38">
        <f t="shared" ref="K198:K261" si="13">J198+B198</f>
        <v>45734</v>
      </c>
      <c r="L198" s="90" t="s">
        <v>301</v>
      </c>
      <c r="M198" s="39"/>
      <c r="N198" s="40"/>
      <c r="O198" s="40"/>
      <c r="P198" s="40"/>
      <c r="Q198" s="40"/>
    </row>
    <row r="199" spans="1:17" x14ac:dyDescent="0.3">
      <c r="A199" s="31" t="s">
        <v>675</v>
      </c>
      <c r="B199" s="32">
        <v>45734</v>
      </c>
      <c r="C199" s="33" t="s">
        <v>16</v>
      </c>
      <c r="D199" s="40" t="s">
        <v>676</v>
      </c>
      <c r="E199" s="40" t="s">
        <v>677</v>
      </c>
      <c r="F199" s="34">
        <v>1</v>
      </c>
      <c r="G199" s="35">
        <v>7742</v>
      </c>
      <c r="H199" s="36">
        <f t="shared" si="12"/>
        <v>7742</v>
      </c>
      <c r="I199" s="90"/>
      <c r="J199" s="37"/>
      <c r="K199" s="38">
        <f t="shared" si="13"/>
        <v>45734</v>
      </c>
      <c r="L199" s="90" t="s">
        <v>143</v>
      </c>
      <c r="M199" s="39"/>
      <c r="N199" s="40"/>
      <c r="O199" s="40"/>
      <c r="P199" s="40"/>
      <c r="Q199" s="40"/>
    </row>
    <row r="200" spans="1:17" x14ac:dyDescent="0.3">
      <c r="A200" s="31" t="s">
        <v>678</v>
      </c>
      <c r="B200" s="32">
        <v>45734</v>
      </c>
      <c r="C200" s="33" t="s">
        <v>82</v>
      </c>
      <c r="D200" s="40" t="s">
        <v>49</v>
      </c>
      <c r="E200" s="40" t="s">
        <v>107</v>
      </c>
      <c r="F200" s="34">
        <v>2</v>
      </c>
      <c r="G200" s="35">
        <v>2097</v>
      </c>
      <c r="H200" s="36">
        <f t="shared" ref="H200:H231" si="14">F200*G200</f>
        <v>4194</v>
      </c>
      <c r="I200" s="90"/>
      <c r="J200" s="37"/>
      <c r="K200" s="38">
        <f t="shared" si="13"/>
        <v>45734</v>
      </c>
      <c r="L200" s="90" t="s">
        <v>20</v>
      </c>
      <c r="M200" s="39"/>
      <c r="N200" s="40"/>
      <c r="O200" s="40"/>
      <c r="P200" s="40"/>
      <c r="Q200" s="40"/>
    </row>
    <row r="201" spans="1:17" x14ac:dyDescent="0.3">
      <c r="A201" s="31" t="s">
        <v>679</v>
      </c>
      <c r="B201" s="32">
        <v>45735</v>
      </c>
      <c r="C201" s="33" t="s">
        <v>680</v>
      </c>
      <c r="D201" s="40" t="s">
        <v>326</v>
      </c>
      <c r="E201" s="40" t="s">
        <v>681</v>
      </c>
      <c r="F201" s="34">
        <v>1</v>
      </c>
      <c r="G201" s="35">
        <v>3965</v>
      </c>
      <c r="H201" s="36">
        <f t="shared" si="14"/>
        <v>3965</v>
      </c>
      <c r="I201" s="90"/>
      <c r="J201" s="37"/>
      <c r="K201" s="38">
        <f t="shared" si="13"/>
        <v>45735</v>
      </c>
      <c r="L201" s="90"/>
      <c r="M201" s="39"/>
      <c r="N201" s="40"/>
      <c r="O201" s="40"/>
      <c r="P201" s="40"/>
      <c r="Q201" s="40"/>
    </row>
    <row r="202" spans="1:17" x14ac:dyDescent="0.3">
      <c r="A202" s="31" t="s">
        <v>682</v>
      </c>
      <c r="B202" s="32">
        <v>45735</v>
      </c>
      <c r="C202" s="29" t="s">
        <v>683</v>
      </c>
      <c r="D202" s="40" t="s">
        <v>684</v>
      </c>
      <c r="E202" s="40" t="s">
        <v>685</v>
      </c>
      <c r="F202" s="34">
        <v>1</v>
      </c>
      <c r="G202" s="35">
        <v>23265</v>
      </c>
      <c r="H202" s="36">
        <f t="shared" si="14"/>
        <v>23265</v>
      </c>
      <c r="I202" s="90"/>
      <c r="J202" s="37"/>
      <c r="K202" s="38">
        <f t="shared" si="13"/>
        <v>45735</v>
      </c>
      <c r="L202" s="90" t="s">
        <v>143</v>
      </c>
      <c r="M202" s="39"/>
      <c r="N202" s="40"/>
      <c r="O202" s="40"/>
      <c r="P202" s="40"/>
      <c r="Q202" s="40"/>
    </row>
    <row r="203" spans="1:17" x14ac:dyDescent="0.3">
      <c r="A203" s="31" t="s">
        <v>686</v>
      </c>
      <c r="B203" s="32">
        <v>45735</v>
      </c>
      <c r="C203" s="33">
        <v>501324</v>
      </c>
      <c r="D203" s="40" t="s">
        <v>389</v>
      </c>
      <c r="E203" s="40" t="s">
        <v>73</v>
      </c>
      <c r="F203" s="34">
        <v>1</v>
      </c>
      <c r="G203" s="35">
        <v>6726</v>
      </c>
      <c r="H203" s="36">
        <f t="shared" si="14"/>
        <v>6726</v>
      </c>
      <c r="I203" s="90"/>
      <c r="J203" s="37"/>
      <c r="K203" s="38">
        <f t="shared" si="13"/>
        <v>45735</v>
      </c>
      <c r="L203" s="90" t="s">
        <v>20</v>
      </c>
      <c r="M203" s="39"/>
      <c r="N203" s="40"/>
      <c r="O203" s="40"/>
      <c r="P203" s="40"/>
      <c r="Q203" s="40"/>
    </row>
    <row r="204" spans="1:17" x14ac:dyDescent="0.3">
      <c r="A204" s="31" t="s">
        <v>687</v>
      </c>
      <c r="B204" s="32">
        <v>45735</v>
      </c>
      <c r="C204" s="33" t="s">
        <v>688</v>
      </c>
      <c r="D204" s="40" t="s">
        <v>49</v>
      </c>
      <c r="E204" s="40" t="s">
        <v>24</v>
      </c>
      <c r="F204" s="34">
        <v>3</v>
      </c>
      <c r="G204" s="35">
        <v>11310</v>
      </c>
      <c r="H204" s="36">
        <f t="shared" si="14"/>
        <v>33930</v>
      </c>
      <c r="I204" s="90"/>
      <c r="J204" s="37"/>
      <c r="K204" s="38">
        <f t="shared" si="13"/>
        <v>45735</v>
      </c>
      <c r="L204" s="90" t="s">
        <v>20</v>
      </c>
      <c r="M204" s="39"/>
      <c r="N204" s="40"/>
      <c r="O204" s="40"/>
      <c r="P204" s="40"/>
      <c r="Q204" s="40"/>
    </row>
    <row r="205" spans="1:17" x14ac:dyDescent="0.3">
      <c r="A205" s="31" t="s">
        <v>689</v>
      </c>
      <c r="B205" s="32">
        <v>45735</v>
      </c>
      <c r="C205" s="33" t="s">
        <v>16</v>
      </c>
      <c r="D205" s="40" t="s">
        <v>690</v>
      </c>
      <c r="E205" s="40" t="s">
        <v>691</v>
      </c>
      <c r="F205" s="34">
        <v>1</v>
      </c>
      <c r="G205" s="35">
        <f>6094+4570+566+672</f>
        <v>11902</v>
      </c>
      <c r="H205" s="36">
        <f t="shared" si="14"/>
        <v>11902</v>
      </c>
      <c r="I205" s="90"/>
      <c r="J205" s="37"/>
      <c r="K205" s="38">
        <f t="shared" si="13"/>
        <v>45735</v>
      </c>
      <c r="L205" s="90"/>
      <c r="M205" s="39"/>
      <c r="N205" s="40"/>
      <c r="O205" s="40"/>
      <c r="P205" s="40"/>
      <c r="Q205" s="40"/>
    </row>
    <row r="206" spans="1:17" x14ac:dyDescent="0.3">
      <c r="A206" s="31" t="s">
        <v>692</v>
      </c>
      <c r="B206" s="32">
        <v>45735</v>
      </c>
      <c r="C206" s="33" t="s">
        <v>16</v>
      </c>
      <c r="D206" s="40" t="s">
        <v>690</v>
      </c>
      <c r="E206" s="40" t="s">
        <v>693</v>
      </c>
      <c r="F206" s="34">
        <v>1</v>
      </c>
      <c r="G206" s="35">
        <f>6146+3490+424+500</f>
        <v>10560</v>
      </c>
      <c r="H206" s="36">
        <f t="shared" si="14"/>
        <v>10560</v>
      </c>
      <c r="I206" s="90"/>
      <c r="J206" s="37"/>
      <c r="K206" s="38">
        <f t="shared" si="13"/>
        <v>45735</v>
      </c>
      <c r="L206" s="90"/>
      <c r="M206" s="39"/>
      <c r="N206" s="40"/>
      <c r="O206" s="40"/>
      <c r="P206" s="40"/>
      <c r="Q206" s="40"/>
    </row>
    <row r="207" spans="1:17" x14ac:dyDescent="0.3">
      <c r="A207" s="31" t="s">
        <v>694</v>
      </c>
      <c r="B207" s="32">
        <v>45735</v>
      </c>
      <c r="C207" s="29" t="s">
        <v>695</v>
      </c>
      <c r="D207" s="40" t="s">
        <v>35</v>
      </c>
      <c r="E207" s="40" t="s">
        <v>580</v>
      </c>
      <c r="F207" s="34">
        <v>1</v>
      </c>
      <c r="G207" s="35">
        <v>2898</v>
      </c>
      <c r="H207" s="36">
        <f t="shared" si="14"/>
        <v>2898</v>
      </c>
      <c r="I207" s="90"/>
      <c r="J207" s="37"/>
      <c r="K207" s="38">
        <f t="shared" si="13"/>
        <v>45735</v>
      </c>
      <c r="L207" s="90" t="s">
        <v>17</v>
      </c>
      <c r="M207" s="39"/>
      <c r="N207" s="40"/>
      <c r="O207" s="40"/>
      <c r="P207" s="40"/>
      <c r="Q207" s="40"/>
    </row>
    <row r="208" spans="1:17" x14ac:dyDescent="0.3">
      <c r="A208" s="31" t="s">
        <v>696</v>
      </c>
      <c r="B208" s="32">
        <v>45736</v>
      </c>
      <c r="C208" s="33" t="s">
        <v>697</v>
      </c>
      <c r="D208" s="40" t="s">
        <v>49</v>
      </c>
      <c r="E208" s="40" t="s">
        <v>60</v>
      </c>
      <c r="F208" s="34">
        <v>3</v>
      </c>
      <c r="G208" s="35">
        <v>1942</v>
      </c>
      <c r="H208" s="36">
        <f t="shared" si="14"/>
        <v>5826</v>
      </c>
      <c r="I208" s="90"/>
      <c r="J208" s="37"/>
      <c r="K208" s="38">
        <f t="shared" si="13"/>
        <v>45736</v>
      </c>
      <c r="L208" s="90" t="s">
        <v>20</v>
      </c>
      <c r="M208" s="39"/>
      <c r="N208" s="40"/>
      <c r="O208" s="40"/>
      <c r="P208" s="40"/>
      <c r="Q208" s="40"/>
    </row>
    <row r="209" spans="1:27" x14ac:dyDescent="0.3">
      <c r="A209" s="31" t="s">
        <v>698</v>
      </c>
      <c r="B209" s="32">
        <v>45736</v>
      </c>
      <c r="C209" s="33" t="s">
        <v>16</v>
      </c>
      <c r="D209" s="40" t="s">
        <v>128</v>
      </c>
      <c r="E209" s="40" t="s">
        <v>42</v>
      </c>
      <c r="F209" s="34">
        <v>1</v>
      </c>
      <c r="G209" s="35">
        <v>10118</v>
      </c>
      <c r="H209" s="36">
        <f t="shared" si="14"/>
        <v>10118</v>
      </c>
      <c r="I209" s="90"/>
      <c r="J209" s="37"/>
      <c r="K209" s="38">
        <f t="shared" si="13"/>
        <v>45736</v>
      </c>
      <c r="L209" s="90" t="s">
        <v>143</v>
      </c>
      <c r="M209" s="39"/>
      <c r="N209" s="40"/>
      <c r="O209" s="40"/>
      <c r="P209" s="40"/>
      <c r="Q209" s="40"/>
    </row>
    <row r="210" spans="1:27" x14ac:dyDescent="0.3">
      <c r="A210" s="31" t="s">
        <v>699</v>
      </c>
      <c r="B210" s="32">
        <v>45736</v>
      </c>
      <c r="C210" s="33" t="s">
        <v>700</v>
      </c>
      <c r="D210" s="40" t="s">
        <v>701</v>
      </c>
      <c r="E210" s="40" t="s">
        <v>685</v>
      </c>
      <c r="F210" s="34">
        <v>1</v>
      </c>
      <c r="G210" s="35">
        <v>20643</v>
      </c>
      <c r="H210" s="36">
        <f t="shared" si="14"/>
        <v>20643</v>
      </c>
      <c r="I210" s="90"/>
      <c r="J210" s="37"/>
      <c r="K210" s="38">
        <f t="shared" si="13"/>
        <v>45736</v>
      </c>
      <c r="L210" s="90" t="s">
        <v>143</v>
      </c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spans="1:27" x14ac:dyDescent="0.3">
      <c r="A211" s="31" t="s">
        <v>702</v>
      </c>
      <c r="B211" s="32">
        <v>45740</v>
      </c>
      <c r="C211" s="33" t="s">
        <v>703</v>
      </c>
      <c r="D211" s="40" t="s">
        <v>704</v>
      </c>
      <c r="E211" s="40" t="s">
        <v>705</v>
      </c>
      <c r="F211" s="34">
        <v>1</v>
      </c>
      <c r="G211" s="35">
        <v>10328</v>
      </c>
      <c r="H211" s="36">
        <f t="shared" si="14"/>
        <v>10328</v>
      </c>
      <c r="I211" s="90"/>
      <c r="J211" s="37"/>
      <c r="K211" s="38">
        <f t="shared" si="13"/>
        <v>45740</v>
      </c>
      <c r="L211" s="21" t="s">
        <v>301</v>
      </c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</row>
    <row r="212" spans="1:27" x14ac:dyDescent="0.3">
      <c r="A212" s="31" t="s">
        <v>706</v>
      </c>
      <c r="B212" s="32">
        <v>45740</v>
      </c>
      <c r="C212" s="33" t="s">
        <v>707</v>
      </c>
      <c r="D212" s="22" t="s">
        <v>142</v>
      </c>
      <c r="E212" s="52" t="s">
        <v>708</v>
      </c>
      <c r="F212" s="21">
        <v>8</v>
      </c>
      <c r="G212" s="35">
        <v>777</v>
      </c>
      <c r="H212" s="36">
        <f t="shared" si="14"/>
        <v>6216</v>
      </c>
      <c r="I212" s="90"/>
      <c r="J212" s="37"/>
      <c r="K212" s="38">
        <f t="shared" si="13"/>
        <v>45740</v>
      </c>
      <c r="L212" s="21" t="s">
        <v>301</v>
      </c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spans="1:27" x14ac:dyDescent="0.3">
      <c r="A213" s="31" t="s">
        <v>709</v>
      </c>
      <c r="B213" s="32">
        <v>45741</v>
      </c>
      <c r="C213" s="33" t="s">
        <v>710</v>
      </c>
      <c r="D213" s="40" t="s">
        <v>711</v>
      </c>
      <c r="E213" s="40" t="s">
        <v>59</v>
      </c>
      <c r="F213" s="34">
        <v>4</v>
      </c>
      <c r="G213" s="35">
        <v>1937</v>
      </c>
      <c r="H213" s="36">
        <f t="shared" si="14"/>
        <v>7748</v>
      </c>
      <c r="I213" s="90"/>
      <c r="J213" s="37"/>
      <c r="K213" s="38">
        <f t="shared" si="13"/>
        <v>45741</v>
      </c>
      <c r="L213" s="90" t="s">
        <v>143</v>
      </c>
      <c r="M213" s="39"/>
      <c r="N213" s="40"/>
      <c r="O213" s="40"/>
      <c r="P213" s="40"/>
      <c r="Q213" s="40"/>
    </row>
    <row r="214" spans="1:27" x14ac:dyDescent="0.3">
      <c r="A214" s="31" t="s">
        <v>712</v>
      </c>
      <c r="B214" s="32">
        <v>45741</v>
      </c>
      <c r="C214" s="33" t="s">
        <v>145</v>
      </c>
      <c r="D214" s="40" t="s">
        <v>576</v>
      </c>
      <c r="E214" s="40" t="s">
        <v>713</v>
      </c>
      <c r="F214" s="34">
        <v>1</v>
      </c>
      <c r="G214" s="35">
        <v>9575</v>
      </c>
      <c r="H214" s="36">
        <f t="shared" si="14"/>
        <v>9575</v>
      </c>
      <c r="I214" s="90"/>
      <c r="J214" s="37"/>
      <c r="K214" s="38">
        <f t="shared" si="13"/>
        <v>45741</v>
      </c>
      <c r="L214" s="90" t="s">
        <v>301</v>
      </c>
      <c r="M214" s="39"/>
      <c r="N214" s="40"/>
      <c r="O214" s="40"/>
      <c r="P214" s="40"/>
      <c r="Q214" s="40"/>
    </row>
    <row r="215" spans="1:27" x14ac:dyDescent="0.3">
      <c r="A215" s="31" t="s">
        <v>714</v>
      </c>
      <c r="B215" s="32">
        <v>45741</v>
      </c>
      <c r="C215" s="33" t="s">
        <v>715</v>
      </c>
      <c r="D215" s="40" t="s">
        <v>393</v>
      </c>
      <c r="E215" s="40" t="s">
        <v>716</v>
      </c>
      <c r="F215" s="34"/>
      <c r="G215" s="35"/>
      <c r="H215" s="36">
        <f t="shared" si="14"/>
        <v>0</v>
      </c>
      <c r="I215" s="90"/>
      <c r="J215" s="37"/>
      <c r="K215" s="38">
        <f t="shared" si="13"/>
        <v>45741</v>
      </c>
      <c r="L215" s="90"/>
      <c r="M215" s="39"/>
      <c r="N215" s="40"/>
      <c r="O215" s="40"/>
      <c r="P215" s="40"/>
      <c r="Q215" s="40"/>
    </row>
    <row r="216" spans="1:27" x14ac:dyDescent="0.3">
      <c r="A216" s="31" t="s">
        <v>717</v>
      </c>
      <c r="B216" s="32">
        <v>45741</v>
      </c>
      <c r="C216" s="33" t="s">
        <v>715</v>
      </c>
      <c r="D216" s="40" t="s">
        <v>393</v>
      </c>
      <c r="E216" s="40" t="s">
        <v>718</v>
      </c>
      <c r="F216" s="34">
        <v>1</v>
      </c>
      <c r="G216" s="35">
        <v>67429</v>
      </c>
      <c r="H216" s="36">
        <f t="shared" si="14"/>
        <v>67429</v>
      </c>
      <c r="I216" s="90"/>
      <c r="J216" s="37"/>
      <c r="K216" s="38">
        <f t="shared" si="13"/>
        <v>45741</v>
      </c>
      <c r="L216" s="90" t="s">
        <v>143</v>
      </c>
      <c r="M216" s="39"/>
      <c r="N216" s="40"/>
      <c r="O216" s="40"/>
      <c r="P216" s="40"/>
      <c r="Q216" s="40"/>
    </row>
    <row r="217" spans="1:27" x14ac:dyDescent="0.3">
      <c r="A217" s="31" t="s">
        <v>719</v>
      </c>
      <c r="B217" s="32">
        <v>45741</v>
      </c>
      <c r="C217" s="33" t="s">
        <v>715</v>
      </c>
      <c r="D217" s="40" t="s">
        <v>393</v>
      </c>
      <c r="E217" s="40" t="s">
        <v>720</v>
      </c>
      <c r="F217" s="34">
        <v>1</v>
      </c>
      <c r="G217" s="35">
        <v>49851</v>
      </c>
      <c r="H217" s="36">
        <f t="shared" si="14"/>
        <v>49851</v>
      </c>
      <c r="I217" s="90"/>
      <c r="J217" s="37"/>
      <c r="K217" s="38">
        <f t="shared" si="13"/>
        <v>45741</v>
      </c>
      <c r="L217" s="90" t="s">
        <v>143</v>
      </c>
      <c r="M217" s="39"/>
      <c r="N217" s="40"/>
      <c r="O217" s="40"/>
      <c r="P217" s="40"/>
      <c r="Q217" s="40"/>
    </row>
    <row r="218" spans="1:27" x14ac:dyDescent="0.3">
      <c r="A218" s="31" t="s">
        <v>721</v>
      </c>
      <c r="B218" s="32">
        <v>45741</v>
      </c>
      <c r="C218" s="33" t="s">
        <v>715</v>
      </c>
      <c r="D218" s="40" t="s">
        <v>393</v>
      </c>
      <c r="E218" s="40" t="s">
        <v>722</v>
      </c>
      <c r="F218" s="34">
        <v>1</v>
      </c>
      <c r="G218" s="35">
        <v>25900</v>
      </c>
      <c r="H218" s="36">
        <f t="shared" si="14"/>
        <v>25900</v>
      </c>
      <c r="I218" s="90"/>
      <c r="J218" s="37"/>
      <c r="K218" s="38">
        <f t="shared" si="13"/>
        <v>45741</v>
      </c>
      <c r="L218" s="90" t="s">
        <v>143</v>
      </c>
      <c r="M218" s="39"/>
      <c r="N218" s="40"/>
      <c r="O218" s="40"/>
      <c r="P218" s="40"/>
      <c r="Q218" s="40"/>
    </row>
    <row r="219" spans="1:27" x14ac:dyDescent="0.3">
      <c r="A219" s="31" t="s">
        <v>723</v>
      </c>
      <c r="B219" s="32">
        <v>45741</v>
      </c>
      <c r="C219" s="33" t="s">
        <v>715</v>
      </c>
      <c r="D219" s="40" t="s">
        <v>393</v>
      </c>
      <c r="E219" s="40" t="s">
        <v>724</v>
      </c>
      <c r="F219" s="34">
        <v>1</v>
      </c>
      <c r="G219" s="35">
        <v>119783</v>
      </c>
      <c r="H219" s="36">
        <f t="shared" si="14"/>
        <v>119783</v>
      </c>
      <c r="I219" s="90"/>
      <c r="J219" s="37"/>
      <c r="K219" s="38">
        <f t="shared" si="13"/>
        <v>45741</v>
      </c>
      <c r="L219" s="90" t="s">
        <v>143</v>
      </c>
      <c r="M219" s="39"/>
      <c r="N219" s="40"/>
      <c r="O219" s="40"/>
      <c r="P219" s="40"/>
      <c r="Q219" s="40"/>
    </row>
    <row r="220" spans="1:27" x14ac:dyDescent="0.3">
      <c r="A220" s="31" t="s">
        <v>725</v>
      </c>
      <c r="B220" s="32">
        <v>45741</v>
      </c>
      <c r="C220" s="33" t="s">
        <v>715</v>
      </c>
      <c r="D220" s="40" t="s">
        <v>393</v>
      </c>
      <c r="E220" s="40" t="s">
        <v>726</v>
      </c>
      <c r="F220" s="34">
        <v>1</v>
      </c>
      <c r="G220" s="35">
        <v>76526</v>
      </c>
      <c r="H220" s="36">
        <f t="shared" si="14"/>
        <v>76526</v>
      </c>
      <c r="I220" s="90"/>
      <c r="J220" s="37"/>
      <c r="K220" s="38">
        <f t="shared" si="13"/>
        <v>45741</v>
      </c>
      <c r="L220" s="90" t="s">
        <v>143</v>
      </c>
      <c r="M220" s="39"/>
      <c r="N220" s="40"/>
      <c r="O220" s="40"/>
      <c r="P220" s="40"/>
      <c r="Q220" s="40"/>
    </row>
    <row r="221" spans="1:27" x14ac:dyDescent="0.3">
      <c r="A221" s="31" t="s">
        <v>727</v>
      </c>
      <c r="B221" s="32">
        <v>45741</v>
      </c>
      <c r="C221" s="33" t="s">
        <v>715</v>
      </c>
      <c r="D221" s="40" t="s">
        <v>393</v>
      </c>
      <c r="E221" s="40" t="s">
        <v>728</v>
      </c>
      <c r="F221" s="34">
        <v>1</v>
      </c>
      <c r="G221" s="35">
        <v>22775</v>
      </c>
      <c r="H221" s="36">
        <f t="shared" si="14"/>
        <v>22775</v>
      </c>
      <c r="I221" s="90"/>
      <c r="J221" s="37"/>
      <c r="K221" s="38">
        <f t="shared" si="13"/>
        <v>45741</v>
      </c>
      <c r="L221" s="90" t="s">
        <v>143</v>
      </c>
      <c r="M221" s="39"/>
      <c r="N221" s="40"/>
      <c r="O221" s="40"/>
      <c r="P221" s="40"/>
      <c r="Q221" s="40"/>
    </row>
    <row r="222" spans="1:27" x14ac:dyDescent="0.3">
      <c r="A222" s="31" t="s">
        <v>729</v>
      </c>
      <c r="B222" s="32">
        <v>45741</v>
      </c>
      <c r="C222" s="33" t="s">
        <v>715</v>
      </c>
      <c r="D222" s="40" t="s">
        <v>393</v>
      </c>
      <c r="E222" s="40" t="s">
        <v>394</v>
      </c>
      <c r="F222" s="34">
        <v>1</v>
      </c>
      <c r="G222" s="35">
        <v>33538</v>
      </c>
      <c r="H222" s="36">
        <f t="shared" si="14"/>
        <v>33538</v>
      </c>
      <c r="I222" s="90"/>
      <c r="J222" s="37"/>
      <c r="K222" s="38">
        <f t="shared" si="13"/>
        <v>45741</v>
      </c>
      <c r="L222" s="90" t="s">
        <v>143</v>
      </c>
      <c r="M222" s="39"/>
      <c r="N222" s="40"/>
      <c r="O222" s="40"/>
      <c r="P222" s="40"/>
      <c r="Q222" s="40"/>
    </row>
    <row r="223" spans="1:27" x14ac:dyDescent="0.3">
      <c r="A223" s="31" t="s">
        <v>730</v>
      </c>
      <c r="B223" s="32">
        <v>45741</v>
      </c>
      <c r="C223" s="33" t="s">
        <v>715</v>
      </c>
      <c r="D223" s="40" t="s">
        <v>393</v>
      </c>
      <c r="E223" s="40" t="s">
        <v>394</v>
      </c>
      <c r="F223" s="34">
        <v>1</v>
      </c>
      <c r="G223" s="35">
        <v>31492</v>
      </c>
      <c r="H223" s="36">
        <f t="shared" si="14"/>
        <v>31492</v>
      </c>
      <c r="I223" s="90"/>
      <c r="J223" s="37"/>
      <c r="K223" s="38">
        <f t="shared" si="13"/>
        <v>45741</v>
      </c>
      <c r="L223" s="90" t="s">
        <v>143</v>
      </c>
      <c r="M223" s="39"/>
      <c r="N223" s="40"/>
      <c r="O223" s="40"/>
      <c r="P223" s="40"/>
      <c r="Q223" s="40"/>
    </row>
    <row r="224" spans="1:27" x14ac:dyDescent="0.3">
      <c r="A224" s="31" t="s">
        <v>731</v>
      </c>
      <c r="B224" s="32">
        <v>45741</v>
      </c>
      <c r="C224" s="33" t="s">
        <v>715</v>
      </c>
      <c r="D224" s="40" t="s">
        <v>393</v>
      </c>
      <c r="E224" s="40" t="s">
        <v>718</v>
      </c>
      <c r="F224" s="34">
        <v>1</v>
      </c>
      <c r="G224" s="35">
        <v>65725</v>
      </c>
      <c r="H224" s="36">
        <f t="shared" si="14"/>
        <v>65725</v>
      </c>
      <c r="I224" s="90"/>
      <c r="J224" s="37"/>
      <c r="K224" s="38">
        <f t="shared" si="13"/>
        <v>45741</v>
      </c>
      <c r="L224" s="90" t="s">
        <v>143</v>
      </c>
      <c r="M224" s="39"/>
      <c r="N224" s="40"/>
      <c r="O224" s="40"/>
      <c r="P224" s="40"/>
      <c r="Q224" s="40"/>
    </row>
    <row r="225" spans="1:17" x14ac:dyDescent="0.3">
      <c r="A225" s="31" t="s">
        <v>732</v>
      </c>
      <c r="B225" s="32">
        <v>45741</v>
      </c>
      <c r="C225" s="33" t="s">
        <v>715</v>
      </c>
      <c r="D225" s="40" t="s">
        <v>393</v>
      </c>
      <c r="E225" s="40" t="s">
        <v>733</v>
      </c>
      <c r="F225" s="34">
        <v>1</v>
      </c>
      <c r="G225" s="35">
        <v>35787</v>
      </c>
      <c r="H225" s="36">
        <f t="shared" si="14"/>
        <v>35787</v>
      </c>
      <c r="I225" s="90"/>
      <c r="J225" s="37"/>
      <c r="K225" s="38">
        <f t="shared" si="13"/>
        <v>45741</v>
      </c>
      <c r="L225" s="90" t="s">
        <v>143</v>
      </c>
      <c r="M225" s="39"/>
      <c r="N225" s="40"/>
      <c r="O225" s="40"/>
      <c r="P225" s="40"/>
      <c r="Q225" s="40"/>
    </row>
    <row r="226" spans="1:17" x14ac:dyDescent="0.3">
      <c r="A226" s="31" t="s">
        <v>734</v>
      </c>
      <c r="B226" s="32">
        <v>45741</v>
      </c>
      <c r="C226" s="33" t="s">
        <v>715</v>
      </c>
      <c r="D226" s="40" t="s">
        <v>393</v>
      </c>
      <c r="E226" s="40" t="s">
        <v>453</v>
      </c>
      <c r="F226" s="34">
        <v>1</v>
      </c>
      <c r="G226" s="35">
        <v>28448</v>
      </c>
      <c r="H226" s="36">
        <f t="shared" si="14"/>
        <v>28448</v>
      </c>
      <c r="I226" s="90"/>
      <c r="J226" s="37"/>
      <c r="K226" s="38">
        <f t="shared" si="13"/>
        <v>45741</v>
      </c>
      <c r="L226" s="90" t="s">
        <v>143</v>
      </c>
      <c r="M226" s="39"/>
      <c r="N226" s="40"/>
      <c r="O226" s="40"/>
      <c r="P226" s="40"/>
      <c r="Q226" s="40"/>
    </row>
    <row r="227" spans="1:17" x14ac:dyDescent="0.3">
      <c r="A227" s="31" t="s">
        <v>735</v>
      </c>
      <c r="B227" s="32">
        <v>45741</v>
      </c>
      <c r="C227" s="33" t="s">
        <v>715</v>
      </c>
      <c r="D227" s="40" t="s">
        <v>393</v>
      </c>
      <c r="E227" s="40" t="s">
        <v>452</v>
      </c>
      <c r="F227" s="34">
        <v>1</v>
      </c>
      <c r="G227" s="35">
        <v>28128</v>
      </c>
      <c r="H227" s="36">
        <f t="shared" si="14"/>
        <v>28128</v>
      </c>
      <c r="I227" s="90"/>
      <c r="J227" s="37"/>
      <c r="K227" s="38">
        <f t="shared" si="13"/>
        <v>45741</v>
      </c>
      <c r="L227" s="90" t="s">
        <v>143</v>
      </c>
      <c r="M227" s="39"/>
      <c r="N227" s="40"/>
      <c r="O227" s="40"/>
      <c r="P227" s="40"/>
      <c r="Q227" s="40"/>
    </row>
    <row r="228" spans="1:17" x14ac:dyDescent="0.3">
      <c r="A228" s="31" t="s">
        <v>736</v>
      </c>
      <c r="B228" s="32">
        <v>45741</v>
      </c>
      <c r="C228" s="33" t="s">
        <v>715</v>
      </c>
      <c r="D228" s="40" t="s">
        <v>393</v>
      </c>
      <c r="E228" s="40" t="s">
        <v>453</v>
      </c>
      <c r="F228" s="34">
        <v>1</v>
      </c>
      <c r="G228" s="35">
        <v>28488</v>
      </c>
      <c r="H228" s="36">
        <f t="shared" si="14"/>
        <v>28488</v>
      </c>
      <c r="I228" s="90"/>
      <c r="J228" s="37"/>
      <c r="K228" s="38">
        <f t="shared" si="13"/>
        <v>45741</v>
      </c>
      <c r="L228" s="90" t="s">
        <v>143</v>
      </c>
      <c r="M228" s="39"/>
      <c r="N228" s="40"/>
      <c r="O228" s="40"/>
      <c r="P228" s="40"/>
      <c r="Q228" s="40"/>
    </row>
    <row r="229" spans="1:17" x14ac:dyDescent="0.3">
      <c r="A229" s="31" t="s">
        <v>737</v>
      </c>
      <c r="B229" s="32">
        <v>45742</v>
      </c>
      <c r="C229" s="33" t="s">
        <v>738</v>
      </c>
      <c r="D229" s="40" t="s">
        <v>739</v>
      </c>
      <c r="E229" s="40" t="s">
        <v>740</v>
      </c>
      <c r="F229" s="34">
        <v>1</v>
      </c>
      <c r="G229" s="35">
        <f>8967.84+7266+(2*3919)+(443*2)+(288*4)</f>
        <v>26109.84</v>
      </c>
      <c r="H229" s="36">
        <f t="shared" si="14"/>
        <v>26109.84</v>
      </c>
      <c r="I229" s="90"/>
      <c r="J229" s="37"/>
      <c r="K229" s="38">
        <f t="shared" si="13"/>
        <v>45742</v>
      </c>
      <c r="L229" s="90" t="s">
        <v>17</v>
      </c>
      <c r="M229" s="39"/>
      <c r="N229" s="40"/>
      <c r="O229" s="40"/>
      <c r="P229" s="40"/>
      <c r="Q229" s="40"/>
    </row>
    <row r="230" spans="1:17" x14ac:dyDescent="0.3">
      <c r="A230" s="31" t="s">
        <v>741</v>
      </c>
      <c r="B230" s="32">
        <v>45742</v>
      </c>
      <c r="C230" s="33" t="s">
        <v>738</v>
      </c>
      <c r="D230" s="40" t="s">
        <v>739</v>
      </c>
      <c r="E230" s="40" t="s">
        <v>742</v>
      </c>
      <c r="F230" s="34">
        <v>1</v>
      </c>
      <c r="G230" s="35">
        <f>(12438.98+7778+5377+(501*2)+(413*4))</f>
        <v>28247.98</v>
      </c>
      <c r="H230" s="36">
        <f t="shared" si="14"/>
        <v>28247.98</v>
      </c>
      <c r="I230" s="90"/>
      <c r="J230" s="37"/>
      <c r="K230" s="38">
        <f t="shared" si="13"/>
        <v>45742</v>
      </c>
      <c r="L230" s="90" t="s">
        <v>17</v>
      </c>
      <c r="M230" s="39"/>
      <c r="N230" s="40"/>
      <c r="O230" s="40"/>
      <c r="P230" s="40"/>
      <c r="Q230" s="40"/>
    </row>
    <row r="231" spans="1:17" x14ac:dyDescent="0.3">
      <c r="A231" s="31" t="s">
        <v>743</v>
      </c>
      <c r="B231" s="32">
        <v>45742</v>
      </c>
      <c r="C231" s="33" t="s">
        <v>738</v>
      </c>
      <c r="D231" s="40" t="s">
        <v>739</v>
      </c>
      <c r="E231" s="40" t="s">
        <v>740</v>
      </c>
      <c r="F231" s="34">
        <v>1</v>
      </c>
      <c r="G231" s="35">
        <f>8967.84+7266+(2*3919)+(443*2)+(288*4)</f>
        <v>26109.84</v>
      </c>
      <c r="H231" s="36">
        <f t="shared" si="14"/>
        <v>26109.84</v>
      </c>
      <c r="I231" s="90"/>
      <c r="J231" s="37"/>
      <c r="K231" s="38">
        <f t="shared" si="13"/>
        <v>45742</v>
      </c>
      <c r="L231" s="90" t="s">
        <v>17</v>
      </c>
      <c r="M231" s="39"/>
      <c r="N231" s="40"/>
      <c r="O231" s="40"/>
      <c r="P231" s="40"/>
      <c r="Q231" s="40"/>
    </row>
    <row r="232" spans="1:17" x14ac:dyDescent="0.3">
      <c r="A232" s="31" t="s">
        <v>744</v>
      </c>
      <c r="B232" s="32">
        <v>45742</v>
      </c>
      <c r="C232" s="33" t="s">
        <v>738</v>
      </c>
      <c r="D232" s="40" t="s">
        <v>739</v>
      </c>
      <c r="E232" s="40" t="s">
        <v>742</v>
      </c>
      <c r="F232" s="34">
        <v>1</v>
      </c>
      <c r="G232" s="35">
        <f>(12438.98+7778+5377+(501*2)+(413*4))</f>
        <v>28247.98</v>
      </c>
      <c r="H232" s="36">
        <f t="shared" ref="H232:H233" si="15">F232*G232</f>
        <v>28247.98</v>
      </c>
      <c r="I232" s="90"/>
      <c r="J232" s="37"/>
      <c r="K232" s="38">
        <f t="shared" si="13"/>
        <v>45742</v>
      </c>
      <c r="L232" s="90" t="s">
        <v>17</v>
      </c>
      <c r="M232" s="39"/>
      <c r="N232" s="40"/>
      <c r="O232" s="40"/>
      <c r="P232" s="40"/>
      <c r="Q232" s="40"/>
    </row>
    <row r="233" spans="1:17" x14ac:dyDescent="0.3">
      <c r="A233" s="31" t="s">
        <v>745</v>
      </c>
      <c r="B233" s="32">
        <v>45742</v>
      </c>
      <c r="C233" s="33" t="s">
        <v>746</v>
      </c>
      <c r="D233" s="40" t="s">
        <v>95</v>
      </c>
      <c r="E233" s="40" t="s">
        <v>747</v>
      </c>
      <c r="F233" s="34">
        <v>2</v>
      </c>
      <c r="G233" s="35">
        <f>4823+212</f>
        <v>5035</v>
      </c>
      <c r="H233" s="36">
        <f t="shared" si="15"/>
        <v>10070</v>
      </c>
      <c r="I233" s="90"/>
      <c r="J233" s="37"/>
      <c r="K233" s="38">
        <f t="shared" si="13"/>
        <v>45742</v>
      </c>
      <c r="L233" s="90" t="s">
        <v>17</v>
      </c>
      <c r="M233" s="39"/>
      <c r="N233" s="40"/>
      <c r="O233" s="40"/>
      <c r="P233" s="40"/>
      <c r="Q233" s="40"/>
    </row>
    <row r="234" spans="1:17" x14ac:dyDescent="0.3">
      <c r="A234" s="31" t="s">
        <v>748</v>
      </c>
      <c r="B234" s="32">
        <v>45743</v>
      </c>
      <c r="C234" s="33" t="s">
        <v>16</v>
      </c>
      <c r="D234" s="40" t="s">
        <v>576</v>
      </c>
      <c r="E234" s="40" t="s">
        <v>749</v>
      </c>
      <c r="F234" s="34">
        <v>2</v>
      </c>
      <c r="G234" s="35">
        <v>19100</v>
      </c>
      <c r="H234" s="36">
        <v>19100</v>
      </c>
      <c r="I234" s="90"/>
      <c r="J234" s="37"/>
      <c r="K234" s="38">
        <f t="shared" si="13"/>
        <v>45743</v>
      </c>
      <c r="L234" s="90" t="s">
        <v>301</v>
      </c>
      <c r="M234" s="39"/>
      <c r="N234" s="40"/>
      <c r="O234" s="40"/>
      <c r="P234" s="40"/>
      <c r="Q234" s="40"/>
    </row>
    <row r="235" spans="1:17" x14ac:dyDescent="0.3">
      <c r="A235" s="31" t="s">
        <v>750</v>
      </c>
      <c r="B235" s="32">
        <v>45743</v>
      </c>
      <c r="C235" s="33" t="s">
        <v>751</v>
      </c>
      <c r="D235" s="40" t="s">
        <v>632</v>
      </c>
      <c r="E235" s="40" t="s">
        <v>124</v>
      </c>
      <c r="F235" s="34">
        <v>1</v>
      </c>
      <c r="G235" s="35">
        <v>9891</v>
      </c>
      <c r="H235" s="36">
        <f t="shared" ref="H235:H244" si="16">F235*G235</f>
        <v>9891</v>
      </c>
      <c r="I235" s="90"/>
      <c r="J235" s="37"/>
      <c r="K235" s="38">
        <f t="shared" si="13"/>
        <v>45743</v>
      </c>
      <c r="L235" s="90" t="s">
        <v>17</v>
      </c>
      <c r="M235" s="39"/>
      <c r="N235" s="40"/>
      <c r="O235" s="40"/>
      <c r="P235" s="40"/>
      <c r="Q235" s="40"/>
    </row>
    <row r="236" spans="1:17" x14ac:dyDescent="0.3">
      <c r="A236" s="31" t="s">
        <v>752</v>
      </c>
      <c r="B236" s="32">
        <v>45743</v>
      </c>
      <c r="C236" s="33" t="s">
        <v>751</v>
      </c>
      <c r="D236" s="40" t="s">
        <v>632</v>
      </c>
      <c r="E236" s="40" t="s">
        <v>722</v>
      </c>
      <c r="F236" s="34">
        <v>1</v>
      </c>
      <c r="G236" s="35"/>
      <c r="H236" s="36">
        <f t="shared" si="16"/>
        <v>0</v>
      </c>
      <c r="I236" s="90"/>
      <c r="J236" s="37"/>
      <c r="K236" s="38">
        <f t="shared" si="13"/>
        <v>45743</v>
      </c>
      <c r="L236" s="90" t="s">
        <v>17</v>
      </c>
      <c r="M236" s="39"/>
      <c r="N236" s="40"/>
      <c r="O236" s="40"/>
      <c r="P236" s="40"/>
      <c r="Q236" s="40"/>
    </row>
    <row r="237" spans="1:17" x14ac:dyDescent="0.3">
      <c r="A237" s="31" t="s">
        <v>753</v>
      </c>
      <c r="B237" s="32">
        <v>45743</v>
      </c>
      <c r="C237" s="33" t="s">
        <v>751</v>
      </c>
      <c r="D237" s="40" t="s">
        <v>632</v>
      </c>
      <c r="E237" s="40" t="s">
        <v>358</v>
      </c>
      <c r="F237" s="34">
        <v>1</v>
      </c>
      <c r="G237" s="35"/>
      <c r="H237" s="36">
        <f t="shared" si="16"/>
        <v>0</v>
      </c>
      <c r="I237" s="90"/>
      <c r="J237" s="37"/>
      <c r="K237" s="38">
        <f t="shared" si="13"/>
        <v>45743</v>
      </c>
      <c r="L237" s="90" t="s">
        <v>17</v>
      </c>
      <c r="M237" s="39"/>
      <c r="N237" s="40"/>
      <c r="O237" s="40"/>
      <c r="P237" s="40"/>
      <c r="Q237" s="40"/>
    </row>
    <row r="238" spans="1:17" x14ac:dyDescent="0.3">
      <c r="A238" s="31" t="s">
        <v>754</v>
      </c>
      <c r="B238" s="32">
        <v>45743</v>
      </c>
      <c r="C238" s="33" t="s">
        <v>751</v>
      </c>
      <c r="D238" s="40" t="s">
        <v>632</v>
      </c>
      <c r="E238" s="40" t="s">
        <v>394</v>
      </c>
      <c r="F238" s="34">
        <v>1</v>
      </c>
      <c r="G238" s="35"/>
      <c r="H238" s="36">
        <f t="shared" si="16"/>
        <v>0</v>
      </c>
      <c r="I238" s="90"/>
      <c r="J238" s="37"/>
      <c r="K238" s="38">
        <f t="shared" si="13"/>
        <v>45743</v>
      </c>
      <c r="L238" s="90" t="s">
        <v>17</v>
      </c>
      <c r="M238" s="39"/>
      <c r="N238" s="40"/>
      <c r="O238" s="40"/>
      <c r="P238" s="40"/>
      <c r="Q238" s="40"/>
    </row>
    <row r="239" spans="1:17" x14ac:dyDescent="0.3">
      <c r="A239" s="31" t="s">
        <v>755</v>
      </c>
      <c r="B239" s="32">
        <v>45743</v>
      </c>
      <c r="C239" s="33" t="s">
        <v>751</v>
      </c>
      <c r="D239" s="40" t="s">
        <v>632</v>
      </c>
      <c r="E239" s="40" t="s">
        <v>451</v>
      </c>
      <c r="F239" s="34">
        <v>1</v>
      </c>
      <c r="G239" s="35"/>
      <c r="H239" s="36">
        <f t="shared" si="16"/>
        <v>0</v>
      </c>
      <c r="I239" s="90"/>
      <c r="J239" s="37"/>
      <c r="K239" s="38">
        <f t="shared" si="13"/>
        <v>45743</v>
      </c>
      <c r="L239" s="90" t="s">
        <v>17</v>
      </c>
      <c r="M239" s="39"/>
      <c r="N239" s="40"/>
      <c r="O239" s="40"/>
      <c r="P239" s="40"/>
      <c r="Q239" s="40"/>
    </row>
    <row r="240" spans="1:17" x14ac:dyDescent="0.3">
      <c r="A240" s="31" t="s">
        <v>756</v>
      </c>
      <c r="B240" s="32">
        <v>45743</v>
      </c>
      <c r="C240" s="33" t="s">
        <v>751</v>
      </c>
      <c r="D240" s="40" t="s">
        <v>632</v>
      </c>
      <c r="E240" s="40" t="s">
        <v>722</v>
      </c>
      <c r="F240" s="34">
        <v>1</v>
      </c>
      <c r="G240" s="35"/>
      <c r="H240" s="36">
        <f t="shared" si="16"/>
        <v>0</v>
      </c>
      <c r="I240" s="90"/>
      <c r="J240" s="37"/>
      <c r="K240" s="38">
        <f t="shared" si="13"/>
        <v>45743</v>
      </c>
      <c r="L240" s="90" t="s">
        <v>17</v>
      </c>
      <c r="M240" s="39"/>
      <c r="N240" s="40"/>
      <c r="O240" s="40"/>
      <c r="P240" s="40"/>
      <c r="Q240" s="40"/>
    </row>
    <row r="241" spans="1:17" x14ac:dyDescent="0.3">
      <c r="A241" s="31" t="s">
        <v>757</v>
      </c>
      <c r="B241" s="32">
        <v>45743</v>
      </c>
      <c r="C241" s="33" t="s">
        <v>16</v>
      </c>
      <c r="D241" s="40" t="s">
        <v>758</v>
      </c>
      <c r="E241" s="40" t="s">
        <v>759</v>
      </c>
      <c r="F241" s="34">
        <v>4</v>
      </c>
      <c r="G241" s="35">
        <f>34461+(2*777)+(2*1018)</f>
        <v>38051</v>
      </c>
      <c r="H241" s="36">
        <f t="shared" si="16"/>
        <v>152204</v>
      </c>
      <c r="I241" s="90"/>
      <c r="J241" s="37"/>
      <c r="K241" s="38">
        <f t="shared" si="13"/>
        <v>45743</v>
      </c>
      <c r="L241" s="90" t="s">
        <v>17</v>
      </c>
      <c r="M241" s="39"/>
      <c r="N241" s="40"/>
      <c r="O241" s="40"/>
      <c r="P241" s="40"/>
      <c r="Q241" s="40"/>
    </row>
    <row r="242" spans="1:17" x14ac:dyDescent="0.3">
      <c r="A242" s="31" t="s">
        <v>760</v>
      </c>
      <c r="B242" s="32">
        <v>45744</v>
      </c>
      <c r="C242" s="33" t="s">
        <v>761</v>
      </c>
      <c r="D242" s="33" t="s">
        <v>762</v>
      </c>
      <c r="E242" s="33" t="s">
        <v>69</v>
      </c>
      <c r="F242" s="34">
        <v>1</v>
      </c>
      <c r="G242" s="35">
        <v>3806</v>
      </c>
      <c r="H242" s="36">
        <f t="shared" si="16"/>
        <v>3806</v>
      </c>
      <c r="I242" s="90"/>
      <c r="J242" s="37"/>
      <c r="K242" s="38">
        <f t="shared" si="13"/>
        <v>45744</v>
      </c>
      <c r="L242" s="90"/>
      <c r="M242" s="39"/>
      <c r="N242" s="40"/>
      <c r="O242" s="40"/>
      <c r="P242" s="40"/>
      <c r="Q242" s="40"/>
    </row>
    <row r="243" spans="1:17" x14ac:dyDescent="0.3">
      <c r="A243" s="31" t="s">
        <v>763</v>
      </c>
      <c r="B243" s="32">
        <v>45744</v>
      </c>
      <c r="C243" s="33" t="s">
        <v>764</v>
      </c>
      <c r="D243" s="33" t="s">
        <v>49</v>
      </c>
      <c r="E243" s="33" t="s">
        <v>765</v>
      </c>
      <c r="F243" s="34">
        <v>1</v>
      </c>
      <c r="G243" s="35">
        <v>3151.3330000000001</v>
      </c>
      <c r="H243" s="36">
        <f t="shared" si="16"/>
        <v>3151.3330000000001</v>
      </c>
      <c r="I243" s="90"/>
      <c r="J243" s="37"/>
      <c r="K243" s="38">
        <f t="shared" si="13"/>
        <v>45744</v>
      </c>
      <c r="L243" s="90"/>
      <c r="M243" s="39"/>
      <c r="N243" s="40"/>
      <c r="O243" s="40"/>
      <c r="P243" s="40"/>
      <c r="Q243" s="40"/>
    </row>
    <row r="244" spans="1:17" x14ac:dyDescent="0.3">
      <c r="A244" s="31" t="s">
        <v>766</v>
      </c>
      <c r="B244" s="32">
        <v>45744</v>
      </c>
      <c r="C244" s="33" t="s">
        <v>16</v>
      </c>
      <c r="D244" s="33" t="s">
        <v>690</v>
      </c>
      <c r="E244" s="33" t="s">
        <v>767</v>
      </c>
      <c r="F244" s="34">
        <v>1</v>
      </c>
      <c r="G244" s="35"/>
      <c r="H244" s="36">
        <f t="shared" si="16"/>
        <v>0</v>
      </c>
      <c r="I244" s="90"/>
      <c r="J244" s="37"/>
      <c r="K244" s="38">
        <f t="shared" si="13"/>
        <v>45744</v>
      </c>
      <c r="L244" s="90"/>
      <c r="M244" s="39"/>
      <c r="N244" s="40"/>
      <c r="O244" s="40"/>
      <c r="P244" s="40"/>
      <c r="Q244" s="40"/>
    </row>
    <row r="245" spans="1:17" x14ac:dyDescent="0.3">
      <c r="A245" s="31" t="s">
        <v>768</v>
      </c>
      <c r="B245" s="32">
        <v>45747</v>
      </c>
      <c r="C245" s="33" t="s">
        <v>769</v>
      </c>
      <c r="D245" s="40" t="s">
        <v>482</v>
      </c>
      <c r="E245" s="40" t="s">
        <v>770</v>
      </c>
      <c r="F245" s="34">
        <v>3</v>
      </c>
      <c r="G245" s="35">
        <v>6195</v>
      </c>
      <c r="H245" s="36">
        <v>6195</v>
      </c>
      <c r="I245" s="90"/>
      <c r="J245" s="37"/>
      <c r="K245" s="38">
        <f t="shared" si="13"/>
        <v>45747</v>
      </c>
      <c r="L245" s="90" t="s">
        <v>301</v>
      </c>
      <c r="M245" s="39"/>
      <c r="N245" s="40"/>
      <c r="O245" s="40"/>
      <c r="P245" s="40"/>
      <c r="Q245" s="40"/>
    </row>
    <row r="246" spans="1:17" x14ac:dyDescent="0.3">
      <c r="A246" s="31" t="s">
        <v>771</v>
      </c>
      <c r="B246" s="32">
        <v>45748</v>
      </c>
      <c r="C246" s="33" t="s">
        <v>772</v>
      </c>
      <c r="D246" s="40" t="s">
        <v>30</v>
      </c>
      <c r="E246" s="40" t="s">
        <v>26</v>
      </c>
      <c r="F246" s="34">
        <v>1</v>
      </c>
      <c r="G246" s="35">
        <v>10250</v>
      </c>
      <c r="H246" s="36">
        <f t="shared" ref="H246:H274" si="17">F246*G246</f>
        <v>10250</v>
      </c>
      <c r="I246" s="90"/>
      <c r="J246" s="37"/>
      <c r="K246" s="38">
        <f t="shared" si="13"/>
        <v>45748</v>
      </c>
      <c r="L246" s="90" t="s">
        <v>301</v>
      </c>
      <c r="M246" s="39"/>
      <c r="N246" s="40"/>
      <c r="O246" s="40"/>
      <c r="P246" s="40"/>
      <c r="Q246" s="40"/>
    </row>
    <row r="247" spans="1:17" x14ac:dyDescent="0.3">
      <c r="A247" s="31" t="s">
        <v>773</v>
      </c>
      <c r="B247" s="32">
        <v>45748</v>
      </c>
      <c r="C247" s="33" t="s">
        <v>774</v>
      </c>
      <c r="D247" s="40" t="s">
        <v>30</v>
      </c>
      <c r="E247" s="40" t="s">
        <v>26</v>
      </c>
      <c r="F247" s="34">
        <v>4</v>
      </c>
      <c r="G247" s="35">
        <v>10250</v>
      </c>
      <c r="H247" s="36">
        <f t="shared" si="17"/>
        <v>41000</v>
      </c>
      <c r="I247" s="90"/>
      <c r="J247" s="37"/>
      <c r="K247" s="38">
        <f t="shared" si="13"/>
        <v>45748</v>
      </c>
      <c r="L247" s="90" t="s">
        <v>301</v>
      </c>
      <c r="M247" s="39"/>
      <c r="N247" s="40"/>
      <c r="O247" s="40"/>
      <c r="P247" s="40"/>
      <c r="Q247" s="40"/>
    </row>
    <row r="248" spans="1:17" x14ac:dyDescent="0.3">
      <c r="A248" s="31" t="s">
        <v>775</v>
      </c>
      <c r="B248" s="32">
        <v>45748</v>
      </c>
      <c r="C248" s="33" t="s">
        <v>776</v>
      </c>
      <c r="D248" s="40" t="s">
        <v>777</v>
      </c>
      <c r="E248" s="40" t="s">
        <v>778</v>
      </c>
      <c r="F248" s="34">
        <v>2</v>
      </c>
      <c r="G248" s="35">
        <v>15680</v>
      </c>
      <c r="H248" s="36">
        <f t="shared" si="17"/>
        <v>31360</v>
      </c>
      <c r="I248" s="90"/>
      <c r="J248" s="37"/>
      <c r="K248" s="38">
        <f t="shared" si="13"/>
        <v>45748</v>
      </c>
      <c r="L248" s="90" t="s">
        <v>301</v>
      </c>
      <c r="M248" s="39"/>
      <c r="N248" s="40"/>
      <c r="O248" s="40"/>
      <c r="P248" s="40"/>
      <c r="Q248" s="40"/>
    </row>
    <row r="249" spans="1:17" x14ac:dyDescent="0.3">
      <c r="A249" s="31" t="s">
        <v>779</v>
      </c>
      <c r="B249" s="32">
        <v>45748</v>
      </c>
      <c r="C249" s="33" t="s">
        <v>16</v>
      </c>
      <c r="D249" s="40" t="s">
        <v>780</v>
      </c>
      <c r="E249" s="40" t="s">
        <v>677</v>
      </c>
      <c r="F249" s="34">
        <v>1</v>
      </c>
      <c r="G249" s="35">
        <v>7570</v>
      </c>
      <c r="H249" s="36">
        <f t="shared" si="17"/>
        <v>7570</v>
      </c>
      <c r="I249" s="90"/>
      <c r="J249" s="37"/>
      <c r="K249" s="38">
        <f t="shared" si="13"/>
        <v>45748</v>
      </c>
      <c r="L249" s="90" t="s">
        <v>143</v>
      </c>
      <c r="M249" s="39"/>
      <c r="N249" s="40"/>
      <c r="O249" s="40"/>
      <c r="P249" s="40"/>
      <c r="Q249" s="40"/>
    </row>
    <row r="250" spans="1:17" x14ac:dyDescent="0.3">
      <c r="A250" s="31" t="s">
        <v>781</v>
      </c>
      <c r="B250" s="32">
        <v>45749</v>
      </c>
      <c r="C250" s="33" t="s">
        <v>782</v>
      </c>
      <c r="D250" s="40" t="s">
        <v>609</v>
      </c>
      <c r="E250" s="40" t="s">
        <v>783</v>
      </c>
      <c r="F250" s="34">
        <v>6</v>
      </c>
      <c r="G250" s="35">
        <v>1950</v>
      </c>
      <c r="H250" s="36">
        <f t="shared" si="17"/>
        <v>11700</v>
      </c>
      <c r="I250" s="90"/>
      <c r="J250" s="37"/>
      <c r="K250" s="38">
        <f t="shared" si="13"/>
        <v>45749</v>
      </c>
      <c r="L250" s="90" t="s">
        <v>17</v>
      </c>
      <c r="M250" s="39"/>
      <c r="N250" s="40"/>
      <c r="O250" s="40"/>
      <c r="P250" s="40"/>
      <c r="Q250" s="40"/>
    </row>
    <row r="251" spans="1:17" x14ac:dyDescent="0.3">
      <c r="A251" s="31" t="s">
        <v>784</v>
      </c>
      <c r="B251" s="32">
        <v>45750</v>
      </c>
      <c r="C251" s="33" t="s">
        <v>785</v>
      </c>
      <c r="D251" s="40" t="s">
        <v>49</v>
      </c>
      <c r="E251" s="40" t="s">
        <v>58</v>
      </c>
      <c r="F251" s="34">
        <v>2</v>
      </c>
      <c r="G251" s="35">
        <v>19517</v>
      </c>
      <c r="H251" s="36">
        <f t="shared" si="17"/>
        <v>39034</v>
      </c>
      <c r="I251" s="90"/>
      <c r="J251" s="37"/>
      <c r="K251" s="38">
        <f t="shared" si="13"/>
        <v>45750</v>
      </c>
      <c r="L251" s="90" t="s">
        <v>20</v>
      </c>
      <c r="M251" s="39"/>
      <c r="N251" s="40"/>
      <c r="O251" s="40"/>
      <c r="P251" s="40"/>
      <c r="Q251" s="40"/>
    </row>
    <row r="252" spans="1:17" ht="28.8" x14ac:dyDescent="0.3">
      <c r="A252" s="31" t="s">
        <v>786</v>
      </c>
      <c r="B252" s="32">
        <v>45750</v>
      </c>
      <c r="C252" s="33" t="s">
        <v>16</v>
      </c>
      <c r="D252" s="45" t="s">
        <v>787</v>
      </c>
      <c r="E252" s="33" t="s">
        <v>788</v>
      </c>
      <c r="F252" s="34">
        <v>1</v>
      </c>
      <c r="G252" s="35">
        <v>17766</v>
      </c>
      <c r="H252" s="36">
        <f t="shared" si="17"/>
        <v>17766</v>
      </c>
      <c r="I252" s="90"/>
      <c r="J252" s="37"/>
      <c r="K252" s="38">
        <f t="shared" si="13"/>
        <v>45750</v>
      </c>
      <c r="L252" s="90" t="s">
        <v>17</v>
      </c>
      <c r="M252" s="39"/>
      <c r="N252" s="40"/>
      <c r="O252" s="40"/>
      <c r="P252" s="40"/>
      <c r="Q252" s="40"/>
    </row>
    <row r="253" spans="1:17" x14ac:dyDescent="0.3">
      <c r="A253" s="31" t="s">
        <v>789</v>
      </c>
      <c r="B253" s="32">
        <v>45751</v>
      </c>
      <c r="C253" s="33" t="s">
        <v>16</v>
      </c>
      <c r="D253" s="40" t="s">
        <v>790</v>
      </c>
      <c r="E253" s="40" t="s">
        <v>791</v>
      </c>
      <c r="F253" s="34">
        <v>1</v>
      </c>
      <c r="G253" s="35">
        <v>8932</v>
      </c>
      <c r="H253" s="36">
        <f t="shared" si="17"/>
        <v>8932</v>
      </c>
      <c r="I253" s="90"/>
      <c r="J253" s="37"/>
      <c r="K253" s="38">
        <f t="shared" si="13"/>
        <v>45751</v>
      </c>
      <c r="L253" s="90" t="s">
        <v>301</v>
      </c>
      <c r="M253" s="39"/>
      <c r="N253" s="40"/>
      <c r="O253" s="40"/>
      <c r="P253" s="40"/>
      <c r="Q253" s="40"/>
    </row>
    <row r="254" spans="1:17" x14ac:dyDescent="0.3">
      <c r="A254" s="31" t="s">
        <v>792</v>
      </c>
      <c r="B254" s="32">
        <v>45751</v>
      </c>
      <c r="C254" s="33" t="s">
        <v>793</v>
      </c>
      <c r="D254" s="40" t="s">
        <v>150</v>
      </c>
      <c r="E254" s="40" t="s">
        <v>90</v>
      </c>
      <c r="F254" s="34">
        <v>1</v>
      </c>
      <c r="G254" s="35">
        <v>450</v>
      </c>
      <c r="H254" s="36">
        <f t="shared" si="17"/>
        <v>450</v>
      </c>
      <c r="I254" s="90"/>
      <c r="J254" s="37"/>
      <c r="K254" s="38">
        <f t="shared" si="13"/>
        <v>45751</v>
      </c>
      <c r="L254" s="90" t="s">
        <v>301</v>
      </c>
      <c r="M254" s="39"/>
      <c r="N254" s="40"/>
      <c r="O254" s="40"/>
      <c r="P254" s="40"/>
      <c r="Q254" s="40"/>
    </row>
    <row r="255" spans="1:17" x14ac:dyDescent="0.3">
      <c r="A255" s="31" t="s">
        <v>794</v>
      </c>
      <c r="B255" s="32">
        <v>45751</v>
      </c>
      <c r="C255" s="33" t="s">
        <v>145</v>
      </c>
      <c r="D255" s="40" t="s">
        <v>795</v>
      </c>
      <c r="E255" s="40" t="s">
        <v>796</v>
      </c>
      <c r="F255" s="34">
        <v>1</v>
      </c>
      <c r="G255" s="35">
        <v>5117</v>
      </c>
      <c r="H255" s="36">
        <f t="shared" si="17"/>
        <v>5117</v>
      </c>
      <c r="I255" s="90"/>
      <c r="J255" s="37"/>
      <c r="K255" s="38">
        <f t="shared" si="13"/>
        <v>45751</v>
      </c>
      <c r="L255" s="90" t="s">
        <v>301</v>
      </c>
      <c r="M255" s="39"/>
      <c r="N255" s="40"/>
      <c r="O255" s="40"/>
      <c r="P255" s="40"/>
      <c r="Q255" s="40"/>
    </row>
    <row r="256" spans="1:17" x14ac:dyDescent="0.3">
      <c r="A256" s="31" t="s">
        <v>797</v>
      </c>
      <c r="B256" s="32">
        <v>45754</v>
      </c>
      <c r="C256" s="33" t="s">
        <v>145</v>
      </c>
      <c r="D256" s="40" t="s">
        <v>798</v>
      </c>
      <c r="E256" s="40" t="s">
        <v>799</v>
      </c>
      <c r="F256" s="34">
        <v>1</v>
      </c>
      <c r="G256" s="35">
        <v>13475</v>
      </c>
      <c r="H256" s="36">
        <f t="shared" si="17"/>
        <v>13475</v>
      </c>
      <c r="I256" s="90"/>
      <c r="J256" s="37"/>
      <c r="K256" s="38">
        <f t="shared" si="13"/>
        <v>45754</v>
      </c>
      <c r="L256" s="90" t="s">
        <v>17</v>
      </c>
      <c r="M256" s="39"/>
      <c r="N256" s="40"/>
      <c r="O256" s="40"/>
      <c r="P256" s="40"/>
      <c r="Q256" s="40"/>
    </row>
    <row r="257" spans="1:17" x14ac:dyDescent="0.3">
      <c r="A257" s="31" t="s">
        <v>800</v>
      </c>
      <c r="B257" s="32">
        <v>45754</v>
      </c>
      <c r="C257" s="33" t="s">
        <v>145</v>
      </c>
      <c r="D257" s="40" t="s">
        <v>798</v>
      </c>
      <c r="E257" s="40" t="s">
        <v>801</v>
      </c>
      <c r="F257" s="34">
        <v>1</v>
      </c>
      <c r="G257" s="35">
        <v>12898</v>
      </c>
      <c r="H257" s="36">
        <f t="shared" si="17"/>
        <v>12898</v>
      </c>
      <c r="I257" s="90"/>
      <c r="J257" s="37"/>
      <c r="K257" s="38">
        <f t="shared" si="13"/>
        <v>45754</v>
      </c>
      <c r="L257" s="90" t="s">
        <v>17</v>
      </c>
      <c r="M257" s="39"/>
      <c r="N257" s="40"/>
      <c r="O257" s="40"/>
      <c r="P257" s="40"/>
      <c r="Q257" s="40"/>
    </row>
    <row r="258" spans="1:17" x14ac:dyDescent="0.3">
      <c r="A258" s="31" t="s">
        <v>802</v>
      </c>
      <c r="B258" s="32">
        <v>45754</v>
      </c>
      <c r="C258" s="33" t="s">
        <v>145</v>
      </c>
      <c r="D258" s="40" t="s">
        <v>798</v>
      </c>
      <c r="E258" s="40" t="s">
        <v>803</v>
      </c>
      <c r="F258" s="34">
        <v>1</v>
      </c>
      <c r="G258" s="35">
        <v>14920</v>
      </c>
      <c r="H258" s="36">
        <f t="shared" si="17"/>
        <v>14920</v>
      </c>
      <c r="I258" s="90"/>
      <c r="J258" s="37"/>
      <c r="K258" s="38">
        <f t="shared" si="13"/>
        <v>45754</v>
      </c>
      <c r="L258" s="90" t="s">
        <v>17</v>
      </c>
      <c r="M258" s="39"/>
      <c r="N258" s="40"/>
      <c r="O258" s="40"/>
      <c r="P258" s="40"/>
      <c r="Q258" s="40"/>
    </row>
    <row r="259" spans="1:17" x14ac:dyDescent="0.3">
      <c r="A259" s="31" t="s">
        <v>804</v>
      </c>
      <c r="B259" s="32">
        <v>45754</v>
      </c>
      <c r="C259" s="33" t="s">
        <v>145</v>
      </c>
      <c r="D259" s="40" t="s">
        <v>798</v>
      </c>
      <c r="E259" s="40" t="s">
        <v>805</v>
      </c>
      <c r="F259" s="34">
        <v>1</v>
      </c>
      <c r="G259" s="35">
        <v>12898</v>
      </c>
      <c r="H259" s="36">
        <f t="shared" si="17"/>
        <v>12898</v>
      </c>
      <c r="I259" s="90"/>
      <c r="J259" s="37"/>
      <c r="K259" s="38">
        <f t="shared" si="13"/>
        <v>45754</v>
      </c>
      <c r="L259" s="90" t="s">
        <v>17</v>
      </c>
      <c r="M259" s="39"/>
      <c r="N259" s="40"/>
      <c r="O259" s="40"/>
      <c r="P259" s="40"/>
      <c r="Q259" s="40"/>
    </row>
    <row r="260" spans="1:17" x14ac:dyDescent="0.3">
      <c r="A260" s="31" t="s">
        <v>806</v>
      </c>
      <c r="B260" s="32">
        <v>45754</v>
      </c>
      <c r="C260" s="33" t="s">
        <v>145</v>
      </c>
      <c r="D260" s="40" t="s">
        <v>798</v>
      </c>
      <c r="E260" s="40" t="s">
        <v>807</v>
      </c>
      <c r="F260" s="34">
        <v>1</v>
      </c>
      <c r="G260" s="35">
        <v>11832</v>
      </c>
      <c r="H260" s="36">
        <f t="shared" si="17"/>
        <v>11832</v>
      </c>
      <c r="I260" s="90"/>
      <c r="J260" s="37"/>
      <c r="K260" s="38">
        <f t="shared" si="13"/>
        <v>45754</v>
      </c>
      <c r="L260" s="90" t="s">
        <v>17</v>
      </c>
      <c r="M260" s="39"/>
      <c r="N260" s="40"/>
      <c r="O260" s="40"/>
      <c r="P260" s="40"/>
      <c r="Q260" s="40"/>
    </row>
    <row r="261" spans="1:17" x14ac:dyDescent="0.3">
      <c r="A261" s="31" t="s">
        <v>808</v>
      </c>
      <c r="B261" s="32">
        <v>45754</v>
      </c>
      <c r="C261" s="33" t="s">
        <v>145</v>
      </c>
      <c r="D261" s="40" t="s">
        <v>798</v>
      </c>
      <c r="E261" s="40" t="s">
        <v>809</v>
      </c>
      <c r="F261" s="34">
        <v>1</v>
      </c>
      <c r="G261" s="35">
        <v>12898</v>
      </c>
      <c r="H261" s="36">
        <f t="shared" si="17"/>
        <v>12898</v>
      </c>
      <c r="I261" s="90"/>
      <c r="J261" s="37"/>
      <c r="K261" s="38">
        <f t="shared" si="13"/>
        <v>45754</v>
      </c>
      <c r="L261" s="90" t="s">
        <v>17</v>
      </c>
      <c r="M261" s="39"/>
      <c r="N261" s="40"/>
      <c r="O261" s="40"/>
      <c r="P261" s="40"/>
      <c r="Q261" s="40"/>
    </row>
    <row r="262" spans="1:17" x14ac:dyDescent="0.3">
      <c r="A262" s="31" t="s">
        <v>810</v>
      </c>
      <c r="B262" s="32">
        <v>45754</v>
      </c>
      <c r="C262" s="33" t="s">
        <v>145</v>
      </c>
      <c r="D262" s="40" t="s">
        <v>798</v>
      </c>
      <c r="E262" s="40" t="s">
        <v>811</v>
      </c>
      <c r="F262" s="34">
        <v>1</v>
      </c>
      <c r="G262" s="35">
        <v>27778</v>
      </c>
      <c r="H262" s="36">
        <f t="shared" si="17"/>
        <v>27778</v>
      </c>
      <c r="I262" s="90"/>
      <c r="J262" s="37"/>
      <c r="K262" s="38">
        <f t="shared" ref="K262:K325" si="18">J262+B262</f>
        <v>45754</v>
      </c>
      <c r="L262" s="90" t="s">
        <v>17</v>
      </c>
      <c r="M262" s="39"/>
      <c r="N262" s="40"/>
      <c r="O262" s="40"/>
      <c r="P262" s="40"/>
      <c r="Q262" s="40"/>
    </row>
    <row r="263" spans="1:17" x14ac:dyDescent="0.3">
      <c r="A263" s="31" t="s">
        <v>812</v>
      </c>
      <c r="B263" s="32">
        <v>45754</v>
      </c>
      <c r="C263" s="33" t="s">
        <v>145</v>
      </c>
      <c r="D263" s="40" t="s">
        <v>798</v>
      </c>
      <c r="E263" s="40" t="s">
        <v>813</v>
      </c>
      <c r="F263" s="34">
        <v>1</v>
      </c>
      <c r="G263" s="35">
        <v>27778</v>
      </c>
      <c r="H263" s="36">
        <f t="shared" si="17"/>
        <v>27778</v>
      </c>
      <c r="I263" s="90"/>
      <c r="J263" s="37"/>
      <c r="K263" s="38">
        <f t="shared" si="18"/>
        <v>45754</v>
      </c>
      <c r="L263" s="90" t="s">
        <v>17</v>
      </c>
      <c r="M263" s="39"/>
      <c r="N263" s="40"/>
      <c r="O263" s="40"/>
      <c r="P263" s="40"/>
      <c r="Q263" s="40"/>
    </row>
    <row r="264" spans="1:17" x14ac:dyDescent="0.3">
      <c r="A264" s="31" t="s">
        <v>814</v>
      </c>
      <c r="B264" s="32">
        <v>45754</v>
      </c>
      <c r="C264" s="33" t="s">
        <v>145</v>
      </c>
      <c r="D264" s="40" t="s">
        <v>798</v>
      </c>
      <c r="E264" s="40" t="s">
        <v>815</v>
      </c>
      <c r="F264" s="34">
        <v>1</v>
      </c>
      <c r="G264" s="35">
        <v>27778</v>
      </c>
      <c r="H264" s="36">
        <f t="shared" si="17"/>
        <v>27778</v>
      </c>
      <c r="I264" s="90"/>
      <c r="J264" s="37"/>
      <c r="K264" s="38">
        <f t="shared" si="18"/>
        <v>45754</v>
      </c>
      <c r="L264" s="90" t="s">
        <v>17</v>
      </c>
      <c r="M264" s="39"/>
      <c r="N264" s="40"/>
      <c r="O264" s="40"/>
      <c r="P264" s="40"/>
      <c r="Q264" s="40"/>
    </row>
    <row r="265" spans="1:17" s="53" customFormat="1" x14ac:dyDescent="0.3">
      <c r="A265" s="31" t="s">
        <v>816</v>
      </c>
      <c r="B265" s="32">
        <v>45754</v>
      </c>
      <c r="C265" s="33" t="s">
        <v>145</v>
      </c>
      <c r="D265" s="40" t="s">
        <v>798</v>
      </c>
      <c r="E265" s="40" t="s">
        <v>817</v>
      </c>
      <c r="F265" s="34">
        <v>1</v>
      </c>
      <c r="G265" s="35">
        <v>23666</v>
      </c>
      <c r="H265" s="36">
        <f t="shared" si="17"/>
        <v>23666</v>
      </c>
      <c r="I265" s="90"/>
      <c r="J265" s="37"/>
      <c r="K265" s="38">
        <f t="shared" si="18"/>
        <v>45754</v>
      </c>
      <c r="L265" s="90" t="s">
        <v>17</v>
      </c>
      <c r="M265" s="39"/>
      <c r="N265" s="40"/>
      <c r="O265" s="40"/>
      <c r="P265" s="40"/>
      <c r="Q265" s="40"/>
    </row>
    <row r="266" spans="1:17" s="53" customFormat="1" x14ac:dyDescent="0.3">
      <c r="A266" s="31" t="s">
        <v>818</v>
      </c>
      <c r="B266" s="32">
        <v>45754</v>
      </c>
      <c r="C266" s="33" t="s">
        <v>145</v>
      </c>
      <c r="D266" s="40" t="s">
        <v>798</v>
      </c>
      <c r="E266" s="40" t="s">
        <v>819</v>
      </c>
      <c r="F266" s="34">
        <v>1</v>
      </c>
      <c r="G266" s="35">
        <v>11304</v>
      </c>
      <c r="H266" s="36">
        <f t="shared" si="17"/>
        <v>11304</v>
      </c>
      <c r="I266" s="90"/>
      <c r="J266" s="37"/>
      <c r="K266" s="38">
        <f t="shared" si="18"/>
        <v>45754</v>
      </c>
      <c r="L266" s="90" t="s">
        <v>17</v>
      </c>
      <c r="M266" s="39"/>
      <c r="N266" s="40"/>
      <c r="O266" s="40"/>
      <c r="P266" s="40"/>
      <c r="Q266" s="40"/>
    </row>
    <row r="267" spans="1:17" s="53" customFormat="1" x14ac:dyDescent="0.3">
      <c r="A267" s="31" t="s">
        <v>820</v>
      </c>
      <c r="B267" s="32">
        <v>45754</v>
      </c>
      <c r="C267" s="33" t="s">
        <v>145</v>
      </c>
      <c r="D267" s="40" t="s">
        <v>798</v>
      </c>
      <c r="E267" s="40" t="s">
        <v>821</v>
      </c>
      <c r="F267" s="34">
        <v>1</v>
      </c>
      <c r="G267" s="35">
        <v>26129</v>
      </c>
      <c r="H267" s="36">
        <f t="shared" si="17"/>
        <v>26129</v>
      </c>
      <c r="I267" s="90"/>
      <c r="J267" s="37"/>
      <c r="K267" s="38">
        <f t="shared" si="18"/>
        <v>45754</v>
      </c>
      <c r="L267" s="90" t="s">
        <v>17</v>
      </c>
      <c r="M267" s="39"/>
      <c r="N267" s="40"/>
      <c r="O267" s="40"/>
      <c r="P267" s="40"/>
      <c r="Q267" s="40"/>
    </row>
    <row r="268" spans="1:17" s="53" customFormat="1" x14ac:dyDescent="0.3">
      <c r="A268" s="31" t="s">
        <v>822</v>
      </c>
      <c r="B268" s="32">
        <v>45754</v>
      </c>
      <c r="C268" s="33" t="s">
        <v>823</v>
      </c>
      <c r="D268" s="40" t="s">
        <v>389</v>
      </c>
      <c r="E268" s="40" t="s">
        <v>162</v>
      </c>
      <c r="F268" s="34">
        <v>1</v>
      </c>
      <c r="G268" s="35">
        <v>25291</v>
      </c>
      <c r="H268" s="36">
        <f t="shared" si="17"/>
        <v>25291</v>
      </c>
      <c r="I268" s="90"/>
      <c r="J268" s="37"/>
      <c r="K268" s="38">
        <f t="shared" si="18"/>
        <v>45754</v>
      </c>
      <c r="L268" s="90" t="s">
        <v>20</v>
      </c>
      <c r="M268" s="39"/>
      <c r="N268" s="40"/>
      <c r="O268" s="40"/>
      <c r="P268" s="40"/>
      <c r="Q268" s="40"/>
    </row>
    <row r="269" spans="1:17" s="53" customFormat="1" x14ac:dyDescent="0.3">
      <c r="A269" s="31" t="s">
        <v>824</v>
      </c>
      <c r="B269" s="32">
        <v>45755</v>
      </c>
      <c r="C269" s="33" t="s">
        <v>145</v>
      </c>
      <c r="D269" s="40" t="s">
        <v>632</v>
      </c>
      <c r="E269" s="40" t="s">
        <v>825</v>
      </c>
      <c r="F269" s="34">
        <v>1</v>
      </c>
      <c r="G269" s="35">
        <v>1559</v>
      </c>
      <c r="H269" s="36">
        <f t="shared" si="17"/>
        <v>1559</v>
      </c>
      <c r="I269" s="90"/>
      <c r="J269" s="37"/>
      <c r="K269" s="38">
        <f t="shared" si="18"/>
        <v>45755</v>
      </c>
      <c r="L269" s="90" t="s">
        <v>17</v>
      </c>
      <c r="M269" s="39"/>
      <c r="N269" s="40"/>
      <c r="O269" s="40"/>
      <c r="P269" s="40"/>
      <c r="Q269" s="40"/>
    </row>
    <row r="270" spans="1:17" s="53" customFormat="1" x14ac:dyDescent="0.3">
      <c r="A270" s="31" t="s">
        <v>826</v>
      </c>
      <c r="B270" s="32">
        <v>45756</v>
      </c>
      <c r="C270" s="33" t="s">
        <v>145</v>
      </c>
      <c r="D270" s="40" t="s">
        <v>827</v>
      </c>
      <c r="E270" s="40" t="s">
        <v>828</v>
      </c>
      <c r="F270" s="34">
        <v>1</v>
      </c>
      <c r="G270" s="35"/>
      <c r="H270" s="36">
        <f t="shared" si="17"/>
        <v>0</v>
      </c>
      <c r="I270" s="90"/>
      <c r="J270" s="37"/>
      <c r="K270" s="38">
        <f t="shared" si="18"/>
        <v>45756</v>
      </c>
      <c r="L270" s="90"/>
      <c r="M270" s="39"/>
      <c r="N270" s="40"/>
      <c r="O270" s="40"/>
      <c r="P270" s="40"/>
      <c r="Q270" s="40"/>
    </row>
    <row r="271" spans="1:17" s="53" customFormat="1" x14ac:dyDescent="0.3">
      <c r="A271" s="31" t="s">
        <v>829</v>
      </c>
      <c r="B271" s="32">
        <v>45756</v>
      </c>
      <c r="C271" s="33" t="s">
        <v>145</v>
      </c>
      <c r="D271" s="40" t="s">
        <v>141</v>
      </c>
      <c r="E271" s="40" t="s">
        <v>830</v>
      </c>
      <c r="F271" s="34">
        <v>1</v>
      </c>
      <c r="G271" s="35">
        <v>1637</v>
      </c>
      <c r="H271" s="36">
        <f t="shared" si="17"/>
        <v>1637</v>
      </c>
      <c r="I271" s="90"/>
      <c r="J271" s="37"/>
      <c r="K271" s="38">
        <f t="shared" si="18"/>
        <v>45756</v>
      </c>
      <c r="L271" s="90" t="s">
        <v>301</v>
      </c>
      <c r="M271" s="39"/>
      <c r="N271" s="40"/>
      <c r="O271" s="40"/>
      <c r="P271" s="40"/>
      <c r="Q271" s="40"/>
    </row>
    <row r="272" spans="1:17" s="53" customFormat="1" x14ac:dyDescent="0.3">
      <c r="A272" s="31" t="s">
        <v>831</v>
      </c>
      <c r="B272" s="32">
        <v>45756</v>
      </c>
      <c r="C272" s="33" t="s">
        <v>145</v>
      </c>
      <c r="D272" s="40" t="s">
        <v>128</v>
      </c>
      <c r="E272" s="40" t="s">
        <v>122</v>
      </c>
      <c r="F272" s="34">
        <v>3</v>
      </c>
      <c r="G272" s="35">
        <v>11090</v>
      </c>
      <c r="H272" s="36">
        <f t="shared" si="17"/>
        <v>33270</v>
      </c>
      <c r="I272" s="90"/>
      <c r="J272" s="37"/>
      <c r="K272" s="38">
        <f t="shared" si="18"/>
        <v>45756</v>
      </c>
      <c r="L272" s="90" t="s">
        <v>143</v>
      </c>
      <c r="M272" s="39"/>
      <c r="N272" s="40"/>
      <c r="O272" s="40"/>
      <c r="P272" s="40"/>
      <c r="Q272" s="40"/>
    </row>
    <row r="273" spans="1:17" s="53" customFormat="1" x14ac:dyDescent="0.3">
      <c r="A273" s="31" t="s">
        <v>832</v>
      </c>
      <c r="B273" s="32">
        <v>45757</v>
      </c>
      <c r="C273" s="33" t="s">
        <v>145</v>
      </c>
      <c r="D273" s="40" t="s">
        <v>833</v>
      </c>
      <c r="E273" s="40" t="s">
        <v>24</v>
      </c>
      <c r="F273" s="34">
        <v>1</v>
      </c>
      <c r="G273" s="35">
        <v>12403.83</v>
      </c>
      <c r="H273" s="36">
        <f t="shared" si="17"/>
        <v>12403.83</v>
      </c>
      <c r="I273" s="90"/>
      <c r="J273" s="37"/>
      <c r="K273" s="38">
        <f t="shared" si="18"/>
        <v>45757</v>
      </c>
      <c r="L273" s="90" t="s">
        <v>17</v>
      </c>
      <c r="M273" s="39"/>
      <c r="N273" s="40"/>
      <c r="O273" s="40"/>
      <c r="P273" s="40"/>
      <c r="Q273" s="40"/>
    </row>
    <row r="274" spans="1:17" s="53" customFormat="1" x14ac:dyDescent="0.3">
      <c r="A274" s="31" t="s">
        <v>834</v>
      </c>
      <c r="B274" s="32">
        <v>45757</v>
      </c>
      <c r="C274" s="33" t="s">
        <v>835</v>
      </c>
      <c r="D274" s="40" t="s">
        <v>40</v>
      </c>
      <c r="E274" s="40" t="s">
        <v>836</v>
      </c>
      <c r="F274" s="34">
        <v>2</v>
      </c>
      <c r="G274" s="35">
        <v>11595</v>
      </c>
      <c r="H274" s="36">
        <f t="shared" si="17"/>
        <v>23190</v>
      </c>
      <c r="I274" s="90"/>
      <c r="J274" s="37"/>
      <c r="K274" s="38">
        <f t="shared" si="18"/>
        <v>45757</v>
      </c>
      <c r="L274" s="90" t="s">
        <v>301</v>
      </c>
      <c r="M274" s="39"/>
      <c r="N274" s="40"/>
      <c r="O274" s="40"/>
      <c r="P274" s="40"/>
      <c r="Q274" s="40"/>
    </row>
    <row r="275" spans="1:17" s="53" customFormat="1" x14ac:dyDescent="0.3">
      <c r="A275" s="31" t="s">
        <v>837</v>
      </c>
      <c r="B275" s="32">
        <v>45758</v>
      </c>
      <c r="C275" s="33">
        <v>13917</v>
      </c>
      <c r="D275" s="40" t="s">
        <v>22</v>
      </c>
      <c r="E275" s="40" t="s">
        <v>507</v>
      </c>
      <c r="F275" s="34">
        <v>4</v>
      </c>
      <c r="G275" s="35">
        <v>12742</v>
      </c>
      <c r="H275" s="36">
        <f>G275*F275</f>
        <v>50968</v>
      </c>
      <c r="I275" s="90"/>
      <c r="J275" s="37"/>
      <c r="K275" s="38">
        <f t="shared" si="18"/>
        <v>45758</v>
      </c>
      <c r="L275" s="90" t="s">
        <v>17</v>
      </c>
      <c r="M275" s="39"/>
      <c r="N275" s="40"/>
      <c r="O275" s="40"/>
      <c r="P275" s="40"/>
      <c r="Q275" s="40"/>
    </row>
    <row r="276" spans="1:17" s="53" customFormat="1" x14ac:dyDescent="0.3">
      <c r="A276" s="31" t="s">
        <v>838</v>
      </c>
      <c r="B276" s="32">
        <v>45758</v>
      </c>
      <c r="C276" s="33"/>
      <c r="D276" s="40" t="s">
        <v>150</v>
      </c>
      <c r="E276" s="40" t="s">
        <v>839</v>
      </c>
      <c r="F276" s="34">
        <v>1</v>
      </c>
      <c r="G276" s="35">
        <v>22146.82</v>
      </c>
      <c r="H276" s="36">
        <f>F276*G276</f>
        <v>22146.82</v>
      </c>
      <c r="I276" s="90"/>
      <c r="J276" s="37"/>
      <c r="K276" s="38">
        <f t="shared" si="18"/>
        <v>45758</v>
      </c>
      <c r="L276" s="90" t="s">
        <v>301</v>
      </c>
      <c r="M276" s="39"/>
      <c r="N276" s="40"/>
      <c r="O276" s="40"/>
      <c r="P276" s="40"/>
      <c r="Q276" s="40"/>
    </row>
    <row r="277" spans="1:17" s="53" customFormat="1" x14ac:dyDescent="0.3">
      <c r="A277" s="31" t="s">
        <v>840</v>
      </c>
      <c r="B277" s="32">
        <v>45758</v>
      </c>
      <c r="C277" s="33" t="s">
        <v>841</v>
      </c>
      <c r="D277" s="40" t="s">
        <v>94</v>
      </c>
      <c r="E277" s="40" t="s">
        <v>61</v>
      </c>
      <c r="F277" s="34">
        <v>2</v>
      </c>
      <c r="G277" s="35">
        <v>11500</v>
      </c>
      <c r="H277" s="36">
        <f>F277*G277</f>
        <v>23000</v>
      </c>
      <c r="I277" s="90"/>
      <c r="J277" s="37"/>
      <c r="K277" s="38">
        <f t="shared" si="18"/>
        <v>45758</v>
      </c>
      <c r="L277" s="90" t="s">
        <v>301</v>
      </c>
      <c r="M277" s="39"/>
      <c r="N277" s="40"/>
      <c r="O277" s="40"/>
      <c r="P277" s="40"/>
      <c r="Q277" s="40"/>
    </row>
    <row r="278" spans="1:17" s="53" customFormat="1" x14ac:dyDescent="0.3">
      <c r="A278" s="31" t="s">
        <v>842</v>
      </c>
      <c r="B278" s="32">
        <v>45761</v>
      </c>
      <c r="C278" s="33" t="s">
        <v>16</v>
      </c>
      <c r="D278" s="40" t="s">
        <v>843</v>
      </c>
      <c r="E278" s="40" t="s">
        <v>844</v>
      </c>
      <c r="F278" s="34">
        <v>2</v>
      </c>
      <c r="G278" s="35">
        <v>6826.4</v>
      </c>
      <c r="H278" s="36">
        <v>6826.4</v>
      </c>
      <c r="I278" s="90"/>
      <c r="J278" s="37"/>
      <c r="K278" s="38">
        <f t="shared" si="18"/>
        <v>45761</v>
      </c>
      <c r="L278" s="90" t="s">
        <v>301</v>
      </c>
      <c r="M278" s="39"/>
      <c r="N278" s="40"/>
      <c r="O278" s="40"/>
      <c r="P278" s="40"/>
      <c r="Q278" s="40"/>
    </row>
    <row r="279" spans="1:17" s="53" customFormat="1" x14ac:dyDescent="0.3">
      <c r="A279" s="31" t="s">
        <v>845</v>
      </c>
      <c r="B279" s="32">
        <v>45761</v>
      </c>
      <c r="C279" s="33" t="s">
        <v>16</v>
      </c>
      <c r="D279" s="40" t="s">
        <v>846</v>
      </c>
      <c r="E279" s="40" t="s">
        <v>847</v>
      </c>
      <c r="F279" s="34">
        <v>5</v>
      </c>
      <c r="G279" s="35">
        <v>9015</v>
      </c>
      <c r="H279" s="36">
        <f>F279*G279</f>
        <v>45075</v>
      </c>
      <c r="I279" s="90"/>
      <c r="J279" s="37"/>
      <c r="K279" s="38">
        <f t="shared" si="18"/>
        <v>45761</v>
      </c>
      <c r="L279" s="90" t="s">
        <v>17</v>
      </c>
      <c r="M279" s="39"/>
      <c r="N279" s="40"/>
      <c r="O279" s="40"/>
      <c r="P279" s="40"/>
      <c r="Q279" s="40"/>
    </row>
    <row r="280" spans="1:17" s="53" customFormat="1" x14ac:dyDescent="0.3">
      <c r="A280" s="31" t="s">
        <v>848</v>
      </c>
      <c r="B280" s="32">
        <v>45761</v>
      </c>
      <c r="C280" s="33" t="s">
        <v>849</v>
      </c>
      <c r="D280" s="40" t="s">
        <v>22</v>
      </c>
      <c r="E280" s="40" t="s">
        <v>850</v>
      </c>
      <c r="F280" s="34">
        <v>1</v>
      </c>
      <c r="G280" s="35">
        <v>3529</v>
      </c>
      <c r="H280" s="36">
        <f>F280*G280</f>
        <v>3529</v>
      </c>
      <c r="I280" s="90"/>
      <c r="J280" s="37"/>
      <c r="K280" s="38">
        <f t="shared" si="18"/>
        <v>45761</v>
      </c>
      <c r="L280" s="90" t="s">
        <v>17</v>
      </c>
      <c r="M280" s="39"/>
      <c r="N280" s="40"/>
      <c r="O280" s="40"/>
      <c r="P280" s="40"/>
      <c r="Q280" s="40"/>
    </row>
    <row r="281" spans="1:17" s="53" customFormat="1" x14ac:dyDescent="0.3">
      <c r="A281" s="31" t="s">
        <v>851</v>
      </c>
      <c r="B281" s="32">
        <v>45761</v>
      </c>
      <c r="C281" s="33" t="s">
        <v>852</v>
      </c>
      <c r="D281" s="40" t="s">
        <v>853</v>
      </c>
      <c r="E281" s="40" t="s">
        <v>854</v>
      </c>
      <c r="F281" s="34">
        <v>4</v>
      </c>
      <c r="G281" s="35">
        <v>34175</v>
      </c>
      <c r="H281" s="36">
        <v>34175</v>
      </c>
      <c r="I281" s="90"/>
      <c r="J281" s="37"/>
      <c r="K281" s="38">
        <f t="shared" si="18"/>
        <v>45761</v>
      </c>
      <c r="L281" s="90" t="s">
        <v>301</v>
      </c>
      <c r="M281" s="39"/>
      <c r="N281" s="40"/>
      <c r="O281" s="40"/>
      <c r="P281" s="40"/>
      <c r="Q281" s="40"/>
    </row>
    <row r="282" spans="1:17" s="53" customFormat="1" x14ac:dyDescent="0.3">
      <c r="A282" s="31" t="s">
        <v>855</v>
      </c>
      <c r="B282" s="32">
        <v>45761</v>
      </c>
      <c r="C282" s="33" t="s">
        <v>856</v>
      </c>
      <c r="D282" s="40" t="s">
        <v>49</v>
      </c>
      <c r="E282" s="40" t="s">
        <v>351</v>
      </c>
      <c r="F282" s="34">
        <v>1</v>
      </c>
      <c r="G282" s="35">
        <v>10936</v>
      </c>
      <c r="H282" s="36">
        <f t="shared" ref="H282:H289" si="19">F282*G282</f>
        <v>10936</v>
      </c>
      <c r="I282" s="90"/>
      <c r="J282" s="37"/>
      <c r="K282" s="38">
        <f t="shared" si="18"/>
        <v>45761</v>
      </c>
      <c r="L282" s="90" t="s">
        <v>20</v>
      </c>
      <c r="M282" s="39"/>
      <c r="N282" s="40"/>
      <c r="O282" s="40"/>
      <c r="P282" s="40"/>
      <c r="Q282" s="40"/>
    </row>
    <row r="283" spans="1:17" s="53" customFormat="1" x14ac:dyDescent="0.3">
      <c r="A283" s="31" t="s">
        <v>857</v>
      </c>
      <c r="B283" s="32">
        <v>45761</v>
      </c>
      <c r="C283" s="33">
        <v>501350</v>
      </c>
      <c r="D283" s="40" t="s">
        <v>389</v>
      </c>
      <c r="E283" s="40" t="s">
        <v>504</v>
      </c>
      <c r="F283" s="34">
        <v>1</v>
      </c>
      <c r="G283" s="35">
        <v>19517</v>
      </c>
      <c r="H283" s="36">
        <f t="shared" si="19"/>
        <v>19517</v>
      </c>
      <c r="I283" s="90"/>
      <c r="J283" s="37"/>
      <c r="K283" s="38">
        <f t="shared" si="18"/>
        <v>45761</v>
      </c>
      <c r="L283" s="90" t="s">
        <v>20</v>
      </c>
      <c r="M283" s="39"/>
      <c r="N283" s="40"/>
      <c r="O283" s="40"/>
      <c r="P283" s="40"/>
      <c r="Q283" s="40"/>
    </row>
    <row r="284" spans="1:17" s="53" customFormat="1" x14ac:dyDescent="0.3">
      <c r="A284" s="31" t="s">
        <v>858</v>
      </c>
      <c r="B284" s="32">
        <v>45762</v>
      </c>
      <c r="C284" s="33" t="s">
        <v>859</v>
      </c>
      <c r="D284" s="40" t="s">
        <v>28</v>
      </c>
      <c r="E284" s="40" t="s">
        <v>860</v>
      </c>
      <c r="F284" s="34">
        <v>3</v>
      </c>
      <c r="G284" s="35">
        <v>18803</v>
      </c>
      <c r="H284" s="36">
        <f t="shared" si="19"/>
        <v>56409</v>
      </c>
      <c r="I284" s="90"/>
      <c r="J284" s="37"/>
      <c r="K284" s="38">
        <f t="shared" si="18"/>
        <v>45762</v>
      </c>
      <c r="L284" s="90" t="s">
        <v>301</v>
      </c>
      <c r="M284" s="39"/>
      <c r="N284" s="40"/>
      <c r="O284" s="40"/>
      <c r="P284" s="40"/>
      <c r="Q284" s="40"/>
    </row>
    <row r="285" spans="1:17" s="53" customFormat="1" x14ac:dyDescent="0.3">
      <c r="A285" s="31" t="s">
        <v>861</v>
      </c>
      <c r="B285" s="32">
        <v>45762</v>
      </c>
      <c r="C285" s="33"/>
      <c r="D285" s="40" t="s">
        <v>862</v>
      </c>
      <c r="E285" s="40" t="s">
        <v>863</v>
      </c>
      <c r="F285" s="34">
        <v>1</v>
      </c>
      <c r="G285" s="35">
        <v>9880</v>
      </c>
      <c r="H285" s="36">
        <f t="shared" si="19"/>
        <v>9880</v>
      </c>
      <c r="I285" s="90"/>
      <c r="J285" s="37"/>
      <c r="K285" s="38">
        <f t="shared" si="18"/>
        <v>45762</v>
      </c>
      <c r="L285" s="90" t="s">
        <v>143</v>
      </c>
      <c r="M285" s="39"/>
      <c r="N285" s="40"/>
      <c r="O285" s="40"/>
      <c r="P285" s="40"/>
      <c r="Q285" s="40"/>
    </row>
    <row r="286" spans="1:17" s="53" customFormat="1" x14ac:dyDescent="0.3">
      <c r="A286" s="31" t="s">
        <v>864</v>
      </c>
      <c r="B286" s="32">
        <v>45762</v>
      </c>
      <c r="C286" s="33" t="s">
        <v>865</v>
      </c>
      <c r="D286" s="40" t="s">
        <v>49</v>
      </c>
      <c r="E286" s="40" t="s">
        <v>105</v>
      </c>
      <c r="F286" s="34">
        <v>1</v>
      </c>
      <c r="G286" s="35">
        <v>2774</v>
      </c>
      <c r="H286" s="36">
        <f t="shared" si="19"/>
        <v>2774</v>
      </c>
      <c r="I286" s="90"/>
      <c r="J286" s="37"/>
      <c r="K286" s="38">
        <f t="shared" si="18"/>
        <v>45762</v>
      </c>
      <c r="L286" s="90" t="s">
        <v>20</v>
      </c>
      <c r="M286" s="39"/>
      <c r="N286" s="40"/>
      <c r="O286" s="40"/>
      <c r="P286" s="40"/>
      <c r="Q286" s="40"/>
    </row>
    <row r="287" spans="1:17" s="53" customFormat="1" x14ac:dyDescent="0.3">
      <c r="A287" s="31" t="s">
        <v>866</v>
      </c>
      <c r="B287" s="32">
        <v>45763</v>
      </c>
      <c r="C287" s="33" t="s">
        <v>16</v>
      </c>
      <c r="D287" s="40" t="s">
        <v>140</v>
      </c>
      <c r="E287" s="40" t="s">
        <v>867</v>
      </c>
      <c r="F287" s="34">
        <v>1</v>
      </c>
      <c r="G287" s="35">
        <v>6988.19</v>
      </c>
      <c r="H287" s="36">
        <f t="shared" si="19"/>
        <v>6988.19</v>
      </c>
      <c r="I287" s="90"/>
      <c r="J287" s="37"/>
      <c r="K287" s="38">
        <f t="shared" si="18"/>
        <v>45763</v>
      </c>
      <c r="L287" s="90" t="s">
        <v>17</v>
      </c>
      <c r="M287" s="39"/>
      <c r="N287" s="40"/>
      <c r="O287" s="40"/>
      <c r="P287" s="40"/>
      <c r="Q287" s="40"/>
    </row>
    <row r="288" spans="1:17" s="53" customFormat="1" x14ac:dyDescent="0.3">
      <c r="A288" s="31" t="s">
        <v>868</v>
      </c>
      <c r="B288" s="32">
        <v>45763</v>
      </c>
      <c r="C288" s="33" t="s">
        <v>869</v>
      </c>
      <c r="D288" s="40" t="s">
        <v>94</v>
      </c>
      <c r="E288" s="40" t="s">
        <v>24</v>
      </c>
      <c r="F288" s="34">
        <v>2</v>
      </c>
      <c r="G288" s="35">
        <v>11500</v>
      </c>
      <c r="H288" s="36">
        <f t="shared" si="19"/>
        <v>23000</v>
      </c>
      <c r="I288" s="90"/>
      <c r="J288" s="37"/>
      <c r="K288" s="38">
        <f t="shared" si="18"/>
        <v>45763</v>
      </c>
      <c r="L288" s="90" t="s">
        <v>301</v>
      </c>
      <c r="M288" s="39"/>
      <c r="N288" s="40"/>
      <c r="O288" s="40"/>
      <c r="P288" s="40"/>
      <c r="Q288" s="40"/>
    </row>
    <row r="289" spans="1:17" s="53" customFormat="1" x14ac:dyDescent="0.3">
      <c r="A289" s="31" t="s">
        <v>870</v>
      </c>
      <c r="B289" s="32">
        <v>45763</v>
      </c>
      <c r="C289" s="33" t="s">
        <v>871</v>
      </c>
      <c r="D289" s="40" t="s">
        <v>49</v>
      </c>
      <c r="E289" s="40" t="s">
        <v>105</v>
      </c>
      <c r="F289" s="34">
        <v>1</v>
      </c>
      <c r="G289" s="35">
        <v>2774</v>
      </c>
      <c r="H289" s="36">
        <f t="shared" si="19"/>
        <v>2774</v>
      </c>
      <c r="I289" s="90"/>
      <c r="J289" s="37"/>
      <c r="K289" s="38">
        <f t="shared" si="18"/>
        <v>45763</v>
      </c>
      <c r="L289" s="90" t="s">
        <v>20</v>
      </c>
      <c r="M289" s="39"/>
      <c r="N289" s="40"/>
      <c r="O289" s="40"/>
      <c r="P289" s="40"/>
      <c r="Q289" s="40"/>
    </row>
    <row r="290" spans="1:17" s="53" customFormat="1" x14ac:dyDescent="0.3">
      <c r="A290" s="31" t="s">
        <v>872</v>
      </c>
      <c r="B290" s="32">
        <v>45763</v>
      </c>
      <c r="C290" s="33" t="s">
        <v>873</v>
      </c>
      <c r="D290" s="40" t="s">
        <v>874</v>
      </c>
      <c r="E290" s="40" t="s">
        <v>875</v>
      </c>
      <c r="F290" s="34">
        <v>17</v>
      </c>
      <c r="G290" s="35">
        <v>19072</v>
      </c>
      <c r="H290" s="36">
        <v>19072</v>
      </c>
      <c r="I290" s="90"/>
      <c r="J290" s="37"/>
      <c r="K290" s="38">
        <f t="shared" si="18"/>
        <v>45763</v>
      </c>
      <c r="L290" s="90" t="s">
        <v>301</v>
      </c>
      <c r="M290" s="39"/>
      <c r="N290" s="40"/>
      <c r="O290" s="40"/>
      <c r="P290" s="40"/>
      <c r="Q290" s="40"/>
    </row>
    <row r="291" spans="1:17" s="53" customFormat="1" x14ac:dyDescent="0.3">
      <c r="A291" s="31" t="s">
        <v>876</v>
      </c>
      <c r="B291" s="32">
        <v>45763</v>
      </c>
      <c r="C291" s="33" t="s">
        <v>877</v>
      </c>
      <c r="D291" s="40" t="s">
        <v>393</v>
      </c>
      <c r="E291" s="40" t="s">
        <v>878</v>
      </c>
      <c r="F291" s="34">
        <v>1</v>
      </c>
      <c r="G291" s="35">
        <v>445544</v>
      </c>
      <c r="H291" s="36">
        <f>F291*G291</f>
        <v>445544</v>
      </c>
      <c r="I291" s="90"/>
      <c r="J291" s="37"/>
      <c r="K291" s="38">
        <f t="shared" si="18"/>
        <v>45763</v>
      </c>
      <c r="L291" s="90" t="s">
        <v>143</v>
      </c>
      <c r="M291" s="39"/>
      <c r="N291" s="40"/>
      <c r="O291" s="40"/>
      <c r="P291" s="40"/>
      <c r="Q291" s="40"/>
    </row>
    <row r="292" spans="1:17" s="53" customFormat="1" x14ac:dyDescent="0.3">
      <c r="A292" s="31" t="s">
        <v>879</v>
      </c>
      <c r="B292" s="32">
        <v>45764</v>
      </c>
      <c r="C292" s="33" t="s">
        <v>16</v>
      </c>
      <c r="D292" s="40" t="s">
        <v>758</v>
      </c>
      <c r="E292" s="40" t="s">
        <v>759</v>
      </c>
      <c r="F292" s="34">
        <v>3</v>
      </c>
      <c r="G292" s="35">
        <f>34461+(2*777)+(2*1018)</f>
        <v>38051</v>
      </c>
      <c r="H292" s="36">
        <f>F292*G292</f>
        <v>114153</v>
      </c>
      <c r="I292" s="90"/>
      <c r="J292" s="37"/>
      <c r="K292" s="38">
        <f t="shared" si="18"/>
        <v>45764</v>
      </c>
      <c r="L292" s="90" t="s">
        <v>17</v>
      </c>
      <c r="M292" s="39"/>
      <c r="N292" s="40"/>
      <c r="O292" s="40"/>
      <c r="P292" s="40"/>
      <c r="Q292" s="40"/>
    </row>
    <row r="293" spans="1:17" s="53" customFormat="1" x14ac:dyDescent="0.3">
      <c r="A293" s="31" t="s">
        <v>880</v>
      </c>
      <c r="B293" s="32">
        <v>45764</v>
      </c>
      <c r="C293" s="33" t="s">
        <v>16</v>
      </c>
      <c r="D293" s="40" t="s">
        <v>881</v>
      </c>
      <c r="E293" s="40" t="s">
        <v>93</v>
      </c>
      <c r="F293" s="34">
        <v>1</v>
      </c>
      <c r="G293" s="35">
        <v>146703</v>
      </c>
      <c r="H293" s="36">
        <f>F293*G293</f>
        <v>146703</v>
      </c>
      <c r="I293" s="90"/>
      <c r="J293" s="37"/>
      <c r="K293" s="38">
        <f t="shared" si="18"/>
        <v>45764</v>
      </c>
      <c r="L293" s="90" t="s">
        <v>17</v>
      </c>
      <c r="M293" s="39"/>
      <c r="N293" s="40"/>
      <c r="O293" s="40"/>
      <c r="P293" s="40"/>
      <c r="Q293" s="40"/>
    </row>
    <row r="294" spans="1:17" s="53" customFormat="1" x14ac:dyDescent="0.3">
      <c r="A294" s="31" t="s">
        <v>882</v>
      </c>
      <c r="B294" s="32">
        <v>45764</v>
      </c>
      <c r="C294" s="33"/>
      <c r="D294" s="40" t="s">
        <v>150</v>
      </c>
      <c r="E294" s="40"/>
      <c r="F294" s="34">
        <v>1</v>
      </c>
      <c r="G294" s="35">
        <v>9636</v>
      </c>
      <c r="H294" s="36">
        <f>F294*G294</f>
        <v>9636</v>
      </c>
      <c r="I294" s="90"/>
      <c r="J294" s="37"/>
      <c r="K294" s="38">
        <f t="shared" si="18"/>
        <v>45764</v>
      </c>
      <c r="L294" s="90" t="s">
        <v>143</v>
      </c>
      <c r="M294" s="39"/>
      <c r="N294" s="40"/>
      <c r="O294" s="40"/>
      <c r="P294" s="40"/>
      <c r="Q294" s="40"/>
    </row>
    <row r="295" spans="1:17" s="53" customFormat="1" x14ac:dyDescent="0.3">
      <c r="A295" s="31" t="s">
        <v>883</v>
      </c>
      <c r="B295" s="32">
        <v>45764</v>
      </c>
      <c r="C295" s="33" t="s">
        <v>16</v>
      </c>
      <c r="D295" s="40" t="s">
        <v>128</v>
      </c>
      <c r="E295" s="40" t="s">
        <v>42</v>
      </c>
      <c r="F295" s="34">
        <v>1</v>
      </c>
      <c r="G295" s="35">
        <v>9636</v>
      </c>
      <c r="H295" s="36">
        <f>F295*G295</f>
        <v>9636</v>
      </c>
      <c r="I295" s="90"/>
      <c r="J295" s="37"/>
      <c r="K295" s="38">
        <f t="shared" si="18"/>
        <v>45764</v>
      </c>
      <c r="L295" s="90" t="s">
        <v>143</v>
      </c>
      <c r="M295" s="39"/>
      <c r="N295" s="40"/>
      <c r="O295" s="40"/>
      <c r="P295" s="40"/>
      <c r="Q295" s="40"/>
    </row>
    <row r="296" spans="1:17" s="53" customFormat="1" x14ac:dyDescent="0.3">
      <c r="A296" s="31" t="s">
        <v>884</v>
      </c>
      <c r="B296" s="32">
        <v>45769</v>
      </c>
      <c r="C296" s="33" t="s">
        <v>885</v>
      </c>
      <c r="D296" s="40" t="s">
        <v>150</v>
      </c>
      <c r="E296" s="40" t="s">
        <v>112</v>
      </c>
      <c r="F296" s="34">
        <v>18</v>
      </c>
      <c r="G296" s="35">
        <v>145198</v>
      </c>
      <c r="H296" s="36">
        <v>145198</v>
      </c>
      <c r="I296" s="90"/>
      <c r="J296" s="37"/>
      <c r="K296" s="38">
        <f t="shared" si="18"/>
        <v>45769</v>
      </c>
      <c r="L296" s="90" t="s">
        <v>301</v>
      </c>
      <c r="M296" s="39"/>
      <c r="N296" s="40"/>
      <c r="O296" s="40"/>
      <c r="P296" s="40"/>
      <c r="Q296" s="40"/>
    </row>
    <row r="297" spans="1:17" s="53" customFormat="1" x14ac:dyDescent="0.3">
      <c r="A297" s="31" t="s">
        <v>886</v>
      </c>
      <c r="B297" s="32">
        <v>45770</v>
      </c>
      <c r="C297" s="33" t="s">
        <v>887</v>
      </c>
      <c r="D297" s="40" t="s">
        <v>49</v>
      </c>
      <c r="E297" s="40" t="s">
        <v>62</v>
      </c>
      <c r="F297" s="34">
        <v>1</v>
      </c>
      <c r="G297" s="35">
        <v>2171</v>
      </c>
      <c r="H297" s="36">
        <f>F297*G297</f>
        <v>2171</v>
      </c>
      <c r="I297" s="90"/>
      <c r="J297" s="37"/>
      <c r="K297" s="38">
        <f t="shared" si="18"/>
        <v>45770</v>
      </c>
      <c r="L297" s="90" t="s">
        <v>20</v>
      </c>
      <c r="M297" s="39"/>
      <c r="N297" s="40"/>
      <c r="O297" s="40"/>
      <c r="P297" s="40"/>
      <c r="Q297" s="40"/>
    </row>
    <row r="298" spans="1:17" s="53" customFormat="1" x14ac:dyDescent="0.3">
      <c r="A298" s="31" t="s">
        <v>888</v>
      </c>
      <c r="B298" s="32">
        <v>45770</v>
      </c>
      <c r="C298" s="33">
        <v>25619</v>
      </c>
      <c r="D298" s="40" t="s">
        <v>889</v>
      </c>
      <c r="E298" s="40" t="s">
        <v>890</v>
      </c>
      <c r="F298" s="34">
        <v>1</v>
      </c>
      <c r="G298" s="35">
        <v>15020.21</v>
      </c>
      <c r="H298" s="36">
        <f>F298*G298</f>
        <v>15020.21</v>
      </c>
      <c r="I298" s="90"/>
      <c r="J298" s="37"/>
      <c r="K298" s="38">
        <f t="shared" si="18"/>
        <v>45770</v>
      </c>
      <c r="L298" s="90" t="s">
        <v>301</v>
      </c>
      <c r="M298" s="39"/>
      <c r="N298" s="40"/>
      <c r="O298" s="40"/>
      <c r="P298" s="40"/>
      <c r="Q298" s="40"/>
    </row>
    <row r="299" spans="1:17" s="53" customFormat="1" x14ac:dyDescent="0.3">
      <c r="A299" s="31" t="s">
        <v>891</v>
      </c>
      <c r="B299" s="32">
        <v>45771</v>
      </c>
      <c r="C299" s="33" t="s">
        <v>892</v>
      </c>
      <c r="D299" s="54" t="s">
        <v>893</v>
      </c>
      <c r="E299" s="40" t="s">
        <v>894</v>
      </c>
      <c r="F299" s="34">
        <v>2</v>
      </c>
      <c r="G299" s="35">
        <v>18109</v>
      </c>
      <c r="H299" s="36">
        <f>F299*G299</f>
        <v>36218</v>
      </c>
      <c r="I299" s="90"/>
      <c r="J299" s="37"/>
      <c r="K299" s="38">
        <f t="shared" si="18"/>
        <v>45771</v>
      </c>
      <c r="L299" s="90" t="s">
        <v>17</v>
      </c>
      <c r="M299" s="39"/>
      <c r="N299" s="40"/>
      <c r="O299" s="40"/>
      <c r="P299" s="40"/>
      <c r="Q299" s="40"/>
    </row>
    <row r="300" spans="1:17" s="53" customFormat="1" x14ac:dyDescent="0.3">
      <c r="A300" s="31" t="s">
        <v>895</v>
      </c>
      <c r="B300" s="32">
        <v>45772</v>
      </c>
      <c r="C300" s="33" t="s">
        <v>896</v>
      </c>
      <c r="D300" s="40" t="s">
        <v>150</v>
      </c>
      <c r="E300" s="40" t="s">
        <v>112</v>
      </c>
      <c r="F300" s="34">
        <v>14</v>
      </c>
      <c r="G300" s="35">
        <v>39838</v>
      </c>
      <c r="H300" s="36">
        <v>39838</v>
      </c>
      <c r="I300" s="90"/>
      <c r="J300" s="37"/>
      <c r="K300" s="38">
        <f t="shared" si="18"/>
        <v>45772</v>
      </c>
      <c r="L300" s="90" t="s">
        <v>301</v>
      </c>
      <c r="M300" s="39"/>
      <c r="N300" s="40"/>
      <c r="O300" s="40"/>
      <c r="P300" s="40"/>
      <c r="Q300" s="40"/>
    </row>
    <row r="301" spans="1:17" s="53" customFormat="1" x14ac:dyDescent="0.3">
      <c r="A301" s="31" t="s">
        <v>897</v>
      </c>
      <c r="B301" s="32">
        <v>45772</v>
      </c>
      <c r="C301" s="33" t="s">
        <v>898</v>
      </c>
      <c r="D301" s="40" t="s">
        <v>49</v>
      </c>
      <c r="E301" s="40" t="s">
        <v>899</v>
      </c>
      <c r="F301" s="34">
        <v>2</v>
      </c>
      <c r="G301" s="35">
        <v>1552</v>
      </c>
      <c r="H301" s="36">
        <f t="shared" ref="H301:H308" si="20">F301*G301</f>
        <v>3104</v>
      </c>
      <c r="I301" s="90"/>
      <c r="J301" s="37"/>
      <c r="K301" s="38">
        <f t="shared" si="18"/>
        <v>45772</v>
      </c>
      <c r="L301" s="90" t="s">
        <v>20</v>
      </c>
      <c r="M301" s="39"/>
      <c r="N301" s="40"/>
      <c r="O301" s="40"/>
      <c r="P301" s="40"/>
      <c r="Q301" s="40"/>
    </row>
    <row r="302" spans="1:17" s="53" customFormat="1" x14ac:dyDescent="0.3">
      <c r="A302" s="31" t="s">
        <v>900</v>
      </c>
      <c r="B302" s="32">
        <v>45772</v>
      </c>
      <c r="C302" s="29">
        <v>203592</v>
      </c>
      <c r="D302" s="40" t="s">
        <v>34</v>
      </c>
      <c r="E302" s="40" t="s">
        <v>901</v>
      </c>
      <c r="F302" s="34">
        <v>2</v>
      </c>
      <c r="G302" s="35">
        <v>245978</v>
      </c>
      <c r="H302" s="36">
        <f t="shared" si="20"/>
        <v>491956</v>
      </c>
      <c r="I302" s="90"/>
      <c r="J302" s="37"/>
      <c r="K302" s="38">
        <f t="shared" si="18"/>
        <v>45772</v>
      </c>
      <c r="L302" s="90" t="s">
        <v>143</v>
      </c>
      <c r="M302" s="39"/>
      <c r="N302" s="40"/>
      <c r="O302" s="40"/>
      <c r="P302" s="40"/>
      <c r="Q302" s="40"/>
    </row>
    <row r="303" spans="1:17" s="53" customFormat="1" x14ac:dyDescent="0.3">
      <c r="A303" s="31" t="s">
        <v>902</v>
      </c>
      <c r="B303" s="32">
        <v>45773</v>
      </c>
      <c r="C303" s="33" t="s">
        <v>903</v>
      </c>
      <c r="D303" s="40" t="s">
        <v>904</v>
      </c>
      <c r="E303" s="40" t="s">
        <v>905</v>
      </c>
      <c r="F303" s="34">
        <v>1</v>
      </c>
      <c r="G303" s="35">
        <v>9133</v>
      </c>
      <c r="H303" s="36">
        <f t="shared" si="20"/>
        <v>9133</v>
      </c>
      <c r="I303" s="90"/>
      <c r="J303" s="37"/>
      <c r="K303" s="38">
        <f t="shared" si="18"/>
        <v>45773</v>
      </c>
      <c r="L303" s="90" t="s">
        <v>17</v>
      </c>
      <c r="M303" s="39"/>
      <c r="N303" s="40"/>
      <c r="O303" s="40"/>
      <c r="P303" s="40"/>
      <c r="Q303" s="40"/>
    </row>
    <row r="304" spans="1:17" s="53" customFormat="1" x14ac:dyDescent="0.3">
      <c r="A304" s="31" t="s">
        <v>906</v>
      </c>
      <c r="B304" s="32">
        <v>45776</v>
      </c>
      <c r="C304" s="33" t="s">
        <v>907</v>
      </c>
      <c r="D304" s="40" t="s">
        <v>455</v>
      </c>
      <c r="E304" s="40" t="s">
        <v>908</v>
      </c>
      <c r="F304" s="34">
        <v>1</v>
      </c>
      <c r="G304" s="35">
        <v>24043</v>
      </c>
      <c r="H304" s="36">
        <f t="shared" si="20"/>
        <v>24043</v>
      </c>
      <c r="I304" s="90"/>
      <c r="J304" s="37"/>
      <c r="K304" s="38">
        <f t="shared" si="18"/>
        <v>45776</v>
      </c>
      <c r="L304" s="90" t="s">
        <v>301</v>
      </c>
      <c r="M304" s="39"/>
      <c r="N304" s="40"/>
      <c r="O304" s="40"/>
      <c r="P304" s="40"/>
      <c r="Q304" s="40"/>
    </row>
    <row r="305" spans="1:17" s="53" customFormat="1" x14ac:dyDescent="0.3">
      <c r="A305" s="31" t="s">
        <v>909</v>
      </c>
      <c r="B305" s="32">
        <v>45779</v>
      </c>
      <c r="C305" s="33" t="s">
        <v>145</v>
      </c>
      <c r="D305" s="40" t="s">
        <v>910</v>
      </c>
      <c r="E305" s="40" t="s">
        <v>93</v>
      </c>
      <c r="F305" s="34">
        <v>1</v>
      </c>
      <c r="G305" s="35">
        <v>21571</v>
      </c>
      <c r="H305" s="36">
        <f t="shared" si="20"/>
        <v>21571</v>
      </c>
      <c r="I305" s="90"/>
      <c r="J305" s="37"/>
      <c r="K305" s="38">
        <f t="shared" si="18"/>
        <v>45779</v>
      </c>
      <c r="L305" s="90" t="s">
        <v>17</v>
      </c>
      <c r="M305" s="39"/>
      <c r="N305" s="40"/>
      <c r="O305" s="40"/>
      <c r="P305" s="40"/>
      <c r="Q305" s="40"/>
    </row>
    <row r="306" spans="1:17" s="53" customFormat="1" x14ac:dyDescent="0.3">
      <c r="A306" s="31" t="s">
        <v>911</v>
      </c>
      <c r="B306" s="32">
        <v>45782</v>
      </c>
      <c r="C306" s="33" t="s">
        <v>912</v>
      </c>
      <c r="D306" s="40" t="s">
        <v>49</v>
      </c>
      <c r="E306" s="40" t="s">
        <v>913</v>
      </c>
      <c r="F306" s="34">
        <v>2</v>
      </c>
      <c r="G306" s="35">
        <v>17564</v>
      </c>
      <c r="H306" s="36">
        <f t="shared" si="20"/>
        <v>35128</v>
      </c>
      <c r="I306" s="90"/>
      <c r="J306" s="37"/>
      <c r="K306" s="38">
        <f t="shared" si="18"/>
        <v>45782</v>
      </c>
      <c r="L306" s="90" t="s">
        <v>20</v>
      </c>
      <c r="M306" s="39"/>
      <c r="N306" s="40"/>
      <c r="O306" s="40"/>
      <c r="P306" s="40"/>
      <c r="Q306" s="40"/>
    </row>
    <row r="307" spans="1:17" s="53" customFormat="1" x14ac:dyDescent="0.3">
      <c r="A307" s="31" t="s">
        <v>914</v>
      </c>
      <c r="B307" s="32">
        <v>45782</v>
      </c>
      <c r="C307" s="33" t="s">
        <v>915</v>
      </c>
      <c r="D307" s="40" t="s">
        <v>49</v>
      </c>
      <c r="E307" s="40" t="s">
        <v>916</v>
      </c>
      <c r="F307" s="34">
        <v>3</v>
      </c>
      <c r="G307" s="35">
        <v>6907.66</v>
      </c>
      <c r="H307" s="36">
        <f t="shared" si="20"/>
        <v>20722.98</v>
      </c>
      <c r="I307" s="90"/>
      <c r="J307" s="37"/>
      <c r="K307" s="38">
        <f t="shared" si="18"/>
        <v>45782</v>
      </c>
      <c r="L307" s="90" t="s">
        <v>20</v>
      </c>
      <c r="M307" s="39"/>
      <c r="N307" s="40"/>
      <c r="O307" s="40"/>
      <c r="P307" s="40"/>
      <c r="Q307" s="40"/>
    </row>
    <row r="308" spans="1:17" s="53" customFormat="1" x14ac:dyDescent="0.3">
      <c r="A308" s="31" t="s">
        <v>917</v>
      </c>
      <c r="B308" s="32">
        <v>45782</v>
      </c>
      <c r="C308" s="33" t="s">
        <v>918</v>
      </c>
      <c r="D308" s="40" t="s">
        <v>70</v>
      </c>
      <c r="E308" s="40" t="s">
        <v>919</v>
      </c>
      <c r="F308" s="34">
        <v>2</v>
      </c>
      <c r="G308" s="35">
        <v>7789</v>
      </c>
      <c r="H308" s="36">
        <f t="shared" si="20"/>
        <v>15578</v>
      </c>
      <c r="I308" s="90"/>
      <c r="J308" s="37"/>
      <c r="K308" s="38">
        <f t="shared" si="18"/>
        <v>45782</v>
      </c>
      <c r="L308" s="90" t="s">
        <v>301</v>
      </c>
      <c r="M308" s="39"/>
      <c r="N308" s="40"/>
      <c r="O308" s="40"/>
      <c r="P308" s="40"/>
      <c r="Q308" s="40"/>
    </row>
    <row r="309" spans="1:17" s="53" customFormat="1" x14ac:dyDescent="0.3">
      <c r="A309" s="31" t="s">
        <v>920</v>
      </c>
      <c r="B309" s="32">
        <v>45782</v>
      </c>
      <c r="C309" s="33" t="s">
        <v>921</v>
      </c>
      <c r="D309" s="40" t="s">
        <v>70</v>
      </c>
      <c r="E309" s="40" t="s">
        <v>922</v>
      </c>
      <c r="F309" s="34">
        <v>2</v>
      </c>
      <c r="G309" s="35">
        <v>11212</v>
      </c>
      <c r="H309" s="36">
        <v>11212</v>
      </c>
      <c r="I309" s="90"/>
      <c r="J309" s="37"/>
      <c r="K309" s="38">
        <f t="shared" si="18"/>
        <v>45782</v>
      </c>
      <c r="L309" s="90" t="s">
        <v>301</v>
      </c>
      <c r="M309" s="39"/>
      <c r="N309" s="40"/>
      <c r="O309" s="40"/>
      <c r="P309" s="40"/>
      <c r="Q309" s="40"/>
    </row>
    <row r="310" spans="1:17" s="53" customFormat="1" x14ac:dyDescent="0.3">
      <c r="A310" s="31" t="s">
        <v>923</v>
      </c>
      <c r="B310" s="32">
        <v>45782</v>
      </c>
      <c r="C310" s="33" t="s">
        <v>924</v>
      </c>
      <c r="D310" s="40" t="s">
        <v>150</v>
      </c>
      <c r="E310" s="40" t="s">
        <v>925</v>
      </c>
      <c r="F310" s="34">
        <v>6</v>
      </c>
      <c r="G310" s="35">
        <v>9640</v>
      </c>
      <c r="H310" s="36">
        <v>9640</v>
      </c>
      <c r="I310" s="90"/>
      <c r="J310" s="37"/>
      <c r="K310" s="38">
        <f t="shared" si="18"/>
        <v>45782</v>
      </c>
      <c r="L310" s="90" t="s">
        <v>301</v>
      </c>
      <c r="M310" s="39"/>
      <c r="N310" s="40"/>
      <c r="O310" s="40"/>
      <c r="P310" s="40"/>
      <c r="Q310" s="40"/>
    </row>
    <row r="311" spans="1:17" s="53" customFormat="1" x14ac:dyDescent="0.3">
      <c r="A311" s="31" t="s">
        <v>926</v>
      </c>
      <c r="B311" s="32">
        <v>45783</v>
      </c>
      <c r="C311" s="33" t="s">
        <v>927</v>
      </c>
      <c r="D311" s="40" t="s">
        <v>49</v>
      </c>
      <c r="E311" s="40" t="s">
        <v>928</v>
      </c>
      <c r="F311" s="34">
        <v>1</v>
      </c>
      <c r="G311" s="35">
        <v>21125</v>
      </c>
      <c r="H311" s="36">
        <f t="shared" ref="H311:H324" si="21">F311*G311</f>
        <v>21125</v>
      </c>
      <c r="I311" s="90"/>
      <c r="J311" s="37"/>
      <c r="K311" s="38">
        <f t="shared" si="18"/>
        <v>45783</v>
      </c>
      <c r="L311" s="90" t="s">
        <v>20</v>
      </c>
      <c r="M311" s="39"/>
      <c r="N311" s="40"/>
      <c r="O311" s="40"/>
      <c r="P311" s="40"/>
      <c r="Q311" s="40"/>
    </row>
    <row r="312" spans="1:17" s="53" customFormat="1" x14ac:dyDescent="0.3">
      <c r="A312" s="31" t="s">
        <v>929</v>
      </c>
      <c r="B312" s="32">
        <v>45783</v>
      </c>
      <c r="C312" s="33" t="s">
        <v>930</v>
      </c>
      <c r="D312" s="40" t="s">
        <v>49</v>
      </c>
      <c r="E312" s="40" t="s">
        <v>107</v>
      </c>
      <c r="F312" s="34">
        <v>1</v>
      </c>
      <c r="G312" s="35">
        <v>2097</v>
      </c>
      <c r="H312" s="36">
        <f t="shared" si="21"/>
        <v>2097</v>
      </c>
      <c r="I312" s="90"/>
      <c r="J312" s="37"/>
      <c r="K312" s="38">
        <f t="shared" si="18"/>
        <v>45783</v>
      </c>
      <c r="L312" s="90" t="s">
        <v>20</v>
      </c>
      <c r="M312" s="39"/>
      <c r="N312" s="40"/>
      <c r="O312" s="40"/>
      <c r="P312" s="40"/>
      <c r="Q312" s="40"/>
    </row>
    <row r="313" spans="1:17" s="53" customFormat="1" x14ac:dyDescent="0.3">
      <c r="A313" s="31" t="s">
        <v>931</v>
      </c>
      <c r="B313" s="32">
        <v>45783</v>
      </c>
      <c r="C313" s="33" t="s">
        <v>932</v>
      </c>
      <c r="D313" s="40" t="s">
        <v>49</v>
      </c>
      <c r="E313" s="40" t="s">
        <v>96</v>
      </c>
      <c r="F313" s="34">
        <v>1</v>
      </c>
      <c r="G313" s="35">
        <v>8581</v>
      </c>
      <c r="H313" s="36">
        <f t="shared" si="21"/>
        <v>8581</v>
      </c>
      <c r="I313" s="90"/>
      <c r="J313" s="37"/>
      <c r="K313" s="38">
        <f t="shared" si="18"/>
        <v>45783</v>
      </c>
      <c r="L313" s="90" t="s">
        <v>20</v>
      </c>
      <c r="M313" s="39"/>
      <c r="N313" s="40"/>
      <c r="O313" s="40"/>
      <c r="P313" s="40"/>
      <c r="Q313" s="40"/>
    </row>
    <row r="314" spans="1:17" s="53" customFormat="1" x14ac:dyDescent="0.3">
      <c r="A314" s="31" t="s">
        <v>933</v>
      </c>
      <c r="B314" s="32">
        <v>45783</v>
      </c>
      <c r="C314" s="33" t="s">
        <v>16</v>
      </c>
      <c r="D314" s="40" t="s">
        <v>934</v>
      </c>
      <c r="E314" s="40" t="s">
        <v>118</v>
      </c>
      <c r="F314" s="34">
        <v>1</v>
      </c>
      <c r="G314" s="35">
        <v>2500</v>
      </c>
      <c r="H314" s="36">
        <f t="shared" si="21"/>
        <v>2500</v>
      </c>
      <c r="I314" s="90"/>
      <c r="J314" s="37"/>
      <c r="K314" s="38">
        <f t="shared" si="18"/>
        <v>45783</v>
      </c>
      <c r="L314" s="90" t="s">
        <v>17</v>
      </c>
      <c r="M314" s="39"/>
      <c r="N314" s="40"/>
      <c r="O314" s="40"/>
      <c r="P314" s="40"/>
      <c r="Q314" s="40"/>
    </row>
    <row r="315" spans="1:17" s="53" customFormat="1" x14ac:dyDescent="0.3">
      <c r="A315" s="31" t="s">
        <v>935</v>
      </c>
      <c r="B315" s="32">
        <v>45784</v>
      </c>
      <c r="C315" s="33" t="s">
        <v>936</v>
      </c>
      <c r="D315" s="40" t="s">
        <v>94</v>
      </c>
      <c r="E315" s="40" t="s">
        <v>937</v>
      </c>
      <c r="F315" s="34">
        <v>1</v>
      </c>
      <c r="G315" s="35">
        <v>11500</v>
      </c>
      <c r="H315" s="36">
        <f t="shared" si="21"/>
        <v>11500</v>
      </c>
      <c r="I315" s="90"/>
      <c r="J315" s="37"/>
      <c r="K315" s="38">
        <f t="shared" si="18"/>
        <v>45784</v>
      </c>
      <c r="L315" s="90" t="s">
        <v>301</v>
      </c>
      <c r="M315" s="39"/>
      <c r="N315" s="40"/>
      <c r="O315" s="40"/>
      <c r="P315" s="40"/>
      <c r="Q315" s="40"/>
    </row>
    <row r="316" spans="1:17" s="53" customFormat="1" x14ac:dyDescent="0.3">
      <c r="A316" s="31" t="s">
        <v>938</v>
      </c>
      <c r="B316" s="32">
        <v>45784</v>
      </c>
      <c r="C316" s="33" t="s">
        <v>16</v>
      </c>
      <c r="D316" s="40" t="s">
        <v>939</v>
      </c>
      <c r="E316" s="40" t="s">
        <v>940</v>
      </c>
      <c r="F316" s="34">
        <v>1</v>
      </c>
      <c r="G316" s="35">
        <v>7813</v>
      </c>
      <c r="H316" s="36">
        <f t="shared" si="21"/>
        <v>7813</v>
      </c>
      <c r="I316" s="90"/>
      <c r="J316" s="37"/>
      <c r="K316" s="38">
        <f t="shared" si="18"/>
        <v>45784</v>
      </c>
      <c r="L316" s="90" t="s">
        <v>17</v>
      </c>
      <c r="M316" s="39"/>
      <c r="N316" s="40"/>
      <c r="O316" s="40"/>
      <c r="P316" s="40"/>
      <c r="Q316" s="40"/>
    </row>
    <row r="317" spans="1:17" s="53" customFormat="1" x14ac:dyDescent="0.3">
      <c r="A317" s="31" t="s">
        <v>941</v>
      </c>
      <c r="B317" s="32">
        <v>45784</v>
      </c>
      <c r="C317" s="33" t="s">
        <v>942</v>
      </c>
      <c r="D317" s="40" t="s">
        <v>119</v>
      </c>
      <c r="E317" s="40" t="s">
        <v>943</v>
      </c>
      <c r="F317" s="34">
        <v>1</v>
      </c>
      <c r="G317" s="35">
        <v>21538</v>
      </c>
      <c r="H317" s="36">
        <f>F317*G317</f>
        <v>21538</v>
      </c>
      <c r="I317" s="90"/>
      <c r="J317" s="37"/>
      <c r="K317" s="38">
        <f t="shared" si="18"/>
        <v>45784</v>
      </c>
      <c r="L317" s="90" t="s">
        <v>301</v>
      </c>
      <c r="M317" s="39"/>
      <c r="N317" s="40"/>
      <c r="O317" s="40"/>
      <c r="P317" s="40"/>
      <c r="Q317" s="40"/>
    </row>
    <row r="318" spans="1:17" s="53" customFormat="1" x14ac:dyDescent="0.3">
      <c r="A318" s="31" t="s">
        <v>944</v>
      </c>
      <c r="B318" s="32">
        <v>45785</v>
      </c>
      <c r="C318" s="33" t="s">
        <v>945</v>
      </c>
      <c r="D318" s="40" t="s">
        <v>482</v>
      </c>
      <c r="E318" s="40" t="s">
        <v>946</v>
      </c>
      <c r="F318" s="34">
        <v>2</v>
      </c>
      <c r="G318" s="35">
        <v>1269</v>
      </c>
      <c r="H318" s="36">
        <f t="shared" si="21"/>
        <v>2538</v>
      </c>
      <c r="I318" s="90"/>
      <c r="J318" s="37"/>
      <c r="K318" s="38">
        <f t="shared" si="18"/>
        <v>45785</v>
      </c>
      <c r="L318" s="90" t="s">
        <v>301</v>
      </c>
      <c r="M318" s="39"/>
      <c r="N318" s="40"/>
      <c r="O318" s="40"/>
      <c r="P318" s="40"/>
      <c r="Q318" s="40"/>
    </row>
    <row r="319" spans="1:17" s="53" customFormat="1" x14ac:dyDescent="0.3">
      <c r="A319" s="31" t="s">
        <v>947</v>
      </c>
      <c r="B319" s="32">
        <v>45785</v>
      </c>
      <c r="C319" s="33" t="s">
        <v>145</v>
      </c>
      <c r="D319" s="40" t="s">
        <v>128</v>
      </c>
      <c r="E319" s="40" t="s">
        <v>948</v>
      </c>
      <c r="F319" s="34">
        <v>2</v>
      </c>
      <c r="G319" s="35">
        <v>4137</v>
      </c>
      <c r="H319" s="36">
        <f t="shared" si="21"/>
        <v>8274</v>
      </c>
      <c r="I319" s="90"/>
      <c r="J319" s="37"/>
      <c r="K319" s="38">
        <f t="shared" si="18"/>
        <v>45785</v>
      </c>
      <c r="L319" s="90" t="s">
        <v>143</v>
      </c>
      <c r="M319" s="39"/>
      <c r="N319" s="40"/>
      <c r="O319" s="40"/>
      <c r="P319" s="40"/>
      <c r="Q319" s="40"/>
    </row>
    <row r="320" spans="1:17" s="53" customFormat="1" x14ac:dyDescent="0.3">
      <c r="A320" s="31" t="s">
        <v>949</v>
      </c>
      <c r="B320" s="32">
        <v>45785</v>
      </c>
      <c r="C320" s="33" t="s">
        <v>950</v>
      </c>
      <c r="D320" s="40" t="s">
        <v>951</v>
      </c>
      <c r="E320" s="40" t="s">
        <v>952</v>
      </c>
      <c r="F320" s="34">
        <v>2</v>
      </c>
      <c r="G320" s="35">
        <v>10043</v>
      </c>
      <c r="H320" s="36">
        <f t="shared" si="21"/>
        <v>20086</v>
      </c>
      <c r="I320" s="90"/>
      <c r="J320" s="37"/>
      <c r="K320" s="38">
        <f t="shared" si="18"/>
        <v>45785</v>
      </c>
      <c r="L320" s="90" t="s">
        <v>17</v>
      </c>
      <c r="M320" s="39"/>
      <c r="N320" s="40"/>
      <c r="O320" s="40"/>
      <c r="P320" s="40"/>
      <c r="Q320" s="40"/>
    </row>
    <row r="321" spans="1:17" s="53" customFormat="1" x14ac:dyDescent="0.3">
      <c r="A321" s="31" t="s">
        <v>953</v>
      </c>
      <c r="B321" s="32">
        <v>45786</v>
      </c>
      <c r="C321" s="33">
        <v>15399</v>
      </c>
      <c r="D321" s="40" t="s">
        <v>954</v>
      </c>
      <c r="E321" s="40" t="s">
        <v>955</v>
      </c>
      <c r="F321" s="34">
        <v>1</v>
      </c>
      <c r="G321" s="35">
        <v>6641.94</v>
      </c>
      <c r="H321" s="36">
        <f t="shared" si="21"/>
        <v>6641.94</v>
      </c>
      <c r="I321" s="90"/>
      <c r="J321" s="37"/>
      <c r="K321" s="38">
        <f t="shared" si="18"/>
        <v>45786</v>
      </c>
      <c r="L321" s="90" t="s">
        <v>17</v>
      </c>
      <c r="M321" s="39"/>
      <c r="N321" s="40"/>
      <c r="O321" s="40"/>
      <c r="P321" s="40"/>
      <c r="Q321" s="40"/>
    </row>
    <row r="322" spans="1:17" s="53" customFormat="1" x14ac:dyDescent="0.3">
      <c r="A322" s="31" t="s">
        <v>956</v>
      </c>
      <c r="B322" s="32">
        <v>45786</v>
      </c>
      <c r="C322" s="33" t="s">
        <v>957</v>
      </c>
      <c r="D322" s="40" t="s">
        <v>49</v>
      </c>
      <c r="E322" s="40" t="s">
        <v>53</v>
      </c>
      <c r="F322" s="34">
        <v>1</v>
      </c>
      <c r="G322" s="35">
        <v>5493</v>
      </c>
      <c r="H322" s="36">
        <f t="shared" si="21"/>
        <v>5493</v>
      </c>
      <c r="I322" s="90"/>
      <c r="J322" s="37"/>
      <c r="K322" s="38">
        <f t="shared" si="18"/>
        <v>45786</v>
      </c>
      <c r="L322" s="90" t="s">
        <v>20</v>
      </c>
      <c r="M322" s="39"/>
      <c r="N322" s="40"/>
      <c r="O322" s="40"/>
      <c r="P322" s="40"/>
      <c r="Q322" s="40"/>
    </row>
    <row r="323" spans="1:17" s="53" customFormat="1" x14ac:dyDescent="0.3">
      <c r="A323" s="31" t="s">
        <v>958</v>
      </c>
      <c r="B323" s="32">
        <v>45786</v>
      </c>
      <c r="C323" s="33" t="s">
        <v>959</v>
      </c>
      <c r="D323" s="40" t="s">
        <v>49</v>
      </c>
      <c r="E323" s="40" t="s">
        <v>960</v>
      </c>
      <c r="F323" s="34">
        <v>1</v>
      </c>
      <c r="G323" s="35">
        <v>7434</v>
      </c>
      <c r="H323" s="36">
        <f t="shared" si="21"/>
        <v>7434</v>
      </c>
      <c r="I323" s="90"/>
      <c r="J323" s="37"/>
      <c r="K323" s="38">
        <f t="shared" si="18"/>
        <v>45786</v>
      </c>
      <c r="L323" s="90" t="s">
        <v>20</v>
      </c>
      <c r="M323" s="39"/>
      <c r="N323" s="40"/>
      <c r="O323" s="40"/>
      <c r="P323" s="40"/>
      <c r="Q323" s="40"/>
    </row>
    <row r="324" spans="1:17" s="53" customFormat="1" x14ac:dyDescent="0.3">
      <c r="A324" s="31" t="s">
        <v>961</v>
      </c>
      <c r="B324" s="32">
        <v>45786</v>
      </c>
      <c r="C324" s="33" t="s">
        <v>16</v>
      </c>
      <c r="D324" s="40" t="s">
        <v>962</v>
      </c>
      <c r="E324" s="40" t="s">
        <v>963</v>
      </c>
      <c r="F324" s="34">
        <v>5</v>
      </c>
      <c r="G324" s="35">
        <v>3708</v>
      </c>
      <c r="H324" s="36">
        <f t="shared" si="21"/>
        <v>18540</v>
      </c>
      <c r="I324" s="90"/>
      <c r="J324" s="37"/>
      <c r="K324" s="38">
        <f t="shared" si="18"/>
        <v>45786</v>
      </c>
      <c r="L324" s="90" t="s">
        <v>301</v>
      </c>
      <c r="M324" s="39"/>
      <c r="N324" s="40"/>
      <c r="O324" s="40"/>
      <c r="P324" s="40"/>
      <c r="Q324" s="40"/>
    </row>
    <row r="325" spans="1:17" s="53" customFormat="1" x14ac:dyDescent="0.3">
      <c r="A325" s="31" t="s">
        <v>964</v>
      </c>
      <c r="B325" s="32">
        <v>45786</v>
      </c>
      <c r="C325" s="33" t="s">
        <v>965</v>
      </c>
      <c r="D325" s="40" t="s">
        <v>150</v>
      </c>
      <c r="E325" s="40" t="s">
        <v>966</v>
      </c>
      <c r="F325" s="34">
        <v>2</v>
      </c>
      <c r="G325" s="35">
        <v>36258.44</v>
      </c>
      <c r="H325" s="36">
        <v>36258.44</v>
      </c>
      <c r="I325" s="90"/>
      <c r="J325" s="37"/>
      <c r="K325" s="38">
        <f t="shared" si="18"/>
        <v>45786</v>
      </c>
      <c r="L325" s="90" t="s">
        <v>301</v>
      </c>
      <c r="M325" s="39"/>
      <c r="N325" s="40"/>
      <c r="O325" s="40"/>
      <c r="P325" s="40"/>
      <c r="Q325" s="40"/>
    </row>
    <row r="326" spans="1:17" s="53" customFormat="1" x14ac:dyDescent="0.3">
      <c r="A326" s="31" t="s">
        <v>967</v>
      </c>
      <c r="B326" s="32">
        <v>45787</v>
      </c>
      <c r="C326" s="33" t="s">
        <v>16</v>
      </c>
      <c r="D326" s="40" t="s">
        <v>968</v>
      </c>
      <c r="E326" s="40" t="s">
        <v>117</v>
      </c>
      <c r="F326" s="34">
        <v>6</v>
      </c>
      <c r="G326" s="35">
        <v>5438</v>
      </c>
      <c r="H326" s="36">
        <f t="shared" ref="H326:H334" si="22">F326*G326</f>
        <v>32628</v>
      </c>
      <c r="I326" s="90"/>
      <c r="J326" s="37"/>
      <c r="K326" s="38">
        <f t="shared" ref="K326:K389" si="23">J326+B326</f>
        <v>45787</v>
      </c>
      <c r="L326" s="90" t="s">
        <v>143</v>
      </c>
      <c r="M326" s="39"/>
      <c r="N326" s="40"/>
      <c r="O326" s="40"/>
      <c r="P326" s="40"/>
      <c r="Q326" s="40"/>
    </row>
    <row r="327" spans="1:17" s="53" customFormat="1" x14ac:dyDescent="0.3">
      <c r="A327" s="31" t="s">
        <v>969</v>
      </c>
      <c r="B327" s="32">
        <v>45789</v>
      </c>
      <c r="C327" s="33" t="s">
        <v>970</v>
      </c>
      <c r="D327" s="40" t="s">
        <v>126</v>
      </c>
      <c r="E327" s="40" t="s">
        <v>971</v>
      </c>
      <c r="F327" s="34">
        <v>1</v>
      </c>
      <c r="G327" s="35">
        <v>18635</v>
      </c>
      <c r="H327" s="36">
        <f t="shared" si="22"/>
        <v>18635</v>
      </c>
      <c r="I327" s="90"/>
      <c r="J327" s="37"/>
      <c r="K327" s="38">
        <f t="shared" si="23"/>
        <v>45789</v>
      </c>
      <c r="L327" s="90" t="s">
        <v>17</v>
      </c>
      <c r="M327" s="39"/>
      <c r="N327" s="40"/>
      <c r="O327" s="40"/>
      <c r="P327" s="40"/>
      <c r="Q327" s="40"/>
    </row>
    <row r="328" spans="1:17" s="53" customFormat="1" x14ac:dyDescent="0.3">
      <c r="A328" s="31" t="s">
        <v>972</v>
      </c>
      <c r="B328" s="32">
        <v>45789</v>
      </c>
      <c r="C328" s="33">
        <v>35342</v>
      </c>
      <c r="D328" s="40" t="s">
        <v>973</v>
      </c>
      <c r="E328" s="40" t="s">
        <v>974</v>
      </c>
      <c r="F328" s="34">
        <v>80</v>
      </c>
      <c r="G328" s="35">
        <v>250</v>
      </c>
      <c r="H328" s="36">
        <f t="shared" si="22"/>
        <v>20000</v>
      </c>
      <c r="I328" s="90"/>
      <c r="J328" s="37"/>
      <c r="K328" s="38">
        <f t="shared" si="23"/>
        <v>45789</v>
      </c>
      <c r="L328" s="90" t="s">
        <v>143</v>
      </c>
      <c r="M328" s="39"/>
      <c r="N328" s="40"/>
      <c r="O328" s="40"/>
      <c r="P328" s="40"/>
      <c r="Q328" s="40"/>
    </row>
    <row r="329" spans="1:17" s="53" customFormat="1" x14ac:dyDescent="0.3">
      <c r="A329" s="31" t="s">
        <v>975</v>
      </c>
      <c r="B329" s="32">
        <v>45789</v>
      </c>
      <c r="C329" s="33" t="s">
        <v>976</v>
      </c>
      <c r="D329" s="40" t="s">
        <v>977</v>
      </c>
      <c r="E329" s="40" t="s">
        <v>53</v>
      </c>
      <c r="F329" s="34">
        <v>1</v>
      </c>
      <c r="G329" s="35">
        <v>5493</v>
      </c>
      <c r="H329" s="36">
        <f t="shared" si="22"/>
        <v>5493</v>
      </c>
      <c r="I329" s="90"/>
      <c r="J329" s="37"/>
      <c r="K329" s="38">
        <f t="shared" si="23"/>
        <v>45789</v>
      </c>
      <c r="L329" s="90" t="s">
        <v>301</v>
      </c>
      <c r="M329" s="39"/>
      <c r="N329" s="40"/>
      <c r="O329" s="40"/>
      <c r="P329" s="40"/>
      <c r="Q329" s="40"/>
    </row>
    <row r="330" spans="1:17" s="53" customFormat="1" x14ac:dyDescent="0.3">
      <c r="A330" s="31" t="s">
        <v>978</v>
      </c>
      <c r="B330" s="32">
        <v>45789</v>
      </c>
      <c r="C330" s="33" t="s">
        <v>145</v>
      </c>
      <c r="D330" s="40" t="s">
        <v>110</v>
      </c>
      <c r="E330" s="40" t="s">
        <v>48</v>
      </c>
      <c r="F330" s="34">
        <v>1</v>
      </c>
      <c r="G330" s="35">
        <v>2979</v>
      </c>
      <c r="H330" s="36">
        <f t="shared" si="22"/>
        <v>2979</v>
      </c>
      <c r="I330" s="90"/>
      <c r="J330" s="37"/>
      <c r="K330" s="38">
        <f t="shared" si="23"/>
        <v>45789</v>
      </c>
      <c r="L330" s="90" t="s">
        <v>301</v>
      </c>
      <c r="M330" s="39"/>
      <c r="N330" s="40"/>
      <c r="O330" s="40"/>
      <c r="P330" s="40"/>
      <c r="Q330" s="40"/>
    </row>
    <row r="331" spans="1:17" s="53" customFormat="1" x14ac:dyDescent="0.3">
      <c r="A331" s="31" t="s">
        <v>979</v>
      </c>
      <c r="B331" s="32">
        <v>45789</v>
      </c>
      <c r="C331" s="33" t="s">
        <v>16</v>
      </c>
      <c r="D331" s="40" t="s">
        <v>980</v>
      </c>
      <c r="E331" s="40" t="s">
        <v>981</v>
      </c>
      <c r="F331" s="34">
        <v>1</v>
      </c>
      <c r="G331" s="35">
        <v>3052</v>
      </c>
      <c r="H331" s="36">
        <f t="shared" si="22"/>
        <v>3052</v>
      </c>
      <c r="I331" s="90"/>
      <c r="J331" s="37"/>
      <c r="K331" s="38">
        <f t="shared" si="23"/>
        <v>45789</v>
      </c>
      <c r="L331" s="90" t="s">
        <v>301</v>
      </c>
      <c r="M331" s="39"/>
      <c r="N331" s="40"/>
      <c r="O331" s="40"/>
      <c r="P331" s="40"/>
      <c r="Q331" s="40"/>
    </row>
    <row r="332" spans="1:17" s="53" customFormat="1" x14ac:dyDescent="0.3">
      <c r="A332" s="31" t="s">
        <v>982</v>
      </c>
      <c r="B332" s="32">
        <v>45790</v>
      </c>
      <c r="C332" s="33" t="s">
        <v>16</v>
      </c>
      <c r="D332" s="40" t="s">
        <v>983</v>
      </c>
      <c r="E332" s="40" t="s">
        <v>984</v>
      </c>
      <c r="F332" s="34">
        <v>1</v>
      </c>
      <c r="G332" s="35">
        <v>4182</v>
      </c>
      <c r="H332" s="36">
        <f t="shared" si="22"/>
        <v>4182</v>
      </c>
      <c r="I332" s="90"/>
      <c r="J332" s="37"/>
      <c r="K332" s="38">
        <f t="shared" si="23"/>
        <v>45790</v>
      </c>
      <c r="L332" s="90" t="s">
        <v>143</v>
      </c>
      <c r="M332" s="39"/>
      <c r="N332" s="40"/>
      <c r="O332" s="40"/>
      <c r="P332" s="40"/>
      <c r="Q332" s="40"/>
    </row>
    <row r="333" spans="1:17" s="53" customFormat="1" x14ac:dyDescent="0.3">
      <c r="A333" s="31" t="s">
        <v>985</v>
      </c>
      <c r="B333" s="32">
        <v>45790</v>
      </c>
      <c r="C333" s="33">
        <v>60495</v>
      </c>
      <c r="D333" s="40" t="s">
        <v>129</v>
      </c>
      <c r="E333" s="40" t="s">
        <v>986</v>
      </c>
      <c r="F333" s="34">
        <v>1</v>
      </c>
      <c r="G333" s="35">
        <v>476</v>
      </c>
      <c r="H333" s="36">
        <f t="shared" si="22"/>
        <v>476</v>
      </c>
      <c r="I333" s="90"/>
      <c r="J333" s="37"/>
      <c r="K333" s="38">
        <f t="shared" si="23"/>
        <v>45790</v>
      </c>
      <c r="L333" s="90" t="s">
        <v>143</v>
      </c>
      <c r="M333" s="39"/>
      <c r="N333" s="40"/>
      <c r="O333" s="40"/>
      <c r="P333" s="40"/>
      <c r="Q333" s="40"/>
    </row>
    <row r="334" spans="1:17" s="53" customFormat="1" x14ac:dyDescent="0.3">
      <c r="A334" s="31" t="s">
        <v>987</v>
      </c>
      <c r="B334" s="32">
        <v>45790</v>
      </c>
      <c r="C334" s="33">
        <v>60497</v>
      </c>
      <c r="D334" s="40" t="s">
        <v>129</v>
      </c>
      <c r="E334" s="40" t="s">
        <v>988</v>
      </c>
      <c r="F334" s="34">
        <v>1</v>
      </c>
      <c r="G334" s="35">
        <v>5160</v>
      </c>
      <c r="H334" s="36">
        <f t="shared" si="22"/>
        <v>5160</v>
      </c>
      <c r="I334" s="90"/>
      <c r="J334" s="37"/>
      <c r="K334" s="38">
        <f t="shared" si="23"/>
        <v>45790</v>
      </c>
      <c r="L334" s="90" t="s">
        <v>143</v>
      </c>
      <c r="M334" s="39"/>
      <c r="N334" s="40"/>
      <c r="O334" s="40"/>
      <c r="P334" s="40"/>
      <c r="Q334" s="40"/>
    </row>
    <row r="335" spans="1:17" s="53" customFormat="1" x14ac:dyDescent="0.3">
      <c r="A335" s="31" t="s">
        <v>989</v>
      </c>
      <c r="B335" s="32">
        <v>45790</v>
      </c>
      <c r="C335" s="33" t="s">
        <v>990</v>
      </c>
      <c r="D335" s="40" t="s">
        <v>326</v>
      </c>
      <c r="E335" s="40" t="s">
        <v>991</v>
      </c>
      <c r="F335" s="34">
        <v>2</v>
      </c>
      <c r="G335" s="35">
        <v>39708.6</v>
      </c>
      <c r="H335" s="36">
        <v>39708.6</v>
      </c>
      <c r="I335" s="90"/>
      <c r="J335" s="37"/>
      <c r="K335" s="38">
        <f t="shared" si="23"/>
        <v>45790</v>
      </c>
      <c r="L335" s="90" t="s">
        <v>301</v>
      </c>
      <c r="M335" s="39"/>
      <c r="N335" s="40"/>
      <c r="O335" s="40"/>
      <c r="P335" s="40"/>
      <c r="Q335" s="40"/>
    </row>
    <row r="336" spans="1:17" s="53" customFormat="1" x14ac:dyDescent="0.3">
      <c r="A336" s="31" t="s">
        <v>992</v>
      </c>
      <c r="B336" s="32">
        <v>45790</v>
      </c>
      <c r="C336" s="33" t="s">
        <v>993</v>
      </c>
      <c r="D336" s="40" t="s">
        <v>94</v>
      </c>
      <c r="E336" s="40" t="s">
        <v>24</v>
      </c>
      <c r="F336" s="34">
        <v>2</v>
      </c>
      <c r="G336" s="35">
        <v>11500</v>
      </c>
      <c r="H336" s="36">
        <f t="shared" ref="H336:H342" si="24">F336*G336</f>
        <v>23000</v>
      </c>
      <c r="I336" s="90"/>
      <c r="J336" s="37"/>
      <c r="K336" s="38">
        <f t="shared" si="23"/>
        <v>45790</v>
      </c>
      <c r="L336" s="90" t="s">
        <v>301</v>
      </c>
      <c r="M336" s="39"/>
      <c r="N336" s="40"/>
      <c r="O336" s="40"/>
      <c r="P336" s="40"/>
      <c r="Q336" s="40"/>
    </row>
    <row r="337" spans="1:17" s="53" customFormat="1" x14ac:dyDescent="0.3">
      <c r="A337" s="31" t="s">
        <v>994</v>
      </c>
      <c r="B337" s="32">
        <v>45729</v>
      </c>
      <c r="C337" s="33" t="s">
        <v>995</v>
      </c>
      <c r="D337" s="40" t="s">
        <v>141</v>
      </c>
      <c r="E337" s="40" t="s">
        <v>996</v>
      </c>
      <c r="F337" s="34">
        <v>1</v>
      </c>
      <c r="G337" s="35">
        <v>6386</v>
      </c>
      <c r="H337" s="36">
        <f t="shared" si="24"/>
        <v>6386</v>
      </c>
      <c r="I337" s="90"/>
      <c r="J337" s="37"/>
      <c r="K337" s="38">
        <f t="shared" si="23"/>
        <v>45729</v>
      </c>
      <c r="L337" s="90" t="s">
        <v>301</v>
      </c>
      <c r="M337" s="39"/>
      <c r="N337" s="40"/>
      <c r="O337" s="40"/>
      <c r="P337" s="40"/>
      <c r="Q337" s="40"/>
    </row>
    <row r="338" spans="1:17" s="53" customFormat="1" x14ac:dyDescent="0.3">
      <c r="A338" s="31" t="s">
        <v>997</v>
      </c>
      <c r="B338" s="32">
        <v>45791</v>
      </c>
      <c r="C338" s="33" t="s">
        <v>151</v>
      </c>
      <c r="D338" s="40" t="s">
        <v>49</v>
      </c>
      <c r="E338" s="40" t="s">
        <v>998</v>
      </c>
      <c r="F338" s="34">
        <v>2</v>
      </c>
      <c r="G338" s="35">
        <v>5070.5</v>
      </c>
      <c r="H338" s="36">
        <f t="shared" si="24"/>
        <v>10141</v>
      </c>
      <c r="I338" s="90"/>
      <c r="J338" s="37"/>
      <c r="K338" s="38">
        <f t="shared" si="23"/>
        <v>45791</v>
      </c>
      <c r="L338" s="90" t="s">
        <v>20</v>
      </c>
      <c r="M338" s="39"/>
      <c r="N338" s="40"/>
      <c r="O338" s="40"/>
      <c r="P338" s="40"/>
      <c r="Q338" s="40"/>
    </row>
    <row r="339" spans="1:17" s="53" customFormat="1" x14ac:dyDescent="0.3">
      <c r="A339" s="31" t="s">
        <v>999</v>
      </c>
      <c r="B339" s="32">
        <v>45791</v>
      </c>
      <c r="C339" s="33" t="s">
        <v>1000</v>
      </c>
      <c r="D339" s="40" t="s">
        <v>49</v>
      </c>
      <c r="E339" s="40" t="s">
        <v>1001</v>
      </c>
      <c r="F339" s="34">
        <v>4</v>
      </c>
      <c r="G339" s="35">
        <v>177</v>
      </c>
      <c r="H339" s="36">
        <f t="shared" si="24"/>
        <v>708</v>
      </c>
      <c r="I339" s="90"/>
      <c r="J339" s="37"/>
      <c r="K339" s="38">
        <f t="shared" si="23"/>
        <v>45791</v>
      </c>
      <c r="L339" s="90" t="s">
        <v>20</v>
      </c>
      <c r="M339" s="39"/>
      <c r="N339" s="40"/>
      <c r="O339" s="40"/>
      <c r="P339" s="40"/>
      <c r="Q339" s="40"/>
    </row>
    <row r="340" spans="1:17" s="53" customFormat="1" x14ac:dyDescent="0.3">
      <c r="A340" s="31" t="s">
        <v>1002</v>
      </c>
      <c r="B340" s="32">
        <v>45791</v>
      </c>
      <c r="C340" s="33" t="s">
        <v>1003</v>
      </c>
      <c r="D340" s="40" t="s">
        <v>1004</v>
      </c>
      <c r="E340" s="40" t="s">
        <v>511</v>
      </c>
      <c r="F340" s="34">
        <v>1</v>
      </c>
      <c r="G340" s="35">
        <f>9849+(3666*2)+(447*2)+(268*4)+(8*100)</f>
        <v>19947</v>
      </c>
      <c r="H340" s="36">
        <f t="shared" si="24"/>
        <v>19947</v>
      </c>
      <c r="I340" s="90"/>
      <c r="J340" s="37"/>
      <c r="K340" s="38">
        <f t="shared" si="23"/>
        <v>45791</v>
      </c>
      <c r="L340" s="90" t="s">
        <v>17</v>
      </c>
      <c r="M340" s="39"/>
      <c r="N340" s="40"/>
      <c r="O340" s="40"/>
      <c r="P340" s="40"/>
      <c r="Q340" s="40"/>
    </row>
    <row r="341" spans="1:17" s="53" customFormat="1" x14ac:dyDescent="0.3">
      <c r="A341" s="31" t="s">
        <v>1005</v>
      </c>
      <c r="B341" s="32">
        <v>45791</v>
      </c>
      <c r="C341" s="33" t="s">
        <v>1003</v>
      </c>
      <c r="D341" s="40" t="s">
        <v>1004</v>
      </c>
      <c r="E341" s="40" t="s">
        <v>1006</v>
      </c>
      <c r="F341" s="34">
        <v>1</v>
      </c>
      <c r="G341" s="35">
        <f>(7594+(981*2))</f>
        <v>9556</v>
      </c>
      <c r="H341" s="36">
        <f t="shared" si="24"/>
        <v>9556</v>
      </c>
      <c r="I341" s="90"/>
      <c r="J341" s="37"/>
      <c r="K341" s="38">
        <f t="shared" si="23"/>
        <v>45791</v>
      </c>
      <c r="L341" s="90" t="s">
        <v>17</v>
      </c>
      <c r="M341" s="39"/>
      <c r="N341" s="40"/>
      <c r="O341" s="40"/>
      <c r="P341" s="40"/>
      <c r="Q341" s="40"/>
    </row>
    <row r="342" spans="1:17" s="53" customFormat="1" x14ac:dyDescent="0.3">
      <c r="A342" s="31" t="s">
        <v>1007</v>
      </c>
      <c r="B342" s="32">
        <v>45792</v>
      </c>
      <c r="C342" s="33" t="s">
        <v>1008</v>
      </c>
      <c r="D342" s="40" t="s">
        <v>1009</v>
      </c>
      <c r="E342" s="40" t="s">
        <v>908</v>
      </c>
      <c r="F342" s="34">
        <v>1</v>
      </c>
      <c r="G342" s="35">
        <v>24043</v>
      </c>
      <c r="H342" s="36">
        <f t="shared" si="24"/>
        <v>24043</v>
      </c>
      <c r="I342" s="90"/>
      <c r="J342" s="37"/>
      <c r="K342" s="38">
        <f t="shared" si="23"/>
        <v>45792</v>
      </c>
      <c r="L342" s="90" t="s">
        <v>301</v>
      </c>
      <c r="M342" s="39"/>
      <c r="N342" s="40"/>
      <c r="O342" s="40"/>
      <c r="P342" s="40"/>
      <c r="Q342" s="40"/>
    </row>
    <row r="343" spans="1:17" s="53" customFormat="1" x14ac:dyDescent="0.3">
      <c r="A343" s="31" t="s">
        <v>1010</v>
      </c>
      <c r="B343" s="32">
        <v>45793</v>
      </c>
      <c r="C343" s="33" t="s">
        <v>1011</v>
      </c>
      <c r="D343" s="40" t="s">
        <v>31</v>
      </c>
      <c r="E343" s="40" t="s">
        <v>1012</v>
      </c>
      <c r="F343" s="34">
        <v>2</v>
      </c>
      <c r="G343" s="35">
        <v>21692</v>
      </c>
      <c r="H343" s="36">
        <v>21692</v>
      </c>
      <c r="I343" s="90"/>
      <c r="J343" s="37"/>
      <c r="K343" s="38">
        <f t="shared" si="23"/>
        <v>45793</v>
      </c>
      <c r="L343" s="90" t="s">
        <v>301</v>
      </c>
      <c r="M343" s="39"/>
      <c r="N343" s="40"/>
      <c r="O343" s="40"/>
      <c r="P343" s="40"/>
      <c r="Q343" s="40"/>
    </row>
    <row r="344" spans="1:17" s="53" customFormat="1" x14ac:dyDescent="0.3">
      <c r="A344" s="31" t="s">
        <v>1013</v>
      </c>
      <c r="B344" s="32">
        <v>45793</v>
      </c>
      <c r="C344" s="33" t="s">
        <v>16</v>
      </c>
      <c r="D344" s="40" t="s">
        <v>1014</v>
      </c>
      <c r="E344" s="40" t="s">
        <v>1015</v>
      </c>
      <c r="F344" s="34">
        <v>1</v>
      </c>
      <c r="G344" s="35">
        <v>6215</v>
      </c>
      <c r="H344" s="36">
        <f t="shared" ref="H344:H375" si="25">F344*G344</f>
        <v>6215</v>
      </c>
      <c r="I344" s="90"/>
      <c r="J344" s="37"/>
      <c r="K344" s="38">
        <f t="shared" si="23"/>
        <v>45793</v>
      </c>
      <c r="L344" s="90"/>
      <c r="M344" s="39"/>
      <c r="N344" s="40"/>
      <c r="O344" s="40"/>
      <c r="P344" s="40"/>
      <c r="Q344" s="40"/>
    </row>
    <row r="345" spans="1:17" s="53" customFormat="1" x14ac:dyDescent="0.3">
      <c r="A345" s="31" t="s">
        <v>1016</v>
      </c>
      <c r="B345" s="32">
        <v>45793</v>
      </c>
      <c r="C345" s="33" t="s">
        <v>1017</v>
      </c>
      <c r="D345" s="40" t="s">
        <v>704</v>
      </c>
      <c r="E345" s="40" t="s">
        <v>1018</v>
      </c>
      <c r="F345" s="34">
        <v>1</v>
      </c>
      <c r="G345" s="35">
        <v>10328</v>
      </c>
      <c r="H345" s="36">
        <f t="shared" si="25"/>
        <v>10328</v>
      </c>
      <c r="I345" s="90"/>
      <c r="J345" s="37"/>
      <c r="K345" s="38">
        <f t="shared" si="23"/>
        <v>45793</v>
      </c>
      <c r="L345" s="90" t="s">
        <v>301</v>
      </c>
      <c r="M345" s="39"/>
      <c r="N345" s="40"/>
      <c r="O345" s="40"/>
      <c r="P345" s="40"/>
      <c r="Q345" s="40"/>
    </row>
    <row r="346" spans="1:17" s="53" customFormat="1" x14ac:dyDescent="0.3">
      <c r="A346" s="31" t="s">
        <v>1019</v>
      </c>
      <c r="B346" s="32">
        <v>45793</v>
      </c>
      <c r="C346" s="33" t="s">
        <v>16</v>
      </c>
      <c r="D346" s="40" t="s">
        <v>862</v>
      </c>
      <c r="E346" s="40" t="s">
        <v>863</v>
      </c>
      <c r="F346" s="34">
        <v>2</v>
      </c>
      <c r="G346" s="35">
        <v>2315</v>
      </c>
      <c r="H346" s="36">
        <f t="shared" si="25"/>
        <v>4630</v>
      </c>
      <c r="I346" s="90"/>
      <c r="J346" s="37"/>
      <c r="K346" s="38">
        <f t="shared" si="23"/>
        <v>45793</v>
      </c>
      <c r="L346" s="90" t="s">
        <v>143</v>
      </c>
      <c r="M346" s="39"/>
      <c r="N346" s="40"/>
      <c r="O346" s="40"/>
      <c r="P346" s="40"/>
      <c r="Q346" s="40"/>
    </row>
    <row r="347" spans="1:17" s="53" customFormat="1" x14ac:dyDescent="0.3">
      <c r="A347" s="31" t="s">
        <v>1020</v>
      </c>
      <c r="B347" s="32">
        <v>45796</v>
      </c>
      <c r="C347" s="33" t="s">
        <v>16</v>
      </c>
      <c r="D347" s="40" t="s">
        <v>353</v>
      </c>
      <c r="E347" s="40" t="s">
        <v>1021</v>
      </c>
      <c r="F347" s="34">
        <v>1</v>
      </c>
      <c r="G347" s="35"/>
      <c r="H347" s="36">
        <f t="shared" si="25"/>
        <v>0</v>
      </c>
      <c r="I347" s="90"/>
      <c r="J347" s="37"/>
      <c r="K347" s="38">
        <f t="shared" si="23"/>
        <v>45796</v>
      </c>
      <c r="L347" s="90" t="s">
        <v>20</v>
      </c>
      <c r="M347" s="39"/>
      <c r="N347" s="40"/>
      <c r="O347" s="40"/>
      <c r="P347" s="40"/>
      <c r="Q347" s="40"/>
    </row>
    <row r="348" spans="1:17" s="53" customFormat="1" x14ac:dyDescent="0.3">
      <c r="A348" s="31" t="s">
        <v>1022</v>
      </c>
      <c r="B348" s="32">
        <v>45796</v>
      </c>
      <c r="C348" s="33" t="s">
        <v>1023</v>
      </c>
      <c r="D348" s="40" t="s">
        <v>94</v>
      </c>
      <c r="E348" s="40" t="s">
        <v>24</v>
      </c>
      <c r="F348" s="34">
        <v>1</v>
      </c>
      <c r="G348" s="35">
        <v>11500</v>
      </c>
      <c r="H348" s="36">
        <f t="shared" si="25"/>
        <v>11500</v>
      </c>
      <c r="I348" s="90"/>
      <c r="J348" s="37"/>
      <c r="K348" s="38">
        <f t="shared" si="23"/>
        <v>45796</v>
      </c>
      <c r="L348" s="90" t="s">
        <v>301</v>
      </c>
      <c r="M348" s="39"/>
      <c r="N348" s="40"/>
      <c r="O348" s="40"/>
      <c r="P348" s="40"/>
      <c r="Q348" s="40"/>
    </row>
    <row r="349" spans="1:17" s="53" customFormat="1" x14ac:dyDescent="0.3">
      <c r="A349" s="31" t="s">
        <v>1024</v>
      </c>
      <c r="B349" s="32">
        <v>45796</v>
      </c>
      <c r="C349" s="33" t="s">
        <v>1025</v>
      </c>
      <c r="D349" s="40" t="s">
        <v>1026</v>
      </c>
      <c r="E349" s="40" t="s">
        <v>1027</v>
      </c>
      <c r="F349" s="34">
        <v>1</v>
      </c>
      <c r="G349" s="35">
        <v>15202</v>
      </c>
      <c r="H349" s="36">
        <f t="shared" si="25"/>
        <v>15202</v>
      </c>
      <c r="I349" s="90"/>
      <c r="J349" s="37"/>
      <c r="K349" s="38">
        <f t="shared" si="23"/>
        <v>45796</v>
      </c>
      <c r="L349" s="90" t="s">
        <v>301</v>
      </c>
      <c r="M349" s="39"/>
      <c r="N349" s="40"/>
      <c r="O349" s="40"/>
      <c r="P349" s="40"/>
      <c r="Q349" s="40"/>
    </row>
    <row r="350" spans="1:17" s="53" customFormat="1" x14ac:dyDescent="0.3">
      <c r="A350" s="31" t="s">
        <v>1028</v>
      </c>
      <c r="B350" s="32">
        <v>45796</v>
      </c>
      <c r="C350" s="33" t="s">
        <v>1029</v>
      </c>
      <c r="D350" s="40" t="s">
        <v>1030</v>
      </c>
      <c r="E350" s="40" t="s">
        <v>1031</v>
      </c>
      <c r="F350" s="34">
        <v>1</v>
      </c>
      <c r="G350" s="35">
        <v>28760</v>
      </c>
      <c r="H350" s="36">
        <f t="shared" si="25"/>
        <v>28760</v>
      </c>
      <c r="I350" s="90"/>
      <c r="J350" s="37"/>
      <c r="K350" s="38">
        <f t="shared" si="23"/>
        <v>45796</v>
      </c>
      <c r="L350" s="90" t="s">
        <v>17</v>
      </c>
      <c r="M350" s="39"/>
      <c r="N350" s="40"/>
      <c r="O350" s="40"/>
      <c r="P350" s="40"/>
      <c r="Q350" s="40"/>
    </row>
    <row r="351" spans="1:17" s="53" customFormat="1" x14ac:dyDescent="0.3">
      <c r="A351" s="31" t="s">
        <v>1032</v>
      </c>
      <c r="B351" s="32">
        <v>45796</v>
      </c>
      <c r="C351" s="33" t="s">
        <v>1033</v>
      </c>
      <c r="D351" s="33" t="s">
        <v>1004</v>
      </c>
      <c r="E351" s="40" t="s">
        <v>93</v>
      </c>
      <c r="F351" s="34">
        <v>1</v>
      </c>
      <c r="G351" s="35">
        <v>31577</v>
      </c>
      <c r="H351" s="36">
        <f t="shared" si="25"/>
        <v>31577</v>
      </c>
      <c r="I351" s="90"/>
      <c r="J351" s="37"/>
      <c r="K351" s="38">
        <f t="shared" si="23"/>
        <v>45796</v>
      </c>
      <c r="L351" s="90" t="s">
        <v>17</v>
      </c>
      <c r="M351" s="39"/>
      <c r="N351" s="40"/>
      <c r="O351" s="40"/>
      <c r="P351" s="40"/>
      <c r="Q351" s="40"/>
    </row>
    <row r="352" spans="1:17" s="53" customFormat="1" x14ac:dyDescent="0.3">
      <c r="A352" s="31" t="s">
        <v>1034</v>
      </c>
      <c r="B352" s="32">
        <v>45798</v>
      </c>
      <c r="C352" s="33" t="s">
        <v>1035</v>
      </c>
      <c r="D352" s="40" t="s">
        <v>482</v>
      </c>
      <c r="E352" s="40" t="s">
        <v>1036</v>
      </c>
      <c r="F352" s="34">
        <v>2</v>
      </c>
      <c r="G352" s="35">
        <v>515</v>
      </c>
      <c r="H352" s="36">
        <f t="shared" si="25"/>
        <v>1030</v>
      </c>
      <c r="I352" s="90"/>
      <c r="J352" s="37"/>
      <c r="K352" s="38">
        <f t="shared" si="23"/>
        <v>45798</v>
      </c>
      <c r="L352" s="90" t="s">
        <v>301</v>
      </c>
      <c r="M352" s="39"/>
      <c r="N352" s="40"/>
      <c r="O352" s="40"/>
      <c r="P352" s="40"/>
      <c r="Q352" s="40"/>
    </row>
    <row r="353" spans="1:17" s="53" customFormat="1" x14ac:dyDescent="0.3">
      <c r="A353" s="31" t="s">
        <v>1037</v>
      </c>
      <c r="B353" s="32">
        <v>45798</v>
      </c>
      <c r="C353" s="33" t="s">
        <v>1038</v>
      </c>
      <c r="D353" s="40" t="s">
        <v>393</v>
      </c>
      <c r="E353" s="40" t="s">
        <v>1039</v>
      </c>
      <c r="F353" s="34">
        <v>9</v>
      </c>
      <c r="G353" s="35">
        <v>855</v>
      </c>
      <c r="H353" s="36">
        <f t="shared" si="25"/>
        <v>7695</v>
      </c>
      <c r="I353" s="90"/>
      <c r="J353" s="37"/>
      <c r="K353" s="38">
        <f t="shared" si="23"/>
        <v>45798</v>
      </c>
      <c r="L353" s="90" t="s">
        <v>143</v>
      </c>
      <c r="M353" s="39"/>
      <c r="N353" s="40"/>
      <c r="O353" s="40"/>
      <c r="P353" s="40"/>
      <c r="Q353" s="40"/>
    </row>
    <row r="354" spans="1:17" s="53" customFormat="1" x14ac:dyDescent="0.3">
      <c r="A354" s="31" t="s">
        <v>1040</v>
      </c>
      <c r="B354" s="32">
        <v>45798</v>
      </c>
      <c r="C354" s="33" t="s">
        <v>1041</v>
      </c>
      <c r="D354" s="40" t="s">
        <v>348</v>
      </c>
      <c r="E354" s="40" t="s">
        <v>1042</v>
      </c>
      <c r="F354" s="34">
        <v>1</v>
      </c>
      <c r="G354" s="35">
        <v>9685.2999999999993</v>
      </c>
      <c r="H354" s="36">
        <f t="shared" si="25"/>
        <v>9685.2999999999993</v>
      </c>
      <c r="I354" s="90"/>
      <c r="J354" s="37"/>
      <c r="K354" s="38">
        <f t="shared" si="23"/>
        <v>45798</v>
      </c>
      <c r="L354" s="90" t="s">
        <v>17</v>
      </c>
      <c r="M354" s="39"/>
      <c r="N354" s="40"/>
      <c r="O354" s="40"/>
      <c r="P354" s="40"/>
      <c r="Q354" s="40"/>
    </row>
    <row r="355" spans="1:17" s="53" customFormat="1" x14ac:dyDescent="0.3">
      <c r="A355" s="31" t="s">
        <v>1043</v>
      </c>
      <c r="B355" s="32">
        <v>45799</v>
      </c>
      <c r="C355" s="33" t="s">
        <v>1044</v>
      </c>
      <c r="D355" s="40" t="s">
        <v>1045</v>
      </c>
      <c r="E355" s="40" t="s">
        <v>93</v>
      </c>
      <c r="F355" s="34">
        <v>1</v>
      </c>
      <c r="G355" s="35">
        <v>123964</v>
      </c>
      <c r="H355" s="36">
        <f t="shared" si="25"/>
        <v>123964</v>
      </c>
      <c r="I355" s="90"/>
      <c r="J355" s="37"/>
      <c r="K355" s="38">
        <f t="shared" si="23"/>
        <v>45799</v>
      </c>
      <c r="L355" s="90" t="s">
        <v>17</v>
      </c>
      <c r="M355" s="39"/>
      <c r="N355" s="40"/>
      <c r="O355" s="40"/>
      <c r="P355" s="40"/>
      <c r="Q355" s="40"/>
    </row>
    <row r="356" spans="1:17" s="53" customFormat="1" x14ac:dyDescent="0.3">
      <c r="A356" s="31" t="s">
        <v>1046</v>
      </c>
      <c r="B356" s="32">
        <v>45799</v>
      </c>
      <c r="C356" s="33" t="s">
        <v>1047</v>
      </c>
      <c r="D356" s="40" t="s">
        <v>1045</v>
      </c>
      <c r="E356" s="40" t="s">
        <v>93</v>
      </c>
      <c r="F356" s="34">
        <v>1</v>
      </c>
      <c r="G356" s="35">
        <v>88777</v>
      </c>
      <c r="H356" s="36">
        <f t="shared" si="25"/>
        <v>88777</v>
      </c>
      <c r="I356" s="90"/>
      <c r="J356" s="37"/>
      <c r="K356" s="38">
        <f t="shared" si="23"/>
        <v>45799</v>
      </c>
      <c r="L356" s="90" t="s">
        <v>17</v>
      </c>
      <c r="M356" s="39"/>
      <c r="N356" s="40"/>
      <c r="O356" s="40"/>
      <c r="P356" s="40"/>
      <c r="Q356" s="40"/>
    </row>
    <row r="357" spans="1:17" s="53" customFormat="1" x14ac:dyDescent="0.3">
      <c r="A357" s="31" t="s">
        <v>1048</v>
      </c>
      <c r="B357" s="32">
        <v>45799</v>
      </c>
      <c r="C357" s="33" t="s">
        <v>1049</v>
      </c>
      <c r="D357" s="40" t="s">
        <v>1045</v>
      </c>
      <c r="E357" s="40" t="s">
        <v>93</v>
      </c>
      <c r="F357" s="34">
        <v>1</v>
      </c>
      <c r="G357" s="35">
        <v>12586</v>
      </c>
      <c r="H357" s="36">
        <f t="shared" si="25"/>
        <v>12586</v>
      </c>
      <c r="I357" s="90"/>
      <c r="J357" s="37"/>
      <c r="K357" s="38">
        <f t="shared" si="23"/>
        <v>45799</v>
      </c>
      <c r="L357" s="90" t="s">
        <v>17</v>
      </c>
      <c r="M357" s="39"/>
      <c r="N357" s="40"/>
      <c r="O357" s="40"/>
      <c r="P357" s="40"/>
      <c r="Q357" s="40"/>
    </row>
    <row r="358" spans="1:17" s="53" customFormat="1" x14ac:dyDescent="0.3">
      <c r="A358" s="31" t="s">
        <v>1050</v>
      </c>
      <c r="B358" s="32">
        <v>45799</v>
      </c>
      <c r="C358" s="33" t="s">
        <v>1051</v>
      </c>
      <c r="D358" s="40" t="s">
        <v>1045</v>
      </c>
      <c r="E358" s="40" t="s">
        <v>93</v>
      </c>
      <c r="F358" s="34">
        <v>1</v>
      </c>
      <c r="G358" s="35">
        <v>50682</v>
      </c>
      <c r="H358" s="36">
        <f t="shared" si="25"/>
        <v>50682</v>
      </c>
      <c r="I358" s="90"/>
      <c r="J358" s="37"/>
      <c r="K358" s="38">
        <f t="shared" si="23"/>
        <v>45799</v>
      </c>
      <c r="L358" s="90" t="s">
        <v>17</v>
      </c>
      <c r="M358" s="39"/>
      <c r="N358" s="40"/>
      <c r="O358" s="40"/>
      <c r="P358" s="40"/>
      <c r="Q358" s="40"/>
    </row>
    <row r="359" spans="1:17" s="53" customFormat="1" x14ac:dyDescent="0.3">
      <c r="A359" s="31" t="s">
        <v>1052</v>
      </c>
      <c r="B359" s="32">
        <v>45799</v>
      </c>
      <c r="C359" s="33" t="s">
        <v>16</v>
      </c>
      <c r="D359" s="40" t="s">
        <v>128</v>
      </c>
      <c r="E359" s="40" t="s">
        <v>42</v>
      </c>
      <c r="F359" s="34">
        <v>1</v>
      </c>
      <c r="G359" s="35">
        <v>9636</v>
      </c>
      <c r="H359" s="36">
        <f t="shared" si="25"/>
        <v>9636</v>
      </c>
      <c r="I359" s="90"/>
      <c r="J359" s="37"/>
      <c r="K359" s="38">
        <f t="shared" si="23"/>
        <v>45799</v>
      </c>
      <c r="L359" s="90" t="s">
        <v>143</v>
      </c>
      <c r="M359" s="39"/>
      <c r="N359" s="40"/>
      <c r="O359" s="40"/>
      <c r="P359" s="40"/>
      <c r="Q359" s="40"/>
    </row>
    <row r="360" spans="1:17" s="53" customFormat="1" x14ac:dyDescent="0.3">
      <c r="A360" s="31" t="s">
        <v>1053</v>
      </c>
      <c r="B360" s="32">
        <v>45800</v>
      </c>
      <c r="C360" s="33" t="s">
        <v>1054</v>
      </c>
      <c r="D360" s="40" t="s">
        <v>136</v>
      </c>
      <c r="E360" s="40" t="s">
        <v>1055</v>
      </c>
      <c r="F360" s="34">
        <v>2</v>
      </c>
      <c r="G360" s="35">
        <v>24407</v>
      </c>
      <c r="H360" s="36">
        <f t="shared" si="25"/>
        <v>48814</v>
      </c>
      <c r="I360" s="90"/>
      <c r="J360" s="37"/>
      <c r="K360" s="38">
        <f t="shared" si="23"/>
        <v>45800</v>
      </c>
      <c r="L360" s="90" t="s">
        <v>143</v>
      </c>
      <c r="M360" s="39"/>
      <c r="N360" s="40"/>
      <c r="O360" s="40"/>
      <c r="P360" s="40"/>
      <c r="Q360" s="40"/>
    </row>
    <row r="361" spans="1:17" s="53" customFormat="1" x14ac:dyDescent="0.3">
      <c r="A361" s="31" t="s">
        <v>1056</v>
      </c>
      <c r="B361" s="32">
        <v>45803</v>
      </c>
      <c r="C361" s="33" t="s">
        <v>16</v>
      </c>
      <c r="D361" s="40" t="s">
        <v>87</v>
      </c>
      <c r="E361" s="40" t="s">
        <v>1057</v>
      </c>
      <c r="F361" s="34">
        <v>1</v>
      </c>
      <c r="G361" s="35">
        <v>8659.19</v>
      </c>
      <c r="H361" s="36">
        <f t="shared" si="25"/>
        <v>8659.19</v>
      </c>
      <c r="I361" s="90"/>
      <c r="J361" s="37"/>
      <c r="K361" s="38">
        <f t="shared" si="23"/>
        <v>45803</v>
      </c>
      <c r="L361" s="90" t="s">
        <v>301</v>
      </c>
      <c r="M361" s="39"/>
      <c r="N361" s="40"/>
      <c r="O361" s="40"/>
      <c r="P361" s="40"/>
      <c r="Q361" s="40"/>
    </row>
    <row r="362" spans="1:17" s="53" customFormat="1" x14ac:dyDescent="0.3">
      <c r="A362" s="31" t="s">
        <v>1058</v>
      </c>
      <c r="B362" s="32">
        <v>45803</v>
      </c>
      <c r="C362" s="33" t="s">
        <v>16</v>
      </c>
      <c r="D362" s="40" t="s">
        <v>153</v>
      </c>
      <c r="E362" s="40" t="s">
        <v>304</v>
      </c>
      <c r="F362" s="34">
        <v>2</v>
      </c>
      <c r="G362" s="35">
        <v>8464.5499999999993</v>
      </c>
      <c r="H362" s="36">
        <f t="shared" si="25"/>
        <v>16929.099999999999</v>
      </c>
      <c r="I362" s="90"/>
      <c r="J362" s="37"/>
      <c r="K362" s="38">
        <f t="shared" si="23"/>
        <v>45803</v>
      </c>
      <c r="L362" s="90" t="s">
        <v>17</v>
      </c>
      <c r="M362" s="39"/>
      <c r="N362" s="40"/>
      <c r="O362" s="40"/>
      <c r="P362" s="40"/>
      <c r="Q362" s="40"/>
    </row>
    <row r="363" spans="1:17" s="53" customFormat="1" x14ac:dyDescent="0.3">
      <c r="A363" s="31" t="s">
        <v>1059</v>
      </c>
      <c r="B363" s="32">
        <v>45804</v>
      </c>
      <c r="C363" s="33" t="s">
        <v>16</v>
      </c>
      <c r="D363" s="40" t="s">
        <v>1060</v>
      </c>
      <c r="E363" s="40" t="s">
        <v>1061</v>
      </c>
      <c r="F363" s="34">
        <v>1</v>
      </c>
      <c r="G363" s="35">
        <v>3790</v>
      </c>
      <c r="H363" s="36">
        <f t="shared" si="25"/>
        <v>3790</v>
      </c>
      <c r="I363" s="90"/>
      <c r="J363" s="37"/>
      <c r="K363" s="38">
        <f t="shared" si="23"/>
        <v>45804</v>
      </c>
      <c r="L363" s="90" t="s">
        <v>17</v>
      </c>
      <c r="M363" s="39"/>
      <c r="N363" s="40"/>
      <c r="O363" s="40"/>
      <c r="P363" s="40"/>
      <c r="Q363" s="40"/>
    </row>
    <row r="364" spans="1:17" s="53" customFormat="1" x14ac:dyDescent="0.3">
      <c r="A364" s="31" t="s">
        <v>1062</v>
      </c>
      <c r="B364" s="32">
        <v>45804</v>
      </c>
      <c r="C364" s="33" t="s">
        <v>1063</v>
      </c>
      <c r="D364" s="40" t="s">
        <v>1064</v>
      </c>
      <c r="E364" s="40" t="s">
        <v>1065</v>
      </c>
      <c r="F364" s="34">
        <v>4</v>
      </c>
      <c r="G364" s="35">
        <v>7577</v>
      </c>
      <c r="H364" s="36">
        <f t="shared" si="25"/>
        <v>30308</v>
      </c>
      <c r="I364" s="90"/>
      <c r="J364" s="37"/>
      <c r="K364" s="38">
        <f t="shared" si="23"/>
        <v>45804</v>
      </c>
      <c r="L364" s="90" t="s">
        <v>143</v>
      </c>
      <c r="M364" s="39"/>
      <c r="N364" s="40"/>
      <c r="O364" s="40"/>
      <c r="P364" s="40"/>
      <c r="Q364" s="40"/>
    </row>
    <row r="365" spans="1:17" s="53" customFormat="1" x14ac:dyDescent="0.3">
      <c r="A365" s="31" t="s">
        <v>1066</v>
      </c>
      <c r="B365" s="32">
        <v>45804</v>
      </c>
      <c r="C365" s="33" t="s">
        <v>1067</v>
      </c>
      <c r="D365" s="40" t="s">
        <v>341</v>
      </c>
      <c r="E365" s="40" t="s">
        <v>83</v>
      </c>
      <c r="F365" s="34">
        <v>1</v>
      </c>
      <c r="G365" s="35">
        <v>8520</v>
      </c>
      <c r="H365" s="36">
        <f t="shared" si="25"/>
        <v>8520</v>
      </c>
      <c r="I365" s="90"/>
      <c r="J365" s="37"/>
      <c r="K365" s="38">
        <f t="shared" si="23"/>
        <v>45804</v>
      </c>
      <c r="L365" s="90" t="s">
        <v>143</v>
      </c>
      <c r="M365" s="39"/>
      <c r="N365" s="40"/>
      <c r="O365" s="40"/>
      <c r="P365" s="40"/>
      <c r="Q365" s="40"/>
    </row>
    <row r="366" spans="1:17" s="53" customFormat="1" x14ac:dyDescent="0.3">
      <c r="A366" s="31" t="s">
        <v>1068</v>
      </c>
      <c r="B366" s="32">
        <v>45805</v>
      </c>
      <c r="C366" s="33" t="s">
        <v>1069</v>
      </c>
      <c r="D366" s="40" t="s">
        <v>164</v>
      </c>
      <c r="E366" s="40" t="s">
        <v>1070</v>
      </c>
      <c r="F366" s="34">
        <v>1</v>
      </c>
      <c r="G366" s="35">
        <v>79818</v>
      </c>
      <c r="H366" s="36">
        <f t="shared" si="25"/>
        <v>79818</v>
      </c>
      <c r="I366" s="90"/>
      <c r="J366" s="37"/>
      <c r="K366" s="38">
        <f t="shared" si="23"/>
        <v>45805</v>
      </c>
      <c r="L366" s="90" t="s">
        <v>17</v>
      </c>
      <c r="M366" s="39"/>
      <c r="N366" s="40"/>
      <c r="O366" s="40"/>
      <c r="P366" s="40"/>
      <c r="Q366" s="40"/>
    </row>
    <row r="367" spans="1:17" s="53" customFormat="1" x14ac:dyDescent="0.3">
      <c r="A367" s="31" t="s">
        <v>1071</v>
      </c>
      <c r="B367" s="32">
        <v>45805</v>
      </c>
      <c r="C367" s="33" t="s">
        <v>1072</v>
      </c>
      <c r="D367" s="40" t="s">
        <v>49</v>
      </c>
      <c r="E367" s="40" t="s">
        <v>1073</v>
      </c>
      <c r="F367" s="34">
        <v>2</v>
      </c>
      <c r="G367" s="35">
        <v>12114</v>
      </c>
      <c r="H367" s="36">
        <f t="shared" si="25"/>
        <v>24228</v>
      </c>
      <c r="I367" s="90"/>
      <c r="J367" s="37"/>
      <c r="K367" s="38">
        <f t="shared" si="23"/>
        <v>45805</v>
      </c>
      <c r="L367" s="90" t="s">
        <v>20</v>
      </c>
      <c r="M367" s="39"/>
      <c r="N367" s="40"/>
      <c r="O367" s="40"/>
      <c r="P367" s="40"/>
      <c r="Q367" s="40"/>
    </row>
    <row r="368" spans="1:17" s="53" customFormat="1" x14ac:dyDescent="0.3">
      <c r="A368" s="31" t="s">
        <v>1074</v>
      </c>
      <c r="B368" s="32"/>
      <c r="C368" s="33"/>
      <c r="D368" s="40" t="s">
        <v>348</v>
      </c>
      <c r="E368" s="40" t="s">
        <v>1075</v>
      </c>
      <c r="F368" s="34">
        <v>1</v>
      </c>
      <c r="G368" s="35">
        <v>12226</v>
      </c>
      <c r="H368" s="36">
        <f t="shared" si="25"/>
        <v>12226</v>
      </c>
      <c r="I368" s="90"/>
      <c r="J368" s="37"/>
      <c r="K368" s="38">
        <f t="shared" si="23"/>
        <v>0</v>
      </c>
      <c r="L368" s="90"/>
      <c r="M368" s="39"/>
      <c r="N368" s="40"/>
      <c r="O368" s="40"/>
      <c r="P368" s="40"/>
      <c r="Q368" s="40"/>
    </row>
    <row r="369" spans="1:17" s="53" customFormat="1" x14ac:dyDescent="0.3">
      <c r="A369" s="31" t="s">
        <v>1076</v>
      </c>
      <c r="B369" s="32">
        <v>45807</v>
      </c>
      <c r="C369" s="33">
        <v>501382</v>
      </c>
      <c r="D369" s="40" t="s">
        <v>389</v>
      </c>
      <c r="E369" s="40" t="s">
        <v>131</v>
      </c>
      <c r="F369" s="34">
        <v>1</v>
      </c>
      <c r="G369" s="35">
        <v>3797</v>
      </c>
      <c r="H369" s="36">
        <f t="shared" si="25"/>
        <v>3797</v>
      </c>
      <c r="I369" s="90"/>
      <c r="J369" s="37"/>
      <c r="K369" s="38">
        <f t="shared" si="23"/>
        <v>45807</v>
      </c>
      <c r="L369" s="90" t="s">
        <v>20</v>
      </c>
      <c r="M369" s="39"/>
      <c r="N369" s="40"/>
      <c r="O369" s="40"/>
      <c r="P369" s="40"/>
      <c r="Q369" s="40"/>
    </row>
    <row r="370" spans="1:17" s="53" customFormat="1" x14ac:dyDescent="0.3">
      <c r="A370" s="31" t="s">
        <v>1077</v>
      </c>
      <c r="B370" s="32">
        <v>45807</v>
      </c>
      <c r="C370" s="33" t="s">
        <v>1078</v>
      </c>
      <c r="D370" s="40" t="s">
        <v>126</v>
      </c>
      <c r="E370" s="40" t="s">
        <v>65</v>
      </c>
      <c r="F370" s="34">
        <v>1</v>
      </c>
      <c r="G370" s="35">
        <v>13900</v>
      </c>
      <c r="H370" s="36">
        <f t="shared" si="25"/>
        <v>13900</v>
      </c>
      <c r="I370" s="90"/>
      <c r="J370" s="37"/>
      <c r="K370" s="38">
        <f t="shared" si="23"/>
        <v>45807</v>
      </c>
      <c r="L370" s="90" t="s">
        <v>17</v>
      </c>
      <c r="M370" s="39"/>
      <c r="N370" s="40"/>
      <c r="O370" s="40"/>
      <c r="P370" s="40"/>
      <c r="Q370" s="40"/>
    </row>
    <row r="371" spans="1:17" s="53" customFormat="1" x14ac:dyDescent="0.3">
      <c r="A371" s="31" t="s">
        <v>1079</v>
      </c>
      <c r="B371" s="32">
        <v>45810</v>
      </c>
      <c r="C371" s="40" t="s">
        <v>1080</v>
      </c>
      <c r="D371" s="40" t="s">
        <v>1081</v>
      </c>
      <c r="E371" s="40" t="s">
        <v>1082</v>
      </c>
      <c r="F371" s="34">
        <v>3</v>
      </c>
      <c r="G371" s="35">
        <v>18805</v>
      </c>
      <c r="H371" s="36">
        <f t="shared" si="25"/>
        <v>56415</v>
      </c>
      <c r="I371" s="90"/>
      <c r="J371" s="37"/>
      <c r="K371" s="38">
        <f t="shared" si="23"/>
        <v>45810</v>
      </c>
      <c r="L371" s="90" t="s">
        <v>143</v>
      </c>
      <c r="M371" s="39"/>
      <c r="N371" s="40"/>
      <c r="O371" s="40"/>
      <c r="P371" s="40"/>
      <c r="Q371" s="40"/>
    </row>
    <row r="372" spans="1:17" s="53" customFormat="1" x14ac:dyDescent="0.3">
      <c r="A372" s="31" t="s">
        <v>1083</v>
      </c>
      <c r="B372" s="32">
        <v>45810</v>
      </c>
      <c r="C372" s="40" t="s">
        <v>1084</v>
      </c>
      <c r="D372" s="40" t="s">
        <v>67</v>
      </c>
      <c r="E372" s="40" t="s">
        <v>1085</v>
      </c>
      <c r="F372" s="34">
        <v>2</v>
      </c>
      <c r="G372" s="35">
        <v>4848</v>
      </c>
      <c r="H372" s="36">
        <f t="shared" si="25"/>
        <v>9696</v>
      </c>
      <c r="I372" s="90"/>
      <c r="J372" s="37"/>
      <c r="K372" s="38">
        <f t="shared" si="23"/>
        <v>45810</v>
      </c>
      <c r="L372" s="90" t="s">
        <v>143</v>
      </c>
      <c r="M372" s="39"/>
      <c r="N372" s="40"/>
      <c r="O372" s="40"/>
      <c r="P372" s="40"/>
      <c r="Q372" s="40"/>
    </row>
    <row r="373" spans="1:17" s="53" customFormat="1" x14ac:dyDescent="0.3">
      <c r="A373" s="31" t="s">
        <v>1086</v>
      </c>
      <c r="B373" s="32">
        <v>45810</v>
      </c>
      <c r="C373" s="40" t="s">
        <v>1087</v>
      </c>
      <c r="D373" s="40" t="s">
        <v>67</v>
      </c>
      <c r="E373" s="40" t="s">
        <v>1085</v>
      </c>
      <c r="F373" s="34">
        <v>4</v>
      </c>
      <c r="G373" s="35">
        <v>4848</v>
      </c>
      <c r="H373" s="36">
        <f t="shared" si="25"/>
        <v>19392</v>
      </c>
      <c r="I373" s="90"/>
      <c r="J373" s="37"/>
      <c r="K373" s="38">
        <f t="shared" si="23"/>
        <v>45810</v>
      </c>
      <c r="L373" s="90" t="s">
        <v>143</v>
      </c>
      <c r="M373" s="39"/>
      <c r="N373" s="40"/>
      <c r="O373" s="40"/>
      <c r="P373" s="40"/>
      <c r="Q373" s="40"/>
    </row>
    <row r="374" spans="1:17" s="53" customFormat="1" x14ac:dyDescent="0.3">
      <c r="A374" s="31" t="s">
        <v>1088</v>
      </c>
      <c r="B374" s="32">
        <v>45810</v>
      </c>
      <c r="C374" s="33" t="s">
        <v>1089</v>
      </c>
      <c r="D374" s="40" t="s">
        <v>49</v>
      </c>
      <c r="E374" s="40" t="s">
        <v>58</v>
      </c>
      <c r="F374" s="34">
        <v>1</v>
      </c>
      <c r="G374" s="35">
        <v>20493</v>
      </c>
      <c r="H374" s="36">
        <f t="shared" si="25"/>
        <v>20493</v>
      </c>
      <c r="I374" s="90"/>
      <c r="J374" s="37"/>
      <c r="K374" s="38">
        <f t="shared" si="23"/>
        <v>45810</v>
      </c>
      <c r="L374" s="90" t="s">
        <v>20</v>
      </c>
      <c r="M374" s="39"/>
      <c r="N374" s="40"/>
      <c r="O374" s="40"/>
      <c r="P374" s="40"/>
      <c r="Q374" s="40"/>
    </row>
    <row r="375" spans="1:17" s="53" customFormat="1" x14ac:dyDescent="0.3">
      <c r="A375" s="31" t="s">
        <v>1090</v>
      </c>
      <c r="B375" s="32">
        <v>45810</v>
      </c>
      <c r="C375" s="33" t="s">
        <v>1091</v>
      </c>
      <c r="D375" s="45" t="s">
        <v>798</v>
      </c>
      <c r="E375" s="45" t="s">
        <v>1092</v>
      </c>
      <c r="F375" s="34">
        <v>1</v>
      </c>
      <c r="G375" s="55">
        <v>14695</v>
      </c>
      <c r="H375" s="36">
        <f t="shared" si="25"/>
        <v>14695</v>
      </c>
      <c r="I375" s="90"/>
      <c r="J375" s="37"/>
      <c r="K375" s="38">
        <f t="shared" si="23"/>
        <v>45810</v>
      </c>
      <c r="L375" s="90" t="s">
        <v>17</v>
      </c>
      <c r="M375" s="39"/>
      <c r="N375" s="40"/>
      <c r="O375" s="40"/>
      <c r="P375" s="40"/>
      <c r="Q375" s="40"/>
    </row>
    <row r="376" spans="1:17" s="53" customFormat="1" x14ac:dyDescent="0.3">
      <c r="A376" s="31" t="s">
        <v>1093</v>
      </c>
      <c r="B376" s="32">
        <v>45810</v>
      </c>
      <c r="C376" s="33" t="s">
        <v>1091</v>
      </c>
      <c r="D376" s="45" t="s">
        <v>798</v>
      </c>
      <c r="E376" s="45" t="s">
        <v>1094</v>
      </c>
      <c r="F376" s="34">
        <v>1</v>
      </c>
      <c r="G376" s="55">
        <v>12898</v>
      </c>
      <c r="H376" s="36">
        <f t="shared" ref="H376:H405" si="26">F376*G376</f>
        <v>12898</v>
      </c>
      <c r="I376" s="90"/>
      <c r="J376" s="37"/>
      <c r="K376" s="38">
        <f t="shared" si="23"/>
        <v>45810</v>
      </c>
      <c r="L376" s="90" t="s">
        <v>17</v>
      </c>
      <c r="M376" s="39"/>
      <c r="N376" s="40"/>
      <c r="O376" s="40"/>
      <c r="P376" s="40"/>
      <c r="Q376" s="40"/>
    </row>
    <row r="377" spans="1:17" s="53" customFormat="1" x14ac:dyDescent="0.3">
      <c r="A377" s="31" t="s">
        <v>1095</v>
      </c>
      <c r="B377" s="32">
        <v>45810</v>
      </c>
      <c r="C377" s="33" t="s">
        <v>1091</v>
      </c>
      <c r="D377" s="45" t="s">
        <v>798</v>
      </c>
      <c r="E377" s="45" t="s">
        <v>1096</v>
      </c>
      <c r="F377" s="34">
        <v>1</v>
      </c>
      <c r="G377" s="55">
        <v>11832</v>
      </c>
      <c r="H377" s="36">
        <f t="shared" si="26"/>
        <v>11832</v>
      </c>
      <c r="I377" s="90"/>
      <c r="J377" s="37"/>
      <c r="K377" s="38">
        <f t="shared" si="23"/>
        <v>45810</v>
      </c>
      <c r="L377" s="90" t="s">
        <v>17</v>
      </c>
      <c r="M377" s="39"/>
      <c r="N377" s="40"/>
      <c r="O377" s="40"/>
      <c r="P377" s="40"/>
      <c r="Q377" s="40"/>
    </row>
    <row r="378" spans="1:17" s="53" customFormat="1" x14ac:dyDescent="0.3">
      <c r="A378" s="31" t="s">
        <v>1097</v>
      </c>
      <c r="B378" s="32">
        <v>45810</v>
      </c>
      <c r="C378" s="33" t="s">
        <v>1091</v>
      </c>
      <c r="D378" s="45" t="s">
        <v>798</v>
      </c>
      <c r="E378" s="45" t="s">
        <v>1098</v>
      </c>
      <c r="F378" s="34">
        <v>1</v>
      </c>
      <c r="G378" s="55">
        <v>16128</v>
      </c>
      <c r="H378" s="36">
        <f t="shared" si="26"/>
        <v>16128</v>
      </c>
      <c r="I378" s="90"/>
      <c r="J378" s="37"/>
      <c r="K378" s="38">
        <f t="shared" si="23"/>
        <v>45810</v>
      </c>
      <c r="L378" s="90" t="s">
        <v>17</v>
      </c>
      <c r="M378" s="39"/>
      <c r="N378" s="40"/>
      <c r="O378" s="40"/>
      <c r="P378" s="40"/>
      <c r="Q378" s="40"/>
    </row>
    <row r="379" spans="1:17" s="53" customFormat="1" x14ac:dyDescent="0.3">
      <c r="A379" s="31" t="s">
        <v>1099</v>
      </c>
      <c r="B379" s="32">
        <v>45810</v>
      </c>
      <c r="C379" s="33" t="s">
        <v>1091</v>
      </c>
      <c r="D379" s="45" t="s">
        <v>798</v>
      </c>
      <c r="E379" s="45" t="s">
        <v>1096</v>
      </c>
      <c r="F379" s="34">
        <v>1</v>
      </c>
      <c r="G379" s="55">
        <v>11832</v>
      </c>
      <c r="H379" s="36">
        <f t="shared" si="26"/>
        <v>11832</v>
      </c>
      <c r="I379" s="90"/>
      <c r="J379" s="37"/>
      <c r="K379" s="38">
        <f t="shared" si="23"/>
        <v>45810</v>
      </c>
      <c r="L379" s="90" t="s">
        <v>17</v>
      </c>
      <c r="M379" s="39"/>
      <c r="N379" s="40"/>
      <c r="O379" s="40"/>
      <c r="P379" s="40"/>
      <c r="Q379" s="40"/>
    </row>
    <row r="380" spans="1:17" s="53" customFormat="1" x14ac:dyDescent="0.3">
      <c r="A380" s="31" t="s">
        <v>1100</v>
      </c>
      <c r="B380" s="32">
        <v>45810</v>
      </c>
      <c r="C380" s="33" t="s">
        <v>1091</v>
      </c>
      <c r="D380" s="45" t="s">
        <v>798</v>
      </c>
      <c r="E380" s="45" t="s">
        <v>1096</v>
      </c>
      <c r="F380" s="34">
        <v>1</v>
      </c>
      <c r="G380" s="55">
        <v>11832</v>
      </c>
      <c r="H380" s="36">
        <f t="shared" si="26"/>
        <v>11832</v>
      </c>
      <c r="I380" s="90"/>
      <c r="J380" s="37"/>
      <c r="K380" s="38">
        <f t="shared" si="23"/>
        <v>45810</v>
      </c>
      <c r="L380" s="90" t="s">
        <v>17</v>
      </c>
      <c r="M380" s="39"/>
      <c r="N380" s="40"/>
      <c r="O380" s="40"/>
      <c r="P380" s="40"/>
      <c r="Q380" s="40"/>
    </row>
    <row r="381" spans="1:17" s="53" customFormat="1" x14ac:dyDescent="0.3">
      <c r="A381" s="31" t="s">
        <v>1101</v>
      </c>
      <c r="B381" s="32">
        <v>45810</v>
      </c>
      <c r="C381" s="33" t="s">
        <v>1091</v>
      </c>
      <c r="D381" s="45" t="s">
        <v>798</v>
      </c>
      <c r="E381" s="45" t="s">
        <v>1094</v>
      </c>
      <c r="F381" s="34">
        <v>1</v>
      </c>
      <c r="G381" s="55">
        <v>12898</v>
      </c>
      <c r="H381" s="36">
        <f t="shared" si="26"/>
        <v>12898</v>
      </c>
      <c r="I381" s="90"/>
      <c r="J381" s="37"/>
      <c r="K381" s="38">
        <f t="shared" si="23"/>
        <v>45810</v>
      </c>
      <c r="L381" s="90" t="s">
        <v>17</v>
      </c>
      <c r="M381" s="39"/>
      <c r="N381" s="40"/>
      <c r="O381" s="40"/>
      <c r="P381" s="40"/>
      <c r="Q381" s="40"/>
    </row>
    <row r="382" spans="1:17" s="53" customFormat="1" x14ac:dyDescent="0.3">
      <c r="A382" s="31" t="s">
        <v>1102</v>
      </c>
      <c r="B382" s="32">
        <v>45810</v>
      </c>
      <c r="C382" s="33" t="s">
        <v>1091</v>
      </c>
      <c r="D382" s="45" t="s">
        <v>798</v>
      </c>
      <c r="E382" s="45" t="s">
        <v>1103</v>
      </c>
      <c r="F382" s="34">
        <v>1</v>
      </c>
      <c r="G382" s="55">
        <v>11012</v>
      </c>
      <c r="H382" s="36">
        <f t="shared" si="26"/>
        <v>11012</v>
      </c>
      <c r="I382" s="90"/>
      <c r="J382" s="37"/>
      <c r="K382" s="38">
        <f t="shared" si="23"/>
        <v>45810</v>
      </c>
      <c r="L382" s="90" t="s">
        <v>17</v>
      </c>
      <c r="M382" s="39"/>
      <c r="N382" s="40"/>
      <c r="O382" s="40"/>
      <c r="P382" s="40"/>
      <c r="Q382" s="40"/>
    </row>
    <row r="383" spans="1:17" s="53" customFormat="1" x14ac:dyDescent="0.3">
      <c r="A383" s="31" t="s">
        <v>1104</v>
      </c>
      <c r="B383" s="32">
        <v>45810</v>
      </c>
      <c r="C383" s="33" t="s">
        <v>1091</v>
      </c>
      <c r="D383" s="45" t="s">
        <v>798</v>
      </c>
      <c r="E383" s="45" t="s">
        <v>1105</v>
      </c>
      <c r="F383" s="34">
        <v>1</v>
      </c>
      <c r="G383" s="55">
        <v>10209</v>
      </c>
      <c r="H383" s="36">
        <f t="shared" si="26"/>
        <v>10209</v>
      </c>
      <c r="I383" s="90"/>
      <c r="J383" s="37"/>
      <c r="K383" s="38">
        <f t="shared" si="23"/>
        <v>45810</v>
      </c>
      <c r="L383" s="90" t="s">
        <v>17</v>
      </c>
      <c r="M383" s="39"/>
      <c r="N383" s="40"/>
      <c r="O383" s="40"/>
      <c r="P383" s="40"/>
      <c r="Q383" s="40"/>
    </row>
    <row r="384" spans="1:17" s="53" customFormat="1" x14ac:dyDescent="0.3">
      <c r="A384" s="31" t="s">
        <v>1106</v>
      </c>
      <c r="B384" s="32">
        <v>45811</v>
      </c>
      <c r="C384" s="17">
        <v>1210</v>
      </c>
      <c r="D384" s="40" t="s">
        <v>149</v>
      </c>
      <c r="E384" s="40" t="s">
        <v>133</v>
      </c>
      <c r="F384" s="34">
        <v>1</v>
      </c>
      <c r="G384" s="35">
        <v>11485</v>
      </c>
      <c r="H384" s="36">
        <f t="shared" si="26"/>
        <v>11485</v>
      </c>
      <c r="I384" s="90"/>
      <c r="J384" s="37"/>
      <c r="K384" s="38">
        <f t="shared" si="23"/>
        <v>45811</v>
      </c>
      <c r="L384" s="90" t="s">
        <v>143</v>
      </c>
      <c r="M384" s="39"/>
      <c r="N384" s="40"/>
      <c r="O384" s="40"/>
      <c r="P384" s="40"/>
      <c r="Q384" s="40"/>
    </row>
    <row r="385" spans="1:17" s="53" customFormat="1" x14ac:dyDescent="0.3">
      <c r="A385" s="31" t="s">
        <v>1107</v>
      </c>
      <c r="B385" s="32">
        <v>45812</v>
      </c>
      <c r="C385" s="33" t="s">
        <v>16</v>
      </c>
      <c r="D385" s="40" t="s">
        <v>1108</v>
      </c>
      <c r="E385" s="40" t="s">
        <v>1109</v>
      </c>
      <c r="F385" s="34">
        <v>6</v>
      </c>
      <c r="G385" s="35">
        <v>12058</v>
      </c>
      <c r="H385" s="36">
        <f t="shared" si="26"/>
        <v>72348</v>
      </c>
      <c r="I385" s="90"/>
      <c r="J385" s="37"/>
      <c r="K385" s="38">
        <f t="shared" si="23"/>
        <v>45812</v>
      </c>
      <c r="L385" s="90" t="s">
        <v>17</v>
      </c>
      <c r="M385" s="39"/>
      <c r="N385" s="40"/>
      <c r="O385" s="40"/>
      <c r="P385" s="40"/>
      <c r="Q385" s="40"/>
    </row>
    <row r="386" spans="1:17" s="53" customFormat="1" x14ac:dyDescent="0.3">
      <c r="A386" s="31" t="s">
        <v>1110</v>
      </c>
      <c r="B386" s="32">
        <v>45817</v>
      </c>
      <c r="C386" s="33" t="s">
        <v>1111</v>
      </c>
      <c r="D386" s="40" t="s">
        <v>1112</v>
      </c>
      <c r="E386" s="40" t="s">
        <v>1113</v>
      </c>
      <c r="F386" s="34">
        <v>4</v>
      </c>
      <c r="G386" s="35">
        <v>29632</v>
      </c>
      <c r="H386" s="36">
        <f t="shared" si="26"/>
        <v>118528</v>
      </c>
      <c r="I386" s="90"/>
      <c r="J386" s="37"/>
      <c r="K386" s="38">
        <f t="shared" si="23"/>
        <v>45817</v>
      </c>
      <c r="L386" s="90" t="s">
        <v>17</v>
      </c>
      <c r="M386" s="39"/>
      <c r="N386" s="40"/>
      <c r="O386" s="40"/>
      <c r="P386" s="40"/>
      <c r="Q386" s="40"/>
    </row>
    <row r="387" spans="1:17" s="53" customFormat="1" x14ac:dyDescent="0.3">
      <c r="A387" s="31" t="s">
        <v>1114</v>
      </c>
      <c r="B387" s="32">
        <v>45817</v>
      </c>
      <c r="C387" s="33" t="s">
        <v>1115</v>
      </c>
      <c r="D387" s="40" t="s">
        <v>458</v>
      </c>
      <c r="E387" s="40" t="s">
        <v>115</v>
      </c>
      <c r="F387" s="34">
        <v>1</v>
      </c>
      <c r="G387" s="35">
        <v>3026</v>
      </c>
      <c r="H387" s="36">
        <f t="shared" si="26"/>
        <v>3026</v>
      </c>
      <c r="I387" s="90"/>
      <c r="J387" s="37"/>
      <c r="K387" s="38">
        <f t="shared" si="23"/>
        <v>45817</v>
      </c>
      <c r="L387" s="90" t="s">
        <v>17</v>
      </c>
      <c r="M387" s="39"/>
      <c r="N387" s="40"/>
      <c r="O387" s="40"/>
      <c r="P387" s="40"/>
      <c r="Q387" s="40"/>
    </row>
    <row r="388" spans="1:17" s="53" customFormat="1" x14ac:dyDescent="0.3">
      <c r="A388" s="31" t="s">
        <v>1116</v>
      </c>
      <c r="B388" s="32">
        <v>45817</v>
      </c>
      <c r="C388" s="33"/>
      <c r="D388" s="40" t="s">
        <v>393</v>
      </c>
      <c r="E388" s="40" t="s">
        <v>133</v>
      </c>
      <c r="F388" s="34">
        <v>1</v>
      </c>
      <c r="G388" s="35"/>
      <c r="H388" s="36">
        <f t="shared" si="26"/>
        <v>0</v>
      </c>
      <c r="I388" s="90"/>
      <c r="J388" s="37"/>
      <c r="K388" s="38">
        <f t="shared" si="23"/>
        <v>45817</v>
      </c>
      <c r="L388" s="90"/>
      <c r="M388" s="39"/>
      <c r="N388" s="40"/>
      <c r="O388" s="40"/>
      <c r="P388" s="40"/>
      <c r="Q388" s="40"/>
    </row>
    <row r="389" spans="1:17" s="53" customFormat="1" x14ac:dyDescent="0.3">
      <c r="A389" s="31" t="s">
        <v>1117</v>
      </c>
      <c r="B389" s="32">
        <v>45817</v>
      </c>
      <c r="C389" s="33"/>
      <c r="D389" s="40" t="s">
        <v>393</v>
      </c>
      <c r="E389" s="40" t="s">
        <v>1118</v>
      </c>
      <c r="F389" s="34">
        <v>1</v>
      </c>
      <c r="G389" s="35">
        <v>66032.710000000006</v>
      </c>
      <c r="H389" s="36">
        <f t="shared" si="26"/>
        <v>66032.710000000006</v>
      </c>
      <c r="I389" s="90"/>
      <c r="J389" s="37"/>
      <c r="K389" s="38">
        <f t="shared" si="23"/>
        <v>45817</v>
      </c>
      <c r="L389" s="90" t="s">
        <v>143</v>
      </c>
      <c r="M389" s="39"/>
      <c r="N389" s="40"/>
      <c r="O389" s="40"/>
      <c r="P389" s="40"/>
      <c r="Q389" s="40"/>
    </row>
    <row r="390" spans="1:17" s="53" customFormat="1" x14ac:dyDescent="0.3">
      <c r="A390" s="31" t="s">
        <v>1119</v>
      </c>
      <c r="B390" s="32">
        <v>45817</v>
      </c>
      <c r="C390" s="33"/>
      <c r="D390" s="40" t="s">
        <v>393</v>
      </c>
      <c r="E390" s="40" t="s">
        <v>1120</v>
      </c>
      <c r="F390" s="34">
        <v>1</v>
      </c>
      <c r="G390" s="35">
        <v>60632.9</v>
      </c>
      <c r="H390" s="36">
        <f t="shared" si="26"/>
        <v>60632.9</v>
      </c>
      <c r="I390" s="90"/>
      <c r="J390" s="37"/>
      <c r="K390" s="38">
        <f t="shared" ref="K390:K453" si="27">J390+B390</f>
        <v>45817</v>
      </c>
      <c r="L390" s="90" t="s">
        <v>143</v>
      </c>
      <c r="M390" s="39"/>
      <c r="N390" s="40"/>
      <c r="O390" s="40"/>
      <c r="P390" s="40"/>
      <c r="Q390" s="40"/>
    </row>
    <row r="391" spans="1:17" s="53" customFormat="1" x14ac:dyDescent="0.3">
      <c r="A391" s="31" t="s">
        <v>1121</v>
      </c>
      <c r="B391" s="32">
        <v>45817</v>
      </c>
      <c r="C391" s="33"/>
      <c r="D391" s="40" t="s">
        <v>393</v>
      </c>
      <c r="E391" s="40" t="s">
        <v>1122</v>
      </c>
      <c r="F391" s="34">
        <v>1</v>
      </c>
      <c r="G391" s="35">
        <v>21972.92</v>
      </c>
      <c r="H391" s="36">
        <f t="shared" si="26"/>
        <v>21972.92</v>
      </c>
      <c r="I391" s="90"/>
      <c r="J391" s="37"/>
      <c r="K391" s="38">
        <f t="shared" si="27"/>
        <v>45817</v>
      </c>
      <c r="L391" s="90" t="s">
        <v>143</v>
      </c>
      <c r="M391" s="39"/>
      <c r="N391" s="40"/>
      <c r="O391" s="40"/>
      <c r="P391" s="40"/>
      <c r="Q391" s="40"/>
    </row>
    <row r="392" spans="1:17" s="53" customFormat="1" x14ac:dyDescent="0.3">
      <c r="A392" s="31" t="s">
        <v>1123</v>
      </c>
      <c r="B392" s="32">
        <v>45817</v>
      </c>
      <c r="C392" s="33"/>
      <c r="D392" s="40" t="s">
        <v>393</v>
      </c>
      <c r="E392" s="40" t="s">
        <v>1124</v>
      </c>
      <c r="F392" s="34">
        <v>1</v>
      </c>
      <c r="G392" s="35">
        <v>27885.22</v>
      </c>
      <c r="H392" s="36">
        <f t="shared" si="26"/>
        <v>27885.22</v>
      </c>
      <c r="I392" s="90"/>
      <c r="J392" s="37"/>
      <c r="K392" s="38">
        <f t="shared" si="27"/>
        <v>45817</v>
      </c>
      <c r="L392" s="90" t="s">
        <v>143</v>
      </c>
      <c r="M392" s="39"/>
      <c r="N392" s="40"/>
      <c r="O392" s="40"/>
      <c r="P392" s="40"/>
      <c r="Q392" s="40"/>
    </row>
    <row r="393" spans="1:17" s="53" customFormat="1" x14ac:dyDescent="0.3">
      <c r="A393" s="31" t="s">
        <v>1125</v>
      </c>
      <c r="B393" s="32">
        <v>45817</v>
      </c>
      <c r="C393" s="33"/>
      <c r="D393" s="40" t="s">
        <v>393</v>
      </c>
      <c r="E393" s="40" t="s">
        <v>1126</v>
      </c>
      <c r="F393" s="34">
        <v>1</v>
      </c>
      <c r="G393" s="35">
        <v>27601.91</v>
      </c>
      <c r="H393" s="36">
        <f t="shared" si="26"/>
        <v>27601.91</v>
      </c>
      <c r="I393" s="90"/>
      <c r="J393" s="37"/>
      <c r="K393" s="38">
        <f t="shared" si="27"/>
        <v>45817</v>
      </c>
      <c r="L393" s="90" t="s">
        <v>143</v>
      </c>
      <c r="M393" s="39"/>
      <c r="N393" s="40"/>
      <c r="O393" s="40"/>
      <c r="P393" s="40"/>
      <c r="Q393" s="40"/>
    </row>
    <row r="394" spans="1:17" s="53" customFormat="1" x14ac:dyDescent="0.3">
      <c r="A394" s="31" t="s">
        <v>1127</v>
      </c>
      <c r="B394" s="32">
        <v>45817</v>
      </c>
      <c r="C394" s="33"/>
      <c r="D394" s="40" t="s">
        <v>393</v>
      </c>
      <c r="E394" s="40" t="s">
        <v>1122</v>
      </c>
      <c r="F394" s="34">
        <v>1</v>
      </c>
      <c r="G394" s="35">
        <v>22537.15</v>
      </c>
      <c r="H394" s="36">
        <f t="shared" si="26"/>
        <v>22537.15</v>
      </c>
      <c r="I394" s="90"/>
      <c r="J394" s="37"/>
      <c r="K394" s="38">
        <f t="shared" si="27"/>
        <v>45817</v>
      </c>
      <c r="L394" s="90" t="s">
        <v>143</v>
      </c>
      <c r="M394" s="39"/>
      <c r="N394" s="40"/>
      <c r="O394" s="40"/>
      <c r="P394" s="40"/>
      <c r="Q394" s="40"/>
    </row>
    <row r="395" spans="1:17" s="53" customFormat="1" x14ac:dyDescent="0.3">
      <c r="A395" s="31" t="s">
        <v>1128</v>
      </c>
      <c r="B395" s="32">
        <v>45817</v>
      </c>
      <c r="C395" s="33"/>
      <c r="D395" s="40" t="s">
        <v>393</v>
      </c>
      <c r="E395" s="40" t="s">
        <v>1129</v>
      </c>
      <c r="F395" s="34">
        <v>1</v>
      </c>
      <c r="G395" s="35">
        <v>37489.879999999997</v>
      </c>
      <c r="H395" s="36">
        <f t="shared" si="26"/>
        <v>37489.879999999997</v>
      </c>
      <c r="I395" s="90"/>
      <c r="J395" s="37"/>
      <c r="K395" s="38">
        <f t="shared" si="27"/>
        <v>45817</v>
      </c>
      <c r="L395" s="90" t="s">
        <v>143</v>
      </c>
      <c r="M395" s="39"/>
      <c r="N395" s="40"/>
      <c r="O395" s="40"/>
      <c r="P395" s="40"/>
      <c r="Q395" s="40"/>
    </row>
    <row r="396" spans="1:17" s="53" customFormat="1" x14ac:dyDescent="0.3">
      <c r="A396" s="31" t="s">
        <v>1130</v>
      </c>
      <c r="B396" s="32">
        <v>45817</v>
      </c>
      <c r="C396" s="33"/>
      <c r="D396" s="40" t="s">
        <v>393</v>
      </c>
      <c r="E396" s="40" t="s">
        <v>1131</v>
      </c>
      <c r="F396" s="34">
        <v>1</v>
      </c>
      <c r="G396" s="35">
        <v>25065.97</v>
      </c>
      <c r="H396" s="36">
        <f t="shared" si="26"/>
        <v>25065.97</v>
      </c>
      <c r="I396" s="90"/>
      <c r="J396" s="37"/>
      <c r="K396" s="38">
        <f t="shared" si="27"/>
        <v>45817</v>
      </c>
      <c r="L396" s="90" t="s">
        <v>143</v>
      </c>
      <c r="M396" s="39"/>
      <c r="N396" s="40"/>
      <c r="O396" s="40"/>
      <c r="P396" s="40"/>
      <c r="Q396" s="40"/>
    </row>
    <row r="397" spans="1:17" s="53" customFormat="1" x14ac:dyDescent="0.3">
      <c r="A397" s="31" t="s">
        <v>1132</v>
      </c>
      <c r="B397" s="32">
        <v>45817</v>
      </c>
      <c r="C397" s="33"/>
      <c r="D397" s="40" t="s">
        <v>393</v>
      </c>
      <c r="E397" s="40" t="s">
        <v>1131</v>
      </c>
      <c r="F397" s="34">
        <v>1</v>
      </c>
      <c r="G397" s="35">
        <v>25065.97</v>
      </c>
      <c r="H397" s="36">
        <f t="shared" si="26"/>
        <v>25065.97</v>
      </c>
      <c r="I397" s="90"/>
      <c r="J397" s="37"/>
      <c r="K397" s="38">
        <f t="shared" si="27"/>
        <v>45817</v>
      </c>
      <c r="L397" s="90" t="s">
        <v>143</v>
      </c>
      <c r="M397" s="39"/>
      <c r="N397" s="40"/>
      <c r="O397" s="40"/>
      <c r="P397" s="40"/>
      <c r="Q397" s="40"/>
    </row>
    <row r="398" spans="1:17" s="53" customFormat="1" x14ac:dyDescent="0.3">
      <c r="A398" s="31" t="s">
        <v>1133</v>
      </c>
      <c r="B398" s="32">
        <v>45817</v>
      </c>
      <c r="C398" s="33"/>
      <c r="D398" s="40" t="s">
        <v>393</v>
      </c>
      <c r="E398" s="40" t="s">
        <v>728</v>
      </c>
      <c r="F398" s="34">
        <v>1</v>
      </c>
      <c r="G398" s="35">
        <v>21919.72</v>
      </c>
      <c r="H398" s="36">
        <f t="shared" si="26"/>
        <v>21919.72</v>
      </c>
      <c r="I398" s="90"/>
      <c r="J398" s="37"/>
      <c r="K398" s="38">
        <f t="shared" si="27"/>
        <v>45817</v>
      </c>
      <c r="L398" s="90" t="s">
        <v>143</v>
      </c>
      <c r="M398" s="39"/>
      <c r="N398" s="40"/>
      <c r="O398" s="40"/>
      <c r="P398" s="40"/>
      <c r="Q398" s="40"/>
    </row>
    <row r="399" spans="1:17" s="53" customFormat="1" x14ac:dyDescent="0.3">
      <c r="A399" s="31" t="s">
        <v>1134</v>
      </c>
      <c r="B399" s="32">
        <v>45817</v>
      </c>
      <c r="C399" s="33" t="s">
        <v>1135</v>
      </c>
      <c r="D399" s="40" t="s">
        <v>54</v>
      </c>
      <c r="E399" s="40" t="s">
        <v>1136</v>
      </c>
      <c r="F399" s="34">
        <v>2</v>
      </c>
      <c r="G399" s="35">
        <v>13525</v>
      </c>
      <c r="H399" s="36">
        <f t="shared" si="26"/>
        <v>27050</v>
      </c>
      <c r="I399" s="90"/>
      <c r="J399" s="37"/>
      <c r="K399" s="38">
        <f t="shared" si="27"/>
        <v>45817</v>
      </c>
      <c r="L399" s="90" t="s">
        <v>17</v>
      </c>
      <c r="M399" s="39"/>
      <c r="N399" s="40"/>
      <c r="O399" s="40"/>
      <c r="P399" s="40"/>
      <c r="Q399" s="40"/>
    </row>
    <row r="400" spans="1:17" s="53" customFormat="1" x14ac:dyDescent="0.3">
      <c r="A400" s="31" t="s">
        <v>1137</v>
      </c>
      <c r="B400" s="32">
        <v>45817</v>
      </c>
      <c r="C400" s="33" t="s">
        <v>16</v>
      </c>
      <c r="D400" s="40" t="s">
        <v>548</v>
      </c>
      <c r="E400" s="40" t="s">
        <v>1138</v>
      </c>
      <c r="F400" s="34">
        <v>1</v>
      </c>
      <c r="G400" s="35">
        <v>3100</v>
      </c>
      <c r="H400" s="36">
        <f t="shared" si="26"/>
        <v>3100</v>
      </c>
      <c r="I400" s="90"/>
      <c r="J400" s="37"/>
      <c r="K400" s="38">
        <f t="shared" si="27"/>
        <v>45817</v>
      </c>
      <c r="L400" s="90" t="s">
        <v>17</v>
      </c>
      <c r="M400" s="39"/>
      <c r="N400" s="40"/>
      <c r="O400" s="40"/>
      <c r="P400" s="40"/>
      <c r="Q400" s="40"/>
    </row>
    <row r="401" spans="1:17" s="53" customFormat="1" x14ac:dyDescent="0.3">
      <c r="A401" s="31" t="s">
        <v>1139</v>
      </c>
      <c r="B401" s="32">
        <v>45817</v>
      </c>
      <c r="C401" s="33" t="s">
        <v>1111</v>
      </c>
      <c r="D401" s="40" t="s">
        <v>1112</v>
      </c>
      <c r="E401" s="40" t="s">
        <v>1140</v>
      </c>
      <c r="F401" s="34">
        <v>2</v>
      </c>
      <c r="G401" s="35">
        <v>29632</v>
      </c>
      <c r="H401" s="36">
        <f t="shared" si="26"/>
        <v>59264</v>
      </c>
      <c r="I401" s="90"/>
      <c r="J401" s="37"/>
      <c r="K401" s="38">
        <f t="shared" si="27"/>
        <v>45817</v>
      </c>
      <c r="L401" s="90" t="s">
        <v>17</v>
      </c>
      <c r="M401" s="39"/>
      <c r="N401" s="40"/>
      <c r="O401" s="40"/>
      <c r="P401" s="40"/>
      <c r="Q401" s="40"/>
    </row>
    <row r="402" spans="1:17" s="53" customFormat="1" x14ac:dyDescent="0.3">
      <c r="A402" s="31" t="s">
        <v>1141</v>
      </c>
      <c r="B402" s="32">
        <v>45817</v>
      </c>
      <c r="C402" s="33" t="s">
        <v>1111</v>
      </c>
      <c r="D402" s="40" t="s">
        <v>1112</v>
      </c>
      <c r="E402" s="40" t="s">
        <v>1142</v>
      </c>
      <c r="F402" s="34">
        <v>2</v>
      </c>
      <c r="G402" s="35">
        <v>29632</v>
      </c>
      <c r="H402" s="36">
        <f t="shared" si="26"/>
        <v>59264</v>
      </c>
      <c r="I402" s="90"/>
      <c r="J402" s="37"/>
      <c r="K402" s="38">
        <f t="shared" si="27"/>
        <v>45817</v>
      </c>
      <c r="L402" s="90" t="s">
        <v>17</v>
      </c>
      <c r="M402" s="39"/>
      <c r="N402" s="40"/>
      <c r="O402" s="40"/>
      <c r="P402" s="40"/>
      <c r="Q402" s="40"/>
    </row>
    <row r="403" spans="1:17" s="53" customFormat="1" x14ac:dyDescent="0.3">
      <c r="A403" s="31" t="s">
        <v>1143</v>
      </c>
      <c r="B403" s="32">
        <v>45817</v>
      </c>
      <c r="C403" s="33" t="s">
        <v>1111</v>
      </c>
      <c r="D403" s="40" t="s">
        <v>1004</v>
      </c>
      <c r="E403" s="40" t="s">
        <v>93</v>
      </c>
      <c r="F403" s="34">
        <v>1</v>
      </c>
      <c r="G403" s="35">
        <v>7573</v>
      </c>
      <c r="H403" s="36">
        <f t="shared" si="26"/>
        <v>7573</v>
      </c>
      <c r="I403" s="90"/>
      <c r="J403" s="37"/>
      <c r="K403" s="38">
        <f t="shared" si="27"/>
        <v>45817</v>
      </c>
      <c r="L403" s="90" t="s">
        <v>17</v>
      </c>
      <c r="M403" s="39"/>
      <c r="N403" s="40"/>
      <c r="O403" s="40"/>
      <c r="P403" s="40"/>
      <c r="Q403" s="40"/>
    </row>
    <row r="404" spans="1:17" s="53" customFormat="1" x14ac:dyDescent="0.3">
      <c r="A404" s="31" t="s">
        <v>1144</v>
      </c>
      <c r="B404" s="32">
        <v>45819</v>
      </c>
      <c r="C404" s="33" t="s">
        <v>16</v>
      </c>
      <c r="D404" s="40" t="s">
        <v>1145</v>
      </c>
      <c r="E404" s="40" t="s">
        <v>1146</v>
      </c>
      <c r="F404" s="34">
        <v>1</v>
      </c>
      <c r="G404" s="35">
        <v>300</v>
      </c>
      <c r="H404" s="36">
        <f t="shared" si="26"/>
        <v>300</v>
      </c>
      <c r="I404" s="90"/>
      <c r="J404" s="37"/>
      <c r="K404" s="38">
        <f t="shared" si="27"/>
        <v>45819</v>
      </c>
      <c r="L404" s="90" t="s">
        <v>301</v>
      </c>
      <c r="M404" s="39"/>
      <c r="N404" s="40"/>
      <c r="O404" s="40"/>
      <c r="P404" s="40"/>
      <c r="Q404" s="40"/>
    </row>
    <row r="405" spans="1:17" s="53" customFormat="1" x14ac:dyDescent="0.3">
      <c r="A405" s="31" t="s">
        <v>1147</v>
      </c>
      <c r="B405" s="32">
        <v>45819</v>
      </c>
      <c r="C405" s="33" t="s">
        <v>1148</v>
      </c>
      <c r="D405" s="40" t="s">
        <v>49</v>
      </c>
      <c r="E405" s="40" t="s">
        <v>1149</v>
      </c>
      <c r="F405" s="34">
        <v>1</v>
      </c>
      <c r="G405" s="35">
        <v>1215</v>
      </c>
      <c r="H405" s="36">
        <f t="shared" si="26"/>
        <v>1215</v>
      </c>
      <c r="I405" s="90"/>
      <c r="J405" s="37"/>
      <c r="K405" s="38">
        <f t="shared" si="27"/>
        <v>45819</v>
      </c>
      <c r="L405" s="90" t="s">
        <v>20</v>
      </c>
      <c r="M405" s="39"/>
      <c r="N405" s="40"/>
      <c r="O405" s="40"/>
      <c r="P405" s="40"/>
      <c r="Q405" s="40"/>
    </row>
    <row r="406" spans="1:17" s="53" customFormat="1" x14ac:dyDescent="0.3">
      <c r="A406" s="31" t="s">
        <v>1150</v>
      </c>
      <c r="B406" s="32">
        <v>45820</v>
      </c>
      <c r="C406" s="33" t="s">
        <v>1151</v>
      </c>
      <c r="D406" s="40" t="s">
        <v>1152</v>
      </c>
      <c r="E406" s="40" t="s">
        <v>1153</v>
      </c>
      <c r="F406" s="34">
        <v>2</v>
      </c>
      <c r="G406" s="35">
        <v>1292</v>
      </c>
      <c r="H406" s="36">
        <v>1292</v>
      </c>
      <c r="I406" s="90"/>
      <c r="J406" s="37"/>
      <c r="K406" s="38">
        <f t="shared" si="27"/>
        <v>45820</v>
      </c>
      <c r="L406" s="90" t="s">
        <v>301</v>
      </c>
      <c r="M406" s="39"/>
      <c r="N406" s="40"/>
      <c r="O406" s="40"/>
      <c r="P406" s="40"/>
      <c r="Q406" s="40"/>
    </row>
    <row r="407" spans="1:17" s="53" customFormat="1" x14ac:dyDescent="0.3">
      <c r="A407" s="56" t="s">
        <v>1154</v>
      </c>
      <c r="B407" s="57">
        <v>45821</v>
      </c>
      <c r="C407" s="58" t="s">
        <v>1155</v>
      </c>
      <c r="D407" s="59" t="s">
        <v>150</v>
      </c>
      <c r="E407" s="59" t="s">
        <v>90</v>
      </c>
      <c r="F407" s="60">
        <v>7</v>
      </c>
      <c r="G407" s="61">
        <v>450</v>
      </c>
      <c r="H407" s="62">
        <f>F407*G407</f>
        <v>3150</v>
      </c>
      <c r="I407" s="90"/>
      <c r="J407" s="37"/>
      <c r="K407" s="38">
        <f t="shared" si="27"/>
        <v>45821</v>
      </c>
      <c r="L407" s="90" t="s">
        <v>301</v>
      </c>
      <c r="M407" s="39"/>
      <c r="N407" s="40"/>
      <c r="O407" s="40"/>
      <c r="P407" s="40"/>
      <c r="Q407" s="40"/>
    </row>
    <row r="408" spans="1:17" s="53" customFormat="1" x14ac:dyDescent="0.3">
      <c r="A408" s="40" t="s">
        <v>1156</v>
      </c>
      <c r="B408" s="32">
        <v>45824</v>
      </c>
      <c r="C408" s="63" t="s">
        <v>1157</v>
      </c>
      <c r="D408" s="63" t="s">
        <v>91</v>
      </c>
      <c r="E408" s="63" t="s">
        <v>1158</v>
      </c>
      <c r="F408" s="34">
        <v>10</v>
      </c>
      <c r="G408" s="35">
        <v>19320</v>
      </c>
      <c r="H408" s="36">
        <f>F408*G408</f>
        <v>193200</v>
      </c>
      <c r="I408" s="90"/>
      <c r="J408" s="37"/>
      <c r="K408" s="38">
        <f t="shared" si="27"/>
        <v>45824</v>
      </c>
      <c r="L408" s="90" t="s">
        <v>143</v>
      </c>
      <c r="M408" s="39"/>
      <c r="N408" s="40"/>
      <c r="O408" s="40"/>
      <c r="P408" s="40"/>
      <c r="Q408" s="40"/>
    </row>
    <row r="409" spans="1:17" s="53" customFormat="1" x14ac:dyDescent="0.3">
      <c r="A409" s="64" t="s">
        <v>1159</v>
      </c>
      <c r="B409" s="65">
        <v>45825</v>
      </c>
      <c r="C409" s="66" t="s">
        <v>1160</v>
      </c>
      <c r="D409" s="67" t="s">
        <v>49</v>
      </c>
      <c r="E409" s="67" t="s">
        <v>103</v>
      </c>
      <c r="F409" s="68">
        <v>1</v>
      </c>
      <c r="G409" s="69">
        <v>7794</v>
      </c>
      <c r="H409" s="70">
        <f t="shared" ref="H409:H412" si="28">F409*G409</f>
        <v>7794</v>
      </c>
      <c r="I409" s="90"/>
      <c r="J409" s="37"/>
      <c r="K409" s="38">
        <f t="shared" si="27"/>
        <v>45825</v>
      </c>
      <c r="L409" s="90" t="s">
        <v>20</v>
      </c>
      <c r="M409" s="39"/>
      <c r="N409" s="40"/>
      <c r="O409" s="40"/>
      <c r="P409" s="40"/>
      <c r="Q409" s="40"/>
    </row>
    <row r="410" spans="1:17" s="53" customFormat="1" x14ac:dyDescent="0.3">
      <c r="A410" s="31" t="s">
        <v>1161</v>
      </c>
      <c r="B410" s="65">
        <v>45825</v>
      </c>
      <c r="C410" s="33" t="s">
        <v>16</v>
      </c>
      <c r="D410" s="40" t="s">
        <v>403</v>
      </c>
      <c r="E410" s="40" t="s">
        <v>1162</v>
      </c>
      <c r="F410" s="34">
        <v>1</v>
      </c>
      <c r="G410" s="35">
        <v>6562</v>
      </c>
      <c r="H410" s="36">
        <f t="shared" si="28"/>
        <v>6562</v>
      </c>
      <c r="I410" s="90"/>
      <c r="J410" s="37"/>
      <c r="K410" s="38">
        <f t="shared" si="27"/>
        <v>45825</v>
      </c>
      <c r="L410" s="90" t="s">
        <v>143</v>
      </c>
      <c r="M410" s="39"/>
      <c r="N410" s="40"/>
      <c r="O410" s="40"/>
      <c r="P410" s="40"/>
      <c r="Q410" s="40"/>
    </row>
    <row r="411" spans="1:17" s="53" customFormat="1" x14ac:dyDescent="0.3">
      <c r="A411" s="31" t="s">
        <v>1163</v>
      </c>
      <c r="B411" s="32">
        <v>45826</v>
      </c>
      <c r="C411" s="71" t="s">
        <v>1164</v>
      </c>
      <c r="D411" s="40" t="s">
        <v>455</v>
      </c>
      <c r="E411" s="40" t="s">
        <v>1165</v>
      </c>
      <c r="F411" s="34">
        <v>1</v>
      </c>
      <c r="G411" s="35">
        <v>39143</v>
      </c>
      <c r="H411" s="36">
        <f t="shared" si="28"/>
        <v>39143</v>
      </c>
      <c r="I411" s="90"/>
      <c r="J411" s="37"/>
      <c r="K411" s="38">
        <f t="shared" si="27"/>
        <v>45826</v>
      </c>
      <c r="L411" s="90" t="s">
        <v>301</v>
      </c>
      <c r="M411" s="39"/>
      <c r="N411" s="40"/>
      <c r="O411" s="40"/>
      <c r="P411" s="40"/>
      <c r="Q411" s="40"/>
    </row>
    <row r="412" spans="1:17" s="53" customFormat="1" x14ac:dyDescent="0.3">
      <c r="A412" s="31" t="s">
        <v>1166</v>
      </c>
      <c r="B412" s="32">
        <v>45826</v>
      </c>
      <c r="C412" s="33" t="s">
        <v>16</v>
      </c>
      <c r="D412" s="40" t="s">
        <v>1167</v>
      </c>
      <c r="E412" s="40" t="s">
        <v>133</v>
      </c>
      <c r="F412" s="34">
        <v>1</v>
      </c>
      <c r="G412" s="35">
        <v>67363</v>
      </c>
      <c r="H412" s="36">
        <f t="shared" si="28"/>
        <v>67363</v>
      </c>
      <c r="I412" s="90"/>
      <c r="J412" s="37"/>
      <c r="K412" s="38">
        <f t="shared" si="27"/>
        <v>45826</v>
      </c>
      <c r="L412" s="90" t="s">
        <v>301</v>
      </c>
      <c r="M412" s="39"/>
      <c r="N412" s="40"/>
      <c r="O412" s="40"/>
      <c r="P412" s="40"/>
      <c r="Q412" s="40"/>
    </row>
    <row r="413" spans="1:17" s="53" customFormat="1" x14ac:dyDescent="0.3">
      <c r="A413" s="31" t="s">
        <v>1168</v>
      </c>
      <c r="B413" s="32">
        <v>45826</v>
      </c>
      <c r="C413" s="33" t="s">
        <v>1169</v>
      </c>
      <c r="D413" s="40" t="s">
        <v>31</v>
      </c>
      <c r="E413" s="40" t="s">
        <v>1170</v>
      </c>
      <c r="F413" s="34">
        <v>2</v>
      </c>
      <c r="G413" s="35">
        <v>32986</v>
      </c>
      <c r="H413" s="36">
        <v>32986</v>
      </c>
      <c r="I413" s="90"/>
      <c r="J413" s="37"/>
      <c r="K413" s="38">
        <f t="shared" si="27"/>
        <v>45826</v>
      </c>
      <c r="L413" s="90" t="s">
        <v>301</v>
      </c>
      <c r="M413" s="39"/>
      <c r="N413" s="40"/>
      <c r="O413" s="40"/>
      <c r="P413" s="40"/>
      <c r="Q413" s="40"/>
    </row>
    <row r="414" spans="1:17" s="53" customFormat="1" x14ac:dyDescent="0.3">
      <c r="A414" s="31" t="s">
        <v>1171</v>
      </c>
      <c r="B414" s="32">
        <v>45827</v>
      </c>
      <c r="C414" s="33" t="s">
        <v>1172</v>
      </c>
      <c r="D414" s="40" t="s">
        <v>1173</v>
      </c>
      <c r="E414" s="40" t="s">
        <v>1174</v>
      </c>
      <c r="F414" s="34">
        <v>1</v>
      </c>
      <c r="G414" s="35">
        <v>16812</v>
      </c>
      <c r="H414" s="36">
        <f t="shared" ref="H414:H423" si="29">F414*G414</f>
        <v>16812</v>
      </c>
      <c r="I414" s="90"/>
      <c r="J414" s="37"/>
      <c r="K414" s="38">
        <f t="shared" si="27"/>
        <v>45827</v>
      </c>
      <c r="L414" s="90" t="s">
        <v>17</v>
      </c>
      <c r="M414" s="39"/>
      <c r="N414" s="40"/>
      <c r="O414" s="40"/>
      <c r="P414" s="40"/>
      <c r="Q414" s="40"/>
    </row>
    <row r="415" spans="1:17" s="53" customFormat="1" x14ac:dyDescent="0.3">
      <c r="A415" s="31" t="s">
        <v>1175</v>
      </c>
      <c r="B415" s="32">
        <v>45828</v>
      </c>
      <c r="C415" s="33"/>
      <c r="D415" s="40" t="s">
        <v>1176</v>
      </c>
      <c r="E415" s="40" t="s">
        <v>1177</v>
      </c>
      <c r="F415" s="34">
        <v>5</v>
      </c>
      <c r="G415" s="35">
        <v>37864</v>
      </c>
      <c r="H415" s="36">
        <f t="shared" si="29"/>
        <v>189320</v>
      </c>
      <c r="I415" s="90"/>
      <c r="J415" s="37"/>
      <c r="K415" s="38">
        <f t="shared" si="27"/>
        <v>45828</v>
      </c>
      <c r="L415" s="90" t="s">
        <v>143</v>
      </c>
      <c r="M415" s="39"/>
      <c r="N415" s="40"/>
      <c r="O415" s="40"/>
      <c r="P415" s="40"/>
      <c r="Q415" s="40"/>
    </row>
    <row r="416" spans="1:17" s="53" customFormat="1" x14ac:dyDescent="0.3">
      <c r="A416" s="31" t="s">
        <v>1178</v>
      </c>
      <c r="B416" s="32">
        <v>45828</v>
      </c>
      <c r="C416" s="33" t="s">
        <v>1179</v>
      </c>
      <c r="D416" s="40" t="s">
        <v>150</v>
      </c>
      <c r="E416" s="40" t="s">
        <v>1180</v>
      </c>
      <c r="F416" s="34">
        <v>1</v>
      </c>
      <c r="G416" s="35">
        <v>1453</v>
      </c>
      <c r="H416" s="36">
        <f t="shared" si="29"/>
        <v>1453</v>
      </c>
      <c r="I416" s="90"/>
      <c r="J416" s="37"/>
      <c r="K416" s="38">
        <f t="shared" si="27"/>
        <v>45828</v>
      </c>
      <c r="L416" s="90" t="s">
        <v>301</v>
      </c>
      <c r="M416" s="39"/>
      <c r="N416" s="40"/>
      <c r="O416" s="40"/>
      <c r="P416" s="40"/>
      <c r="Q416" s="40"/>
    </row>
    <row r="417" spans="1:17" s="53" customFormat="1" x14ac:dyDescent="0.3">
      <c r="A417" s="31" t="s">
        <v>1181</v>
      </c>
      <c r="B417" s="32">
        <v>45828</v>
      </c>
      <c r="C417" s="33" t="s">
        <v>1182</v>
      </c>
      <c r="D417" s="40" t="s">
        <v>31</v>
      </c>
      <c r="E417" s="40" t="s">
        <v>1183</v>
      </c>
      <c r="F417" s="34">
        <v>1</v>
      </c>
      <c r="G417" s="35">
        <v>5075.74</v>
      </c>
      <c r="H417" s="36">
        <f t="shared" si="29"/>
        <v>5075.74</v>
      </c>
      <c r="I417" s="90"/>
      <c r="J417" s="37"/>
      <c r="K417" s="38">
        <f t="shared" si="27"/>
        <v>45828</v>
      </c>
      <c r="L417" s="90" t="s">
        <v>301</v>
      </c>
      <c r="M417" s="39"/>
      <c r="N417" s="40"/>
      <c r="O417" s="40"/>
      <c r="P417" s="40"/>
      <c r="Q417" s="40"/>
    </row>
    <row r="418" spans="1:17" s="53" customFormat="1" x14ac:dyDescent="0.3">
      <c r="A418" s="31" t="s">
        <v>1184</v>
      </c>
      <c r="B418" s="32">
        <v>45828</v>
      </c>
      <c r="C418" s="33" t="s">
        <v>1185</v>
      </c>
      <c r="D418" s="40" t="s">
        <v>120</v>
      </c>
      <c r="E418" s="40" t="s">
        <v>1186</v>
      </c>
      <c r="F418" s="34">
        <v>1</v>
      </c>
      <c r="G418" s="35">
        <v>4260</v>
      </c>
      <c r="H418" s="36">
        <f t="shared" si="29"/>
        <v>4260</v>
      </c>
      <c r="I418" s="90"/>
      <c r="J418" s="37"/>
      <c r="K418" s="38">
        <f t="shared" si="27"/>
        <v>45828</v>
      </c>
      <c r="L418" s="90" t="s">
        <v>301</v>
      </c>
      <c r="M418" s="39"/>
      <c r="N418" s="40"/>
      <c r="O418" s="40"/>
      <c r="P418" s="40"/>
      <c r="Q418" s="40"/>
    </row>
    <row r="419" spans="1:17" s="53" customFormat="1" x14ac:dyDescent="0.3">
      <c r="A419" s="31" t="s">
        <v>1187</v>
      </c>
      <c r="B419" s="32">
        <v>45828</v>
      </c>
      <c r="C419" s="33" t="s">
        <v>16</v>
      </c>
      <c r="D419" s="40" t="s">
        <v>1004</v>
      </c>
      <c r="E419" s="40" t="s">
        <v>1188</v>
      </c>
      <c r="F419" s="34">
        <v>1</v>
      </c>
      <c r="G419" s="35">
        <v>6865.66</v>
      </c>
      <c r="H419" s="36">
        <f t="shared" si="29"/>
        <v>6865.66</v>
      </c>
      <c r="I419" s="90"/>
      <c r="J419" s="37"/>
      <c r="K419" s="38">
        <f t="shared" si="27"/>
        <v>45828</v>
      </c>
      <c r="L419" s="90" t="s">
        <v>17</v>
      </c>
      <c r="M419" s="39"/>
      <c r="N419" s="40"/>
      <c r="O419" s="40"/>
      <c r="P419" s="40"/>
      <c r="Q419" s="40"/>
    </row>
    <row r="420" spans="1:17" s="53" customFormat="1" x14ac:dyDescent="0.3">
      <c r="A420" s="31" t="s">
        <v>1189</v>
      </c>
      <c r="B420" s="32">
        <v>45831</v>
      </c>
      <c r="C420" s="33" t="s">
        <v>1190</v>
      </c>
      <c r="D420" s="40" t="s">
        <v>31</v>
      </c>
      <c r="E420" s="40" t="s">
        <v>1191</v>
      </c>
      <c r="F420" s="34">
        <v>1</v>
      </c>
      <c r="G420" s="35">
        <v>4820</v>
      </c>
      <c r="H420" s="36">
        <f t="shared" si="29"/>
        <v>4820</v>
      </c>
      <c r="I420" s="90"/>
      <c r="J420" s="37"/>
      <c r="K420" s="38">
        <f t="shared" si="27"/>
        <v>45831</v>
      </c>
      <c r="L420" s="90" t="s">
        <v>301</v>
      </c>
      <c r="M420" s="39"/>
      <c r="N420" s="40"/>
      <c r="O420" s="40"/>
      <c r="P420" s="40"/>
      <c r="Q420" s="40"/>
    </row>
    <row r="421" spans="1:17" s="53" customFormat="1" x14ac:dyDescent="0.3">
      <c r="A421" s="31" t="s">
        <v>1192</v>
      </c>
      <c r="B421" s="32">
        <v>45831</v>
      </c>
      <c r="C421" s="33" t="s">
        <v>1193</v>
      </c>
      <c r="D421" s="40" t="s">
        <v>150</v>
      </c>
      <c r="E421" s="40" t="s">
        <v>90</v>
      </c>
      <c r="F421" s="34">
        <v>6</v>
      </c>
      <c r="G421" s="35">
        <v>429</v>
      </c>
      <c r="H421" s="36">
        <f t="shared" si="29"/>
        <v>2574</v>
      </c>
      <c r="I421" s="90"/>
      <c r="J421" s="37"/>
      <c r="K421" s="38">
        <f t="shared" si="27"/>
        <v>45831</v>
      </c>
      <c r="L421" s="90" t="s">
        <v>301</v>
      </c>
      <c r="M421" s="39"/>
      <c r="N421" s="40"/>
      <c r="O421" s="40"/>
      <c r="P421" s="40"/>
      <c r="Q421" s="40"/>
    </row>
    <row r="422" spans="1:17" s="53" customFormat="1" x14ac:dyDescent="0.3">
      <c r="A422" s="31" t="s">
        <v>1194</v>
      </c>
      <c r="B422" s="32">
        <v>45831</v>
      </c>
      <c r="C422" s="33" t="s">
        <v>1195</v>
      </c>
      <c r="D422" s="40" t="s">
        <v>1196</v>
      </c>
      <c r="E422" s="40" t="s">
        <v>940</v>
      </c>
      <c r="F422" s="34">
        <v>1</v>
      </c>
      <c r="G422" s="35">
        <v>6150</v>
      </c>
      <c r="H422" s="36">
        <f t="shared" si="29"/>
        <v>6150</v>
      </c>
      <c r="I422" s="90"/>
      <c r="J422" s="37"/>
      <c r="K422" s="38">
        <f t="shared" si="27"/>
        <v>45831</v>
      </c>
      <c r="L422" s="90" t="s">
        <v>301</v>
      </c>
      <c r="M422" s="39"/>
      <c r="N422" s="40"/>
      <c r="O422" s="40"/>
      <c r="P422" s="40"/>
      <c r="Q422" s="40"/>
    </row>
    <row r="423" spans="1:17" s="53" customFormat="1" x14ac:dyDescent="0.3">
      <c r="A423" s="31" t="s">
        <v>1197</v>
      </c>
      <c r="B423" s="32">
        <v>45831</v>
      </c>
      <c r="C423" s="33">
        <v>205176</v>
      </c>
      <c r="D423" s="40" t="s">
        <v>34</v>
      </c>
      <c r="E423" s="40" t="s">
        <v>1198</v>
      </c>
      <c r="F423" s="34">
        <v>1</v>
      </c>
      <c r="G423" s="35">
        <v>97489</v>
      </c>
      <c r="H423" s="36">
        <f t="shared" si="29"/>
        <v>97489</v>
      </c>
      <c r="I423" s="90"/>
      <c r="J423" s="37"/>
      <c r="K423" s="38">
        <f t="shared" si="27"/>
        <v>45831</v>
      </c>
      <c r="L423" s="90" t="s">
        <v>143</v>
      </c>
      <c r="M423" s="39"/>
      <c r="N423" s="40"/>
      <c r="O423" s="40"/>
      <c r="P423" s="40"/>
      <c r="Q423" s="40"/>
    </row>
    <row r="424" spans="1:17" s="53" customFormat="1" x14ac:dyDescent="0.3">
      <c r="A424" s="31" t="s">
        <v>1199</v>
      </c>
      <c r="B424" s="32">
        <v>45831</v>
      </c>
      <c r="C424" s="33" t="s">
        <v>1200</v>
      </c>
      <c r="D424" s="40" t="s">
        <v>326</v>
      </c>
      <c r="E424" s="40" t="s">
        <v>1201</v>
      </c>
      <c r="F424" s="34">
        <v>1</v>
      </c>
      <c r="G424" s="35">
        <v>17130.59</v>
      </c>
      <c r="H424" s="36">
        <v>17130.59</v>
      </c>
      <c r="I424" s="90"/>
      <c r="J424" s="37"/>
      <c r="K424" s="38">
        <f t="shared" si="27"/>
        <v>45831</v>
      </c>
      <c r="L424" s="90" t="s">
        <v>301</v>
      </c>
      <c r="M424" s="39"/>
      <c r="N424" s="40"/>
      <c r="O424" s="40"/>
      <c r="P424" s="40"/>
      <c r="Q424" s="40"/>
    </row>
    <row r="425" spans="1:17" s="53" customFormat="1" x14ac:dyDescent="0.3">
      <c r="A425" s="31" t="s">
        <v>1202</v>
      </c>
      <c r="B425" s="32">
        <v>45832</v>
      </c>
      <c r="C425" s="33">
        <v>22086</v>
      </c>
      <c r="D425" s="40" t="s">
        <v>108</v>
      </c>
      <c r="E425" s="40" t="s">
        <v>1203</v>
      </c>
      <c r="F425" s="34">
        <v>4</v>
      </c>
      <c r="G425" s="35">
        <v>11961.29</v>
      </c>
      <c r="H425" s="36">
        <f t="shared" ref="H425:H434" si="30">F425*G425</f>
        <v>47845.16</v>
      </c>
      <c r="I425" s="90"/>
      <c r="J425" s="37"/>
      <c r="K425" s="38">
        <f t="shared" si="27"/>
        <v>45832</v>
      </c>
      <c r="L425" s="90" t="s">
        <v>143</v>
      </c>
      <c r="M425" s="39"/>
      <c r="N425" s="40"/>
      <c r="O425" s="40"/>
      <c r="P425" s="40"/>
      <c r="Q425" s="40"/>
    </row>
    <row r="426" spans="1:17" s="53" customFormat="1" x14ac:dyDescent="0.3">
      <c r="A426" s="31" t="s">
        <v>1204</v>
      </c>
      <c r="B426" s="32">
        <v>45833</v>
      </c>
      <c r="C426" s="33" t="s">
        <v>1205</v>
      </c>
      <c r="D426" s="40" t="s">
        <v>1206</v>
      </c>
      <c r="E426" s="40" t="s">
        <v>1207</v>
      </c>
      <c r="F426" s="34">
        <v>1</v>
      </c>
      <c r="G426" s="35">
        <v>5453</v>
      </c>
      <c r="H426" s="36">
        <f t="shared" si="30"/>
        <v>5453</v>
      </c>
      <c r="I426" s="90"/>
      <c r="J426" s="37"/>
      <c r="K426" s="38">
        <f t="shared" si="27"/>
        <v>45833</v>
      </c>
      <c r="L426" s="90" t="s">
        <v>143</v>
      </c>
      <c r="M426" s="39"/>
      <c r="N426" s="40"/>
      <c r="O426" s="40"/>
      <c r="P426" s="40"/>
      <c r="Q426" s="40"/>
    </row>
    <row r="427" spans="1:17" s="53" customFormat="1" x14ac:dyDescent="0.3">
      <c r="A427" s="31" t="s">
        <v>1208</v>
      </c>
      <c r="B427" s="32">
        <v>45833</v>
      </c>
      <c r="C427" s="33" t="s">
        <v>16</v>
      </c>
      <c r="D427" s="40" t="s">
        <v>16</v>
      </c>
      <c r="E427" s="40" t="s">
        <v>1209</v>
      </c>
      <c r="F427" s="34">
        <v>6</v>
      </c>
      <c r="G427" s="35">
        <v>1691.3330000000001</v>
      </c>
      <c r="H427" s="36">
        <f t="shared" si="30"/>
        <v>10147.998</v>
      </c>
      <c r="I427" s="90"/>
      <c r="J427" s="37"/>
      <c r="K427" s="38">
        <f t="shared" si="27"/>
        <v>45833</v>
      </c>
      <c r="L427" s="90" t="s">
        <v>17</v>
      </c>
      <c r="M427" s="39"/>
      <c r="N427" s="40"/>
      <c r="O427" s="40"/>
      <c r="P427" s="40"/>
      <c r="Q427" s="40"/>
    </row>
    <row r="428" spans="1:17" s="53" customFormat="1" x14ac:dyDescent="0.3">
      <c r="A428" s="31" t="s">
        <v>1210</v>
      </c>
      <c r="B428" s="32">
        <v>45833</v>
      </c>
      <c r="C428" s="33" t="s">
        <v>1211</v>
      </c>
      <c r="D428" s="40" t="s">
        <v>1212</v>
      </c>
      <c r="E428" s="40" t="s">
        <v>1213</v>
      </c>
      <c r="F428" s="34">
        <v>1</v>
      </c>
      <c r="G428" s="35">
        <v>1506</v>
      </c>
      <c r="H428" s="36">
        <f t="shared" si="30"/>
        <v>1506</v>
      </c>
      <c r="I428" s="90"/>
      <c r="J428" s="37"/>
      <c r="K428" s="38">
        <f t="shared" si="27"/>
        <v>45833</v>
      </c>
      <c r="L428" s="90" t="s">
        <v>17</v>
      </c>
      <c r="M428" s="39"/>
      <c r="N428" s="40"/>
      <c r="O428" s="40"/>
      <c r="P428" s="40"/>
      <c r="Q428" s="40"/>
    </row>
    <row r="429" spans="1:17" s="53" customFormat="1" x14ac:dyDescent="0.3">
      <c r="A429" s="31" t="s">
        <v>1214</v>
      </c>
      <c r="B429" s="32">
        <v>45833</v>
      </c>
      <c r="C429" s="33" t="s">
        <v>16</v>
      </c>
      <c r="D429" s="40" t="s">
        <v>1215</v>
      </c>
      <c r="E429" s="40" t="s">
        <v>1216</v>
      </c>
      <c r="F429" s="34">
        <v>1</v>
      </c>
      <c r="G429" s="35">
        <v>1299</v>
      </c>
      <c r="H429" s="36">
        <f t="shared" si="30"/>
        <v>1299</v>
      </c>
      <c r="I429" s="90"/>
      <c r="J429" s="37"/>
      <c r="K429" s="38">
        <f t="shared" si="27"/>
        <v>45833</v>
      </c>
      <c r="L429" s="90" t="s">
        <v>143</v>
      </c>
      <c r="M429" s="39"/>
      <c r="N429" s="40"/>
      <c r="O429" s="40"/>
      <c r="P429" s="40"/>
      <c r="Q429" s="40"/>
    </row>
    <row r="430" spans="1:17" s="53" customFormat="1" x14ac:dyDescent="0.3">
      <c r="A430" s="31" t="s">
        <v>1217</v>
      </c>
      <c r="B430" s="32">
        <v>45833</v>
      </c>
      <c r="C430" s="33" t="s">
        <v>1218</v>
      </c>
      <c r="D430" s="40" t="s">
        <v>1219</v>
      </c>
      <c r="E430" s="40" t="s">
        <v>1220</v>
      </c>
      <c r="F430" s="34">
        <v>1</v>
      </c>
      <c r="G430" s="35">
        <v>9564</v>
      </c>
      <c r="H430" s="36">
        <f t="shared" si="30"/>
        <v>9564</v>
      </c>
      <c r="I430" s="90"/>
      <c r="J430" s="37"/>
      <c r="K430" s="38">
        <f t="shared" si="27"/>
        <v>45833</v>
      </c>
      <c r="L430" s="90" t="s">
        <v>17</v>
      </c>
      <c r="M430" s="39"/>
      <c r="N430" s="40"/>
      <c r="O430" s="40"/>
      <c r="P430" s="40"/>
      <c r="Q430" s="40"/>
    </row>
    <row r="431" spans="1:17" s="53" customFormat="1" x14ac:dyDescent="0.3">
      <c r="A431" s="31" t="s">
        <v>1221</v>
      </c>
      <c r="B431" s="32">
        <v>45833</v>
      </c>
      <c r="C431" s="33" t="s">
        <v>84</v>
      </c>
      <c r="D431" s="40" t="s">
        <v>1222</v>
      </c>
      <c r="E431" s="40" t="s">
        <v>107</v>
      </c>
      <c r="F431" s="34">
        <v>1</v>
      </c>
      <c r="G431" s="35">
        <v>3620</v>
      </c>
      <c r="H431" s="36">
        <f t="shared" si="30"/>
        <v>3620</v>
      </c>
      <c r="I431" s="90"/>
      <c r="J431" s="37"/>
      <c r="K431" s="38">
        <f t="shared" si="27"/>
        <v>45833</v>
      </c>
      <c r="L431" s="90" t="s">
        <v>17</v>
      </c>
      <c r="M431" s="39"/>
      <c r="N431" s="40"/>
      <c r="O431" s="40"/>
      <c r="P431" s="40"/>
      <c r="Q431" s="40"/>
    </row>
    <row r="432" spans="1:17" s="53" customFormat="1" x14ac:dyDescent="0.3">
      <c r="A432" s="31" t="s">
        <v>1223</v>
      </c>
      <c r="B432" s="32">
        <v>45834</v>
      </c>
      <c r="C432" s="33" t="s">
        <v>145</v>
      </c>
      <c r="D432" s="40" t="s">
        <v>1224</v>
      </c>
      <c r="E432" s="40" t="s">
        <v>1225</v>
      </c>
      <c r="F432" s="34">
        <v>1</v>
      </c>
      <c r="G432" s="35">
        <v>14405</v>
      </c>
      <c r="H432" s="36">
        <f t="shared" si="30"/>
        <v>14405</v>
      </c>
      <c r="I432" s="90"/>
      <c r="J432" s="37"/>
      <c r="K432" s="38">
        <f t="shared" si="27"/>
        <v>45834</v>
      </c>
      <c r="L432" s="90" t="s">
        <v>301</v>
      </c>
      <c r="M432" s="39"/>
      <c r="N432" s="40"/>
      <c r="O432" s="40"/>
      <c r="P432" s="40"/>
      <c r="Q432" s="40"/>
    </row>
    <row r="433" spans="1:17" s="53" customFormat="1" x14ac:dyDescent="0.3">
      <c r="A433" s="31" t="s">
        <v>1226</v>
      </c>
      <c r="B433" s="32">
        <v>45834</v>
      </c>
      <c r="C433" s="33" t="s">
        <v>1227</v>
      </c>
      <c r="D433" s="40" t="s">
        <v>49</v>
      </c>
      <c r="E433" s="40" t="s">
        <v>80</v>
      </c>
      <c r="F433" s="34">
        <v>1</v>
      </c>
      <c r="G433" s="35">
        <v>5073</v>
      </c>
      <c r="H433" s="36">
        <f t="shared" si="30"/>
        <v>5073</v>
      </c>
      <c r="I433" s="90"/>
      <c r="J433" s="37"/>
      <c r="K433" s="38">
        <f t="shared" si="27"/>
        <v>45834</v>
      </c>
      <c r="L433" s="90" t="s">
        <v>20</v>
      </c>
      <c r="M433" s="39"/>
      <c r="N433" s="40"/>
      <c r="O433" s="40"/>
      <c r="P433" s="40"/>
      <c r="Q433" s="40"/>
    </row>
    <row r="434" spans="1:17" s="53" customFormat="1" x14ac:dyDescent="0.3">
      <c r="A434" s="31" t="s">
        <v>1228</v>
      </c>
      <c r="B434" s="32">
        <v>45834</v>
      </c>
      <c r="C434" s="33" t="s">
        <v>1229</v>
      </c>
      <c r="D434" s="40" t="s">
        <v>1230</v>
      </c>
      <c r="E434" s="40" t="s">
        <v>121</v>
      </c>
      <c r="F434" s="34">
        <v>5</v>
      </c>
      <c r="G434" s="35">
        <v>28376.52</v>
      </c>
      <c r="H434" s="36">
        <f t="shared" si="30"/>
        <v>141882.6</v>
      </c>
      <c r="I434" s="90"/>
      <c r="J434" s="37"/>
      <c r="K434" s="38">
        <f t="shared" si="27"/>
        <v>45834</v>
      </c>
      <c r="L434" s="90" t="s">
        <v>17</v>
      </c>
      <c r="M434" s="39"/>
      <c r="N434" s="40"/>
      <c r="O434" s="40"/>
      <c r="P434" s="40"/>
      <c r="Q434" s="40"/>
    </row>
    <row r="435" spans="1:17" s="53" customFormat="1" x14ac:dyDescent="0.3">
      <c r="A435" s="31" t="s">
        <v>1231</v>
      </c>
      <c r="B435" s="32">
        <v>45834</v>
      </c>
      <c r="C435" s="33" t="s">
        <v>1232</v>
      </c>
      <c r="D435" s="40" t="s">
        <v>31</v>
      </c>
      <c r="E435" s="40" t="s">
        <v>1233</v>
      </c>
      <c r="F435" s="34">
        <v>3</v>
      </c>
      <c r="G435" s="35">
        <v>9004</v>
      </c>
      <c r="H435" s="36">
        <v>9004</v>
      </c>
      <c r="I435" s="90"/>
      <c r="J435" s="37"/>
      <c r="K435" s="38">
        <f t="shared" si="27"/>
        <v>45834</v>
      </c>
      <c r="L435" s="90" t="s">
        <v>301</v>
      </c>
      <c r="M435" s="39"/>
      <c r="N435" s="40"/>
      <c r="O435" s="40"/>
      <c r="P435" s="40"/>
      <c r="Q435" s="40"/>
    </row>
    <row r="436" spans="1:17" s="53" customFormat="1" x14ac:dyDescent="0.3">
      <c r="A436" s="31" t="s">
        <v>1234</v>
      </c>
      <c r="B436" s="32">
        <v>45835</v>
      </c>
      <c r="C436" s="33" t="s">
        <v>16</v>
      </c>
      <c r="D436" s="40" t="s">
        <v>144</v>
      </c>
      <c r="E436" s="40" t="s">
        <v>53</v>
      </c>
      <c r="F436" s="34">
        <v>1</v>
      </c>
      <c r="G436" s="35">
        <v>6158</v>
      </c>
      <c r="H436" s="36">
        <f>F436*G436</f>
        <v>6158</v>
      </c>
      <c r="I436" s="90"/>
      <c r="J436" s="37"/>
      <c r="K436" s="38">
        <f t="shared" si="27"/>
        <v>45835</v>
      </c>
      <c r="L436" s="90" t="s">
        <v>17</v>
      </c>
      <c r="M436" s="39"/>
      <c r="N436" s="40"/>
      <c r="O436" s="40"/>
      <c r="P436" s="40"/>
      <c r="Q436" s="40"/>
    </row>
    <row r="437" spans="1:17" s="53" customFormat="1" x14ac:dyDescent="0.3">
      <c r="A437" s="31" t="s">
        <v>1235</v>
      </c>
      <c r="B437" s="32">
        <v>45835</v>
      </c>
      <c r="C437" s="33" t="s">
        <v>1236</v>
      </c>
      <c r="D437" s="40" t="s">
        <v>28</v>
      </c>
      <c r="E437" s="40" t="s">
        <v>1237</v>
      </c>
      <c r="F437" s="34">
        <v>1</v>
      </c>
      <c r="G437" s="35">
        <v>3575</v>
      </c>
      <c r="H437" s="36">
        <f>F437*G437</f>
        <v>3575</v>
      </c>
      <c r="I437" s="90"/>
      <c r="J437" s="37"/>
      <c r="K437" s="38">
        <f t="shared" si="27"/>
        <v>45835</v>
      </c>
      <c r="L437" s="90" t="s">
        <v>301</v>
      </c>
      <c r="M437" s="39"/>
      <c r="N437" s="40"/>
      <c r="O437" s="40"/>
      <c r="P437" s="40"/>
      <c r="Q437" s="40"/>
    </row>
    <row r="438" spans="1:17" s="53" customFormat="1" x14ac:dyDescent="0.3">
      <c r="A438" s="31" t="s">
        <v>1238</v>
      </c>
      <c r="B438" s="32">
        <v>45835</v>
      </c>
      <c r="C438" s="71" t="s">
        <v>16</v>
      </c>
      <c r="D438" s="40" t="s">
        <v>704</v>
      </c>
      <c r="E438" s="40" t="s">
        <v>1239</v>
      </c>
      <c r="F438" s="34">
        <v>1</v>
      </c>
      <c r="G438" s="35">
        <v>9116</v>
      </c>
      <c r="H438" s="36">
        <f>F438*G438</f>
        <v>9116</v>
      </c>
      <c r="I438" s="90"/>
      <c r="J438" s="37"/>
      <c r="K438" s="38">
        <f t="shared" si="27"/>
        <v>45835</v>
      </c>
      <c r="L438" s="90" t="s">
        <v>301</v>
      </c>
      <c r="M438" s="39"/>
      <c r="N438" s="40"/>
      <c r="O438" s="40"/>
      <c r="P438" s="40"/>
      <c r="Q438" s="40"/>
    </row>
    <row r="439" spans="1:17" s="53" customFormat="1" x14ac:dyDescent="0.3">
      <c r="A439" s="31" t="s">
        <v>1240</v>
      </c>
      <c r="B439" s="32">
        <v>45835</v>
      </c>
      <c r="C439" s="33" t="s">
        <v>1241</v>
      </c>
      <c r="D439" s="40" t="s">
        <v>49</v>
      </c>
      <c r="E439" s="40" t="s">
        <v>1242</v>
      </c>
      <c r="F439" s="34">
        <v>2</v>
      </c>
      <c r="G439" s="35">
        <v>1116</v>
      </c>
      <c r="H439" s="36">
        <f>F439*G439</f>
        <v>2232</v>
      </c>
      <c r="I439" s="90"/>
      <c r="J439" s="37"/>
      <c r="K439" s="38">
        <f t="shared" si="27"/>
        <v>45835</v>
      </c>
      <c r="L439" s="90" t="s">
        <v>20</v>
      </c>
      <c r="M439" s="39"/>
      <c r="N439" s="40"/>
      <c r="O439" s="40"/>
      <c r="P439" s="40"/>
      <c r="Q439" s="40"/>
    </row>
    <row r="440" spans="1:17" s="53" customFormat="1" x14ac:dyDescent="0.3">
      <c r="A440" s="31" t="s">
        <v>1243</v>
      </c>
      <c r="B440" s="32">
        <v>45835</v>
      </c>
      <c r="C440" s="33" t="s">
        <v>1244</v>
      </c>
      <c r="D440" s="40" t="s">
        <v>150</v>
      </c>
      <c r="E440" s="40" t="s">
        <v>112</v>
      </c>
      <c r="F440" s="34">
        <v>1</v>
      </c>
      <c r="G440" s="35">
        <v>138704</v>
      </c>
      <c r="H440" s="36">
        <v>138704</v>
      </c>
      <c r="I440" s="90"/>
      <c r="J440" s="37"/>
      <c r="K440" s="38">
        <f t="shared" si="27"/>
        <v>45835</v>
      </c>
      <c r="L440" s="90" t="s">
        <v>301</v>
      </c>
      <c r="M440" s="39"/>
      <c r="N440" s="40"/>
      <c r="O440" s="40"/>
      <c r="P440" s="40"/>
      <c r="Q440" s="40"/>
    </row>
    <row r="441" spans="1:17" s="53" customFormat="1" x14ac:dyDescent="0.3">
      <c r="A441" s="31" t="s">
        <v>1245</v>
      </c>
      <c r="B441" s="32">
        <v>45835</v>
      </c>
      <c r="C441" s="33"/>
      <c r="D441" s="40" t="s">
        <v>52</v>
      </c>
      <c r="E441" s="40" t="s">
        <v>112</v>
      </c>
      <c r="F441" s="34">
        <v>1</v>
      </c>
      <c r="G441" s="35">
        <v>22349.29</v>
      </c>
      <c r="H441" s="36">
        <f t="shared" ref="H441:H471" si="31">F441*G441</f>
        <v>22349.29</v>
      </c>
      <c r="I441" s="90"/>
      <c r="J441" s="37"/>
      <c r="K441" s="38">
        <f t="shared" si="27"/>
        <v>45835</v>
      </c>
      <c r="L441" s="90" t="s">
        <v>301</v>
      </c>
      <c r="M441" s="39"/>
      <c r="N441" s="40"/>
      <c r="O441" s="40"/>
      <c r="P441" s="40"/>
      <c r="Q441" s="40"/>
    </row>
    <row r="442" spans="1:17" s="53" customFormat="1" x14ac:dyDescent="0.3">
      <c r="A442" s="31" t="s">
        <v>1246</v>
      </c>
      <c r="B442" s="32">
        <v>45838</v>
      </c>
      <c r="C442" s="33" t="s">
        <v>1247</v>
      </c>
      <c r="D442" s="40" t="s">
        <v>92</v>
      </c>
      <c r="E442" s="40" t="s">
        <v>1073</v>
      </c>
      <c r="F442" s="34">
        <v>1</v>
      </c>
      <c r="G442" s="35">
        <v>11876</v>
      </c>
      <c r="H442" s="36">
        <f t="shared" si="31"/>
        <v>11876</v>
      </c>
      <c r="I442" s="90"/>
      <c r="J442" s="37"/>
      <c r="K442" s="38">
        <f t="shared" si="27"/>
        <v>45838</v>
      </c>
      <c r="L442" s="90" t="s">
        <v>301</v>
      </c>
      <c r="M442" s="39"/>
      <c r="N442" s="40"/>
      <c r="O442" s="40"/>
      <c r="P442" s="40"/>
      <c r="Q442" s="40"/>
    </row>
    <row r="443" spans="1:17" s="53" customFormat="1" x14ac:dyDescent="0.3">
      <c r="A443" s="31" t="s">
        <v>1248</v>
      </c>
      <c r="B443" s="32">
        <v>45838</v>
      </c>
      <c r="C443" s="33" t="s">
        <v>16</v>
      </c>
      <c r="D443" s="40" t="s">
        <v>1249</v>
      </c>
      <c r="E443" s="40" t="s">
        <v>1250</v>
      </c>
      <c r="F443" s="34">
        <v>1</v>
      </c>
      <c r="G443" s="35">
        <v>36807</v>
      </c>
      <c r="H443" s="36">
        <f t="shared" si="31"/>
        <v>36807</v>
      </c>
      <c r="I443" s="90"/>
      <c r="J443" s="37"/>
      <c r="K443" s="38">
        <f t="shared" si="27"/>
        <v>45838</v>
      </c>
      <c r="L443" s="90" t="s">
        <v>17</v>
      </c>
      <c r="M443" s="39"/>
      <c r="N443" s="40"/>
      <c r="O443" s="40"/>
      <c r="P443" s="40"/>
      <c r="Q443" s="40"/>
    </row>
    <row r="444" spans="1:17" s="53" customFormat="1" x14ac:dyDescent="0.3">
      <c r="A444" s="31" t="s">
        <v>1251</v>
      </c>
      <c r="B444" s="32">
        <v>45839</v>
      </c>
      <c r="C444" s="33" t="s">
        <v>1252</v>
      </c>
      <c r="D444" s="40" t="s">
        <v>548</v>
      </c>
      <c r="E444" s="40" t="s">
        <v>1253</v>
      </c>
      <c r="F444" s="34">
        <v>8</v>
      </c>
      <c r="G444" s="35">
        <v>3115</v>
      </c>
      <c r="H444" s="36">
        <f t="shared" si="31"/>
        <v>24920</v>
      </c>
      <c r="I444" s="90"/>
      <c r="J444" s="37"/>
      <c r="K444" s="38">
        <f t="shared" si="27"/>
        <v>45839</v>
      </c>
      <c r="L444" s="90" t="s">
        <v>17</v>
      </c>
      <c r="M444" s="39"/>
      <c r="N444" s="40"/>
      <c r="O444" s="40"/>
      <c r="P444" s="40"/>
      <c r="Q444" s="40"/>
    </row>
    <row r="445" spans="1:17" s="53" customFormat="1" x14ac:dyDescent="0.3">
      <c r="A445" s="31" t="s">
        <v>1254</v>
      </c>
      <c r="B445" s="32">
        <v>45839</v>
      </c>
      <c r="C445" s="33" t="s">
        <v>1255</v>
      </c>
      <c r="D445" s="40" t="s">
        <v>403</v>
      </c>
      <c r="E445" s="40" t="s">
        <v>93</v>
      </c>
      <c r="F445" s="34">
        <v>1</v>
      </c>
      <c r="G445" s="35">
        <v>166597</v>
      </c>
      <c r="H445" s="36">
        <f t="shared" si="31"/>
        <v>166597</v>
      </c>
      <c r="I445" s="90"/>
      <c r="J445" s="37"/>
      <c r="K445" s="38">
        <f t="shared" si="27"/>
        <v>45839</v>
      </c>
      <c r="L445" s="90" t="s">
        <v>17</v>
      </c>
      <c r="M445" s="39"/>
      <c r="N445" s="40"/>
      <c r="O445" s="40"/>
      <c r="P445" s="40"/>
      <c r="Q445" s="40"/>
    </row>
    <row r="446" spans="1:17" s="53" customFormat="1" x14ac:dyDescent="0.3">
      <c r="A446" s="31" t="s">
        <v>1256</v>
      </c>
      <c r="B446" s="32">
        <v>45839</v>
      </c>
      <c r="C446" s="33" t="s">
        <v>1257</v>
      </c>
      <c r="D446" s="40" t="s">
        <v>49</v>
      </c>
      <c r="E446" s="40" t="s">
        <v>64</v>
      </c>
      <c r="F446" s="34">
        <v>1</v>
      </c>
      <c r="G446" s="35">
        <v>4061</v>
      </c>
      <c r="H446" s="36">
        <f t="shared" si="31"/>
        <v>4061</v>
      </c>
      <c r="I446" s="90"/>
      <c r="J446" s="37"/>
      <c r="K446" s="38">
        <f t="shared" si="27"/>
        <v>45839</v>
      </c>
      <c r="L446" s="90" t="s">
        <v>20</v>
      </c>
      <c r="M446" s="39"/>
      <c r="N446" s="40"/>
      <c r="O446" s="40"/>
      <c r="P446" s="40"/>
      <c r="Q446" s="40"/>
    </row>
    <row r="447" spans="1:17" s="53" customFormat="1" x14ac:dyDescent="0.3">
      <c r="A447" s="31" t="s">
        <v>1258</v>
      </c>
      <c r="B447" s="32">
        <v>45839</v>
      </c>
      <c r="C447" s="17">
        <v>205364</v>
      </c>
      <c r="D447" s="40" t="s">
        <v>34</v>
      </c>
      <c r="E447" s="40" t="s">
        <v>901</v>
      </c>
      <c r="F447" s="34">
        <v>1</v>
      </c>
      <c r="G447" s="35">
        <v>245978</v>
      </c>
      <c r="H447" s="36">
        <f t="shared" si="31"/>
        <v>245978</v>
      </c>
      <c r="I447" s="90"/>
      <c r="J447" s="37"/>
      <c r="K447" s="38">
        <f t="shared" si="27"/>
        <v>45839</v>
      </c>
      <c r="L447" s="90" t="s">
        <v>143</v>
      </c>
      <c r="M447" s="39"/>
      <c r="N447" s="40"/>
      <c r="O447" s="40"/>
      <c r="P447" s="40"/>
      <c r="Q447" s="40"/>
    </row>
    <row r="448" spans="1:17" s="53" customFormat="1" x14ac:dyDescent="0.3">
      <c r="A448" s="72" t="s">
        <v>1259</v>
      </c>
      <c r="B448" s="73">
        <v>45839</v>
      </c>
      <c r="C448" s="74" t="s">
        <v>556</v>
      </c>
      <c r="D448" s="75" t="s">
        <v>548</v>
      </c>
      <c r="E448" s="75" t="s">
        <v>1260</v>
      </c>
      <c r="F448" s="76">
        <v>2</v>
      </c>
      <c r="G448" s="35">
        <v>4084</v>
      </c>
      <c r="H448" s="36">
        <f t="shared" si="31"/>
        <v>8168</v>
      </c>
      <c r="I448" s="90"/>
      <c r="J448" s="37"/>
      <c r="K448" s="38">
        <f t="shared" si="27"/>
        <v>45839</v>
      </c>
      <c r="L448" s="90" t="s">
        <v>17</v>
      </c>
      <c r="M448" s="39"/>
      <c r="N448" s="40"/>
      <c r="O448" s="40"/>
      <c r="P448" s="40"/>
      <c r="Q448" s="40"/>
    </row>
    <row r="449" spans="1:17" s="53" customFormat="1" ht="15" customHeight="1" x14ac:dyDescent="0.3">
      <c r="A449" s="72" t="s">
        <v>1261</v>
      </c>
      <c r="B449" s="73">
        <v>45839</v>
      </c>
      <c r="C449" s="74" t="s">
        <v>556</v>
      </c>
      <c r="D449" s="75" t="s">
        <v>548</v>
      </c>
      <c r="E449" s="77" t="s">
        <v>1262</v>
      </c>
      <c r="F449" s="76">
        <v>1</v>
      </c>
      <c r="G449" s="35">
        <v>17818</v>
      </c>
      <c r="H449" s="36">
        <f t="shared" si="31"/>
        <v>17818</v>
      </c>
      <c r="I449" s="90"/>
      <c r="J449" s="37"/>
      <c r="K449" s="38">
        <f t="shared" si="27"/>
        <v>45839</v>
      </c>
      <c r="L449" s="90" t="s">
        <v>17</v>
      </c>
      <c r="M449" s="39"/>
      <c r="N449" s="40"/>
      <c r="O449" s="40"/>
      <c r="P449" s="40"/>
      <c r="Q449" s="40"/>
    </row>
    <row r="450" spans="1:17" s="53" customFormat="1" ht="15" customHeight="1" x14ac:dyDescent="0.3">
      <c r="A450" s="72" t="s">
        <v>1263</v>
      </c>
      <c r="B450" s="73">
        <v>45839</v>
      </c>
      <c r="C450" s="74" t="s">
        <v>556</v>
      </c>
      <c r="D450" s="75" t="s">
        <v>548</v>
      </c>
      <c r="E450" s="77" t="s">
        <v>1264</v>
      </c>
      <c r="F450" s="76">
        <v>1</v>
      </c>
      <c r="G450" s="35">
        <v>15865.9</v>
      </c>
      <c r="H450" s="36">
        <f t="shared" si="31"/>
        <v>15865.9</v>
      </c>
      <c r="I450" s="90"/>
      <c r="J450" s="37"/>
      <c r="K450" s="38">
        <f t="shared" si="27"/>
        <v>45839</v>
      </c>
      <c r="L450" s="90" t="s">
        <v>17</v>
      </c>
      <c r="M450" s="39"/>
      <c r="N450" s="40"/>
      <c r="O450" s="40"/>
      <c r="P450" s="40"/>
      <c r="Q450" s="40"/>
    </row>
    <row r="451" spans="1:17" s="53" customFormat="1" ht="15" customHeight="1" x14ac:dyDescent="0.3">
      <c r="A451" s="72" t="s">
        <v>1265</v>
      </c>
      <c r="B451" s="73">
        <v>45839</v>
      </c>
      <c r="C451" s="74" t="s">
        <v>556</v>
      </c>
      <c r="D451" s="75" t="s">
        <v>548</v>
      </c>
      <c r="E451" s="75" t="s">
        <v>1266</v>
      </c>
      <c r="F451" s="76">
        <v>1</v>
      </c>
      <c r="G451" s="35">
        <v>8252</v>
      </c>
      <c r="H451" s="36">
        <f t="shared" si="31"/>
        <v>8252</v>
      </c>
      <c r="I451" s="90"/>
      <c r="J451" s="37"/>
      <c r="K451" s="38">
        <f t="shared" si="27"/>
        <v>45839</v>
      </c>
      <c r="L451" s="90" t="s">
        <v>17</v>
      </c>
      <c r="M451" s="39"/>
      <c r="N451" s="40"/>
      <c r="O451" s="40"/>
      <c r="P451" s="40"/>
      <c r="Q451" s="40"/>
    </row>
    <row r="452" spans="1:17" s="53" customFormat="1" ht="15" customHeight="1" x14ac:dyDescent="0.3">
      <c r="A452" s="72" t="s">
        <v>1267</v>
      </c>
      <c r="B452" s="73">
        <v>45839</v>
      </c>
      <c r="C452" s="74" t="s">
        <v>556</v>
      </c>
      <c r="D452" s="75" t="s">
        <v>548</v>
      </c>
      <c r="E452" s="77" t="s">
        <v>1268</v>
      </c>
      <c r="F452" s="76">
        <v>1</v>
      </c>
      <c r="G452" s="35">
        <f>13052+8168+794+1036+560</f>
        <v>23610</v>
      </c>
      <c r="H452" s="36">
        <f t="shared" si="31"/>
        <v>23610</v>
      </c>
      <c r="I452" s="90"/>
      <c r="J452" s="37"/>
      <c r="K452" s="38">
        <f t="shared" si="27"/>
        <v>45839</v>
      </c>
      <c r="L452" s="90" t="s">
        <v>17</v>
      </c>
      <c r="M452" s="39"/>
      <c r="N452" s="40"/>
      <c r="O452" s="40"/>
      <c r="P452" s="40"/>
      <c r="Q452" s="40"/>
    </row>
    <row r="453" spans="1:17" s="53" customFormat="1" x14ac:dyDescent="0.3">
      <c r="A453" s="72" t="s">
        <v>1269</v>
      </c>
      <c r="B453" s="73">
        <v>45839</v>
      </c>
      <c r="C453" s="74" t="s">
        <v>556</v>
      </c>
      <c r="D453" s="75" t="s">
        <v>548</v>
      </c>
      <c r="E453" s="75" t="s">
        <v>1270</v>
      </c>
      <c r="F453" s="76">
        <v>1</v>
      </c>
      <c r="G453" s="35">
        <f>16332.74+10000+886+1040+800</f>
        <v>29058.739999999998</v>
      </c>
      <c r="H453" s="36">
        <f t="shared" si="31"/>
        <v>29058.739999999998</v>
      </c>
      <c r="I453" s="90"/>
      <c r="J453" s="37"/>
      <c r="K453" s="38">
        <f t="shared" si="27"/>
        <v>45839</v>
      </c>
      <c r="L453" s="90" t="s">
        <v>17</v>
      </c>
      <c r="M453" s="39"/>
      <c r="N453" s="40"/>
      <c r="O453" s="40"/>
      <c r="P453" s="40"/>
      <c r="Q453" s="40"/>
    </row>
    <row r="454" spans="1:17" s="53" customFormat="1" x14ac:dyDescent="0.3">
      <c r="A454" s="72" t="s">
        <v>1271</v>
      </c>
      <c r="B454" s="73">
        <v>45839</v>
      </c>
      <c r="C454" s="74" t="s">
        <v>556</v>
      </c>
      <c r="D454" s="75" t="s">
        <v>548</v>
      </c>
      <c r="E454" s="75" t="s">
        <v>1272</v>
      </c>
      <c r="F454" s="76">
        <v>1</v>
      </c>
      <c r="G454" s="35">
        <f>6230+542+920</f>
        <v>7692</v>
      </c>
      <c r="H454" s="36">
        <f t="shared" si="31"/>
        <v>7692</v>
      </c>
      <c r="I454" s="90"/>
      <c r="J454" s="37"/>
      <c r="K454" s="38">
        <f t="shared" ref="K454:K517" si="32">J454+B454</f>
        <v>45839</v>
      </c>
      <c r="L454" s="90" t="s">
        <v>17</v>
      </c>
      <c r="M454" s="39"/>
      <c r="N454" s="40"/>
      <c r="O454" s="40"/>
      <c r="P454" s="40"/>
      <c r="Q454" s="40"/>
    </row>
    <row r="455" spans="1:17" s="53" customFormat="1" x14ac:dyDescent="0.3">
      <c r="A455" s="72" t="s">
        <v>1273</v>
      </c>
      <c r="B455" s="73">
        <v>45839</v>
      </c>
      <c r="C455" s="74" t="s">
        <v>556</v>
      </c>
      <c r="D455" s="75" t="s">
        <v>548</v>
      </c>
      <c r="E455" s="75" t="s">
        <v>1272</v>
      </c>
      <c r="F455" s="76">
        <v>1</v>
      </c>
      <c r="G455" s="35">
        <f>6230+542+920</f>
        <v>7692</v>
      </c>
      <c r="H455" s="36">
        <f t="shared" si="31"/>
        <v>7692</v>
      </c>
      <c r="I455" s="90"/>
      <c r="J455" s="37"/>
      <c r="K455" s="38">
        <f t="shared" si="32"/>
        <v>45839</v>
      </c>
      <c r="L455" s="90" t="s">
        <v>17</v>
      </c>
      <c r="M455" s="39"/>
      <c r="N455" s="40"/>
      <c r="O455" s="40"/>
      <c r="P455" s="40"/>
      <c r="Q455" s="40"/>
    </row>
    <row r="456" spans="1:17" s="53" customFormat="1" ht="15" customHeight="1" x14ac:dyDescent="0.3">
      <c r="A456" s="72" t="s">
        <v>1274</v>
      </c>
      <c r="B456" s="73">
        <v>45839</v>
      </c>
      <c r="C456" s="74" t="s">
        <v>556</v>
      </c>
      <c r="D456" s="75" t="s">
        <v>548</v>
      </c>
      <c r="E456" s="77" t="s">
        <v>1275</v>
      </c>
      <c r="F456" s="76">
        <v>1</v>
      </c>
      <c r="G456" s="35">
        <v>12922</v>
      </c>
      <c r="H456" s="36">
        <f t="shared" si="31"/>
        <v>12922</v>
      </c>
      <c r="I456" s="90"/>
      <c r="J456" s="37"/>
      <c r="K456" s="38">
        <f t="shared" si="32"/>
        <v>45839</v>
      </c>
      <c r="L456" s="90" t="s">
        <v>17</v>
      </c>
      <c r="M456" s="39"/>
      <c r="N456" s="40"/>
      <c r="O456" s="40"/>
      <c r="P456" s="40"/>
      <c r="Q456" s="40"/>
    </row>
    <row r="457" spans="1:17" s="53" customFormat="1" ht="15" customHeight="1" x14ac:dyDescent="0.3">
      <c r="A457" s="72" t="s">
        <v>1276</v>
      </c>
      <c r="B457" s="73">
        <v>45839</v>
      </c>
      <c r="C457" s="74" t="s">
        <v>556</v>
      </c>
      <c r="D457" s="75" t="s">
        <v>548</v>
      </c>
      <c r="E457" s="77" t="s">
        <v>1277</v>
      </c>
      <c r="F457" s="76">
        <v>1</v>
      </c>
      <c r="G457" s="35">
        <v>16635</v>
      </c>
      <c r="H457" s="36">
        <f t="shared" si="31"/>
        <v>16635</v>
      </c>
      <c r="I457" s="90"/>
      <c r="J457" s="37"/>
      <c r="K457" s="38">
        <f t="shared" si="32"/>
        <v>45839</v>
      </c>
      <c r="L457" s="90" t="s">
        <v>17</v>
      </c>
      <c r="M457" s="39"/>
      <c r="N457" s="40"/>
      <c r="O457" s="40"/>
      <c r="P457" s="40"/>
      <c r="Q457" s="40"/>
    </row>
    <row r="458" spans="1:17" s="53" customFormat="1" x14ac:dyDescent="0.3">
      <c r="A458" s="31" t="s">
        <v>1278</v>
      </c>
      <c r="B458" s="32">
        <v>45839</v>
      </c>
      <c r="C458" s="33"/>
      <c r="D458" s="40" t="s">
        <v>1279</v>
      </c>
      <c r="E458" s="40" t="s">
        <v>1280</v>
      </c>
      <c r="F458" s="34">
        <v>3</v>
      </c>
      <c r="G458" s="35">
        <v>16520</v>
      </c>
      <c r="H458" s="36">
        <f t="shared" si="31"/>
        <v>49560</v>
      </c>
      <c r="I458" s="90"/>
      <c r="J458" s="37"/>
      <c r="K458" s="38">
        <f t="shared" si="32"/>
        <v>45839</v>
      </c>
      <c r="L458" s="90" t="s">
        <v>143</v>
      </c>
      <c r="M458" s="39"/>
      <c r="N458" s="40"/>
      <c r="O458" s="40"/>
      <c r="P458" s="40"/>
      <c r="Q458" s="40"/>
    </row>
    <row r="459" spans="1:17" s="53" customFormat="1" x14ac:dyDescent="0.3">
      <c r="A459" s="31" t="s">
        <v>1281</v>
      </c>
      <c r="B459" s="32">
        <v>45839</v>
      </c>
      <c r="C459" s="33" t="s">
        <v>1282</v>
      </c>
      <c r="D459" s="40" t="s">
        <v>1283</v>
      </c>
      <c r="E459" s="40" t="s">
        <v>1284</v>
      </c>
      <c r="F459" s="34">
        <v>1</v>
      </c>
      <c r="G459" s="35">
        <v>3077</v>
      </c>
      <c r="H459" s="36">
        <f t="shared" si="31"/>
        <v>3077</v>
      </c>
      <c r="I459" s="90"/>
      <c r="J459" s="37"/>
      <c r="K459" s="38">
        <f t="shared" si="32"/>
        <v>45839</v>
      </c>
      <c r="L459" s="90" t="s">
        <v>17</v>
      </c>
      <c r="M459" s="39"/>
      <c r="N459" s="40"/>
      <c r="O459" s="40"/>
      <c r="P459" s="40"/>
      <c r="Q459" s="40"/>
    </row>
    <row r="460" spans="1:17" s="53" customFormat="1" x14ac:dyDescent="0.3">
      <c r="A460" s="31" t="s">
        <v>1285</v>
      </c>
      <c r="B460" s="32">
        <v>45839</v>
      </c>
      <c r="C460" s="33" t="s">
        <v>16</v>
      </c>
      <c r="D460" s="40" t="s">
        <v>1286</v>
      </c>
      <c r="E460" s="40" t="s">
        <v>1287</v>
      </c>
      <c r="F460" s="34">
        <v>1</v>
      </c>
      <c r="G460" s="35">
        <v>23256.54</v>
      </c>
      <c r="H460" s="36">
        <f t="shared" si="31"/>
        <v>23256.54</v>
      </c>
      <c r="I460" s="90"/>
      <c r="J460" s="37"/>
      <c r="K460" s="38">
        <f t="shared" si="32"/>
        <v>45839</v>
      </c>
      <c r="L460" s="90" t="s">
        <v>17</v>
      </c>
      <c r="M460" s="39"/>
      <c r="N460" s="40"/>
      <c r="O460" s="40"/>
      <c r="P460" s="40"/>
      <c r="Q460" s="40"/>
    </row>
    <row r="461" spans="1:17" s="53" customFormat="1" x14ac:dyDescent="0.3">
      <c r="A461" s="31" t="s">
        <v>1288</v>
      </c>
      <c r="B461" s="32">
        <v>45840</v>
      </c>
      <c r="C461" s="33" t="s">
        <v>16</v>
      </c>
      <c r="D461" s="40" t="s">
        <v>1289</v>
      </c>
      <c r="E461" s="40" t="s">
        <v>133</v>
      </c>
      <c r="F461" s="34">
        <v>1</v>
      </c>
      <c r="G461" s="35">
        <v>3052</v>
      </c>
      <c r="H461" s="36">
        <f t="shared" si="31"/>
        <v>3052</v>
      </c>
      <c r="I461" s="90"/>
      <c r="J461" s="37"/>
      <c r="K461" s="38">
        <f t="shared" si="32"/>
        <v>45840</v>
      </c>
      <c r="L461" s="90" t="s">
        <v>17</v>
      </c>
      <c r="M461" s="39"/>
      <c r="N461" s="40"/>
      <c r="O461" s="40"/>
      <c r="P461" s="40"/>
      <c r="Q461" s="40"/>
    </row>
    <row r="462" spans="1:17" s="53" customFormat="1" x14ac:dyDescent="0.3">
      <c r="A462" s="31" t="s">
        <v>1290</v>
      </c>
      <c r="B462" s="32">
        <v>45840</v>
      </c>
      <c r="C462" s="33" t="s">
        <v>16</v>
      </c>
      <c r="D462" s="40" t="s">
        <v>1289</v>
      </c>
      <c r="E462" s="40" t="s">
        <v>1291</v>
      </c>
      <c r="F462" s="34">
        <v>1</v>
      </c>
      <c r="G462" s="35"/>
      <c r="H462" s="36">
        <f t="shared" si="31"/>
        <v>0</v>
      </c>
      <c r="I462" s="90"/>
      <c r="J462" s="37"/>
      <c r="K462" s="38">
        <f t="shared" si="32"/>
        <v>45840</v>
      </c>
      <c r="L462" s="90" t="s">
        <v>17</v>
      </c>
      <c r="M462" s="39"/>
      <c r="N462" s="40"/>
      <c r="O462" s="40"/>
      <c r="P462" s="40"/>
      <c r="Q462" s="40"/>
    </row>
    <row r="463" spans="1:17" s="53" customFormat="1" x14ac:dyDescent="0.3">
      <c r="A463" s="31" t="s">
        <v>1292</v>
      </c>
      <c r="B463" s="32">
        <v>45840</v>
      </c>
      <c r="C463" s="33" t="s">
        <v>16</v>
      </c>
      <c r="D463" s="40" t="s">
        <v>1289</v>
      </c>
      <c r="E463" s="40" t="s">
        <v>1293</v>
      </c>
      <c r="F463" s="34">
        <v>1</v>
      </c>
      <c r="G463" s="35"/>
      <c r="H463" s="36">
        <f t="shared" si="31"/>
        <v>0</v>
      </c>
      <c r="I463" s="90"/>
      <c r="J463" s="37"/>
      <c r="K463" s="38">
        <f t="shared" si="32"/>
        <v>45840</v>
      </c>
      <c r="L463" s="90" t="s">
        <v>17</v>
      </c>
      <c r="M463" s="39"/>
      <c r="N463" s="40"/>
      <c r="O463" s="40"/>
      <c r="P463" s="40"/>
      <c r="Q463" s="40"/>
    </row>
    <row r="464" spans="1:17" s="53" customFormat="1" x14ac:dyDescent="0.3">
      <c r="A464" s="31" t="s">
        <v>1294</v>
      </c>
      <c r="B464" s="32">
        <v>45840</v>
      </c>
      <c r="C464" s="33" t="s">
        <v>16</v>
      </c>
      <c r="D464" s="40" t="s">
        <v>1295</v>
      </c>
      <c r="E464" s="40" t="s">
        <v>1296</v>
      </c>
      <c r="F464" s="34">
        <v>1</v>
      </c>
      <c r="G464" s="35">
        <v>9838</v>
      </c>
      <c r="H464" s="36">
        <f t="shared" si="31"/>
        <v>9838</v>
      </c>
      <c r="I464" s="90"/>
      <c r="J464" s="37"/>
      <c r="K464" s="38">
        <f t="shared" si="32"/>
        <v>45840</v>
      </c>
      <c r="L464" s="90" t="s">
        <v>17</v>
      </c>
      <c r="M464" s="39"/>
      <c r="N464" s="40"/>
      <c r="O464" s="40"/>
      <c r="P464" s="40"/>
      <c r="Q464" s="40"/>
    </row>
    <row r="465" spans="1:17" s="53" customFormat="1" x14ac:dyDescent="0.3">
      <c r="A465" s="31" t="s">
        <v>1297</v>
      </c>
      <c r="B465" s="32">
        <v>45840</v>
      </c>
      <c r="C465" s="33" t="s">
        <v>16</v>
      </c>
      <c r="D465" s="40" t="s">
        <v>1215</v>
      </c>
      <c r="E465" s="40" t="s">
        <v>1298</v>
      </c>
      <c r="F465" s="34">
        <v>1</v>
      </c>
      <c r="G465" s="35">
        <v>1018</v>
      </c>
      <c r="H465" s="36">
        <f t="shared" si="31"/>
        <v>1018</v>
      </c>
      <c r="I465" s="90"/>
      <c r="J465" s="37"/>
      <c r="K465" s="38">
        <f t="shared" si="32"/>
        <v>45840</v>
      </c>
      <c r="L465" s="90" t="s">
        <v>143</v>
      </c>
      <c r="M465" s="39"/>
      <c r="N465" s="40"/>
      <c r="O465" s="40"/>
      <c r="P465" s="40"/>
      <c r="Q465" s="40"/>
    </row>
    <row r="466" spans="1:17" s="53" customFormat="1" x14ac:dyDescent="0.3">
      <c r="A466" s="31" t="s">
        <v>1299</v>
      </c>
      <c r="B466" s="32">
        <v>45841</v>
      </c>
      <c r="C466" s="33" t="s">
        <v>1300</v>
      </c>
      <c r="D466" s="40" t="s">
        <v>49</v>
      </c>
      <c r="E466" s="40" t="s">
        <v>504</v>
      </c>
      <c r="F466" s="34">
        <v>1</v>
      </c>
      <c r="G466" s="35">
        <v>20493</v>
      </c>
      <c r="H466" s="36">
        <f t="shared" si="31"/>
        <v>20493</v>
      </c>
      <c r="I466" s="90"/>
      <c r="J466" s="37"/>
      <c r="K466" s="38">
        <f t="shared" si="32"/>
        <v>45841</v>
      </c>
      <c r="L466" s="90" t="s">
        <v>20</v>
      </c>
      <c r="M466" s="39"/>
      <c r="N466" s="40"/>
      <c r="O466" s="40"/>
      <c r="P466" s="40"/>
      <c r="Q466" s="40"/>
    </row>
    <row r="467" spans="1:17" s="53" customFormat="1" x14ac:dyDescent="0.3">
      <c r="A467" s="31" t="s">
        <v>1301</v>
      </c>
      <c r="B467" s="32">
        <v>45841</v>
      </c>
      <c r="C467" s="33">
        <v>22102</v>
      </c>
      <c r="D467" s="40" t="s">
        <v>108</v>
      </c>
      <c r="E467" s="40" t="s">
        <v>1203</v>
      </c>
      <c r="F467" s="34">
        <v>4</v>
      </c>
      <c r="G467" s="35">
        <v>11961.29</v>
      </c>
      <c r="H467" s="36">
        <f t="shared" si="31"/>
        <v>47845.16</v>
      </c>
      <c r="I467" s="90"/>
      <c r="J467" s="37"/>
      <c r="K467" s="38">
        <f t="shared" si="32"/>
        <v>45841</v>
      </c>
      <c r="L467" s="90" t="s">
        <v>143</v>
      </c>
      <c r="M467" s="39"/>
      <c r="N467" s="40"/>
      <c r="O467" s="40"/>
      <c r="P467" s="40"/>
      <c r="Q467" s="40"/>
    </row>
    <row r="468" spans="1:17" s="53" customFormat="1" x14ac:dyDescent="0.3">
      <c r="A468" s="31" t="s">
        <v>1302</v>
      </c>
      <c r="B468" s="32">
        <v>45841</v>
      </c>
      <c r="C468" s="33" t="s">
        <v>1303</v>
      </c>
      <c r="D468" s="40" t="s">
        <v>49</v>
      </c>
      <c r="E468" s="40" t="s">
        <v>1073</v>
      </c>
      <c r="F468" s="34">
        <v>3</v>
      </c>
      <c r="G468" s="35">
        <v>12114</v>
      </c>
      <c r="H468" s="36">
        <f t="shared" si="31"/>
        <v>36342</v>
      </c>
      <c r="I468" s="90"/>
      <c r="J468" s="37"/>
      <c r="K468" s="38">
        <f t="shared" si="32"/>
        <v>45841</v>
      </c>
      <c r="L468" s="90" t="s">
        <v>20</v>
      </c>
      <c r="M468" s="39"/>
      <c r="N468" s="40"/>
      <c r="O468" s="40"/>
      <c r="P468" s="40"/>
      <c r="Q468" s="40"/>
    </row>
    <row r="469" spans="1:17" s="53" customFormat="1" x14ac:dyDescent="0.3">
      <c r="A469" s="31" t="s">
        <v>1304</v>
      </c>
      <c r="B469" s="32">
        <v>45841</v>
      </c>
      <c r="C469" s="33" t="s">
        <v>1305</v>
      </c>
      <c r="D469" s="40" t="s">
        <v>152</v>
      </c>
      <c r="E469" s="40" t="s">
        <v>1306</v>
      </c>
      <c r="F469" s="34">
        <v>1</v>
      </c>
      <c r="G469" s="35">
        <v>1656</v>
      </c>
      <c r="H469" s="36">
        <f t="shared" si="31"/>
        <v>1656</v>
      </c>
      <c r="I469" s="90"/>
      <c r="J469" s="37"/>
      <c r="K469" s="38">
        <f t="shared" si="32"/>
        <v>45841</v>
      </c>
      <c r="L469" s="90" t="s">
        <v>17</v>
      </c>
      <c r="M469" s="39"/>
      <c r="N469" s="40"/>
      <c r="O469" s="40"/>
      <c r="P469" s="40"/>
      <c r="Q469" s="40"/>
    </row>
    <row r="470" spans="1:17" s="53" customFormat="1" x14ac:dyDescent="0.3">
      <c r="A470" s="31" t="s">
        <v>1307</v>
      </c>
      <c r="B470" s="32">
        <v>45842</v>
      </c>
      <c r="C470" s="33" t="s">
        <v>1308</v>
      </c>
      <c r="D470" s="40" t="s">
        <v>1309</v>
      </c>
      <c r="E470" s="40" t="s">
        <v>1310</v>
      </c>
      <c r="F470" s="34">
        <v>1</v>
      </c>
      <c r="G470" s="35">
        <v>19901</v>
      </c>
      <c r="H470" s="36">
        <f t="shared" si="31"/>
        <v>19901</v>
      </c>
      <c r="I470" s="90"/>
      <c r="J470" s="37"/>
      <c r="K470" s="38">
        <f t="shared" si="32"/>
        <v>45842</v>
      </c>
      <c r="L470" s="90" t="s">
        <v>17</v>
      </c>
      <c r="M470" s="39"/>
      <c r="N470" s="40"/>
      <c r="O470" s="40"/>
      <c r="P470" s="40"/>
      <c r="Q470" s="40"/>
    </row>
    <row r="471" spans="1:17" s="53" customFormat="1" x14ac:dyDescent="0.3">
      <c r="A471" s="31" t="s">
        <v>1311</v>
      </c>
      <c r="B471" s="32">
        <v>45842</v>
      </c>
      <c r="C471" s="33" t="s">
        <v>16</v>
      </c>
      <c r="D471" s="40" t="s">
        <v>1312</v>
      </c>
      <c r="E471" s="40" t="s">
        <v>1313</v>
      </c>
      <c r="F471" s="34">
        <v>1</v>
      </c>
      <c r="G471" s="35"/>
      <c r="H471" s="36">
        <f t="shared" si="31"/>
        <v>0</v>
      </c>
      <c r="I471" s="90"/>
      <c r="J471" s="37"/>
      <c r="K471" s="38">
        <f t="shared" si="32"/>
        <v>45842</v>
      </c>
      <c r="L471" s="90" t="s">
        <v>143</v>
      </c>
      <c r="M471" s="39"/>
      <c r="N471" s="40"/>
      <c r="O471" s="40"/>
      <c r="P471" s="40"/>
      <c r="Q471" s="40"/>
    </row>
    <row r="472" spans="1:17" s="53" customFormat="1" x14ac:dyDescent="0.3">
      <c r="A472" s="31" t="s">
        <v>1314</v>
      </c>
      <c r="B472" s="32">
        <v>45842</v>
      </c>
      <c r="C472" s="71" t="s">
        <v>1315</v>
      </c>
      <c r="D472" s="40" t="s">
        <v>1316</v>
      </c>
      <c r="E472" s="40" t="s">
        <v>1317</v>
      </c>
      <c r="F472" s="34">
        <v>2</v>
      </c>
      <c r="G472" s="35">
        <v>22241</v>
      </c>
      <c r="H472" s="36">
        <v>22241</v>
      </c>
      <c r="I472" s="90"/>
      <c r="J472" s="37"/>
      <c r="K472" s="38">
        <f t="shared" si="32"/>
        <v>45842</v>
      </c>
      <c r="L472" s="90" t="s">
        <v>301</v>
      </c>
      <c r="M472" s="39"/>
      <c r="N472" s="40"/>
      <c r="O472" s="40"/>
      <c r="P472" s="40"/>
      <c r="Q472" s="40"/>
    </row>
    <row r="473" spans="1:17" s="53" customFormat="1" x14ac:dyDescent="0.3">
      <c r="A473" s="31" t="s">
        <v>1318</v>
      </c>
      <c r="B473" s="32">
        <v>45845</v>
      </c>
      <c r="C473" s="33" t="s">
        <v>1319</v>
      </c>
      <c r="D473" s="40" t="s">
        <v>38</v>
      </c>
      <c r="E473" s="40" t="s">
        <v>1320</v>
      </c>
      <c r="F473" s="34">
        <v>1</v>
      </c>
      <c r="G473" s="35"/>
      <c r="H473" s="36">
        <f t="shared" ref="H473:H478" si="33">F473*G473</f>
        <v>0</v>
      </c>
      <c r="I473" s="90"/>
      <c r="J473" s="37"/>
      <c r="K473" s="38">
        <f t="shared" si="32"/>
        <v>45845</v>
      </c>
      <c r="L473" s="90" t="s">
        <v>143</v>
      </c>
      <c r="M473" s="39"/>
      <c r="N473" s="40"/>
      <c r="O473" s="40"/>
      <c r="P473" s="40"/>
      <c r="Q473" s="40"/>
    </row>
    <row r="474" spans="1:17" s="53" customFormat="1" x14ac:dyDescent="0.3">
      <c r="A474" s="31" t="s">
        <v>1321</v>
      </c>
      <c r="B474" s="32">
        <v>45845</v>
      </c>
      <c r="C474" s="33" t="s">
        <v>1322</v>
      </c>
      <c r="D474" s="40" t="s">
        <v>30</v>
      </c>
      <c r="E474" s="40" t="s">
        <v>1323</v>
      </c>
      <c r="F474" s="34">
        <v>1</v>
      </c>
      <c r="G474" s="35">
        <v>3860.57</v>
      </c>
      <c r="H474" s="36">
        <f t="shared" si="33"/>
        <v>3860.57</v>
      </c>
      <c r="I474" s="90"/>
      <c r="J474" s="37"/>
      <c r="K474" s="38">
        <f t="shared" si="32"/>
        <v>45845</v>
      </c>
      <c r="L474" s="90" t="s">
        <v>301</v>
      </c>
      <c r="M474" s="39"/>
      <c r="N474" s="40"/>
      <c r="O474" s="40"/>
      <c r="P474" s="40"/>
      <c r="Q474" s="40"/>
    </row>
    <row r="475" spans="1:17" s="53" customFormat="1" x14ac:dyDescent="0.3">
      <c r="A475" s="31" t="s">
        <v>1324</v>
      </c>
      <c r="B475" s="32">
        <v>45846</v>
      </c>
      <c r="C475" s="33" t="s">
        <v>1325</v>
      </c>
      <c r="D475" s="40" t="s">
        <v>1064</v>
      </c>
      <c r="E475" s="40" t="s">
        <v>1326</v>
      </c>
      <c r="F475" s="34">
        <v>1</v>
      </c>
      <c r="G475" s="35">
        <v>7905</v>
      </c>
      <c r="H475" s="36">
        <f t="shared" si="33"/>
        <v>7905</v>
      </c>
      <c r="I475" s="90"/>
      <c r="J475" s="37"/>
      <c r="K475" s="38">
        <f t="shared" si="32"/>
        <v>45846</v>
      </c>
      <c r="L475" s="90" t="s">
        <v>143</v>
      </c>
      <c r="M475" s="39"/>
      <c r="N475" s="40"/>
      <c r="O475" s="40"/>
      <c r="P475" s="40"/>
      <c r="Q475" s="40"/>
    </row>
    <row r="476" spans="1:17" s="53" customFormat="1" x14ac:dyDescent="0.3">
      <c r="A476" s="31" t="s">
        <v>1327</v>
      </c>
      <c r="B476" s="32">
        <v>45847</v>
      </c>
      <c r="C476" s="33">
        <v>501408</v>
      </c>
      <c r="D476" s="40" t="s">
        <v>389</v>
      </c>
      <c r="E476" s="40" t="s">
        <v>131</v>
      </c>
      <c r="F476" s="34">
        <v>2</v>
      </c>
      <c r="G476" s="35">
        <v>3979</v>
      </c>
      <c r="H476" s="36">
        <f t="shared" si="33"/>
        <v>7958</v>
      </c>
      <c r="I476" s="90"/>
      <c r="J476" s="37"/>
      <c r="K476" s="38">
        <f t="shared" si="32"/>
        <v>45847</v>
      </c>
      <c r="L476" s="90" t="s">
        <v>20</v>
      </c>
      <c r="M476" s="39"/>
      <c r="N476" s="40"/>
      <c r="O476" s="40"/>
      <c r="P476" s="40"/>
      <c r="Q476" s="40"/>
    </row>
    <row r="477" spans="1:17" s="53" customFormat="1" x14ac:dyDescent="0.3">
      <c r="A477" s="31" t="s">
        <v>1328</v>
      </c>
      <c r="B477" s="32">
        <v>45847</v>
      </c>
      <c r="C477" s="33" t="s">
        <v>16</v>
      </c>
      <c r="D477" s="40" t="s">
        <v>1329</v>
      </c>
      <c r="E477" s="40" t="s">
        <v>1330</v>
      </c>
      <c r="F477" s="34">
        <v>1</v>
      </c>
      <c r="G477" s="35">
        <v>4113</v>
      </c>
      <c r="H477" s="36">
        <f t="shared" si="33"/>
        <v>4113</v>
      </c>
      <c r="I477" s="90"/>
      <c r="J477" s="37"/>
      <c r="K477" s="38">
        <f t="shared" si="32"/>
        <v>45847</v>
      </c>
      <c r="L477" s="90" t="s">
        <v>17</v>
      </c>
      <c r="M477" s="39"/>
      <c r="N477" s="40"/>
      <c r="O477" s="40"/>
      <c r="P477" s="40"/>
      <c r="Q477" s="40"/>
    </row>
    <row r="478" spans="1:17" s="53" customFormat="1" x14ac:dyDescent="0.3">
      <c r="A478" s="31" t="s">
        <v>1331</v>
      </c>
      <c r="B478" s="32">
        <v>45847</v>
      </c>
      <c r="C478" s="33" t="s">
        <v>1332</v>
      </c>
      <c r="D478" s="40" t="s">
        <v>1283</v>
      </c>
      <c r="E478" s="40" t="s">
        <v>1333</v>
      </c>
      <c r="F478" s="34">
        <v>1</v>
      </c>
      <c r="G478" s="35">
        <v>17259</v>
      </c>
      <c r="H478" s="36">
        <f t="shared" si="33"/>
        <v>17259</v>
      </c>
      <c r="I478" s="90"/>
      <c r="J478" s="37"/>
      <c r="K478" s="38">
        <f t="shared" si="32"/>
        <v>45847</v>
      </c>
      <c r="L478" s="90" t="s">
        <v>17</v>
      </c>
      <c r="M478" s="39"/>
      <c r="N478" s="40"/>
      <c r="O478" s="40"/>
      <c r="P478" s="40"/>
      <c r="Q478" s="40"/>
    </row>
    <row r="479" spans="1:17" s="53" customFormat="1" x14ac:dyDescent="0.3">
      <c r="A479" s="31" t="s">
        <v>1334</v>
      </c>
      <c r="B479" s="32">
        <v>45847</v>
      </c>
      <c r="C479" s="33" t="s">
        <v>145</v>
      </c>
      <c r="D479" s="40" t="s">
        <v>1335</v>
      </c>
      <c r="E479" s="45" t="s">
        <v>1336</v>
      </c>
      <c r="F479" s="34">
        <v>2</v>
      </c>
      <c r="G479" s="35">
        <v>121398</v>
      </c>
      <c r="H479" s="36">
        <v>121398</v>
      </c>
      <c r="I479" s="90"/>
      <c r="J479" s="37"/>
      <c r="K479" s="38">
        <f t="shared" si="32"/>
        <v>45847</v>
      </c>
      <c r="L479" s="90" t="s">
        <v>301</v>
      </c>
      <c r="M479" s="39"/>
      <c r="N479" s="40"/>
      <c r="O479" s="40"/>
      <c r="P479" s="40"/>
      <c r="Q479" s="40"/>
    </row>
    <row r="480" spans="1:17" s="53" customFormat="1" x14ac:dyDescent="0.3">
      <c r="A480" s="31" t="s">
        <v>1337</v>
      </c>
      <c r="B480" s="32">
        <v>45848</v>
      </c>
      <c r="C480" s="33" t="s">
        <v>16</v>
      </c>
      <c r="D480" s="40" t="s">
        <v>99</v>
      </c>
      <c r="E480" s="40" t="s">
        <v>1338</v>
      </c>
      <c r="F480" s="34">
        <v>1</v>
      </c>
      <c r="G480" s="35">
        <v>3081</v>
      </c>
      <c r="H480" s="36">
        <f t="shared" ref="H480:H486" si="34">F480*G480</f>
        <v>3081</v>
      </c>
      <c r="I480" s="90"/>
      <c r="J480" s="37"/>
      <c r="K480" s="38">
        <f t="shared" si="32"/>
        <v>45848</v>
      </c>
      <c r="L480" s="90" t="s">
        <v>17</v>
      </c>
      <c r="M480" s="39"/>
      <c r="N480" s="40"/>
      <c r="O480" s="40"/>
      <c r="P480" s="40"/>
      <c r="Q480" s="40"/>
    </row>
    <row r="481" spans="1:17" s="53" customFormat="1" x14ac:dyDescent="0.3">
      <c r="A481" s="31" t="s">
        <v>1339</v>
      </c>
      <c r="B481" s="32">
        <v>45848</v>
      </c>
      <c r="C481" s="33" t="s">
        <v>1340</v>
      </c>
      <c r="D481" s="40" t="s">
        <v>49</v>
      </c>
      <c r="E481" s="40" t="s">
        <v>1341</v>
      </c>
      <c r="F481" s="34">
        <v>1</v>
      </c>
      <c r="G481" s="35">
        <v>1078</v>
      </c>
      <c r="H481" s="36">
        <f t="shared" si="34"/>
        <v>1078</v>
      </c>
      <c r="I481" s="90"/>
      <c r="J481" s="37"/>
      <c r="K481" s="38">
        <f t="shared" si="32"/>
        <v>45848</v>
      </c>
      <c r="L481" s="90" t="s">
        <v>20</v>
      </c>
      <c r="M481" s="39"/>
      <c r="N481" s="40"/>
      <c r="O481" s="40"/>
      <c r="P481" s="40"/>
      <c r="Q481" s="40"/>
    </row>
    <row r="482" spans="1:17" s="53" customFormat="1" x14ac:dyDescent="0.3">
      <c r="A482" s="31" t="s">
        <v>1342</v>
      </c>
      <c r="B482" s="32">
        <v>45848</v>
      </c>
      <c r="C482" s="33" t="s">
        <v>1343</v>
      </c>
      <c r="D482" s="40" t="s">
        <v>341</v>
      </c>
      <c r="E482" s="40" t="s">
        <v>1344</v>
      </c>
      <c r="F482" s="34">
        <v>6</v>
      </c>
      <c r="G482" s="35">
        <v>2280.59</v>
      </c>
      <c r="H482" s="36">
        <f t="shared" si="34"/>
        <v>13683.54</v>
      </c>
      <c r="I482" s="90"/>
      <c r="J482" s="37"/>
      <c r="K482" s="38">
        <f t="shared" si="32"/>
        <v>45848</v>
      </c>
      <c r="L482" s="90" t="s">
        <v>143</v>
      </c>
      <c r="M482" s="39"/>
      <c r="N482" s="40"/>
      <c r="O482" s="40"/>
      <c r="P482" s="40"/>
      <c r="Q482" s="40"/>
    </row>
    <row r="483" spans="1:17" s="53" customFormat="1" x14ac:dyDescent="0.3">
      <c r="A483" s="31" t="s">
        <v>1345</v>
      </c>
      <c r="B483" s="32">
        <v>45849</v>
      </c>
      <c r="C483" s="33">
        <v>4500729371</v>
      </c>
      <c r="D483" s="40" t="s">
        <v>46</v>
      </c>
      <c r="E483" s="40" t="s">
        <v>1346</v>
      </c>
      <c r="F483" s="34">
        <v>3</v>
      </c>
      <c r="G483" s="35">
        <v>10879</v>
      </c>
      <c r="H483" s="36">
        <f t="shared" si="34"/>
        <v>32637</v>
      </c>
      <c r="I483" s="90"/>
      <c r="J483" s="37"/>
      <c r="K483" s="38">
        <f t="shared" si="32"/>
        <v>45849</v>
      </c>
      <c r="L483" s="90" t="s">
        <v>301</v>
      </c>
      <c r="M483" s="39"/>
      <c r="N483" s="40"/>
      <c r="O483" s="40"/>
      <c r="P483" s="40"/>
      <c r="Q483" s="40"/>
    </row>
    <row r="484" spans="1:17" s="53" customFormat="1" x14ac:dyDescent="0.3">
      <c r="A484" s="31" t="s">
        <v>1347</v>
      </c>
      <c r="B484" s="32">
        <v>45852</v>
      </c>
      <c r="C484" s="71" t="s">
        <v>1348</v>
      </c>
      <c r="D484" s="40" t="s">
        <v>455</v>
      </c>
      <c r="E484" s="40" t="s">
        <v>1349</v>
      </c>
      <c r="F484" s="34">
        <v>1</v>
      </c>
      <c r="G484" s="35">
        <v>29025</v>
      </c>
      <c r="H484" s="36">
        <f t="shared" si="34"/>
        <v>29025</v>
      </c>
      <c r="I484" s="90"/>
      <c r="J484" s="37"/>
      <c r="K484" s="38">
        <f t="shared" si="32"/>
        <v>45852</v>
      </c>
      <c r="L484" s="90" t="s">
        <v>301</v>
      </c>
      <c r="M484" s="39"/>
      <c r="N484" s="40"/>
      <c r="O484" s="40"/>
      <c r="P484" s="40"/>
      <c r="Q484" s="40"/>
    </row>
    <row r="485" spans="1:17" s="53" customFormat="1" x14ac:dyDescent="0.3">
      <c r="A485" s="31" t="s">
        <v>1350</v>
      </c>
      <c r="B485" s="32">
        <v>45852</v>
      </c>
      <c r="C485" s="33" t="s">
        <v>1351</v>
      </c>
      <c r="D485" s="40" t="s">
        <v>49</v>
      </c>
      <c r="E485" s="40" t="s">
        <v>1352</v>
      </c>
      <c r="F485" s="34">
        <v>1</v>
      </c>
      <c r="G485" s="35">
        <v>19892</v>
      </c>
      <c r="H485" s="36">
        <f t="shared" si="34"/>
        <v>19892</v>
      </c>
      <c r="I485" s="90"/>
      <c r="J485" s="37"/>
      <c r="K485" s="38">
        <f t="shared" si="32"/>
        <v>45852</v>
      </c>
      <c r="L485" s="90" t="s">
        <v>20</v>
      </c>
      <c r="M485" s="39"/>
      <c r="N485" s="40"/>
      <c r="O485" s="40"/>
      <c r="P485" s="40"/>
      <c r="Q485" s="40"/>
    </row>
    <row r="486" spans="1:17" s="53" customFormat="1" x14ac:dyDescent="0.3">
      <c r="A486" s="31" t="s">
        <v>1353</v>
      </c>
      <c r="B486" s="32">
        <v>45852</v>
      </c>
      <c r="C486" s="33" t="s">
        <v>1354</v>
      </c>
      <c r="D486" s="40" t="s">
        <v>1355</v>
      </c>
      <c r="E486" s="40" t="s">
        <v>1356</v>
      </c>
      <c r="F486" s="34">
        <v>1</v>
      </c>
      <c r="G486" s="35">
        <v>11113</v>
      </c>
      <c r="H486" s="36">
        <f t="shared" si="34"/>
        <v>11113</v>
      </c>
      <c r="I486" s="90"/>
      <c r="J486" s="37"/>
      <c r="K486" s="38">
        <f t="shared" si="32"/>
        <v>45852</v>
      </c>
      <c r="L486" s="90" t="s">
        <v>301</v>
      </c>
      <c r="M486" s="39"/>
      <c r="N486" s="40"/>
      <c r="O486" s="40"/>
      <c r="P486" s="40"/>
      <c r="Q486" s="40"/>
    </row>
    <row r="487" spans="1:17" s="53" customFormat="1" x14ac:dyDescent="0.3">
      <c r="A487" s="31" t="s">
        <v>1357</v>
      </c>
      <c r="B487" s="32">
        <v>45852</v>
      </c>
      <c r="C487" s="33"/>
      <c r="D487" s="40" t="s">
        <v>1358</v>
      </c>
      <c r="E487" s="40" t="s">
        <v>112</v>
      </c>
      <c r="F487" s="34">
        <v>13</v>
      </c>
      <c r="G487" s="35">
        <v>50838</v>
      </c>
      <c r="H487" s="36">
        <v>50838</v>
      </c>
      <c r="I487" s="90"/>
      <c r="J487" s="37"/>
      <c r="K487" s="38">
        <f t="shared" si="32"/>
        <v>45852</v>
      </c>
      <c r="L487" s="90" t="s">
        <v>301</v>
      </c>
      <c r="M487" s="39"/>
      <c r="N487" s="40"/>
      <c r="O487" s="40"/>
      <c r="P487" s="40"/>
      <c r="Q487" s="40"/>
    </row>
    <row r="488" spans="1:17" s="53" customFormat="1" x14ac:dyDescent="0.3">
      <c r="A488" s="31" t="s">
        <v>1359</v>
      </c>
      <c r="B488" s="32">
        <v>45852</v>
      </c>
      <c r="C488" s="33" t="s">
        <v>1360</v>
      </c>
      <c r="D488" s="40" t="s">
        <v>150</v>
      </c>
      <c r="E488" s="40" t="s">
        <v>1361</v>
      </c>
      <c r="F488" s="34">
        <v>1</v>
      </c>
      <c r="G488" s="35">
        <v>18298</v>
      </c>
      <c r="H488" s="36">
        <f>F488*G488</f>
        <v>18298</v>
      </c>
      <c r="I488" s="90"/>
      <c r="J488" s="37"/>
      <c r="K488" s="38">
        <f t="shared" si="32"/>
        <v>45852</v>
      </c>
      <c r="L488" s="90" t="s">
        <v>301</v>
      </c>
      <c r="M488" s="39"/>
      <c r="N488" s="40"/>
      <c r="O488" s="40"/>
      <c r="P488" s="40"/>
      <c r="Q488" s="40"/>
    </row>
    <row r="489" spans="1:17" s="53" customFormat="1" x14ac:dyDescent="0.3">
      <c r="A489" s="31" t="s">
        <v>1362</v>
      </c>
      <c r="B489" s="32">
        <v>45853</v>
      </c>
      <c r="C489" s="33" t="s">
        <v>1363</v>
      </c>
      <c r="D489" s="40" t="s">
        <v>49</v>
      </c>
      <c r="E489" s="40" t="s">
        <v>478</v>
      </c>
      <c r="F489" s="34">
        <v>2</v>
      </c>
      <c r="G489" s="35">
        <v>14942</v>
      </c>
      <c r="H489" s="36">
        <f>F489*G489</f>
        <v>29884</v>
      </c>
      <c r="I489" s="90"/>
      <c r="J489" s="37"/>
      <c r="K489" s="38">
        <f t="shared" si="32"/>
        <v>45853</v>
      </c>
      <c r="L489" s="90" t="s">
        <v>20</v>
      </c>
      <c r="M489" s="39"/>
      <c r="N489" s="40"/>
      <c r="O489" s="40"/>
      <c r="P489" s="40"/>
      <c r="Q489" s="40"/>
    </row>
    <row r="490" spans="1:17" s="53" customFormat="1" x14ac:dyDescent="0.3">
      <c r="A490" s="31" t="s">
        <v>1364</v>
      </c>
      <c r="B490" s="32">
        <v>45853</v>
      </c>
      <c r="C490" s="33" t="s">
        <v>1365</v>
      </c>
      <c r="D490" s="40" t="s">
        <v>49</v>
      </c>
      <c r="E490" s="40" t="s">
        <v>1366</v>
      </c>
      <c r="F490" s="34">
        <v>1</v>
      </c>
      <c r="G490" s="35">
        <v>37030</v>
      </c>
      <c r="H490" s="36">
        <f>F490*G490</f>
        <v>37030</v>
      </c>
      <c r="I490" s="90"/>
      <c r="J490" s="37"/>
      <c r="K490" s="38">
        <f t="shared" si="32"/>
        <v>45853</v>
      </c>
      <c r="L490" s="90" t="s">
        <v>20</v>
      </c>
      <c r="M490" s="39"/>
      <c r="N490" s="40"/>
      <c r="O490" s="40"/>
      <c r="P490" s="40"/>
      <c r="Q490" s="40"/>
    </row>
    <row r="491" spans="1:17" s="53" customFormat="1" x14ac:dyDescent="0.3">
      <c r="A491" s="31" t="s">
        <v>1367</v>
      </c>
      <c r="B491" s="32">
        <v>45853</v>
      </c>
      <c r="C491" s="33" t="s">
        <v>1368</v>
      </c>
      <c r="D491" s="40" t="s">
        <v>1369</v>
      </c>
      <c r="E491" s="40" t="s">
        <v>1370</v>
      </c>
      <c r="F491" s="34">
        <v>4</v>
      </c>
      <c r="G491" s="35">
        <v>85078.399999999994</v>
      </c>
      <c r="H491" s="36">
        <v>85078.399999999994</v>
      </c>
      <c r="I491" s="90"/>
      <c r="J491" s="37"/>
      <c r="K491" s="38">
        <f t="shared" si="32"/>
        <v>45853</v>
      </c>
      <c r="L491" s="90" t="s">
        <v>301</v>
      </c>
      <c r="M491" s="39"/>
      <c r="N491" s="40"/>
      <c r="O491" s="40"/>
      <c r="P491" s="40"/>
      <c r="Q491" s="40"/>
    </row>
    <row r="492" spans="1:17" s="53" customFormat="1" x14ac:dyDescent="0.3">
      <c r="A492" s="31" t="s">
        <v>1371</v>
      </c>
      <c r="B492" s="32">
        <v>45854</v>
      </c>
      <c r="C492" s="33" t="s">
        <v>1372</v>
      </c>
      <c r="D492" s="40" t="s">
        <v>49</v>
      </c>
      <c r="E492" s="40" t="s">
        <v>96</v>
      </c>
      <c r="F492" s="34">
        <v>1</v>
      </c>
      <c r="G492" s="35">
        <v>9010</v>
      </c>
      <c r="H492" s="36">
        <f t="shared" ref="H492:H498" si="35">F492*G492</f>
        <v>9010</v>
      </c>
      <c r="I492" s="90"/>
      <c r="J492" s="37"/>
      <c r="K492" s="38">
        <f t="shared" si="32"/>
        <v>45854</v>
      </c>
      <c r="L492" s="90" t="s">
        <v>20</v>
      </c>
      <c r="M492" s="39"/>
      <c r="N492" s="40"/>
      <c r="O492" s="40"/>
      <c r="P492" s="40"/>
      <c r="Q492" s="40"/>
    </row>
    <row r="493" spans="1:17" s="53" customFormat="1" x14ac:dyDescent="0.3">
      <c r="A493" s="31" t="s">
        <v>1373</v>
      </c>
      <c r="B493" s="32">
        <v>45854</v>
      </c>
      <c r="C493" s="29" t="s">
        <v>1374</v>
      </c>
      <c r="D493" s="40" t="s">
        <v>1375</v>
      </c>
      <c r="E493" s="40" t="s">
        <v>1376</v>
      </c>
      <c r="F493" s="34">
        <v>1</v>
      </c>
      <c r="G493" s="35">
        <v>13718</v>
      </c>
      <c r="H493" s="36">
        <f t="shared" si="35"/>
        <v>13718</v>
      </c>
      <c r="I493" s="90"/>
      <c r="J493" s="37"/>
      <c r="K493" s="38">
        <f t="shared" si="32"/>
        <v>45854</v>
      </c>
      <c r="L493" s="90" t="s">
        <v>301</v>
      </c>
      <c r="M493" s="39"/>
      <c r="N493" s="40"/>
      <c r="O493" s="40"/>
      <c r="P493" s="40"/>
      <c r="Q493" s="40"/>
    </row>
    <row r="494" spans="1:17" s="53" customFormat="1" x14ac:dyDescent="0.3">
      <c r="A494" s="31" t="s">
        <v>1377</v>
      </c>
      <c r="B494" s="32">
        <v>45855</v>
      </c>
      <c r="C494" s="33" t="s">
        <v>1378</v>
      </c>
      <c r="D494" s="40" t="s">
        <v>94</v>
      </c>
      <c r="E494" s="40" t="s">
        <v>1379</v>
      </c>
      <c r="F494" s="34">
        <v>1</v>
      </c>
      <c r="G494" s="35">
        <v>12302</v>
      </c>
      <c r="H494" s="36">
        <f t="shared" si="35"/>
        <v>12302</v>
      </c>
      <c r="I494" s="90"/>
      <c r="J494" s="37"/>
      <c r="K494" s="38">
        <f t="shared" si="32"/>
        <v>45855</v>
      </c>
      <c r="L494" s="90" t="s">
        <v>20</v>
      </c>
      <c r="M494" s="39"/>
      <c r="N494" s="40"/>
      <c r="O494" s="40"/>
      <c r="P494" s="40"/>
      <c r="Q494" s="40"/>
    </row>
    <row r="495" spans="1:17" s="53" customFormat="1" x14ac:dyDescent="0.3">
      <c r="A495" s="31" t="s">
        <v>1380</v>
      </c>
      <c r="B495" s="32">
        <v>45855</v>
      </c>
      <c r="C495" s="33" t="s">
        <v>1381</v>
      </c>
      <c r="D495" s="40" t="s">
        <v>31</v>
      </c>
      <c r="E495" s="40" t="s">
        <v>1382</v>
      </c>
      <c r="F495" s="34">
        <v>1</v>
      </c>
      <c r="G495" s="35">
        <v>3369</v>
      </c>
      <c r="H495" s="36">
        <f t="shared" si="35"/>
        <v>3369</v>
      </c>
      <c r="I495" s="90"/>
      <c r="J495" s="37"/>
      <c r="K495" s="38">
        <f t="shared" si="32"/>
        <v>45855</v>
      </c>
      <c r="L495" s="90" t="s">
        <v>301</v>
      </c>
      <c r="M495" s="39"/>
      <c r="N495" s="40"/>
      <c r="O495" s="40"/>
      <c r="P495" s="40"/>
      <c r="Q495" s="40"/>
    </row>
    <row r="496" spans="1:17" s="53" customFormat="1" x14ac:dyDescent="0.3">
      <c r="A496" s="31" t="s">
        <v>1383</v>
      </c>
      <c r="B496" s="32">
        <v>45855</v>
      </c>
      <c r="C496" s="33" t="s">
        <v>1384</v>
      </c>
      <c r="D496" s="40" t="s">
        <v>326</v>
      </c>
      <c r="E496" s="40" t="s">
        <v>1385</v>
      </c>
      <c r="F496" s="34">
        <v>1</v>
      </c>
      <c r="G496" s="35">
        <v>17426.52</v>
      </c>
      <c r="H496" s="36">
        <f t="shared" si="35"/>
        <v>17426.52</v>
      </c>
      <c r="I496" s="90"/>
      <c r="J496" s="37"/>
      <c r="K496" s="38">
        <f t="shared" si="32"/>
        <v>45855</v>
      </c>
      <c r="L496" s="90" t="s">
        <v>301</v>
      </c>
      <c r="M496" s="39"/>
      <c r="N496" s="40"/>
      <c r="O496" s="40"/>
      <c r="P496" s="40"/>
      <c r="Q496" s="40"/>
    </row>
    <row r="497" spans="1:17" s="53" customFormat="1" x14ac:dyDescent="0.3">
      <c r="A497" s="31" t="s">
        <v>1386</v>
      </c>
      <c r="B497" s="32">
        <v>45855</v>
      </c>
      <c r="C497" s="33" t="s">
        <v>738</v>
      </c>
      <c r="D497" s="75" t="s">
        <v>1387</v>
      </c>
      <c r="E497" s="75" t="s">
        <v>73</v>
      </c>
      <c r="F497" s="34">
        <v>1</v>
      </c>
      <c r="G497" s="35">
        <v>8266</v>
      </c>
      <c r="H497" s="36">
        <f t="shared" si="35"/>
        <v>8266</v>
      </c>
      <c r="I497" s="90"/>
      <c r="J497" s="37"/>
      <c r="K497" s="38">
        <f t="shared" si="32"/>
        <v>45855</v>
      </c>
      <c r="L497" s="90" t="s">
        <v>17</v>
      </c>
      <c r="M497" s="39"/>
      <c r="N497" s="40"/>
      <c r="O497" s="40"/>
      <c r="P497" s="40"/>
      <c r="Q497" s="40"/>
    </row>
    <row r="498" spans="1:17" s="53" customFormat="1" x14ac:dyDescent="0.3">
      <c r="A498" s="31" t="s">
        <v>1388</v>
      </c>
      <c r="B498" s="32">
        <v>45856</v>
      </c>
      <c r="C498" s="33" t="s">
        <v>1389</v>
      </c>
      <c r="D498" s="40" t="s">
        <v>150</v>
      </c>
      <c r="E498" s="40" t="s">
        <v>1390</v>
      </c>
      <c r="F498" s="34">
        <v>1</v>
      </c>
      <c r="G498" s="35">
        <v>18128</v>
      </c>
      <c r="H498" s="36">
        <f t="shared" si="35"/>
        <v>18128</v>
      </c>
      <c r="I498" s="90"/>
      <c r="J498" s="37"/>
      <c r="K498" s="38">
        <f t="shared" si="32"/>
        <v>45856</v>
      </c>
      <c r="L498" s="90" t="s">
        <v>301</v>
      </c>
      <c r="M498" s="39"/>
      <c r="N498" s="40"/>
      <c r="O498" s="40"/>
      <c r="P498" s="40"/>
      <c r="Q498" s="40"/>
    </row>
    <row r="499" spans="1:17" s="53" customFormat="1" x14ac:dyDescent="0.3">
      <c r="A499" s="31" t="s">
        <v>1391</v>
      </c>
      <c r="B499" s="32">
        <v>45856</v>
      </c>
      <c r="C499" s="33" t="s">
        <v>145</v>
      </c>
      <c r="D499" s="40" t="s">
        <v>1392</v>
      </c>
      <c r="E499" s="40" t="s">
        <v>100</v>
      </c>
      <c r="F499" s="34">
        <v>2</v>
      </c>
      <c r="G499" s="35">
        <v>7612</v>
      </c>
      <c r="H499" s="36">
        <v>7612</v>
      </c>
      <c r="I499" s="90"/>
      <c r="J499" s="37"/>
      <c r="K499" s="38">
        <f t="shared" si="32"/>
        <v>45856</v>
      </c>
      <c r="L499" s="90" t="s">
        <v>301</v>
      </c>
      <c r="M499" s="39"/>
      <c r="N499" s="40"/>
      <c r="O499" s="40"/>
      <c r="P499" s="40"/>
      <c r="Q499" s="40"/>
    </row>
    <row r="500" spans="1:17" s="53" customFormat="1" x14ac:dyDescent="0.3">
      <c r="A500" s="31" t="s">
        <v>1393</v>
      </c>
      <c r="B500" s="32">
        <v>45857</v>
      </c>
      <c r="C500" s="33" t="s">
        <v>145</v>
      </c>
      <c r="D500" s="40" t="s">
        <v>1394</v>
      </c>
      <c r="E500" s="40" t="s">
        <v>1395</v>
      </c>
      <c r="F500" s="34">
        <v>10</v>
      </c>
      <c r="G500" s="35">
        <v>8376</v>
      </c>
      <c r="H500" s="36">
        <f>F500*G500</f>
        <v>83760</v>
      </c>
      <c r="I500" s="90"/>
      <c r="J500" s="37"/>
      <c r="K500" s="38">
        <f t="shared" si="32"/>
        <v>45857</v>
      </c>
      <c r="L500" s="90" t="s">
        <v>17</v>
      </c>
      <c r="M500" s="39"/>
      <c r="N500" s="40"/>
      <c r="O500" s="40"/>
      <c r="P500" s="40"/>
      <c r="Q500" s="40"/>
    </row>
    <row r="501" spans="1:17" s="53" customFormat="1" x14ac:dyDescent="0.3">
      <c r="A501" s="31" t="s">
        <v>1396</v>
      </c>
      <c r="B501" s="32">
        <v>45857</v>
      </c>
      <c r="C501" s="33" t="s">
        <v>145</v>
      </c>
      <c r="D501" s="40" t="s">
        <v>881</v>
      </c>
      <c r="E501" s="40" t="s">
        <v>93</v>
      </c>
      <c r="F501" s="34">
        <v>1</v>
      </c>
      <c r="G501" s="35">
        <v>98120</v>
      </c>
      <c r="H501" s="36">
        <f>F501*G501</f>
        <v>98120</v>
      </c>
      <c r="I501" s="90"/>
      <c r="J501" s="37"/>
      <c r="K501" s="38">
        <f t="shared" si="32"/>
        <v>45857</v>
      </c>
      <c r="L501" s="90" t="s">
        <v>17</v>
      </c>
      <c r="M501" s="39"/>
      <c r="N501" s="40"/>
      <c r="O501" s="40"/>
      <c r="P501" s="40"/>
      <c r="Q501" s="40"/>
    </row>
    <row r="502" spans="1:17" s="53" customFormat="1" x14ac:dyDescent="0.3">
      <c r="A502" s="31" t="s">
        <v>1397</v>
      </c>
      <c r="B502" s="32">
        <v>45859</v>
      </c>
      <c r="C502" s="33" t="s">
        <v>145</v>
      </c>
      <c r="D502" s="40" t="s">
        <v>458</v>
      </c>
      <c r="E502" s="40" t="s">
        <v>1398</v>
      </c>
      <c r="F502" s="34"/>
      <c r="G502" s="35"/>
      <c r="H502" s="36">
        <f>F502*G502</f>
        <v>0</v>
      </c>
      <c r="I502" s="90"/>
      <c r="J502" s="37"/>
      <c r="K502" s="38">
        <f t="shared" si="32"/>
        <v>45859</v>
      </c>
      <c r="L502" s="90"/>
      <c r="M502" s="39"/>
      <c r="N502" s="40"/>
      <c r="O502" s="40"/>
      <c r="P502" s="40"/>
      <c r="Q502" s="40"/>
    </row>
    <row r="503" spans="1:17" s="53" customFormat="1" x14ac:dyDescent="0.3">
      <c r="A503" s="31" t="s">
        <v>1399</v>
      </c>
      <c r="B503" s="32">
        <v>45860</v>
      </c>
      <c r="C503" s="33" t="s">
        <v>145</v>
      </c>
      <c r="D503" s="40" t="s">
        <v>1400</v>
      </c>
      <c r="E503" s="40" t="s">
        <v>1401</v>
      </c>
      <c r="F503" s="34">
        <v>4</v>
      </c>
      <c r="G503" s="35">
        <v>24804</v>
      </c>
      <c r="H503" s="36">
        <v>24804</v>
      </c>
      <c r="I503" s="90"/>
      <c r="J503" s="37"/>
      <c r="K503" s="38">
        <f t="shared" si="32"/>
        <v>45860</v>
      </c>
      <c r="L503" s="90" t="s">
        <v>301</v>
      </c>
      <c r="M503" s="39"/>
      <c r="N503" s="40"/>
      <c r="O503" s="40"/>
      <c r="P503" s="40"/>
      <c r="Q503" s="40"/>
    </row>
    <row r="504" spans="1:17" s="53" customFormat="1" x14ac:dyDescent="0.3">
      <c r="A504" s="31" t="s">
        <v>1402</v>
      </c>
      <c r="B504" s="32">
        <v>45860</v>
      </c>
      <c r="C504" s="33" t="s">
        <v>1403</v>
      </c>
      <c r="D504" s="40" t="s">
        <v>49</v>
      </c>
      <c r="E504" s="40" t="s">
        <v>1404</v>
      </c>
      <c r="F504" s="34">
        <v>6</v>
      </c>
      <c r="G504" s="35">
        <v>6629</v>
      </c>
      <c r="H504" s="36">
        <f>F504*G504</f>
        <v>39774</v>
      </c>
      <c r="I504" s="90"/>
      <c r="J504" s="37"/>
      <c r="K504" s="38">
        <f t="shared" si="32"/>
        <v>45860</v>
      </c>
      <c r="L504" s="90" t="s">
        <v>20</v>
      </c>
      <c r="M504" s="39"/>
      <c r="N504" s="40"/>
      <c r="O504" s="40"/>
      <c r="P504" s="40"/>
      <c r="Q504" s="40"/>
    </row>
    <row r="505" spans="1:17" s="53" customFormat="1" x14ac:dyDescent="0.3">
      <c r="A505" s="31" t="s">
        <v>1405</v>
      </c>
      <c r="B505" s="32">
        <v>45860</v>
      </c>
      <c r="C505" s="33" t="s">
        <v>1406</v>
      </c>
      <c r="D505" s="40" t="s">
        <v>49</v>
      </c>
      <c r="E505" s="40" t="s">
        <v>1407</v>
      </c>
      <c r="F505" s="34">
        <v>2</v>
      </c>
      <c r="G505" s="35">
        <v>4323</v>
      </c>
      <c r="H505" s="36">
        <f>F505*G505</f>
        <v>8646</v>
      </c>
      <c r="I505" s="90"/>
      <c r="J505" s="37"/>
      <c r="K505" s="38">
        <f t="shared" si="32"/>
        <v>45860</v>
      </c>
      <c r="L505" s="90" t="s">
        <v>20</v>
      </c>
      <c r="M505" s="39"/>
      <c r="N505" s="40"/>
      <c r="O505" s="40"/>
      <c r="P505" s="40"/>
      <c r="Q505" s="40"/>
    </row>
    <row r="506" spans="1:17" s="53" customFormat="1" x14ac:dyDescent="0.3">
      <c r="A506" s="31" t="s">
        <v>1408</v>
      </c>
      <c r="B506" s="32">
        <v>45861</v>
      </c>
      <c r="C506" s="33" t="s">
        <v>1409</v>
      </c>
      <c r="D506" s="40" t="s">
        <v>150</v>
      </c>
      <c r="E506" s="40" t="s">
        <v>1410</v>
      </c>
      <c r="F506" s="34">
        <v>2</v>
      </c>
      <c r="G506" s="35">
        <v>8227.1</v>
      </c>
      <c r="H506" s="36">
        <v>8227.1</v>
      </c>
      <c r="I506" s="90"/>
      <c r="J506" s="37"/>
      <c r="K506" s="38">
        <f t="shared" si="32"/>
        <v>45861</v>
      </c>
      <c r="L506" s="90" t="s">
        <v>301</v>
      </c>
      <c r="M506" s="39"/>
      <c r="N506" s="40"/>
      <c r="O506" s="40"/>
      <c r="P506" s="40"/>
      <c r="Q506" s="40"/>
    </row>
    <row r="507" spans="1:17" s="53" customFormat="1" x14ac:dyDescent="0.3">
      <c r="A507" s="31" t="s">
        <v>1411</v>
      </c>
      <c r="B507" s="32">
        <v>45861</v>
      </c>
      <c r="C507" s="33" t="s">
        <v>1412</v>
      </c>
      <c r="D507" s="40" t="s">
        <v>458</v>
      </c>
      <c r="E507" s="40" t="s">
        <v>63</v>
      </c>
      <c r="F507" s="34">
        <v>2</v>
      </c>
      <c r="G507" s="35">
        <v>4197</v>
      </c>
      <c r="H507" s="36">
        <f t="shared" ref="H507:H545" si="36">F507*G507</f>
        <v>8394</v>
      </c>
      <c r="I507" s="90"/>
      <c r="J507" s="37"/>
      <c r="K507" s="38">
        <f t="shared" si="32"/>
        <v>45861</v>
      </c>
      <c r="L507" s="90" t="s">
        <v>17</v>
      </c>
      <c r="M507" s="39"/>
      <c r="N507" s="40"/>
      <c r="O507" s="40"/>
      <c r="P507" s="40"/>
      <c r="Q507" s="40"/>
    </row>
    <row r="508" spans="1:17" s="53" customFormat="1" x14ac:dyDescent="0.3">
      <c r="A508" s="31" t="s">
        <v>1413</v>
      </c>
      <c r="B508" s="32">
        <v>45862</v>
      </c>
      <c r="C508" s="33" t="s">
        <v>16</v>
      </c>
      <c r="D508" s="40" t="s">
        <v>1414</v>
      </c>
      <c r="E508" s="40" t="s">
        <v>123</v>
      </c>
      <c r="F508" s="34">
        <v>1</v>
      </c>
      <c r="G508" s="35">
        <v>2187</v>
      </c>
      <c r="H508" s="36">
        <f t="shared" si="36"/>
        <v>2187</v>
      </c>
      <c r="I508" s="90"/>
      <c r="J508" s="37"/>
      <c r="K508" s="38">
        <f t="shared" si="32"/>
        <v>45862</v>
      </c>
      <c r="L508" s="90" t="s">
        <v>301</v>
      </c>
      <c r="M508" s="39"/>
      <c r="N508" s="40"/>
      <c r="O508" s="40"/>
      <c r="P508" s="40"/>
      <c r="Q508" s="40"/>
    </row>
    <row r="509" spans="1:17" s="53" customFormat="1" x14ac:dyDescent="0.3">
      <c r="A509" s="31" t="s">
        <v>1415</v>
      </c>
      <c r="B509" s="32">
        <v>45862</v>
      </c>
      <c r="C509" s="40" t="s">
        <v>1416</v>
      </c>
      <c r="D509" s="40" t="s">
        <v>1417</v>
      </c>
      <c r="E509" s="40" t="s">
        <v>56</v>
      </c>
      <c r="F509" s="34">
        <v>32</v>
      </c>
      <c r="G509" s="35">
        <v>100</v>
      </c>
      <c r="H509" s="36">
        <f t="shared" si="36"/>
        <v>3200</v>
      </c>
      <c r="I509" s="90"/>
      <c r="J509" s="37"/>
      <c r="K509" s="38">
        <f t="shared" si="32"/>
        <v>45862</v>
      </c>
      <c r="L509" s="90" t="s">
        <v>17</v>
      </c>
      <c r="M509" s="39"/>
      <c r="N509" s="40"/>
      <c r="O509" s="40"/>
      <c r="P509" s="40"/>
      <c r="Q509" s="40"/>
    </row>
    <row r="510" spans="1:17" s="53" customFormat="1" x14ac:dyDescent="0.3">
      <c r="A510" s="31" t="s">
        <v>1418</v>
      </c>
      <c r="B510" s="32">
        <v>45862</v>
      </c>
      <c r="C510" s="33" t="s">
        <v>738</v>
      </c>
      <c r="D510" s="40" t="s">
        <v>1419</v>
      </c>
      <c r="E510" s="40" t="s">
        <v>1420</v>
      </c>
      <c r="F510" s="34">
        <v>2</v>
      </c>
      <c r="G510" s="35">
        <f>7654+(285*2)+(157*2)</f>
        <v>8538</v>
      </c>
      <c r="H510" s="36">
        <f t="shared" si="36"/>
        <v>17076</v>
      </c>
      <c r="I510" s="90"/>
      <c r="J510" s="37"/>
      <c r="K510" s="38">
        <f t="shared" si="32"/>
        <v>45862</v>
      </c>
      <c r="L510" s="90" t="s">
        <v>17</v>
      </c>
      <c r="M510" s="39"/>
      <c r="N510" s="40"/>
      <c r="O510" s="40"/>
      <c r="P510" s="40"/>
      <c r="Q510" s="40"/>
    </row>
    <row r="511" spans="1:17" s="53" customFormat="1" x14ac:dyDescent="0.3">
      <c r="A511" s="31" t="s">
        <v>1421</v>
      </c>
      <c r="B511" s="32">
        <v>45863</v>
      </c>
      <c r="C511" s="33" t="s">
        <v>1422</v>
      </c>
      <c r="D511" s="40" t="s">
        <v>1423</v>
      </c>
      <c r="E511" s="40" t="s">
        <v>1424</v>
      </c>
      <c r="F511" s="34">
        <v>2</v>
      </c>
      <c r="G511" s="35">
        <f>81596/F511</f>
        <v>40798</v>
      </c>
      <c r="H511" s="36">
        <f t="shared" si="36"/>
        <v>81596</v>
      </c>
      <c r="I511" s="90"/>
      <c r="J511" s="37"/>
      <c r="K511" s="38">
        <f t="shared" si="32"/>
        <v>45863</v>
      </c>
      <c r="L511" s="90"/>
      <c r="M511" s="39"/>
      <c r="N511" s="40"/>
      <c r="O511" s="40"/>
      <c r="P511" s="40"/>
      <c r="Q511" s="40"/>
    </row>
    <row r="512" spans="1:17" s="53" customFormat="1" x14ac:dyDescent="0.3">
      <c r="A512" s="31" t="s">
        <v>1425</v>
      </c>
      <c r="B512" s="32">
        <v>45863</v>
      </c>
      <c r="C512" s="33" t="s">
        <v>16</v>
      </c>
      <c r="D512" s="40" t="s">
        <v>1426</v>
      </c>
      <c r="E512" s="40" t="s">
        <v>435</v>
      </c>
      <c r="F512" s="34">
        <v>1</v>
      </c>
      <c r="G512" s="35"/>
      <c r="H512" s="36">
        <f t="shared" si="36"/>
        <v>0</v>
      </c>
      <c r="I512" s="90"/>
      <c r="J512" s="37"/>
      <c r="K512" s="38">
        <f t="shared" si="32"/>
        <v>45863</v>
      </c>
      <c r="L512" s="90"/>
      <c r="M512" s="39"/>
      <c r="N512" s="40"/>
      <c r="O512" s="40"/>
      <c r="P512" s="40"/>
      <c r="Q512" s="40"/>
    </row>
    <row r="513" spans="1:17" s="53" customFormat="1" x14ac:dyDescent="0.3">
      <c r="A513" s="31" t="s">
        <v>1427</v>
      </c>
      <c r="B513" s="32">
        <v>45863</v>
      </c>
      <c r="C513" s="33" t="s">
        <v>16</v>
      </c>
      <c r="D513" s="40" t="s">
        <v>1426</v>
      </c>
      <c r="E513" s="40" t="s">
        <v>146</v>
      </c>
      <c r="F513" s="34">
        <v>1</v>
      </c>
      <c r="G513" s="35"/>
      <c r="H513" s="36">
        <f t="shared" si="36"/>
        <v>0</v>
      </c>
      <c r="I513" s="90"/>
      <c r="J513" s="37"/>
      <c r="K513" s="38">
        <f t="shared" si="32"/>
        <v>45863</v>
      </c>
      <c r="L513" s="90"/>
      <c r="M513" s="39"/>
      <c r="N513" s="40"/>
      <c r="O513" s="40"/>
      <c r="P513" s="40"/>
      <c r="Q513" s="40"/>
    </row>
    <row r="514" spans="1:17" s="53" customFormat="1" x14ac:dyDescent="0.3">
      <c r="A514" s="31" t="s">
        <v>1428</v>
      </c>
      <c r="B514" s="32">
        <v>45863</v>
      </c>
      <c r="C514" s="33" t="s">
        <v>16</v>
      </c>
      <c r="D514" s="40" t="s">
        <v>1429</v>
      </c>
      <c r="E514" s="40" t="s">
        <v>55</v>
      </c>
      <c r="F514" s="34">
        <v>1</v>
      </c>
      <c r="G514" s="35">
        <v>400</v>
      </c>
      <c r="H514" s="36">
        <f t="shared" si="36"/>
        <v>400</v>
      </c>
      <c r="I514" s="90"/>
      <c r="J514" s="37"/>
      <c r="K514" s="38">
        <f t="shared" si="32"/>
        <v>45863</v>
      </c>
      <c r="L514" s="90" t="s">
        <v>17</v>
      </c>
      <c r="M514" s="39"/>
      <c r="N514" s="40"/>
      <c r="O514" s="40"/>
      <c r="P514" s="40"/>
      <c r="Q514" s="40"/>
    </row>
    <row r="515" spans="1:17" s="53" customFormat="1" x14ac:dyDescent="0.3">
      <c r="A515" s="31" t="s">
        <v>1430</v>
      </c>
      <c r="B515" s="32">
        <v>45863</v>
      </c>
      <c r="C515" s="33" t="s">
        <v>1431</v>
      </c>
      <c r="D515" s="40" t="s">
        <v>31</v>
      </c>
      <c r="E515" s="40" t="s">
        <v>1432</v>
      </c>
      <c r="F515" s="34">
        <v>1</v>
      </c>
      <c r="G515" s="35">
        <v>9920</v>
      </c>
      <c r="H515" s="36">
        <f t="shared" si="36"/>
        <v>9920</v>
      </c>
      <c r="I515" s="90"/>
      <c r="J515" s="37"/>
      <c r="K515" s="38">
        <f t="shared" si="32"/>
        <v>45863</v>
      </c>
      <c r="L515" s="90" t="s">
        <v>301</v>
      </c>
      <c r="M515" s="39"/>
      <c r="N515" s="40"/>
      <c r="O515" s="40"/>
      <c r="P515" s="40"/>
      <c r="Q515" s="40"/>
    </row>
    <row r="516" spans="1:17" s="53" customFormat="1" x14ac:dyDescent="0.3">
      <c r="A516" s="31" t="s">
        <v>1433</v>
      </c>
      <c r="B516" s="32">
        <v>45866</v>
      </c>
      <c r="C516" s="33" t="s">
        <v>1434</v>
      </c>
      <c r="D516" s="40" t="s">
        <v>1435</v>
      </c>
      <c r="E516" s="40" t="s">
        <v>1436</v>
      </c>
      <c r="F516" s="34">
        <v>1</v>
      </c>
      <c r="G516" s="35">
        <v>7461</v>
      </c>
      <c r="H516" s="36">
        <f t="shared" si="36"/>
        <v>7461</v>
      </c>
      <c r="I516" s="90"/>
      <c r="J516" s="37"/>
      <c r="K516" s="38">
        <f t="shared" si="32"/>
        <v>45866</v>
      </c>
      <c r="L516" s="90" t="s">
        <v>301</v>
      </c>
      <c r="M516" s="39"/>
      <c r="N516" s="40"/>
      <c r="O516" s="40"/>
      <c r="P516" s="40"/>
      <c r="Q516" s="40"/>
    </row>
    <row r="517" spans="1:17" s="53" customFormat="1" x14ac:dyDescent="0.3">
      <c r="A517" s="31" t="s">
        <v>1437</v>
      </c>
      <c r="B517" s="32">
        <v>45866</v>
      </c>
      <c r="C517" s="33" t="s">
        <v>16</v>
      </c>
      <c r="D517" s="40" t="s">
        <v>52</v>
      </c>
      <c r="E517" s="40" t="s">
        <v>1438</v>
      </c>
      <c r="F517" s="34">
        <v>1</v>
      </c>
      <c r="G517" s="35">
        <v>9633.11</v>
      </c>
      <c r="H517" s="36">
        <f t="shared" si="36"/>
        <v>9633.11</v>
      </c>
      <c r="I517" s="90"/>
      <c r="J517" s="37"/>
      <c r="K517" s="38">
        <f t="shared" si="32"/>
        <v>45866</v>
      </c>
      <c r="L517" s="90" t="s">
        <v>301</v>
      </c>
      <c r="M517" s="39"/>
      <c r="N517" s="40"/>
      <c r="O517" s="40"/>
      <c r="P517" s="40"/>
      <c r="Q517" s="40"/>
    </row>
    <row r="518" spans="1:17" s="53" customFormat="1" x14ac:dyDescent="0.3">
      <c r="A518" s="31" t="s">
        <v>1439</v>
      </c>
      <c r="B518" s="32">
        <v>45868</v>
      </c>
      <c r="C518" s="33" t="s">
        <v>16</v>
      </c>
      <c r="D518" s="40" t="s">
        <v>1440</v>
      </c>
      <c r="E518" s="40" t="s">
        <v>1441</v>
      </c>
      <c r="F518" s="34">
        <v>1</v>
      </c>
      <c r="G518" s="35">
        <v>12703.46</v>
      </c>
      <c r="H518" s="36">
        <f t="shared" si="36"/>
        <v>12703.46</v>
      </c>
      <c r="I518" s="90"/>
      <c r="J518" s="37"/>
      <c r="K518" s="38">
        <f t="shared" ref="K518:K581" si="37">J518+B518</f>
        <v>45868</v>
      </c>
      <c r="L518" s="90" t="s">
        <v>143</v>
      </c>
      <c r="M518" s="39"/>
      <c r="N518" s="40"/>
      <c r="O518" s="40"/>
      <c r="P518" s="40"/>
      <c r="Q518" s="40"/>
    </row>
    <row r="519" spans="1:17" s="53" customFormat="1" x14ac:dyDescent="0.3">
      <c r="A519" s="31" t="s">
        <v>1442</v>
      </c>
      <c r="B519" s="32">
        <v>45868</v>
      </c>
      <c r="C519" s="33" t="s">
        <v>16</v>
      </c>
      <c r="D519" s="40" t="s">
        <v>1440</v>
      </c>
      <c r="E519" s="40" t="s">
        <v>1385</v>
      </c>
      <c r="F519" s="34">
        <v>2</v>
      </c>
      <c r="G519" s="35">
        <v>12305.85</v>
      </c>
      <c r="H519" s="36">
        <f t="shared" si="36"/>
        <v>24611.7</v>
      </c>
      <c r="I519" s="90"/>
      <c r="J519" s="37"/>
      <c r="K519" s="38">
        <f t="shared" si="37"/>
        <v>45868</v>
      </c>
      <c r="L519" s="90" t="s">
        <v>143</v>
      </c>
      <c r="M519" s="39"/>
      <c r="N519" s="40"/>
      <c r="O519" s="40"/>
      <c r="P519" s="40"/>
      <c r="Q519" s="40"/>
    </row>
    <row r="520" spans="1:17" s="53" customFormat="1" x14ac:dyDescent="0.3">
      <c r="A520" s="31" t="s">
        <v>1443</v>
      </c>
      <c r="B520" s="32">
        <v>45868</v>
      </c>
      <c r="C520" s="33" t="s">
        <v>16</v>
      </c>
      <c r="D520" s="40" t="s">
        <v>1440</v>
      </c>
      <c r="E520" s="40" t="s">
        <v>1444</v>
      </c>
      <c r="F520" s="34">
        <v>1</v>
      </c>
      <c r="G520" s="35">
        <v>16033.77</v>
      </c>
      <c r="H520" s="36">
        <f t="shared" si="36"/>
        <v>16033.77</v>
      </c>
      <c r="I520" s="90"/>
      <c r="J520" s="37"/>
      <c r="K520" s="38">
        <f t="shared" si="37"/>
        <v>45868</v>
      </c>
      <c r="L520" s="90" t="s">
        <v>143</v>
      </c>
      <c r="M520" s="39"/>
      <c r="N520" s="40"/>
      <c r="O520" s="40"/>
      <c r="P520" s="40"/>
      <c r="Q520" s="40"/>
    </row>
    <row r="521" spans="1:17" s="53" customFormat="1" x14ac:dyDescent="0.3">
      <c r="A521" s="31" t="s">
        <v>1445</v>
      </c>
      <c r="B521" s="32">
        <v>45868</v>
      </c>
      <c r="C521" s="33" t="s">
        <v>16</v>
      </c>
      <c r="D521" s="40" t="s">
        <v>1440</v>
      </c>
      <c r="E521" s="40" t="s">
        <v>394</v>
      </c>
      <c r="F521" s="34">
        <v>2</v>
      </c>
      <c r="G521" s="35">
        <v>11620.52</v>
      </c>
      <c r="H521" s="36">
        <f t="shared" si="36"/>
        <v>23241.040000000001</v>
      </c>
      <c r="I521" s="90"/>
      <c r="J521" s="37"/>
      <c r="K521" s="38">
        <f t="shared" si="37"/>
        <v>45868</v>
      </c>
      <c r="L521" s="90" t="s">
        <v>143</v>
      </c>
      <c r="M521" s="39"/>
      <c r="N521" s="40"/>
      <c r="O521" s="40"/>
      <c r="P521" s="40"/>
      <c r="Q521" s="40"/>
    </row>
    <row r="522" spans="1:17" s="53" customFormat="1" x14ac:dyDescent="0.3">
      <c r="A522" s="31" t="s">
        <v>1446</v>
      </c>
      <c r="B522" s="32">
        <v>45868</v>
      </c>
      <c r="C522" s="33" t="s">
        <v>16</v>
      </c>
      <c r="D522" s="40" t="s">
        <v>1440</v>
      </c>
      <c r="E522" s="40" t="s">
        <v>451</v>
      </c>
      <c r="F522" s="34">
        <v>2</v>
      </c>
      <c r="G522" s="35">
        <v>11520.52</v>
      </c>
      <c r="H522" s="36">
        <f t="shared" si="36"/>
        <v>23041.040000000001</v>
      </c>
      <c r="I522" s="90"/>
      <c r="J522" s="37"/>
      <c r="K522" s="38">
        <f t="shared" si="37"/>
        <v>45868</v>
      </c>
      <c r="L522" s="90" t="s">
        <v>143</v>
      </c>
      <c r="M522" s="39"/>
      <c r="N522" s="40"/>
      <c r="O522" s="40"/>
      <c r="P522" s="40"/>
      <c r="Q522" s="40"/>
    </row>
    <row r="523" spans="1:17" s="53" customFormat="1" x14ac:dyDescent="0.3">
      <c r="A523" s="31" t="s">
        <v>1447</v>
      </c>
      <c r="B523" s="32">
        <v>45868</v>
      </c>
      <c r="C523" s="33" t="s">
        <v>16</v>
      </c>
      <c r="D523" s="40" t="s">
        <v>1448</v>
      </c>
      <c r="E523" s="40" t="s">
        <v>123</v>
      </c>
      <c r="F523" s="34">
        <v>1</v>
      </c>
      <c r="G523" s="35">
        <v>2187</v>
      </c>
      <c r="H523" s="36">
        <f t="shared" si="36"/>
        <v>2187</v>
      </c>
      <c r="I523" s="90"/>
      <c r="J523" s="37"/>
      <c r="K523" s="38">
        <f t="shared" si="37"/>
        <v>45868</v>
      </c>
      <c r="L523" s="90" t="s">
        <v>17</v>
      </c>
      <c r="M523" s="39"/>
      <c r="N523" s="40"/>
      <c r="O523" s="40"/>
      <c r="P523" s="40"/>
      <c r="Q523" s="40"/>
    </row>
    <row r="524" spans="1:17" s="53" customFormat="1" x14ac:dyDescent="0.3">
      <c r="A524" s="31" t="s">
        <v>1449</v>
      </c>
      <c r="B524" s="32">
        <v>45868</v>
      </c>
      <c r="C524" s="33" t="s">
        <v>16</v>
      </c>
      <c r="D524" s="40" t="s">
        <v>160</v>
      </c>
      <c r="E524" s="40" t="s">
        <v>133</v>
      </c>
      <c r="F524" s="34">
        <v>1</v>
      </c>
      <c r="G524" s="35">
        <v>11892</v>
      </c>
      <c r="H524" s="36">
        <f t="shared" si="36"/>
        <v>11892</v>
      </c>
      <c r="I524" s="90"/>
      <c r="J524" s="37"/>
      <c r="K524" s="38">
        <f t="shared" si="37"/>
        <v>45868</v>
      </c>
      <c r="L524" s="90" t="s">
        <v>143</v>
      </c>
      <c r="M524" s="39"/>
      <c r="N524" s="40"/>
      <c r="O524" s="40"/>
      <c r="P524" s="40"/>
      <c r="Q524" s="40"/>
    </row>
    <row r="525" spans="1:17" s="53" customFormat="1" x14ac:dyDescent="0.3">
      <c r="A525" s="31" t="s">
        <v>1450</v>
      </c>
      <c r="B525" s="32">
        <v>45869</v>
      </c>
      <c r="C525" s="33" t="s">
        <v>1451</v>
      </c>
      <c r="D525" s="40" t="s">
        <v>126</v>
      </c>
      <c r="E525" s="40" t="s">
        <v>1452</v>
      </c>
      <c r="F525" s="34">
        <v>2</v>
      </c>
      <c r="G525" s="35">
        <v>44400</v>
      </c>
      <c r="H525" s="36">
        <f t="shared" si="36"/>
        <v>88800</v>
      </c>
      <c r="I525" s="90"/>
      <c r="J525" s="37"/>
      <c r="K525" s="38">
        <f t="shared" si="37"/>
        <v>45869</v>
      </c>
      <c r="L525" s="90" t="s">
        <v>17</v>
      </c>
      <c r="M525" s="39"/>
      <c r="N525" s="40"/>
      <c r="O525" s="40"/>
      <c r="P525" s="40"/>
      <c r="Q525" s="40"/>
    </row>
    <row r="526" spans="1:17" s="53" customFormat="1" x14ac:dyDescent="0.3">
      <c r="A526" s="31" t="s">
        <v>1453</v>
      </c>
      <c r="B526" s="32">
        <v>45869</v>
      </c>
      <c r="C526" s="33" t="s">
        <v>1454</v>
      </c>
      <c r="D526" s="75" t="s">
        <v>1455</v>
      </c>
      <c r="E526" s="75" t="s">
        <v>1456</v>
      </c>
      <c r="F526" s="34">
        <v>2</v>
      </c>
      <c r="G526" s="35">
        <f>12177+(2*387)+(4*288)</f>
        <v>14103</v>
      </c>
      <c r="H526" s="36">
        <f t="shared" si="36"/>
        <v>28206</v>
      </c>
      <c r="I526" s="90"/>
      <c r="J526" s="37"/>
      <c r="K526" s="38">
        <f t="shared" si="37"/>
        <v>45869</v>
      </c>
      <c r="L526" s="90" t="s">
        <v>17</v>
      </c>
      <c r="M526" s="39"/>
      <c r="N526" s="40"/>
      <c r="O526" s="40"/>
      <c r="P526" s="40"/>
      <c r="Q526" s="40"/>
    </row>
    <row r="527" spans="1:17" s="53" customFormat="1" x14ac:dyDescent="0.3">
      <c r="A527" s="31" t="s">
        <v>1457</v>
      </c>
      <c r="B527" s="32">
        <v>45869</v>
      </c>
      <c r="C527" s="33" t="s">
        <v>145</v>
      </c>
      <c r="D527" s="40" t="s">
        <v>1458</v>
      </c>
      <c r="E527" s="40" t="s">
        <v>24</v>
      </c>
      <c r="F527" s="34">
        <v>1</v>
      </c>
      <c r="G527" s="35">
        <v>11876</v>
      </c>
      <c r="H527" s="36">
        <f t="shared" si="36"/>
        <v>11876</v>
      </c>
      <c r="I527" s="90"/>
      <c r="J527" s="37"/>
      <c r="K527" s="38">
        <f t="shared" si="37"/>
        <v>45869</v>
      </c>
      <c r="L527" s="90" t="s">
        <v>17</v>
      </c>
      <c r="M527" s="39"/>
      <c r="N527" s="40"/>
      <c r="O527" s="40"/>
      <c r="P527" s="40"/>
      <c r="Q527" s="40"/>
    </row>
    <row r="528" spans="1:17" s="53" customFormat="1" x14ac:dyDescent="0.3">
      <c r="A528" s="31" t="s">
        <v>1459</v>
      </c>
      <c r="B528" s="32">
        <v>45869</v>
      </c>
      <c r="C528" s="33" t="s">
        <v>16</v>
      </c>
      <c r="D528" s="40" t="s">
        <v>1460</v>
      </c>
      <c r="E528" s="40" t="s">
        <v>1461</v>
      </c>
      <c r="F528" s="34">
        <v>2</v>
      </c>
      <c r="G528" s="35">
        <v>24352</v>
      </c>
      <c r="H528" s="36">
        <f t="shared" si="36"/>
        <v>48704</v>
      </c>
      <c r="I528" s="90"/>
      <c r="J528" s="37"/>
      <c r="K528" s="38">
        <f t="shared" si="37"/>
        <v>45869</v>
      </c>
      <c r="L528" s="90" t="s">
        <v>143</v>
      </c>
      <c r="M528" s="39"/>
      <c r="N528" s="40"/>
      <c r="O528" s="40"/>
      <c r="P528" s="40"/>
      <c r="Q528" s="40"/>
    </row>
    <row r="529" spans="1:17" s="53" customFormat="1" x14ac:dyDescent="0.3">
      <c r="A529" s="31" t="s">
        <v>1462</v>
      </c>
      <c r="B529" s="32">
        <v>45869</v>
      </c>
      <c r="C529" s="33" t="s">
        <v>1463</v>
      </c>
      <c r="D529" s="75" t="s">
        <v>798</v>
      </c>
      <c r="E529" s="75" t="s">
        <v>1464</v>
      </c>
      <c r="F529" s="34">
        <v>1</v>
      </c>
      <c r="G529" s="35">
        <v>11832</v>
      </c>
      <c r="H529" s="36">
        <f t="shared" si="36"/>
        <v>11832</v>
      </c>
      <c r="I529" s="90"/>
      <c r="J529" s="37"/>
      <c r="K529" s="38">
        <f t="shared" si="37"/>
        <v>45869</v>
      </c>
      <c r="L529" s="90" t="s">
        <v>17</v>
      </c>
      <c r="M529" s="39"/>
      <c r="N529" s="40"/>
      <c r="O529" s="40"/>
      <c r="P529" s="40"/>
      <c r="Q529" s="40"/>
    </row>
    <row r="530" spans="1:17" s="53" customFormat="1" x14ac:dyDescent="0.3">
      <c r="A530" s="31" t="s">
        <v>1465</v>
      </c>
      <c r="B530" s="32">
        <v>45869</v>
      </c>
      <c r="C530" s="33" t="s">
        <v>1463</v>
      </c>
      <c r="D530" s="75" t="s">
        <v>798</v>
      </c>
      <c r="E530" s="75" t="s">
        <v>1466</v>
      </c>
      <c r="F530" s="34">
        <v>1</v>
      </c>
      <c r="G530" s="35">
        <v>6196</v>
      </c>
      <c r="H530" s="36">
        <f t="shared" si="36"/>
        <v>6196</v>
      </c>
      <c r="I530" s="90"/>
      <c r="J530" s="37"/>
      <c r="K530" s="38">
        <f t="shared" si="37"/>
        <v>45869</v>
      </c>
      <c r="L530" s="90" t="s">
        <v>17</v>
      </c>
      <c r="M530" s="39"/>
      <c r="N530" s="40"/>
      <c r="O530" s="40"/>
      <c r="P530" s="40"/>
      <c r="Q530" s="40"/>
    </row>
    <row r="531" spans="1:17" s="53" customFormat="1" x14ac:dyDescent="0.3">
      <c r="A531" s="31" t="s">
        <v>1467</v>
      </c>
      <c r="B531" s="32">
        <v>45870</v>
      </c>
      <c r="C531" s="33" t="s">
        <v>1468</v>
      </c>
      <c r="D531" s="40" t="s">
        <v>102</v>
      </c>
      <c r="E531" s="40" t="s">
        <v>1469</v>
      </c>
      <c r="F531" s="34">
        <v>1</v>
      </c>
      <c r="G531" s="35">
        <v>5101</v>
      </c>
      <c r="H531" s="36">
        <f t="shared" si="36"/>
        <v>5101</v>
      </c>
      <c r="I531" s="90"/>
      <c r="J531" s="37"/>
      <c r="K531" s="38">
        <f t="shared" si="37"/>
        <v>45870</v>
      </c>
      <c r="L531" s="90" t="s">
        <v>17</v>
      </c>
      <c r="M531" s="39"/>
      <c r="N531" s="40"/>
      <c r="O531" s="40"/>
      <c r="P531" s="40"/>
      <c r="Q531" s="40"/>
    </row>
    <row r="532" spans="1:17" s="53" customFormat="1" x14ac:dyDescent="0.3">
      <c r="A532" s="31" t="s">
        <v>1470</v>
      </c>
      <c r="B532" s="32">
        <v>45873</v>
      </c>
      <c r="C532" s="33" t="s">
        <v>1471</v>
      </c>
      <c r="D532" s="40" t="s">
        <v>94</v>
      </c>
      <c r="E532" s="40" t="s">
        <v>24</v>
      </c>
      <c r="F532" s="34">
        <v>1</v>
      </c>
      <c r="G532" s="35">
        <v>12502</v>
      </c>
      <c r="H532" s="36">
        <f t="shared" si="36"/>
        <v>12502</v>
      </c>
      <c r="I532" s="90"/>
      <c r="J532" s="37"/>
      <c r="K532" s="38">
        <f t="shared" si="37"/>
        <v>45873</v>
      </c>
      <c r="L532" s="90" t="s">
        <v>301</v>
      </c>
      <c r="M532" s="39"/>
      <c r="N532" s="40"/>
      <c r="O532" s="40"/>
      <c r="P532" s="40"/>
      <c r="Q532" s="40"/>
    </row>
    <row r="533" spans="1:17" s="53" customFormat="1" x14ac:dyDescent="0.3">
      <c r="A533" s="31" t="s">
        <v>1472</v>
      </c>
      <c r="B533" s="32">
        <v>45873</v>
      </c>
      <c r="C533" s="33" t="s">
        <v>16</v>
      </c>
      <c r="D533" s="40" t="s">
        <v>52</v>
      </c>
      <c r="E533" s="40" t="s">
        <v>1473</v>
      </c>
      <c r="F533" s="34">
        <v>1</v>
      </c>
      <c r="G533" s="35">
        <v>2504</v>
      </c>
      <c r="H533" s="36">
        <f t="shared" si="36"/>
        <v>2504</v>
      </c>
      <c r="I533" s="90"/>
      <c r="J533" s="37"/>
      <c r="K533" s="38">
        <f t="shared" si="37"/>
        <v>45873</v>
      </c>
      <c r="L533" s="90" t="s">
        <v>301</v>
      </c>
      <c r="M533" s="39"/>
      <c r="N533" s="40"/>
      <c r="O533" s="40"/>
      <c r="P533" s="40"/>
      <c r="Q533" s="40"/>
    </row>
    <row r="534" spans="1:17" s="53" customFormat="1" x14ac:dyDescent="0.3">
      <c r="A534" s="31" t="s">
        <v>1474</v>
      </c>
      <c r="B534" s="32">
        <v>45874</v>
      </c>
      <c r="C534" s="33" t="s">
        <v>1475</v>
      </c>
      <c r="D534" s="40" t="s">
        <v>341</v>
      </c>
      <c r="E534" s="40" t="s">
        <v>59</v>
      </c>
      <c r="F534" s="34">
        <v>6</v>
      </c>
      <c r="G534" s="35">
        <v>1937</v>
      </c>
      <c r="H534" s="36">
        <f t="shared" si="36"/>
        <v>11622</v>
      </c>
      <c r="I534" s="90"/>
      <c r="J534" s="37"/>
      <c r="K534" s="38">
        <f t="shared" si="37"/>
        <v>45874</v>
      </c>
      <c r="L534" s="90" t="s">
        <v>143</v>
      </c>
      <c r="M534" s="39"/>
      <c r="N534" s="40"/>
      <c r="O534" s="40"/>
      <c r="P534" s="40"/>
      <c r="Q534" s="40"/>
    </row>
    <row r="535" spans="1:17" s="53" customFormat="1" x14ac:dyDescent="0.3">
      <c r="A535" s="31" t="s">
        <v>1476</v>
      </c>
      <c r="B535" s="32">
        <v>45875</v>
      </c>
      <c r="C535" s="33" t="s">
        <v>1477</v>
      </c>
      <c r="D535" s="40" t="s">
        <v>326</v>
      </c>
      <c r="E535" s="40" t="s">
        <v>1478</v>
      </c>
      <c r="F535" s="34">
        <v>2</v>
      </c>
      <c r="G535" s="35">
        <v>3191</v>
      </c>
      <c r="H535" s="36">
        <f t="shared" si="36"/>
        <v>6382</v>
      </c>
      <c r="I535" s="90"/>
      <c r="J535" s="37"/>
      <c r="K535" s="38">
        <f t="shared" si="37"/>
        <v>45875</v>
      </c>
      <c r="L535" s="90" t="s">
        <v>301</v>
      </c>
      <c r="M535" s="39"/>
      <c r="N535" s="40"/>
      <c r="O535" s="40"/>
      <c r="P535" s="40"/>
      <c r="Q535" s="40"/>
    </row>
    <row r="536" spans="1:17" s="53" customFormat="1" x14ac:dyDescent="0.3">
      <c r="A536" s="31" t="s">
        <v>1479</v>
      </c>
      <c r="B536" s="32">
        <v>45876</v>
      </c>
      <c r="C536" s="33" t="s">
        <v>16</v>
      </c>
      <c r="D536" s="40" t="s">
        <v>1480</v>
      </c>
      <c r="E536" s="40" t="s">
        <v>1481</v>
      </c>
      <c r="F536" s="34">
        <v>1</v>
      </c>
      <c r="G536" s="35">
        <v>3646</v>
      </c>
      <c r="H536" s="36">
        <f t="shared" si="36"/>
        <v>3646</v>
      </c>
      <c r="I536" s="90"/>
      <c r="J536" s="37"/>
      <c r="K536" s="38">
        <f t="shared" si="37"/>
        <v>45876</v>
      </c>
      <c r="L536" s="90" t="s">
        <v>143</v>
      </c>
      <c r="M536" s="39"/>
      <c r="N536" s="40"/>
      <c r="O536" s="40"/>
      <c r="P536" s="40"/>
      <c r="Q536" s="40"/>
    </row>
    <row r="537" spans="1:17" s="53" customFormat="1" x14ac:dyDescent="0.3">
      <c r="A537" s="31" t="s">
        <v>1482</v>
      </c>
      <c r="B537" s="32">
        <v>45876</v>
      </c>
      <c r="C537" s="33" t="s">
        <v>1483</v>
      </c>
      <c r="D537" s="40" t="s">
        <v>1484</v>
      </c>
      <c r="E537" s="40" t="s">
        <v>1485</v>
      </c>
      <c r="F537" s="34">
        <v>1</v>
      </c>
      <c r="G537" s="35">
        <v>10148.879999999999</v>
      </c>
      <c r="H537" s="36">
        <f t="shared" si="36"/>
        <v>10148.879999999999</v>
      </c>
      <c r="I537" s="90"/>
      <c r="J537" s="37"/>
      <c r="K537" s="38">
        <f t="shared" si="37"/>
        <v>45876</v>
      </c>
      <c r="L537" s="90" t="s">
        <v>301</v>
      </c>
      <c r="M537" s="39"/>
      <c r="N537" s="40"/>
      <c r="O537" s="40"/>
      <c r="P537" s="40"/>
      <c r="Q537" s="40"/>
    </row>
    <row r="538" spans="1:17" s="53" customFormat="1" x14ac:dyDescent="0.3">
      <c r="A538" s="31" t="s">
        <v>1486</v>
      </c>
      <c r="B538" s="32">
        <v>45876</v>
      </c>
      <c r="C538" s="33" t="s">
        <v>1487</v>
      </c>
      <c r="D538" s="40" t="s">
        <v>49</v>
      </c>
      <c r="E538" s="40" t="s">
        <v>1404</v>
      </c>
      <c r="F538" s="34">
        <v>1</v>
      </c>
      <c r="G538" s="35">
        <v>6906</v>
      </c>
      <c r="H538" s="36">
        <f t="shared" si="36"/>
        <v>6906</v>
      </c>
      <c r="I538" s="90"/>
      <c r="J538" s="37"/>
      <c r="K538" s="38">
        <f t="shared" si="37"/>
        <v>45876</v>
      </c>
      <c r="L538" s="90" t="s">
        <v>20</v>
      </c>
      <c r="M538" s="39"/>
      <c r="N538" s="40"/>
      <c r="O538" s="40"/>
      <c r="P538" s="40"/>
      <c r="Q538" s="40"/>
    </row>
    <row r="539" spans="1:17" s="53" customFormat="1" x14ac:dyDescent="0.3">
      <c r="A539" s="31" t="s">
        <v>1488</v>
      </c>
      <c r="B539" s="32">
        <v>45876</v>
      </c>
      <c r="C539" s="33" t="s">
        <v>145</v>
      </c>
      <c r="D539" s="40" t="s">
        <v>1489</v>
      </c>
      <c r="E539" s="40" t="s">
        <v>112</v>
      </c>
      <c r="F539" s="34">
        <v>12</v>
      </c>
      <c r="G539" s="35">
        <v>2242.5</v>
      </c>
      <c r="H539" s="36">
        <f t="shared" si="36"/>
        <v>26910</v>
      </c>
      <c r="I539" s="90"/>
      <c r="J539" s="37"/>
      <c r="K539" s="38">
        <f t="shared" si="37"/>
        <v>45876</v>
      </c>
      <c r="L539" s="90" t="s">
        <v>17</v>
      </c>
      <c r="M539" s="39"/>
      <c r="N539" s="40"/>
      <c r="O539" s="40"/>
      <c r="P539" s="40"/>
      <c r="Q539" s="40"/>
    </row>
    <row r="540" spans="1:17" s="53" customFormat="1" x14ac:dyDescent="0.3">
      <c r="A540" s="31" t="s">
        <v>1490</v>
      </c>
      <c r="B540" s="32">
        <v>45876</v>
      </c>
      <c r="C540" s="33" t="s">
        <v>1491</v>
      </c>
      <c r="D540" s="40" t="s">
        <v>89</v>
      </c>
      <c r="E540" s="40" t="s">
        <v>1492</v>
      </c>
      <c r="F540" s="34">
        <v>1</v>
      </c>
      <c r="G540" s="35">
        <v>4390</v>
      </c>
      <c r="H540" s="36">
        <f t="shared" si="36"/>
        <v>4390</v>
      </c>
      <c r="I540" s="90"/>
      <c r="J540" s="37"/>
      <c r="K540" s="38">
        <f t="shared" si="37"/>
        <v>45876</v>
      </c>
      <c r="L540" s="90" t="s">
        <v>17</v>
      </c>
      <c r="M540" s="39"/>
      <c r="N540" s="40"/>
      <c r="O540" s="40"/>
      <c r="P540" s="40"/>
      <c r="Q540" s="40"/>
    </row>
    <row r="541" spans="1:17" s="53" customFormat="1" x14ac:dyDescent="0.3">
      <c r="A541" s="31" t="s">
        <v>1493</v>
      </c>
      <c r="B541" s="32">
        <v>45877</v>
      </c>
      <c r="C541" s="33" t="s">
        <v>1494</v>
      </c>
      <c r="D541" s="40" t="s">
        <v>548</v>
      </c>
      <c r="E541" s="40" t="s">
        <v>1495</v>
      </c>
      <c r="F541" s="34">
        <v>2</v>
      </c>
      <c r="G541" s="35">
        <v>11749.8</v>
      </c>
      <c r="H541" s="36">
        <f t="shared" si="36"/>
        <v>23499.599999999999</v>
      </c>
      <c r="I541" s="90"/>
      <c r="J541" s="37"/>
      <c r="K541" s="38">
        <f t="shared" si="37"/>
        <v>45877</v>
      </c>
      <c r="L541" s="90" t="s">
        <v>17</v>
      </c>
      <c r="M541" s="39"/>
      <c r="N541" s="40"/>
      <c r="O541" s="40"/>
      <c r="P541" s="40"/>
      <c r="Q541" s="40"/>
    </row>
    <row r="542" spans="1:17" s="53" customFormat="1" x14ac:dyDescent="0.3">
      <c r="A542" s="31" t="s">
        <v>1496</v>
      </c>
      <c r="B542" s="32">
        <v>45877</v>
      </c>
      <c r="C542" s="33" t="s">
        <v>1497</v>
      </c>
      <c r="D542" s="40" t="s">
        <v>1498</v>
      </c>
      <c r="E542" s="40" t="s">
        <v>1432</v>
      </c>
      <c r="F542" s="34">
        <v>1</v>
      </c>
      <c r="G542" s="35">
        <v>10692</v>
      </c>
      <c r="H542" s="36">
        <f t="shared" si="36"/>
        <v>10692</v>
      </c>
      <c r="I542" s="90"/>
      <c r="J542" s="37"/>
      <c r="K542" s="38">
        <f t="shared" si="37"/>
        <v>45877</v>
      </c>
      <c r="L542" s="90" t="s">
        <v>301</v>
      </c>
      <c r="M542" s="39"/>
      <c r="N542" s="40"/>
      <c r="O542" s="40"/>
      <c r="P542" s="40"/>
      <c r="Q542" s="40"/>
    </row>
    <row r="543" spans="1:17" s="53" customFormat="1" x14ac:dyDescent="0.3">
      <c r="A543" s="31" t="s">
        <v>1499</v>
      </c>
      <c r="B543" s="32">
        <v>45881</v>
      </c>
      <c r="C543" s="33" t="s">
        <v>1500</v>
      </c>
      <c r="D543" s="40" t="s">
        <v>1501</v>
      </c>
      <c r="E543" s="40" t="s">
        <v>1502</v>
      </c>
      <c r="F543" s="34">
        <v>1</v>
      </c>
      <c r="G543" s="35">
        <v>12373</v>
      </c>
      <c r="H543" s="36">
        <f t="shared" si="36"/>
        <v>12373</v>
      </c>
      <c r="I543" s="90"/>
      <c r="J543" s="37"/>
      <c r="K543" s="38">
        <f t="shared" si="37"/>
        <v>45881</v>
      </c>
      <c r="L543" s="90" t="s">
        <v>17</v>
      </c>
      <c r="M543" s="39"/>
      <c r="N543" s="40"/>
      <c r="O543" s="40"/>
      <c r="P543" s="40"/>
      <c r="Q543" s="40"/>
    </row>
    <row r="544" spans="1:17" s="53" customFormat="1" x14ac:dyDescent="0.3">
      <c r="A544" s="31" t="s">
        <v>1503</v>
      </c>
      <c r="B544" s="32">
        <v>45881</v>
      </c>
      <c r="C544" s="33" t="s">
        <v>1504</v>
      </c>
      <c r="D544" s="40" t="s">
        <v>1501</v>
      </c>
      <c r="E544" s="40" t="s">
        <v>1505</v>
      </c>
      <c r="F544" s="34">
        <v>1</v>
      </c>
      <c r="G544" s="35">
        <v>19260.88</v>
      </c>
      <c r="H544" s="36">
        <f t="shared" si="36"/>
        <v>19260.88</v>
      </c>
      <c r="I544" s="90"/>
      <c r="J544" s="37"/>
      <c r="K544" s="38">
        <f t="shared" si="37"/>
        <v>45881</v>
      </c>
      <c r="L544" s="90" t="s">
        <v>17</v>
      </c>
      <c r="M544" s="39"/>
      <c r="N544" s="40"/>
      <c r="O544" s="40"/>
      <c r="P544" s="40"/>
      <c r="Q544" s="40"/>
    </row>
    <row r="545" spans="1:17" s="53" customFormat="1" x14ac:dyDescent="0.3">
      <c r="A545" s="31" t="s">
        <v>1506</v>
      </c>
      <c r="B545" s="32">
        <v>45881</v>
      </c>
      <c r="C545" s="33" t="s">
        <v>145</v>
      </c>
      <c r="D545" s="40" t="s">
        <v>1507</v>
      </c>
      <c r="E545" s="40" t="s">
        <v>1508</v>
      </c>
      <c r="F545" s="34">
        <v>1</v>
      </c>
      <c r="G545" s="35">
        <v>12821</v>
      </c>
      <c r="H545" s="36">
        <f t="shared" si="36"/>
        <v>12821</v>
      </c>
      <c r="I545" s="90"/>
      <c r="J545" s="37"/>
      <c r="K545" s="38">
        <f t="shared" si="37"/>
        <v>45881</v>
      </c>
      <c r="L545" s="90" t="s">
        <v>143</v>
      </c>
      <c r="M545" s="39"/>
      <c r="N545" s="40"/>
      <c r="O545" s="40"/>
      <c r="P545" s="40"/>
      <c r="Q545" s="40"/>
    </row>
    <row r="546" spans="1:17" s="53" customFormat="1" x14ac:dyDescent="0.3">
      <c r="A546" s="31" t="s">
        <v>1509</v>
      </c>
      <c r="B546" s="32">
        <v>45881</v>
      </c>
      <c r="C546" s="33" t="s">
        <v>145</v>
      </c>
      <c r="D546" s="40" t="s">
        <v>980</v>
      </c>
      <c r="E546" s="40" t="s">
        <v>112</v>
      </c>
      <c r="F546" s="34">
        <v>3</v>
      </c>
      <c r="G546" s="35">
        <v>37923.58</v>
      </c>
      <c r="H546" s="36">
        <v>37923.58</v>
      </c>
      <c r="I546" s="90"/>
      <c r="J546" s="37"/>
      <c r="K546" s="38">
        <f t="shared" si="37"/>
        <v>45881</v>
      </c>
      <c r="L546" s="90" t="s">
        <v>301</v>
      </c>
      <c r="M546" s="39"/>
      <c r="N546" s="40"/>
      <c r="O546" s="40"/>
      <c r="P546" s="40"/>
      <c r="Q546" s="40"/>
    </row>
    <row r="547" spans="1:17" s="53" customFormat="1" x14ac:dyDescent="0.3">
      <c r="A547" s="31" t="s">
        <v>1510</v>
      </c>
      <c r="B547" s="32">
        <v>45881</v>
      </c>
      <c r="C547" s="33" t="s">
        <v>1511</v>
      </c>
      <c r="D547" s="40" t="s">
        <v>49</v>
      </c>
      <c r="E547" s="40" t="s">
        <v>1512</v>
      </c>
      <c r="F547" s="34">
        <v>1</v>
      </c>
      <c r="G547" s="35">
        <v>10767</v>
      </c>
      <c r="H547" s="36">
        <f t="shared" ref="H547:H610" si="38">F547*G547</f>
        <v>10767</v>
      </c>
      <c r="I547" s="90"/>
      <c r="J547" s="37"/>
      <c r="K547" s="38">
        <f t="shared" si="37"/>
        <v>45881</v>
      </c>
      <c r="L547" s="90" t="s">
        <v>20</v>
      </c>
      <c r="M547" s="39"/>
      <c r="N547" s="40"/>
      <c r="O547" s="40"/>
      <c r="P547" s="40"/>
      <c r="Q547" s="40"/>
    </row>
    <row r="548" spans="1:17" s="53" customFormat="1" x14ac:dyDescent="0.3">
      <c r="A548" s="31" t="s">
        <v>1513</v>
      </c>
      <c r="B548" s="32">
        <v>45881</v>
      </c>
      <c r="C548" s="33" t="s">
        <v>145</v>
      </c>
      <c r="D548" s="40" t="s">
        <v>1514</v>
      </c>
      <c r="E548" s="40" t="s">
        <v>1515</v>
      </c>
      <c r="F548" s="34">
        <v>1</v>
      </c>
      <c r="G548" s="35">
        <v>28744</v>
      </c>
      <c r="H548" s="36">
        <f t="shared" si="38"/>
        <v>28744</v>
      </c>
      <c r="I548" s="90"/>
      <c r="J548" s="37"/>
      <c r="K548" s="38">
        <f t="shared" si="37"/>
        <v>45881</v>
      </c>
      <c r="L548" s="90" t="s">
        <v>17</v>
      </c>
      <c r="M548" s="39"/>
      <c r="N548" s="40"/>
      <c r="O548" s="40"/>
      <c r="P548" s="40"/>
      <c r="Q548" s="40"/>
    </row>
    <row r="549" spans="1:17" s="53" customFormat="1" x14ac:dyDescent="0.3">
      <c r="A549" s="31" t="s">
        <v>1516</v>
      </c>
      <c r="B549" s="32">
        <v>45882</v>
      </c>
      <c r="C549" s="33" t="s">
        <v>1517</v>
      </c>
      <c r="D549" s="40" t="s">
        <v>1518</v>
      </c>
      <c r="E549" s="40" t="s">
        <v>1519</v>
      </c>
      <c r="F549" s="34">
        <v>1</v>
      </c>
      <c r="G549" s="35">
        <v>3052</v>
      </c>
      <c r="H549" s="36">
        <f t="shared" si="38"/>
        <v>3052</v>
      </c>
      <c r="I549" s="90"/>
      <c r="J549" s="37"/>
      <c r="K549" s="38">
        <f t="shared" si="37"/>
        <v>45882</v>
      </c>
      <c r="L549" s="90" t="s">
        <v>17</v>
      </c>
      <c r="M549" s="39"/>
      <c r="N549" s="40"/>
      <c r="O549" s="40"/>
      <c r="P549" s="40"/>
      <c r="Q549" s="40"/>
    </row>
    <row r="550" spans="1:17" s="53" customFormat="1" x14ac:dyDescent="0.3">
      <c r="A550" s="72" t="s">
        <v>1520</v>
      </c>
      <c r="B550" s="73">
        <v>45882</v>
      </c>
      <c r="C550" s="74" t="s">
        <v>1521</v>
      </c>
      <c r="D550" s="75" t="s">
        <v>49</v>
      </c>
      <c r="E550" s="75" t="s">
        <v>1522</v>
      </c>
      <c r="F550" s="34">
        <v>2</v>
      </c>
      <c r="G550" s="35">
        <v>103534</v>
      </c>
      <c r="H550" s="36">
        <f t="shared" si="38"/>
        <v>207068</v>
      </c>
      <c r="I550" s="90"/>
      <c r="J550" s="37"/>
      <c r="K550" s="38">
        <f t="shared" si="37"/>
        <v>45882</v>
      </c>
      <c r="L550" s="90" t="s">
        <v>20</v>
      </c>
      <c r="M550" s="39"/>
      <c r="N550" s="40"/>
      <c r="O550" s="40"/>
      <c r="P550" s="40"/>
      <c r="Q550" s="40"/>
    </row>
    <row r="551" spans="1:17" s="53" customFormat="1" x14ac:dyDescent="0.3">
      <c r="A551" s="31" t="s">
        <v>1523</v>
      </c>
      <c r="B551" s="32">
        <v>45882</v>
      </c>
      <c r="C551" s="33">
        <v>95308</v>
      </c>
      <c r="D551" s="40" t="s">
        <v>1524</v>
      </c>
      <c r="E551" s="40" t="s">
        <v>47</v>
      </c>
      <c r="F551" s="34">
        <v>1</v>
      </c>
      <c r="G551" s="35">
        <v>5912</v>
      </c>
      <c r="H551" s="36">
        <f t="shared" si="38"/>
        <v>5912</v>
      </c>
      <c r="I551" s="90"/>
      <c r="J551" s="37"/>
      <c r="K551" s="38">
        <f t="shared" si="37"/>
        <v>45882</v>
      </c>
      <c r="L551" s="90" t="s">
        <v>17</v>
      </c>
      <c r="M551" s="39"/>
      <c r="N551" s="40"/>
      <c r="O551" s="40"/>
      <c r="P551" s="40"/>
      <c r="Q551" s="40"/>
    </row>
    <row r="552" spans="1:17" s="53" customFormat="1" x14ac:dyDescent="0.3">
      <c r="A552" s="31" t="s">
        <v>1525</v>
      </c>
      <c r="B552" s="32">
        <v>45882</v>
      </c>
      <c r="C552" s="33">
        <v>501446</v>
      </c>
      <c r="D552" s="40" t="s">
        <v>389</v>
      </c>
      <c r="E552" s="40" t="s">
        <v>148</v>
      </c>
      <c r="F552" s="34">
        <v>5</v>
      </c>
      <c r="G552" s="35">
        <v>768</v>
      </c>
      <c r="H552" s="36">
        <f t="shared" si="38"/>
        <v>3840</v>
      </c>
      <c r="I552" s="90"/>
      <c r="J552" s="37"/>
      <c r="K552" s="38">
        <f t="shared" si="37"/>
        <v>45882</v>
      </c>
      <c r="L552" s="90" t="s">
        <v>20</v>
      </c>
      <c r="M552" s="39"/>
      <c r="N552" s="40"/>
      <c r="O552" s="40"/>
      <c r="P552" s="40"/>
      <c r="Q552" s="40"/>
    </row>
    <row r="553" spans="1:17" s="53" customFormat="1" x14ac:dyDescent="0.3">
      <c r="A553" s="31" t="s">
        <v>1526</v>
      </c>
      <c r="B553" s="32">
        <v>45882</v>
      </c>
      <c r="C553" s="33" t="s">
        <v>1527</v>
      </c>
      <c r="D553" s="40" t="s">
        <v>1528</v>
      </c>
      <c r="E553" s="40" t="s">
        <v>1242</v>
      </c>
      <c r="F553" s="34">
        <v>12</v>
      </c>
      <c r="G553" s="35">
        <v>1200</v>
      </c>
      <c r="H553" s="36">
        <f t="shared" si="38"/>
        <v>14400</v>
      </c>
      <c r="I553" s="90"/>
      <c r="J553" s="37"/>
      <c r="K553" s="38">
        <f t="shared" si="37"/>
        <v>45882</v>
      </c>
      <c r="L553" s="90" t="s">
        <v>143</v>
      </c>
      <c r="M553" s="39"/>
      <c r="N553" s="40"/>
      <c r="O553" s="40"/>
      <c r="P553" s="40"/>
      <c r="Q553" s="40"/>
    </row>
    <row r="554" spans="1:17" s="53" customFormat="1" x14ac:dyDescent="0.3">
      <c r="A554" s="31" t="s">
        <v>1529</v>
      </c>
      <c r="B554" s="32">
        <v>45882</v>
      </c>
      <c r="C554" s="33" t="s">
        <v>1530</v>
      </c>
      <c r="D554" s="40" t="s">
        <v>49</v>
      </c>
      <c r="E554" s="40" t="s">
        <v>1512</v>
      </c>
      <c r="F554" s="34">
        <v>1</v>
      </c>
      <c r="G554" s="35">
        <v>10767</v>
      </c>
      <c r="H554" s="36">
        <f t="shared" si="38"/>
        <v>10767</v>
      </c>
      <c r="I554" s="90"/>
      <c r="J554" s="37"/>
      <c r="K554" s="38">
        <f t="shared" si="37"/>
        <v>45882</v>
      </c>
      <c r="L554" s="90" t="s">
        <v>20</v>
      </c>
      <c r="M554" s="39"/>
      <c r="N554" s="40"/>
      <c r="O554" s="40"/>
      <c r="P554" s="40"/>
      <c r="Q554" s="40"/>
    </row>
    <row r="555" spans="1:17" s="53" customFormat="1" x14ac:dyDescent="0.3">
      <c r="A555" s="31" t="s">
        <v>1531</v>
      </c>
      <c r="B555" s="32">
        <v>45883</v>
      </c>
      <c r="C555" s="33">
        <v>611691</v>
      </c>
      <c r="D555" s="40" t="s">
        <v>443</v>
      </c>
      <c r="E555" s="40" t="s">
        <v>1532</v>
      </c>
      <c r="F555" s="34">
        <v>2</v>
      </c>
      <c r="G555" s="35">
        <v>16650</v>
      </c>
      <c r="H555" s="36">
        <f t="shared" si="38"/>
        <v>33300</v>
      </c>
      <c r="I555" s="90"/>
      <c r="J555" s="37"/>
      <c r="K555" s="38">
        <f t="shared" si="37"/>
        <v>45883</v>
      </c>
      <c r="L555" s="90" t="s">
        <v>17</v>
      </c>
      <c r="M555" s="39"/>
      <c r="N555" s="40"/>
      <c r="O555" s="40"/>
      <c r="P555" s="40"/>
      <c r="Q555" s="40"/>
    </row>
    <row r="556" spans="1:17" s="53" customFormat="1" x14ac:dyDescent="0.3">
      <c r="A556" s="31" t="s">
        <v>1533</v>
      </c>
      <c r="B556" s="32">
        <v>45883</v>
      </c>
      <c r="C556" s="33" t="s">
        <v>16</v>
      </c>
      <c r="D556" s="40" t="s">
        <v>138</v>
      </c>
      <c r="E556" s="40" t="s">
        <v>48</v>
      </c>
      <c r="F556" s="34">
        <v>2</v>
      </c>
      <c r="G556" s="35">
        <v>2681</v>
      </c>
      <c r="H556" s="36">
        <f t="shared" si="38"/>
        <v>5362</v>
      </c>
      <c r="I556" s="90"/>
      <c r="J556" s="37"/>
      <c r="K556" s="38">
        <f t="shared" si="37"/>
        <v>45883</v>
      </c>
      <c r="L556" s="90" t="s">
        <v>17</v>
      </c>
      <c r="M556" s="39"/>
      <c r="N556" s="40"/>
      <c r="O556" s="40"/>
      <c r="P556" s="40"/>
      <c r="Q556" s="40"/>
    </row>
    <row r="557" spans="1:17" s="53" customFormat="1" x14ac:dyDescent="0.3">
      <c r="A557" s="31" t="s">
        <v>1534</v>
      </c>
      <c r="B557" s="32">
        <v>45883</v>
      </c>
      <c r="C557" s="33" t="s">
        <v>16</v>
      </c>
      <c r="D557" s="40" t="s">
        <v>1448</v>
      </c>
      <c r="E557" s="40" t="s">
        <v>123</v>
      </c>
      <c r="F557" s="34">
        <v>1</v>
      </c>
      <c r="G557" s="35">
        <v>2187</v>
      </c>
      <c r="H557" s="36">
        <f t="shared" si="38"/>
        <v>2187</v>
      </c>
      <c r="I557" s="90"/>
      <c r="J557" s="37"/>
      <c r="K557" s="38">
        <f t="shared" si="37"/>
        <v>45883</v>
      </c>
      <c r="L557" s="90" t="s">
        <v>17</v>
      </c>
      <c r="M557" s="39"/>
      <c r="N557" s="40"/>
      <c r="O557" s="40"/>
      <c r="P557" s="40"/>
      <c r="Q557" s="40"/>
    </row>
    <row r="558" spans="1:17" s="53" customFormat="1" x14ac:dyDescent="0.3">
      <c r="A558" s="31" t="s">
        <v>1535</v>
      </c>
      <c r="B558" s="32">
        <v>45883</v>
      </c>
      <c r="C558" s="33" t="s">
        <v>16</v>
      </c>
      <c r="D558" s="40" t="s">
        <v>881</v>
      </c>
      <c r="E558" s="40" t="s">
        <v>1536</v>
      </c>
      <c r="F558" s="34">
        <v>42</v>
      </c>
      <c r="G558" s="35">
        <v>625</v>
      </c>
      <c r="H558" s="36">
        <f t="shared" si="38"/>
        <v>26250</v>
      </c>
      <c r="I558" s="90"/>
      <c r="J558" s="37"/>
      <c r="K558" s="38">
        <f t="shared" si="37"/>
        <v>45883</v>
      </c>
      <c r="L558" s="90" t="s">
        <v>17</v>
      </c>
      <c r="M558" s="39"/>
      <c r="N558" s="40"/>
      <c r="O558" s="40"/>
      <c r="P558" s="40"/>
      <c r="Q558" s="40"/>
    </row>
    <row r="559" spans="1:17" s="53" customFormat="1" x14ac:dyDescent="0.3">
      <c r="A559" s="31" t="s">
        <v>1537</v>
      </c>
      <c r="B559" s="32">
        <v>45883</v>
      </c>
      <c r="C559" s="33" t="s">
        <v>1538</v>
      </c>
      <c r="D559" s="40" t="s">
        <v>1539</v>
      </c>
      <c r="E559" s="40" t="s">
        <v>1540</v>
      </c>
      <c r="F559" s="34">
        <v>1</v>
      </c>
      <c r="G559" s="35">
        <v>19344.77</v>
      </c>
      <c r="H559" s="36">
        <f t="shared" si="38"/>
        <v>19344.77</v>
      </c>
      <c r="I559" s="90"/>
      <c r="J559" s="37"/>
      <c r="K559" s="38">
        <f t="shared" si="37"/>
        <v>45883</v>
      </c>
      <c r="L559" s="90" t="s">
        <v>301</v>
      </c>
      <c r="M559" s="39"/>
      <c r="N559" s="40"/>
      <c r="O559" s="40"/>
      <c r="P559" s="40"/>
      <c r="Q559" s="40"/>
    </row>
    <row r="560" spans="1:17" s="53" customFormat="1" x14ac:dyDescent="0.3">
      <c r="A560" s="31" t="s">
        <v>1541</v>
      </c>
      <c r="B560" s="32">
        <v>45884</v>
      </c>
      <c r="C560" s="33" t="s">
        <v>1542</v>
      </c>
      <c r="D560" s="40" t="s">
        <v>1152</v>
      </c>
      <c r="E560" s="40" t="s">
        <v>1543</v>
      </c>
      <c r="F560" s="34">
        <v>1</v>
      </c>
      <c r="G560" s="35">
        <v>3276</v>
      </c>
      <c r="H560" s="36">
        <f t="shared" si="38"/>
        <v>3276</v>
      </c>
      <c r="I560" s="90"/>
      <c r="J560" s="37"/>
      <c r="K560" s="38">
        <f t="shared" si="37"/>
        <v>45884</v>
      </c>
      <c r="L560" s="90" t="s">
        <v>301</v>
      </c>
      <c r="M560" s="39"/>
      <c r="N560" s="40"/>
      <c r="O560" s="40"/>
      <c r="P560" s="40"/>
      <c r="Q560" s="40"/>
    </row>
    <row r="561" spans="1:17" s="53" customFormat="1" x14ac:dyDescent="0.3">
      <c r="A561" s="31" t="s">
        <v>1544</v>
      </c>
      <c r="B561" s="32">
        <v>45884</v>
      </c>
      <c r="C561" s="33" t="s">
        <v>1545</v>
      </c>
      <c r="D561" s="40" t="s">
        <v>1064</v>
      </c>
      <c r="E561" s="40" t="s">
        <v>72</v>
      </c>
      <c r="F561" s="34">
        <v>2</v>
      </c>
      <c r="G561" s="35">
        <v>3552</v>
      </c>
      <c r="H561" s="36">
        <f t="shared" si="38"/>
        <v>7104</v>
      </c>
      <c r="I561" s="90"/>
      <c r="J561" s="37"/>
      <c r="K561" s="38">
        <f t="shared" si="37"/>
        <v>45884</v>
      </c>
      <c r="L561" s="90" t="s">
        <v>143</v>
      </c>
      <c r="M561" s="39"/>
      <c r="N561" s="40"/>
      <c r="O561" s="40"/>
      <c r="P561" s="40"/>
      <c r="Q561" s="40"/>
    </row>
    <row r="562" spans="1:17" s="53" customFormat="1" x14ac:dyDescent="0.3">
      <c r="A562" s="31" t="s">
        <v>1546</v>
      </c>
      <c r="B562" s="32">
        <v>45884</v>
      </c>
      <c r="C562" s="33" t="s">
        <v>16</v>
      </c>
      <c r="D562" s="40" t="s">
        <v>1528</v>
      </c>
      <c r="E562" s="40" t="s">
        <v>88</v>
      </c>
      <c r="F562" s="34">
        <v>1</v>
      </c>
      <c r="G562" s="35">
        <v>1550</v>
      </c>
      <c r="H562" s="36">
        <f t="shared" si="38"/>
        <v>1550</v>
      </c>
      <c r="I562" s="90"/>
      <c r="J562" s="37"/>
      <c r="K562" s="38">
        <f t="shared" si="37"/>
        <v>45884</v>
      </c>
      <c r="L562" s="90" t="s">
        <v>143</v>
      </c>
      <c r="M562" s="39"/>
      <c r="N562" s="40"/>
      <c r="O562" s="40"/>
      <c r="P562" s="40"/>
      <c r="Q562" s="40"/>
    </row>
    <row r="563" spans="1:17" s="53" customFormat="1" x14ac:dyDescent="0.3">
      <c r="A563" s="31" t="s">
        <v>1547</v>
      </c>
      <c r="B563" s="32">
        <v>45884</v>
      </c>
      <c r="C563" s="33" t="s">
        <v>1548</v>
      </c>
      <c r="D563" s="40" t="s">
        <v>30</v>
      </c>
      <c r="E563" s="40" t="s">
        <v>1323</v>
      </c>
      <c r="F563" s="34">
        <v>1</v>
      </c>
      <c r="G563" s="35">
        <v>3860.57</v>
      </c>
      <c r="H563" s="36">
        <f t="shared" si="38"/>
        <v>3860.57</v>
      </c>
      <c r="I563" s="90"/>
      <c r="J563" s="37"/>
      <c r="K563" s="38">
        <f t="shared" si="37"/>
        <v>45884</v>
      </c>
      <c r="L563" s="90" t="s">
        <v>301</v>
      </c>
      <c r="M563" s="39"/>
      <c r="N563" s="40"/>
      <c r="O563" s="40"/>
      <c r="P563" s="40"/>
      <c r="Q563" s="40"/>
    </row>
    <row r="564" spans="1:17" s="53" customFormat="1" x14ac:dyDescent="0.3">
      <c r="A564" s="31" t="s">
        <v>1549</v>
      </c>
      <c r="B564" s="32">
        <v>45887</v>
      </c>
      <c r="C564" s="33" t="s">
        <v>145</v>
      </c>
      <c r="D564" s="40" t="s">
        <v>1316</v>
      </c>
      <c r="E564" s="40" t="s">
        <v>1550</v>
      </c>
      <c r="F564" s="34">
        <v>1</v>
      </c>
      <c r="G564" s="35">
        <v>2160</v>
      </c>
      <c r="H564" s="36">
        <f t="shared" si="38"/>
        <v>2160</v>
      </c>
      <c r="I564" s="90"/>
      <c r="J564" s="37"/>
      <c r="K564" s="38">
        <f t="shared" si="37"/>
        <v>45887</v>
      </c>
      <c r="L564" s="90" t="s">
        <v>301</v>
      </c>
      <c r="M564" s="39"/>
      <c r="N564" s="40"/>
      <c r="O564" s="40"/>
      <c r="P564" s="40"/>
      <c r="Q564" s="40"/>
    </row>
    <row r="565" spans="1:17" s="53" customFormat="1" x14ac:dyDescent="0.3">
      <c r="A565" s="31" t="s">
        <v>1551</v>
      </c>
      <c r="B565" s="32">
        <v>45887</v>
      </c>
      <c r="C565" s="33" t="s">
        <v>1552</v>
      </c>
      <c r="D565" s="40" t="s">
        <v>102</v>
      </c>
      <c r="E565" s="40" t="s">
        <v>1553</v>
      </c>
      <c r="F565" s="34">
        <v>5</v>
      </c>
      <c r="G565" s="35">
        <v>10854</v>
      </c>
      <c r="H565" s="36">
        <f t="shared" si="38"/>
        <v>54270</v>
      </c>
      <c r="I565" s="90"/>
      <c r="J565" s="37"/>
      <c r="K565" s="38">
        <f t="shared" si="37"/>
        <v>45887</v>
      </c>
      <c r="L565" s="90" t="s">
        <v>17</v>
      </c>
      <c r="M565" s="39"/>
      <c r="N565" s="40"/>
      <c r="O565" s="40"/>
      <c r="P565" s="40"/>
      <c r="Q565" s="40"/>
    </row>
    <row r="566" spans="1:17" s="53" customFormat="1" x14ac:dyDescent="0.3">
      <c r="A566" s="31" t="s">
        <v>1554</v>
      </c>
      <c r="B566" s="32">
        <v>45887</v>
      </c>
      <c r="C566" s="33" t="s">
        <v>1555</v>
      </c>
      <c r="D566" s="40" t="s">
        <v>1417</v>
      </c>
      <c r="E566" s="40" t="s">
        <v>1556</v>
      </c>
      <c r="F566" s="34">
        <v>1</v>
      </c>
      <c r="G566" s="35">
        <v>22164</v>
      </c>
      <c r="H566" s="36">
        <f t="shared" si="38"/>
        <v>22164</v>
      </c>
      <c r="I566" s="90"/>
      <c r="J566" s="37"/>
      <c r="K566" s="38">
        <f t="shared" si="37"/>
        <v>45887</v>
      </c>
      <c r="L566" s="90" t="s">
        <v>17</v>
      </c>
      <c r="M566" s="39"/>
      <c r="N566" s="40"/>
      <c r="O566" s="40"/>
      <c r="P566" s="40"/>
      <c r="Q566" s="40"/>
    </row>
    <row r="567" spans="1:17" s="53" customFormat="1" x14ac:dyDescent="0.3">
      <c r="A567" s="31" t="s">
        <v>1557</v>
      </c>
      <c r="B567" s="32">
        <v>45888</v>
      </c>
      <c r="C567" s="33">
        <v>501446</v>
      </c>
      <c r="D567" s="40" t="s">
        <v>389</v>
      </c>
      <c r="E567" s="40" t="s">
        <v>60</v>
      </c>
      <c r="F567" s="34">
        <v>5</v>
      </c>
      <c r="G567" s="35">
        <v>2100</v>
      </c>
      <c r="H567" s="36">
        <f t="shared" si="38"/>
        <v>10500</v>
      </c>
      <c r="I567" s="90"/>
      <c r="J567" s="37"/>
      <c r="K567" s="38">
        <f t="shared" si="37"/>
        <v>45888</v>
      </c>
      <c r="L567" s="90" t="s">
        <v>20</v>
      </c>
      <c r="M567" s="39"/>
      <c r="N567" s="40"/>
      <c r="O567" s="40"/>
      <c r="P567" s="40"/>
      <c r="Q567" s="40"/>
    </row>
    <row r="568" spans="1:17" s="53" customFormat="1" x14ac:dyDescent="0.3">
      <c r="A568" s="31" t="s">
        <v>1558</v>
      </c>
      <c r="B568" s="32">
        <v>45889</v>
      </c>
      <c r="C568" s="33" t="s">
        <v>1559</v>
      </c>
      <c r="D568" s="40" t="s">
        <v>1560</v>
      </c>
      <c r="E568" s="40" t="s">
        <v>1561</v>
      </c>
      <c r="F568" s="34">
        <v>3</v>
      </c>
      <c r="G568" s="35">
        <v>36409</v>
      </c>
      <c r="H568" s="36">
        <f t="shared" si="38"/>
        <v>109227</v>
      </c>
      <c r="I568" s="90"/>
      <c r="J568" s="37"/>
      <c r="K568" s="38">
        <f t="shared" si="37"/>
        <v>45889</v>
      </c>
      <c r="L568" s="90" t="s">
        <v>301</v>
      </c>
      <c r="M568" s="39"/>
      <c r="N568" s="40"/>
      <c r="O568" s="40"/>
      <c r="P568" s="40"/>
      <c r="Q568" s="40"/>
    </row>
    <row r="569" spans="1:17" s="53" customFormat="1" x14ac:dyDescent="0.3">
      <c r="A569" s="31" t="s">
        <v>1562</v>
      </c>
      <c r="B569" s="32">
        <v>45889</v>
      </c>
      <c r="C569" s="33" t="s">
        <v>1563</v>
      </c>
      <c r="D569" s="40" t="s">
        <v>1564</v>
      </c>
      <c r="E569" s="40" t="s">
        <v>112</v>
      </c>
      <c r="F569" s="34">
        <v>1</v>
      </c>
      <c r="G569" s="35">
        <v>240808</v>
      </c>
      <c r="H569" s="36">
        <f t="shared" si="38"/>
        <v>240808</v>
      </c>
      <c r="I569" s="90"/>
      <c r="J569" s="37"/>
      <c r="K569" s="38">
        <f t="shared" si="37"/>
        <v>45889</v>
      </c>
      <c r="L569" s="90" t="s">
        <v>17</v>
      </c>
      <c r="M569" s="39"/>
      <c r="N569" s="40"/>
      <c r="O569" s="40"/>
      <c r="P569" s="40"/>
      <c r="Q569" s="40"/>
    </row>
    <row r="570" spans="1:17" s="53" customFormat="1" x14ac:dyDescent="0.3">
      <c r="A570" s="31" t="s">
        <v>1565</v>
      </c>
      <c r="B570" s="32">
        <v>45889</v>
      </c>
      <c r="C570" s="33">
        <v>60983</v>
      </c>
      <c r="D570" s="40" t="s">
        <v>129</v>
      </c>
      <c r="E570" s="40" t="s">
        <v>158</v>
      </c>
      <c r="F570" s="34">
        <v>1</v>
      </c>
      <c r="G570" s="35">
        <v>2075</v>
      </c>
      <c r="H570" s="36">
        <f t="shared" si="38"/>
        <v>2075</v>
      </c>
      <c r="I570" s="90"/>
      <c r="J570" s="37"/>
      <c r="K570" s="38">
        <f t="shared" si="37"/>
        <v>45889</v>
      </c>
      <c r="L570" s="90" t="s">
        <v>143</v>
      </c>
      <c r="M570" s="39"/>
      <c r="N570" s="40"/>
      <c r="O570" s="40"/>
      <c r="P570" s="40"/>
      <c r="Q570" s="40"/>
    </row>
    <row r="571" spans="1:17" s="53" customFormat="1" x14ac:dyDescent="0.3">
      <c r="A571" s="31" t="s">
        <v>1566</v>
      </c>
      <c r="B571" s="32">
        <v>45890</v>
      </c>
      <c r="C571" s="33" t="s">
        <v>16</v>
      </c>
      <c r="D571" s="40" t="s">
        <v>1567</v>
      </c>
      <c r="E571" s="40" t="s">
        <v>29</v>
      </c>
      <c r="F571" s="34">
        <v>3</v>
      </c>
      <c r="G571" s="35">
        <v>12084.21</v>
      </c>
      <c r="H571" s="36">
        <f t="shared" si="38"/>
        <v>36252.629999999997</v>
      </c>
      <c r="I571" s="90"/>
      <c r="J571" s="37"/>
      <c r="K571" s="38">
        <f t="shared" si="37"/>
        <v>45890</v>
      </c>
      <c r="L571" s="90" t="s">
        <v>17</v>
      </c>
      <c r="M571" s="39"/>
      <c r="N571" s="40"/>
      <c r="O571" s="40"/>
      <c r="P571" s="40"/>
      <c r="Q571" s="40"/>
    </row>
    <row r="572" spans="1:17" s="53" customFormat="1" x14ac:dyDescent="0.3">
      <c r="A572" s="31" t="s">
        <v>1568</v>
      </c>
      <c r="B572" s="32">
        <v>45891</v>
      </c>
      <c r="C572" s="33" t="s">
        <v>1569</v>
      </c>
      <c r="D572" s="40" t="s">
        <v>49</v>
      </c>
      <c r="E572" s="40" t="s">
        <v>24</v>
      </c>
      <c r="F572" s="34">
        <v>1</v>
      </c>
      <c r="G572" s="35">
        <v>12114</v>
      </c>
      <c r="H572" s="36">
        <f t="shared" si="38"/>
        <v>12114</v>
      </c>
      <c r="I572" s="90"/>
      <c r="J572" s="37"/>
      <c r="K572" s="38">
        <f t="shared" si="37"/>
        <v>45891</v>
      </c>
      <c r="L572" s="90" t="s">
        <v>20</v>
      </c>
      <c r="M572" s="39"/>
      <c r="N572" s="40"/>
      <c r="O572" s="40"/>
      <c r="P572" s="40"/>
      <c r="Q572" s="40"/>
    </row>
    <row r="573" spans="1:17" s="53" customFormat="1" x14ac:dyDescent="0.3">
      <c r="A573" s="31" t="s">
        <v>1570</v>
      </c>
      <c r="B573" s="32">
        <v>45891</v>
      </c>
      <c r="C573" s="33" t="s">
        <v>1571</v>
      </c>
      <c r="D573" s="40" t="s">
        <v>49</v>
      </c>
      <c r="E573" s="40" t="s">
        <v>158</v>
      </c>
      <c r="F573" s="34">
        <v>2</v>
      </c>
      <c r="G573" s="35">
        <v>1388</v>
      </c>
      <c r="H573" s="36">
        <f t="shared" si="38"/>
        <v>2776</v>
      </c>
      <c r="I573" s="90"/>
      <c r="J573" s="37"/>
      <c r="K573" s="38">
        <f t="shared" si="37"/>
        <v>45891</v>
      </c>
      <c r="L573" s="90" t="s">
        <v>20</v>
      </c>
      <c r="M573" s="39"/>
      <c r="N573" s="40"/>
      <c r="O573" s="40"/>
      <c r="P573" s="40"/>
      <c r="Q573" s="40"/>
    </row>
    <row r="574" spans="1:17" s="53" customFormat="1" x14ac:dyDescent="0.3">
      <c r="A574" s="31" t="s">
        <v>1572</v>
      </c>
      <c r="B574" s="32">
        <v>45891</v>
      </c>
      <c r="C574" s="33" t="s">
        <v>1573</v>
      </c>
      <c r="D574" s="40" t="s">
        <v>1283</v>
      </c>
      <c r="E574" s="40" t="s">
        <v>1574</v>
      </c>
      <c r="F574" s="34">
        <v>1</v>
      </c>
      <c r="G574" s="35">
        <v>4986</v>
      </c>
      <c r="H574" s="36">
        <f t="shared" si="38"/>
        <v>4986</v>
      </c>
      <c r="I574" s="90"/>
      <c r="J574" s="37"/>
      <c r="K574" s="38">
        <f t="shared" si="37"/>
        <v>45891</v>
      </c>
      <c r="L574" s="90" t="s">
        <v>17</v>
      </c>
      <c r="M574" s="39"/>
      <c r="N574" s="40"/>
      <c r="O574" s="40"/>
      <c r="P574" s="40"/>
      <c r="Q574" s="40"/>
    </row>
    <row r="575" spans="1:17" s="53" customFormat="1" x14ac:dyDescent="0.3">
      <c r="A575" s="31" t="s">
        <v>1575</v>
      </c>
      <c r="B575" s="32">
        <v>45891</v>
      </c>
      <c r="C575" s="29" t="s">
        <v>1576</v>
      </c>
      <c r="D575" s="40" t="s">
        <v>1577</v>
      </c>
      <c r="E575" s="40" t="s">
        <v>722</v>
      </c>
      <c r="F575" s="34">
        <v>1</v>
      </c>
      <c r="G575" s="35">
        <v>6285.91</v>
      </c>
      <c r="H575" s="36">
        <f t="shared" si="38"/>
        <v>6285.91</v>
      </c>
      <c r="I575" s="90"/>
      <c r="J575" s="37"/>
      <c r="K575" s="38">
        <f t="shared" si="37"/>
        <v>45891</v>
      </c>
      <c r="L575" s="90" t="s">
        <v>17</v>
      </c>
      <c r="M575" s="39"/>
      <c r="N575" s="40"/>
      <c r="O575" s="40"/>
      <c r="P575" s="40"/>
      <c r="Q575" s="40"/>
    </row>
    <row r="576" spans="1:17" s="53" customFormat="1" x14ac:dyDescent="0.3">
      <c r="A576" s="31" t="s">
        <v>1578</v>
      </c>
      <c r="B576" s="32">
        <v>45891</v>
      </c>
      <c r="C576" s="29" t="s">
        <v>1576</v>
      </c>
      <c r="D576" s="40" t="s">
        <v>1577</v>
      </c>
      <c r="E576" s="40" t="s">
        <v>1579</v>
      </c>
      <c r="F576" s="34">
        <v>1</v>
      </c>
      <c r="G576" s="35">
        <v>6285.91</v>
      </c>
      <c r="H576" s="36">
        <f t="shared" si="38"/>
        <v>6285.91</v>
      </c>
      <c r="I576" s="90"/>
      <c r="J576" s="37"/>
      <c r="K576" s="38">
        <f t="shared" si="37"/>
        <v>45891</v>
      </c>
      <c r="L576" s="90" t="s">
        <v>17</v>
      </c>
      <c r="M576" s="39"/>
      <c r="N576" s="40"/>
      <c r="O576" s="40"/>
      <c r="P576" s="40"/>
      <c r="Q576" s="40"/>
    </row>
    <row r="577" spans="1:17" s="53" customFormat="1" x14ac:dyDescent="0.3">
      <c r="A577" s="31" t="s">
        <v>1580</v>
      </c>
      <c r="B577" s="32">
        <v>45891</v>
      </c>
      <c r="C577" s="29" t="s">
        <v>1576</v>
      </c>
      <c r="D577" s="40" t="s">
        <v>1577</v>
      </c>
      <c r="E577" s="40" t="s">
        <v>722</v>
      </c>
      <c r="F577" s="34">
        <v>1</v>
      </c>
      <c r="G577" s="35">
        <v>6924.23</v>
      </c>
      <c r="H577" s="36">
        <f t="shared" si="38"/>
        <v>6924.23</v>
      </c>
      <c r="I577" s="90"/>
      <c r="J577" s="37"/>
      <c r="K577" s="38">
        <f t="shared" si="37"/>
        <v>45891</v>
      </c>
      <c r="L577" s="90" t="s">
        <v>17</v>
      </c>
      <c r="M577" s="39"/>
      <c r="N577" s="40"/>
      <c r="O577" s="40"/>
      <c r="P577" s="40"/>
      <c r="Q577" s="40"/>
    </row>
    <row r="578" spans="1:17" s="53" customFormat="1" x14ac:dyDescent="0.3">
      <c r="A578" s="31" t="s">
        <v>1581</v>
      </c>
      <c r="B578" s="32">
        <v>45891</v>
      </c>
      <c r="C578" s="29" t="s">
        <v>1576</v>
      </c>
      <c r="D578" s="40" t="s">
        <v>1577</v>
      </c>
      <c r="E578" s="40" t="s">
        <v>1291</v>
      </c>
      <c r="F578" s="34">
        <v>1</v>
      </c>
      <c r="G578" s="35">
        <v>6924.23</v>
      </c>
      <c r="H578" s="36">
        <f t="shared" si="38"/>
        <v>6924.23</v>
      </c>
      <c r="I578" s="90"/>
      <c r="J578" s="37"/>
      <c r="K578" s="38">
        <f t="shared" si="37"/>
        <v>45891</v>
      </c>
      <c r="L578" s="90" t="s">
        <v>17</v>
      </c>
      <c r="M578" s="39"/>
      <c r="N578" s="40"/>
      <c r="O578" s="40"/>
      <c r="P578" s="40"/>
      <c r="Q578" s="40"/>
    </row>
    <row r="579" spans="1:17" s="53" customFormat="1" x14ac:dyDescent="0.3">
      <c r="A579" s="31" t="s">
        <v>1582</v>
      </c>
      <c r="B579" s="32">
        <v>45891</v>
      </c>
      <c r="C579" s="29" t="s">
        <v>1576</v>
      </c>
      <c r="D579" s="40" t="s">
        <v>1577</v>
      </c>
      <c r="E579" s="40" t="s">
        <v>722</v>
      </c>
      <c r="F579" s="34">
        <v>1</v>
      </c>
      <c r="G579" s="35">
        <v>6924.23</v>
      </c>
      <c r="H579" s="36">
        <f t="shared" si="38"/>
        <v>6924.23</v>
      </c>
      <c r="I579" s="90"/>
      <c r="J579" s="37"/>
      <c r="K579" s="38">
        <f t="shared" si="37"/>
        <v>45891</v>
      </c>
      <c r="L579" s="90" t="s">
        <v>17</v>
      </c>
      <c r="M579" s="39"/>
      <c r="N579" s="40"/>
      <c r="O579" s="40"/>
      <c r="P579" s="40"/>
      <c r="Q579" s="40"/>
    </row>
    <row r="580" spans="1:17" s="53" customFormat="1" x14ac:dyDescent="0.3">
      <c r="A580" s="31" t="s">
        <v>1583</v>
      </c>
      <c r="B580" s="32">
        <v>45891</v>
      </c>
      <c r="C580" s="29" t="s">
        <v>1576</v>
      </c>
      <c r="D580" s="40" t="s">
        <v>1577</v>
      </c>
      <c r="E580" s="40" t="s">
        <v>722</v>
      </c>
      <c r="F580" s="34">
        <v>1</v>
      </c>
      <c r="G580" s="35">
        <v>6924.23</v>
      </c>
      <c r="H580" s="36">
        <f t="shared" si="38"/>
        <v>6924.23</v>
      </c>
      <c r="I580" s="90"/>
      <c r="J580" s="37"/>
      <c r="K580" s="38">
        <f t="shared" si="37"/>
        <v>45891</v>
      </c>
      <c r="L580" s="90" t="s">
        <v>17</v>
      </c>
      <c r="M580" s="39"/>
      <c r="N580" s="40"/>
      <c r="O580" s="40"/>
      <c r="P580" s="40"/>
      <c r="Q580" s="40"/>
    </row>
    <row r="581" spans="1:17" s="53" customFormat="1" x14ac:dyDescent="0.3">
      <c r="A581" s="31" t="s">
        <v>1584</v>
      </c>
      <c r="B581" s="32">
        <v>45894</v>
      </c>
      <c r="C581" s="33" t="s">
        <v>86</v>
      </c>
      <c r="D581" s="40" t="s">
        <v>1585</v>
      </c>
      <c r="E581" s="40" t="s">
        <v>53</v>
      </c>
      <c r="F581" s="34">
        <v>2</v>
      </c>
      <c r="G581" s="35">
        <v>12714</v>
      </c>
      <c r="H581" s="36">
        <v>12714</v>
      </c>
      <c r="I581" s="90"/>
      <c r="J581" s="37"/>
      <c r="K581" s="38">
        <f t="shared" si="37"/>
        <v>45894</v>
      </c>
      <c r="L581" s="90" t="s">
        <v>301</v>
      </c>
      <c r="M581" s="39"/>
      <c r="N581" s="40"/>
      <c r="O581" s="40"/>
      <c r="P581" s="40"/>
      <c r="Q581" s="40"/>
    </row>
    <row r="582" spans="1:17" s="53" customFormat="1" x14ac:dyDescent="0.3">
      <c r="A582" s="31" t="s">
        <v>1586</v>
      </c>
      <c r="B582" s="32">
        <v>45894</v>
      </c>
      <c r="C582" s="33" t="s">
        <v>1587</v>
      </c>
      <c r="D582" s="40" t="s">
        <v>1064</v>
      </c>
      <c r="E582" s="40" t="s">
        <v>148</v>
      </c>
      <c r="F582" s="34">
        <v>6</v>
      </c>
      <c r="G582" s="35">
        <v>768</v>
      </c>
      <c r="H582" s="36">
        <f t="shared" si="38"/>
        <v>4608</v>
      </c>
      <c r="I582" s="90"/>
      <c r="J582" s="37"/>
      <c r="K582" s="38">
        <f t="shared" ref="K582:K645" si="39">J582+B582</f>
        <v>45894</v>
      </c>
      <c r="L582" s="90" t="s">
        <v>143</v>
      </c>
      <c r="M582" s="39"/>
      <c r="N582" s="40"/>
      <c r="O582" s="40"/>
      <c r="P582" s="40"/>
      <c r="Q582" s="40"/>
    </row>
    <row r="583" spans="1:17" s="53" customFormat="1" x14ac:dyDescent="0.3">
      <c r="A583" s="31" t="s">
        <v>1588</v>
      </c>
      <c r="B583" s="32">
        <v>45894</v>
      </c>
      <c r="C583" s="33" t="s">
        <v>738</v>
      </c>
      <c r="D583" s="40" t="s">
        <v>1589</v>
      </c>
      <c r="E583" s="40" t="s">
        <v>69</v>
      </c>
      <c r="F583" s="34">
        <v>2</v>
      </c>
      <c r="G583" s="35">
        <v>3433</v>
      </c>
      <c r="H583" s="36">
        <f t="shared" si="38"/>
        <v>6866</v>
      </c>
      <c r="I583" s="90"/>
      <c r="J583" s="37"/>
      <c r="K583" s="38">
        <f t="shared" si="39"/>
        <v>45894</v>
      </c>
      <c r="L583" s="90" t="s">
        <v>17</v>
      </c>
      <c r="M583" s="39"/>
      <c r="N583" s="40"/>
      <c r="O583" s="40"/>
      <c r="P583" s="40"/>
      <c r="Q583" s="40"/>
    </row>
    <row r="584" spans="1:17" s="53" customFormat="1" x14ac:dyDescent="0.3">
      <c r="A584" s="31" t="s">
        <v>1590</v>
      </c>
      <c r="B584" s="32">
        <v>45894</v>
      </c>
      <c r="C584" s="33" t="s">
        <v>1591</v>
      </c>
      <c r="D584" s="40" t="s">
        <v>30</v>
      </c>
      <c r="E584" s="40" t="s">
        <v>66</v>
      </c>
      <c r="F584" s="34">
        <v>1</v>
      </c>
      <c r="G584" s="35">
        <v>2902</v>
      </c>
      <c r="H584" s="36">
        <f t="shared" si="38"/>
        <v>2902</v>
      </c>
      <c r="I584" s="90"/>
      <c r="J584" s="37"/>
      <c r="K584" s="38">
        <f t="shared" si="39"/>
        <v>45894</v>
      </c>
      <c r="L584" s="90" t="s">
        <v>301</v>
      </c>
      <c r="M584" s="39"/>
      <c r="N584" s="40"/>
      <c r="O584" s="40"/>
      <c r="P584" s="40"/>
      <c r="Q584" s="40"/>
    </row>
    <row r="585" spans="1:17" s="53" customFormat="1" x14ac:dyDescent="0.3">
      <c r="A585" s="31" t="s">
        <v>1592</v>
      </c>
      <c r="B585" s="32">
        <v>45894</v>
      </c>
      <c r="C585" s="33" t="s">
        <v>1593</v>
      </c>
      <c r="D585" s="40" t="s">
        <v>1594</v>
      </c>
      <c r="E585" s="45" t="s">
        <v>1595</v>
      </c>
      <c r="F585" s="34">
        <v>4</v>
      </c>
      <c r="G585" s="35">
        <f>8548+532+295</f>
        <v>9375</v>
      </c>
      <c r="H585" s="36">
        <f t="shared" si="38"/>
        <v>37500</v>
      </c>
      <c r="I585" s="90"/>
      <c r="J585" s="37"/>
      <c r="K585" s="38">
        <f t="shared" si="39"/>
        <v>45894</v>
      </c>
      <c r="L585" s="90" t="s">
        <v>17</v>
      </c>
      <c r="M585" s="39"/>
      <c r="N585" s="40"/>
      <c r="O585" s="40"/>
      <c r="P585" s="40"/>
      <c r="Q585" s="40"/>
    </row>
    <row r="586" spans="1:17" s="53" customFormat="1" x14ac:dyDescent="0.3">
      <c r="A586" s="31" t="s">
        <v>1596</v>
      </c>
      <c r="B586" s="32">
        <v>45894</v>
      </c>
      <c r="C586" s="33" t="s">
        <v>1597</v>
      </c>
      <c r="D586" s="40" t="s">
        <v>1594</v>
      </c>
      <c r="E586" s="45" t="s">
        <v>1595</v>
      </c>
      <c r="F586" s="34">
        <v>4</v>
      </c>
      <c r="G586" s="35">
        <f>8548+532+295</f>
        <v>9375</v>
      </c>
      <c r="H586" s="36">
        <f t="shared" si="38"/>
        <v>37500</v>
      </c>
      <c r="I586" s="90"/>
      <c r="J586" s="37"/>
      <c r="K586" s="38">
        <f t="shared" si="39"/>
        <v>45894</v>
      </c>
      <c r="L586" s="90" t="s">
        <v>17</v>
      </c>
      <c r="M586" s="39"/>
      <c r="N586" s="40"/>
      <c r="O586" s="40"/>
      <c r="P586" s="40"/>
      <c r="Q586" s="40"/>
    </row>
    <row r="587" spans="1:17" s="53" customFormat="1" x14ac:dyDescent="0.3">
      <c r="A587" s="31" t="s">
        <v>1598</v>
      </c>
      <c r="B587" s="32">
        <v>45894</v>
      </c>
      <c r="C587" s="33" t="s">
        <v>57</v>
      </c>
      <c r="D587" s="40" t="s">
        <v>1599</v>
      </c>
      <c r="E587" s="40" t="s">
        <v>1600</v>
      </c>
      <c r="F587" s="34">
        <v>1</v>
      </c>
      <c r="G587" s="35">
        <f>11363.64+7838+886+1152</f>
        <v>21239.64</v>
      </c>
      <c r="H587" s="36">
        <f t="shared" si="38"/>
        <v>21239.64</v>
      </c>
      <c r="I587" s="90"/>
      <c r="J587" s="37"/>
      <c r="K587" s="38">
        <f t="shared" si="39"/>
        <v>45894</v>
      </c>
      <c r="L587" s="90" t="s">
        <v>17</v>
      </c>
      <c r="M587" s="39"/>
      <c r="N587" s="40"/>
      <c r="O587" s="40"/>
      <c r="P587" s="40"/>
      <c r="Q587" s="40"/>
    </row>
    <row r="588" spans="1:17" s="53" customFormat="1" x14ac:dyDescent="0.3">
      <c r="A588" s="31" t="s">
        <v>1601</v>
      </c>
      <c r="B588" s="32">
        <v>45895</v>
      </c>
      <c r="C588" s="33" t="s">
        <v>1602</v>
      </c>
      <c r="D588" s="40" t="s">
        <v>1064</v>
      </c>
      <c r="E588" s="40" t="s">
        <v>1603</v>
      </c>
      <c r="F588" s="34">
        <v>1</v>
      </c>
      <c r="G588" s="35">
        <v>9171</v>
      </c>
      <c r="H588" s="36">
        <f t="shared" si="38"/>
        <v>9171</v>
      </c>
      <c r="I588" s="90"/>
      <c r="J588" s="37"/>
      <c r="K588" s="38">
        <f t="shared" si="39"/>
        <v>45895</v>
      </c>
      <c r="L588" s="90" t="s">
        <v>143</v>
      </c>
      <c r="M588" s="39"/>
      <c r="N588" s="40"/>
      <c r="O588" s="40"/>
      <c r="P588" s="40"/>
      <c r="Q588" s="40"/>
    </row>
    <row r="589" spans="1:17" s="53" customFormat="1" x14ac:dyDescent="0.3">
      <c r="A589" s="31" t="s">
        <v>1604</v>
      </c>
      <c r="B589" s="32">
        <v>45895</v>
      </c>
      <c r="C589" s="33" t="s">
        <v>1605</v>
      </c>
      <c r="D589" s="40" t="s">
        <v>1417</v>
      </c>
      <c r="E589" s="40" t="s">
        <v>1606</v>
      </c>
      <c r="F589" s="34">
        <v>8</v>
      </c>
      <c r="G589" s="35">
        <v>100</v>
      </c>
      <c r="H589" s="36">
        <f t="shared" si="38"/>
        <v>800</v>
      </c>
      <c r="I589" s="90"/>
      <c r="J589" s="37"/>
      <c r="K589" s="38">
        <f t="shared" si="39"/>
        <v>45895</v>
      </c>
      <c r="L589" s="90" t="s">
        <v>17</v>
      </c>
      <c r="M589" s="39"/>
      <c r="N589" s="40"/>
      <c r="O589" s="40"/>
      <c r="P589" s="40"/>
      <c r="Q589" s="40"/>
    </row>
    <row r="590" spans="1:17" s="53" customFormat="1" x14ac:dyDescent="0.3">
      <c r="A590" s="31" t="s">
        <v>1607</v>
      </c>
      <c r="B590" s="32">
        <v>45897</v>
      </c>
      <c r="C590" s="33" t="s">
        <v>1608</v>
      </c>
      <c r="D590" s="40" t="s">
        <v>326</v>
      </c>
      <c r="E590" s="40" t="s">
        <v>1609</v>
      </c>
      <c r="F590" s="34">
        <v>2</v>
      </c>
      <c r="G590" s="35">
        <v>11600</v>
      </c>
      <c r="H590" s="36">
        <f t="shared" si="38"/>
        <v>23200</v>
      </c>
      <c r="I590" s="90"/>
      <c r="J590" s="37"/>
      <c r="K590" s="38">
        <f t="shared" si="39"/>
        <v>45897</v>
      </c>
      <c r="L590" s="90" t="s">
        <v>301</v>
      </c>
      <c r="M590" s="39"/>
      <c r="N590" s="40"/>
      <c r="O590" s="40"/>
      <c r="P590" s="40"/>
      <c r="Q590" s="40"/>
    </row>
    <row r="591" spans="1:17" s="53" customFormat="1" x14ac:dyDescent="0.3">
      <c r="A591" s="31" t="s">
        <v>1610</v>
      </c>
      <c r="B591" s="32">
        <v>45897</v>
      </c>
      <c r="C591" s="33" t="s">
        <v>1611</v>
      </c>
      <c r="D591" s="40" t="s">
        <v>49</v>
      </c>
      <c r="E591" s="40" t="s">
        <v>81</v>
      </c>
      <c r="F591" s="34">
        <v>1</v>
      </c>
      <c r="G591" s="35">
        <v>4412</v>
      </c>
      <c r="H591" s="36">
        <f t="shared" si="38"/>
        <v>4412</v>
      </c>
      <c r="I591" s="90"/>
      <c r="J591" s="37"/>
      <c r="K591" s="38">
        <f t="shared" si="39"/>
        <v>45897</v>
      </c>
      <c r="L591" s="90" t="s">
        <v>20</v>
      </c>
      <c r="M591" s="39"/>
      <c r="N591" s="40"/>
      <c r="O591" s="40"/>
      <c r="P591" s="40"/>
      <c r="Q591" s="40"/>
    </row>
    <row r="592" spans="1:17" s="53" customFormat="1" x14ac:dyDescent="0.3">
      <c r="A592" s="31" t="s">
        <v>1612</v>
      </c>
      <c r="B592" s="32">
        <v>45898</v>
      </c>
      <c r="C592" s="33" t="s">
        <v>145</v>
      </c>
      <c r="D592" s="40" t="s">
        <v>1613</v>
      </c>
      <c r="E592" s="40" t="s">
        <v>123</v>
      </c>
      <c r="F592" s="34">
        <v>12</v>
      </c>
      <c r="G592" s="35">
        <v>2293.1999999999998</v>
      </c>
      <c r="H592" s="36">
        <f t="shared" si="38"/>
        <v>27518.399999999998</v>
      </c>
      <c r="I592" s="90"/>
      <c r="J592" s="37"/>
      <c r="K592" s="38">
        <f t="shared" si="39"/>
        <v>45898</v>
      </c>
      <c r="L592" s="90" t="s">
        <v>301</v>
      </c>
      <c r="M592" s="39"/>
      <c r="N592" s="40"/>
      <c r="O592" s="40"/>
      <c r="P592" s="40"/>
      <c r="Q592" s="40"/>
    </row>
    <row r="593" spans="1:17" s="53" customFormat="1" x14ac:dyDescent="0.3">
      <c r="A593" s="31" t="s">
        <v>1614</v>
      </c>
      <c r="B593" s="32">
        <v>45901</v>
      </c>
      <c r="C593" s="33" t="s">
        <v>1615</v>
      </c>
      <c r="D593" s="40" t="s">
        <v>94</v>
      </c>
      <c r="E593" s="40" t="s">
        <v>24</v>
      </c>
      <c r="F593" s="34">
        <v>1</v>
      </c>
      <c r="G593" s="35">
        <v>12302</v>
      </c>
      <c r="H593" s="36">
        <f t="shared" si="38"/>
        <v>12302</v>
      </c>
      <c r="I593" s="90"/>
      <c r="J593" s="37"/>
      <c r="K593" s="38">
        <f t="shared" si="39"/>
        <v>45901</v>
      </c>
      <c r="L593" s="90" t="s">
        <v>301</v>
      </c>
      <c r="M593" s="39"/>
      <c r="N593" s="40"/>
      <c r="O593" s="40"/>
      <c r="P593" s="40"/>
      <c r="Q593" s="40"/>
    </row>
    <row r="594" spans="1:17" s="53" customFormat="1" x14ac:dyDescent="0.3">
      <c r="A594" s="31" t="s">
        <v>1616</v>
      </c>
      <c r="B594" s="32">
        <v>45902</v>
      </c>
      <c r="C594" s="33" t="s">
        <v>1617</v>
      </c>
      <c r="D594" s="40" t="s">
        <v>1618</v>
      </c>
      <c r="E594" s="40" t="s">
        <v>1619</v>
      </c>
      <c r="F594" s="34">
        <v>3</v>
      </c>
      <c r="G594" s="35">
        <v>51518</v>
      </c>
      <c r="H594" s="36">
        <f t="shared" si="38"/>
        <v>154554</v>
      </c>
      <c r="I594" s="90"/>
      <c r="J594" s="37"/>
      <c r="K594" s="38">
        <f t="shared" si="39"/>
        <v>45902</v>
      </c>
      <c r="L594" s="90" t="s">
        <v>20</v>
      </c>
      <c r="M594" s="39"/>
      <c r="N594" s="40"/>
      <c r="O594" s="40"/>
      <c r="P594" s="40"/>
      <c r="Q594" s="40"/>
    </row>
    <row r="595" spans="1:17" s="53" customFormat="1" x14ac:dyDescent="0.3">
      <c r="A595" s="31" t="s">
        <v>1620</v>
      </c>
      <c r="B595" s="32">
        <v>45902</v>
      </c>
      <c r="C595" s="33" t="s">
        <v>145</v>
      </c>
      <c r="D595" s="40" t="s">
        <v>1621</v>
      </c>
      <c r="E595" s="40" t="s">
        <v>37</v>
      </c>
      <c r="F595" s="34">
        <v>3</v>
      </c>
      <c r="G595" s="35">
        <v>10767</v>
      </c>
      <c r="H595" s="36">
        <f t="shared" si="38"/>
        <v>32301</v>
      </c>
      <c r="I595" s="90"/>
      <c r="J595" s="37"/>
      <c r="K595" s="38">
        <f t="shared" si="39"/>
        <v>45902</v>
      </c>
      <c r="L595" s="90" t="s">
        <v>20</v>
      </c>
      <c r="M595" s="39"/>
      <c r="N595" s="40"/>
      <c r="O595" s="40"/>
      <c r="P595" s="40"/>
      <c r="Q595" s="40"/>
    </row>
    <row r="596" spans="1:17" s="53" customFormat="1" x14ac:dyDescent="0.3">
      <c r="A596" s="31" t="s">
        <v>1622</v>
      </c>
      <c r="B596" s="32">
        <v>45902</v>
      </c>
      <c r="C596" s="33">
        <v>26016</v>
      </c>
      <c r="D596" s="40" t="s">
        <v>889</v>
      </c>
      <c r="E596" s="40" t="s">
        <v>1623</v>
      </c>
      <c r="F596" s="34">
        <v>1</v>
      </c>
      <c r="G596" s="35">
        <v>15020.21</v>
      </c>
      <c r="H596" s="36">
        <f t="shared" si="38"/>
        <v>15020.21</v>
      </c>
      <c r="I596" s="90"/>
      <c r="J596" s="37"/>
      <c r="K596" s="38">
        <f t="shared" si="39"/>
        <v>45902</v>
      </c>
      <c r="L596" s="90" t="s">
        <v>301</v>
      </c>
      <c r="M596" s="39"/>
      <c r="N596" s="40"/>
      <c r="O596" s="40"/>
      <c r="P596" s="40"/>
      <c r="Q596" s="40"/>
    </row>
    <row r="597" spans="1:17" s="53" customFormat="1" x14ac:dyDescent="0.3">
      <c r="A597" s="31" t="s">
        <v>1624</v>
      </c>
      <c r="B597" s="32">
        <v>45902</v>
      </c>
      <c r="C597" s="33" t="s">
        <v>41</v>
      </c>
      <c r="D597" s="40" t="s">
        <v>49</v>
      </c>
      <c r="E597" s="40" t="s">
        <v>1625</v>
      </c>
      <c r="F597" s="34">
        <v>3</v>
      </c>
      <c r="G597" s="35">
        <v>4559.6665999999996</v>
      </c>
      <c r="H597" s="36">
        <f t="shared" si="38"/>
        <v>13678.999799999998</v>
      </c>
      <c r="I597" s="90"/>
      <c r="J597" s="37"/>
      <c r="K597" s="38">
        <f t="shared" si="39"/>
        <v>45902</v>
      </c>
      <c r="L597" s="90" t="s">
        <v>20</v>
      </c>
      <c r="M597" s="39"/>
      <c r="N597" s="40"/>
      <c r="O597" s="40"/>
      <c r="P597" s="40"/>
      <c r="Q597" s="40"/>
    </row>
    <row r="598" spans="1:17" s="53" customFormat="1" x14ac:dyDescent="0.3">
      <c r="A598" s="31" t="s">
        <v>1626</v>
      </c>
      <c r="B598" s="32">
        <v>45902</v>
      </c>
      <c r="C598" s="33" t="s">
        <v>145</v>
      </c>
      <c r="D598" s="40" t="s">
        <v>87</v>
      </c>
      <c r="E598" s="40" t="s">
        <v>1627</v>
      </c>
      <c r="F598" s="34">
        <v>1</v>
      </c>
      <c r="G598" s="35">
        <v>14850</v>
      </c>
      <c r="H598" s="36">
        <f t="shared" si="38"/>
        <v>14850</v>
      </c>
      <c r="I598" s="90"/>
      <c r="J598" s="37"/>
      <c r="K598" s="38">
        <f t="shared" si="39"/>
        <v>45902</v>
      </c>
      <c r="L598" s="90" t="s">
        <v>301</v>
      </c>
      <c r="M598" s="39"/>
      <c r="N598" s="40"/>
      <c r="O598" s="40"/>
      <c r="P598" s="40"/>
      <c r="Q598" s="40"/>
    </row>
    <row r="599" spans="1:17" x14ac:dyDescent="0.3">
      <c r="A599" s="31" t="s">
        <v>1628</v>
      </c>
      <c r="B599" s="32">
        <v>45903</v>
      </c>
      <c r="C599" s="33" t="s">
        <v>1629</v>
      </c>
      <c r="D599" s="40" t="s">
        <v>1630</v>
      </c>
      <c r="E599" s="40" t="s">
        <v>133</v>
      </c>
      <c r="F599" s="34">
        <v>1</v>
      </c>
      <c r="G599" s="35">
        <v>91866</v>
      </c>
      <c r="H599" s="36">
        <f t="shared" si="38"/>
        <v>91866</v>
      </c>
      <c r="I599" s="90"/>
      <c r="J599" s="37"/>
      <c r="K599" s="38">
        <f t="shared" si="39"/>
        <v>45903</v>
      </c>
      <c r="L599" s="90" t="s">
        <v>301</v>
      </c>
      <c r="M599" s="39"/>
      <c r="N599" s="40"/>
      <c r="O599" s="40"/>
      <c r="P599" s="40"/>
      <c r="Q599" s="40"/>
    </row>
    <row r="600" spans="1:17" x14ac:dyDescent="0.3">
      <c r="A600" s="31" t="s">
        <v>1631</v>
      </c>
      <c r="B600" s="32">
        <v>45903</v>
      </c>
      <c r="C600" s="33" t="s">
        <v>1629</v>
      </c>
      <c r="D600" s="40" t="s">
        <v>1630</v>
      </c>
      <c r="E600" s="40" t="s">
        <v>1632</v>
      </c>
      <c r="F600" s="34">
        <v>1</v>
      </c>
      <c r="G600" s="35">
        <v>264630</v>
      </c>
      <c r="H600" s="36">
        <f t="shared" si="38"/>
        <v>264630</v>
      </c>
      <c r="I600" s="90"/>
      <c r="J600" s="37"/>
      <c r="K600" s="38">
        <f t="shared" si="39"/>
        <v>45903</v>
      </c>
      <c r="L600" s="90" t="s">
        <v>301</v>
      </c>
      <c r="M600" s="39"/>
      <c r="N600" s="40"/>
      <c r="O600" s="40"/>
      <c r="P600" s="40"/>
      <c r="Q600" s="40"/>
    </row>
    <row r="601" spans="1:17" x14ac:dyDescent="0.3">
      <c r="A601" s="31" t="s">
        <v>1633</v>
      </c>
      <c r="B601" s="32">
        <v>45903</v>
      </c>
      <c r="C601" s="33" t="s">
        <v>1629</v>
      </c>
      <c r="D601" s="40" t="s">
        <v>1630</v>
      </c>
      <c r="E601" s="40" t="s">
        <v>1634</v>
      </c>
      <c r="F601" s="34">
        <v>1</v>
      </c>
      <c r="G601" s="35">
        <v>19029</v>
      </c>
      <c r="H601" s="36">
        <f t="shared" si="38"/>
        <v>19029</v>
      </c>
      <c r="I601" s="90"/>
      <c r="J601" s="37"/>
      <c r="K601" s="38">
        <f t="shared" si="39"/>
        <v>45903</v>
      </c>
      <c r="L601" s="90" t="s">
        <v>301</v>
      </c>
      <c r="M601" s="39"/>
      <c r="N601" s="40"/>
      <c r="O601" s="40"/>
      <c r="P601" s="40"/>
      <c r="Q601" s="40"/>
    </row>
    <row r="602" spans="1:17" x14ac:dyDescent="0.3">
      <c r="A602" s="31" t="s">
        <v>1635</v>
      </c>
      <c r="B602" s="32">
        <v>45903</v>
      </c>
      <c r="C602" s="33" t="s">
        <v>1629</v>
      </c>
      <c r="D602" s="40" t="s">
        <v>1630</v>
      </c>
      <c r="E602" s="40" t="s">
        <v>1636</v>
      </c>
      <c r="F602" s="34">
        <v>1</v>
      </c>
      <c r="G602" s="35">
        <v>24300</v>
      </c>
      <c r="H602" s="36">
        <f t="shared" si="38"/>
        <v>24300</v>
      </c>
      <c r="I602" s="90"/>
      <c r="J602" s="37"/>
      <c r="K602" s="38">
        <f t="shared" si="39"/>
        <v>45903</v>
      </c>
      <c r="L602" s="90" t="s">
        <v>301</v>
      </c>
      <c r="M602" s="39"/>
      <c r="N602" s="40"/>
      <c r="O602" s="40"/>
      <c r="P602" s="40"/>
      <c r="Q602" s="40"/>
    </row>
    <row r="603" spans="1:17" x14ac:dyDescent="0.3">
      <c r="A603" s="31" t="s">
        <v>1637</v>
      </c>
      <c r="B603" s="32">
        <v>45904</v>
      </c>
      <c r="C603" s="33" t="s">
        <v>1638</v>
      </c>
      <c r="D603" s="40" t="s">
        <v>38</v>
      </c>
      <c r="E603" s="40" t="s">
        <v>1639</v>
      </c>
      <c r="F603" s="34">
        <v>1</v>
      </c>
      <c r="G603" s="35">
        <v>64584</v>
      </c>
      <c r="H603" s="36">
        <f t="shared" si="38"/>
        <v>64584</v>
      </c>
      <c r="I603" s="90"/>
      <c r="J603" s="37"/>
      <c r="K603" s="38">
        <f t="shared" si="39"/>
        <v>45904</v>
      </c>
      <c r="L603" s="90"/>
      <c r="M603" s="39"/>
      <c r="N603" s="40"/>
      <c r="O603" s="40"/>
      <c r="P603" s="40"/>
      <c r="Q603" s="40"/>
    </row>
    <row r="604" spans="1:17" x14ac:dyDescent="0.3">
      <c r="A604" s="31" t="s">
        <v>1640</v>
      </c>
      <c r="B604" s="32">
        <v>45904</v>
      </c>
      <c r="C604" s="33" t="s">
        <v>165</v>
      </c>
      <c r="D604" s="40" t="s">
        <v>1641</v>
      </c>
      <c r="E604" s="40" t="s">
        <v>74</v>
      </c>
      <c r="F604" s="34">
        <v>1</v>
      </c>
      <c r="G604" s="35">
        <v>450</v>
      </c>
      <c r="H604" s="36">
        <f t="shared" si="38"/>
        <v>450</v>
      </c>
      <c r="I604" s="90"/>
      <c r="J604" s="37"/>
      <c r="K604" s="38">
        <f t="shared" si="39"/>
        <v>45904</v>
      </c>
      <c r="L604" s="90" t="s">
        <v>17</v>
      </c>
      <c r="M604" s="39"/>
      <c r="N604" s="40"/>
      <c r="O604" s="40"/>
      <c r="P604" s="40"/>
      <c r="Q604" s="40"/>
    </row>
    <row r="605" spans="1:17" x14ac:dyDescent="0.3">
      <c r="A605" s="31" t="s">
        <v>1642</v>
      </c>
      <c r="B605" s="32">
        <v>45904</v>
      </c>
      <c r="C605" s="33" t="s">
        <v>1643</v>
      </c>
      <c r="D605" s="40" t="s">
        <v>1644</v>
      </c>
      <c r="E605" s="40" t="s">
        <v>1645</v>
      </c>
      <c r="F605" s="34">
        <v>1</v>
      </c>
      <c r="G605" s="35">
        <v>3172</v>
      </c>
      <c r="H605" s="36">
        <f t="shared" si="38"/>
        <v>3172</v>
      </c>
      <c r="I605" s="90"/>
      <c r="J605" s="37"/>
      <c r="K605" s="38">
        <f t="shared" si="39"/>
        <v>45904</v>
      </c>
      <c r="L605" s="90" t="s">
        <v>301</v>
      </c>
      <c r="M605" s="39"/>
      <c r="N605" s="40"/>
      <c r="O605" s="40"/>
      <c r="P605" s="40"/>
      <c r="Q605" s="40"/>
    </row>
    <row r="606" spans="1:17" x14ac:dyDescent="0.3">
      <c r="A606" s="31" t="s">
        <v>1646</v>
      </c>
      <c r="B606" s="32">
        <v>45904</v>
      </c>
      <c r="C606" s="33" t="s">
        <v>1647</v>
      </c>
      <c r="D606" s="40" t="s">
        <v>1648</v>
      </c>
      <c r="E606" s="40" t="s">
        <v>1649</v>
      </c>
      <c r="F606" s="34">
        <v>1</v>
      </c>
      <c r="G606" s="35">
        <v>21538</v>
      </c>
      <c r="H606" s="36">
        <f>F606*G606</f>
        <v>21538</v>
      </c>
      <c r="I606" s="90"/>
      <c r="J606" s="37"/>
      <c r="K606" s="38">
        <f t="shared" si="39"/>
        <v>45904</v>
      </c>
      <c r="L606" s="90" t="s">
        <v>301</v>
      </c>
      <c r="M606" s="39"/>
      <c r="N606" s="40"/>
      <c r="O606" s="40"/>
      <c r="P606" s="40"/>
      <c r="Q606" s="40"/>
    </row>
    <row r="607" spans="1:17" x14ac:dyDescent="0.3">
      <c r="A607" s="31" t="s">
        <v>1650</v>
      </c>
      <c r="B607" s="32">
        <v>45905</v>
      </c>
      <c r="C607" s="71" t="s">
        <v>700</v>
      </c>
      <c r="D607" s="40" t="s">
        <v>28</v>
      </c>
      <c r="E607" s="40" t="s">
        <v>1651</v>
      </c>
      <c r="F607" s="34">
        <v>1</v>
      </c>
      <c r="G607" s="35">
        <v>16186.25</v>
      </c>
      <c r="H607" s="36">
        <f t="shared" si="38"/>
        <v>16186.25</v>
      </c>
      <c r="I607" s="90"/>
      <c r="J607" s="37"/>
      <c r="K607" s="38">
        <f t="shared" si="39"/>
        <v>45905</v>
      </c>
      <c r="L607" s="90" t="s">
        <v>301</v>
      </c>
      <c r="M607" s="39"/>
      <c r="N607" s="40"/>
      <c r="O607" s="40"/>
      <c r="P607" s="40"/>
      <c r="Q607" s="40"/>
    </row>
    <row r="608" spans="1:17" x14ac:dyDescent="0.3">
      <c r="A608" s="31" t="s">
        <v>1652</v>
      </c>
      <c r="B608" s="32">
        <v>45905</v>
      </c>
      <c r="C608" s="33" t="s">
        <v>16</v>
      </c>
      <c r="D608" s="40" t="s">
        <v>1653</v>
      </c>
      <c r="E608" s="40" t="s">
        <v>1654</v>
      </c>
      <c r="F608" s="34">
        <v>1</v>
      </c>
      <c r="G608" s="35"/>
      <c r="H608" s="36"/>
      <c r="I608" s="90"/>
      <c r="J608" s="37"/>
      <c r="K608" s="38">
        <f t="shared" si="39"/>
        <v>45905</v>
      </c>
      <c r="L608" s="90" t="s">
        <v>301</v>
      </c>
      <c r="M608" s="39"/>
      <c r="N608" s="40"/>
      <c r="O608" s="40"/>
      <c r="P608" s="40"/>
      <c r="Q608" s="40"/>
    </row>
    <row r="609" spans="1:17" x14ac:dyDescent="0.3">
      <c r="A609" s="31" t="s">
        <v>1655</v>
      </c>
      <c r="B609" s="32">
        <v>45905</v>
      </c>
      <c r="C609" s="33" t="s">
        <v>145</v>
      </c>
      <c r="D609" s="40" t="s">
        <v>704</v>
      </c>
      <c r="E609" s="40" t="s">
        <v>1656</v>
      </c>
      <c r="F609" s="34">
        <v>1</v>
      </c>
      <c r="G609" s="35">
        <v>4072</v>
      </c>
      <c r="H609" s="36">
        <f t="shared" si="38"/>
        <v>4072</v>
      </c>
      <c r="I609" s="90"/>
      <c r="J609" s="37"/>
      <c r="K609" s="38">
        <f t="shared" si="39"/>
        <v>45905</v>
      </c>
      <c r="L609" s="90" t="s">
        <v>301</v>
      </c>
      <c r="M609" s="39"/>
      <c r="N609" s="40"/>
      <c r="O609" s="40"/>
      <c r="P609" s="40"/>
      <c r="Q609" s="40"/>
    </row>
    <row r="610" spans="1:17" x14ac:dyDescent="0.3">
      <c r="A610" s="31" t="s">
        <v>1657</v>
      </c>
      <c r="B610" s="32">
        <v>45908</v>
      </c>
      <c r="C610" s="33" t="s">
        <v>16</v>
      </c>
      <c r="D610" s="40" t="s">
        <v>1658</v>
      </c>
      <c r="E610" s="40" t="s">
        <v>71</v>
      </c>
      <c r="F610" s="34">
        <v>5</v>
      </c>
      <c r="G610" s="35">
        <v>9161.1</v>
      </c>
      <c r="H610" s="36">
        <f t="shared" si="38"/>
        <v>45805.5</v>
      </c>
      <c r="I610" s="90"/>
      <c r="J610" s="37"/>
      <c r="K610" s="38">
        <f t="shared" si="39"/>
        <v>45908</v>
      </c>
      <c r="L610" s="90" t="s">
        <v>17</v>
      </c>
      <c r="M610" s="39"/>
      <c r="N610" s="40"/>
      <c r="O610" s="40"/>
      <c r="P610" s="40"/>
      <c r="Q610" s="40"/>
    </row>
    <row r="611" spans="1:17" x14ac:dyDescent="0.3">
      <c r="A611" s="31" t="s">
        <v>1659</v>
      </c>
      <c r="B611" s="32">
        <v>45908</v>
      </c>
      <c r="C611" s="33" t="s">
        <v>1660</v>
      </c>
      <c r="D611" s="40" t="s">
        <v>150</v>
      </c>
      <c r="E611" s="40" t="s">
        <v>159</v>
      </c>
      <c r="F611" s="34">
        <v>13</v>
      </c>
      <c r="G611" s="35">
        <v>1346</v>
      </c>
      <c r="H611" s="36">
        <f t="shared" ref="H611:H674" si="40">F611*G611</f>
        <v>17498</v>
      </c>
      <c r="I611" s="90"/>
      <c r="J611" s="37"/>
      <c r="K611" s="38">
        <f t="shared" si="39"/>
        <v>45908</v>
      </c>
      <c r="L611" s="90" t="s">
        <v>301</v>
      </c>
      <c r="M611" s="39"/>
      <c r="N611" s="40"/>
      <c r="O611" s="40"/>
      <c r="P611" s="40"/>
      <c r="Q611" s="40"/>
    </row>
    <row r="612" spans="1:17" x14ac:dyDescent="0.3">
      <c r="A612" s="31" t="s">
        <v>1661</v>
      </c>
      <c r="B612" s="32">
        <v>45908</v>
      </c>
      <c r="C612" s="33" t="s">
        <v>16</v>
      </c>
      <c r="D612" s="40" t="s">
        <v>87</v>
      </c>
      <c r="E612" s="40" t="s">
        <v>1662</v>
      </c>
      <c r="F612" s="34">
        <v>1</v>
      </c>
      <c r="G612" s="35">
        <v>6850</v>
      </c>
      <c r="H612" s="36">
        <f t="shared" si="40"/>
        <v>6850</v>
      </c>
      <c r="I612" s="90"/>
      <c r="J612" s="37"/>
      <c r="K612" s="38">
        <f t="shared" si="39"/>
        <v>45908</v>
      </c>
      <c r="L612" s="90" t="s">
        <v>301</v>
      </c>
      <c r="M612" s="39"/>
      <c r="N612" s="40"/>
      <c r="O612" s="40"/>
      <c r="P612" s="40"/>
      <c r="Q612" s="40"/>
    </row>
    <row r="613" spans="1:17" x14ac:dyDescent="0.3">
      <c r="A613" s="31" t="s">
        <v>1663</v>
      </c>
      <c r="B613" s="32">
        <v>45908</v>
      </c>
      <c r="C613" s="33" t="s">
        <v>1664</v>
      </c>
      <c r="D613" s="40" t="s">
        <v>30</v>
      </c>
      <c r="E613" s="40" t="s">
        <v>66</v>
      </c>
      <c r="F613" s="34">
        <v>2</v>
      </c>
      <c r="G613" s="35">
        <v>2902</v>
      </c>
      <c r="H613" s="36">
        <f t="shared" si="40"/>
        <v>5804</v>
      </c>
      <c r="I613" s="90"/>
      <c r="J613" s="37"/>
      <c r="K613" s="38">
        <f t="shared" si="39"/>
        <v>45908</v>
      </c>
      <c r="L613" s="90" t="s">
        <v>301</v>
      </c>
      <c r="M613" s="39"/>
      <c r="N613" s="40"/>
      <c r="O613" s="40"/>
      <c r="P613" s="40"/>
      <c r="Q613" s="40"/>
    </row>
    <row r="614" spans="1:17" x14ac:dyDescent="0.3">
      <c r="A614" s="31" t="s">
        <v>1665</v>
      </c>
      <c r="B614" s="32">
        <v>45908</v>
      </c>
      <c r="C614" s="33" t="s">
        <v>43</v>
      </c>
      <c r="D614" s="40" t="s">
        <v>49</v>
      </c>
      <c r="E614" s="40" t="s">
        <v>58</v>
      </c>
      <c r="F614" s="34">
        <v>1</v>
      </c>
      <c r="G614" s="35">
        <v>19468</v>
      </c>
      <c r="H614" s="36">
        <f t="shared" si="40"/>
        <v>19468</v>
      </c>
      <c r="I614" s="90"/>
      <c r="J614" s="37"/>
      <c r="K614" s="38">
        <f t="shared" si="39"/>
        <v>45908</v>
      </c>
      <c r="L614" s="90" t="s">
        <v>20</v>
      </c>
      <c r="M614" s="39"/>
      <c r="N614" s="40"/>
      <c r="O614" s="40"/>
      <c r="P614" s="40"/>
      <c r="Q614" s="40"/>
    </row>
    <row r="615" spans="1:17" x14ac:dyDescent="0.3">
      <c r="A615" s="31" t="s">
        <v>1666</v>
      </c>
      <c r="B615" s="32">
        <v>45908</v>
      </c>
      <c r="C615" s="33" t="s">
        <v>1667</v>
      </c>
      <c r="D615" s="40" t="s">
        <v>49</v>
      </c>
      <c r="E615" s="40" t="s">
        <v>58</v>
      </c>
      <c r="F615" s="34">
        <v>1</v>
      </c>
      <c r="G615" s="35">
        <v>19468</v>
      </c>
      <c r="H615" s="36">
        <f t="shared" si="40"/>
        <v>19468</v>
      </c>
      <c r="I615" s="90"/>
      <c r="J615" s="37"/>
      <c r="K615" s="38">
        <f t="shared" si="39"/>
        <v>45908</v>
      </c>
      <c r="L615" s="90" t="s">
        <v>20</v>
      </c>
      <c r="M615" s="39"/>
      <c r="N615" s="40"/>
      <c r="O615" s="40"/>
      <c r="P615" s="40"/>
      <c r="Q615" s="40"/>
    </row>
    <row r="616" spans="1:17" x14ac:dyDescent="0.3">
      <c r="A616" s="31" t="s">
        <v>1668</v>
      </c>
      <c r="B616" s="32">
        <v>45908</v>
      </c>
      <c r="C616" s="33" t="s">
        <v>1669</v>
      </c>
      <c r="D616" s="40" t="s">
        <v>49</v>
      </c>
      <c r="E616" s="40" t="s">
        <v>42</v>
      </c>
      <c r="F616" s="34">
        <v>6</v>
      </c>
      <c r="G616" s="35">
        <v>10118</v>
      </c>
      <c r="H616" s="36">
        <f t="shared" si="40"/>
        <v>60708</v>
      </c>
      <c r="I616" s="90"/>
      <c r="J616" s="37"/>
      <c r="K616" s="38">
        <f t="shared" si="39"/>
        <v>45908</v>
      </c>
      <c r="L616" s="90" t="s">
        <v>20</v>
      </c>
      <c r="M616" s="39"/>
      <c r="N616" s="40"/>
      <c r="O616" s="40"/>
      <c r="P616" s="40"/>
      <c r="Q616" s="40"/>
    </row>
    <row r="617" spans="1:17" x14ac:dyDescent="0.3">
      <c r="A617" s="31" t="s">
        <v>1670</v>
      </c>
      <c r="B617" s="32">
        <v>45909</v>
      </c>
      <c r="C617" s="33" t="s">
        <v>16</v>
      </c>
      <c r="D617" s="40" t="s">
        <v>138</v>
      </c>
      <c r="E617" s="40" t="s">
        <v>48</v>
      </c>
      <c r="F617" s="34">
        <v>1</v>
      </c>
      <c r="G617" s="35">
        <v>2681</v>
      </c>
      <c r="H617" s="36">
        <f t="shared" si="40"/>
        <v>2681</v>
      </c>
      <c r="I617" s="90"/>
      <c r="J617" s="37"/>
      <c r="K617" s="38">
        <f t="shared" si="39"/>
        <v>45909</v>
      </c>
      <c r="L617" s="90" t="s">
        <v>301</v>
      </c>
      <c r="M617" s="39"/>
      <c r="N617" s="40"/>
      <c r="O617" s="40"/>
      <c r="P617" s="40"/>
      <c r="Q617" s="40"/>
    </row>
    <row r="618" spans="1:17" x14ac:dyDescent="0.3">
      <c r="A618" s="31" t="s">
        <v>1671</v>
      </c>
      <c r="B618" s="32">
        <v>45909</v>
      </c>
      <c r="C618" s="33" t="s">
        <v>1672</v>
      </c>
      <c r="D618" s="40" t="s">
        <v>49</v>
      </c>
      <c r="E618" s="40" t="s">
        <v>1673</v>
      </c>
      <c r="F618" s="34">
        <v>1</v>
      </c>
      <c r="G618" s="35">
        <v>52679</v>
      </c>
      <c r="H618" s="36">
        <f t="shared" si="40"/>
        <v>52679</v>
      </c>
      <c r="I618" s="90"/>
      <c r="J618" s="37"/>
      <c r="K618" s="38">
        <f t="shared" si="39"/>
        <v>45909</v>
      </c>
      <c r="L618" s="90" t="s">
        <v>20</v>
      </c>
      <c r="M618" s="39"/>
      <c r="N618" s="40"/>
      <c r="O618" s="40"/>
      <c r="P618" s="40"/>
      <c r="Q618" s="40"/>
    </row>
    <row r="619" spans="1:17" x14ac:dyDescent="0.3">
      <c r="A619" s="31" t="s">
        <v>1674</v>
      </c>
      <c r="B619" s="32">
        <v>45910</v>
      </c>
      <c r="C619" s="33" t="s">
        <v>16</v>
      </c>
      <c r="D619" s="40" t="s">
        <v>87</v>
      </c>
      <c r="E619" s="40" t="s">
        <v>1675</v>
      </c>
      <c r="F619" s="34">
        <v>1</v>
      </c>
      <c r="G619" s="35">
        <v>3571</v>
      </c>
      <c r="H619" s="36">
        <f t="shared" si="40"/>
        <v>3571</v>
      </c>
      <c r="I619" s="90"/>
      <c r="J619" s="37"/>
      <c r="K619" s="38">
        <f t="shared" si="39"/>
        <v>45910</v>
      </c>
      <c r="L619" s="90" t="s">
        <v>20</v>
      </c>
      <c r="M619" s="39"/>
      <c r="N619" s="40"/>
      <c r="O619" s="40"/>
      <c r="P619" s="40"/>
      <c r="Q619" s="40"/>
    </row>
    <row r="620" spans="1:17" x14ac:dyDescent="0.3">
      <c r="A620" s="31" t="s">
        <v>1676</v>
      </c>
      <c r="B620" s="32">
        <v>45910</v>
      </c>
      <c r="C620" s="33" t="s">
        <v>1677</v>
      </c>
      <c r="D620" s="40" t="s">
        <v>150</v>
      </c>
      <c r="E620" s="40" t="s">
        <v>1678</v>
      </c>
      <c r="F620" s="34">
        <v>1</v>
      </c>
      <c r="G620" s="35">
        <v>4820</v>
      </c>
      <c r="H620" s="36">
        <f t="shared" si="40"/>
        <v>4820</v>
      </c>
      <c r="I620" s="90"/>
      <c r="J620" s="37"/>
      <c r="K620" s="38">
        <f t="shared" si="39"/>
        <v>45910</v>
      </c>
      <c r="L620" s="90" t="s">
        <v>301</v>
      </c>
      <c r="M620" s="39"/>
      <c r="N620" s="40"/>
      <c r="O620" s="40"/>
      <c r="P620" s="40"/>
      <c r="Q620" s="40"/>
    </row>
    <row r="621" spans="1:17" x14ac:dyDescent="0.3">
      <c r="A621" s="31" t="s">
        <v>1679</v>
      </c>
      <c r="B621" s="32">
        <v>45910</v>
      </c>
      <c r="C621" s="33" t="s">
        <v>16</v>
      </c>
      <c r="D621" s="40" t="s">
        <v>1680</v>
      </c>
      <c r="E621" s="40" t="s">
        <v>72</v>
      </c>
      <c r="F621" s="34">
        <v>5</v>
      </c>
      <c r="G621" s="35">
        <v>3708</v>
      </c>
      <c r="H621" s="36">
        <f t="shared" si="40"/>
        <v>18540</v>
      </c>
      <c r="I621" s="90"/>
      <c r="J621" s="37"/>
      <c r="K621" s="38">
        <f t="shared" si="39"/>
        <v>45910</v>
      </c>
      <c r="L621" s="90" t="s">
        <v>301</v>
      </c>
      <c r="M621" s="39"/>
      <c r="N621" s="40"/>
      <c r="O621" s="40"/>
      <c r="P621" s="40"/>
      <c r="Q621" s="40"/>
    </row>
    <row r="622" spans="1:17" x14ac:dyDescent="0.3">
      <c r="A622" s="31" t="s">
        <v>1681</v>
      </c>
      <c r="B622" s="32">
        <v>45910</v>
      </c>
      <c r="C622" s="33" t="s">
        <v>145</v>
      </c>
      <c r="D622" s="40" t="s">
        <v>1682</v>
      </c>
      <c r="E622" s="40" t="s">
        <v>1683</v>
      </c>
      <c r="F622" s="34">
        <v>6</v>
      </c>
      <c r="G622" s="35">
        <v>6744.8333000000002</v>
      </c>
      <c r="H622" s="36">
        <f t="shared" si="40"/>
        <v>40468.999800000005</v>
      </c>
      <c r="I622" s="90"/>
      <c r="J622" s="37"/>
      <c r="K622" s="38">
        <f t="shared" si="39"/>
        <v>45910</v>
      </c>
      <c r="L622" s="90" t="s">
        <v>17</v>
      </c>
      <c r="M622" s="39"/>
      <c r="N622" s="40"/>
      <c r="O622" s="40"/>
      <c r="P622" s="40"/>
      <c r="Q622" s="40"/>
    </row>
    <row r="623" spans="1:17" x14ac:dyDescent="0.3">
      <c r="A623" s="31" t="s">
        <v>1684</v>
      </c>
      <c r="B623" s="32">
        <v>45910</v>
      </c>
      <c r="C623" s="33" t="s">
        <v>1685</v>
      </c>
      <c r="D623" s="40" t="s">
        <v>150</v>
      </c>
      <c r="E623" s="40" t="s">
        <v>1686</v>
      </c>
      <c r="F623" s="34">
        <v>4</v>
      </c>
      <c r="G623" s="35">
        <v>65</v>
      </c>
      <c r="H623" s="36">
        <f t="shared" si="40"/>
        <v>260</v>
      </c>
      <c r="I623" s="90"/>
      <c r="J623" s="37"/>
      <c r="K623" s="38">
        <f t="shared" si="39"/>
        <v>45910</v>
      </c>
      <c r="L623" s="90" t="s">
        <v>301</v>
      </c>
      <c r="M623" s="39"/>
      <c r="N623" s="40"/>
      <c r="O623" s="40"/>
      <c r="P623" s="40"/>
      <c r="Q623" s="40"/>
    </row>
    <row r="624" spans="1:17" x14ac:dyDescent="0.3">
      <c r="A624" s="31" t="s">
        <v>1687</v>
      </c>
      <c r="B624" s="32">
        <v>45911</v>
      </c>
      <c r="C624" s="33" t="s">
        <v>1688</v>
      </c>
      <c r="D624" s="40" t="s">
        <v>1689</v>
      </c>
      <c r="E624" s="40" t="s">
        <v>1690</v>
      </c>
      <c r="F624" s="34">
        <v>3</v>
      </c>
      <c r="G624" s="35">
        <v>36409</v>
      </c>
      <c r="H624" s="36">
        <f t="shared" si="40"/>
        <v>109227</v>
      </c>
      <c r="I624" s="90"/>
      <c r="J624" s="37"/>
      <c r="K624" s="38">
        <f t="shared" si="39"/>
        <v>45911</v>
      </c>
      <c r="L624" s="90" t="s">
        <v>301</v>
      </c>
      <c r="M624" s="39"/>
      <c r="N624" s="40"/>
      <c r="O624" s="40"/>
      <c r="P624" s="40"/>
      <c r="Q624" s="40"/>
    </row>
    <row r="625" spans="1:17" x14ac:dyDescent="0.3">
      <c r="A625" s="31" t="s">
        <v>1691</v>
      </c>
      <c r="B625" s="32">
        <v>45911</v>
      </c>
      <c r="C625" s="33" t="s">
        <v>1692</v>
      </c>
      <c r="D625" s="40" t="s">
        <v>150</v>
      </c>
      <c r="E625" s="40" t="s">
        <v>1693</v>
      </c>
      <c r="F625" s="34">
        <v>2</v>
      </c>
      <c r="G625" s="35">
        <v>21518</v>
      </c>
      <c r="H625" s="36">
        <f t="shared" si="40"/>
        <v>43036</v>
      </c>
      <c r="I625" s="90"/>
      <c r="J625" s="37"/>
      <c r="K625" s="38">
        <f t="shared" si="39"/>
        <v>45911</v>
      </c>
      <c r="L625" s="90" t="s">
        <v>301</v>
      </c>
      <c r="M625" s="39"/>
      <c r="N625" s="40"/>
      <c r="O625" s="40"/>
      <c r="P625" s="40"/>
      <c r="Q625" s="40"/>
    </row>
    <row r="626" spans="1:17" x14ac:dyDescent="0.3">
      <c r="A626" s="31" t="s">
        <v>1694</v>
      </c>
      <c r="B626" s="32">
        <v>45911</v>
      </c>
      <c r="C626" s="33" t="s">
        <v>1692</v>
      </c>
      <c r="D626" s="40" t="s">
        <v>150</v>
      </c>
      <c r="E626" s="40" t="s">
        <v>1695</v>
      </c>
      <c r="F626" s="34">
        <v>1</v>
      </c>
      <c r="G626" s="35">
        <v>29158</v>
      </c>
      <c r="H626" s="36">
        <f t="shared" si="40"/>
        <v>29158</v>
      </c>
      <c r="I626" s="90"/>
      <c r="J626" s="37"/>
      <c r="K626" s="38">
        <f t="shared" si="39"/>
        <v>45911</v>
      </c>
      <c r="L626" s="90" t="s">
        <v>301</v>
      </c>
      <c r="M626" s="39"/>
      <c r="N626" s="40"/>
      <c r="O626" s="40"/>
      <c r="P626" s="40"/>
      <c r="Q626" s="40"/>
    </row>
    <row r="627" spans="1:17" x14ac:dyDescent="0.3">
      <c r="A627" s="31" t="s">
        <v>1696</v>
      </c>
      <c r="B627" s="32">
        <v>45911</v>
      </c>
      <c r="C627" s="33" t="s">
        <v>1692</v>
      </c>
      <c r="D627" s="40" t="s">
        <v>150</v>
      </c>
      <c r="E627" s="40" t="s">
        <v>1697</v>
      </c>
      <c r="F627" s="34">
        <v>1</v>
      </c>
      <c r="G627" s="35">
        <v>16960</v>
      </c>
      <c r="H627" s="36">
        <f t="shared" si="40"/>
        <v>16960</v>
      </c>
      <c r="I627" s="90"/>
      <c r="J627" s="37"/>
      <c r="K627" s="38">
        <f t="shared" si="39"/>
        <v>45911</v>
      </c>
      <c r="L627" s="90" t="s">
        <v>301</v>
      </c>
      <c r="M627" s="39"/>
      <c r="N627" s="40"/>
      <c r="O627" s="40"/>
      <c r="P627" s="40"/>
      <c r="Q627" s="40"/>
    </row>
    <row r="628" spans="1:17" x14ac:dyDescent="0.3">
      <c r="A628" s="31" t="s">
        <v>1698</v>
      </c>
      <c r="B628" s="32">
        <v>45911</v>
      </c>
      <c r="C628" s="33" t="s">
        <v>1692</v>
      </c>
      <c r="D628" s="40" t="s">
        <v>150</v>
      </c>
      <c r="E628" s="40" t="s">
        <v>1441</v>
      </c>
      <c r="F628" s="34">
        <v>1</v>
      </c>
      <c r="G628" s="35">
        <v>17369</v>
      </c>
      <c r="H628" s="36">
        <f t="shared" si="40"/>
        <v>17369</v>
      </c>
      <c r="I628" s="90"/>
      <c r="J628" s="37"/>
      <c r="K628" s="38">
        <f t="shared" si="39"/>
        <v>45911</v>
      </c>
      <c r="L628" s="90" t="s">
        <v>301</v>
      </c>
      <c r="M628" s="39"/>
      <c r="N628" s="40"/>
      <c r="O628" s="40"/>
      <c r="P628" s="40"/>
      <c r="Q628" s="40"/>
    </row>
    <row r="629" spans="1:17" x14ac:dyDescent="0.3">
      <c r="A629" s="31" t="s">
        <v>1699</v>
      </c>
      <c r="B629" s="32">
        <v>45912</v>
      </c>
      <c r="C629" s="33" t="s">
        <v>16</v>
      </c>
      <c r="D629" s="40" t="s">
        <v>1700</v>
      </c>
      <c r="E629" s="40" t="s">
        <v>1701</v>
      </c>
      <c r="F629" s="34">
        <v>1</v>
      </c>
      <c r="G629" s="35">
        <v>8572</v>
      </c>
      <c r="H629" s="36">
        <f t="shared" si="40"/>
        <v>8572</v>
      </c>
      <c r="I629" s="90"/>
      <c r="J629" s="37"/>
      <c r="K629" s="38">
        <f t="shared" si="39"/>
        <v>45912</v>
      </c>
      <c r="L629" s="90" t="s">
        <v>143</v>
      </c>
      <c r="M629" s="39"/>
      <c r="N629" s="40"/>
      <c r="O629" s="40"/>
      <c r="P629" s="40"/>
      <c r="Q629" s="40"/>
    </row>
    <row r="630" spans="1:17" x14ac:dyDescent="0.3">
      <c r="A630" s="31" t="s">
        <v>1702</v>
      </c>
      <c r="B630" s="32">
        <v>45912</v>
      </c>
      <c r="C630" s="33" t="s">
        <v>1703</v>
      </c>
      <c r="D630" s="40" t="s">
        <v>40</v>
      </c>
      <c r="E630" s="40" t="s">
        <v>1704</v>
      </c>
      <c r="F630" s="34">
        <v>1</v>
      </c>
      <c r="G630" s="35">
        <v>20459.13</v>
      </c>
      <c r="H630" s="36">
        <f t="shared" si="40"/>
        <v>20459.13</v>
      </c>
      <c r="I630" s="90"/>
      <c r="J630" s="37"/>
      <c r="K630" s="38">
        <f t="shared" si="39"/>
        <v>45912</v>
      </c>
      <c r="L630" s="90" t="s">
        <v>301</v>
      </c>
      <c r="M630" s="39"/>
      <c r="N630" s="40"/>
      <c r="O630" s="40"/>
      <c r="P630" s="40"/>
      <c r="Q630" s="40"/>
    </row>
    <row r="631" spans="1:17" x14ac:dyDescent="0.3">
      <c r="A631" s="31" t="s">
        <v>1705</v>
      </c>
      <c r="B631" s="32">
        <v>45912</v>
      </c>
      <c r="C631" s="33" t="s">
        <v>1706</v>
      </c>
      <c r="D631" s="40" t="s">
        <v>1417</v>
      </c>
      <c r="E631" s="40" t="s">
        <v>73</v>
      </c>
      <c r="F631" s="34">
        <v>1</v>
      </c>
      <c r="G631" s="35">
        <v>6144</v>
      </c>
      <c r="H631" s="36">
        <f t="shared" si="40"/>
        <v>6144</v>
      </c>
      <c r="I631" s="90"/>
      <c r="J631" s="37"/>
      <c r="K631" s="38">
        <f t="shared" si="39"/>
        <v>45912</v>
      </c>
      <c r="L631" s="90" t="s">
        <v>17</v>
      </c>
      <c r="M631" s="39"/>
      <c r="N631" s="40"/>
      <c r="O631" s="40"/>
      <c r="P631" s="40"/>
      <c r="Q631" s="40"/>
    </row>
    <row r="632" spans="1:17" x14ac:dyDescent="0.3">
      <c r="A632" s="31" t="s">
        <v>1707</v>
      </c>
      <c r="B632" s="32">
        <v>45912</v>
      </c>
      <c r="C632" s="33" t="s">
        <v>145</v>
      </c>
      <c r="D632" s="40" t="s">
        <v>1708</v>
      </c>
      <c r="E632" s="40" t="s">
        <v>1709</v>
      </c>
      <c r="F632" s="34">
        <v>4</v>
      </c>
      <c r="G632" s="35">
        <v>4317</v>
      </c>
      <c r="H632" s="36">
        <f t="shared" si="40"/>
        <v>17268</v>
      </c>
      <c r="I632" s="90"/>
      <c r="J632" s="37"/>
      <c r="K632" s="38">
        <f t="shared" si="39"/>
        <v>45912</v>
      </c>
      <c r="L632" s="90" t="s">
        <v>17</v>
      </c>
      <c r="M632" s="39"/>
      <c r="N632" s="40"/>
      <c r="O632" s="40"/>
      <c r="P632" s="40"/>
      <c r="Q632" s="40"/>
    </row>
    <row r="633" spans="1:17" x14ac:dyDescent="0.3">
      <c r="A633" s="31" t="s">
        <v>1710</v>
      </c>
      <c r="B633" s="32">
        <v>45912</v>
      </c>
      <c r="C633" s="33" t="s">
        <v>16</v>
      </c>
      <c r="D633" s="40" t="s">
        <v>1613</v>
      </c>
      <c r="E633" s="40" t="s">
        <v>863</v>
      </c>
      <c r="F633" s="34">
        <v>9</v>
      </c>
      <c r="G633" s="35">
        <v>651</v>
      </c>
      <c r="H633" s="36">
        <f t="shared" si="40"/>
        <v>5859</v>
      </c>
      <c r="I633" s="90"/>
      <c r="J633" s="37"/>
      <c r="K633" s="38">
        <f t="shared" si="39"/>
        <v>45912</v>
      </c>
      <c r="L633" s="90" t="s">
        <v>17</v>
      </c>
      <c r="M633" s="39"/>
      <c r="N633" s="40"/>
      <c r="O633" s="40"/>
      <c r="P633" s="40"/>
      <c r="Q633" s="40"/>
    </row>
    <row r="634" spans="1:17" x14ac:dyDescent="0.3">
      <c r="A634" s="31" t="s">
        <v>1711</v>
      </c>
      <c r="B634" s="32">
        <v>45915</v>
      </c>
      <c r="C634" s="33" t="s">
        <v>145</v>
      </c>
      <c r="D634" s="40" t="s">
        <v>1712</v>
      </c>
      <c r="E634" s="40" t="s">
        <v>1713</v>
      </c>
      <c r="F634" s="34">
        <v>2</v>
      </c>
      <c r="G634" s="35">
        <v>5225</v>
      </c>
      <c r="H634" s="36">
        <f t="shared" si="40"/>
        <v>10450</v>
      </c>
      <c r="I634" s="90"/>
      <c r="J634" s="37"/>
      <c r="K634" s="38">
        <f t="shared" si="39"/>
        <v>45915</v>
      </c>
      <c r="L634" s="90" t="s">
        <v>17</v>
      </c>
      <c r="M634" s="39"/>
      <c r="N634" s="40"/>
      <c r="O634" s="40"/>
      <c r="P634" s="40"/>
      <c r="Q634" s="40"/>
    </row>
    <row r="635" spans="1:17" x14ac:dyDescent="0.3">
      <c r="A635" s="31" t="s">
        <v>1714</v>
      </c>
      <c r="B635" s="32">
        <v>45915</v>
      </c>
      <c r="C635" s="33" t="s">
        <v>1715</v>
      </c>
      <c r="D635" s="40" t="s">
        <v>1064</v>
      </c>
      <c r="E635" s="40" t="s">
        <v>148</v>
      </c>
      <c r="F635" s="34">
        <v>1</v>
      </c>
      <c r="G635" s="35">
        <v>768</v>
      </c>
      <c r="H635" s="36">
        <f t="shared" si="40"/>
        <v>768</v>
      </c>
      <c r="I635" s="90"/>
      <c r="J635" s="37"/>
      <c r="K635" s="38">
        <f t="shared" si="39"/>
        <v>45915</v>
      </c>
      <c r="L635" s="90" t="s">
        <v>143</v>
      </c>
      <c r="M635" s="39"/>
      <c r="N635" s="40"/>
      <c r="O635" s="40"/>
      <c r="P635" s="40"/>
      <c r="Q635" s="40"/>
    </row>
    <row r="636" spans="1:17" x14ac:dyDescent="0.3">
      <c r="A636" s="31" t="s">
        <v>1716</v>
      </c>
      <c r="B636" s="32">
        <v>45915</v>
      </c>
      <c r="C636" s="33" t="s">
        <v>145</v>
      </c>
      <c r="D636" s="40" t="s">
        <v>1717</v>
      </c>
      <c r="E636" s="40" t="s">
        <v>48</v>
      </c>
      <c r="F636" s="34">
        <v>1</v>
      </c>
      <c r="G636" s="35">
        <v>2778</v>
      </c>
      <c r="H636" s="36">
        <f t="shared" si="40"/>
        <v>2778</v>
      </c>
      <c r="I636" s="90"/>
      <c r="J636" s="37"/>
      <c r="K636" s="38">
        <f t="shared" si="39"/>
        <v>45915</v>
      </c>
      <c r="L636" s="90" t="s">
        <v>17</v>
      </c>
      <c r="M636" s="39"/>
      <c r="N636" s="40"/>
      <c r="O636" s="40"/>
      <c r="P636" s="40"/>
      <c r="Q636" s="40"/>
    </row>
    <row r="637" spans="1:17" x14ac:dyDescent="0.3">
      <c r="A637" s="31" t="s">
        <v>1718</v>
      </c>
      <c r="B637" s="32">
        <v>45915</v>
      </c>
      <c r="C637" s="33" t="s">
        <v>145</v>
      </c>
      <c r="D637" s="40" t="s">
        <v>1719</v>
      </c>
      <c r="E637" s="40" t="s">
        <v>1720</v>
      </c>
      <c r="F637" s="34">
        <v>2</v>
      </c>
      <c r="G637" s="35">
        <v>3177</v>
      </c>
      <c r="H637" s="36">
        <f t="shared" si="40"/>
        <v>6354</v>
      </c>
      <c r="I637" s="90"/>
      <c r="J637" s="37"/>
      <c r="K637" s="38">
        <f t="shared" si="39"/>
        <v>45915</v>
      </c>
      <c r="L637" s="90" t="s">
        <v>17</v>
      </c>
      <c r="M637" s="39"/>
      <c r="N637" s="40"/>
      <c r="O637" s="40"/>
      <c r="P637" s="40"/>
      <c r="Q637" s="40"/>
    </row>
    <row r="638" spans="1:17" x14ac:dyDescent="0.3">
      <c r="A638" s="31" t="s">
        <v>1721</v>
      </c>
      <c r="B638" s="32">
        <v>45916</v>
      </c>
      <c r="C638" s="33" t="s">
        <v>145</v>
      </c>
      <c r="D638" s="40" t="s">
        <v>87</v>
      </c>
      <c r="E638" s="40" t="s">
        <v>1722</v>
      </c>
      <c r="F638" s="34">
        <v>1</v>
      </c>
      <c r="G638" s="35">
        <v>3409</v>
      </c>
      <c r="H638" s="36">
        <f t="shared" si="40"/>
        <v>3409</v>
      </c>
      <c r="I638" s="90"/>
      <c r="J638" s="37"/>
      <c r="K638" s="38">
        <f t="shared" si="39"/>
        <v>45916</v>
      </c>
      <c r="L638" s="90" t="s">
        <v>301</v>
      </c>
      <c r="M638" s="39"/>
      <c r="N638" s="40"/>
      <c r="O638" s="40"/>
      <c r="P638" s="40"/>
      <c r="Q638" s="40"/>
    </row>
    <row r="639" spans="1:17" x14ac:dyDescent="0.3">
      <c r="A639" s="31" t="s">
        <v>1723</v>
      </c>
      <c r="B639" s="32">
        <v>45916</v>
      </c>
      <c r="C639" s="33">
        <v>61054</v>
      </c>
      <c r="D639" s="40" t="s">
        <v>129</v>
      </c>
      <c r="E639" s="40" t="s">
        <v>133</v>
      </c>
      <c r="F639" s="34">
        <v>1</v>
      </c>
      <c r="G639" s="35">
        <v>40675</v>
      </c>
      <c r="H639" s="36">
        <f t="shared" si="40"/>
        <v>40675</v>
      </c>
      <c r="I639" s="90"/>
      <c r="J639" s="37"/>
      <c r="K639" s="38">
        <f t="shared" si="39"/>
        <v>45916</v>
      </c>
      <c r="L639" s="90" t="s">
        <v>143</v>
      </c>
      <c r="M639" s="39"/>
      <c r="N639" s="40"/>
      <c r="O639" s="40"/>
      <c r="P639" s="40"/>
      <c r="Q639" s="40"/>
    </row>
    <row r="640" spans="1:17" x14ac:dyDescent="0.3">
      <c r="A640" s="31" t="s">
        <v>1724</v>
      </c>
      <c r="B640" s="32">
        <v>45916</v>
      </c>
      <c r="C640" s="33">
        <v>61054</v>
      </c>
      <c r="D640" s="40" t="s">
        <v>129</v>
      </c>
      <c r="E640" s="40" t="s">
        <v>133</v>
      </c>
      <c r="F640" s="34">
        <v>1</v>
      </c>
      <c r="G640" s="35">
        <v>45327</v>
      </c>
      <c r="H640" s="36">
        <f t="shared" si="40"/>
        <v>45327</v>
      </c>
      <c r="I640" s="90"/>
      <c r="J640" s="37"/>
      <c r="K640" s="38">
        <f t="shared" si="39"/>
        <v>45916</v>
      </c>
      <c r="L640" s="90" t="s">
        <v>143</v>
      </c>
      <c r="M640" s="39"/>
      <c r="N640" s="40"/>
      <c r="O640" s="40"/>
      <c r="P640" s="40"/>
      <c r="Q640" s="40"/>
    </row>
    <row r="641" spans="1:17" x14ac:dyDescent="0.3">
      <c r="A641" s="31" t="s">
        <v>1725</v>
      </c>
      <c r="B641" s="32">
        <v>45916</v>
      </c>
      <c r="C641" s="78" t="s">
        <v>1726</v>
      </c>
      <c r="D641" s="40" t="s">
        <v>1212</v>
      </c>
      <c r="E641" s="40" t="s">
        <v>1727</v>
      </c>
      <c r="F641" s="34">
        <v>2</v>
      </c>
      <c r="G641" s="35">
        <v>262</v>
      </c>
      <c r="H641" s="36">
        <f t="shared" si="40"/>
        <v>524</v>
      </c>
      <c r="I641" s="90"/>
      <c r="J641" s="37"/>
      <c r="K641" s="38">
        <f t="shared" si="39"/>
        <v>45916</v>
      </c>
      <c r="L641" s="90" t="s">
        <v>17</v>
      </c>
      <c r="M641" s="39"/>
      <c r="N641" s="40"/>
      <c r="O641" s="40"/>
      <c r="P641" s="40"/>
      <c r="Q641" s="40"/>
    </row>
    <row r="642" spans="1:17" x14ac:dyDescent="0.3">
      <c r="A642" s="31" t="s">
        <v>1728</v>
      </c>
      <c r="B642" s="32">
        <v>45917</v>
      </c>
      <c r="C642" s="33" t="s">
        <v>145</v>
      </c>
      <c r="D642" s="40" t="s">
        <v>1394</v>
      </c>
      <c r="E642" s="40" t="s">
        <v>71</v>
      </c>
      <c r="F642" s="34">
        <v>10</v>
      </c>
      <c r="G642" s="35">
        <v>9396</v>
      </c>
      <c r="H642" s="36">
        <f t="shared" si="40"/>
        <v>93960</v>
      </c>
      <c r="I642" s="90"/>
      <c r="J642" s="37"/>
      <c r="K642" s="38">
        <f t="shared" si="39"/>
        <v>45917</v>
      </c>
      <c r="L642" s="90"/>
      <c r="M642" s="39"/>
      <c r="N642" s="40"/>
      <c r="O642" s="40"/>
      <c r="P642" s="40"/>
      <c r="Q642" s="40"/>
    </row>
    <row r="643" spans="1:17" x14ac:dyDescent="0.3">
      <c r="A643" s="31" t="s">
        <v>1729</v>
      </c>
      <c r="B643" s="32">
        <v>45917</v>
      </c>
      <c r="C643" s="33" t="s">
        <v>57</v>
      </c>
      <c r="D643" s="40" t="s">
        <v>1730</v>
      </c>
      <c r="E643" s="40" t="s">
        <v>1731</v>
      </c>
      <c r="F643" s="34">
        <v>1</v>
      </c>
      <c r="G643" s="35">
        <v>4956</v>
      </c>
      <c r="H643" s="36">
        <f t="shared" si="40"/>
        <v>4956</v>
      </c>
      <c r="I643" s="90"/>
      <c r="J643" s="37"/>
      <c r="K643" s="38">
        <f t="shared" si="39"/>
        <v>45917</v>
      </c>
      <c r="L643" s="90"/>
      <c r="M643" s="39"/>
      <c r="N643" s="40"/>
      <c r="O643" s="40"/>
      <c r="P643" s="40"/>
      <c r="Q643" s="40"/>
    </row>
    <row r="644" spans="1:17" x14ac:dyDescent="0.3">
      <c r="A644" s="31" t="s">
        <v>1732</v>
      </c>
      <c r="B644" s="32">
        <v>45918</v>
      </c>
      <c r="C644" s="33" t="s">
        <v>1733</v>
      </c>
      <c r="D644" s="40" t="s">
        <v>150</v>
      </c>
      <c r="E644" s="40" t="s">
        <v>1734</v>
      </c>
      <c r="F644" s="34">
        <v>1</v>
      </c>
      <c r="G644" s="35">
        <v>6421.24</v>
      </c>
      <c r="H644" s="36">
        <f t="shared" si="40"/>
        <v>6421.24</v>
      </c>
      <c r="I644" s="90"/>
      <c r="J644" s="37"/>
      <c r="K644" s="38">
        <f t="shared" si="39"/>
        <v>45918</v>
      </c>
      <c r="L644" s="90" t="s">
        <v>301</v>
      </c>
      <c r="M644" s="39"/>
      <c r="N644" s="40"/>
      <c r="O644" s="40"/>
      <c r="P644" s="40"/>
      <c r="Q644" s="40"/>
    </row>
    <row r="645" spans="1:17" x14ac:dyDescent="0.3">
      <c r="A645" s="31" t="s">
        <v>1735</v>
      </c>
      <c r="B645" s="32">
        <v>45918</v>
      </c>
      <c r="C645" s="33" t="s">
        <v>16</v>
      </c>
      <c r="D645" s="40" t="s">
        <v>1736</v>
      </c>
      <c r="E645" s="40" t="s">
        <v>1737</v>
      </c>
      <c r="F645" s="34">
        <v>1</v>
      </c>
      <c r="G645" s="35">
        <v>10927.52</v>
      </c>
      <c r="H645" s="36">
        <f t="shared" si="40"/>
        <v>10927.52</v>
      </c>
      <c r="I645" s="90"/>
      <c r="J645" s="37"/>
      <c r="K645" s="38">
        <f t="shared" si="39"/>
        <v>45918</v>
      </c>
      <c r="L645" s="90" t="s">
        <v>143</v>
      </c>
      <c r="M645" s="39"/>
      <c r="N645" s="40"/>
      <c r="O645" s="40"/>
      <c r="P645" s="40"/>
      <c r="Q645" s="40"/>
    </row>
    <row r="646" spans="1:17" x14ac:dyDescent="0.3">
      <c r="A646" s="31" t="s">
        <v>1738</v>
      </c>
      <c r="B646" s="32">
        <v>45918</v>
      </c>
      <c r="C646" s="33" t="s">
        <v>16</v>
      </c>
      <c r="D646" s="40" t="s">
        <v>1736</v>
      </c>
      <c r="E646" s="40" t="s">
        <v>133</v>
      </c>
      <c r="F646" s="34">
        <v>1</v>
      </c>
      <c r="G646" s="35">
        <v>10931</v>
      </c>
      <c r="H646" s="36">
        <f t="shared" si="40"/>
        <v>10931</v>
      </c>
      <c r="I646" s="90"/>
      <c r="J646" s="37"/>
      <c r="K646" s="38">
        <f t="shared" ref="K646:K709" si="41">J646+B646</f>
        <v>45918</v>
      </c>
      <c r="L646" s="90" t="s">
        <v>143</v>
      </c>
      <c r="M646" s="39"/>
      <c r="N646" s="40"/>
      <c r="O646" s="40"/>
      <c r="P646" s="40"/>
      <c r="Q646" s="40"/>
    </row>
    <row r="647" spans="1:17" x14ac:dyDescent="0.3">
      <c r="A647" s="31" t="s">
        <v>1739</v>
      </c>
      <c r="B647" s="32">
        <v>45918</v>
      </c>
      <c r="C647" s="33" t="s">
        <v>16</v>
      </c>
      <c r="D647" s="40" t="s">
        <v>1740</v>
      </c>
      <c r="E647" s="40" t="s">
        <v>1741</v>
      </c>
      <c r="F647" s="34">
        <v>2</v>
      </c>
      <c r="G647" s="35">
        <v>7007</v>
      </c>
      <c r="H647" s="36">
        <v>7007</v>
      </c>
      <c r="I647" s="90"/>
      <c r="J647" s="37"/>
      <c r="K647" s="38">
        <f t="shared" si="41"/>
        <v>45918</v>
      </c>
      <c r="L647" s="90" t="s">
        <v>301</v>
      </c>
      <c r="M647" s="39"/>
      <c r="N647" s="40"/>
      <c r="O647" s="40"/>
      <c r="P647" s="40"/>
      <c r="Q647" s="40"/>
    </row>
    <row r="648" spans="1:17" x14ac:dyDescent="0.3">
      <c r="A648" s="31" t="s">
        <v>1742</v>
      </c>
      <c r="B648" s="32">
        <v>45918</v>
      </c>
      <c r="C648" s="71" t="s">
        <v>1743</v>
      </c>
      <c r="D648" s="40" t="s">
        <v>704</v>
      </c>
      <c r="E648" s="40" t="s">
        <v>1744</v>
      </c>
      <c r="F648" s="34">
        <v>1</v>
      </c>
      <c r="G648" s="35">
        <v>9673.77</v>
      </c>
      <c r="H648" s="36">
        <f t="shared" si="40"/>
        <v>9673.77</v>
      </c>
      <c r="I648" s="90"/>
      <c r="J648" s="37"/>
      <c r="K648" s="38">
        <f t="shared" si="41"/>
        <v>45918</v>
      </c>
      <c r="L648" s="90" t="s">
        <v>301</v>
      </c>
      <c r="M648" s="39"/>
      <c r="N648" s="40"/>
      <c r="O648" s="40"/>
      <c r="P648" s="40"/>
      <c r="Q648" s="40"/>
    </row>
    <row r="649" spans="1:17" x14ac:dyDescent="0.3">
      <c r="A649" s="72" t="s">
        <v>1745</v>
      </c>
      <c r="B649" s="73">
        <v>45919</v>
      </c>
      <c r="C649" s="74" t="s">
        <v>16</v>
      </c>
      <c r="D649" s="75" t="s">
        <v>1440</v>
      </c>
      <c r="E649" s="75" t="s">
        <v>1746</v>
      </c>
      <c r="F649" s="76">
        <v>2</v>
      </c>
      <c r="G649" s="79">
        <v>8778</v>
      </c>
      <c r="H649" s="80">
        <f t="shared" si="40"/>
        <v>17556</v>
      </c>
      <c r="I649" s="93"/>
      <c r="J649" s="81"/>
      <c r="K649" s="38">
        <f t="shared" si="41"/>
        <v>45919</v>
      </c>
      <c r="L649" s="93"/>
      <c r="M649" s="39"/>
      <c r="N649" s="40"/>
      <c r="O649" s="40"/>
      <c r="P649" s="40"/>
      <c r="Q649" s="40"/>
    </row>
    <row r="650" spans="1:17" x14ac:dyDescent="0.3">
      <c r="A650" s="31" t="s">
        <v>1747</v>
      </c>
      <c r="B650" s="32">
        <v>45919</v>
      </c>
      <c r="C650" s="33" t="s">
        <v>16</v>
      </c>
      <c r="D650" s="40" t="s">
        <v>1440</v>
      </c>
      <c r="E650" s="40" t="s">
        <v>1748</v>
      </c>
      <c r="F650" s="34">
        <v>3</v>
      </c>
      <c r="G650" s="35">
        <v>9563</v>
      </c>
      <c r="H650" s="36">
        <f t="shared" si="40"/>
        <v>28689</v>
      </c>
      <c r="I650" s="90"/>
      <c r="J650" s="37"/>
      <c r="K650" s="38">
        <f t="shared" si="41"/>
        <v>45919</v>
      </c>
      <c r="L650" s="90"/>
      <c r="M650" s="39"/>
      <c r="N650" s="40"/>
      <c r="O650" s="40"/>
      <c r="P650" s="40"/>
      <c r="Q650" s="40"/>
    </row>
    <row r="651" spans="1:17" x14ac:dyDescent="0.3">
      <c r="A651" s="31" t="s">
        <v>1749</v>
      </c>
      <c r="B651" s="32">
        <v>45919</v>
      </c>
      <c r="C651" s="33" t="s">
        <v>16</v>
      </c>
      <c r="D651" s="40" t="s">
        <v>1440</v>
      </c>
      <c r="E651" s="40" t="s">
        <v>1750</v>
      </c>
      <c r="F651" s="34">
        <v>3</v>
      </c>
      <c r="G651" s="35">
        <v>9867</v>
      </c>
      <c r="H651" s="36">
        <f t="shared" si="40"/>
        <v>29601</v>
      </c>
      <c r="I651" s="90"/>
      <c r="J651" s="37"/>
      <c r="K651" s="38">
        <f t="shared" si="41"/>
        <v>45919</v>
      </c>
      <c r="L651" s="90"/>
      <c r="M651" s="39"/>
      <c r="N651" s="40"/>
      <c r="O651" s="40"/>
      <c r="P651" s="40"/>
      <c r="Q651" s="40"/>
    </row>
    <row r="652" spans="1:17" x14ac:dyDescent="0.3">
      <c r="A652" s="31" t="s">
        <v>1751</v>
      </c>
      <c r="B652" s="32">
        <v>45919</v>
      </c>
      <c r="C652" s="33" t="s">
        <v>16</v>
      </c>
      <c r="D652" s="40" t="s">
        <v>1440</v>
      </c>
      <c r="E652" s="40" t="s">
        <v>1750</v>
      </c>
      <c r="F652" s="34">
        <v>3</v>
      </c>
      <c r="G652" s="35">
        <v>9867</v>
      </c>
      <c r="H652" s="36">
        <f t="shared" si="40"/>
        <v>29601</v>
      </c>
      <c r="I652" s="90"/>
      <c r="J652" s="37"/>
      <c r="K652" s="38">
        <f t="shared" si="41"/>
        <v>45919</v>
      </c>
      <c r="L652" s="90"/>
      <c r="M652" s="39"/>
      <c r="N652" s="40"/>
      <c r="O652" s="40"/>
      <c r="P652" s="40"/>
      <c r="Q652" s="40"/>
    </row>
    <row r="653" spans="1:17" x14ac:dyDescent="0.3">
      <c r="A653" s="31" t="s">
        <v>1752</v>
      </c>
      <c r="B653" s="32">
        <v>45919</v>
      </c>
      <c r="C653" s="33" t="s">
        <v>16</v>
      </c>
      <c r="D653" s="40" t="s">
        <v>1440</v>
      </c>
      <c r="E653" s="40" t="s">
        <v>1753</v>
      </c>
      <c r="F653" s="34">
        <v>3</v>
      </c>
      <c r="G653" s="35">
        <v>12612</v>
      </c>
      <c r="H653" s="36">
        <f t="shared" si="40"/>
        <v>37836</v>
      </c>
      <c r="I653" s="90"/>
      <c r="J653" s="37"/>
      <c r="K653" s="38">
        <f t="shared" si="41"/>
        <v>45919</v>
      </c>
      <c r="L653" s="90"/>
      <c r="M653" s="39"/>
      <c r="N653" s="40"/>
      <c r="O653" s="40"/>
      <c r="P653" s="40"/>
      <c r="Q653" s="40"/>
    </row>
    <row r="654" spans="1:17" x14ac:dyDescent="0.3">
      <c r="A654" s="31" t="s">
        <v>1754</v>
      </c>
      <c r="B654" s="32">
        <v>45919</v>
      </c>
      <c r="C654" s="33" t="s">
        <v>16</v>
      </c>
      <c r="D654" s="40" t="s">
        <v>1440</v>
      </c>
      <c r="E654" s="40" t="s">
        <v>1755</v>
      </c>
      <c r="F654" s="34">
        <v>3</v>
      </c>
      <c r="G654" s="35">
        <v>13768</v>
      </c>
      <c r="H654" s="36">
        <f t="shared" si="40"/>
        <v>41304</v>
      </c>
      <c r="I654" s="90"/>
      <c r="J654" s="37"/>
      <c r="K654" s="38">
        <f t="shared" si="41"/>
        <v>45919</v>
      </c>
      <c r="L654" s="90"/>
      <c r="M654" s="39"/>
      <c r="N654" s="40"/>
      <c r="O654" s="40"/>
      <c r="P654" s="40"/>
      <c r="Q654" s="40"/>
    </row>
    <row r="655" spans="1:17" x14ac:dyDescent="0.3">
      <c r="A655" s="72" t="s">
        <v>1756</v>
      </c>
      <c r="B655" s="73">
        <v>45919</v>
      </c>
      <c r="C655" s="74" t="s">
        <v>16</v>
      </c>
      <c r="D655" s="75" t="s">
        <v>1440</v>
      </c>
      <c r="E655" s="75" t="s">
        <v>1755</v>
      </c>
      <c r="F655" s="76">
        <v>2</v>
      </c>
      <c r="G655" s="79">
        <v>13768</v>
      </c>
      <c r="H655" s="80">
        <f t="shared" si="40"/>
        <v>27536</v>
      </c>
      <c r="I655" s="93"/>
      <c r="J655" s="81"/>
      <c r="K655" s="38">
        <f t="shared" si="41"/>
        <v>45919</v>
      </c>
      <c r="L655" s="93"/>
      <c r="M655" s="39"/>
      <c r="N655" s="40"/>
      <c r="O655" s="40"/>
      <c r="P655" s="40"/>
      <c r="Q655" s="40"/>
    </row>
    <row r="656" spans="1:17" x14ac:dyDescent="0.3">
      <c r="A656" s="31" t="s">
        <v>1757</v>
      </c>
      <c r="B656" s="32">
        <v>45919</v>
      </c>
      <c r="C656" s="33" t="s">
        <v>145</v>
      </c>
      <c r="D656" s="40" t="s">
        <v>1758</v>
      </c>
      <c r="E656" s="40" t="s">
        <v>1759</v>
      </c>
      <c r="F656" s="34">
        <v>1</v>
      </c>
      <c r="G656" s="35">
        <v>3409</v>
      </c>
      <c r="H656" s="36">
        <f t="shared" si="40"/>
        <v>3409</v>
      </c>
      <c r="I656" s="90"/>
      <c r="J656" s="37"/>
      <c r="K656" s="38">
        <f t="shared" si="41"/>
        <v>45919</v>
      </c>
      <c r="L656" s="90" t="s">
        <v>301</v>
      </c>
      <c r="M656" s="39"/>
      <c r="N656" s="40"/>
      <c r="O656" s="40"/>
      <c r="P656" s="40"/>
      <c r="Q656" s="40"/>
    </row>
    <row r="657" spans="1:17" x14ac:dyDescent="0.3">
      <c r="A657" s="31" t="s">
        <v>1760</v>
      </c>
      <c r="B657" s="32">
        <v>45919</v>
      </c>
      <c r="C657" s="33" t="s">
        <v>16</v>
      </c>
      <c r="D657" s="40" t="s">
        <v>87</v>
      </c>
      <c r="E657" s="40" t="s">
        <v>105</v>
      </c>
      <c r="F657" s="34">
        <v>1</v>
      </c>
      <c r="G657" s="35">
        <v>3052</v>
      </c>
      <c r="H657" s="36">
        <f t="shared" si="40"/>
        <v>3052</v>
      </c>
      <c r="I657" s="90"/>
      <c r="J657" s="37"/>
      <c r="K657" s="38">
        <f t="shared" si="41"/>
        <v>45919</v>
      </c>
      <c r="L657" s="90" t="s">
        <v>301</v>
      </c>
      <c r="M657" s="39"/>
      <c r="N657" s="40"/>
      <c r="O657" s="40"/>
      <c r="P657" s="40"/>
      <c r="Q657" s="40"/>
    </row>
    <row r="658" spans="1:17" x14ac:dyDescent="0.3">
      <c r="A658" s="31" t="s">
        <v>1761</v>
      </c>
      <c r="B658" s="32">
        <v>45919</v>
      </c>
      <c r="C658" s="33" t="s">
        <v>16</v>
      </c>
      <c r="D658" s="40" t="s">
        <v>1762</v>
      </c>
      <c r="E658" s="40" t="s">
        <v>1763</v>
      </c>
      <c r="F658" s="34">
        <v>1</v>
      </c>
      <c r="G658" s="35">
        <v>3052</v>
      </c>
      <c r="H658" s="36">
        <f t="shared" si="40"/>
        <v>3052</v>
      </c>
      <c r="I658" s="90"/>
      <c r="J658" s="37"/>
      <c r="K658" s="38">
        <f t="shared" si="41"/>
        <v>45919</v>
      </c>
      <c r="L658" s="90"/>
      <c r="M658" s="39"/>
      <c r="N658" s="40"/>
      <c r="O658" s="40"/>
      <c r="P658" s="40"/>
      <c r="Q658" s="40"/>
    </row>
    <row r="659" spans="1:17" x14ac:dyDescent="0.3">
      <c r="A659" s="31" t="s">
        <v>1764</v>
      </c>
      <c r="B659" s="32">
        <v>45922</v>
      </c>
      <c r="C659" s="33" t="s">
        <v>16</v>
      </c>
      <c r="D659" s="40" t="s">
        <v>548</v>
      </c>
      <c r="E659" s="40" t="s">
        <v>1765</v>
      </c>
      <c r="F659" s="34">
        <v>4</v>
      </c>
      <c r="G659" s="35">
        <v>335</v>
      </c>
      <c r="H659" s="36">
        <f t="shared" si="40"/>
        <v>1340</v>
      </c>
      <c r="I659" s="90"/>
      <c r="J659" s="37"/>
      <c r="K659" s="38">
        <f t="shared" si="41"/>
        <v>45922</v>
      </c>
      <c r="L659" s="90" t="s">
        <v>17</v>
      </c>
      <c r="M659" s="39"/>
      <c r="N659" s="40"/>
      <c r="O659" s="40"/>
      <c r="P659" s="40"/>
      <c r="Q659" s="40"/>
    </row>
    <row r="660" spans="1:17" x14ac:dyDescent="0.3">
      <c r="A660" s="31" t="s">
        <v>1766</v>
      </c>
      <c r="B660" s="32">
        <v>45922</v>
      </c>
      <c r="C660" s="33" t="s">
        <v>1767</v>
      </c>
      <c r="D660" s="40" t="s">
        <v>1768</v>
      </c>
      <c r="E660" s="40" t="s">
        <v>24</v>
      </c>
      <c r="F660" s="34">
        <v>1</v>
      </c>
      <c r="G660" s="35">
        <v>12114</v>
      </c>
      <c r="H660" s="36">
        <f t="shared" si="40"/>
        <v>12114</v>
      </c>
      <c r="I660" s="90"/>
      <c r="J660" s="37"/>
      <c r="K660" s="38">
        <f t="shared" si="41"/>
        <v>45922</v>
      </c>
      <c r="L660" s="90" t="s">
        <v>301</v>
      </c>
      <c r="M660" s="39"/>
      <c r="N660" s="40"/>
      <c r="O660" s="40"/>
      <c r="P660" s="40"/>
      <c r="Q660" s="40"/>
    </row>
    <row r="661" spans="1:17" x14ac:dyDescent="0.3">
      <c r="A661" s="31" t="s">
        <v>1769</v>
      </c>
      <c r="B661" s="32">
        <v>45923</v>
      </c>
      <c r="C661" s="33" t="s">
        <v>16</v>
      </c>
      <c r="D661" s="40" t="s">
        <v>97</v>
      </c>
      <c r="E661" s="40" t="s">
        <v>24</v>
      </c>
      <c r="F661" s="34">
        <v>1</v>
      </c>
      <c r="G661" s="35">
        <v>12114</v>
      </c>
      <c r="H661" s="36">
        <f t="shared" si="40"/>
        <v>12114</v>
      </c>
      <c r="I661" s="90"/>
      <c r="J661" s="37"/>
      <c r="K661" s="38">
        <f t="shared" si="41"/>
        <v>45923</v>
      </c>
      <c r="L661" s="90" t="s">
        <v>17</v>
      </c>
      <c r="M661" s="39"/>
      <c r="N661" s="40"/>
      <c r="O661" s="40"/>
      <c r="P661" s="40"/>
      <c r="Q661" s="40"/>
    </row>
    <row r="662" spans="1:17" x14ac:dyDescent="0.3">
      <c r="A662" s="31" t="s">
        <v>1770</v>
      </c>
      <c r="B662" s="32">
        <v>45923</v>
      </c>
      <c r="C662" s="33" t="s">
        <v>1771</v>
      </c>
      <c r="D662" s="40" t="s">
        <v>94</v>
      </c>
      <c r="E662" s="40" t="s">
        <v>1772</v>
      </c>
      <c r="F662" s="34">
        <v>3</v>
      </c>
      <c r="G662" s="35">
        <v>4136</v>
      </c>
      <c r="H662" s="36">
        <f t="shared" si="40"/>
        <v>12408</v>
      </c>
      <c r="I662" s="90"/>
      <c r="J662" s="37"/>
      <c r="K662" s="38">
        <f t="shared" si="41"/>
        <v>45923</v>
      </c>
      <c r="L662" s="90" t="s">
        <v>301</v>
      </c>
      <c r="M662" s="39"/>
      <c r="N662" s="40"/>
      <c r="O662" s="40"/>
      <c r="P662" s="40"/>
      <c r="Q662" s="40"/>
    </row>
    <row r="663" spans="1:17" x14ac:dyDescent="0.3">
      <c r="A663" s="31" t="s">
        <v>1773</v>
      </c>
      <c r="B663" s="32">
        <v>45923</v>
      </c>
      <c r="C663" s="33" t="s">
        <v>1774</v>
      </c>
      <c r="D663" s="40" t="s">
        <v>49</v>
      </c>
      <c r="E663" s="40" t="s">
        <v>24</v>
      </c>
      <c r="F663" s="34">
        <v>1</v>
      </c>
      <c r="G663" s="35">
        <v>12114</v>
      </c>
      <c r="H663" s="36">
        <f t="shared" si="40"/>
        <v>12114</v>
      </c>
      <c r="I663" s="90"/>
      <c r="J663" s="37"/>
      <c r="K663" s="38">
        <f t="shared" si="41"/>
        <v>45923</v>
      </c>
      <c r="L663" s="90" t="s">
        <v>20</v>
      </c>
      <c r="M663" s="39"/>
      <c r="N663" s="40"/>
      <c r="O663" s="40"/>
      <c r="P663" s="40"/>
      <c r="Q663" s="40"/>
    </row>
    <row r="664" spans="1:17" x14ac:dyDescent="0.3">
      <c r="A664" s="31" t="s">
        <v>1775</v>
      </c>
      <c r="B664" s="32">
        <v>45923</v>
      </c>
      <c r="C664" s="33" t="s">
        <v>1776</v>
      </c>
      <c r="D664" s="40" t="s">
        <v>49</v>
      </c>
      <c r="E664" s="40" t="s">
        <v>96</v>
      </c>
      <c r="F664" s="34">
        <v>1</v>
      </c>
      <c r="G664" s="35">
        <v>9010</v>
      </c>
      <c r="H664" s="36">
        <f t="shared" si="40"/>
        <v>9010</v>
      </c>
      <c r="I664" s="90"/>
      <c r="J664" s="37"/>
      <c r="K664" s="38">
        <f t="shared" si="41"/>
        <v>45923</v>
      </c>
      <c r="L664" s="90" t="s">
        <v>20</v>
      </c>
      <c r="M664" s="39"/>
      <c r="N664" s="40"/>
      <c r="O664" s="40"/>
      <c r="P664" s="40"/>
      <c r="Q664" s="40"/>
    </row>
    <row r="665" spans="1:17" x14ac:dyDescent="0.3">
      <c r="A665" s="31" t="s">
        <v>1777</v>
      </c>
      <c r="B665" s="32">
        <v>45923</v>
      </c>
      <c r="C665" s="33" t="s">
        <v>1778</v>
      </c>
      <c r="D665" s="40" t="s">
        <v>150</v>
      </c>
      <c r="E665" s="40" t="s">
        <v>1779</v>
      </c>
      <c r="F665" s="34">
        <v>16</v>
      </c>
      <c r="G665" s="35">
        <v>260</v>
      </c>
      <c r="H665" s="36">
        <f t="shared" si="40"/>
        <v>4160</v>
      </c>
      <c r="I665" s="90"/>
      <c r="J665" s="37"/>
      <c r="K665" s="38">
        <f t="shared" si="41"/>
        <v>45923</v>
      </c>
      <c r="L665" s="90" t="s">
        <v>301</v>
      </c>
      <c r="M665" s="39"/>
      <c r="N665" s="40"/>
      <c r="O665" s="40"/>
      <c r="P665" s="40"/>
      <c r="Q665" s="40"/>
    </row>
    <row r="666" spans="1:17" x14ac:dyDescent="0.3">
      <c r="A666" s="31" t="s">
        <v>1780</v>
      </c>
      <c r="B666" s="32">
        <v>45924</v>
      </c>
      <c r="C666" s="82" t="s">
        <v>1164</v>
      </c>
      <c r="D666" s="40" t="s">
        <v>455</v>
      </c>
      <c r="E666" s="40" t="s">
        <v>1165</v>
      </c>
      <c r="F666" s="34">
        <v>1</v>
      </c>
      <c r="G666" s="35">
        <v>39143</v>
      </c>
      <c r="H666" s="36">
        <f t="shared" si="40"/>
        <v>39143</v>
      </c>
      <c r="I666" s="90"/>
      <c r="J666" s="37"/>
      <c r="K666" s="38">
        <f t="shared" si="41"/>
        <v>45924</v>
      </c>
      <c r="L666" s="90"/>
      <c r="M666" s="39"/>
      <c r="N666" s="40"/>
      <c r="O666" s="40"/>
      <c r="P666" s="40"/>
      <c r="Q666" s="40"/>
    </row>
    <row r="667" spans="1:17" x14ac:dyDescent="0.3">
      <c r="A667" s="31" t="s">
        <v>1781</v>
      </c>
      <c r="B667" s="32">
        <v>45924</v>
      </c>
      <c r="C667" s="33" t="s">
        <v>1782</v>
      </c>
      <c r="D667" s="40" t="s">
        <v>326</v>
      </c>
      <c r="E667" s="40" t="s">
        <v>1783</v>
      </c>
      <c r="F667" s="34">
        <v>1</v>
      </c>
      <c r="G667" s="35">
        <v>26098</v>
      </c>
      <c r="H667" s="36">
        <f t="shared" si="40"/>
        <v>26098</v>
      </c>
      <c r="I667" s="90"/>
      <c r="J667" s="37"/>
      <c r="K667" s="38">
        <f t="shared" si="41"/>
        <v>45924</v>
      </c>
      <c r="L667" s="90"/>
      <c r="M667" s="39"/>
      <c r="N667" s="40"/>
      <c r="O667" s="40"/>
      <c r="P667" s="40"/>
      <c r="Q667" s="40"/>
    </row>
    <row r="668" spans="1:17" x14ac:dyDescent="0.3">
      <c r="A668" s="31" t="s">
        <v>1784</v>
      </c>
      <c r="B668" s="32">
        <v>45924</v>
      </c>
      <c r="C668" s="33" t="s">
        <v>1782</v>
      </c>
      <c r="D668" s="40" t="s">
        <v>326</v>
      </c>
      <c r="E668" s="40" t="s">
        <v>1785</v>
      </c>
      <c r="F668" s="34">
        <v>1</v>
      </c>
      <c r="G668" s="35">
        <v>13042.24</v>
      </c>
      <c r="H668" s="36">
        <f t="shared" si="40"/>
        <v>13042.24</v>
      </c>
      <c r="I668" s="90"/>
      <c r="J668" s="37"/>
      <c r="K668" s="38">
        <f t="shared" si="41"/>
        <v>45924</v>
      </c>
      <c r="L668" s="90"/>
      <c r="M668" s="39"/>
      <c r="N668" s="40"/>
      <c r="O668" s="40"/>
      <c r="P668" s="40"/>
      <c r="Q668" s="40"/>
    </row>
    <row r="669" spans="1:17" x14ac:dyDescent="0.3">
      <c r="A669" s="31" t="s">
        <v>1786</v>
      </c>
      <c r="B669" s="32">
        <v>45924</v>
      </c>
      <c r="C669" s="33" t="s">
        <v>1782</v>
      </c>
      <c r="D669" s="40" t="s">
        <v>326</v>
      </c>
      <c r="E669" s="40" t="s">
        <v>1787</v>
      </c>
      <c r="F669" s="34">
        <v>1</v>
      </c>
      <c r="G669" s="35">
        <v>7912</v>
      </c>
      <c r="H669" s="36">
        <f t="shared" si="40"/>
        <v>7912</v>
      </c>
      <c r="I669" s="90"/>
      <c r="J669" s="37"/>
      <c r="K669" s="38">
        <f t="shared" si="41"/>
        <v>45924</v>
      </c>
      <c r="L669" s="90"/>
      <c r="M669" s="39"/>
      <c r="N669" s="40"/>
      <c r="O669" s="40"/>
      <c r="P669" s="40"/>
      <c r="Q669" s="40"/>
    </row>
    <row r="670" spans="1:17" x14ac:dyDescent="0.3">
      <c r="A670" s="31" t="s">
        <v>1788</v>
      </c>
      <c r="B670" s="32">
        <v>45926</v>
      </c>
      <c r="C670" s="33" t="s">
        <v>1789</v>
      </c>
      <c r="D670" s="40" t="s">
        <v>49</v>
      </c>
      <c r="E670" s="40" t="s">
        <v>96</v>
      </c>
      <c r="F670" s="34">
        <v>1</v>
      </c>
      <c r="G670" s="35">
        <v>9010</v>
      </c>
      <c r="H670" s="36">
        <f t="shared" si="40"/>
        <v>9010</v>
      </c>
      <c r="I670" s="90"/>
      <c r="J670" s="37"/>
      <c r="K670" s="38">
        <f t="shared" si="41"/>
        <v>45926</v>
      </c>
      <c r="L670" s="90" t="s">
        <v>20</v>
      </c>
      <c r="M670" s="39"/>
      <c r="N670" s="40"/>
      <c r="O670" s="40"/>
      <c r="P670" s="40"/>
      <c r="Q670" s="40"/>
    </row>
    <row r="671" spans="1:17" x14ac:dyDescent="0.3">
      <c r="A671" s="31" t="s">
        <v>1790</v>
      </c>
      <c r="B671" s="32">
        <v>45926</v>
      </c>
      <c r="C671" s="33">
        <v>54055</v>
      </c>
      <c r="D671" s="40" t="s">
        <v>106</v>
      </c>
      <c r="E671" s="40" t="s">
        <v>80</v>
      </c>
      <c r="F671" s="34">
        <v>1</v>
      </c>
      <c r="G671" s="35">
        <v>18500</v>
      </c>
      <c r="H671" s="36">
        <f t="shared" si="40"/>
        <v>18500</v>
      </c>
      <c r="I671" s="90"/>
      <c r="J671" s="37"/>
      <c r="K671" s="38">
        <f t="shared" si="41"/>
        <v>45926</v>
      </c>
      <c r="L671" s="90" t="s">
        <v>17</v>
      </c>
      <c r="M671" s="39"/>
      <c r="N671" s="40"/>
      <c r="O671" s="40"/>
      <c r="P671" s="40"/>
      <c r="Q671" s="40"/>
    </row>
    <row r="672" spans="1:17" x14ac:dyDescent="0.3">
      <c r="A672" s="31" t="s">
        <v>1791</v>
      </c>
      <c r="B672" s="32">
        <v>45929</v>
      </c>
      <c r="C672" s="33" t="s">
        <v>1792</v>
      </c>
      <c r="D672" s="40" t="s">
        <v>1793</v>
      </c>
      <c r="E672" s="40" t="s">
        <v>24</v>
      </c>
      <c r="F672" s="34">
        <v>1</v>
      </c>
      <c r="G672" s="35">
        <v>13971.76</v>
      </c>
      <c r="H672" s="36">
        <f t="shared" si="40"/>
        <v>13971.76</v>
      </c>
      <c r="I672" s="90"/>
      <c r="J672" s="37"/>
      <c r="K672" s="38">
        <f t="shared" si="41"/>
        <v>45929</v>
      </c>
      <c r="L672" s="90" t="s">
        <v>301</v>
      </c>
      <c r="M672" s="39"/>
      <c r="N672" s="40"/>
      <c r="O672" s="40"/>
      <c r="P672" s="40"/>
      <c r="Q672" s="40"/>
    </row>
    <row r="673" spans="1:17" x14ac:dyDescent="0.3">
      <c r="A673" s="31" t="s">
        <v>1794</v>
      </c>
      <c r="B673" s="32">
        <v>45929</v>
      </c>
      <c r="C673" s="33" t="s">
        <v>1795</v>
      </c>
      <c r="D673" s="40" t="s">
        <v>35</v>
      </c>
      <c r="E673" s="40" t="s">
        <v>1796</v>
      </c>
      <c r="F673" s="34">
        <v>1</v>
      </c>
      <c r="G673" s="35"/>
      <c r="H673" s="36">
        <f t="shared" si="40"/>
        <v>0</v>
      </c>
      <c r="I673" s="90"/>
      <c r="J673" s="37"/>
      <c r="K673" s="38">
        <f t="shared" si="41"/>
        <v>45929</v>
      </c>
      <c r="L673" s="90"/>
      <c r="M673" s="39"/>
      <c r="N673" s="40"/>
      <c r="O673" s="40"/>
      <c r="P673" s="40"/>
      <c r="Q673" s="40"/>
    </row>
    <row r="674" spans="1:17" x14ac:dyDescent="0.3">
      <c r="A674" s="31" t="s">
        <v>1797</v>
      </c>
      <c r="B674" s="32">
        <v>45929</v>
      </c>
      <c r="C674" s="33" t="s">
        <v>1795</v>
      </c>
      <c r="D674" s="40" t="s">
        <v>35</v>
      </c>
      <c r="E674" s="40" t="s">
        <v>1798</v>
      </c>
      <c r="F674" s="34">
        <v>1</v>
      </c>
      <c r="G674" s="35"/>
      <c r="H674" s="36">
        <f t="shared" si="40"/>
        <v>0</v>
      </c>
      <c r="I674" s="90"/>
      <c r="J674" s="37"/>
      <c r="K674" s="38">
        <f t="shared" si="41"/>
        <v>45929</v>
      </c>
      <c r="L674" s="90"/>
      <c r="M674" s="39"/>
      <c r="N674" s="40"/>
      <c r="O674" s="40"/>
      <c r="P674" s="40"/>
      <c r="Q674" s="40"/>
    </row>
    <row r="675" spans="1:17" x14ac:dyDescent="0.3">
      <c r="A675" s="31" t="s">
        <v>1799</v>
      </c>
      <c r="B675" s="32">
        <v>45929</v>
      </c>
      <c r="C675" s="33" t="s">
        <v>1795</v>
      </c>
      <c r="D675" s="40" t="s">
        <v>35</v>
      </c>
      <c r="E675" s="40" t="s">
        <v>1800</v>
      </c>
      <c r="F675" s="34">
        <v>1</v>
      </c>
      <c r="G675" s="35"/>
      <c r="H675" s="36">
        <f t="shared" ref="H675:H735" si="42">F675*G675</f>
        <v>0</v>
      </c>
      <c r="I675" s="90"/>
      <c r="J675" s="37"/>
      <c r="K675" s="38">
        <f t="shared" si="41"/>
        <v>45929</v>
      </c>
      <c r="L675" s="90"/>
      <c r="M675" s="39"/>
      <c r="N675" s="40"/>
      <c r="O675" s="40"/>
      <c r="P675" s="40"/>
      <c r="Q675" s="40"/>
    </row>
    <row r="676" spans="1:17" x14ac:dyDescent="0.3">
      <c r="A676" s="31" t="s">
        <v>1801</v>
      </c>
      <c r="B676" s="32">
        <v>45929</v>
      </c>
      <c r="C676" s="33" t="s">
        <v>1795</v>
      </c>
      <c r="D676" s="40" t="s">
        <v>35</v>
      </c>
      <c r="E676" s="40" t="s">
        <v>1802</v>
      </c>
      <c r="F676" s="34">
        <v>1</v>
      </c>
      <c r="G676" s="35"/>
      <c r="H676" s="36">
        <f t="shared" si="42"/>
        <v>0</v>
      </c>
      <c r="I676" s="90"/>
      <c r="J676" s="37"/>
      <c r="K676" s="38">
        <f t="shared" si="41"/>
        <v>45929</v>
      </c>
      <c r="L676" s="90"/>
      <c r="M676" s="39"/>
      <c r="N676" s="40"/>
      <c r="O676" s="40"/>
      <c r="P676" s="40"/>
      <c r="Q676" s="40"/>
    </row>
    <row r="677" spans="1:17" x14ac:dyDescent="0.3">
      <c r="A677" s="31" t="s">
        <v>1803</v>
      </c>
      <c r="B677" s="32">
        <v>45929</v>
      </c>
      <c r="C677" s="33" t="s">
        <v>1795</v>
      </c>
      <c r="D677" s="40" t="s">
        <v>35</v>
      </c>
      <c r="E677" s="40" t="s">
        <v>1804</v>
      </c>
      <c r="F677" s="34">
        <v>1</v>
      </c>
      <c r="G677" s="35"/>
      <c r="H677" s="36">
        <f t="shared" si="42"/>
        <v>0</v>
      </c>
      <c r="I677" s="90"/>
      <c r="J677" s="37"/>
      <c r="K677" s="38">
        <f t="shared" si="41"/>
        <v>45929</v>
      </c>
      <c r="L677" s="90"/>
      <c r="M677" s="39"/>
      <c r="N677" s="40"/>
      <c r="O677" s="40"/>
      <c r="P677" s="40"/>
      <c r="Q677" s="40"/>
    </row>
    <row r="678" spans="1:17" x14ac:dyDescent="0.3">
      <c r="A678" s="31" t="s">
        <v>1805</v>
      </c>
      <c r="B678" s="32">
        <v>45929</v>
      </c>
      <c r="C678" s="33" t="s">
        <v>1795</v>
      </c>
      <c r="D678" s="40" t="s">
        <v>35</v>
      </c>
      <c r="E678" s="40" t="s">
        <v>1806</v>
      </c>
      <c r="F678" s="34">
        <v>1</v>
      </c>
      <c r="G678" s="35"/>
      <c r="H678" s="36">
        <f t="shared" si="42"/>
        <v>0</v>
      </c>
      <c r="I678" s="90"/>
      <c r="J678" s="37"/>
      <c r="K678" s="38">
        <f t="shared" si="41"/>
        <v>45929</v>
      </c>
      <c r="L678" s="90"/>
      <c r="M678" s="39"/>
      <c r="N678" s="40"/>
      <c r="O678" s="40"/>
      <c r="P678" s="40"/>
      <c r="Q678" s="40"/>
    </row>
    <row r="679" spans="1:17" x14ac:dyDescent="0.3">
      <c r="A679" s="31" t="s">
        <v>1807</v>
      </c>
      <c r="B679" s="32">
        <v>45929</v>
      </c>
      <c r="C679" s="33" t="s">
        <v>1795</v>
      </c>
      <c r="D679" s="40" t="s">
        <v>35</v>
      </c>
      <c r="E679" s="40" t="s">
        <v>1804</v>
      </c>
      <c r="F679" s="34">
        <v>1</v>
      </c>
      <c r="G679" s="35"/>
      <c r="H679" s="36">
        <f t="shared" si="42"/>
        <v>0</v>
      </c>
      <c r="I679" s="90"/>
      <c r="J679" s="37"/>
      <c r="K679" s="38">
        <f t="shared" si="41"/>
        <v>45929</v>
      </c>
      <c r="L679" s="90"/>
      <c r="M679" s="39"/>
      <c r="N679" s="40"/>
      <c r="O679" s="40"/>
      <c r="P679" s="40"/>
      <c r="Q679" s="40"/>
    </row>
    <row r="680" spans="1:17" x14ac:dyDescent="0.3">
      <c r="A680" s="31" t="s">
        <v>1808</v>
      </c>
      <c r="B680" s="32">
        <v>45929</v>
      </c>
      <c r="C680" s="33" t="s">
        <v>1795</v>
      </c>
      <c r="D680" s="40" t="s">
        <v>35</v>
      </c>
      <c r="E680" s="40" t="s">
        <v>1809</v>
      </c>
      <c r="F680" s="34">
        <v>1</v>
      </c>
      <c r="G680" s="35"/>
      <c r="H680" s="36">
        <f t="shared" si="42"/>
        <v>0</v>
      </c>
      <c r="I680" s="90"/>
      <c r="J680" s="37"/>
      <c r="K680" s="38">
        <f t="shared" si="41"/>
        <v>45929</v>
      </c>
      <c r="L680" s="90"/>
      <c r="M680" s="39"/>
      <c r="N680" s="40"/>
      <c r="O680" s="40"/>
      <c r="P680" s="40"/>
      <c r="Q680" s="40"/>
    </row>
    <row r="681" spans="1:17" x14ac:dyDescent="0.3">
      <c r="A681" s="31" t="s">
        <v>1810</v>
      </c>
      <c r="B681" s="32">
        <v>45929</v>
      </c>
      <c r="C681" s="33" t="s">
        <v>1795</v>
      </c>
      <c r="D681" s="40" t="s">
        <v>35</v>
      </c>
      <c r="E681" s="40" t="s">
        <v>1800</v>
      </c>
      <c r="F681" s="34">
        <v>1</v>
      </c>
      <c r="G681" s="35"/>
      <c r="H681" s="36">
        <f t="shared" si="42"/>
        <v>0</v>
      </c>
      <c r="I681" s="90"/>
      <c r="J681" s="37"/>
      <c r="K681" s="38">
        <f t="shared" si="41"/>
        <v>45929</v>
      </c>
      <c r="L681" s="90"/>
      <c r="M681" s="39"/>
      <c r="N681" s="40"/>
      <c r="O681" s="40"/>
      <c r="P681" s="40"/>
      <c r="Q681" s="40"/>
    </row>
    <row r="682" spans="1:17" x14ac:dyDescent="0.3">
      <c r="A682" s="31" t="s">
        <v>1811</v>
      </c>
      <c r="B682" s="32">
        <v>45929</v>
      </c>
      <c r="C682" s="33" t="s">
        <v>1795</v>
      </c>
      <c r="D682" s="40" t="s">
        <v>35</v>
      </c>
      <c r="E682" s="40" t="s">
        <v>1812</v>
      </c>
      <c r="F682" s="34">
        <v>1</v>
      </c>
      <c r="G682" s="35"/>
      <c r="H682" s="36">
        <f t="shared" si="42"/>
        <v>0</v>
      </c>
      <c r="I682" s="90"/>
      <c r="J682" s="37"/>
      <c r="K682" s="38">
        <f t="shared" si="41"/>
        <v>45929</v>
      </c>
      <c r="L682" s="90"/>
      <c r="M682" s="39"/>
      <c r="N682" s="40"/>
      <c r="O682" s="40"/>
      <c r="P682" s="40"/>
      <c r="Q682" s="40"/>
    </row>
    <row r="683" spans="1:17" x14ac:dyDescent="0.3">
      <c r="A683" s="31" t="s">
        <v>1813</v>
      </c>
      <c r="B683" s="32">
        <v>45929</v>
      </c>
      <c r="C683" s="33" t="s">
        <v>1795</v>
      </c>
      <c r="D683" s="40" t="s">
        <v>35</v>
      </c>
      <c r="E683" s="40" t="s">
        <v>1814</v>
      </c>
      <c r="F683" s="34">
        <v>1</v>
      </c>
      <c r="G683" s="35"/>
      <c r="H683" s="36">
        <f t="shared" si="42"/>
        <v>0</v>
      </c>
      <c r="I683" s="90"/>
      <c r="J683" s="37"/>
      <c r="K683" s="38">
        <f t="shared" si="41"/>
        <v>45929</v>
      </c>
      <c r="L683" s="90"/>
      <c r="M683" s="39"/>
      <c r="N683" s="40"/>
      <c r="O683" s="40"/>
      <c r="P683" s="40"/>
      <c r="Q683" s="40"/>
    </row>
    <row r="684" spans="1:17" x14ac:dyDescent="0.3">
      <c r="A684" s="31" t="s">
        <v>1815</v>
      </c>
      <c r="B684" s="32">
        <v>45929</v>
      </c>
      <c r="C684" s="33" t="s">
        <v>1795</v>
      </c>
      <c r="D684" s="40" t="s">
        <v>35</v>
      </c>
      <c r="E684" s="40" t="s">
        <v>1816</v>
      </c>
      <c r="F684" s="34">
        <v>1</v>
      </c>
      <c r="G684" s="35"/>
      <c r="H684" s="36">
        <f t="shared" si="42"/>
        <v>0</v>
      </c>
      <c r="I684" s="90"/>
      <c r="J684" s="37"/>
      <c r="K684" s="38">
        <f t="shared" si="41"/>
        <v>45929</v>
      </c>
      <c r="L684" s="90"/>
      <c r="M684" s="39"/>
      <c r="N684" s="40"/>
      <c r="O684" s="40"/>
      <c r="P684" s="40"/>
      <c r="Q684" s="40"/>
    </row>
    <row r="685" spans="1:17" x14ac:dyDescent="0.3">
      <c r="A685" s="31" t="s">
        <v>1817</v>
      </c>
      <c r="B685" s="32">
        <v>45929</v>
      </c>
      <c r="C685" s="33" t="s">
        <v>1795</v>
      </c>
      <c r="D685" s="40" t="s">
        <v>35</v>
      </c>
      <c r="E685" s="40" t="s">
        <v>1798</v>
      </c>
      <c r="F685" s="34">
        <v>1</v>
      </c>
      <c r="G685" s="35"/>
      <c r="H685" s="36">
        <f t="shared" si="42"/>
        <v>0</v>
      </c>
      <c r="I685" s="90"/>
      <c r="J685" s="37"/>
      <c r="K685" s="38">
        <f t="shared" si="41"/>
        <v>45929</v>
      </c>
      <c r="L685" s="90"/>
      <c r="M685" s="39"/>
      <c r="N685" s="40"/>
      <c r="O685" s="40"/>
      <c r="P685" s="40"/>
      <c r="Q685" s="40"/>
    </row>
    <row r="686" spans="1:17" x14ac:dyDescent="0.3">
      <c r="A686" s="31" t="s">
        <v>1818</v>
      </c>
      <c r="B686" s="32">
        <v>45929</v>
      </c>
      <c r="C686" s="33">
        <v>61072</v>
      </c>
      <c r="D686" s="40" t="s">
        <v>129</v>
      </c>
      <c r="E686" s="40" t="s">
        <v>1819</v>
      </c>
      <c r="F686" s="34">
        <v>1</v>
      </c>
      <c r="G686" s="35">
        <v>15520</v>
      </c>
      <c r="H686" s="36">
        <f t="shared" si="42"/>
        <v>15520</v>
      </c>
      <c r="I686" s="90"/>
      <c r="J686" s="37"/>
      <c r="K686" s="38">
        <f t="shared" si="41"/>
        <v>45929</v>
      </c>
      <c r="L686" s="90" t="s">
        <v>143</v>
      </c>
      <c r="M686" s="39"/>
      <c r="N686" s="40"/>
      <c r="O686" s="40"/>
      <c r="P686" s="40"/>
      <c r="Q686" s="40"/>
    </row>
    <row r="687" spans="1:17" x14ac:dyDescent="0.3">
      <c r="A687" s="31" t="s">
        <v>1820</v>
      </c>
      <c r="B687" s="32">
        <v>45929</v>
      </c>
      <c r="C687" s="33">
        <v>61072</v>
      </c>
      <c r="D687" s="40" t="s">
        <v>129</v>
      </c>
      <c r="E687" s="40" t="s">
        <v>358</v>
      </c>
      <c r="F687" s="34">
        <v>1</v>
      </c>
      <c r="G687" s="35">
        <v>24973</v>
      </c>
      <c r="H687" s="36">
        <f t="shared" si="42"/>
        <v>24973</v>
      </c>
      <c r="I687" s="90"/>
      <c r="J687" s="37"/>
      <c r="K687" s="38">
        <f t="shared" si="41"/>
        <v>45929</v>
      </c>
      <c r="L687" s="90" t="s">
        <v>143</v>
      </c>
      <c r="M687" s="39"/>
      <c r="N687" s="40"/>
      <c r="O687" s="40"/>
      <c r="P687" s="40"/>
      <c r="Q687" s="40"/>
    </row>
    <row r="688" spans="1:17" x14ac:dyDescent="0.3">
      <c r="A688" s="31" t="s">
        <v>1821</v>
      </c>
      <c r="B688" s="32">
        <v>45929</v>
      </c>
      <c r="C688" s="33">
        <v>61072</v>
      </c>
      <c r="D688" s="40" t="s">
        <v>129</v>
      </c>
      <c r="E688" s="40" t="s">
        <v>1822</v>
      </c>
      <c r="F688" s="34">
        <v>1</v>
      </c>
      <c r="G688" s="35">
        <v>21513</v>
      </c>
      <c r="H688" s="36">
        <f t="shared" si="42"/>
        <v>21513</v>
      </c>
      <c r="I688" s="90"/>
      <c r="J688" s="37"/>
      <c r="K688" s="38">
        <f t="shared" si="41"/>
        <v>45929</v>
      </c>
      <c r="L688" s="90" t="s">
        <v>143</v>
      </c>
      <c r="M688" s="39"/>
      <c r="N688" s="40"/>
      <c r="O688" s="40"/>
      <c r="P688" s="40"/>
      <c r="Q688" s="40"/>
    </row>
    <row r="689" spans="1:17" x14ac:dyDescent="0.3">
      <c r="A689" s="31" t="s">
        <v>1823</v>
      </c>
      <c r="B689" s="32">
        <v>45929</v>
      </c>
      <c r="C689" s="33">
        <v>61072</v>
      </c>
      <c r="D689" s="40" t="s">
        <v>129</v>
      </c>
      <c r="E689" s="40" t="s">
        <v>733</v>
      </c>
      <c r="F689" s="34">
        <v>1</v>
      </c>
      <c r="G689" s="35">
        <v>24513</v>
      </c>
      <c r="H689" s="36">
        <f t="shared" si="42"/>
        <v>24513</v>
      </c>
      <c r="I689" s="90"/>
      <c r="J689" s="37"/>
      <c r="K689" s="38">
        <f t="shared" si="41"/>
        <v>45929</v>
      </c>
      <c r="L689" s="90" t="s">
        <v>143</v>
      </c>
      <c r="M689" s="39"/>
      <c r="N689" s="40"/>
      <c r="O689" s="40"/>
      <c r="P689" s="40"/>
      <c r="Q689" s="40"/>
    </row>
    <row r="690" spans="1:17" x14ac:dyDescent="0.3">
      <c r="A690" s="31" t="s">
        <v>1824</v>
      </c>
      <c r="B690" s="32">
        <v>45929</v>
      </c>
      <c r="C690" s="33">
        <v>61072</v>
      </c>
      <c r="D690" s="40" t="s">
        <v>129</v>
      </c>
      <c r="E690" s="40" t="s">
        <v>1825</v>
      </c>
      <c r="F690" s="34">
        <v>1</v>
      </c>
      <c r="G690" s="35">
        <v>29791</v>
      </c>
      <c r="H690" s="36">
        <f t="shared" si="42"/>
        <v>29791</v>
      </c>
      <c r="I690" s="90"/>
      <c r="J690" s="37"/>
      <c r="K690" s="38">
        <f t="shared" si="41"/>
        <v>45929</v>
      </c>
      <c r="L690" s="90" t="s">
        <v>143</v>
      </c>
      <c r="M690" s="39"/>
      <c r="N690" s="40"/>
      <c r="O690" s="40"/>
      <c r="P690" s="40"/>
      <c r="Q690" s="40"/>
    </row>
    <row r="691" spans="1:17" x14ac:dyDescent="0.3">
      <c r="A691" s="31" t="s">
        <v>1826</v>
      </c>
      <c r="B691" s="32">
        <v>45929</v>
      </c>
      <c r="C691" s="33">
        <v>61072</v>
      </c>
      <c r="D691" s="40" t="s">
        <v>129</v>
      </c>
      <c r="E691" s="40" t="s">
        <v>1822</v>
      </c>
      <c r="F691" s="34">
        <v>1</v>
      </c>
      <c r="G691" s="35">
        <v>21513</v>
      </c>
      <c r="H691" s="36">
        <f t="shared" si="42"/>
        <v>21513</v>
      </c>
      <c r="I691" s="90"/>
      <c r="J691" s="37"/>
      <c r="K691" s="38">
        <f t="shared" si="41"/>
        <v>45929</v>
      </c>
      <c r="L691" s="90" t="s">
        <v>143</v>
      </c>
      <c r="M691" s="39"/>
      <c r="N691" s="40"/>
      <c r="O691" s="40"/>
      <c r="P691" s="40"/>
      <c r="Q691" s="40"/>
    </row>
    <row r="692" spans="1:17" x14ac:dyDescent="0.3">
      <c r="A692" s="31" t="s">
        <v>1827</v>
      </c>
      <c r="B692" s="32">
        <v>45929</v>
      </c>
      <c r="C692" s="33">
        <v>61072</v>
      </c>
      <c r="D692" s="40" t="s">
        <v>129</v>
      </c>
      <c r="E692" s="40" t="s">
        <v>733</v>
      </c>
      <c r="F692" s="34">
        <v>1</v>
      </c>
      <c r="G692" s="35">
        <v>24004</v>
      </c>
      <c r="H692" s="36">
        <f t="shared" si="42"/>
        <v>24004</v>
      </c>
      <c r="I692" s="90"/>
      <c r="J692" s="37"/>
      <c r="K692" s="38">
        <f t="shared" si="41"/>
        <v>45929</v>
      </c>
      <c r="L692" s="90" t="s">
        <v>143</v>
      </c>
      <c r="M692" s="39"/>
      <c r="N692" s="40"/>
      <c r="O692" s="40"/>
      <c r="P692" s="40"/>
      <c r="Q692" s="40"/>
    </row>
    <row r="693" spans="1:17" x14ac:dyDescent="0.3">
      <c r="A693" s="31" t="s">
        <v>1828</v>
      </c>
      <c r="B693" s="32">
        <v>45929</v>
      </c>
      <c r="C693" s="33">
        <v>61072</v>
      </c>
      <c r="D693" s="40" t="s">
        <v>129</v>
      </c>
      <c r="E693" s="40" t="s">
        <v>733</v>
      </c>
      <c r="F693" s="34">
        <v>1</v>
      </c>
      <c r="G693" s="35">
        <v>18843</v>
      </c>
      <c r="H693" s="36">
        <f t="shared" si="42"/>
        <v>18843</v>
      </c>
      <c r="I693" s="90"/>
      <c r="J693" s="37"/>
      <c r="K693" s="38">
        <f t="shared" si="41"/>
        <v>45929</v>
      </c>
      <c r="L693" s="90" t="s">
        <v>143</v>
      </c>
      <c r="M693" s="39"/>
      <c r="N693" s="40"/>
      <c r="O693" s="40"/>
      <c r="P693" s="40"/>
      <c r="Q693" s="40"/>
    </row>
    <row r="694" spans="1:17" x14ac:dyDescent="0.3">
      <c r="A694" s="31" t="s">
        <v>1829</v>
      </c>
      <c r="B694" s="32">
        <v>45929</v>
      </c>
      <c r="C694" s="33">
        <v>61072</v>
      </c>
      <c r="D694" s="40" t="s">
        <v>129</v>
      </c>
      <c r="E694" s="40" t="s">
        <v>1830</v>
      </c>
      <c r="F694" s="34">
        <v>1</v>
      </c>
      <c r="G694" s="35">
        <v>22454</v>
      </c>
      <c r="H694" s="36">
        <f t="shared" si="42"/>
        <v>22454</v>
      </c>
      <c r="I694" s="90"/>
      <c r="J694" s="37"/>
      <c r="K694" s="38">
        <f t="shared" si="41"/>
        <v>45929</v>
      </c>
      <c r="L694" s="90" t="s">
        <v>143</v>
      </c>
      <c r="M694" s="39"/>
      <c r="N694" s="40"/>
      <c r="O694" s="40"/>
      <c r="P694" s="40"/>
      <c r="Q694" s="40"/>
    </row>
    <row r="695" spans="1:17" x14ac:dyDescent="0.3">
      <c r="A695" s="31" t="s">
        <v>1831</v>
      </c>
      <c r="B695" s="32">
        <v>45929</v>
      </c>
      <c r="C695" s="33">
        <v>61072</v>
      </c>
      <c r="D695" s="40" t="s">
        <v>129</v>
      </c>
      <c r="E695" s="40" t="s">
        <v>1832</v>
      </c>
      <c r="F695" s="34">
        <v>1</v>
      </c>
      <c r="G695" s="35">
        <v>26174</v>
      </c>
      <c r="H695" s="36">
        <f t="shared" si="42"/>
        <v>26174</v>
      </c>
      <c r="I695" s="90"/>
      <c r="J695" s="37"/>
      <c r="K695" s="38">
        <f t="shared" si="41"/>
        <v>45929</v>
      </c>
      <c r="L695" s="90" t="s">
        <v>143</v>
      </c>
      <c r="M695" s="39"/>
      <c r="N695" s="40"/>
      <c r="O695" s="40"/>
      <c r="P695" s="40"/>
      <c r="Q695" s="40"/>
    </row>
    <row r="696" spans="1:17" x14ac:dyDescent="0.3">
      <c r="A696" s="31" t="s">
        <v>1833</v>
      </c>
      <c r="B696" s="32">
        <v>45930</v>
      </c>
      <c r="C696" s="33" t="s">
        <v>1834</v>
      </c>
      <c r="D696" s="40" t="s">
        <v>1621</v>
      </c>
      <c r="E696" s="40" t="s">
        <v>1835</v>
      </c>
      <c r="F696" s="34">
        <v>1</v>
      </c>
      <c r="G696" s="35">
        <v>12082</v>
      </c>
      <c r="H696" s="36">
        <f t="shared" si="42"/>
        <v>12082</v>
      </c>
      <c r="I696" s="90"/>
      <c r="J696" s="37"/>
      <c r="K696" s="38">
        <f t="shared" si="41"/>
        <v>45930</v>
      </c>
      <c r="L696" s="90" t="s">
        <v>20</v>
      </c>
      <c r="M696" s="39"/>
      <c r="N696" s="40"/>
      <c r="O696" s="40"/>
      <c r="P696" s="40"/>
      <c r="Q696" s="40"/>
    </row>
    <row r="697" spans="1:17" x14ac:dyDescent="0.3">
      <c r="A697" s="31" t="s">
        <v>1836</v>
      </c>
      <c r="B697" s="32">
        <v>45930</v>
      </c>
      <c r="C697" s="33" t="s">
        <v>1837</v>
      </c>
      <c r="D697" s="40" t="s">
        <v>129</v>
      </c>
      <c r="E697" s="40" t="s">
        <v>1838</v>
      </c>
      <c r="F697" s="34">
        <v>1</v>
      </c>
      <c r="G697" s="35">
        <v>3844</v>
      </c>
      <c r="H697" s="36">
        <f t="shared" si="42"/>
        <v>3844</v>
      </c>
      <c r="I697" s="90"/>
      <c r="J697" s="37"/>
      <c r="K697" s="38">
        <f t="shared" si="41"/>
        <v>45930</v>
      </c>
      <c r="L697" s="90" t="s">
        <v>143</v>
      </c>
      <c r="M697" s="39"/>
      <c r="N697" s="40"/>
      <c r="O697" s="40"/>
      <c r="P697" s="40"/>
      <c r="Q697" s="40"/>
    </row>
    <row r="698" spans="1:17" x14ac:dyDescent="0.3">
      <c r="A698" s="31" t="s">
        <v>1839</v>
      </c>
      <c r="B698" s="32">
        <v>45931</v>
      </c>
      <c r="C698" s="33" t="s">
        <v>1840</v>
      </c>
      <c r="D698" s="40" t="s">
        <v>1417</v>
      </c>
      <c r="E698" s="40" t="s">
        <v>105</v>
      </c>
      <c r="F698" s="34">
        <v>1</v>
      </c>
      <c r="G698" s="35">
        <v>3052</v>
      </c>
      <c r="H698" s="36">
        <f t="shared" si="42"/>
        <v>3052</v>
      </c>
      <c r="I698" s="90"/>
      <c r="J698" s="37"/>
      <c r="K698" s="38">
        <f t="shared" si="41"/>
        <v>45931</v>
      </c>
      <c r="L698" s="90" t="s">
        <v>17</v>
      </c>
      <c r="M698" s="39"/>
      <c r="N698" s="40"/>
      <c r="O698" s="40"/>
      <c r="P698" s="40"/>
      <c r="Q698" s="40"/>
    </row>
    <row r="699" spans="1:17" x14ac:dyDescent="0.3">
      <c r="A699" s="31" t="s">
        <v>1841</v>
      </c>
      <c r="B699" s="32">
        <v>45931</v>
      </c>
      <c r="C699" s="33" t="s">
        <v>1842</v>
      </c>
      <c r="D699" s="40" t="s">
        <v>1843</v>
      </c>
      <c r="E699" s="40" t="s">
        <v>1844</v>
      </c>
      <c r="F699" s="34">
        <v>1</v>
      </c>
      <c r="G699" s="35">
        <v>204219</v>
      </c>
      <c r="H699" s="36">
        <f t="shared" si="42"/>
        <v>204219</v>
      </c>
      <c r="I699" s="90"/>
      <c r="J699" s="37"/>
      <c r="K699" s="38">
        <f t="shared" si="41"/>
        <v>45931</v>
      </c>
      <c r="L699" s="90" t="s">
        <v>17</v>
      </c>
      <c r="M699" s="39"/>
      <c r="N699" s="40"/>
      <c r="O699" s="40"/>
      <c r="P699" s="40"/>
      <c r="Q699" s="40"/>
    </row>
    <row r="700" spans="1:17" x14ac:dyDescent="0.3">
      <c r="A700" s="31" t="s">
        <v>1845</v>
      </c>
      <c r="B700" s="32">
        <v>45931</v>
      </c>
      <c r="C700" s="33" t="s">
        <v>1846</v>
      </c>
      <c r="D700" s="40" t="s">
        <v>1152</v>
      </c>
      <c r="E700" s="40" t="s">
        <v>1847</v>
      </c>
      <c r="F700" s="34">
        <v>1</v>
      </c>
      <c r="G700" s="35">
        <v>10362</v>
      </c>
      <c r="H700" s="36">
        <f t="shared" si="42"/>
        <v>10362</v>
      </c>
      <c r="I700" s="90"/>
      <c r="J700" s="37"/>
      <c r="K700" s="38">
        <f t="shared" si="41"/>
        <v>45931</v>
      </c>
      <c r="L700" s="90" t="s">
        <v>301</v>
      </c>
      <c r="M700" s="39"/>
      <c r="N700" s="40"/>
      <c r="O700" s="40"/>
      <c r="P700" s="40"/>
      <c r="Q700" s="40"/>
    </row>
    <row r="701" spans="1:17" x14ac:dyDescent="0.3">
      <c r="A701" s="31" t="s">
        <v>1848</v>
      </c>
      <c r="B701" s="32">
        <v>45931</v>
      </c>
      <c r="C701" s="33" t="s">
        <v>1849</v>
      </c>
      <c r="D701" s="40" t="s">
        <v>1682</v>
      </c>
      <c r="E701" s="40" t="s">
        <v>1850</v>
      </c>
      <c r="F701" s="34">
        <v>1</v>
      </c>
      <c r="G701" s="35"/>
      <c r="H701" s="36">
        <f t="shared" si="42"/>
        <v>0</v>
      </c>
      <c r="I701" s="90"/>
      <c r="J701" s="37"/>
      <c r="K701" s="38">
        <f t="shared" si="41"/>
        <v>45931</v>
      </c>
      <c r="L701" s="90"/>
      <c r="M701" s="39"/>
      <c r="N701" s="40"/>
      <c r="O701" s="40"/>
      <c r="P701" s="40"/>
      <c r="Q701" s="40"/>
    </row>
    <row r="702" spans="1:17" x14ac:dyDescent="0.3">
      <c r="A702" s="31" t="s">
        <v>1851</v>
      </c>
      <c r="B702" s="32">
        <v>45931</v>
      </c>
      <c r="C702" s="33" t="s">
        <v>1852</v>
      </c>
      <c r="D702" s="40" t="s">
        <v>49</v>
      </c>
      <c r="E702" s="40" t="s">
        <v>1853</v>
      </c>
      <c r="F702" s="34">
        <v>1</v>
      </c>
      <c r="G702" s="35">
        <v>7620</v>
      </c>
      <c r="H702" s="36">
        <f t="shared" si="42"/>
        <v>7620</v>
      </c>
      <c r="I702" s="90"/>
      <c r="J702" s="37"/>
      <c r="K702" s="38">
        <f t="shared" si="41"/>
        <v>45931</v>
      </c>
      <c r="L702" s="90" t="s">
        <v>20</v>
      </c>
      <c r="M702" s="39"/>
      <c r="N702" s="40"/>
      <c r="O702" s="40"/>
      <c r="P702" s="40"/>
      <c r="Q702" s="40"/>
    </row>
    <row r="703" spans="1:17" x14ac:dyDescent="0.3">
      <c r="A703" s="31" t="s">
        <v>1854</v>
      </c>
      <c r="B703" s="32">
        <v>45931</v>
      </c>
      <c r="C703" s="33" t="s">
        <v>16</v>
      </c>
      <c r="D703" s="40" t="s">
        <v>1855</v>
      </c>
      <c r="E703" s="40" t="s">
        <v>1856</v>
      </c>
      <c r="F703" s="34">
        <v>1</v>
      </c>
      <c r="G703" s="35">
        <v>69616</v>
      </c>
      <c r="H703" s="36">
        <f t="shared" si="42"/>
        <v>69616</v>
      </c>
      <c r="I703" s="90"/>
      <c r="J703" s="37"/>
      <c r="K703" s="38">
        <f t="shared" si="41"/>
        <v>45931</v>
      </c>
      <c r="L703" s="90" t="s">
        <v>143</v>
      </c>
      <c r="M703" s="39"/>
      <c r="N703" s="40"/>
      <c r="O703" s="40"/>
      <c r="P703" s="40"/>
      <c r="Q703" s="40"/>
    </row>
    <row r="704" spans="1:17" x14ac:dyDescent="0.3">
      <c r="A704" s="31" t="s">
        <v>1857</v>
      </c>
      <c r="B704" s="32">
        <v>45931</v>
      </c>
      <c r="C704" s="33" t="s">
        <v>1858</v>
      </c>
      <c r="D704" s="40" t="s">
        <v>30</v>
      </c>
      <c r="E704" s="40" t="s">
        <v>1859</v>
      </c>
      <c r="F704" s="34">
        <v>5</v>
      </c>
      <c r="G704" s="35">
        <v>19032</v>
      </c>
      <c r="H704" s="36">
        <f t="shared" si="42"/>
        <v>95160</v>
      </c>
      <c r="I704" s="90"/>
      <c r="J704" s="37"/>
      <c r="K704" s="38">
        <f t="shared" si="41"/>
        <v>45931</v>
      </c>
      <c r="L704" s="90" t="s">
        <v>20</v>
      </c>
      <c r="M704" s="39"/>
      <c r="N704" s="40"/>
      <c r="O704" s="40"/>
      <c r="P704" s="40"/>
      <c r="Q704" s="40"/>
    </row>
    <row r="705" spans="1:17" x14ac:dyDescent="0.3">
      <c r="A705" s="31" t="s">
        <v>1860</v>
      </c>
      <c r="B705" s="32">
        <v>45932</v>
      </c>
      <c r="C705" s="33" t="s">
        <v>1861</v>
      </c>
      <c r="D705" s="40" t="s">
        <v>980</v>
      </c>
      <c r="E705" s="40" t="s">
        <v>1862</v>
      </c>
      <c r="F705" s="34">
        <v>5</v>
      </c>
      <c r="G705" s="35">
        <v>14164</v>
      </c>
      <c r="H705" s="36">
        <v>14164</v>
      </c>
      <c r="I705" s="90"/>
      <c r="J705" s="37"/>
      <c r="K705" s="38">
        <f t="shared" si="41"/>
        <v>45932</v>
      </c>
      <c r="L705" s="90" t="s">
        <v>301</v>
      </c>
      <c r="M705" s="39"/>
      <c r="N705" s="40"/>
      <c r="O705" s="40"/>
      <c r="P705" s="40"/>
      <c r="Q705" s="40"/>
    </row>
    <row r="706" spans="1:17" x14ac:dyDescent="0.3">
      <c r="A706" s="31" t="s">
        <v>1863</v>
      </c>
      <c r="B706" s="32">
        <v>45932</v>
      </c>
      <c r="C706" s="33" t="s">
        <v>145</v>
      </c>
      <c r="D706" s="40" t="s">
        <v>1864</v>
      </c>
      <c r="E706" s="40" t="s">
        <v>1865</v>
      </c>
      <c r="F706" s="34">
        <v>2</v>
      </c>
      <c r="G706" s="35">
        <v>13656</v>
      </c>
      <c r="H706" s="36">
        <v>13656</v>
      </c>
      <c r="I706" s="90"/>
      <c r="J706" s="37"/>
      <c r="K706" s="38">
        <f t="shared" si="41"/>
        <v>45932</v>
      </c>
      <c r="L706" s="90" t="s">
        <v>301</v>
      </c>
      <c r="M706" s="39"/>
      <c r="N706" s="40"/>
      <c r="O706" s="40"/>
      <c r="P706" s="40"/>
      <c r="Q706" s="40"/>
    </row>
    <row r="707" spans="1:17" x14ac:dyDescent="0.3">
      <c r="A707" s="31" t="s">
        <v>1866</v>
      </c>
      <c r="B707" s="32">
        <v>45932</v>
      </c>
      <c r="C707" s="33" t="s">
        <v>145</v>
      </c>
      <c r="D707" s="40" t="s">
        <v>1864</v>
      </c>
      <c r="E707" s="40" t="s">
        <v>1867</v>
      </c>
      <c r="F707" s="34">
        <v>2</v>
      </c>
      <c r="G707" s="35">
        <v>1189.1400000000001</v>
      </c>
      <c r="H707" s="36">
        <f t="shared" si="42"/>
        <v>2378.2800000000002</v>
      </c>
      <c r="I707" s="90"/>
      <c r="J707" s="37"/>
      <c r="K707" s="38">
        <f t="shared" si="41"/>
        <v>45932</v>
      </c>
      <c r="L707" s="90" t="s">
        <v>301</v>
      </c>
      <c r="M707" s="39"/>
      <c r="N707" s="40"/>
      <c r="O707" s="40"/>
      <c r="P707" s="40"/>
      <c r="Q707" s="40"/>
    </row>
    <row r="708" spans="1:17" x14ac:dyDescent="0.3">
      <c r="A708" s="31" t="s">
        <v>1868</v>
      </c>
      <c r="B708" s="32">
        <v>45932</v>
      </c>
      <c r="C708" s="33" t="s">
        <v>1869</v>
      </c>
      <c r="D708" s="40" t="s">
        <v>49</v>
      </c>
      <c r="E708" s="40" t="s">
        <v>1870</v>
      </c>
      <c r="F708" s="34">
        <v>16</v>
      </c>
      <c r="G708" s="35">
        <v>3071.5</v>
      </c>
      <c r="H708" s="36">
        <f t="shared" si="42"/>
        <v>49144</v>
      </c>
      <c r="I708" s="90"/>
      <c r="J708" s="37"/>
      <c r="K708" s="38">
        <f t="shared" si="41"/>
        <v>45932</v>
      </c>
      <c r="L708" s="90" t="s">
        <v>20</v>
      </c>
      <c r="M708" s="39"/>
      <c r="N708" s="40"/>
      <c r="O708" s="40"/>
      <c r="P708" s="40"/>
      <c r="Q708" s="40"/>
    </row>
    <row r="709" spans="1:17" x14ac:dyDescent="0.3">
      <c r="A709" s="31" t="s">
        <v>1871</v>
      </c>
      <c r="B709" s="32">
        <v>45933</v>
      </c>
      <c r="C709" s="33" t="s">
        <v>738</v>
      </c>
      <c r="D709" s="40" t="s">
        <v>1872</v>
      </c>
      <c r="E709" s="35" t="s">
        <v>1873</v>
      </c>
      <c r="F709" s="34">
        <v>1</v>
      </c>
      <c r="G709" s="35">
        <v>5152</v>
      </c>
      <c r="H709" s="36">
        <v>5152</v>
      </c>
      <c r="I709" s="90"/>
      <c r="J709" s="37"/>
      <c r="K709" s="38">
        <f t="shared" si="41"/>
        <v>45933</v>
      </c>
      <c r="L709" s="90" t="s">
        <v>143</v>
      </c>
      <c r="M709" s="39"/>
      <c r="N709" s="40"/>
      <c r="O709" s="40"/>
      <c r="P709" s="40"/>
      <c r="Q709" s="40"/>
    </row>
    <row r="710" spans="1:17" x14ac:dyDescent="0.3">
      <c r="A710" s="31" t="s">
        <v>1874</v>
      </c>
      <c r="B710" s="32">
        <v>45933</v>
      </c>
      <c r="C710" s="33" t="s">
        <v>1875</v>
      </c>
      <c r="D710" s="40" t="s">
        <v>980</v>
      </c>
      <c r="E710" s="40" t="s">
        <v>1876</v>
      </c>
      <c r="F710" s="34">
        <v>8</v>
      </c>
      <c r="G710" s="35">
        <v>36787.72</v>
      </c>
      <c r="H710" s="36">
        <v>36787.72</v>
      </c>
      <c r="I710" s="90"/>
      <c r="J710" s="37"/>
      <c r="K710" s="38">
        <f t="shared" ref="K710:K773" si="43">J710+B710</f>
        <v>45933</v>
      </c>
      <c r="L710" s="90" t="s">
        <v>301</v>
      </c>
      <c r="M710" s="39"/>
      <c r="N710" s="40"/>
      <c r="O710" s="40"/>
      <c r="P710" s="40"/>
      <c r="Q710" s="40"/>
    </row>
    <row r="711" spans="1:17" x14ac:dyDescent="0.3">
      <c r="A711" s="31" t="s">
        <v>1877</v>
      </c>
      <c r="B711" s="32">
        <v>45933</v>
      </c>
      <c r="C711" s="33" t="s">
        <v>16</v>
      </c>
      <c r="D711" s="40" t="s">
        <v>87</v>
      </c>
      <c r="E711" s="40" t="s">
        <v>1878</v>
      </c>
      <c r="F711" s="34">
        <v>2</v>
      </c>
      <c r="G711" s="35">
        <v>212</v>
      </c>
      <c r="H711" s="36">
        <f t="shared" si="42"/>
        <v>424</v>
      </c>
      <c r="I711" s="90"/>
      <c r="J711" s="37"/>
      <c r="K711" s="38">
        <f t="shared" si="43"/>
        <v>45933</v>
      </c>
      <c r="L711" s="90" t="s">
        <v>301</v>
      </c>
      <c r="M711" s="39"/>
      <c r="N711" s="40"/>
      <c r="O711" s="40"/>
      <c r="P711" s="40"/>
      <c r="Q711" s="40"/>
    </row>
    <row r="712" spans="1:17" x14ac:dyDescent="0.3">
      <c r="A712" s="31" t="s">
        <v>1879</v>
      </c>
      <c r="B712" s="32">
        <v>45933</v>
      </c>
      <c r="C712" s="33" t="s">
        <v>16</v>
      </c>
      <c r="D712" s="40" t="s">
        <v>1880</v>
      </c>
      <c r="E712" s="40" t="s">
        <v>1838</v>
      </c>
      <c r="F712" s="34">
        <v>3</v>
      </c>
      <c r="G712" s="35">
        <v>2881</v>
      </c>
      <c r="H712" s="36">
        <f t="shared" si="42"/>
        <v>8643</v>
      </c>
      <c r="I712" s="90"/>
      <c r="J712" s="37"/>
      <c r="K712" s="38">
        <f t="shared" si="43"/>
        <v>45933</v>
      </c>
      <c r="L712" s="90" t="s">
        <v>17</v>
      </c>
      <c r="M712" s="39"/>
      <c r="N712" s="40"/>
      <c r="O712" s="40"/>
      <c r="P712" s="40"/>
      <c r="Q712" s="40"/>
    </row>
    <row r="713" spans="1:17" x14ac:dyDescent="0.3">
      <c r="A713" s="31" t="s">
        <v>1881</v>
      </c>
      <c r="B713" s="32">
        <v>45933</v>
      </c>
      <c r="C713" s="33" t="s">
        <v>1882</v>
      </c>
      <c r="D713" s="40" t="s">
        <v>157</v>
      </c>
      <c r="E713" s="40" t="s">
        <v>1883</v>
      </c>
      <c r="F713" s="34">
        <v>2</v>
      </c>
      <c r="G713" s="35">
        <v>865</v>
      </c>
      <c r="H713" s="36">
        <f t="shared" si="42"/>
        <v>1730</v>
      </c>
      <c r="I713" s="90"/>
      <c r="J713" s="37"/>
      <c r="K713" s="38">
        <f t="shared" si="43"/>
        <v>45933</v>
      </c>
      <c r="L713" s="90" t="s">
        <v>17</v>
      </c>
      <c r="M713" s="39"/>
      <c r="N713" s="40"/>
      <c r="O713" s="40"/>
      <c r="P713" s="40"/>
      <c r="Q713" s="40"/>
    </row>
    <row r="714" spans="1:17" x14ac:dyDescent="0.3">
      <c r="A714" s="31" t="s">
        <v>1884</v>
      </c>
      <c r="B714" s="32">
        <v>45933</v>
      </c>
      <c r="C714" s="29" t="s">
        <v>1885</v>
      </c>
      <c r="D714" s="40" t="s">
        <v>1212</v>
      </c>
      <c r="E714" s="40" t="s">
        <v>1886</v>
      </c>
      <c r="F714" s="34">
        <v>3</v>
      </c>
      <c r="G714" s="35">
        <v>753</v>
      </c>
      <c r="H714" s="36">
        <f t="shared" si="42"/>
        <v>2259</v>
      </c>
      <c r="I714" s="90"/>
      <c r="J714" s="37"/>
      <c r="K714" s="38">
        <f t="shared" si="43"/>
        <v>45933</v>
      </c>
      <c r="L714" s="90" t="s">
        <v>17</v>
      </c>
      <c r="M714" s="39"/>
      <c r="N714" s="40"/>
      <c r="O714" s="40"/>
      <c r="P714" s="40"/>
      <c r="Q714" s="40"/>
    </row>
    <row r="715" spans="1:17" x14ac:dyDescent="0.3">
      <c r="A715" s="31" t="s">
        <v>1887</v>
      </c>
      <c r="B715" s="32">
        <v>45936</v>
      </c>
      <c r="C715" s="33" t="s">
        <v>1888</v>
      </c>
      <c r="D715" s="40" t="s">
        <v>25</v>
      </c>
      <c r="E715" s="40" t="s">
        <v>1889</v>
      </c>
      <c r="F715" s="34">
        <v>1</v>
      </c>
      <c r="G715" s="35">
        <v>5905.58</v>
      </c>
      <c r="H715" s="36">
        <f t="shared" si="42"/>
        <v>5905.58</v>
      </c>
      <c r="I715" s="90"/>
      <c r="J715" s="37"/>
      <c r="K715" s="38">
        <f t="shared" si="43"/>
        <v>45936</v>
      </c>
      <c r="L715" s="90" t="s">
        <v>301</v>
      </c>
      <c r="M715" s="39"/>
      <c r="N715" s="40"/>
      <c r="O715" s="40"/>
      <c r="P715" s="40"/>
      <c r="Q715" s="40"/>
    </row>
    <row r="716" spans="1:17" x14ac:dyDescent="0.3">
      <c r="A716" s="31" t="s">
        <v>1890</v>
      </c>
      <c r="B716" s="32">
        <v>45936</v>
      </c>
      <c r="C716" s="33" t="s">
        <v>1891</v>
      </c>
      <c r="D716" s="40" t="s">
        <v>593</v>
      </c>
      <c r="E716" s="40" t="s">
        <v>1892</v>
      </c>
      <c r="F716" s="34">
        <v>1</v>
      </c>
      <c r="G716" s="35">
        <v>6200</v>
      </c>
      <c r="H716" s="36">
        <f t="shared" si="42"/>
        <v>6200</v>
      </c>
      <c r="I716" s="90"/>
      <c r="J716" s="37"/>
      <c r="K716" s="38">
        <f t="shared" si="43"/>
        <v>45936</v>
      </c>
      <c r="L716" s="90" t="s">
        <v>301</v>
      </c>
      <c r="M716" s="39"/>
      <c r="N716" s="40"/>
      <c r="O716" s="40"/>
      <c r="P716" s="40"/>
      <c r="Q716" s="40"/>
    </row>
    <row r="717" spans="1:17" x14ac:dyDescent="0.3">
      <c r="A717" s="31" t="s">
        <v>1893</v>
      </c>
      <c r="B717" s="32">
        <v>45938</v>
      </c>
      <c r="C717" s="33" t="s">
        <v>1894</v>
      </c>
      <c r="D717" s="40" t="s">
        <v>35</v>
      </c>
      <c r="E717" s="40" t="s">
        <v>854</v>
      </c>
      <c r="F717" s="34">
        <v>1</v>
      </c>
      <c r="G717" s="35">
        <f>7918+7142+7142</f>
        <v>22202</v>
      </c>
      <c r="H717" s="36">
        <f t="shared" si="42"/>
        <v>22202</v>
      </c>
      <c r="I717" s="90"/>
      <c r="J717" s="37"/>
      <c r="K717" s="38">
        <f t="shared" si="43"/>
        <v>45938</v>
      </c>
      <c r="L717" s="90" t="s">
        <v>17</v>
      </c>
      <c r="M717" s="39"/>
      <c r="N717" s="40"/>
      <c r="O717" s="40"/>
      <c r="P717" s="40"/>
      <c r="Q717" s="40"/>
    </row>
    <row r="718" spans="1:17" x14ac:dyDescent="0.3">
      <c r="A718" s="31" t="s">
        <v>1895</v>
      </c>
      <c r="B718" s="32">
        <v>45938</v>
      </c>
      <c r="C718" s="33" t="s">
        <v>1894</v>
      </c>
      <c r="D718" s="40" t="s">
        <v>35</v>
      </c>
      <c r="E718" s="40" t="s">
        <v>1896</v>
      </c>
      <c r="F718" s="34">
        <v>1</v>
      </c>
      <c r="G718" s="35">
        <v>21863</v>
      </c>
      <c r="H718" s="36">
        <f t="shared" si="42"/>
        <v>21863</v>
      </c>
      <c r="I718" s="90"/>
      <c r="J718" s="37"/>
      <c r="K718" s="38">
        <f t="shared" si="43"/>
        <v>45938</v>
      </c>
      <c r="L718" s="90" t="s">
        <v>17</v>
      </c>
      <c r="M718" s="39"/>
      <c r="N718" s="40"/>
      <c r="O718" s="40"/>
      <c r="P718" s="40"/>
      <c r="Q718" s="40"/>
    </row>
    <row r="719" spans="1:17" x14ac:dyDescent="0.3">
      <c r="A719" s="31" t="s">
        <v>1897</v>
      </c>
      <c r="B719" s="32">
        <v>45938</v>
      </c>
      <c r="C719" s="33" t="s">
        <v>1894</v>
      </c>
      <c r="D719" s="40" t="s">
        <v>35</v>
      </c>
      <c r="E719" s="40" t="s">
        <v>1898</v>
      </c>
      <c r="F719" s="34">
        <v>1</v>
      </c>
      <c r="G719" s="35">
        <v>21631</v>
      </c>
      <c r="H719" s="36">
        <f t="shared" si="42"/>
        <v>21631</v>
      </c>
      <c r="I719" s="90"/>
      <c r="J719" s="37"/>
      <c r="K719" s="38">
        <f t="shared" si="43"/>
        <v>45938</v>
      </c>
      <c r="L719" s="90" t="s">
        <v>17</v>
      </c>
      <c r="M719" s="39"/>
      <c r="N719" s="40"/>
      <c r="O719" s="40"/>
      <c r="P719" s="40"/>
      <c r="Q719" s="40"/>
    </row>
    <row r="720" spans="1:17" x14ac:dyDescent="0.3">
      <c r="A720" s="31" t="s">
        <v>1899</v>
      </c>
      <c r="B720" s="32">
        <v>45938</v>
      </c>
      <c r="C720" s="33" t="s">
        <v>84</v>
      </c>
      <c r="D720" s="40" t="s">
        <v>1387</v>
      </c>
      <c r="E720" s="40" t="s">
        <v>1900</v>
      </c>
      <c r="F720" s="34">
        <v>1</v>
      </c>
      <c r="G720" s="35">
        <v>6605</v>
      </c>
      <c r="H720" s="36">
        <f t="shared" si="42"/>
        <v>6605</v>
      </c>
      <c r="I720" s="90"/>
      <c r="J720" s="37"/>
      <c r="K720" s="38">
        <f t="shared" si="43"/>
        <v>45938</v>
      </c>
      <c r="L720" s="90" t="s">
        <v>17</v>
      </c>
      <c r="M720" s="39"/>
      <c r="N720" s="40"/>
      <c r="O720" s="40"/>
      <c r="P720" s="40"/>
      <c r="Q720" s="40"/>
    </row>
    <row r="721" spans="1:17" x14ac:dyDescent="0.3">
      <c r="A721" s="31" t="s">
        <v>1901</v>
      </c>
      <c r="B721" s="32">
        <v>45938</v>
      </c>
      <c r="C721" s="33" t="s">
        <v>1902</v>
      </c>
      <c r="D721" s="40" t="s">
        <v>104</v>
      </c>
      <c r="E721" s="40" t="s">
        <v>1903</v>
      </c>
      <c r="F721" s="34">
        <v>1</v>
      </c>
      <c r="G721" s="35">
        <v>13900</v>
      </c>
      <c r="H721" s="36">
        <f t="shared" si="42"/>
        <v>13900</v>
      </c>
      <c r="I721" s="90"/>
      <c r="J721" s="37"/>
      <c r="K721" s="38">
        <f t="shared" si="43"/>
        <v>45938</v>
      </c>
      <c r="L721" s="90" t="s">
        <v>17</v>
      </c>
      <c r="M721" s="39"/>
      <c r="N721" s="40"/>
      <c r="O721" s="40"/>
      <c r="P721" s="40"/>
      <c r="Q721" s="40"/>
    </row>
    <row r="722" spans="1:17" x14ac:dyDescent="0.3">
      <c r="A722" s="31" t="s">
        <v>1904</v>
      </c>
      <c r="B722" s="32">
        <v>45939</v>
      </c>
      <c r="C722" s="33" t="s">
        <v>1905</v>
      </c>
      <c r="D722" s="40" t="s">
        <v>326</v>
      </c>
      <c r="E722" s="40" t="s">
        <v>1906</v>
      </c>
      <c r="F722" s="34">
        <v>1</v>
      </c>
      <c r="G722" s="35">
        <v>2075</v>
      </c>
      <c r="H722" s="36">
        <f t="shared" si="42"/>
        <v>2075</v>
      </c>
      <c r="I722" s="90"/>
      <c r="J722" s="37"/>
      <c r="K722" s="38">
        <f t="shared" si="43"/>
        <v>45939</v>
      </c>
      <c r="L722" s="90" t="s">
        <v>301</v>
      </c>
      <c r="M722" s="39"/>
      <c r="N722" s="40"/>
      <c r="O722" s="40"/>
      <c r="P722" s="40"/>
      <c r="Q722" s="40"/>
    </row>
    <row r="723" spans="1:17" x14ac:dyDescent="0.3">
      <c r="A723" s="31" t="s">
        <v>1907</v>
      </c>
      <c r="B723" s="32">
        <v>45939</v>
      </c>
      <c r="C723" s="33" t="s">
        <v>1908</v>
      </c>
      <c r="D723" s="40" t="s">
        <v>1064</v>
      </c>
      <c r="E723" s="40" t="s">
        <v>1909</v>
      </c>
      <c r="F723" s="34">
        <v>1</v>
      </c>
      <c r="G723" s="35">
        <v>6802</v>
      </c>
      <c r="H723" s="36">
        <f t="shared" si="42"/>
        <v>6802</v>
      </c>
      <c r="I723" s="90"/>
      <c r="J723" s="37"/>
      <c r="K723" s="38">
        <f t="shared" si="43"/>
        <v>45939</v>
      </c>
      <c r="L723" s="90" t="s">
        <v>143</v>
      </c>
      <c r="M723" s="39"/>
      <c r="N723" s="40"/>
      <c r="O723" s="40"/>
      <c r="P723" s="40"/>
      <c r="Q723" s="40"/>
    </row>
    <row r="724" spans="1:17" x14ac:dyDescent="0.3">
      <c r="A724" s="31" t="s">
        <v>1910</v>
      </c>
      <c r="B724" s="32">
        <v>45939</v>
      </c>
      <c r="C724" s="33" t="s">
        <v>1911</v>
      </c>
      <c r="D724" s="40" t="s">
        <v>1912</v>
      </c>
      <c r="E724" s="40" t="s">
        <v>867</v>
      </c>
      <c r="F724" s="34">
        <v>6</v>
      </c>
      <c r="G724" s="35">
        <v>6569</v>
      </c>
      <c r="H724" s="36">
        <f t="shared" si="42"/>
        <v>39414</v>
      </c>
      <c r="I724" s="90"/>
      <c r="J724" s="37"/>
      <c r="K724" s="38">
        <f t="shared" si="43"/>
        <v>45939</v>
      </c>
      <c r="L724" s="90" t="s">
        <v>301</v>
      </c>
      <c r="M724" s="39"/>
      <c r="N724" s="40"/>
      <c r="O724" s="40"/>
      <c r="P724" s="40"/>
      <c r="Q724" s="40"/>
    </row>
    <row r="725" spans="1:17" x14ac:dyDescent="0.3">
      <c r="A725" s="31" t="s">
        <v>1913</v>
      </c>
      <c r="B725" s="32">
        <v>45939</v>
      </c>
      <c r="C725" s="33" t="s">
        <v>1914</v>
      </c>
      <c r="D725" s="40" t="s">
        <v>49</v>
      </c>
      <c r="E725" s="40" t="s">
        <v>1915</v>
      </c>
      <c r="F725" s="34">
        <v>2</v>
      </c>
      <c r="G725" s="35">
        <v>7857.5</v>
      </c>
      <c r="H725" s="36">
        <f t="shared" si="42"/>
        <v>15715</v>
      </c>
      <c r="I725" s="90"/>
      <c r="J725" s="37"/>
      <c r="K725" s="38">
        <f t="shared" si="43"/>
        <v>45939</v>
      </c>
      <c r="L725" s="90" t="s">
        <v>20</v>
      </c>
      <c r="M725" s="39"/>
      <c r="N725" s="40"/>
      <c r="O725" s="40"/>
      <c r="P725" s="40"/>
      <c r="Q725" s="40"/>
    </row>
    <row r="726" spans="1:17" x14ac:dyDescent="0.3">
      <c r="A726" s="31" t="s">
        <v>1916</v>
      </c>
      <c r="B726" s="32">
        <v>45939</v>
      </c>
      <c r="C726" s="33" t="s">
        <v>1917</v>
      </c>
      <c r="D726" s="40" t="s">
        <v>1918</v>
      </c>
      <c r="E726" s="40" t="s">
        <v>105</v>
      </c>
      <c r="F726" s="34">
        <v>1</v>
      </c>
      <c r="G726" s="35">
        <v>3052</v>
      </c>
      <c r="H726" s="36">
        <f t="shared" si="42"/>
        <v>3052</v>
      </c>
      <c r="I726" s="90"/>
      <c r="J726" s="37"/>
      <c r="K726" s="38">
        <f t="shared" si="43"/>
        <v>45939</v>
      </c>
      <c r="L726" s="90" t="s">
        <v>301</v>
      </c>
      <c r="M726" s="39"/>
      <c r="N726" s="40"/>
      <c r="O726" s="40"/>
      <c r="P726" s="40"/>
      <c r="Q726" s="40"/>
    </row>
    <row r="727" spans="1:17" x14ac:dyDescent="0.3">
      <c r="A727" s="31" t="s">
        <v>1919</v>
      </c>
      <c r="B727" s="32">
        <v>45939</v>
      </c>
      <c r="C727" s="33" t="s">
        <v>50</v>
      </c>
      <c r="D727" s="40" t="s">
        <v>49</v>
      </c>
      <c r="E727" s="40" t="s">
        <v>58</v>
      </c>
      <c r="F727" s="34">
        <v>1</v>
      </c>
      <c r="G727" s="35">
        <v>19468</v>
      </c>
      <c r="H727" s="36">
        <f t="shared" si="42"/>
        <v>19468</v>
      </c>
      <c r="I727" s="90"/>
      <c r="J727" s="37"/>
      <c r="K727" s="38">
        <f t="shared" si="43"/>
        <v>45939</v>
      </c>
      <c r="L727" s="90" t="s">
        <v>20</v>
      </c>
      <c r="M727" s="39"/>
      <c r="N727" s="40"/>
      <c r="O727" s="40"/>
      <c r="P727" s="40"/>
      <c r="Q727" s="40"/>
    </row>
    <row r="728" spans="1:17" x14ac:dyDescent="0.3">
      <c r="A728" s="31" t="s">
        <v>1920</v>
      </c>
      <c r="B728" s="32">
        <v>45940</v>
      </c>
      <c r="C728" s="33" t="s">
        <v>145</v>
      </c>
      <c r="D728" s="40" t="s">
        <v>156</v>
      </c>
      <c r="E728" s="40" t="s">
        <v>963</v>
      </c>
      <c r="F728" s="34">
        <v>5</v>
      </c>
      <c r="G728" s="35">
        <v>3708</v>
      </c>
      <c r="H728" s="36">
        <f t="shared" si="42"/>
        <v>18540</v>
      </c>
      <c r="I728" s="90"/>
      <c r="J728" s="37"/>
      <c r="K728" s="38">
        <f t="shared" si="43"/>
        <v>45940</v>
      </c>
      <c r="L728" s="90" t="s">
        <v>301</v>
      </c>
      <c r="M728" s="39"/>
      <c r="N728" s="40"/>
      <c r="O728" s="40"/>
      <c r="P728" s="40"/>
      <c r="Q728" s="40"/>
    </row>
    <row r="729" spans="1:17" x14ac:dyDescent="0.3">
      <c r="A729" s="31" t="s">
        <v>1921</v>
      </c>
      <c r="B729" s="32">
        <v>45940</v>
      </c>
      <c r="C729" s="33" t="s">
        <v>16</v>
      </c>
      <c r="D729" s="40" t="s">
        <v>1855</v>
      </c>
      <c r="E729" s="40" t="s">
        <v>1922</v>
      </c>
      <c r="F729" s="34">
        <v>4</v>
      </c>
      <c r="G729" s="35">
        <v>5510</v>
      </c>
      <c r="H729" s="36">
        <f t="shared" si="42"/>
        <v>22040</v>
      </c>
      <c r="I729" s="90"/>
      <c r="J729" s="37"/>
      <c r="K729" s="38">
        <f t="shared" si="43"/>
        <v>45940</v>
      </c>
      <c r="L729" s="90" t="s">
        <v>143</v>
      </c>
      <c r="M729" s="39"/>
      <c r="N729" s="40"/>
      <c r="O729" s="40"/>
      <c r="P729" s="40"/>
      <c r="Q729" s="40"/>
    </row>
    <row r="730" spans="1:17" x14ac:dyDescent="0.3">
      <c r="A730" s="31" t="s">
        <v>1923</v>
      </c>
      <c r="B730" s="32">
        <v>45943</v>
      </c>
      <c r="C730" s="33">
        <v>4316</v>
      </c>
      <c r="D730" s="40" t="s">
        <v>92</v>
      </c>
      <c r="E730" s="40" t="s">
        <v>1924</v>
      </c>
      <c r="F730" s="34">
        <v>4</v>
      </c>
      <c r="G730" s="35">
        <v>7360.2749999999996</v>
      </c>
      <c r="H730" s="36">
        <f t="shared" si="42"/>
        <v>29441.1</v>
      </c>
      <c r="I730" s="90"/>
      <c r="J730" s="37"/>
      <c r="K730" s="38">
        <f t="shared" si="43"/>
        <v>45943</v>
      </c>
      <c r="L730" s="90" t="s">
        <v>301</v>
      </c>
      <c r="M730" s="39"/>
      <c r="N730" s="40"/>
      <c r="O730" s="40"/>
      <c r="P730" s="40"/>
      <c r="Q730" s="40"/>
    </row>
    <row r="731" spans="1:17" x14ac:dyDescent="0.3">
      <c r="A731" s="31" t="s">
        <v>1925</v>
      </c>
      <c r="B731" s="32">
        <v>45943</v>
      </c>
      <c r="C731" s="33" t="s">
        <v>1926</v>
      </c>
      <c r="D731" s="40" t="s">
        <v>470</v>
      </c>
      <c r="E731" s="40" t="s">
        <v>1927</v>
      </c>
      <c r="F731" s="34">
        <v>3</v>
      </c>
      <c r="G731" s="35">
        <f>12190.5+3792.91+501.3</f>
        <v>16484.71</v>
      </c>
      <c r="H731" s="36">
        <f t="shared" si="42"/>
        <v>49454.13</v>
      </c>
      <c r="I731" s="90"/>
      <c r="J731" s="37"/>
      <c r="K731" s="38">
        <f t="shared" si="43"/>
        <v>45943</v>
      </c>
      <c r="L731" s="90" t="s">
        <v>17</v>
      </c>
      <c r="M731" s="39"/>
      <c r="N731" s="40"/>
      <c r="O731" s="40"/>
      <c r="P731" s="40"/>
      <c r="Q731" s="40"/>
    </row>
    <row r="732" spans="1:17" x14ac:dyDescent="0.3">
      <c r="A732" s="31" t="s">
        <v>1928</v>
      </c>
      <c r="B732" s="32">
        <v>45943</v>
      </c>
      <c r="C732" s="33" t="s">
        <v>1926</v>
      </c>
      <c r="D732" s="40" t="s">
        <v>470</v>
      </c>
      <c r="E732" s="40" t="s">
        <v>44</v>
      </c>
      <c r="F732" s="34">
        <v>3</v>
      </c>
      <c r="G732" s="35">
        <f>6569</f>
        <v>6569</v>
      </c>
      <c r="H732" s="36">
        <f t="shared" si="42"/>
        <v>19707</v>
      </c>
      <c r="I732" s="90"/>
      <c r="J732" s="37"/>
      <c r="K732" s="38">
        <f t="shared" si="43"/>
        <v>45943</v>
      </c>
      <c r="L732" s="90" t="s">
        <v>17</v>
      </c>
      <c r="M732" s="39"/>
      <c r="N732" s="40"/>
      <c r="O732" s="40"/>
      <c r="P732" s="40"/>
      <c r="Q732" s="40"/>
    </row>
    <row r="733" spans="1:17" x14ac:dyDescent="0.3">
      <c r="A733" s="31" t="s">
        <v>1929</v>
      </c>
      <c r="B733" s="32">
        <v>45943</v>
      </c>
      <c r="C733" s="33" t="s">
        <v>1930</v>
      </c>
      <c r="D733" s="40" t="s">
        <v>150</v>
      </c>
      <c r="E733" s="40" t="s">
        <v>1931</v>
      </c>
      <c r="F733" s="34">
        <v>1</v>
      </c>
      <c r="G733" s="35">
        <v>8000</v>
      </c>
      <c r="H733" s="36">
        <f t="shared" si="42"/>
        <v>8000</v>
      </c>
      <c r="I733" s="90"/>
      <c r="J733" s="37"/>
      <c r="K733" s="38">
        <f t="shared" si="43"/>
        <v>45943</v>
      </c>
      <c r="L733" s="90" t="s">
        <v>301</v>
      </c>
      <c r="M733" s="39"/>
      <c r="N733" s="40"/>
      <c r="O733" s="40"/>
      <c r="P733" s="40"/>
      <c r="Q733" s="40"/>
    </row>
    <row r="734" spans="1:17" x14ac:dyDescent="0.3">
      <c r="A734" s="31" t="s">
        <v>1932</v>
      </c>
      <c r="B734" s="32">
        <v>45943</v>
      </c>
      <c r="C734" s="33" t="s">
        <v>16</v>
      </c>
      <c r="D734" s="40" t="s">
        <v>1933</v>
      </c>
      <c r="E734" s="40" t="s">
        <v>1934</v>
      </c>
      <c r="F734" s="34">
        <v>2</v>
      </c>
      <c r="G734" s="35">
        <v>7598</v>
      </c>
      <c r="H734" s="36">
        <f t="shared" si="42"/>
        <v>15196</v>
      </c>
      <c r="I734" s="90"/>
      <c r="J734" s="37"/>
      <c r="K734" s="38">
        <f t="shared" si="43"/>
        <v>45943</v>
      </c>
      <c r="L734" s="90" t="s">
        <v>17</v>
      </c>
      <c r="M734" s="39"/>
      <c r="N734" s="40"/>
      <c r="O734" s="40"/>
      <c r="P734" s="40"/>
      <c r="Q734" s="40"/>
    </row>
    <row r="735" spans="1:17" x14ac:dyDescent="0.3">
      <c r="A735" s="31" t="s">
        <v>1935</v>
      </c>
      <c r="B735" s="32">
        <v>45943</v>
      </c>
      <c r="C735" s="33" t="s">
        <v>16</v>
      </c>
      <c r="D735" s="40" t="s">
        <v>1936</v>
      </c>
      <c r="E735" s="40" t="s">
        <v>101</v>
      </c>
      <c r="F735" s="34">
        <v>1</v>
      </c>
      <c r="G735" s="35">
        <v>2900</v>
      </c>
      <c r="H735" s="36">
        <f t="shared" si="42"/>
        <v>2900</v>
      </c>
      <c r="I735" s="90"/>
      <c r="J735" s="37"/>
      <c r="K735" s="38">
        <f t="shared" si="43"/>
        <v>45943</v>
      </c>
      <c r="L735" s="90" t="s">
        <v>143</v>
      </c>
      <c r="M735" s="39"/>
      <c r="N735" s="40"/>
      <c r="O735" s="40"/>
      <c r="P735" s="40"/>
      <c r="Q735" s="40"/>
    </row>
    <row r="736" spans="1:17" x14ac:dyDescent="0.3">
      <c r="A736" s="40" t="s">
        <v>1937</v>
      </c>
      <c r="B736" s="32">
        <v>45944</v>
      </c>
      <c r="C736" s="83" t="s">
        <v>1938</v>
      </c>
      <c r="D736" s="40" t="s">
        <v>1939</v>
      </c>
      <c r="E736" s="40" t="s">
        <v>1940</v>
      </c>
      <c r="F736" s="34">
        <v>10</v>
      </c>
      <c r="G736" s="35">
        <v>1567</v>
      </c>
      <c r="H736" s="36">
        <v>1567</v>
      </c>
      <c r="I736" s="90"/>
      <c r="J736" s="37"/>
      <c r="K736" s="38">
        <f t="shared" si="43"/>
        <v>45944</v>
      </c>
      <c r="L736" s="90" t="s">
        <v>301</v>
      </c>
      <c r="M736" s="39"/>
      <c r="N736" s="40"/>
      <c r="O736" s="40"/>
      <c r="P736" s="40"/>
      <c r="Q736" s="40"/>
    </row>
    <row r="737" spans="1:17" x14ac:dyDescent="0.3">
      <c r="A737" s="31" t="s">
        <v>1941</v>
      </c>
      <c r="B737" s="32">
        <v>45943</v>
      </c>
      <c r="C737" s="33">
        <v>501495</v>
      </c>
      <c r="D737" s="40" t="s">
        <v>389</v>
      </c>
      <c r="E737" s="40" t="s">
        <v>1942</v>
      </c>
      <c r="F737" s="34">
        <v>1</v>
      </c>
      <c r="G737" s="35">
        <v>11482</v>
      </c>
      <c r="H737" s="36">
        <f>F737*G737</f>
        <v>11482</v>
      </c>
      <c r="I737" s="90"/>
      <c r="J737" s="37"/>
      <c r="K737" s="38">
        <f t="shared" si="43"/>
        <v>45943</v>
      </c>
      <c r="L737" s="90" t="s">
        <v>20</v>
      </c>
      <c r="M737" s="39"/>
      <c r="N737" s="40"/>
      <c r="O737" s="40"/>
      <c r="P737" s="40"/>
      <c r="Q737" s="40"/>
    </row>
    <row r="738" spans="1:17" x14ac:dyDescent="0.3">
      <c r="A738" s="31" t="s">
        <v>1943</v>
      </c>
      <c r="B738" s="32">
        <v>45943</v>
      </c>
      <c r="C738" s="33" t="s">
        <v>145</v>
      </c>
      <c r="D738" s="40" t="s">
        <v>1944</v>
      </c>
      <c r="E738" s="40" t="s">
        <v>1945</v>
      </c>
      <c r="F738" s="34">
        <v>1</v>
      </c>
      <c r="G738" s="35">
        <v>6804</v>
      </c>
      <c r="H738" s="36">
        <f>F738*G738</f>
        <v>6804</v>
      </c>
      <c r="I738" s="90"/>
      <c r="J738" s="37"/>
      <c r="K738" s="38">
        <f t="shared" si="43"/>
        <v>45943</v>
      </c>
      <c r="L738" s="90" t="s">
        <v>20</v>
      </c>
      <c r="M738" s="39"/>
      <c r="N738" s="40"/>
      <c r="O738" s="40"/>
      <c r="P738" s="40"/>
      <c r="Q738" s="40"/>
    </row>
    <row r="739" spans="1:17" x14ac:dyDescent="0.3">
      <c r="A739" s="31" t="s">
        <v>1946</v>
      </c>
      <c r="B739" s="32">
        <v>45943</v>
      </c>
      <c r="C739" s="33" t="s">
        <v>1947</v>
      </c>
      <c r="D739" s="40" t="s">
        <v>49</v>
      </c>
      <c r="E739" s="40" t="s">
        <v>117</v>
      </c>
      <c r="F739" s="34">
        <v>1</v>
      </c>
      <c r="G739" s="35">
        <v>5209</v>
      </c>
      <c r="H739" s="36">
        <f t="shared" ref="H739:H802" si="44">F739*G739</f>
        <v>5209</v>
      </c>
      <c r="I739" s="90"/>
      <c r="J739" s="37"/>
      <c r="K739" s="38">
        <f t="shared" si="43"/>
        <v>45943</v>
      </c>
      <c r="L739" s="90" t="s">
        <v>20</v>
      </c>
      <c r="M739" s="39"/>
      <c r="N739" s="40"/>
      <c r="O739" s="40"/>
      <c r="P739" s="40"/>
      <c r="Q739" s="40"/>
    </row>
    <row r="740" spans="1:17" x14ac:dyDescent="0.3">
      <c r="A740" s="31" t="s">
        <v>1948</v>
      </c>
      <c r="B740" s="32">
        <v>45943</v>
      </c>
      <c r="C740" s="33" t="s">
        <v>1949</v>
      </c>
      <c r="D740" s="40" t="s">
        <v>1950</v>
      </c>
      <c r="E740" s="40" t="s">
        <v>1838</v>
      </c>
      <c r="F740" s="34">
        <v>3</v>
      </c>
      <c r="G740" s="35">
        <f>3575</f>
        <v>3575</v>
      </c>
      <c r="H740" s="36">
        <f t="shared" si="44"/>
        <v>10725</v>
      </c>
      <c r="I740" s="90"/>
      <c r="J740" s="37"/>
      <c r="K740" s="38">
        <f t="shared" si="43"/>
        <v>45943</v>
      </c>
      <c r="L740" s="90" t="s">
        <v>17</v>
      </c>
      <c r="M740" s="39"/>
      <c r="N740" s="40"/>
      <c r="O740" s="40"/>
      <c r="P740" s="40"/>
      <c r="Q740" s="40"/>
    </row>
    <row r="741" spans="1:17" ht="28.8" x14ac:dyDescent="0.3">
      <c r="A741" s="31" t="s">
        <v>1951</v>
      </c>
      <c r="B741" s="32">
        <v>45943</v>
      </c>
      <c r="C741" s="33" t="s">
        <v>1952</v>
      </c>
      <c r="D741" s="40" t="s">
        <v>1950</v>
      </c>
      <c r="E741" s="45" t="s">
        <v>1953</v>
      </c>
      <c r="F741" s="34"/>
      <c r="G741" s="35"/>
      <c r="H741" s="36">
        <f t="shared" si="44"/>
        <v>0</v>
      </c>
      <c r="I741" s="90"/>
      <c r="J741" s="37"/>
      <c r="K741" s="38">
        <f t="shared" si="43"/>
        <v>45943</v>
      </c>
      <c r="L741" s="90" t="s">
        <v>17</v>
      </c>
      <c r="M741" s="39"/>
      <c r="N741" s="40"/>
      <c r="O741" s="40"/>
      <c r="P741" s="40"/>
      <c r="Q741" s="40"/>
    </row>
    <row r="742" spans="1:17" ht="28.8" x14ac:dyDescent="0.3">
      <c r="A742" s="31" t="s">
        <v>1954</v>
      </c>
      <c r="B742" s="32">
        <v>45943</v>
      </c>
      <c r="C742" s="33" t="s">
        <v>16</v>
      </c>
      <c r="D742" s="40" t="s">
        <v>632</v>
      </c>
      <c r="E742" s="45" t="s">
        <v>1955</v>
      </c>
      <c r="F742" s="34">
        <v>1</v>
      </c>
      <c r="G742" s="35"/>
      <c r="H742" s="36">
        <f t="shared" si="44"/>
        <v>0</v>
      </c>
      <c r="I742" s="90"/>
      <c r="J742" s="37"/>
      <c r="K742" s="38">
        <f t="shared" si="43"/>
        <v>45943</v>
      </c>
      <c r="L742" s="90" t="s">
        <v>17</v>
      </c>
      <c r="M742" s="39"/>
      <c r="N742" s="40"/>
      <c r="O742" s="40"/>
      <c r="P742" s="40"/>
      <c r="Q742" s="40"/>
    </row>
    <row r="743" spans="1:17" ht="28.8" x14ac:dyDescent="0.3">
      <c r="A743" s="31" t="s">
        <v>1956</v>
      </c>
      <c r="B743" s="32">
        <v>45943</v>
      </c>
      <c r="C743" s="33" t="s">
        <v>16</v>
      </c>
      <c r="D743" s="40" t="s">
        <v>632</v>
      </c>
      <c r="E743" s="45" t="s">
        <v>1957</v>
      </c>
      <c r="F743" s="34">
        <v>1</v>
      </c>
      <c r="G743" s="35"/>
      <c r="H743" s="36">
        <f t="shared" si="44"/>
        <v>0</v>
      </c>
      <c r="I743" s="90"/>
      <c r="J743" s="37"/>
      <c r="K743" s="38">
        <f t="shared" si="43"/>
        <v>45943</v>
      </c>
      <c r="L743" s="90" t="s">
        <v>17</v>
      </c>
      <c r="M743" s="39"/>
      <c r="N743" s="40"/>
      <c r="O743" s="40"/>
      <c r="P743" s="40"/>
      <c r="Q743" s="40"/>
    </row>
    <row r="744" spans="1:17" x14ac:dyDescent="0.3">
      <c r="A744" s="31" t="s">
        <v>1958</v>
      </c>
      <c r="B744" s="32">
        <v>45943</v>
      </c>
      <c r="C744" s="33" t="s">
        <v>16</v>
      </c>
      <c r="D744" s="40" t="s">
        <v>632</v>
      </c>
      <c r="E744" s="40" t="s">
        <v>1959</v>
      </c>
      <c r="F744" s="34">
        <v>1</v>
      </c>
      <c r="G744" s="35"/>
      <c r="H744" s="36">
        <f t="shared" si="44"/>
        <v>0</v>
      </c>
      <c r="I744" s="90"/>
      <c r="J744" s="37"/>
      <c r="K744" s="38">
        <f t="shared" si="43"/>
        <v>45943</v>
      </c>
      <c r="L744" s="90" t="s">
        <v>17</v>
      </c>
      <c r="M744" s="39"/>
      <c r="N744" s="40"/>
      <c r="O744" s="40"/>
      <c r="P744" s="40"/>
      <c r="Q744" s="40"/>
    </row>
    <row r="745" spans="1:17" x14ac:dyDescent="0.3">
      <c r="A745" s="31" t="s">
        <v>1960</v>
      </c>
      <c r="B745" s="32">
        <v>45945</v>
      </c>
      <c r="C745" s="33" t="s">
        <v>16</v>
      </c>
      <c r="D745" s="40" t="s">
        <v>1460</v>
      </c>
      <c r="E745" s="40" t="s">
        <v>1961</v>
      </c>
      <c r="F745" s="34">
        <v>2</v>
      </c>
      <c r="G745" s="35">
        <v>1875</v>
      </c>
      <c r="H745" s="36">
        <f t="shared" si="44"/>
        <v>3750</v>
      </c>
      <c r="I745" s="90"/>
      <c r="J745" s="37"/>
      <c r="K745" s="38">
        <f t="shared" si="43"/>
        <v>45945</v>
      </c>
      <c r="L745" s="90" t="s">
        <v>143</v>
      </c>
      <c r="M745" s="39"/>
      <c r="N745" s="40"/>
      <c r="O745" s="40"/>
      <c r="P745" s="40"/>
      <c r="Q745" s="40"/>
    </row>
    <row r="746" spans="1:17" x14ac:dyDescent="0.3">
      <c r="A746" s="31" t="s">
        <v>1962</v>
      </c>
      <c r="B746" s="32">
        <v>45945</v>
      </c>
      <c r="C746" s="71" t="s">
        <v>1963</v>
      </c>
      <c r="D746" s="40" t="s">
        <v>977</v>
      </c>
      <c r="E746" s="40" t="s">
        <v>1964</v>
      </c>
      <c r="F746" s="34">
        <v>12</v>
      </c>
      <c r="G746" s="35">
        <v>1255</v>
      </c>
      <c r="H746" s="36">
        <f t="shared" si="44"/>
        <v>15060</v>
      </c>
      <c r="I746" s="90"/>
      <c r="J746" s="37"/>
      <c r="K746" s="38">
        <f t="shared" si="43"/>
        <v>45945</v>
      </c>
      <c r="L746" s="90" t="s">
        <v>301</v>
      </c>
      <c r="M746" s="39"/>
      <c r="N746" s="40"/>
      <c r="O746" s="40"/>
      <c r="P746" s="40"/>
      <c r="Q746" s="40"/>
    </row>
    <row r="747" spans="1:17" x14ac:dyDescent="0.3">
      <c r="A747" s="31" t="s">
        <v>1965</v>
      </c>
      <c r="B747" s="32">
        <v>45946</v>
      </c>
      <c r="C747" s="33" t="s">
        <v>1966</v>
      </c>
      <c r="D747" s="40" t="s">
        <v>980</v>
      </c>
      <c r="E747" s="40" t="s">
        <v>1967</v>
      </c>
      <c r="F747" s="34">
        <v>7</v>
      </c>
      <c r="G747" s="35">
        <v>8681</v>
      </c>
      <c r="H747" s="36">
        <v>8681</v>
      </c>
      <c r="I747" s="90"/>
      <c r="J747" s="37"/>
      <c r="K747" s="38">
        <f t="shared" si="43"/>
        <v>45946</v>
      </c>
      <c r="L747" s="90" t="s">
        <v>301</v>
      </c>
      <c r="M747" s="39"/>
      <c r="N747" s="40"/>
      <c r="O747" s="40"/>
      <c r="P747" s="40"/>
      <c r="Q747" s="40"/>
    </row>
    <row r="748" spans="1:17" x14ac:dyDescent="0.3">
      <c r="A748" s="31" t="s">
        <v>1968</v>
      </c>
      <c r="B748" s="32">
        <v>45946</v>
      </c>
      <c r="C748" s="33" t="s">
        <v>16</v>
      </c>
      <c r="D748" s="40" t="s">
        <v>27</v>
      </c>
      <c r="E748" s="40" t="s">
        <v>1969</v>
      </c>
      <c r="F748" s="34">
        <v>1</v>
      </c>
      <c r="G748" s="35">
        <v>24945</v>
      </c>
      <c r="H748" s="36">
        <f t="shared" si="44"/>
        <v>24945</v>
      </c>
      <c r="I748" s="90"/>
      <c r="J748" s="37"/>
      <c r="K748" s="38">
        <f t="shared" si="43"/>
        <v>45946</v>
      </c>
      <c r="L748" s="90" t="s">
        <v>17</v>
      </c>
      <c r="M748" s="39"/>
      <c r="N748" s="40"/>
      <c r="O748" s="40"/>
      <c r="P748" s="40"/>
      <c r="Q748" s="40"/>
    </row>
    <row r="749" spans="1:17" x14ac:dyDescent="0.3">
      <c r="A749" s="31" t="s">
        <v>1970</v>
      </c>
      <c r="B749" s="32">
        <v>45946</v>
      </c>
      <c r="C749" s="33" t="s">
        <v>16</v>
      </c>
      <c r="D749" s="40" t="s">
        <v>79</v>
      </c>
      <c r="E749" s="40" t="s">
        <v>68</v>
      </c>
      <c r="F749" s="34">
        <v>6</v>
      </c>
      <c r="G749" s="35">
        <v>3159</v>
      </c>
      <c r="H749" s="36">
        <f t="shared" si="44"/>
        <v>18954</v>
      </c>
      <c r="I749" s="90"/>
      <c r="J749" s="37"/>
      <c r="K749" s="38">
        <f t="shared" si="43"/>
        <v>45946</v>
      </c>
      <c r="L749" s="90" t="s">
        <v>17</v>
      </c>
      <c r="M749" s="39"/>
      <c r="N749" s="40"/>
      <c r="O749" s="40"/>
      <c r="P749" s="40"/>
      <c r="Q749" s="40"/>
    </row>
    <row r="750" spans="1:17" x14ac:dyDescent="0.3">
      <c r="A750" s="31" t="s">
        <v>1971</v>
      </c>
      <c r="B750" s="32">
        <v>45946</v>
      </c>
      <c r="C750" s="33" t="s">
        <v>16</v>
      </c>
      <c r="D750" s="40" t="s">
        <v>132</v>
      </c>
      <c r="E750" s="40" t="s">
        <v>33</v>
      </c>
      <c r="F750" s="34">
        <v>1</v>
      </c>
      <c r="G750" s="35">
        <v>4658</v>
      </c>
      <c r="H750" s="36">
        <f t="shared" si="44"/>
        <v>4658</v>
      </c>
      <c r="I750" s="90"/>
      <c r="J750" s="37"/>
      <c r="K750" s="38">
        <f t="shared" si="43"/>
        <v>45946</v>
      </c>
      <c r="L750" s="90" t="s">
        <v>143</v>
      </c>
      <c r="M750" s="39"/>
      <c r="N750" s="40"/>
      <c r="O750" s="40"/>
      <c r="P750" s="40"/>
      <c r="Q750" s="40"/>
    </row>
    <row r="751" spans="1:17" x14ac:dyDescent="0.3">
      <c r="A751" s="31" t="s">
        <v>1972</v>
      </c>
      <c r="B751" s="32">
        <v>45946</v>
      </c>
      <c r="C751" s="33" t="s">
        <v>1973</v>
      </c>
      <c r="D751" s="40" t="s">
        <v>1974</v>
      </c>
      <c r="E751" s="40" t="s">
        <v>1975</v>
      </c>
      <c r="F751" s="34">
        <v>6</v>
      </c>
      <c r="G751" s="35">
        <v>2632.8330000000001</v>
      </c>
      <c r="H751" s="36">
        <f t="shared" si="44"/>
        <v>15796.998</v>
      </c>
      <c r="I751" s="90"/>
      <c r="J751" s="37"/>
      <c r="K751" s="38">
        <f t="shared" si="43"/>
        <v>45946</v>
      </c>
      <c r="L751" s="90" t="s">
        <v>301</v>
      </c>
      <c r="M751" s="39"/>
      <c r="N751" s="40"/>
      <c r="O751" s="40"/>
      <c r="P751" s="40"/>
      <c r="Q751" s="40"/>
    </row>
    <row r="752" spans="1:17" x14ac:dyDescent="0.3">
      <c r="A752" s="31" t="s">
        <v>1976</v>
      </c>
      <c r="B752" s="32">
        <v>45947</v>
      </c>
      <c r="C752" s="33" t="s">
        <v>1977</v>
      </c>
      <c r="D752" s="40" t="s">
        <v>1196</v>
      </c>
      <c r="E752" s="40" t="s">
        <v>112</v>
      </c>
      <c r="F752" s="34">
        <v>32</v>
      </c>
      <c r="G752" s="35">
        <v>35605</v>
      </c>
      <c r="H752" s="36">
        <v>35605</v>
      </c>
      <c r="I752" s="90"/>
      <c r="J752" s="37"/>
      <c r="K752" s="38">
        <f t="shared" si="43"/>
        <v>45947</v>
      </c>
      <c r="L752" s="90" t="s">
        <v>301</v>
      </c>
      <c r="M752" s="39"/>
      <c r="N752" s="40"/>
      <c r="O752" s="40"/>
      <c r="P752" s="40"/>
      <c r="Q752" s="40"/>
    </row>
    <row r="753" spans="1:17" x14ac:dyDescent="0.3">
      <c r="A753" s="31" t="s">
        <v>1978</v>
      </c>
      <c r="B753" s="32">
        <v>45947</v>
      </c>
      <c r="C753" s="33" t="s">
        <v>145</v>
      </c>
      <c r="D753" s="40" t="s">
        <v>482</v>
      </c>
      <c r="E753" s="40" t="s">
        <v>1979</v>
      </c>
      <c r="F753" s="34">
        <v>1</v>
      </c>
      <c r="G753" s="35">
        <v>1637</v>
      </c>
      <c r="H753" s="36">
        <f t="shared" si="44"/>
        <v>1637</v>
      </c>
      <c r="I753" s="90"/>
      <c r="J753" s="37"/>
      <c r="K753" s="38">
        <f t="shared" si="43"/>
        <v>45947</v>
      </c>
      <c r="L753" s="90" t="s">
        <v>301</v>
      </c>
      <c r="M753" s="39"/>
      <c r="N753" s="40"/>
      <c r="O753" s="40"/>
      <c r="P753" s="40"/>
      <c r="Q753" s="40"/>
    </row>
    <row r="754" spans="1:17" x14ac:dyDescent="0.3">
      <c r="A754" s="31" t="s">
        <v>1980</v>
      </c>
      <c r="B754" s="32">
        <v>45947</v>
      </c>
      <c r="C754" s="33" t="s">
        <v>145</v>
      </c>
      <c r="D754" s="40" t="s">
        <v>1613</v>
      </c>
      <c r="E754" s="40" t="s">
        <v>1981</v>
      </c>
      <c r="F754" s="34">
        <v>6</v>
      </c>
      <c r="G754" s="35">
        <v>2050.33</v>
      </c>
      <c r="H754" s="36">
        <f t="shared" si="44"/>
        <v>12301.98</v>
      </c>
      <c r="I754" s="90"/>
      <c r="J754" s="37"/>
      <c r="K754" s="38">
        <f t="shared" si="43"/>
        <v>45947</v>
      </c>
      <c r="L754" s="90" t="s">
        <v>17</v>
      </c>
      <c r="M754" s="39"/>
      <c r="N754" s="40"/>
      <c r="O754" s="40"/>
      <c r="P754" s="40"/>
      <c r="Q754" s="40"/>
    </row>
    <row r="755" spans="1:17" x14ac:dyDescent="0.3">
      <c r="A755" s="31" t="s">
        <v>1982</v>
      </c>
      <c r="B755" s="32">
        <v>45947</v>
      </c>
      <c r="C755" s="33" t="s">
        <v>16</v>
      </c>
      <c r="D755" s="40" t="s">
        <v>1983</v>
      </c>
      <c r="E755" s="40" t="s">
        <v>981</v>
      </c>
      <c r="F755" s="34">
        <v>2</v>
      </c>
      <c r="G755" s="35">
        <v>3391</v>
      </c>
      <c r="H755" s="36">
        <f t="shared" si="44"/>
        <v>6782</v>
      </c>
      <c r="I755" s="90"/>
      <c r="J755" s="37"/>
      <c r="K755" s="38">
        <f t="shared" si="43"/>
        <v>45947</v>
      </c>
      <c r="L755" s="90" t="s">
        <v>301</v>
      </c>
      <c r="M755" s="39"/>
      <c r="N755" s="40"/>
      <c r="O755" s="40"/>
      <c r="P755" s="40"/>
      <c r="Q755" s="40"/>
    </row>
    <row r="756" spans="1:17" x14ac:dyDescent="0.3">
      <c r="A756" s="31" t="s">
        <v>1984</v>
      </c>
      <c r="B756" s="32">
        <v>45947</v>
      </c>
      <c r="C756" s="33" t="s">
        <v>16</v>
      </c>
      <c r="D756" s="40" t="s">
        <v>1985</v>
      </c>
      <c r="E756" s="40" t="s">
        <v>121</v>
      </c>
      <c r="F756" s="34">
        <v>1</v>
      </c>
      <c r="G756" s="35">
        <v>7253</v>
      </c>
      <c r="H756" s="36">
        <f t="shared" si="44"/>
        <v>7253</v>
      </c>
      <c r="I756" s="90"/>
      <c r="J756" s="37"/>
      <c r="K756" s="38">
        <f t="shared" si="43"/>
        <v>45947</v>
      </c>
      <c r="L756" s="90" t="s">
        <v>17</v>
      </c>
      <c r="M756" s="39"/>
      <c r="N756" s="40"/>
      <c r="O756" s="40"/>
      <c r="P756" s="40"/>
      <c r="Q756" s="40"/>
    </row>
    <row r="757" spans="1:17" x14ac:dyDescent="0.3">
      <c r="A757" s="31" t="s">
        <v>1986</v>
      </c>
      <c r="B757" s="32">
        <v>45947</v>
      </c>
      <c r="C757" s="33" t="s">
        <v>1987</v>
      </c>
      <c r="D757" s="40" t="s">
        <v>1196</v>
      </c>
      <c r="E757" s="40" t="s">
        <v>1988</v>
      </c>
      <c r="F757" s="34">
        <v>15</v>
      </c>
      <c r="G757" s="35">
        <v>22172</v>
      </c>
      <c r="H757" s="36">
        <v>22172</v>
      </c>
      <c r="I757" s="90"/>
      <c r="J757" s="37"/>
      <c r="K757" s="38">
        <f t="shared" si="43"/>
        <v>45947</v>
      </c>
      <c r="L757" s="90" t="s">
        <v>301</v>
      </c>
      <c r="M757" s="39"/>
      <c r="N757" s="40"/>
      <c r="O757" s="40"/>
      <c r="P757" s="40"/>
      <c r="Q757" s="40"/>
    </row>
    <row r="758" spans="1:17" x14ac:dyDescent="0.3">
      <c r="A758" s="31" t="s">
        <v>1989</v>
      </c>
      <c r="B758" s="32">
        <v>45947</v>
      </c>
      <c r="C758" s="33" t="s">
        <v>1990</v>
      </c>
      <c r="D758" s="40" t="s">
        <v>49</v>
      </c>
      <c r="E758" s="40" t="s">
        <v>1991</v>
      </c>
      <c r="F758" s="34">
        <v>4</v>
      </c>
      <c r="G758" s="35">
        <v>7470</v>
      </c>
      <c r="H758" s="36">
        <f t="shared" si="44"/>
        <v>29880</v>
      </c>
      <c r="I758" s="90"/>
      <c r="J758" s="37"/>
      <c r="K758" s="38">
        <f t="shared" si="43"/>
        <v>45947</v>
      </c>
      <c r="L758" s="90" t="s">
        <v>20</v>
      </c>
      <c r="M758" s="39"/>
      <c r="N758" s="40"/>
      <c r="O758" s="40"/>
      <c r="P758" s="40"/>
      <c r="Q758" s="40"/>
    </row>
    <row r="759" spans="1:17" x14ac:dyDescent="0.3">
      <c r="A759" s="31" t="s">
        <v>1992</v>
      </c>
      <c r="B759" s="32">
        <v>45947</v>
      </c>
      <c r="C759" s="33" t="s">
        <v>16</v>
      </c>
      <c r="D759" s="40" t="s">
        <v>632</v>
      </c>
      <c r="E759" s="40" t="s">
        <v>1967</v>
      </c>
      <c r="F759" s="34">
        <v>1</v>
      </c>
      <c r="G759" s="35">
        <v>10582</v>
      </c>
      <c r="H759" s="36">
        <f t="shared" si="44"/>
        <v>10582</v>
      </c>
      <c r="I759" s="90"/>
      <c r="J759" s="37"/>
      <c r="K759" s="38">
        <f t="shared" si="43"/>
        <v>45947</v>
      </c>
      <c r="L759" s="90" t="s">
        <v>17</v>
      </c>
      <c r="M759" s="39"/>
      <c r="N759" s="40"/>
      <c r="O759" s="40"/>
      <c r="P759" s="40"/>
      <c r="Q759" s="40"/>
    </row>
    <row r="760" spans="1:17" x14ac:dyDescent="0.3">
      <c r="A760" s="31" t="s">
        <v>1993</v>
      </c>
      <c r="B760" s="32">
        <v>45950</v>
      </c>
      <c r="C760" s="33" t="s">
        <v>16</v>
      </c>
      <c r="D760" s="40" t="s">
        <v>1994</v>
      </c>
      <c r="E760" s="40" t="s">
        <v>1995</v>
      </c>
      <c r="F760" s="34">
        <v>1</v>
      </c>
      <c r="G760" s="35">
        <v>4450</v>
      </c>
      <c r="H760" s="36">
        <f t="shared" si="44"/>
        <v>4450</v>
      </c>
      <c r="I760" s="90"/>
      <c r="J760" s="37"/>
      <c r="K760" s="38">
        <f t="shared" si="43"/>
        <v>45950</v>
      </c>
      <c r="L760" s="90" t="s">
        <v>17</v>
      </c>
      <c r="M760" s="39"/>
      <c r="N760" s="40"/>
      <c r="O760" s="40"/>
      <c r="P760" s="40"/>
      <c r="Q760" s="40"/>
    </row>
    <row r="761" spans="1:17" x14ac:dyDescent="0.3">
      <c r="A761" s="31" t="s">
        <v>1996</v>
      </c>
      <c r="B761" s="32">
        <v>45950</v>
      </c>
      <c r="C761" s="33" t="s">
        <v>16</v>
      </c>
      <c r="D761" s="40" t="s">
        <v>132</v>
      </c>
      <c r="E761" s="40" t="s">
        <v>121</v>
      </c>
      <c r="F761" s="34">
        <v>1</v>
      </c>
      <c r="G761" s="35">
        <v>7253</v>
      </c>
      <c r="H761" s="36">
        <f t="shared" si="44"/>
        <v>7253</v>
      </c>
      <c r="I761" s="90"/>
      <c r="J761" s="37"/>
      <c r="K761" s="38">
        <f t="shared" si="43"/>
        <v>45950</v>
      </c>
      <c r="L761" s="90" t="s">
        <v>143</v>
      </c>
      <c r="M761" s="39"/>
      <c r="N761" s="40"/>
      <c r="O761" s="40"/>
      <c r="P761" s="40"/>
      <c r="Q761" s="40"/>
    </row>
    <row r="762" spans="1:17" x14ac:dyDescent="0.3">
      <c r="A762" s="31" t="s">
        <v>1997</v>
      </c>
      <c r="B762" s="32">
        <v>45951</v>
      </c>
      <c r="C762" s="33" t="s">
        <v>16</v>
      </c>
      <c r="D762" s="40" t="s">
        <v>1998</v>
      </c>
      <c r="E762" s="40" t="s">
        <v>1999</v>
      </c>
      <c r="F762" s="34">
        <v>1</v>
      </c>
      <c r="G762" s="35">
        <f>14046.56+1766</f>
        <v>15812.56</v>
      </c>
      <c r="H762" s="36">
        <f t="shared" si="44"/>
        <v>15812.56</v>
      </c>
      <c r="I762" s="90"/>
      <c r="J762" s="37"/>
      <c r="K762" s="38">
        <f t="shared" si="43"/>
        <v>45951</v>
      </c>
      <c r="L762" s="90" t="s">
        <v>17</v>
      </c>
      <c r="M762" s="39"/>
      <c r="N762" s="40"/>
      <c r="O762" s="40"/>
      <c r="P762" s="40"/>
      <c r="Q762" s="40"/>
    </row>
    <row r="763" spans="1:17" x14ac:dyDescent="0.3">
      <c r="A763" s="31" t="s">
        <v>2000</v>
      </c>
      <c r="B763" s="32">
        <v>45951</v>
      </c>
      <c r="C763" s="33" t="s">
        <v>2001</v>
      </c>
      <c r="D763" s="40" t="s">
        <v>142</v>
      </c>
      <c r="E763" s="40" t="s">
        <v>2002</v>
      </c>
      <c r="F763" s="34">
        <v>3</v>
      </c>
      <c r="G763" s="35">
        <v>38312</v>
      </c>
      <c r="H763" s="36">
        <f t="shared" si="44"/>
        <v>114936</v>
      </c>
      <c r="I763" s="90"/>
      <c r="J763" s="37"/>
      <c r="K763" s="38">
        <f t="shared" si="43"/>
        <v>45951</v>
      </c>
      <c r="L763" s="90" t="s">
        <v>301</v>
      </c>
      <c r="M763" s="39"/>
      <c r="N763" s="40"/>
      <c r="O763" s="40"/>
      <c r="P763" s="40"/>
      <c r="Q763" s="40"/>
    </row>
    <row r="764" spans="1:17" x14ac:dyDescent="0.3">
      <c r="A764" s="31" t="s">
        <v>2003</v>
      </c>
      <c r="B764" s="32">
        <v>45952</v>
      </c>
      <c r="C764" s="33" t="s">
        <v>2004</v>
      </c>
      <c r="D764" s="40" t="s">
        <v>142</v>
      </c>
      <c r="E764" s="40" t="s">
        <v>2005</v>
      </c>
      <c r="F764" s="34">
        <v>1</v>
      </c>
      <c r="G764" s="35">
        <v>14139.74</v>
      </c>
      <c r="H764" s="36">
        <f t="shared" si="44"/>
        <v>14139.74</v>
      </c>
      <c r="I764" s="90"/>
      <c r="J764" s="37"/>
      <c r="K764" s="38">
        <f t="shared" si="43"/>
        <v>45952</v>
      </c>
      <c r="L764" s="90" t="s">
        <v>301</v>
      </c>
      <c r="M764" s="39"/>
      <c r="N764" s="40"/>
      <c r="O764" s="40"/>
      <c r="P764" s="40"/>
      <c r="Q764" s="40"/>
    </row>
    <row r="765" spans="1:17" x14ac:dyDescent="0.3">
      <c r="A765" s="31" t="s">
        <v>2006</v>
      </c>
      <c r="B765" s="32">
        <v>45953</v>
      </c>
      <c r="C765" s="33" t="s">
        <v>2007</v>
      </c>
      <c r="D765" s="40" t="s">
        <v>134</v>
      </c>
      <c r="E765" s="40" t="s">
        <v>2008</v>
      </c>
      <c r="F765" s="34">
        <v>4</v>
      </c>
      <c r="G765" s="35">
        <v>5836</v>
      </c>
      <c r="H765" s="36">
        <f t="shared" si="44"/>
        <v>23344</v>
      </c>
      <c r="I765" s="90"/>
      <c r="J765" s="37"/>
      <c r="K765" s="38">
        <f t="shared" si="43"/>
        <v>45953</v>
      </c>
      <c r="L765" s="90" t="s">
        <v>301</v>
      </c>
      <c r="M765" s="39"/>
      <c r="N765" s="40"/>
      <c r="O765" s="40"/>
      <c r="P765" s="40"/>
      <c r="Q765" s="40"/>
    </row>
    <row r="766" spans="1:17" x14ac:dyDescent="0.3">
      <c r="A766" s="31" t="s">
        <v>2009</v>
      </c>
      <c r="B766" s="32">
        <v>45954</v>
      </c>
      <c r="C766" s="33" t="s">
        <v>16</v>
      </c>
      <c r="D766" s="40" t="s">
        <v>2010</v>
      </c>
      <c r="E766" s="40" t="s">
        <v>2011</v>
      </c>
      <c r="F766" s="34">
        <v>1</v>
      </c>
      <c r="G766" s="35">
        <f>15180*0.95</f>
        <v>14421</v>
      </c>
      <c r="H766" s="36">
        <f t="shared" si="44"/>
        <v>14421</v>
      </c>
      <c r="I766" s="90" t="s">
        <v>2012</v>
      </c>
      <c r="J766" s="37">
        <v>0</v>
      </c>
      <c r="K766" s="38">
        <f>J766+B766</f>
        <v>45954</v>
      </c>
      <c r="L766" s="90" t="s">
        <v>17</v>
      </c>
      <c r="M766" s="39"/>
      <c r="N766" s="40"/>
      <c r="O766" s="40"/>
      <c r="P766" s="40"/>
      <c r="Q766" s="40"/>
    </row>
    <row r="767" spans="1:17" x14ac:dyDescent="0.3">
      <c r="A767" s="31" t="s">
        <v>2013</v>
      </c>
      <c r="B767" s="32">
        <v>45955</v>
      </c>
      <c r="C767" s="33">
        <v>501515</v>
      </c>
      <c r="D767" s="40" t="s">
        <v>389</v>
      </c>
      <c r="E767" s="40" t="s">
        <v>107</v>
      </c>
      <c r="F767" s="34">
        <v>2</v>
      </c>
      <c r="G767" s="35">
        <v>2202</v>
      </c>
      <c r="H767" s="36">
        <f t="shared" si="44"/>
        <v>4404</v>
      </c>
      <c r="I767" s="90" t="s">
        <v>2012</v>
      </c>
      <c r="J767" s="37">
        <v>0</v>
      </c>
      <c r="K767" s="38">
        <f t="shared" ref="K767:K770" si="45">J767+B767</f>
        <v>45955</v>
      </c>
      <c r="L767" s="90" t="s">
        <v>20</v>
      </c>
      <c r="M767" s="39"/>
      <c r="N767" s="40"/>
      <c r="O767" s="40"/>
      <c r="P767" s="40"/>
      <c r="Q767" s="40"/>
    </row>
    <row r="768" spans="1:17" x14ac:dyDescent="0.3">
      <c r="A768" s="31" t="s">
        <v>2014</v>
      </c>
      <c r="B768" s="32">
        <v>45951</v>
      </c>
      <c r="C768" s="33" t="s">
        <v>16</v>
      </c>
      <c r="D768" s="40" t="s">
        <v>2015</v>
      </c>
      <c r="E768" s="40" t="s">
        <v>2016</v>
      </c>
      <c r="F768" s="34">
        <v>1</v>
      </c>
      <c r="G768" s="35">
        <v>28204</v>
      </c>
      <c r="H768" s="36">
        <f t="shared" si="44"/>
        <v>28204</v>
      </c>
      <c r="I768" s="90" t="s">
        <v>2012</v>
      </c>
      <c r="J768" s="37">
        <v>3</v>
      </c>
      <c r="K768" s="38">
        <f t="shared" si="45"/>
        <v>45954</v>
      </c>
      <c r="L768" s="90" t="s">
        <v>17</v>
      </c>
      <c r="M768" s="39"/>
      <c r="N768" s="40"/>
      <c r="O768" s="40"/>
      <c r="P768" s="40"/>
      <c r="Q768" s="40"/>
    </row>
    <row r="769" spans="1:17" x14ac:dyDescent="0.3">
      <c r="A769" s="31" t="s">
        <v>2017</v>
      </c>
      <c r="B769" s="32">
        <v>45951</v>
      </c>
      <c r="C769" s="33" t="s">
        <v>86</v>
      </c>
      <c r="D769" s="40" t="s">
        <v>2015</v>
      </c>
      <c r="E769" s="40" t="s">
        <v>2018</v>
      </c>
      <c r="F769" s="34">
        <v>1</v>
      </c>
      <c r="G769" s="35">
        <v>3642</v>
      </c>
      <c r="H769" s="36">
        <f t="shared" si="44"/>
        <v>3642</v>
      </c>
      <c r="I769" s="90" t="s">
        <v>2012</v>
      </c>
      <c r="J769" s="37">
        <v>3</v>
      </c>
      <c r="K769" s="38">
        <f t="shared" si="45"/>
        <v>45954</v>
      </c>
      <c r="L769" s="90" t="s">
        <v>17</v>
      </c>
      <c r="M769" s="39"/>
      <c r="N769" s="40"/>
      <c r="O769" s="40"/>
      <c r="P769" s="40"/>
      <c r="Q769" s="40"/>
    </row>
    <row r="770" spans="1:17" x14ac:dyDescent="0.3">
      <c r="A770" s="31" t="s">
        <v>2019</v>
      </c>
      <c r="B770" s="32">
        <v>45951</v>
      </c>
      <c r="C770" s="33">
        <v>208076</v>
      </c>
      <c r="D770" s="40" t="s">
        <v>34</v>
      </c>
      <c r="E770" s="40" t="s">
        <v>2020</v>
      </c>
      <c r="F770" s="34">
        <v>1</v>
      </c>
      <c r="G770" s="35">
        <v>35208</v>
      </c>
      <c r="H770" s="36">
        <f t="shared" si="44"/>
        <v>35208</v>
      </c>
      <c r="I770" s="90" t="s">
        <v>2012</v>
      </c>
      <c r="J770" s="37">
        <v>12</v>
      </c>
      <c r="K770" s="38">
        <f t="shared" si="45"/>
        <v>45963</v>
      </c>
      <c r="L770" s="90"/>
      <c r="M770" s="39"/>
      <c r="N770" s="40"/>
      <c r="O770" s="40"/>
      <c r="P770" s="40"/>
      <c r="Q770" s="40"/>
    </row>
    <row r="771" spans="1:17" x14ac:dyDescent="0.3">
      <c r="A771" s="31" t="s">
        <v>2021</v>
      </c>
      <c r="B771" s="32" t="s">
        <v>2022</v>
      </c>
      <c r="C771" s="33" t="s">
        <v>2023</v>
      </c>
      <c r="D771" s="40" t="s">
        <v>135</v>
      </c>
      <c r="E771" s="40" t="s">
        <v>2024</v>
      </c>
      <c r="F771" s="34">
        <v>1</v>
      </c>
      <c r="G771" s="35">
        <v>9381</v>
      </c>
      <c r="H771" s="36">
        <f t="shared" si="44"/>
        <v>9381</v>
      </c>
      <c r="I771" s="90" t="s">
        <v>2012</v>
      </c>
      <c r="J771" s="37">
        <v>5</v>
      </c>
      <c r="K771" s="38" t="s">
        <v>2025</v>
      </c>
      <c r="L771" s="90"/>
      <c r="M771" s="39"/>
      <c r="N771" s="40"/>
      <c r="O771" s="40"/>
      <c r="P771" s="40"/>
      <c r="Q771" s="40"/>
    </row>
    <row r="772" spans="1:17" x14ac:dyDescent="0.3">
      <c r="A772" s="31" t="s">
        <v>2026</v>
      </c>
      <c r="B772" s="32">
        <v>45952</v>
      </c>
      <c r="C772" s="33" t="s">
        <v>2027</v>
      </c>
      <c r="D772" s="40" t="s">
        <v>49</v>
      </c>
      <c r="E772" s="40" t="s">
        <v>111</v>
      </c>
      <c r="F772" s="34">
        <v>1</v>
      </c>
      <c r="G772" s="35">
        <v>1741</v>
      </c>
      <c r="H772" s="36">
        <f t="shared" si="44"/>
        <v>1741</v>
      </c>
      <c r="I772" s="90" t="s">
        <v>2012</v>
      </c>
      <c r="J772" s="37">
        <v>2</v>
      </c>
      <c r="K772" s="38">
        <f t="shared" si="43"/>
        <v>45954</v>
      </c>
      <c r="L772" s="90"/>
      <c r="M772" s="39"/>
      <c r="N772" s="40"/>
      <c r="O772" s="40"/>
      <c r="P772" s="40"/>
      <c r="Q772" s="40"/>
    </row>
    <row r="773" spans="1:17" x14ac:dyDescent="0.3">
      <c r="A773" s="31" t="s">
        <v>2028</v>
      </c>
      <c r="B773" s="32">
        <v>45953</v>
      </c>
      <c r="C773" s="33" t="s">
        <v>145</v>
      </c>
      <c r="D773" s="40" t="s">
        <v>2029</v>
      </c>
      <c r="E773" s="40" t="s">
        <v>2030</v>
      </c>
      <c r="F773" s="34">
        <v>1</v>
      </c>
      <c r="G773" s="35">
        <v>1850</v>
      </c>
      <c r="H773" s="36">
        <f t="shared" si="44"/>
        <v>1850</v>
      </c>
      <c r="I773" s="90" t="s">
        <v>2012</v>
      </c>
      <c r="J773" s="37">
        <v>0</v>
      </c>
      <c r="K773" s="38">
        <f t="shared" si="43"/>
        <v>45953</v>
      </c>
      <c r="L773" s="90"/>
      <c r="M773" s="39"/>
      <c r="N773" s="40"/>
      <c r="O773" s="40"/>
      <c r="P773" s="40"/>
      <c r="Q773" s="40"/>
    </row>
    <row r="774" spans="1:17" x14ac:dyDescent="0.3">
      <c r="A774" s="31" t="s">
        <v>2031</v>
      </c>
      <c r="B774" s="32">
        <v>45954</v>
      </c>
      <c r="C774" s="33" t="s">
        <v>2032</v>
      </c>
      <c r="D774" s="40" t="s">
        <v>45</v>
      </c>
      <c r="E774" s="40" t="s">
        <v>112</v>
      </c>
      <c r="F774" s="34">
        <v>14</v>
      </c>
      <c r="G774" s="35">
        <v>90907</v>
      </c>
      <c r="H774" s="36">
        <v>90907</v>
      </c>
      <c r="I774" s="90" t="s">
        <v>2012</v>
      </c>
      <c r="J774" s="37">
        <v>0</v>
      </c>
      <c r="K774" s="38">
        <f t="shared" ref="K774:K837" si="46">J774+B774</f>
        <v>45954</v>
      </c>
      <c r="L774" s="90" t="s">
        <v>301</v>
      </c>
      <c r="M774" s="39"/>
      <c r="N774" s="40"/>
      <c r="O774" s="40"/>
      <c r="P774" s="40"/>
      <c r="Q774" s="40"/>
    </row>
    <row r="775" spans="1:17" x14ac:dyDescent="0.3">
      <c r="A775" s="31" t="s">
        <v>2033</v>
      </c>
      <c r="B775" s="32">
        <v>45954</v>
      </c>
      <c r="C775" s="33" t="s">
        <v>16</v>
      </c>
      <c r="D775" s="40" t="s">
        <v>632</v>
      </c>
      <c r="E775" s="40" t="s">
        <v>75</v>
      </c>
      <c r="F775" s="34">
        <v>1</v>
      </c>
      <c r="G775" s="35"/>
      <c r="H775" s="36">
        <v>90907</v>
      </c>
      <c r="I775" s="90" t="s">
        <v>2012</v>
      </c>
      <c r="J775" s="37">
        <v>0</v>
      </c>
      <c r="K775" s="38">
        <f t="shared" si="46"/>
        <v>45954</v>
      </c>
      <c r="L775" s="90"/>
      <c r="M775" s="39"/>
      <c r="N775" s="40"/>
      <c r="O775" s="40"/>
      <c r="P775" s="40"/>
      <c r="Q775" s="40"/>
    </row>
    <row r="776" spans="1:17" x14ac:dyDescent="0.3">
      <c r="A776" s="31" t="s">
        <v>2034</v>
      </c>
      <c r="B776" s="32">
        <v>45954</v>
      </c>
      <c r="C776" s="33" t="s">
        <v>2120</v>
      </c>
      <c r="D776" s="40" t="s">
        <v>49</v>
      </c>
      <c r="E776" s="40" t="s">
        <v>68</v>
      </c>
      <c r="F776" s="34">
        <v>1</v>
      </c>
      <c r="G776" s="35">
        <v>2984</v>
      </c>
      <c r="H776" s="36">
        <f t="shared" si="44"/>
        <v>2984</v>
      </c>
      <c r="I776" s="90" t="s">
        <v>2012</v>
      </c>
      <c r="J776" s="37">
        <v>0</v>
      </c>
      <c r="K776" s="38">
        <f t="shared" si="46"/>
        <v>45954</v>
      </c>
      <c r="L776" s="90" t="s">
        <v>20</v>
      </c>
      <c r="M776" s="39"/>
      <c r="N776" s="40"/>
      <c r="O776" s="40"/>
      <c r="P776" s="40"/>
      <c r="Q776" s="40"/>
    </row>
    <row r="777" spans="1:17" x14ac:dyDescent="0.3">
      <c r="A777" s="31" t="s">
        <v>2035</v>
      </c>
      <c r="B777" s="32">
        <v>45954</v>
      </c>
      <c r="C777" s="33" t="s">
        <v>2121</v>
      </c>
      <c r="D777" s="40" t="s">
        <v>49</v>
      </c>
      <c r="E777" s="40" t="s">
        <v>73</v>
      </c>
      <c r="F777" s="34">
        <v>2</v>
      </c>
      <c r="G777" s="35">
        <v>5983</v>
      </c>
      <c r="H777" s="36">
        <f t="shared" si="44"/>
        <v>11966</v>
      </c>
      <c r="I777" s="90" t="s">
        <v>2012</v>
      </c>
      <c r="J777" s="37">
        <v>0</v>
      </c>
      <c r="K777" s="38">
        <f t="shared" si="46"/>
        <v>45954</v>
      </c>
      <c r="L777" s="90" t="s">
        <v>20</v>
      </c>
      <c r="M777" s="39"/>
      <c r="N777" s="40"/>
      <c r="O777" s="40"/>
      <c r="P777" s="40"/>
      <c r="Q777" s="40"/>
    </row>
    <row r="778" spans="1:17" x14ac:dyDescent="0.3">
      <c r="A778" s="31" t="s">
        <v>2036</v>
      </c>
      <c r="B778" s="32"/>
      <c r="C778" s="33"/>
      <c r="D778" s="40"/>
      <c r="E778" s="40"/>
      <c r="F778" s="34"/>
      <c r="G778" s="35"/>
      <c r="H778" s="36">
        <f t="shared" si="44"/>
        <v>0</v>
      </c>
      <c r="I778" s="90"/>
      <c r="J778" s="37"/>
      <c r="K778" s="38">
        <f t="shared" si="46"/>
        <v>0</v>
      </c>
      <c r="L778" s="90"/>
      <c r="M778" s="39"/>
      <c r="N778" s="40"/>
      <c r="O778" s="40"/>
      <c r="P778" s="40"/>
      <c r="Q778" s="40"/>
    </row>
    <row r="779" spans="1:17" x14ac:dyDescent="0.3">
      <c r="A779" s="31" t="s">
        <v>2037</v>
      </c>
      <c r="B779" s="32"/>
      <c r="C779" s="33"/>
      <c r="D779" s="40"/>
      <c r="E779" s="40"/>
      <c r="F779" s="34"/>
      <c r="G779" s="35"/>
      <c r="H779" s="36">
        <f t="shared" si="44"/>
        <v>0</v>
      </c>
      <c r="I779" s="90"/>
      <c r="J779" s="37"/>
      <c r="K779" s="38">
        <f t="shared" si="46"/>
        <v>0</v>
      </c>
      <c r="L779" s="90"/>
      <c r="M779" s="39"/>
      <c r="N779" s="40"/>
      <c r="O779" s="40"/>
      <c r="P779" s="40"/>
      <c r="Q779" s="40"/>
    </row>
    <row r="780" spans="1:17" x14ac:dyDescent="0.3">
      <c r="A780" s="31" t="s">
        <v>2038</v>
      </c>
      <c r="B780" s="32"/>
      <c r="C780" s="33"/>
      <c r="D780" s="40"/>
      <c r="E780" s="40"/>
      <c r="F780" s="34"/>
      <c r="G780" s="35"/>
      <c r="H780" s="36">
        <f t="shared" si="44"/>
        <v>0</v>
      </c>
      <c r="I780" s="90"/>
      <c r="J780" s="37"/>
      <c r="K780" s="38">
        <f t="shared" si="46"/>
        <v>0</v>
      </c>
      <c r="L780" s="90"/>
      <c r="M780" s="39"/>
      <c r="N780" s="40"/>
      <c r="O780" s="40"/>
      <c r="P780" s="40"/>
      <c r="Q780" s="40"/>
    </row>
    <row r="781" spans="1:17" x14ac:dyDescent="0.3">
      <c r="A781" s="31" t="s">
        <v>2039</v>
      </c>
      <c r="B781" s="32"/>
      <c r="C781" s="33"/>
      <c r="D781" s="40"/>
      <c r="E781" s="40"/>
      <c r="F781" s="34"/>
      <c r="G781" s="35"/>
      <c r="H781" s="36">
        <f t="shared" si="44"/>
        <v>0</v>
      </c>
      <c r="I781" s="90"/>
      <c r="J781" s="37"/>
      <c r="K781" s="38">
        <f t="shared" si="46"/>
        <v>0</v>
      </c>
      <c r="L781" s="90"/>
      <c r="M781" s="39"/>
      <c r="N781" s="40"/>
      <c r="O781" s="40"/>
      <c r="P781" s="40"/>
      <c r="Q781" s="40"/>
    </row>
    <row r="782" spans="1:17" x14ac:dyDescent="0.3">
      <c r="A782" s="31" t="s">
        <v>2040</v>
      </c>
      <c r="B782" s="32"/>
      <c r="C782" s="33"/>
      <c r="D782" s="40"/>
      <c r="E782" s="40"/>
      <c r="F782" s="34"/>
      <c r="G782" s="35"/>
      <c r="H782" s="36">
        <f t="shared" si="44"/>
        <v>0</v>
      </c>
      <c r="I782" s="90"/>
      <c r="J782" s="37"/>
      <c r="K782" s="38">
        <f t="shared" si="46"/>
        <v>0</v>
      </c>
      <c r="L782" s="90"/>
      <c r="M782" s="39"/>
      <c r="N782" s="40"/>
      <c r="O782" s="40"/>
      <c r="P782" s="40"/>
      <c r="Q782" s="40"/>
    </row>
    <row r="783" spans="1:17" x14ac:dyDescent="0.3">
      <c r="A783" s="31" t="s">
        <v>2041</v>
      </c>
      <c r="B783" s="32"/>
      <c r="C783" s="33"/>
      <c r="D783" s="40"/>
      <c r="E783" s="40"/>
      <c r="F783" s="34"/>
      <c r="G783" s="35"/>
      <c r="H783" s="36">
        <f t="shared" si="44"/>
        <v>0</v>
      </c>
      <c r="I783" s="90"/>
      <c r="J783" s="37"/>
      <c r="K783" s="38">
        <f t="shared" si="46"/>
        <v>0</v>
      </c>
      <c r="L783" s="90"/>
      <c r="M783" s="39"/>
      <c r="N783" s="40"/>
      <c r="O783" s="40"/>
      <c r="P783" s="40"/>
      <c r="Q783" s="40"/>
    </row>
    <row r="784" spans="1:17" x14ac:dyDescent="0.3">
      <c r="A784" s="31" t="s">
        <v>2042</v>
      </c>
      <c r="B784" s="32"/>
      <c r="C784" s="33"/>
      <c r="D784" s="40"/>
      <c r="E784" s="40"/>
      <c r="F784" s="34"/>
      <c r="G784" s="35"/>
      <c r="H784" s="36">
        <f t="shared" si="44"/>
        <v>0</v>
      </c>
      <c r="I784" s="90"/>
      <c r="J784" s="37"/>
      <c r="K784" s="38">
        <f t="shared" si="46"/>
        <v>0</v>
      </c>
      <c r="L784" s="90"/>
      <c r="M784" s="39"/>
      <c r="N784" s="40"/>
      <c r="O784" s="40"/>
      <c r="P784" s="40"/>
      <c r="Q784" s="40"/>
    </row>
    <row r="785" spans="1:17" x14ac:dyDescent="0.3">
      <c r="A785" s="31" t="s">
        <v>2043</v>
      </c>
      <c r="B785" s="32"/>
      <c r="C785" s="33"/>
      <c r="D785" s="40"/>
      <c r="E785" s="40"/>
      <c r="F785" s="34"/>
      <c r="G785" s="35"/>
      <c r="H785" s="36">
        <f t="shared" si="44"/>
        <v>0</v>
      </c>
      <c r="I785" s="90"/>
      <c r="J785" s="37"/>
      <c r="K785" s="38">
        <f t="shared" si="46"/>
        <v>0</v>
      </c>
      <c r="L785" s="90"/>
      <c r="M785" s="39"/>
      <c r="N785" s="40"/>
      <c r="O785" s="40"/>
      <c r="P785" s="40"/>
      <c r="Q785" s="40"/>
    </row>
    <row r="786" spans="1:17" x14ac:dyDescent="0.3">
      <c r="A786" s="31" t="s">
        <v>2044</v>
      </c>
      <c r="B786" s="32"/>
      <c r="C786" s="33"/>
      <c r="D786" s="40"/>
      <c r="E786" s="40"/>
      <c r="F786" s="34"/>
      <c r="G786" s="35"/>
      <c r="H786" s="36">
        <f t="shared" si="44"/>
        <v>0</v>
      </c>
      <c r="I786" s="90"/>
      <c r="J786" s="37"/>
      <c r="K786" s="38">
        <f t="shared" si="46"/>
        <v>0</v>
      </c>
      <c r="L786" s="90"/>
      <c r="M786" s="39"/>
      <c r="N786" s="40"/>
      <c r="O786" s="40"/>
      <c r="P786" s="40"/>
      <c r="Q786" s="40"/>
    </row>
    <row r="787" spans="1:17" x14ac:dyDescent="0.3">
      <c r="A787" s="31" t="s">
        <v>2045</v>
      </c>
      <c r="B787" s="32"/>
      <c r="C787" s="33"/>
      <c r="D787" s="40"/>
      <c r="E787" s="40"/>
      <c r="F787" s="34"/>
      <c r="G787" s="35"/>
      <c r="H787" s="36">
        <f t="shared" si="44"/>
        <v>0</v>
      </c>
      <c r="I787" s="90"/>
      <c r="J787" s="37"/>
      <c r="K787" s="38">
        <f t="shared" si="46"/>
        <v>0</v>
      </c>
      <c r="L787" s="90"/>
      <c r="M787" s="39"/>
      <c r="N787" s="40"/>
      <c r="O787" s="40"/>
      <c r="P787" s="40"/>
      <c r="Q787" s="40"/>
    </row>
    <row r="788" spans="1:17" x14ac:dyDescent="0.3">
      <c r="A788" s="31" t="s">
        <v>2046</v>
      </c>
      <c r="B788" s="32"/>
      <c r="C788" s="33"/>
      <c r="D788" s="40"/>
      <c r="E788" s="40"/>
      <c r="F788" s="34"/>
      <c r="G788" s="35"/>
      <c r="H788" s="36">
        <f t="shared" si="44"/>
        <v>0</v>
      </c>
      <c r="I788" s="90"/>
      <c r="J788" s="37"/>
      <c r="K788" s="38">
        <f t="shared" si="46"/>
        <v>0</v>
      </c>
      <c r="L788" s="90"/>
      <c r="M788" s="39"/>
      <c r="N788" s="40"/>
      <c r="O788" s="40"/>
      <c r="P788" s="40"/>
      <c r="Q788" s="40"/>
    </row>
    <row r="789" spans="1:17" x14ac:dyDescent="0.3">
      <c r="A789" s="31" t="s">
        <v>2047</v>
      </c>
      <c r="B789" s="32"/>
      <c r="C789" s="33"/>
      <c r="D789" s="40"/>
      <c r="E789" s="40"/>
      <c r="F789" s="34"/>
      <c r="G789" s="35"/>
      <c r="H789" s="36">
        <f t="shared" si="44"/>
        <v>0</v>
      </c>
      <c r="I789" s="90"/>
      <c r="J789" s="37"/>
      <c r="K789" s="38">
        <f t="shared" si="46"/>
        <v>0</v>
      </c>
      <c r="L789" s="90"/>
      <c r="M789" s="39"/>
      <c r="N789" s="40"/>
      <c r="O789" s="40"/>
      <c r="P789" s="40"/>
      <c r="Q789" s="40"/>
    </row>
    <row r="790" spans="1:17" x14ac:dyDescent="0.3">
      <c r="A790" s="31" t="s">
        <v>2048</v>
      </c>
      <c r="B790" s="32"/>
      <c r="C790" s="33"/>
      <c r="D790" s="40"/>
      <c r="E790" s="40"/>
      <c r="F790" s="34"/>
      <c r="G790" s="35"/>
      <c r="H790" s="36">
        <f t="shared" si="44"/>
        <v>0</v>
      </c>
      <c r="I790" s="90"/>
      <c r="J790" s="37"/>
      <c r="K790" s="38">
        <f t="shared" si="46"/>
        <v>0</v>
      </c>
      <c r="L790" s="90"/>
      <c r="M790" s="39"/>
      <c r="N790" s="40"/>
      <c r="O790" s="40"/>
      <c r="P790" s="40"/>
      <c r="Q790" s="40"/>
    </row>
    <row r="791" spans="1:17" x14ac:dyDescent="0.3">
      <c r="A791" s="31" t="s">
        <v>2049</v>
      </c>
      <c r="B791" s="32"/>
      <c r="C791" s="33"/>
      <c r="D791" s="40"/>
      <c r="E791" s="40"/>
      <c r="F791" s="34"/>
      <c r="G791" s="35"/>
      <c r="H791" s="36">
        <f t="shared" si="44"/>
        <v>0</v>
      </c>
      <c r="I791" s="90"/>
      <c r="J791" s="37"/>
      <c r="K791" s="38">
        <f t="shared" si="46"/>
        <v>0</v>
      </c>
      <c r="L791" s="90"/>
      <c r="M791" s="39"/>
      <c r="N791" s="40"/>
      <c r="O791" s="40"/>
      <c r="P791" s="40"/>
      <c r="Q791" s="40"/>
    </row>
    <row r="792" spans="1:17" x14ac:dyDescent="0.3">
      <c r="A792" s="31" t="s">
        <v>2050</v>
      </c>
      <c r="B792" s="32"/>
      <c r="C792" s="33"/>
      <c r="D792" s="40"/>
      <c r="E792" s="40"/>
      <c r="F792" s="34"/>
      <c r="G792" s="35"/>
      <c r="H792" s="36">
        <f t="shared" si="44"/>
        <v>0</v>
      </c>
      <c r="I792" s="90"/>
      <c r="J792" s="37"/>
      <c r="K792" s="38">
        <f t="shared" si="46"/>
        <v>0</v>
      </c>
      <c r="L792" s="90"/>
      <c r="M792" s="39"/>
      <c r="N792" s="40"/>
      <c r="O792" s="40"/>
      <c r="P792" s="40"/>
      <c r="Q792" s="40"/>
    </row>
    <row r="793" spans="1:17" x14ac:dyDescent="0.3">
      <c r="A793" s="31" t="s">
        <v>2051</v>
      </c>
      <c r="B793" s="32"/>
      <c r="C793" s="33"/>
      <c r="D793" s="40"/>
      <c r="E793" s="40"/>
      <c r="F793" s="34"/>
      <c r="G793" s="35"/>
      <c r="H793" s="36">
        <f t="shared" si="44"/>
        <v>0</v>
      </c>
      <c r="I793" s="90"/>
      <c r="J793" s="37"/>
      <c r="K793" s="38">
        <f t="shared" si="46"/>
        <v>0</v>
      </c>
      <c r="L793" s="90"/>
      <c r="M793" s="39"/>
      <c r="N793" s="40"/>
      <c r="O793" s="40"/>
      <c r="P793" s="40"/>
      <c r="Q793" s="40"/>
    </row>
    <row r="794" spans="1:17" x14ac:dyDescent="0.3">
      <c r="A794" s="31" t="s">
        <v>2052</v>
      </c>
      <c r="B794" s="32"/>
      <c r="C794" s="33"/>
      <c r="D794" s="40"/>
      <c r="E794" s="40"/>
      <c r="F794" s="34"/>
      <c r="G794" s="35"/>
      <c r="H794" s="36">
        <f t="shared" si="44"/>
        <v>0</v>
      </c>
      <c r="I794" s="90"/>
      <c r="J794" s="37"/>
      <c r="K794" s="38">
        <f t="shared" si="46"/>
        <v>0</v>
      </c>
      <c r="L794" s="90"/>
      <c r="M794" s="39"/>
      <c r="N794" s="40"/>
      <c r="O794" s="40"/>
      <c r="P794" s="40"/>
      <c r="Q794" s="40"/>
    </row>
    <row r="795" spans="1:17" x14ac:dyDescent="0.3">
      <c r="A795" s="31" t="s">
        <v>2053</v>
      </c>
      <c r="B795" s="32"/>
      <c r="C795" s="33"/>
      <c r="D795" s="40"/>
      <c r="E795" s="40"/>
      <c r="F795" s="34"/>
      <c r="G795" s="35"/>
      <c r="H795" s="36">
        <f t="shared" si="44"/>
        <v>0</v>
      </c>
      <c r="I795" s="90"/>
      <c r="J795" s="37"/>
      <c r="K795" s="38">
        <f t="shared" si="46"/>
        <v>0</v>
      </c>
      <c r="L795" s="90"/>
      <c r="M795" s="39"/>
      <c r="N795" s="40"/>
      <c r="O795" s="40"/>
      <c r="P795" s="40"/>
      <c r="Q795" s="40"/>
    </row>
    <row r="796" spans="1:17" x14ac:dyDescent="0.3">
      <c r="A796" s="31" t="s">
        <v>2054</v>
      </c>
      <c r="B796" s="32"/>
      <c r="C796" s="33"/>
      <c r="D796" s="40"/>
      <c r="E796" s="40"/>
      <c r="F796" s="34"/>
      <c r="G796" s="35"/>
      <c r="H796" s="36">
        <f t="shared" si="44"/>
        <v>0</v>
      </c>
      <c r="I796" s="90"/>
      <c r="J796" s="37"/>
      <c r="K796" s="38">
        <f t="shared" si="46"/>
        <v>0</v>
      </c>
      <c r="L796" s="90"/>
      <c r="M796" s="39"/>
      <c r="N796" s="40"/>
      <c r="O796" s="40"/>
      <c r="P796" s="40"/>
      <c r="Q796" s="40"/>
    </row>
    <row r="797" spans="1:17" x14ac:dyDescent="0.3">
      <c r="A797" s="31" t="s">
        <v>2055</v>
      </c>
      <c r="B797" s="32"/>
      <c r="C797" s="33"/>
      <c r="D797" s="40"/>
      <c r="E797" s="40"/>
      <c r="F797" s="34"/>
      <c r="G797" s="35"/>
      <c r="H797" s="36">
        <f t="shared" si="44"/>
        <v>0</v>
      </c>
      <c r="I797" s="90"/>
      <c r="J797" s="37"/>
      <c r="K797" s="38">
        <f t="shared" si="46"/>
        <v>0</v>
      </c>
      <c r="L797" s="90"/>
      <c r="M797" s="39"/>
      <c r="N797" s="40"/>
      <c r="O797" s="40"/>
      <c r="P797" s="40"/>
      <c r="Q797" s="40"/>
    </row>
    <row r="798" spans="1:17" x14ac:dyDescent="0.3">
      <c r="A798" s="31" t="s">
        <v>2056</v>
      </c>
      <c r="B798" s="32"/>
      <c r="C798" s="33"/>
      <c r="D798" s="40"/>
      <c r="E798" s="40"/>
      <c r="F798" s="34"/>
      <c r="G798" s="35"/>
      <c r="H798" s="36">
        <f t="shared" si="44"/>
        <v>0</v>
      </c>
      <c r="I798" s="90"/>
      <c r="J798" s="37"/>
      <c r="K798" s="38">
        <f t="shared" si="46"/>
        <v>0</v>
      </c>
      <c r="L798" s="90"/>
      <c r="M798" s="39"/>
      <c r="N798" s="40"/>
      <c r="O798" s="40"/>
      <c r="P798" s="40"/>
      <c r="Q798" s="40"/>
    </row>
    <row r="799" spans="1:17" x14ac:dyDescent="0.3">
      <c r="A799" s="31" t="s">
        <v>2057</v>
      </c>
      <c r="B799" s="32"/>
      <c r="C799" s="33"/>
      <c r="D799" s="40"/>
      <c r="E799" s="40"/>
      <c r="F799" s="34"/>
      <c r="G799" s="35"/>
      <c r="H799" s="36">
        <f t="shared" si="44"/>
        <v>0</v>
      </c>
      <c r="I799" s="90"/>
      <c r="J799" s="37"/>
      <c r="K799" s="38">
        <f t="shared" si="46"/>
        <v>0</v>
      </c>
      <c r="L799" s="90"/>
      <c r="M799" s="39"/>
      <c r="N799" s="40"/>
      <c r="O799" s="40"/>
      <c r="P799" s="40"/>
      <c r="Q799" s="40"/>
    </row>
    <row r="800" spans="1:17" x14ac:dyDescent="0.3">
      <c r="A800" s="31" t="s">
        <v>2058</v>
      </c>
      <c r="B800" s="32"/>
      <c r="C800" s="33"/>
      <c r="D800" s="40"/>
      <c r="E800" s="40"/>
      <c r="F800" s="34"/>
      <c r="G800" s="35"/>
      <c r="H800" s="36">
        <f t="shared" si="44"/>
        <v>0</v>
      </c>
      <c r="I800" s="90"/>
      <c r="J800" s="37"/>
      <c r="K800" s="38">
        <f t="shared" si="46"/>
        <v>0</v>
      </c>
      <c r="L800" s="90"/>
      <c r="M800" s="39"/>
      <c r="N800" s="40"/>
      <c r="O800" s="40"/>
      <c r="P800" s="40"/>
      <c r="Q800" s="40"/>
    </row>
    <row r="801" spans="1:17" x14ac:dyDescent="0.3">
      <c r="A801" s="31" t="s">
        <v>2059</v>
      </c>
      <c r="B801" s="32"/>
      <c r="C801" s="33"/>
      <c r="D801" s="40"/>
      <c r="E801" s="40"/>
      <c r="F801" s="34"/>
      <c r="G801" s="35"/>
      <c r="H801" s="36">
        <f t="shared" si="44"/>
        <v>0</v>
      </c>
      <c r="I801" s="90"/>
      <c r="J801" s="37"/>
      <c r="K801" s="38">
        <f t="shared" si="46"/>
        <v>0</v>
      </c>
      <c r="L801" s="90"/>
      <c r="M801" s="39"/>
      <c r="N801" s="40"/>
      <c r="O801" s="40"/>
      <c r="P801" s="40"/>
      <c r="Q801" s="40"/>
    </row>
    <row r="802" spans="1:17" x14ac:dyDescent="0.3">
      <c r="A802" s="31" t="s">
        <v>2060</v>
      </c>
      <c r="B802" s="32"/>
      <c r="C802" s="33"/>
      <c r="D802" s="40"/>
      <c r="E802" s="40"/>
      <c r="F802" s="34"/>
      <c r="G802" s="35"/>
      <c r="H802" s="36">
        <f t="shared" si="44"/>
        <v>0</v>
      </c>
      <c r="I802" s="90"/>
      <c r="J802" s="37"/>
      <c r="K802" s="38">
        <f t="shared" si="46"/>
        <v>0</v>
      </c>
      <c r="L802" s="90"/>
      <c r="M802" s="39"/>
      <c r="N802" s="40"/>
      <c r="O802" s="40"/>
      <c r="P802" s="40"/>
      <c r="Q802" s="40"/>
    </row>
    <row r="803" spans="1:17" x14ac:dyDescent="0.3">
      <c r="A803" s="31" t="s">
        <v>2061</v>
      </c>
      <c r="B803" s="32"/>
      <c r="C803" s="33"/>
      <c r="D803" s="40"/>
      <c r="E803" s="40"/>
      <c r="F803" s="34"/>
      <c r="G803" s="35"/>
      <c r="H803" s="36">
        <f t="shared" ref="H803:H866" si="47">F803*G803</f>
        <v>0</v>
      </c>
      <c r="I803" s="90"/>
      <c r="J803" s="37"/>
      <c r="K803" s="38">
        <f t="shared" si="46"/>
        <v>0</v>
      </c>
      <c r="L803" s="90"/>
      <c r="M803" s="39"/>
      <c r="N803" s="40"/>
      <c r="O803" s="40"/>
      <c r="P803" s="40"/>
      <c r="Q803" s="40"/>
    </row>
    <row r="804" spans="1:17" x14ac:dyDescent="0.3">
      <c r="A804" s="31" t="s">
        <v>2062</v>
      </c>
      <c r="B804" s="32"/>
      <c r="C804" s="33"/>
      <c r="D804" s="40"/>
      <c r="E804" s="40"/>
      <c r="F804" s="34"/>
      <c r="G804" s="35"/>
      <c r="H804" s="36">
        <f t="shared" si="47"/>
        <v>0</v>
      </c>
      <c r="I804" s="90"/>
      <c r="J804" s="37"/>
      <c r="K804" s="38">
        <f t="shared" si="46"/>
        <v>0</v>
      </c>
      <c r="L804" s="90"/>
      <c r="M804" s="39"/>
      <c r="N804" s="40"/>
      <c r="O804" s="40"/>
      <c r="P804" s="40"/>
      <c r="Q804" s="40"/>
    </row>
    <row r="805" spans="1:17" x14ac:dyDescent="0.3">
      <c r="A805" s="31" t="s">
        <v>2063</v>
      </c>
      <c r="B805" s="32"/>
      <c r="C805" s="33"/>
      <c r="D805" s="40"/>
      <c r="E805" s="40"/>
      <c r="F805" s="34"/>
      <c r="G805" s="35"/>
      <c r="H805" s="36">
        <f t="shared" si="47"/>
        <v>0</v>
      </c>
      <c r="I805" s="90"/>
      <c r="J805" s="37"/>
      <c r="K805" s="38">
        <f t="shared" si="46"/>
        <v>0</v>
      </c>
      <c r="L805" s="90"/>
      <c r="M805" s="39"/>
      <c r="N805" s="40"/>
      <c r="O805" s="40"/>
      <c r="P805" s="40"/>
      <c r="Q805" s="40"/>
    </row>
    <row r="806" spans="1:17" x14ac:dyDescent="0.3">
      <c r="A806" s="31" t="s">
        <v>2064</v>
      </c>
      <c r="B806" s="32"/>
      <c r="C806" s="33"/>
      <c r="D806" s="40"/>
      <c r="E806" s="40"/>
      <c r="F806" s="34"/>
      <c r="G806" s="35"/>
      <c r="H806" s="36">
        <f t="shared" si="47"/>
        <v>0</v>
      </c>
      <c r="I806" s="90"/>
      <c r="J806" s="37"/>
      <c r="K806" s="38">
        <f t="shared" si="46"/>
        <v>0</v>
      </c>
      <c r="L806" s="90"/>
      <c r="M806" s="39"/>
      <c r="N806" s="40"/>
      <c r="O806" s="40"/>
      <c r="P806" s="40"/>
      <c r="Q806" s="40"/>
    </row>
    <row r="807" spans="1:17" x14ac:dyDescent="0.3">
      <c r="A807" s="31" t="s">
        <v>2065</v>
      </c>
      <c r="B807" s="32"/>
      <c r="C807" s="33"/>
      <c r="D807" s="40"/>
      <c r="E807" s="40"/>
      <c r="F807" s="34"/>
      <c r="G807" s="35"/>
      <c r="H807" s="36">
        <f t="shared" si="47"/>
        <v>0</v>
      </c>
      <c r="I807" s="90"/>
      <c r="J807" s="37"/>
      <c r="K807" s="38">
        <f t="shared" si="46"/>
        <v>0</v>
      </c>
      <c r="L807" s="90"/>
      <c r="M807" s="39"/>
      <c r="N807" s="40"/>
      <c r="O807" s="40"/>
      <c r="P807" s="40"/>
      <c r="Q807" s="40"/>
    </row>
    <row r="808" spans="1:17" x14ac:dyDescent="0.3">
      <c r="A808" s="31" t="s">
        <v>2066</v>
      </c>
      <c r="B808" s="32"/>
      <c r="C808" s="33"/>
      <c r="D808" s="40"/>
      <c r="E808" s="40"/>
      <c r="F808" s="34"/>
      <c r="G808" s="35"/>
      <c r="H808" s="36">
        <f t="shared" si="47"/>
        <v>0</v>
      </c>
      <c r="I808" s="90"/>
      <c r="J808" s="37"/>
      <c r="K808" s="38">
        <f t="shared" si="46"/>
        <v>0</v>
      </c>
      <c r="L808" s="90"/>
      <c r="M808" s="39"/>
      <c r="N808" s="40"/>
      <c r="O808" s="40"/>
      <c r="P808" s="40"/>
      <c r="Q808" s="40"/>
    </row>
    <row r="809" spans="1:17" x14ac:dyDescent="0.3">
      <c r="A809" s="31" t="s">
        <v>2067</v>
      </c>
      <c r="B809" s="32"/>
      <c r="C809" s="33"/>
      <c r="D809" s="40"/>
      <c r="E809" s="40"/>
      <c r="F809" s="34"/>
      <c r="G809" s="35"/>
      <c r="H809" s="36">
        <f t="shared" si="47"/>
        <v>0</v>
      </c>
      <c r="I809" s="90"/>
      <c r="J809" s="37"/>
      <c r="K809" s="38">
        <f t="shared" si="46"/>
        <v>0</v>
      </c>
      <c r="L809" s="90"/>
      <c r="M809" s="39"/>
      <c r="N809" s="40"/>
      <c r="O809" s="40"/>
      <c r="P809" s="40"/>
      <c r="Q809" s="40"/>
    </row>
    <row r="810" spans="1:17" x14ac:dyDescent="0.3">
      <c r="A810" s="31" t="s">
        <v>2068</v>
      </c>
      <c r="B810" s="32"/>
      <c r="C810" s="33"/>
      <c r="D810" s="40"/>
      <c r="E810" s="40"/>
      <c r="F810" s="34"/>
      <c r="G810" s="35"/>
      <c r="H810" s="36">
        <f t="shared" si="47"/>
        <v>0</v>
      </c>
      <c r="I810" s="90"/>
      <c r="J810" s="37"/>
      <c r="K810" s="38">
        <f t="shared" si="46"/>
        <v>0</v>
      </c>
      <c r="L810" s="90"/>
      <c r="M810" s="39"/>
      <c r="N810" s="40"/>
      <c r="O810" s="40"/>
      <c r="P810" s="40"/>
      <c r="Q810" s="40"/>
    </row>
    <row r="811" spans="1:17" x14ac:dyDescent="0.3">
      <c r="A811" s="31" t="s">
        <v>2069</v>
      </c>
      <c r="B811" s="32"/>
      <c r="C811" s="33"/>
      <c r="D811" s="40"/>
      <c r="E811" s="40"/>
      <c r="F811" s="34"/>
      <c r="G811" s="35"/>
      <c r="H811" s="36">
        <f t="shared" si="47"/>
        <v>0</v>
      </c>
      <c r="I811" s="90"/>
      <c r="J811" s="37"/>
      <c r="K811" s="38">
        <f t="shared" si="46"/>
        <v>0</v>
      </c>
      <c r="L811" s="90"/>
      <c r="M811" s="39"/>
      <c r="N811" s="40"/>
      <c r="O811" s="40"/>
      <c r="P811" s="40"/>
      <c r="Q811" s="40"/>
    </row>
    <row r="812" spans="1:17" x14ac:dyDescent="0.3">
      <c r="A812" s="31" t="s">
        <v>2070</v>
      </c>
      <c r="B812" s="32"/>
      <c r="C812" s="33"/>
      <c r="D812" s="40"/>
      <c r="E812" s="40"/>
      <c r="F812" s="34"/>
      <c r="G812" s="35"/>
      <c r="H812" s="36">
        <f t="shared" si="47"/>
        <v>0</v>
      </c>
      <c r="I812" s="90"/>
      <c r="J812" s="37"/>
      <c r="K812" s="38">
        <f t="shared" si="46"/>
        <v>0</v>
      </c>
      <c r="L812" s="90"/>
      <c r="M812" s="39"/>
      <c r="N812" s="40"/>
      <c r="O812" s="40"/>
      <c r="P812" s="40"/>
      <c r="Q812" s="40"/>
    </row>
    <row r="813" spans="1:17" x14ac:dyDescent="0.3">
      <c r="A813" s="31" t="s">
        <v>2071</v>
      </c>
      <c r="B813" s="32"/>
      <c r="C813" s="33"/>
      <c r="D813" s="40"/>
      <c r="E813" s="40"/>
      <c r="F813" s="34"/>
      <c r="G813" s="35"/>
      <c r="H813" s="36">
        <f t="shared" si="47"/>
        <v>0</v>
      </c>
      <c r="I813" s="90"/>
      <c r="J813" s="37"/>
      <c r="K813" s="38">
        <f t="shared" si="46"/>
        <v>0</v>
      </c>
      <c r="L813" s="90"/>
      <c r="M813" s="39"/>
      <c r="N813" s="40"/>
      <c r="O813" s="40"/>
      <c r="P813" s="40"/>
      <c r="Q813" s="40"/>
    </row>
    <row r="814" spans="1:17" x14ac:dyDescent="0.3">
      <c r="A814" s="31" t="s">
        <v>2072</v>
      </c>
      <c r="B814" s="32"/>
      <c r="C814" s="33"/>
      <c r="D814" s="40"/>
      <c r="E814" s="40"/>
      <c r="F814" s="34"/>
      <c r="G814" s="35"/>
      <c r="H814" s="36">
        <f t="shared" si="47"/>
        <v>0</v>
      </c>
      <c r="I814" s="90"/>
      <c r="J814" s="37"/>
      <c r="K814" s="38">
        <f t="shared" si="46"/>
        <v>0</v>
      </c>
      <c r="L814" s="90"/>
      <c r="M814" s="39"/>
      <c r="N814" s="40"/>
      <c r="O814" s="40"/>
      <c r="P814" s="40"/>
      <c r="Q814" s="40"/>
    </row>
    <row r="815" spans="1:17" x14ac:dyDescent="0.3">
      <c r="A815" s="31" t="s">
        <v>2073</v>
      </c>
      <c r="B815" s="32"/>
      <c r="C815" s="33"/>
      <c r="D815" s="40"/>
      <c r="E815" s="40"/>
      <c r="F815" s="34"/>
      <c r="G815" s="35"/>
      <c r="H815" s="36">
        <f t="shared" si="47"/>
        <v>0</v>
      </c>
      <c r="I815" s="90"/>
      <c r="J815" s="37"/>
      <c r="K815" s="38">
        <f t="shared" si="46"/>
        <v>0</v>
      </c>
      <c r="L815" s="90"/>
      <c r="M815" s="39"/>
      <c r="N815" s="40"/>
      <c r="O815" s="40"/>
      <c r="P815" s="40"/>
      <c r="Q815" s="40"/>
    </row>
    <row r="816" spans="1:17" x14ac:dyDescent="0.3">
      <c r="A816" s="31" t="s">
        <v>2074</v>
      </c>
      <c r="B816" s="32"/>
      <c r="C816" s="33"/>
      <c r="D816" s="40"/>
      <c r="E816" s="40"/>
      <c r="F816" s="34"/>
      <c r="G816" s="35"/>
      <c r="H816" s="36">
        <f t="shared" si="47"/>
        <v>0</v>
      </c>
      <c r="I816" s="90"/>
      <c r="J816" s="37"/>
      <c r="K816" s="38">
        <f t="shared" si="46"/>
        <v>0</v>
      </c>
      <c r="L816" s="90"/>
      <c r="M816" s="39"/>
      <c r="N816" s="40"/>
      <c r="O816" s="40"/>
      <c r="P816" s="40"/>
      <c r="Q816" s="40"/>
    </row>
    <row r="817" spans="1:17" x14ac:dyDescent="0.3">
      <c r="A817" s="31" t="s">
        <v>2075</v>
      </c>
      <c r="B817" s="32"/>
      <c r="C817" s="33"/>
      <c r="D817" s="40"/>
      <c r="E817" s="40"/>
      <c r="F817" s="34"/>
      <c r="G817" s="35"/>
      <c r="H817" s="36">
        <f t="shared" si="47"/>
        <v>0</v>
      </c>
      <c r="I817" s="90"/>
      <c r="J817" s="37"/>
      <c r="K817" s="38">
        <f t="shared" si="46"/>
        <v>0</v>
      </c>
      <c r="L817" s="90"/>
      <c r="M817" s="39"/>
      <c r="N817" s="40"/>
      <c r="O817" s="40"/>
      <c r="P817" s="40"/>
      <c r="Q817" s="40"/>
    </row>
    <row r="818" spans="1:17" x14ac:dyDescent="0.3">
      <c r="A818" s="31" t="s">
        <v>2076</v>
      </c>
      <c r="B818" s="32"/>
      <c r="C818" s="33"/>
      <c r="D818" s="40"/>
      <c r="E818" s="40"/>
      <c r="F818" s="34"/>
      <c r="G818" s="35"/>
      <c r="H818" s="36">
        <f t="shared" si="47"/>
        <v>0</v>
      </c>
      <c r="I818" s="90"/>
      <c r="J818" s="37"/>
      <c r="K818" s="38">
        <f t="shared" si="46"/>
        <v>0</v>
      </c>
      <c r="L818" s="90"/>
      <c r="M818" s="39"/>
      <c r="N818" s="40"/>
      <c r="O818" s="40"/>
      <c r="P818" s="40"/>
      <c r="Q818" s="40"/>
    </row>
    <row r="819" spans="1:17" x14ac:dyDescent="0.3">
      <c r="A819" s="31" t="s">
        <v>2077</v>
      </c>
      <c r="B819" s="32"/>
      <c r="C819" s="33"/>
      <c r="D819" s="40"/>
      <c r="E819" s="40"/>
      <c r="F819" s="34"/>
      <c r="G819" s="35"/>
      <c r="H819" s="36">
        <f t="shared" si="47"/>
        <v>0</v>
      </c>
      <c r="I819" s="90"/>
      <c r="J819" s="37"/>
      <c r="K819" s="38">
        <f t="shared" si="46"/>
        <v>0</v>
      </c>
      <c r="L819" s="90"/>
      <c r="M819" s="39"/>
      <c r="N819" s="40"/>
      <c r="O819" s="40"/>
      <c r="P819" s="40"/>
      <c r="Q819" s="40"/>
    </row>
    <row r="820" spans="1:17" x14ac:dyDescent="0.3">
      <c r="A820" s="31" t="s">
        <v>2078</v>
      </c>
      <c r="B820" s="32"/>
      <c r="C820" s="33"/>
      <c r="D820" s="40"/>
      <c r="E820" s="40"/>
      <c r="F820" s="34"/>
      <c r="G820" s="35"/>
      <c r="H820" s="36">
        <f t="shared" si="47"/>
        <v>0</v>
      </c>
      <c r="I820" s="90"/>
      <c r="J820" s="37"/>
      <c r="K820" s="38">
        <f t="shared" si="46"/>
        <v>0</v>
      </c>
      <c r="L820" s="90"/>
      <c r="M820" s="39"/>
      <c r="N820" s="40"/>
      <c r="O820" s="40"/>
      <c r="P820" s="40"/>
      <c r="Q820" s="40"/>
    </row>
    <row r="821" spans="1:17" x14ac:dyDescent="0.3">
      <c r="A821" s="31" t="s">
        <v>2079</v>
      </c>
      <c r="B821" s="32"/>
      <c r="C821" s="33"/>
      <c r="D821" s="40"/>
      <c r="E821" s="40"/>
      <c r="F821" s="34"/>
      <c r="G821" s="35"/>
      <c r="H821" s="36">
        <f t="shared" si="47"/>
        <v>0</v>
      </c>
      <c r="I821" s="90"/>
      <c r="J821" s="37"/>
      <c r="K821" s="38">
        <f t="shared" si="46"/>
        <v>0</v>
      </c>
      <c r="L821" s="90"/>
      <c r="M821" s="39"/>
      <c r="N821" s="40"/>
      <c r="O821" s="40"/>
      <c r="P821" s="40"/>
      <c r="Q821" s="40"/>
    </row>
    <row r="822" spans="1:17" x14ac:dyDescent="0.3">
      <c r="A822" s="31" t="s">
        <v>2080</v>
      </c>
      <c r="B822" s="32"/>
      <c r="C822" s="33"/>
      <c r="D822" s="40"/>
      <c r="E822" s="40"/>
      <c r="F822" s="34"/>
      <c r="G822" s="35"/>
      <c r="H822" s="36">
        <f t="shared" si="47"/>
        <v>0</v>
      </c>
      <c r="I822" s="90"/>
      <c r="J822" s="37"/>
      <c r="K822" s="38">
        <f t="shared" si="46"/>
        <v>0</v>
      </c>
      <c r="L822" s="90"/>
      <c r="M822" s="39"/>
      <c r="N822" s="40"/>
      <c r="O822" s="40"/>
      <c r="P822" s="40"/>
      <c r="Q822" s="40"/>
    </row>
    <row r="823" spans="1:17" x14ac:dyDescent="0.3">
      <c r="A823" s="31" t="s">
        <v>2081</v>
      </c>
      <c r="B823" s="32"/>
      <c r="C823" s="33"/>
      <c r="D823" s="40"/>
      <c r="E823" s="40"/>
      <c r="F823" s="34"/>
      <c r="G823" s="35"/>
      <c r="H823" s="36">
        <f t="shared" si="47"/>
        <v>0</v>
      </c>
      <c r="I823" s="90"/>
      <c r="J823" s="37"/>
      <c r="K823" s="38">
        <f t="shared" si="46"/>
        <v>0</v>
      </c>
      <c r="L823" s="90"/>
      <c r="M823" s="39"/>
      <c r="N823" s="40"/>
      <c r="O823" s="40"/>
      <c r="P823" s="40"/>
      <c r="Q823" s="40"/>
    </row>
    <row r="824" spans="1:17" x14ac:dyDescent="0.3">
      <c r="A824" s="31" t="s">
        <v>2082</v>
      </c>
      <c r="B824" s="32"/>
      <c r="C824" s="33"/>
      <c r="D824" s="40"/>
      <c r="E824" s="40"/>
      <c r="F824" s="34"/>
      <c r="G824" s="35"/>
      <c r="H824" s="36">
        <f t="shared" si="47"/>
        <v>0</v>
      </c>
      <c r="I824" s="90"/>
      <c r="J824" s="37"/>
      <c r="K824" s="38">
        <f t="shared" si="46"/>
        <v>0</v>
      </c>
      <c r="L824" s="90"/>
      <c r="M824" s="39"/>
      <c r="N824" s="40"/>
      <c r="O824" s="40"/>
      <c r="P824" s="40"/>
      <c r="Q824" s="40"/>
    </row>
    <row r="825" spans="1:17" x14ac:dyDescent="0.3">
      <c r="A825" s="31" t="s">
        <v>2083</v>
      </c>
      <c r="B825" s="32"/>
      <c r="C825" s="33"/>
      <c r="D825" s="40"/>
      <c r="E825" s="40"/>
      <c r="F825" s="34"/>
      <c r="G825" s="35"/>
      <c r="H825" s="36">
        <f t="shared" si="47"/>
        <v>0</v>
      </c>
      <c r="I825" s="90"/>
      <c r="J825" s="37"/>
      <c r="K825" s="38">
        <f t="shared" si="46"/>
        <v>0</v>
      </c>
      <c r="L825" s="90"/>
      <c r="M825" s="39"/>
      <c r="N825" s="40"/>
      <c r="O825" s="40"/>
      <c r="P825" s="40"/>
      <c r="Q825" s="40"/>
    </row>
    <row r="826" spans="1:17" x14ac:dyDescent="0.3">
      <c r="A826" s="31" t="s">
        <v>2084</v>
      </c>
      <c r="B826" s="32"/>
      <c r="C826" s="33"/>
      <c r="D826" s="40"/>
      <c r="E826" s="40"/>
      <c r="F826" s="34"/>
      <c r="G826" s="35"/>
      <c r="H826" s="36">
        <f t="shared" si="47"/>
        <v>0</v>
      </c>
      <c r="I826" s="90"/>
      <c r="J826" s="37"/>
      <c r="K826" s="38">
        <f t="shared" si="46"/>
        <v>0</v>
      </c>
      <c r="L826" s="90"/>
      <c r="M826" s="39"/>
      <c r="N826" s="40"/>
      <c r="O826" s="40"/>
      <c r="P826" s="40"/>
      <c r="Q826" s="40"/>
    </row>
    <row r="827" spans="1:17" x14ac:dyDescent="0.3">
      <c r="A827" s="31" t="s">
        <v>2085</v>
      </c>
      <c r="B827" s="32"/>
      <c r="C827" s="33"/>
      <c r="D827" s="40"/>
      <c r="E827" s="40"/>
      <c r="F827" s="34"/>
      <c r="G827" s="35"/>
      <c r="H827" s="36">
        <f t="shared" si="47"/>
        <v>0</v>
      </c>
      <c r="I827" s="90"/>
      <c r="J827" s="37"/>
      <c r="K827" s="38">
        <f t="shared" si="46"/>
        <v>0</v>
      </c>
      <c r="L827" s="90"/>
      <c r="M827" s="39"/>
      <c r="N827" s="40"/>
      <c r="O827" s="40"/>
      <c r="P827" s="40"/>
      <c r="Q827" s="40"/>
    </row>
    <row r="828" spans="1:17" x14ac:dyDescent="0.3">
      <c r="A828" s="31" t="s">
        <v>2086</v>
      </c>
      <c r="B828" s="32"/>
      <c r="C828" s="33"/>
      <c r="D828" s="40"/>
      <c r="E828" s="40"/>
      <c r="F828" s="34"/>
      <c r="G828" s="35"/>
      <c r="H828" s="36">
        <f t="shared" si="47"/>
        <v>0</v>
      </c>
      <c r="I828" s="90"/>
      <c r="J828" s="37"/>
      <c r="K828" s="38">
        <f t="shared" si="46"/>
        <v>0</v>
      </c>
      <c r="L828" s="90"/>
      <c r="M828" s="39"/>
      <c r="N828" s="40"/>
      <c r="O828" s="40"/>
      <c r="P828" s="40"/>
      <c r="Q828" s="40"/>
    </row>
    <row r="829" spans="1:17" x14ac:dyDescent="0.3">
      <c r="A829" s="31" t="s">
        <v>2087</v>
      </c>
      <c r="B829" s="32"/>
      <c r="C829" s="33"/>
      <c r="D829" s="40"/>
      <c r="E829" s="40"/>
      <c r="F829" s="34"/>
      <c r="G829" s="35"/>
      <c r="H829" s="36">
        <f t="shared" si="47"/>
        <v>0</v>
      </c>
      <c r="I829" s="90"/>
      <c r="J829" s="37"/>
      <c r="K829" s="38">
        <f t="shared" si="46"/>
        <v>0</v>
      </c>
      <c r="L829" s="90"/>
      <c r="M829" s="39"/>
      <c r="N829" s="40"/>
      <c r="O829" s="40"/>
      <c r="P829" s="40"/>
      <c r="Q829" s="40"/>
    </row>
    <row r="830" spans="1:17" x14ac:dyDescent="0.3">
      <c r="A830" s="31" t="s">
        <v>2088</v>
      </c>
      <c r="B830" s="32"/>
      <c r="C830" s="33"/>
      <c r="D830" s="40"/>
      <c r="E830" s="40"/>
      <c r="F830" s="34"/>
      <c r="G830" s="35"/>
      <c r="H830" s="36">
        <f t="shared" si="47"/>
        <v>0</v>
      </c>
      <c r="I830" s="90"/>
      <c r="J830" s="37"/>
      <c r="K830" s="38">
        <f t="shared" si="46"/>
        <v>0</v>
      </c>
      <c r="L830" s="90"/>
      <c r="M830" s="39"/>
      <c r="N830" s="40"/>
      <c r="O830" s="40"/>
      <c r="P830" s="40"/>
      <c r="Q830" s="40"/>
    </row>
    <row r="831" spans="1:17" x14ac:dyDescent="0.3">
      <c r="A831" s="31" t="s">
        <v>2089</v>
      </c>
      <c r="B831" s="32"/>
      <c r="C831" s="33"/>
      <c r="D831" s="40"/>
      <c r="E831" s="40"/>
      <c r="F831" s="34"/>
      <c r="G831" s="35"/>
      <c r="H831" s="36">
        <f t="shared" si="47"/>
        <v>0</v>
      </c>
      <c r="I831" s="90"/>
      <c r="J831" s="37"/>
      <c r="K831" s="38">
        <f t="shared" si="46"/>
        <v>0</v>
      </c>
      <c r="L831" s="90"/>
      <c r="M831" s="39"/>
      <c r="N831" s="40"/>
      <c r="O831" s="40"/>
      <c r="P831" s="40"/>
      <c r="Q831" s="40"/>
    </row>
    <row r="832" spans="1:17" x14ac:dyDescent="0.3">
      <c r="A832" s="31" t="s">
        <v>2090</v>
      </c>
      <c r="B832" s="32"/>
      <c r="C832" s="33"/>
      <c r="D832" s="40"/>
      <c r="E832" s="40"/>
      <c r="F832" s="34"/>
      <c r="G832" s="35"/>
      <c r="H832" s="36">
        <f t="shared" si="47"/>
        <v>0</v>
      </c>
      <c r="I832" s="90"/>
      <c r="J832" s="37"/>
      <c r="K832" s="38">
        <f t="shared" si="46"/>
        <v>0</v>
      </c>
      <c r="L832" s="90"/>
      <c r="M832" s="39"/>
      <c r="N832" s="40"/>
      <c r="O832" s="40"/>
      <c r="P832" s="40"/>
      <c r="Q832" s="40"/>
    </row>
    <row r="833" spans="1:17" x14ac:dyDescent="0.3">
      <c r="A833" s="31" t="s">
        <v>2091</v>
      </c>
      <c r="B833" s="32"/>
      <c r="C833" s="33"/>
      <c r="D833" s="40"/>
      <c r="E833" s="40"/>
      <c r="F833" s="34"/>
      <c r="G833" s="35"/>
      <c r="H833" s="36">
        <f t="shared" si="47"/>
        <v>0</v>
      </c>
      <c r="I833" s="90"/>
      <c r="J833" s="37"/>
      <c r="K833" s="38">
        <f t="shared" si="46"/>
        <v>0</v>
      </c>
      <c r="L833" s="90"/>
      <c r="M833" s="39"/>
      <c r="N833" s="40"/>
      <c r="O833" s="40"/>
      <c r="P833" s="40"/>
      <c r="Q833" s="40"/>
    </row>
    <row r="834" spans="1:17" x14ac:dyDescent="0.3">
      <c r="A834" s="31" t="s">
        <v>2092</v>
      </c>
      <c r="B834" s="32"/>
      <c r="C834" s="33"/>
      <c r="D834" s="40"/>
      <c r="E834" s="40"/>
      <c r="F834" s="34"/>
      <c r="G834" s="35"/>
      <c r="H834" s="36">
        <f t="shared" si="47"/>
        <v>0</v>
      </c>
      <c r="I834" s="90"/>
      <c r="J834" s="37"/>
      <c r="K834" s="38">
        <f t="shared" si="46"/>
        <v>0</v>
      </c>
      <c r="L834" s="90"/>
      <c r="M834" s="39"/>
      <c r="N834" s="40"/>
      <c r="O834" s="40"/>
      <c r="P834" s="40"/>
      <c r="Q834" s="40"/>
    </row>
    <row r="835" spans="1:17" x14ac:dyDescent="0.3">
      <c r="A835" s="31" t="s">
        <v>2093</v>
      </c>
      <c r="B835" s="32"/>
      <c r="C835" s="33"/>
      <c r="D835" s="40"/>
      <c r="E835" s="40"/>
      <c r="F835" s="34"/>
      <c r="G835" s="35"/>
      <c r="H835" s="36">
        <f t="shared" si="47"/>
        <v>0</v>
      </c>
      <c r="I835" s="90"/>
      <c r="J835" s="37"/>
      <c r="K835" s="38">
        <f t="shared" si="46"/>
        <v>0</v>
      </c>
      <c r="L835" s="90"/>
      <c r="M835" s="39"/>
      <c r="N835" s="40"/>
      <c r="O835" s="40"/>
      <c r="P835" s="40"/>
      <c r="Q835" s="40"/>
    </row>
    <row r="836" spans="1:17" x14ac:dyDescent="0.3">
      <c r="A836" s="31" t="s">
        <v>2094</v>
      </c>
      <c r="B836" s="32"/>
      <c r="C836" s="33"/>
      <c r="D836" s="40"/>
      <c r="E836" s="40"/>
      <c r="F836" s="34"/>
      <c r="G836" s="35"/>
      <c r="H836" s="36">
        <f t="shared" si="47"/>
        <v>0</v>
      </c>
      <c r="I836" s="90"/>
      <c r="J836" s="37"/>
      <c r="K836" s="38">
        <f t="shared" si="46"/>
        <v>0</v>
      </c>
      <c r="L836" s="90"/>
      <c r="M836" s="39"/>
      <c r="N836" s="40"/>
      <c r="O836" s="40"/>
      <c r="P836" s="40"/>
      <c r="Q836" s="40"/>
    </row>
    <row r="837" spans="1:17" x14ac:dyDescent="0.3">
      <c r="A837" s="31" t="s">
        <v>2095</v>
      </c>
      <c r="B837" s="32"/>
      <c r="C837" s="33"/>
      <c r="D837" s="40"/>
      <c r="E837" s="40"/>
      <c r="F837" s="34"/>
      <c r="G837" s="35"/>
      <c r="H837" s="36">
        <f t="shared" si="47"/>
        <v>0</v>
      </c>
      <c r="I837" s="90"/>
      <c r="J837" s="37"/>
      <c r="K837" s="38">
        <f t="shared" si="46"/>
        <v>0</v>
      </c>
      <c r="L837" s="90"/>
      <c r="M837" s="39"/>
      <c r="N837" s="40"/>
      <c r="O837" s="40"/>
      <c r="P837" s="40"/>
      <c r="Q837" s="40"/>
    </row>
    <row r="838" spans="1:17" x14ac:dyDescent="0.3">
      <c r="A838" s="31" t="s">
        <v>2096</v>
      </c>
      <c r="B838" s="32"/>
      <c r="C838" s="33"/>
      <c r="D838" s="40"/>
      <c r="E838" s="40"/>
      <c r="F838" s="34"/>
      <c r="G838" s="35"/>
      <c r="H838" s="36">
        <f t="shared" si="47"/>
        <v>0</v>
      </c>
      <c r="I838" s="90"/>
      <c r="J838" s="37"/>
      <c r="K838" s="38">
        <f t="shared" ref="K838:K866" si="48">J838+B838</f>
        <v>0</v>
      </c>
      <c r="L838" s="90"/>
      <c r="M838" s="39"/>
      <c r="N838" s="40"/>
      <c r="O838" s="40"/>
      <c r="P838" s="40"/>
      <c r="Q838" s="40"/>
    </row>
    <row r="839" spans="1:17" x14ac:dyDescent="0.3">
      <c r="A839" s="40"/>
      <c r="B839" s="32"/>
      <c r="C839" s="33"/>
      <c r="D839" s="40"/>
      <c r="E839" s="40"/>
      <c r="F839" s="34"/>
      <c r="G839" s="35"/>
      <c r="H839" s="36">
        <f t="shared" si="47"/>
        <v>0</v>
      </c>
      <c r="I839" s="90"/>
      <c r="J839" s="37"/>
      <c r="K839" s="38">
        <f t="shared" si="48"/>
        <v>0</v>
      </c>
      <c r="L839" s="90"/>
      <c r="M839" s="39"/>
      <c r="N839" s="40"/>
      <c r="O839" s="40"/>
      <c r="P839" s="40"/>
      <c r="Q839" s="40"/>
    </row>
    <row r="840" spans="1:17" x14ac:dyDescent="0.3">
      <c r="A840" s="40"/>
      <c r="B840" s="32"/>
      <c r="C840" s="33"/>
      <c r="D840" s="40"/>
      <c r="E840" s="40"/>
      <c r="F840" s="34"/>
      <c r="G840" s="35"/>
      <c r="H840" s="36">
        <f t="shared" si="47"/>
        <v>0</v>
      </c>
      <c r="I840" s="90"/>
      <c r="J840" s="37"/>
      <c r="K840" s="38">
        <f t="shared" si="48"/>
        <v>0</v>
      </c>
      <c r="L840" s="90"/>
      <c r="M840" s="39"/>
      <c r="N840" s="40"/>
      <c r="O840" s="40"/>
      <c r="P840" s="40"/>
      <c r="Q840" s="40"/>
    </row>
    <row r="841" spans="1:17" x14ac:dyDescent="0.3">
      <c r="A841" s="40"/>
      <c r="B841" s="32"/>
      <c r="C841" s="33"/>
      <c r="D841" s="40"/>
      <c r="E841" s="40"/>
      <c r="F841" s="34"/>
      <c r="G841" s="35"/>
      <c r="H841" s="36">
        <f t="shared" si="47"/>
        <v>0</v>
      </c>
      <c r="I841" s="90"/>
      <c r="J841" s="37"/>
      <c r="K841" s="38">
        <f t="shared" si="48"/>
        <v>0</v>
      </c>
      <c r="L841" s="90"/>
      <c r="M841" s="39"/>
      <c r="N841" s="40"/>
      <c r="O841" s="40"/>
      <c r="P841" s="40"/>
      <c r="Q841" s="40"/>
    </row>
    <row r="842" spans="1:17" x14ac:dyDescent="0.3">
      <c r="A842" s="40"/>
      <c r="B842" s="32"/>
      <c r="C842" s="33"/>
      <c r="D842" s="40"/>
      <c r="E842" s="40"/>
      <c r="F842" s="34"/>
      <c r="G842" s="35"/>
      <c r="H842" s="36">
        <f t="shared" si="47"/>
        <v>0</v>
      </c>
      <c r="I842" s="90"/>
      <c r="J842" s="37"/>
      <c r="K842" s="38">
        <f t="shared" si="48"/>
        <v>0</v>
      </c>
      <c r="L842" s="90"/>
      <c r="M842" s="39"/>
      <c r="N842" s="40"/>
      <c r="O842" s="40"/>
      <c r="P842" s="40"/>
      <c r="Q842" s="40"/>
    </row>
    <row r="843" spans="1:17" x14ac:dyDescent="0.3">
      <c r="A843" s="40"/>
      <c r="B843" s="32"/>
      <c r="C843" s="33"/>
      <c r="D843" s="40"/>
      <c r="E843" s="40"/>
      <c r="F843" s="34"/>
      <c r="G843" s="35"/>
      <c r="H843" s="36">
        <f t="shared" si="47"/>
        <v>0</v>
      </c>
      <c r="I843" s="90"/>
      <c r="J843" s="37"/>
      <c r="K843" s="38">
        <f t="shared" si="48"/>
        <v>0</v>
      </c>
      <c r="L843" s="90"/>
      <c r="M843" s="39"/>
      <c r="N843" s="40"/>
      <c r="O843" s="40"/>
      <c r="P843" s="40"/>
      <c r="Q843" s="40"/>
    </row>
    <row r="844" spans="1:17" x14ac:dyDescent="0.3">
      <c r="A844" s="40"/>
      <c r="B844" s="32"/>
      <c r="C844" s="33"/>
      <c r="D844" s="40"/>
      <c r="E844" s="40"/>
      <c r="F844" s="34"/>
      <c r="G844" s="35"/>
      <c r="H844" s="36">
        <f t="shared" si="47"/>
        <v>0</v>
      </c>
      <c r="I844" s="90"/>
      <c r="J844" s="37"/>
      <c r="K844" s="38">
        <f t="shared" si="48"/>
        <v>0</v>
      </c>
      <c r="L844" s="90"/>
      <c r="M844" s="39"/>
      <c r="N844" s="40"/>
      <c r="O844" s="40"/>
      <c r="P844" s="40"/>
      <c r="Q844" s="40"/>
    </row>
    <row r="845" spans="1:17" x14ac:dyDescent="0.3">
      <c r="A845" s="40"/>
      <c r="B845" s="32"/>
      <c r="C845" s="33"/>
      <c r="D845" s="40"/>
      <c r="E845" s="40"/>
      <c r="F845" s="34"/>
      <c r="G845" s="35"/>
      <c r="H845" s="36">
        <f t="shared" si="47"/>
        <v>0</v>
      </c>
      <c r="I845" s="90"/>
      <c r="J845" s="37"/>
      <c r="K845" s="38">
        <f t="shared" si="48"/>
        <v>0</v>
      </c>
      <c r="L845" s="90"/>
      <c r="M845" s="39"/>
      <c r="N845" s="40"/>
      <c r="O845" s="40"/>
      <c r="P845" s="40"/>
      <c r="Q845" s="40"/>
    </row>
    <row r="846" spans="1:17" x14ac:dyDescent="0.3">
      <c r="A846" s="40"/>
      <c r="B846" s="32"/>
      <c r="C846" s="33"/>
      <c r="D846" s="40"/>
      <c r="E846" s="40"/>
      <c r="F846" s="34"/>
      <c r="G846" s="35"/>
      <c r="H846" s="36">
        <f t="shared" si="47"/>
        <v>0</v>
      </c>
      <c r="I846" s="90"/>
      <c r="J846" s="37"/>
      <c r="K846" s="38">
        <f t="shared" si="48"/>
        <v>0</v>
      </c>
      <c r="L846" s="90"/>
      <c r="M846" s="39"/>
      <c r="N846" s="40"/>
      <c r="O846" s="40"/>
      <c r="P846" s="40"/>
      <c r="Q846" s="40"/>
    </row>
    <row r="847" spans="1:17" x14ac:dyDescent="0.3">
      <c r="A847" s="40"/>
      <c r="B847" s="32"/>
      <c r="C847" s="33"/>
      <c r="D847" s="40"/>
      <c r="E847" s="40"/>
      <c r="F847" s="34"/>
      <c r="G847" s="35"/>
      <c r="H847" s="36">
        <f t="shared" si="47"/>
        <v>0</v>
      </c>
      <c r="I847" s="90"/>
      <c r="J847" s="37"/>
      <c r="K847" s="38">
        <f t="shared" si="48"/>
        <v>0</v>
      </c>
      <c r="L847" s="90"/>
      <c r="M847" s="39"/>
      <c r="N847" s="40"/>
      <c r="O847" s="40"/>
      <c r="P847" s="40"/>
      <c r="Q847" s="40"/>
    </row>
    <row r="848" spans="1:17" x14ac:dyDescent="0.3">
      <c r="A848" s="40"/>
      <c r="B848" s="32"/>
      <c r="C848" s="33"/>
      <c r="D848" s="40"/>
      <c r="E848" s="40"/>
      <c r="F848" s="34"/>
      <c r="G848" s="35"/>
      <c r="H848" s="36">
        <f t="shared" si="47"/>
        <v>0</v>
      </c>
      <c r="I848" s="90"/>
      <c r="J848" s="37"/>
      <c r="K848" s="38">
        <f t="shared" si="48"/>
        <v>0</v>
      </c>
      <c r="L848" s="90"/>
      <c r="M848" s="39"/>
      <c r="N848" s="40"/>
      <c r="O848" s="40"/>
      <c r="P848" s="40"/>
      <c r="Q848" s="40"/>
    </row>
    <row r="849" spans="1:17" x14ac:dyDescent="0.3">
      <c r="A849" s="40"/>
      <c r="B849" s="32"/>
      <c r="C849" s="33"/>
      <c r="D849" s="40"/>
      <c r="E849" s="40"/>
      <c r="F849" s="34"/>
      <c r="G849" s="35"/>
      <c r="H849" s="36">
        <f t="shared" si="47"/>
        <v>0</v>
      </c>
      <c r="I849" s="90"/>
      <c r="J849" s="37"/>
      <c r="K849" s="38">
        <f t="shared" si="48"/>
        <v>0</v>
      </c>
      <c r="L849" s="90"/>
      <c r="M849" s="39"/>
      <c r="N849" s="40"/>
      <c r="O849" s="40"/>
      <c r="P849" s="40"/>
      <c r="Q849" s="40"/>
    </row>
    <row r="850" spans="1:17" x14ac:dyDescent="0.3">
      <c r="A850" s="40"/>
      <c r="B850" s="32"/>
      <c r="C850" s="33"/>
      <c r="D850" s="40"/>
      <c r="E850" s="40"/>
      <c r="F850" s="34"/>
      <c r="G850" s="35"/>
      <c r="H850" s="36">
        <f t="shared" si="47"/>
        <v>0</v>
      </c>
      <c r="I850" s="90"/>
      <c r="J850" s="37"/>
      <c r="K850" s="38">
        <f t="shared" si="48"/>
        <v>0</v>
      </c>
      <c r="L850" s="90"/>
      <c r="M850" s="39"/>
      <c r="N850" s="40"/>
      <c r="O850" s="40"/>
      <c r="P850" s="40"/>
      <c r="Q850" s="40"/>
    </row>
    <row r="851" spans="1:17" x14ac:dyDescent="0.3">
      <c r="A851" s="40"/>
      <c r="B851" s="32"/>
      <c r="C851" s="33"/>
      <c r="D851" s="40"/>
      <c r="E851" s="40"/>
      <c r="F851" s="34"/>
      <c r="G851" s="35"/>
      <c r="H851" s="36">
        <f t="shared" si="47"/>
        <v>0</v>
      </c>
      <c r="I851" s="90"/>
      <c r="J851" s="37"/>
      <c r="K851" s="38">
        <f t="shared" si="48"/>
        <v>0</v>
      </c>
      <c r="L851" s="90"/>
      <c r="M851" s="39"/>
      <c r="N851" s="40"/>
      <c r="O851" s="40"/>
      <c r="P851" s="40"/>
      <c r="Q851" s="40"/>
    </row>
    <row r="852" spans="1:17" x14ac:dyDescent="0.3">
      <c r="A852" s="40"/>
      <c r="B852" s="32"/>
      <c r="C852" s="33"/>
      <c r="D852" s="40"/>
      <c r="E852" s="40"/>
      <c r="F852" s="34"/>
      <c r="G852" s="35"/>
      <c r="H852" s="36">
        <f t="shared" si="47"/>
        <v>0</v>
      </c>
      <c r="I852" s="90"/>
      <c r="J852" s="37"/>
      <c r="K852" s="38">
        <f t="shared" si="48"/>
        <v>0</v>
      </c>
      <c r="L852" s="90"/>
      <c r="M852" s="39"/>
      <c r="N852" s="40"/>
      <c r="O852" s="40"/>
      <c r="P852" s="40"/>
      <c r="Q852" s="40"/>
    </row>
    <row r="853" spans="1:17" x14ac:dyDescent="0.3">
      <c r="A853" s="40"/>
      <c r="B853" s="32"/>
      <c r="C853" s="33"/>
      <c r="D853" s="40"/>
      <c r="E853" s="40"/>
      <c r="F853" s="34"/>
      <c r="G853" s="35"/>
      <c r="H853" s="36">
        <f t="shared" si="47"/>
        <v>0</v>
      </c>
      <c r="I853" s="90"/>
      <c r="J853" s="37"/>
      <c r="K853" s="38">
        <f t="shared" si="48"/>
        <v>0</v>
      </c>
      <c r="L853" s="90"/>
      <c r="M853" s="39"/>
      <c r="N853" s="40"/>
      <c r="O853" s="40"/>
      <c r="P853" s="40"/>
      <c r="Q853" s="40"/>
    </row>
    <row r="854" spans="1:17" x14ac:dyDescent="0.3">
      <c r="A854" s="40"/>
      <c r="B854" s="32"/>
      <c r="C854" s="33"/>
      <c r="D854" s="40"/>
      <c r="E854" s="40"/>
      <c r="F854" s="34"/>
      <c r="G854" s="35"/>
      <c r="H854" s="36">
        <f t="shared" si="47"/>
        <v>0</v>
      </c>
      <c r="I854" s="90"/>
      <c r="J854" s="37"/>
      <c r="K854" s="38">
        <f t="shared" si="48"/>
        <v>0</v>
      </c>
      <c r="L854" s="90"/>
      <c r="M854" s="39"/>
      <c r="N854" s="40"/>
      <c r="O854" s="40"/>
      <c r="P854" s="40"/>
      <c r="Q854" s="40"/>
    </row>
    <row r="855" spans="1:17" x14ac:dyDescent="0.3">
      <c r="A855" s="40"/>
      <c r="B855" s="32"/>
      <c r="C855" s="33"/>
      <c r="D855" s="40"/>
      <c r="E855" s="40"/>
      <c r="F855" s="34"/>
      <c r="G855" s="35"/>
      <c r="H855" s="36">
        <f t="shared" si="47"/>
        <v>0</v>
      </c>
      <c r="I855" s="90"/>
      <c r="J855" s="37"/>
      <c r="K855" s="38">
        <f t="shared" si="48"/>
        <v>0</v>
      </c>
      <c r="L855" s="90"/>
      <c r="M855" s="39"/>
      <c r="N855" s="40"/>
      <c r="O855" s="40"/>
      <c r="P855" s="40"/>
      <c r="Q855" s="40"/>
    </row>
    <row r="856" spans="1:17" x14ac:dyDescent="0.3">
      <c r="A856" s="40"/>
      <c r="B856" s="32"/>
      <c r="C856" s="33"/>
      <c r="D856" s="40"/>
      <c r="E856" s="40"/>
      <c r="F856" s="34"/>
      <c r="G856" s="35"/>
      <c r="H856" s="36">
        <f t="shared" si="47"/>
        <v>0</v>
      </c>
      <c r="I856" s="90"/>
      <c r="J856" s="37"/>
      <c r="K856" s="38">
        <f t="shared" si="48"/>
        <v>0</v>
      </c>
      <c r="L856" s="90"/>
      <c r="M856" s="39"/>
      <c r="N856" s="40"/>
      <c r="O856" s="40"/>
      <c r="P856" s="40"/>
      <c r="Q856" s="40"/>
    </row>
    <row r="857" spans="1:17" x14ac:dyDescent="0.3">
      <c r="A857" s="40"/>
      <c r="B857" s="32"/>
      <c r="C857" s="33"/>
      <c r="D857" s="40"/>
      <c r="E857" s="40"/>
      <c r="F857" s="34"/>
      <c r="G857" s="35"/>
      <c r="H857" s="36">
        <f t="shared" si="47"/>
        <v>0</v>
      </c>
      <c r="I857" s="90"/>
      <c r="J857" s="37"/>
      <c r="K857" s="38">
        <f t="shared" si="48"/>
        <v>0</v>
      </c>
      <c r="L857" s="90"/>
      <c r="M857" s="39"/>
      <c r="N857" s="40"/>
      <c r="O857" s="40"/>
      <c r="P857" s="40"/>
      <c r="Q857" s="40"/>
    </row>
    <row r="858" spans="1:17" x14ac:dyDescent="0.3">
      <c r="A858" s="40"/>
      <c r="B858" s="32"/>
      <c r="C858" s="33"/>
      <c r="D858" s="40"/>
      <c r="E858" s="40"/>
      <c r="F858" s="34"/>
      <c r="G858" s="35"/>
      <c r="H858" s="36">
        <f t="shared" si="47"/>
        <v>0</v>
      </c>
      <c r="I858" s="90"/>
      <c r="J858" s="37"/>
      <c r="K858" s="38">
        <f t="shared" si="48"/>
        <v>0</v>
      </c>
      <c r="L858" s="90"/>
      <c r="M858" s="39"/>
      <c r="N858" s="40"/>
      <c r="O858" s="40"/>
      <c r="P858" s="40"/>
      <c r="Q858" s="40"/>
    </row>
    <row r="859" spans="1:17" x14ac:dyDescent="0.3">
      <c r="A859" s="40"/>
      <c r="B859" s="32"/>
      <c r="C859" s="33"/>
      <c r="D859" s="40"/>
      <c r="E859" s="40"/>
      <c r="F859" s="34"/>
      <c r="G859" s="35"/>
      <c r="H859" s="36">
        <f t="shared" si="47"/>
        <v>0</v>
      </c>
      <c r="I859" s="90"/>
      <c r="J859" s="37"/>
      <c r="K859" s="38">
        <f t="shared" si="48"/>
        <v>0</v>
      </c>
      <c r="L859" s="90"/>
      <c r="M859" s="39"/>
      <c r="N859" s="40"/>
      <c r="O859" s="40"/>
      <c r="P859" s="40"/>
      <c r="Q859" s="40"/>
    </row>
    <row r="860" spans="1:17" x14ac:dyDescent="0.3">
      <c r="A860" s="40"/>
      <c r="B860" s="32"/>
      <c r="C860" s="33"/>
      <c r="D860" s="40"/>
      <c r="E860" s="40"/>
      <c r="F860" s="34"/>
      <c r="G860" s="35"/>
      <c r="H860" s="36">
        <f t="shared" si="47"/>
        <v>0</v>
      </c>
      <c r="I860" s="90"/>
      <c r="J860" s="37"/>
      <c r="K860" s="38">
        <f t="shared" si="48"/>
        <v>0</v>
      </c>
      <c r="L860" s="90"/>
      <c r="M860" s="39"/>
      <c r="N860" s="40"/>
      <c r="O860" s="40"/>
      <c r="P860" s="40"/>
      <c r="Q860" s="40"/>
    </row>
    <row r="861" spans="1:17" x14ac:dyDescent="0.3">
      <c r="A861" s="40"/>
      <c r="B861" s="32"/>
      <c r="C861" s="33"/>
      <c r="D861" s="40"/>
      <c r="E861" s="40"/>
      <c r="F861" s="34"/>
      <c r="G861" s="35"/>
      <c r="H861" s="36">
        <f t="shared" si="47"/>
        <v>0</v>
      </c>
      <c r="I861" s="90"/>
      <c r="J861" s="37"/>
      <c r="K861" s="38">
        <f t="shared" si="48"/>
        <v>0</v>
      </c>
      <c r="L861" s="90"/>
      <c r="M861" s="39"/>
      <c r="N861" s="40"/>
      <c r="O861" s="40"/>
      <c r="P861" s="40"/>
      <c r="Q861" s="40"/>
    </row>
    <row r="862" spans="1:17" x14ac:dyDescent="0.3">
      <c r="A862" s="40"/>
      <c r="B862" s="32"/>
      <c r="C862" s="33"/>
      <c r="D862" s="40"/>
      <c r="E862" s="40"/>
      <c r="F862" s="34"/>
      <c r="G862" s="35"/>
      <c r="H862" s="36">
        <f t="shared" si="47"/>
        <v>0</v>
      </c>
      <c r="I862" s="90"/>
      <c r="J862" s="37"/>
      <c r="K862" s="38">
        <f t="shared" si="48"/>
        <v>0</v>
      </c>
      <c r="L862" s="90"/>
      <c r="M862" s="39"/>
      <c r="N862" s="40"/>
      <c r="O862" s="40"/>
      <c r="P862" s="40"/>
      <c r="Q862" s="40"/>
    </row>
    <row r="863" spans="1:17" x14ac:dyDescent="0.3">
      <c r="A863" s="40"/>
      <c r="B863" s="32"/>
      <c r="C863" s="33"/>
      <c r="D863" s="40"/>
      <c r="E863" s="40"/>
      <c r="F863" s="34"/>
      <c r="G863" s="35"/>
      <c r="H863" s="36">
        <f t="shared" si="47"/>
        <v>0</v>
      </c>
      <c r="I863" s="90"/>
      <c r="J863" s="37"/>
      <c r="K863" s="38">
        <f t="shared" si="48"/>
        <v>0</v>
      </c>
      <c r="L863" s="90"/>
      <c r="M863" s="39"/>
      <c r="N863" s="40"/>
      <c r="O863" s="40"/>
      <c r="P863" s="40"/>
      <c r="Q863" s="40"/>
    </row>
    <row r="864" spans="1:17" x14ac:dyDescent="0.3">
      <c r="A864" s="40"/>
      <c r="B864" s="32"/>
      <c r="C864" s="33"/>
      <c r="D864" s="40"/>
      <c r="E864" s="40"/>
      <c r="F864" s="34"/>
      <c r="G864" s="35"/>
      <c r="H864" s="36">
        <f t="shared" si="47"/>
        <v>0</v>
      </c>
      <c r="I864" s="90"/>
      <c r="J864" s="37"/>
      <c r="K864" s="38">
        <f t="shared" si="48"/>
        <v>0</v>
      </c>
      <c r="L864" s="90"/>
      <c r="M864" s="39"/>
      <c r="N864" s="40"/>
      <c r="O864" s="40"/>
      <c r="P864" s="40"/>
      <c r="Q864" s="40"/>
    </row>
    <row r="865" spans="1:17" x14ac:dyDescent="0.3">
      <c r="A865" s="40"/>
      <c r="B865" s="32"/>
      <c r="C865" s="33"/>
      <c r="D865" s="40"/>
      <c r="E865" s="40"/>
      <c r="F865" s="34"/>
      <c r="G865" s="35"/>
      <c r="H865" s="36">
        <f t="shared" si="47"/>
        <v>0</v>
      </c>
      <c r="I865" s="90"/>
      <c r="J865" s="37"/>
      <c r="K865" s="38">
        <f t="shared" si="48"/>
        <v>0</v>
      </c>
      <c r="L865" s="90"/>
      <c r="M865" s="39"/>
      <c r="N865" s="40"/>
      <c r="O865" s="40"/>
      <c r="P865" s="40"/>
      <c r="Q865" s="40"/>
    </row>
    <row r="866" spans="1:17" x14ac:dyDescent="0.3">
      <c r="A866" s="40"/>
      <c r="B866" s="32"/>
      <c r="C866" s="33"/>
      <c r="D866" s="40"/>
      <c r="E866" s="40"/>
      <c r="F866" s="34"/>
      <c r="G866" s="35"/>
      <c r="H866" s="36">
        <f t="shared" si="47"/>
        <v>0</v>
      </c>
      <c r="I866" s="90"/>
      <c r="J866" s="37"/>
      <c r="K866" s="38">
        <f t="shared" si="48"/>
        <v>0</v>
      </c>
      <c r="L866" s="90"/>
      <c r="M866" s="39"/>
      <c r="N866" s="40"/>
      <c r="O866" s="40"/>
      <c r="P866" s="40"/>
      <c r="Q866" s="40"/>
    </row>
    <row r="1048576" spans="2:12" x14ac:dyDescent="0.3">
      <c r="B1048576" s="32">
        <v>45730</v>
      </c>
      <c r="C1048576" s="33">
        <v>61072</v>
      </c>
      <c r="L1048576" s="90" t="s">
        <v>143</v>
      </c>
    </row>
  </sheetData>
  <autoFilter ref="A4:Q866" xr:uid="{00000000-0009-0000-0000-000004000000}">
    <sortState xmlns:xlrd2="http://schemas.microsoft.com/office/spreadsheetml/2017/richdata2" ref="A131:Q408">
      <sortCondition ref="E4:E866"/>
    </sortState>
  </autoFilter>
  <mergeCells count="7">
    <mergeCell ref="N1:Q2"/>
    <mergeCell ref="A3:E3"/>
    <mergeCell ref="L3:M3"/>
    <mergeCell ref="N3:P3"/>
    <mergeCell ref="F3:K3"/>
    <mergeCell ref="A1:C2"/>
    <mergeCell ref="D1:M2"/>
  </mergeCells>
  <phoneticPr fontId="4" type="noConversion"/>
  <conditionalFormatting sqref="A5:A838">
    <cfRule type="expression" dxfId="17" priority="81">
      <formula>DAYS360(NOW(), #REF!) &lt;= 0</formula>
    </cfRule>
    <cfRule type="expression" dxfId="16" priority="82">
      <formula>DAYS360(NOW(), #REF!) &lt;= 30</formula>
    </cfRule>
  </conditionalFormatting>
  <conditionalFormatting sqref="A867:Q1048576">
    <cfRule type="expression" dxfId="15" priority="21">
      <formula>DAYS360(NOW(), #REF!) &lt;= 0</formula>
    </cfRule>
    <cfRule type="expression" dxfId="14" priority="22">
      <formula>DAYS360(NOW(), #REF!) &lt;= 30</formula>
    </cfRule>
  </conditionalFormatting>
  <conditionalFormatting sqref="B736">
    <cfRule type="expression" dxfId="13" priority="1">
      <formula>DAYS360(NOW(), #REF!) &lt;= 0</formula>
    </cfRule>
    <cfRule type="expression" dxfId="12" priority="2">
      <formula>DAYS360(NOW(), #REF!) &lt;= 30</formula>
    </cfRule>
  </conditionalFormatting>
  <conditionalFormatting sqref="B5:C5 F5:Q5 B6:G6 B6:B12 H6:J78 K6:K648 C7:G7 B8:G27 B10:J13 B28:B29 D28:G29 B30:G33 D34:G34 B34:B46 C35:G42 C43 E43:G44 D44 C45:G46 B47:G47 C48:G51 B48:B69 D52:G52 C53:G61 D62:G62 C63:G69 B70:G78 B79:J80 B81 E81:J81 B82:G83 H82:J126 B84 D84:G84 B85:G101 B102 D102:G102 B103:G103 B104 D104:G104 B105:G116 B117 E117:G117 B118:G120 B121 D121:G121 B122:G126 B127:J139 B140:B141 D140:J141 B142:C142 E142:J142 B143:J144 B145 D145:J145 B146:J173 B174 D174:F174 H174:J174 B194 D194 F194:J194 B195:J196 B197:G201 H197:J209 B202 D202:G202 B203:G206 B207 D207:G207 B208:G209 B210:J210 L210 B211:C212 H211:J212 G212 B213:J292 L213:Q648 B293:G298 H293:J398 B299:C299 E299:G299 B300:G301 B302 D302:G302 B303:G370 D371:G373 B374:G374 C375:D375 E375:G383 C376 D376:D383 B377:C383 B384 D384:G384 B385:G407 H399:H407 I399:J648 B409:G446 H409:H648 B447 D447:G447 B448:G492 B493 D493:G493 H649:J665 K649:Q866 C666:J666 H667:J774 B715:G735 B737:G774 B775:J775 B776:G838 H776:J866 A839:G866">
    <cfRule type="expression" dxfId="11" priority="135">
      <formula>DAYS360(NOW(), #REF!) &lt;= 0</formula>
    </cfRule>
    <cfRule type="expression" dxfId="10" priority="136">
      <formula>DAYS360(NOW(), #REF!) &lt;= 30</formula>
    </cfRule>
  </conditionalFormatting>
  <conditionalFormatting sqref="B494:G574 B575:B580 D575:G580 B581:G640 B641 D641:G641 B642:G665 B666:B669 B667:G686">
    <cfRule type="expression" dxfId="9" priority="54">
      <formula>DAYS360(NOW(), #REF!) &lt;= 30</formula>
    </cfRule>
  </conditionalFormatting>
  <conditionalFormatting sqref="B494:G574 B575:B580 D575:G580 B581:G640 B641 D641:G641 B642:G665 B666:B669">
    <cfRule type="expression" dxfId="8" priority="53">
      <formula>DAYS360(NOW(), #REF!) &lt;= 0</formula>
    </cfRule>
  </conditionalFormatting>
  <conditionalFormatting sqref="B667:G713 B714 D714:G714">
    <cfRule type="expression" dxfId="7" priority="3">
      <formula>DAYS360(NOW(), #REF!) &lt;= 0</formula>
    </cfRule>
  </conditionalFormatting>
  <conditionalFormatting sqref="B687:G713 B714 D714:G714">
    <cfRule type="expression" dxfId="6" priority="4">
      <formula>DAYS360(NOW(), #REF!) &lt;= 30</formula>
    </cfRule>
  </conditionalFormatting>
  <conditionalFormatting sqref="D211:G211">
    <cfRule type="expression" dxfId="5" priority="59">
      <formula>DAYS360(NOW(), #REF!) &lt;= 0</formula>
    </cfRule>
    <cfRule type="expression" dxfId="4" priority="60">
      <formula>DAYS360(NOW(), #REF!) &lt;= 30</formula>
    </cfRule>
  </conditionalFormatting>
  <conditionalFormatting sqref="F408:H408">
    <cfRule type="expression" dxfId="3" priority="57">
      <formula>DAYS360(NOW(), #REF!) &lt;= 0</formula>
    </cfRule>
    <cfRule type="expression" dxfId="2" priority="58">
      <formula>DAYS360(NOW(), #REF!) &lt;= 30</formula>
    </cfRule>
  </conditionalFormatting>
  <conditionalFormatting sqref="L6:Q209 B175:J193">
    <cfRule type="expression" dxfId="1" priority="69">
      <formula>DAYS360(NOW(), #REF!) &lt;= 0</formula>
    </cfRule>
    <cfRule type="expression" dxfId="0" priority="70">
      <formula>DAYS360(NOW(), #REF!) &lt;= 30</formula>
    </cfRule>
  </conditionalFormatting>
  <pageMargins left="0.25" right="0.25" top="0.75" bottom="0.75" header="0.3" footer="0.3"/>
  <pageSetup paperSize="9" scale="57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02FE2A7-355B-4026-9FA8-24CC7DE465AC}">
          <x14:formula1>
            <xm:f>Categories!$A$3:$A$8</xm:f>
          </x14:formula1>
          <xm:sqref>M5:M209 M213:M1048576</xm:sqref>
        </x14:dataValidation>
        <x14:dataValidation type="list" allowBlank="1" showInputMessage="1" showErrorMessage="1" xr:uid="{5E1F860A-2C20-4DE7-9AA4-FE7320FC19F0}">
          <x14:formula1>
            <xm:f>Reps!$A$3:$A$20</xm:f>
          </x14:formula1>
          <xm:sqref>L213:L1048576 L3:L210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D8"/>
  <sheetViews>
    <sheetView workbookViewId="0">
      <selection activeCell="C8" sqref="C8"/>
    </sheetView>
  </sheetViews>
  <sheetFormatPr defaultRowHeight="14.4" x14ac:dyDescent="0.3"/>
  <cols>
    <col min="1" max="1" width="16" bestFit="1" customWidth="1"/>
    <col min="2" max="2" width="15.6640625" bestFit="1" customWidth="1"/>
    <col min="3" max="3" width="34" bestFit="1" customWidth="1"/>
    <col min="4" max="4" width="23" customWidth="1"/>
  </cols>
  <sheetData>
    <row r="1" spans="1:4" x14ac:dyDescent="0.3">
      <c r="A1" s="108" t="s">
        <v>2097</v>
      </c>
      <c r="B1" s="108"/>
      <c r="C1" s="108"/>
      <c r="D1" s="108"/>
    </row>
    <row r="2" spans="1:4" x14ac:dyDescent="0.3">
      <c r="A2" s="1" t="s">
        <v>2098</v>
      </c>
      <c r="B2" s="1" t="s">
        <v>2099</v>
      </c>
      <c r="C2" s="1" t="s">
        <v>14</v>
      </c>
      <c r="D2" s="1" t="s">
        <v>2100</v>
      </c>
    </row>
    <row r="3" spans="1:4" x14ac:dyDescent="0.3">
      <c r="A3" s="4" t="s">
        <v>20</v>
      </c>
      <c r="B3" s="6" t="s">
        <v>2101</v>
      </c>
      <c r="C3" s="7" t="s">
        <v>2102</v>
      </c>
      <c r="D3" s="4"/>
    </row>
    <row r="4" spans="1:4" x14ac:dyDescent="0.3">
      <c r="A4" s="2" t="s">
        <v>17</v>
      </c>
      <c r="B4" t="s">
        <v>2103</v>
      </c>
      <c r="C4" s="7" t="s">
        <v>2104</v>
      </c>
      <c r="D4" s="2"/>
    </row>
    <row r="5" spans="1:4" x14ac:dyDescent="0.3">
      <c r="A5" s="2" t="s">
        <v>143</v>
      </c>
      <c r="B5" t="s">
        <v>2105</v>
      </c>
      <c r="C5" s="7" t="s">
        <v>2106</v>
      </c>
      <c r="D5" s="2"/>
    </row>
    <row r="6" spans="1:4" x14ac:dyDescent="0.3">
      <c r="A6" s="2" t="s">
        <v>301</v>
      </c>
      <c r="B6" t="s">
        <v>2107</v>
      </c>
      <c r="C6" s="7" t="s">
        <v>2108</v>
      </c>
      <c r="D6" s="2"/>
    </row>
    <row r="7" spans="1:4" x14ac:dyDescent="0.3">
      <c r="A7" s="2" t="s">
        <v>2109</v>
      </c>
      <c r="B7" t="s">
        <v>2110</v>
      </c>
      <c r="C7" s="7" t="s">
        <v>2111</v>
      </c>
      <c r="D7" s="2"/>
    </row>
    <row r="8" spans="1:4" x14ac:dyDescent="0.3">
      <c r="A8" s="3"/>
      <c r="B8" s="5"/>
      <c r="C8" s="16"/>
      <c r="D8" s="3"/>
    </row>
  </sheetData>
  <mergeCells count="1">
    <mergeCell ref="A1:D1"/>
  </mergeCells>
  <hyperlinks>
    <hyperlink ref="C5" r:id="rId1" xr:uid="{00000000-0004-0000-0500-000000000000}"/>
    <hyperlink ref="C4" r:id="rId2" xr:uid="{00000000-0004-0000-0500-000001000000}"/>
    <hyperlink ref="C3" r:id="rId3" xr:uid="{00000000-0004-0000-0500-000002000000}"/>
    <hyperlink ref="C6" r:id="rId4" xr:uid="{066FF53E-A753-4136-931E-2C09C1FDC22B}"/>
    <hyperlink ref="C7" r:id="rId5" xr:uid="{7B5AF69D-04AD-4B35-8A71-C66B4217519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C6"/>
  <sheetViews>
    <sheetView workbookViewId="0">
      <selection activeCell="B2" sqref="B2"/>
    </sheetView>
  </sheetViews>
  <sheetFormatPr defaultRowHeight="14.4" x14ac:dyDescent="0.3"/>
  <cols>
    <col min="1" max="1" width="11" bestFit="1" customWidth="1"/>
    <col min="2" max="2" width="25.6640625" bestFit="1" customWidth="1"/>
    <col min="3" max="3" width="14" customWidth="1"/>
  </cols>
  <sheetData>
    <row r="1" spans="1:3" ht="15" thickBot="1" x14ac:dyDescent="0.35"/>
    <row r="2" spans="1:3" ht="15" thickBot="1" x14ac:dyDescent="0.35">
      <c r="A2" s="8" t="s">
        <v>2099</v>
      </c>
      <c r="B2" s="11" t="s">
        <v>14</v>
      </c>
      <c r="C2" s="8" t="s">
        <v>2100</v>
      </c>
    </row>
    <row r="3" spans="1:3" ht="15" thickBot="1" x14ac:dyDescent="0.35">
      <c r="A3" s="14" t="s">
        <v>2101</v>
      </c>
      <c r="B3" s="15" t="s">
        <v>2112</v>
      </c>
      <c r="C3" s="9" t="s">
        <v>2113</v>
      </c>
    </row>
    <row r="4" spans="1:3" ht="15" thickBot="1" x14ac:dyDescent="0.35">
      <c r="A4" s="14" t="s">
        <v>2114</v>
      </c>
      <c r="B4" s="13" t="s">
        <v>2115</v>
      </c>
      <c r="C4" s="14"/>
    </row>
    <row r="5" spans="1:3" ht="15" thickBot="1" x14ac:dyDescent="0.35">
      <c r="A5" s="14" t="s">
        <v>2116</v>
      </c>
      <c r="B5" s="13" t="s">
        <v>2117</v>
      </c>
      <c r="C5" s="14"/>
    </row>
    <row r="6" spans="1:3" ht="15" thickBot="1" x14ac:dyDescent="0.35">
      <c r="A6" s="10" t="s">
        <v>2118</v>
      </c>
      <c r="B6" s="12" t="s">
        <v>2119</v>
      </c>
      <c r="C6" s="10"/>
    </row>
  </sheetData>
  <hyperlinks>
    <hyperlink ref="B3" r:id="rId1" xr:uid="{00000000-0004-0000-0600-000000000000}"/>
    <hyperlink ref="B4" r:id="rId2" xr:uid="{00000000-0004-0000-0600-000001000000}"/>
    <hyperlink ref="B5" r:id="rId3" xr:uid="{00000000-0004-0000-0600-000002000000}"/>
    <hyperlink ref="B6" r:id="rId4" xr:uid="{00000000-0004-0000-06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Categories</vt:lpstr>
      <vt:lpstr>Contracts 2025</vt:lpstr>
      <vt:lpstr>Reps</vt:lpstr>
      <vt:lpstr>Contacts</vt:lpstr>
      <vt:lpstr>'Contracts 2025'!Print_Area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Leon</dc:creator>
  <cp:keywords/>
  <dc:description/>
  <cp:lastModifiedBy>Tebello Lelosa</cp:lastModifiedBy>
  <cp:revision/>
  <dcterms:created xsi:type="dcterms:W3CDTF">2015-11-14T16:08:58Z</dcterms:created>
  <dcterms:modified xsi:type="dcterms:W3CDTF">2025-10-24T10:29:37Z</dcterms:modified>
  <cp:category/>
  <cp:contentStatus/>
</cp:coreProperties>
</file>