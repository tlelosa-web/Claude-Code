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"/>
    </mc:Choice>
  </mc:AlternateContent>
  <xr:revisionPtr revIDLastSave="0" documentId="8_{EEF8D3AD-6FEA-4DD5-8BF5-79642466C935}" xr6:coauthVersionLast="47" xr6:coauthVersionMax="47" xr10:uidLastSave="{00000000-0000-0000-0000-000000000000}"/>
  <bookViews>
    <workbookView xWindow="-108" yWindow="-108" windowWidth="23256" windowHeight="12456" xr2:uid="{F3D8810D-2564-45A5-BEFA-457E42019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U23" i="1"/>
  <c r="U15" i="1"/>
  <c r="P16" i="1"/>
  <c r="P15" i="1"/>
  <c r="P3" i="1"/>
  <c r="I16" i="1" s="1"/>
  <c r="P4" i="1"/>
  <c r="I17" i="1" s="1"/>
  <c r="P5" i="1"/>
  <c r="P6" i="1"/>
  <c r="I19" i="1" s="1"/>
  <c r="T19" i="1" s="1"/>
  <c r="P7" i="1"/>
  <c r="I20" i="1" s="1"/>
  <c r="P8" i="1"/>
  <c r="J21" i="1" s="1"/>
  <c r="P21" i="1" s="1"/>
  <c r="P9" i="1"/>
  <c r="I22" i="1" s="1"/>
  <c r="P10" i="1"/>
  <c r="J23" i="1" s="1"/>
  <c r="P2" i="1"/>
  <c r="I18" i="1"/>
  <c r="T18" i="1" s="1"/>
  <c r="V18" i="1" s="1"/>
  <c r="D23" i="1"/>
  <c r="G23" i="1" s="1"/>
  <c r="G18" i="1"/>
  <c r="G19" i="1"/>
  <c r="G20" i="1"/>
  <c r="G21" i="1"/>
  <c r="G22" i="1"/>
  <c r="F22" i="1"/>
  <c r="F23" i="1"/>
  <c r="F15" i="1"/>
  <c r="F16" i="1"/>
  <c r="U16" i="1" s="1"/>
  <c r="F17" i="1"/>
  <c r="U17" i="1" s="1"/>
  <c r="F18" i="1"/>
  <c r="U18" i="1" s="1"/>
  <c r="F19" i="1"/>
  <c r="U19" i="1" s="1"/>
  <c r="F20" i="1"/>
  <c r="F25" i="1" s="1"/>
  <c r="F21" i="1"/>
  <c r="U21" i="1" s="1"/>
  <c r="D17" i="1"/>
  <c r="G17" i="1" s="1"/>
  <c r="M6" i="1"/>
  <c r="J19" i="1" s="1"/>
  <c r="P19" i="1" s="1"/>
  <c r="M7" i="1"/>
  <c r="M8" i="1"/>
  <c r="M9" i="1"/>
  <c r="M10" i="1"/>
  <c r="L3" i="1"/>
  <c r="L4" i="1"/>
  <c r="L5" i="1"/>
  <c r="L6" i="1"/>
  <c r="L7" i="1"/>
  <c r="L8" i="1"/>
  <c r="L9" i="1"/>
  <c r="L10" i="1"/>
  <c r="I4" i="1"/>
  <c r="M4" i="1" s="1"/>
  <c r="J17" i="1" s="1"/>
  <c r="P17" i="1" s="1"/>
  <c r="I5" i="1"/>
  <c r="M5" i="1" s="1"/>
  <c r="J18" i="1" s="1"/>
  <c r="P18" i="1" s="1"/>
  <c r="H3" i="1"/>
  <c r="H4" i="1"/>
  <c r="H5" i="1"/>
  <c r="H2" i="1"/>
  <c r="L2" i="1" s="1"/>
  <c r="O25" i="1" l="1"/>
  <c r="O20" i="1"/>
  <c r="T20" i="1"/>
  <c r="V19" i="1"/>
  <c r="O17" i="1"/>
  <c r="T17" i="1"/>
  <c r="V17" i="1" s="1"/>
  <c r="O16" i="1"/>
  <c r="T16" i="1"/>
  <c r="V16" i="1" s="1"/>
  <c r="I21" i="1"/>
  <c r="J22" i="1"/>
  <c r="J20" i="1"/>
  <c r="P20" i="1" s="1"/>
  <c r="P23" i="1" s="1"/>
  <c r="O18" i="1"/>
  <c r="U20" i="1"/>
  <c r="O19" i="1"/>
  <c r="I23" i="1"/>
  <c r="I15" i="1"/>
  <c r="T21" i="1" l="1"/>
  <c r="V21" i="1" s="1"/>
  <c r="O21" i="1"/>
  <c r="V20" i="1"/>
  <c r="O15" i="1"/>
  <c r="O23" i="1" s="1"/>
  <c r="Q23" i="1" s="1"/>
  <c r="T15" i="1"/>
  <c r="T23" i="1" l="1"/>
  <c r="V15" i="1"/>
</calcChain>
</file>

<file path=xl/sharedStrings.xml><?xml version="1.0" encoding="utf-8"?>
<sst xmlns="http://schemas.openxmlformats.org/spreadsheetml/2006/main" count="19" uniqueCount="13">
  <si>
    <t>No. Sht 400L</t>
  </si>
  <si>
    <t>No. Sht 500L</t>
  </si>
  <si>
    <t>Casing Circ</t>
  </si>
  <si>
    <t>Wdth1</t>
  </si>
  <si>
    <t>Wdth2</t>
  </si>
  <si>
    <t>Cost/Sht</t>
  </si>
  <si>
    <t>400L Plate Cost</t>
  </si>
  <si>
    <t>400L Cost</t>
  </si>
  <si>
    <t>500L Cost</t>
  </si>
  <si>
    <t>Flanges</t>
  </si>
  <si>
    <t>Teminal Box</t>
  </si>
  <si>
    <t>Fabrication</t>
  </si>
  <si>
    <t>PO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</si>
</sst>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2641-7D69-4FD2-B860-7A9D17C97138}">
  <dimension ref="A1:V25"/>
  <sheetViews>
    <sheetView tabSelected="1" workbookViewId="0">
      <selection activeCell="U25" sqref="U25"/>
    </sheetView>
  </sheetViews>
  <sheetFormatPr defaultRowHeight="14.4" x14ac:dyDescent="0.3"/>
  <cols>
    <col min="1" max="1" width="5" bestFit="1" customWidth="1"/>
    <col min="2" max="2" width="0" hidden="1" customWidth="1"/>
    <col min="3" max="3" width="10.109375" hidden="1" customWidth="1"/>
    <col min="4" max="4" width="8.88671875" hidden="1" customWidth="1"/>
    <col min="5" max="5" width="7.21875" hidden="1" customWidth="1"/>
    <col min="6" max="7" width="14.77734375" bestFit="1" customWidth="1"/>
    <col min="8" max="9" width="11" bestFit="1" customWidth="1"/>
    <col min="10" max="10" width="13.44140625" bestFit="1" customWidth="1"/>
    <col min="11" max="11" width="7.88671875" bestFit="1" customWidth="1"/>
    <col min="12" max="13" width="13.44140625" bestFit="1" customWidth="1"/>
    <col min="15" max="15" width="10" style="2" bestFit="1" customWidth="1"/>
    <col min="16" max="16" width="9" style="2" bestFit="1" customWidth="1"/>
    <col min="17" max="18" width="10" bestFit="1" customWidth="1"/>
    <col min="20" max="20" width="10" bestFit="1" customWidth="1"/>
    <col min="21" max="21" width="11" bestFit="1" customWidth="1"/>
    <col min="22" max="22" width="10.6640625" bestFit="1" customWidth="1"/>
  </cols>
  <sheetData>
    <row r="1" spans="1:22" x14ac:dyDescent="0.3">
      <c r="C1" t="s">
        <v>2</v>
      </c>
      <c r="D1" t="s">
        <v>3</v>
      </c>
      <c r="E1" t="s">
        <v>4</v>
      </c>
      <c r="H1" t="s">
        <v>0</v>
      </c>
      <c r="I1" t="s">
        <v>1</v>
      </c>
      <c r="K1" t="s">
        <v>5</v>
      </c>
      <c r="L1" s="3" t="s">
        <v>6</v>
      </c>
      <c r="M1" s="3" t="s">
        <v>6</v>
      </c>
      <c r="O1" s="2" t="s">
        <v>10</v>
      </c>
      <c r="P1" s="2" t="s">
        <v>11</v>
      </c>
    </row>
    <row r="2" spans="1:22" x14ac:dyDescent="0.3">
      <c r="A2">
        <v>315</v>
      </c>
      <c r="C2">
        <v>995</v>
      </c>
      <c r="D2">
        <v>400</v>
      </c>
      <c r="G2" s="1">
        <v>4000</v>
      </c>
      <c r="H2">
        <f>G2/D2</f>
        <v>10</v>
      </c>
      <c r="K2">
        <v>3000</v>
      </c>
      <c r="L2" s="3">
        <f>K2/H2</f>
        <v>300</v>
      </c>
      <c r="M2" s="3"/>
      <c r="O2" s="2">
        <v>100</v>
      </c>
      <c r="P2" s="2">
        <f>400/4</f>
        <v>100</v>
      </c>
    </row>
    <row r="3" spans="1:22" x14ac:dyDescent="0.3">
      <c r="A3">
        <v>400</v>
      </c>
      <c r="C3">
        <v>1262</v>
      </c>
      <c r="D3">
        <v>400</v>
      </c>
      <c r="G3" s="1">
        <v>4000</v>
      </c>
      <c r="H3">
        <f t="shared" ref="H3:H5" si="0">G3/D3</f>
        <v>10</v>
      </c>
      <c r="K3">
        <v>3000</v>
      </c>
      <c r="L3" s="3">
        <f t="shared" ref="L3:L10" si="1">K3/H3</f>
        <v>300</v>
      </c>
      <c r="M3" s="3"/>
      <c r="O3" s="2">
        <v>100</v>
      </c>
      <c r="P3" s="2">
        <f t="shared" ref="P3:P10" si="2">400/4</f>
        <v>100</v>
      </c>
    </row>
    <row r="4" spans="1:22" x14ac:dyDescent="0.3">
      <c r="A4">
        <v>500</v>
      </c>
      <c r="C4">
        <v>1579</v>
      </c>
      <c r="D4">
        <v>400</v>
      </c>
      <c r="E4">
        <v>500</v>
      </c>
      <c r="G4" s="1">
        <v>4000</v>
      </c>
      <c r="H4">
        <f t="shared" si="0"/>
        <v>10</v>
      </c>
      <c r="I4">
        <f t="shared" ref="I4:I5" si="3">G4/E4</f>
        <v>8</v>
      </c>
      <c r="K4">
        <v>3000</v>
      </c>
      <c r="L4" s="3">
        <f t="shared" si="1"/>
        <v>300</v>
      </c>
      <c r="M4" s="3">
        <f t="shared" ref="M4:M10" si="4">K4/I4</f>
        <v>375</v>
      </c>
      <c r="O4" s="2">
        <v>100</v>
      </c>
      <c r="P4" s="2">
        <f t="shared" si="2"/>
        <v>100</v>
      </c>
    </row>
    <row r="5" spans="1:22" x14ac:dyDescent="0.3">
      <c r="A5">
        <v>560</v>
      </c>
      <c r="C5">
        <v>1767</v>
      </c>
      <c r="D5">
        <v>400</v>
      </c>
      <c r="E5">
        <v>500</v>
      </c>
      <c r="G5" s="1">
        <v>4000</v>
      </c>
      <c r="H5">
        <f t="shared" si="0"/>
        <v>10</v>
      </c>
      <c r="I5">
        <f t="shared" si="3"/>
        <v>8</v>
      </c>
      <c r="K5">
        <v>3000</v>
      </c>
      <c r="L5" s="3">
        <f t="shared" si="1"/>
        <v>300</v>
      </c>
      <c r="M5" s="3">
        <f t="shared" si="4"/>
        <v>375</v>
      </c>
      <c r="O5" s="2">
        <v>100</v>
      </c>
      <c r="P5" s="2">
        <f t="shared" si="2"/>
        <v>100</v>
      </c>
    </row>
    <row r="6" spans="1:22" x14ac:dyDescent="0.3">
      <c r="A6">
        <v>630</v>
      </c>
      <c r="C6">
        <v>1987</v>
      </c>
      <c r="D6">
        <v>400</v>
      </c>
      <c r="E6">
        <v>500</v>
      </c>
      <c r="G6">
        <v>1800</v>
      </c>
      <c r="H6">
        <v>4</v>
      </c>
      <c r="I6">
        <v>3</v>
      </c>
      <c r="K6">
        <v>3000</v>
      </c>
      <c r="L6" s="3">
        <f t="shared" si="1"/>
        <v>750</v>
      </c>
      <c r="M6" s="3">
        <f t="shared" si="4"/>
        <v>1000</v>
      </c>
      <c r="O6" s="2">
        <v>100</v>
      </c>
      <c r="P6" s="2">
        <f t="shared" si="2"/>
        <v>100</v>
      </c>
    </row>
    <row r="7" spans="1:22" x14ac:dyDescent="0.3">
      <c r="A7">
        <v>710</v>
      </c>
      <c r="D7">
        <v>400</v>
      </c>
      <c r="E7">
        <v>500</v>
      </c>
      <c r="G7">
        <v>1800</v>
      </c>
      <c r="H7">
        <v>4</v>
      </c>
      <c r="I7">
        <v>3</v>
      </c>
      <c r="K7">
        <v>3000</v>
      </c>
      <c r="L7" s="3">
        <f t="shared" si="1"/>
        <v>750</v>
      </c>
      <c r="M7" s="3">
        <f t="shared" si="4"/>
        <v>1000</v>
      </c>
      <c r="O7" s="2">
        <v>100</v>
      </c>
      <c r="P7" s="2">
        <f t="shared" si="2"/>
        <v>100</v>
      </c>
    </row>
    <row r="8" spans="1:22" x14ac:dyDescent="0.3">
      <c r="A8">
        <v>800</v>
      </c>
      <c r="D8">
        <v>400</v>
      </c>
      <c r="E8">
        <v>500</v>
      </c>
      <c r="G8">
        <v>1800</v>
      </c>
      <c r="H8">
        <v>4</v>
      </c>
      <c r="I8">
        <v>3</v>
      </c>
      <c r="K8">
        <v>3000</v>
      </c>
      <c r="L8" s="3">
        <f t="shared" si="1"/>
        <v>750</v>
      </c>
      <c r="M8" s="3">
        <f t="shared" si="4"/>
        <v>1000</v>
      </c>
      <c r="O8" s="2">
        <v>100</v>
      </c>
      <c r="P8" s="2">
        <f t="shared" si="2"/>
        <v>100</v>
      </c>
    </row>
    <row r="9" spans="1:22" x14ac:dyDescent="0.3">
      <c r="A9">
        <v>900</v>
      </c>
      <c r="D9">
        <v>400</v>
      </c>
      <c r="E9">
        <v>500</v>
      </c>
      <c r="G9">
        <v>1800</v>
      </c>
      <c r="H9">
        <v>4</v>
      </c>
      <c r="I9">
        <v>3</v>
      </c>
      <c r="K9">
        <v>3000</v>
      </c>
      <c r="L9" s="3">
        <f t="shared" si="1"/>
        <v>750</v>
      </c>
      <c r="M9" s="3">
        <f t="shared" si="4"/>
        <v>1000</v>
      </c>
      <c r="O9" s="2">
        <v>100</v>
      </c>
      <c r="P9" s="2">
        <f t="shared" si="2"/>
        <v>100</v>
      </c>
    </row>
    <row r="10" spans="1:22" x14ac:dyDescent="0.3">
      <c r="A10">
        <v>1000</v>
      </c>
      <c r="D10">
        <v>400</v>
      </c>
      <c r="E10">
        <v>500</v>
      </c>
      <c r="G10">
        <v>1800</v>
      </c>
      <c r="H10">
        <v>4</v>
      </c>
      <c r="I10">
        <v>3</v>
      </c>
      <c r="K10">
        <v>3000</v>
      </c>
      <c r="L10" s="3">
        <f t="shared" si="1"/>
        <v>750</v>
      </c>
      <c r="M10" s="3">
        <f t="shared" si="4"/>
        <v>1000</v>
      </c>
      <c r="O10" s="2">
        <v>100</v>
      </c>
      <c r="P10" s="2">
        <f t="shared" si="2"/>
        <v>100</v>
      </c>
    </row>
    <row r="14" spans="1:22" x14ac:dyDescent="0.3">
      <c r="A14" s="3"/>
      <c r="B14" s="3"/>
      <c r="C14" s="4" t="s">
        <v>7</v>
      </c>
      <c r="D14" s="4" t="s">
        <v>8</v>
      </c>
      <c r="E14" s="3" t="s">
        <v>9</v>
      </c>
      <c r="F14" s="4" t="s">
        <v>7</v>
      </c>
      <c r="G14" s="4" t="s">
        <v>8</v>
      </c>
      <c r="I14" s="3" t="s">
        <v>6</v>
      </c>
      <c r="J14" s="3" t="s">
        <v>6</v>
      </c>
      <c r="L14" t="s">
        <v>12</v>
      </c>
      <c r="M14" t="s">
        <v>12</v>
      </c>
    </row>
    <row r="15" spans="1:22" x14ac:dyDescent="0.3">
      <c r="A15" s="3">
        <v>315</v>
      </c>
      <c r="B15" s="3"/>
      <c r="C15" s="4">
        <v>794</v>
      </c>
      <c r="D15" s="4"/>
      <c r="E15" s="3">
        <v>200</v>
      </c>
      <c r="F15" s="5">
        <f t="shared" ref="F15:F20" si="5">C15-E15</f>
        <v>594</v>
      </c>
      <c r="G15" s="5"/>
      <c r="I15" s="4">
        <f>L2+O2+P2</f>
        <v>500</v>
      </c>
      <c r="J15" s="3"/>
      <c r="L15">
        <v>4</v>
      </c>
      <c r="O15" s="6">
        <f>L15*I15</f>
        <v>2000</v>
      </c>
      <c r="P15" s="6">
        <f>M15*J15</f>
        <v>0</v>
      </c>
      <c r="Q15" s="6"/>
      <c r="R15" s="3">
        <v>315</v>
      </c>
      <c r="S15">
        <v>20</v>
      </c>
      <c r="T15" s="6">
        <f>S15*I15</f>
        <v>10000</v>
      </c>
      <c r="U15" s="6">
        <f>S15*F15</f>
        <v>11880</v>
      </c>
      <c r="V15" s="6">
        <f>T15-U15</f>
        <v>-1880</v>
      </c>
    </row>
    <row r="16" spans="1:22" x14ac:dyDescent="0.3">
      <c r="A16" s="3">
        <v>400</v>
      </c>
      <c r="B16" s="3"/>
      <c r="C16" s="4">
        <v>1061</v>
      </c>
      <c r="D16" s="4"/>
      <c r="E16" s="3">
        <v>250</v>
      </c>
      <c r="F16" s="5">
        <f t="shared" si="5"/>
        <v>811</v>
      </c>
      <c r="G16" s="5"/>
      <c r="I16" s="4">
        <f t="shared" ref="I16:I23" si="6">L3+O3+P3</f>
        <v>500</v>
      </c>
      <c r="J16" s="3"/>
      <c r="L16">
        <v>6</v>
      </c>
      <c r="O16" s="6">
        <f t="shared" ref="O16:P21" si="7">L16*I16</f>
        <v>3000</v>
      </c>
      <c r="P16" s="6">
        <f t="shared" si="7"/>
        <v>0</v>
      </c>
      <c r="Q16" s="6"/>
      <c r="R16" s="3">
        <v>400</v>
      </c>
      <c r="S16">
        <v>20</v>
      </c>
      <c r="T16" s="6">
        <f t="shared" ref="T16:T21" si="8">S16*I16</f>
        <v>10000</v>
      </c>
      <c r="U16" s="6">
        <f t="shared" ref="U16:U21" si="9">S16*F16</f>
        <v>16220</v>
      </c>
      <c r="V16" s="6">
        <f t="shared" ref="V16:V23" si="10">T16-U16</f>
        <v>-6220</v>
      </c>
    </row>
    <row r="17" spans="1:22" x14ac:dyDescent="0.3">
      <c r="A17" s="3">
        <v>500</v>
      </c>
      <c r="B17" s="3"/>
      <c r="C17" s="4">
        <v>1269.75</v>
      </c>
      <c r="D17" s="4">
        <f>C17*1.1</f>
        <v>1396.7250000000001</v>
      </c>
      <c r="E17" s="3">
        <v>250</v>
      </c>
      <c r="F17" s="5">
        <f t="shared" si="5"/>
        <v>1019.75</v>
      </c>
      <c r="G17" s="5">
        <f t="shared" ref="G17:G23" si="11">D17-E17</f>
        <v>1146.7250000000001</v>
      </c>
      <c r="I17" s="4">
        <f t="shared" si="6"/>
        <v>500</v>
      </c>
      <c r="J17" s="4">
        <f>M4+O4+P4</f>
        <v>575</v>
      </c>
      <c r="L17">
        <v>6</v>
      </c>
      <c r="O17" s="6">
        <f t="shared" si="7"/>
        <v>3000</v>
      </c>
      <c r="P17" s="6">
        <f t="shared" si="7"/>
        <v>0</v>
      </c>
      <c r="Q17" s="6"/>
      <c r="R17" s="3">
        <v>500</v>
      </c>
      <c r="S17">
        <v>20</v>
      </c>
      <c r="T17" s="6">
        <f t="shared" si="8"/>
        <v>10000</v>
      </c>
      <c r="U17" s="6">
        <f t="shared" si="9"/>
        <v>20395</v>
      </c>
      <c r="V17" s="6">
        <f t="shared" si="10"/>
        <v>-10395</v>
      </c>
    </row>
    <row r="18" spans="1:22" x14ac:dyDescent="0.3">
      <c r="A18" s="3">
        <v>560</v>
      </c>
      <c r="B18" s="3"/>
      <c r="C18" s="4">
        <v>1450.84</v>
      </c>
      <c r="D18" s="4">
        <v>1515.72</v>
      </c>
      <c r="E18" s="3">
        <v>270</v>
      </c>
      <c r="F18" s="5">
        <f t="shared" si="5"/>
        <v>1180.8399999999999</v>
      </c>
      <c r="G18" s="5">
        <f t="shared" si="11"/>
        <v>1245.72</v>
      </c>
      <c r="I18" s="4">
        <f t="shared" si="6"/>
        <v>500</v>
      </c>
      <c r="J18" s="4">
        <f t="shared" ref="J18:J23" si="12">M5+O5+P5</f>
        <v>575</v>
      </c>
      <c r="L18">
        <v>6</v>
      </c>
      <c r="O18" s="6">
        <f t="shared" si="7"/>
        <v>3000</v>
      </c>
      <c r="P18" s="6">
        <f t="shared" si="7"/>
        <v>0</v>
      </c>
      <c r="Q18" s="6"/>
      <c r="R18" s="3">
        <v>560</v>
      </c>
      <c r="S18">
        <v>20</v>
      </c>
      <c r="T18" s="6">
        <f t="shared" si="8"/>
        <v>10000</v>
      </c>
      <c r="U18" s="6">
        <f t="shared" si="9"/>
        <v>23616.799999999999</v>
      </c>
      <c r="V18" s="6">
        <f t="shared" si="10"/>
        <v>-13616.8</v>
      </c>
    </row>
    <row r="19" spans="1:22" x14ac:dyDescent="0.3">
      <c r="A19" s="3">
        <v>630</v>
      </c>
      <c r="B19" s="3"/>
      <c r="C19" s="4">
        <v>1515.72</v>
      </c>
      <c r="D19" s="4">
        <v>1987.19</v>
      </c>
      <c r="E19" s="3">
        <v>286</v>
      </c>
      <c r="F19" s="5">
        <f t="shared" si="5"/>
        <v>1229.72</v>
      </c>
      <c r="G19" s="5">
        <f t="shared" si="11"/>
        <v>1701.19</v>
      </c>
      <c r="I19" s="4">
        <f t="shared" si="6"/>
        <v>950</v>
      </c>
      <c r="J19" s="4">
        <f t="shared" si="12"/>
        <v>1200</v>
      </c>
      <c r="L19">
        <v>7</v>
      </c>
      <c r="O19" s="6">
        <f t="shared" si="7"/>
        <v>6650</v>
      </c>
      <c r="P19" s="6">
        <f t="shared" si="7"/>
        <v>0</v>
      </c>
      <c r="Q19" s="6"/>
      <c r="R19" s="3">
        <v>630</v>
      </c>
      <c r="S19">
        <v>20</v>
      </c>
      <c r="T19" s="6">
        <f t="shared" si="8"/>
        <v>19000</v>
      </c>
      <c r="U19" s="6">
        <f t="shared" si="9"/>
        <v>24594.400000000001</v>
      </c>
      <c r="V19" s="6">
        <f t="shared" si="10"/>
        <v>-5594.4000000000015</v>
      </c>
    </row>
    <row r="20" spans="1:22" x14ac:dyDescent="0.3">
      <c r="A20" s="3">
        <v>710</v>
      </c>
      <c r="B20" s="3"/>
      <c r="C20" s="4">
        <v>1839.57</v>
      </c>
      <c r="D20" s="4">
        <v>2165.7199999999998</v>
      </c>
      <c r="E20" s="3">
        <v>334</v>
      </c>
      <c r="F20" s="5">
        <f t="shared" si="5"/>
        <v>1505.57</v>
      </c>
      <c r="G20" s="5">
        <f t="shared" si="11"/>
        <v>1831.7199999999998</v>
      </c>
      <c r="I20" s="4">
        <f t="shared" si="6"/>
        <v>950</v>
      </c>
      <c r="J20" s="4">
        <f t="shared" si="12"/>
        <v>1200</v>
      </c>
      <c r="L20">
        <v>2</v>
      </c>
      <c r="O20" s="6">
        <f t="shared" si="7"/>
        <v>1900</v>
      </c>
      <c r="P20" s="6">
        <f t="shared" si="7"/>
        <v>0</v>
      </c>
      <c r="Q20" s="6"/>
      <c r="R20" s="3">
        <v>710</v>
      </c>
      <c r="S20">
        <v>20</v>
      </c>
      <c r="T20" s="6">
        <f t="shared" si="8"/>
        <v>19000</v>
      </c>
      <c r="U20" s="6">
        <f t="shared" si="9"/>
        <v>30111.399999999998</v>
      </c>
      <c r="V20" s="6">
        <f t="shared" si="10"/>
        <v>-11111.399999999998</v>
      </c>
    </row>
    <row r="21" spans="1:22" x14ac:dyDescent="0.3">
      <c r="A21" s="3">
        <v>800</v>
      </c>
      <c r="B21" s="3"/>
      <c r="C21" s="4">
        <v>2458.1999999999998</v>
      </c>
      <c r="D21" s="4">
        <v>2890.32</v>
      </c>
      <c r="E21" s="3">
        <v>414</v>
      </c>
      <c r="F21" s="5">
        <f>C21-E21</f>
        <v>2044.1999999999998</v>
      </c>
      <c r="G21" s="5">
        <f t="shared" si="11"/>
        <v>2476.3200000000002</v>
      </c>
      <c r="I21" s="4">
        <f t="shared" si="6"/>
        <v>950</v>
      </c>
      <c r="J21" s="4">
        <f t="shared" si="12"/>
        <v>1200</v>
      </c>
      <c r="L21">
        <v>2</v>
      </c>
      <c r="M21">
        <v>4</v>
      </c>
      <c r="O21" s="6">
        <f t="shared" si="7"/>
        <v>1900</v>
      </c>
      <c r="P21" s="6">
        <f t="shared" si="7"/>
        <v>4800</v>
      </c>
      <c r="Q21" s="6"/>
      <c r="R21" s="3">
        <v>800</v>
      </c>
      <c r="S21">
        <v>20</v>
      </c>
      <c r="T21" s="6">
        <f t="shared" si="8"/>
        <v>19000</v>
      </c>
      <c r="U21" s="6">
        <f t="shared" si="9"/>
        <v>40884</v>
      </c>
      <c r="V21" s="6">
        <f t="shared" si="10"/>
        <v>-21884</v>
      </c>
    </row>
    <row r="22" spans="1:22" x14ac:dyDescent="0.3">
      <c r="A22" s="3">
        <v>900</v>
      </c>
      <c r="B22" s="3"/>
      <c r="C22" s="4">
        <v>3357.35</v>
      </c>
      <c r="D22" s="4">
        <v>3941.99</v>
      </c>
      <c r="E22" s="3">
        <v>1000</v>
      </c>
      <c r="F22" s="5">
        <f t="shared" ref="F22:F23" si="13">C22-E22</f>
        <v>2357.35</v>
      </c>
      <c r="G22" s="5">
        <f t="shared" si="11"/>
        <v>2941.99</v>
      </c>
      <c r="I22" s="4">
        <f t="shared" si="6"/>
        <v>950</v>
      </c>
      <c r="J22" s="4">
        <f t="shared" si="12"/>
        <v>1200</v>
      </c>
      <c r="O22" s="6"/>
      <c r="P22" s="6"/>
      <c r="Q22" s="6"/>
      <c r="R22" s="3">
        <v>900</v>
      </c>
    </row>
    <row r="23" spans="1:22" x14ac:dyDescent="0.3">
      <c r="A23" s="3">
        <v>1000</v>
      </c>
      <c r="B23" s="3"/>
      <c r="C23" s="4">
        <v>5271.5</v>
      </c>
      <c r="D23" s="4">
        <f>C23*1.1</f>
        <v>5798.6500000000005</v>
      </c>
      <c r="E23" s="3">
        <v>1222</v>
      </c>
      <c r="F23" s="5">
        <f t="shared" si="13"/>
        <v>4049.5</v>
      </c>
      <c r="G23" s="5">
        <f t="shared" si="11"/>
        <v>4576.6500000000005</v>
      </c>
      <c r="I23" s="4">
        <f t="shared" si="6"/>
        <v>950</v>
      </c>
      <c r="J23" s="4">
        <f t="shared" si="12"/>
        <v>1200</v>
      </c>
      <c r="O23" s="6">
        <f>SUM(O15:O22)</f>
        <v>21450</v>
      </c>
      <c r="P23" s="6">
        <f>SUM(P15:P22)</f>
        <v>4800</v>
      </c>
      <c r="Q23" s="6">
        <f>P23+O23</f>
        <v>26250</v>
      </c>
      <c r="R23" s="3">
        <v>1000</v>
      </c>
      <c r="T23" s="6">
        <f>SUM(T15:T22)</f>
        <v>97000</v>
      </c>
      <c r="U23" s="6">
        <f>SUM(U15:U22)</f>
        <v>167701.6</v>
      </c>
      <c r="V23" s="6">
        <f t="shared" si="10"/>
        <v>-70701.600000000006</v>
      </c>
    </row>
    <row r="24" spans="1:22" x14ac:dyDescent="0.3">
      <c r="Q24">
        <v>47214</v>
      </c>
    </row>
    <row r="25" spans="1:22" x14ac:dyDescent="0.3">
      <c r="F25" s="6">
        <f>F20*20</f>
        <v>30111.399999999998</v>
      </c>
      <c r="O25" s="2">
        <f>I20*20</f>
        <v>19000</v>
      </c>
    </row>
  </sheetData>
  <sortState xmlns:xlrd2="http://schemas.microsoft.com/office/spreadsheetml/2017/richdata2" ref="A2:I5">
    <sortCondition ref="A2:A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2026-01-21T10:24:42Z</dcterms:created>
  <dcterms:modified xsi:type="dcterms:W3CDTF">2026-01-21T11:37:31Z</dcterms:modified>
</cp:coreProperties>
</file>