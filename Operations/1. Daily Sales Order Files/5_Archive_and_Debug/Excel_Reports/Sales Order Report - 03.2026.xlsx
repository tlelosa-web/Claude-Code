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91" firstSheet="10" activeTab="18" autoFilterDateGrouping="1"/>
  </bookViews>
  <sheets>
    <sheet name="02.03.2026" sheetId="1" state="visible" r:id="rId1"/>
    <sheet name="04.03.2026" sheetId="2" state="visible" r:id="rId2"/>
    <sheet name="09.03.2026" sheetId="3" state="visible" r:id="rId3"/>
    <sheet name="10.03.2026" sheetId="4" state="visible" r:id="rId4"/>
    <sheet name="11.03.2026" sheetId="5" state="visible" r:id="rId5"/>
    <sheet name="12.03.2026" sheetId="6" state="visible" r:id="rId6"/>
    <sheet name="13.03.2026" sheetId="7" state="visible" r:id="rId7"/>
    <sheet name="16.03.2026" sheetId="8" state="visible" r:id="rId8"/>
    <sheet name="17.03.2026" sheetId="9" state="visible" r:id="rId9"/>
    <sheet name="18.03.2026" sheetId="10" state="visible" r:id="rId10"/>
    <sheet name="19.03.2026" sheetId="11" state="visible" r:id="rId11"/>
    <sheet name="20.03.2026" sheetId="12" state="visible" r:id="rId12"/>
    <sheet name="23.03.2026" sheetId="13" state="visible" r:id="rId13"/>
    <sheet name="24.03.2026" sheetId="14" state="visible" r:id="rId14"/>
    <sheet name="25.03.2026" sheetId="15" state="visible" r:id="rId15"/>
    <sheet name="26.03.2026" sheetId="16" state="visible" r:id="rId16"/>
    <sheet name="27.03.2026" sheetId="17" state="visible" r:id="rId17"/>
    <sheet name="30.03.2026" sheetId="18" state="visible" r:id="rId18"/>
    <sheet name="31.03.2026" sheetId="19" state="visible" r:id="rId19"/>
  </sheets>
  <definedNames>
    <definedName name="_xlnm.Print_Titles" localSheetId="0">'02.03.2026'!$2:$2</definedName>
    <definedName name="_xlnm.Print_Titles" localSheetId="1">'04.03.2026'!$2:$2</definedName>
    <definedName name="_xlnm.Print_Titles" localSheetId="2">'09.03.2026'!$2:$2</definedName>
    <definedName name="_xlnm.Print_Titles" localSheetId="3">'10.03.2026'!$2:$2</definedName>
    <definedName name="_xlnm.Print_Titles" localSheetId="4">'11.03.2026'!$2:$2</definedName>
    <definedName name="_xlnm.Print_Titles" localSheetId="5">'12.03.2026'!$2:$2</definedName>
    <definedName name="_xlnm.Print_Titles" localSheetId="6">'13.03.2026'!$2:$2</definedName>
    <definedName name="_xlnm.Print_Titles" localSheetId="7">'16.03.2026'!$2:$2</definedName>
    <definedName name="_xlnm.Print_Area" localSheetId="8">'17.03.2026'!$A$2:$L$40</definedName>
    <definedName name="_xlnm.Print_Area" localSheetId="9">'18.03.2026'!$A$1:$L$33</definedName>
    <definedName name="_xlnm.Print_Area" localSheetId="10">'19.03.2026'!$A$1:$L$40</definedName>
    <definedName name="_xlnm.Print_Area" localSheetId="11">'20.03.2026'!$A$2:$L$42</definedName>
    <definedName name="_xlnm.Print_Area" localSheetId="12">'23.03.2026'!$A$1:$L$38</definedName>
    <definedName name="_xlnm.Print_Area" localSheetId="13">'24.03.2026'!$A$1:$L$38</definedName>
    <definedName name="_xlnm.Print_Titles" localSheetId="14">'25.03.2026'!$1:$2</definedName>
    <definedName name="_xlnm.Print_Area" localSheetId="14">'25.03.2026'!$A$1:$L$37</definedName>
    <definedName name="_xlnm.Print_Area" localSheetId="15">'26.03.2026'!$A$1:$L$29</definedName>
    <definedName name="_xlnm.Print_Area" localSheetId="16">'27.03.2026'!$A$1:$L$35</definedName>
    <definedName name="_xlnm.Print_Area" localSheetId="17">'30.03.2026'!$A$1:$L$32</definedName>
    <definedName name="_xlnm.Print_Area" localSheetId="18">'31.03.2026'!$A$1:$L$29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R&quot;* #,##0.00_-;\-&quot;R&quot;* #,##0.00_-;_-&quot;R&quot;* &quot;-&quot;??_-;_-@_-"/>
    <numFmt numFmtId="165" formatCode="\R#,##0.00\ "/>
    <numFmt numFmtId="166" formatCode="\R#,##0.00"/>
    <numFmt numFmtId="167" formatCode="&quot;R&quot;\ #,##0.00"/>
    <numFmt numFmtId="168" formatCode="&quot;R&quot;#,##0.00"/>
  </numFmts>
  <fonts count="4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1"/>
      <u val="single"/>
    </font>
    <font>
      <name val="Aptos Narrow"/>
      <family val="2"/>
      <b val="1"/>
      <sz val="11"/>
    </font>
    <font>
      <name val="Aptos Narrow"/>
      <family val="2"/>
      <b val="1"/>
      <color rgb="FFFFFFFF"/>
      <sz val="11"/>
    </font>
    <font>
      <name val="Aptos Narrow"/>
      <b val="1"/>
      <color rgb="FFFFFFFF"/>
      <sz val="11"/>
    </font>
    <font>
      <name val="Aptos Narrow"/>
      <b val="1"/>
      <sz val="11"/>
      <u val="single"/>
    </font>
    <font>
      <name val="Aptos Narrow"/>
      <b val="1"/>
      <sz val="11"/>
    </font>
    <font>
      <name val="Aptos Narrow"/>
      <family val="2"/>
      <b val="1"/>
      <color theme="1"/>
      <sz val="22"/>
      <scheme val="minor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sz val="11"/>
      <u val="single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sz val="11"/>
      <u val="single"/>
    </font>
    <font>
      <name val="Aptos Narrow"/>
      <b val="1"/>
      <sz val="14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  <u val="single"/>
    </font>
    <font>
      <name val="Aptos Narrow"/>
      <b val="1"/>
      <sz val="14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  <u val="single"/>
    </font>
    <font>
      <name val="Aptos Narrow"/>
      <family val="2"/>
      <b val="1"/>
      <sz val="14"/>
    </font>
    <font>
      <name val="Aptos Narrow"/>
      <b val="1"/>
      <sz val="14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  <u val="single"/>
    </font>
    <font>
      <name val="Aptos Narrow"/>
      <b val="1"/>
      <sz val="14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  <u val="single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b val="1"/>
      <sz val="11"/>
      <u val="single"/>
    </font>
    <font>
      <name val="Aptos Narrow"/>
      <family val="2"/>
      <b val="1"/>
      <sz val="20"/>
    </font>
    <font>
      <name val="Aptos Narrow"/>
      <family val="2"/>
      <color theme="1"/>
      <sz val="2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i val="1"/>
      <color theme="1"/>
      <sz val="11"/>
      <scheme val="minor"/>
    </font>
  </fonts>
  <fills count="2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theme="5" tint="0.799981688894314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/>
    </xf>
    <xf numFmtId="0" fontId="3" fillId="2" borderId="2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/>
    </xf>
    <xf numFmtId="164" fontId="3" fillId="2" borderId="3" applyAlignment="1" pivotButton="0" quotePrefix="0" xfId="0">
      <alignment horizontal="center" vertical="top" wrapText="1"/>
    </xf>
    <xf numFmtId="0" fontId="3" fillId="2" borderId="4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/>
    </xf>
    <xf numFmtId="14" fontId="0" fillId="0" borderId="5" applyAlignment="1" pivotButton="0" quotePrefix="0" xfId="0">
      <alignment horizontal="center" vertical="top"/>
    </xf>
    <xf numFmtId="14" fontId="0" fillId="0" borderId="6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/>
    </xf>
    <xf numFmtId="0" fontId="0" fillId="0" borderId="6" applyAlignment="1" pivotButton="0" quotePrefix="0" xfId="0">
      <alignment horizontal="left" vertical="top" wrapText="1"/>
    </xf>
    <xf numFmtId="0" fontId="0" fillId="0" borderId="6" applyAlignment="1" pivotButton="0" quotePrefix="0" xfId="0">
      <alignment vertical="top" wrapText="1"/>
    </xf>
    <xf numFmtId="164" fontId="0" fillId="0" borderId="6" applyAlignment="1" pivotButton="0" quotePrefix="0" xfId="0">
      <alignment horizontal="right" vertical="top"/>
    </xf>
    <xf numFmtId="0" fontId="1" fillId="0" borderId="6" applyAlignment="1" pivotButton="0" quotePrefix="0" xfId="0">
      <alignment horizontal="center" vertical="top" wrapText="1"/>
    </xf>
    <xf numFmtId="14" fontId="0" fillId="0" borderId="7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4" fontId="1" fillId="3" borderId="5" applyAlignment="1" pivotButton="0" quotePrefix="0" xfId="0">
      <alignment horizontal="center" vertical="top" wrapText="1"/>
    </xf>
    <xf numFmtId="14" fontId="1" fillId="3" borderId="6" applyAlignment="1" pivotButton="0" quotePrefix="0" xfId="0">
      <alignment horizontal="center" vertical="top" wrapText="1"/>
    </xf>
    <xf numFmtId="0" fontId="1" fillId="3" borderId="6" applyAlignment="1" pivotButton="0" quotePrefix="0" xfId="0">
      <alignment horizontal="center" vertical="top" wrapText="1"/>
    </xf>
    <xf numFmtId="0" fontId="1" fillId="3" borderId="6" applyAlignment="1" pivotButton="0" quotePrefix="0" xfId="0">
      <alignment horizontal="left" vertical="top" wrapText="1"/>
    </xf>
    <xf numFmtId="0" fontId="1" fillId="3" borderId="6" applyAlignment="1" pivotButton="0" quotePrefix="0" xfId="0">
      <alignment vertical="top" wrapText="1"/>
    </xf>
    <xf numFmtId="164" fontId="1" fillId="3" borderId="6" applyAlignment="1" pivotButton="0" quotePrefix="0" xfId="0">
      <alignment horizontal="right" vertical="top" wrapText="1"/>
    </xf>
    <xf numFmtId="14" fontId="1" fillId="3" borderId="7" applyAlignment="1" pivotButton="0" quotePrefix="0" xfId="0">
      <alignment horizontal="center" vertical="top" wrapText="1"/>
    </xf>
    <xf numFmtId="14" fontId="0" fillId="0" borderId="8" applyAlignment="1" pivotButton="0" quotePrefix="0" xfId="0">
      <alignment horizontal="center" vertical="top"/>
    </xf>
    <xf numFmtId="14" fontId="0" fillId="0" borderId="9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/>
    </xf>
    <xf numFmtId="0" fontId="0" fillId="0" borderId="9" applyAlignment="1" pivotButton="0" quotePrefix="0" xfId="0">
      <alignment horizontal="left" vertical="top" wrapText="1"/>
    </xf>
    <xf numFmtId="0" fontId="0" fillId="0" borderId="9" applyAlignment="1" pivotButton="0" quotePrefix="0" xfId="0">
      <alignment vertical="top" wrapText="1"/>
    </xf>
    <xf numFmtId="164" fontId="0" fillId="0" borderId="9" applyAlignment="1" pivotButton="0" quotePrefix="0" xfId="0">
      <alignment horizontal="right" vertical="top"/>
    </xf>
    <xf numFmtId="0" fontId="1" fillId="0" borderId="9" applyAlignment="1" pivotButton="0" quotePrefix="0" xfId="0">
      <alignment horizontal="center" vertical="top" wrapText="1"/>
    </xf>
    <xf numFmtId="14" fontId="0" fillId="0" borderId="10" applyAlignment="1" pivotButton="0" quotePrefix="0" xfId="0">
      <alignment horizontal="center" vertical="top"/>
    </xf>
    <xf numFmtId="14" fontId="0" fillId="4" borderId="5" applyAlignment="1" pivotButton="0" quotePrefix="0" xfId="0">
      <alignment horizontal="center" vertical="top"/>
    </xf>
    <xf numFmtId="14" fontId="0" fillId="4" borderId="6" applyAlignment="1" pivotButton="0" quotePrefix="0" xfId="0">
      <alignment horizontal="center" vertical="top"/>
    </xf>
    <xf numFmtId="0" fontId="0" fillId="4" borderId="6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/>
    </xf>
    <xf numFmtId="0" fontId="0" fillId="4" borderId="6" applyAlignment="1" pivotButton="0" quotePrefix="0" xfId="0">
      <alignment horizontal="left" vertical="top" wrapText="1"/>
    </xf>
    <xf numFmtId="0" fontId="0" fillId="4" borderId="6" applyAlignment="1" pivotButton="0" quotePrefix="0" xfId="0">
      <alignment vertical="top" wrapText="1"/>
    </xf>
    <xf numFmtId="164" fontId="0" fillId="4" borderId="6" applyAlignment="1" pivotButton="0" quotePrefix="0" xfId="0">
      <alignment horizontal="right" vertical="top"/>
    </xf>
    <xf numFmtId="0" fontId="1" fillId="4" borderId="6" applyAlignment="1" pivotButton="0" quotePrefix="0" xfId="0">
      <alignment horizontal="center" vertical="top" wrapText="1"/>
    </xf>
    <xf numFmtId="14" fontId="0" fillId="4" borderId="7" applyAlignment="1" pivotButton="0" quotePrefix="0" xfId="0">
      <alignment horizontal="center" vertical="top"/>
    </xf>
    <xf numFmtId="164" fontId="5" fillId="0" borderId="7" applyAlignment="1" pivotButton="0" quotePrefix="0" xfId="0">
      <alignment horizontal="center" vertical="top"/>
    </xf>
    <xf numFmtId="164" fontId="1" fillId="0" borderId="11" applyAlignment="1" pivotButton="0" quotePrefix="0" xfId="0">
      <alignment horizontal="right" vertical="top"/>
    </xf>
    <xf numFmtId="0" fontId="0" fillId="0" borderId="5" applyAlignment="1" pivotButton="0" quotePrefix="0" xfId="0">
      <alignment vertical="top" wrapText="1"/>
    </xf>
    <xf numFmtId="1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vertical="top"/>
    </xf>
    <xf numFmtId="164" fontId="0" fillId="0" borderId="9" applyAlignment="1" pivotButton="0" quotePrefix="0" xfId="0">
      <alignment horizontal="left" vertical="top"/>
    </xf>
    <xf numFmtId="164" fontId="1" fillId="0" borderId="11" applyAlignment="1" pivotButton="0" quotePrefix="0" xfId="0">
      <alignment vertical="top" wrapText="1"/>
    </xf>
    <xf numFmtId="164" fontId="0" fillId="0" borderId="9" applyAlignment="1" pivotButton="0" quotePrefix="0" xfId="0">
      <alignment vertical="top"/>
    </xf>
    <xf numFmtId="164" fontId="1" fillId="0" borderId="9" applyAlignment="1" pivotButton="0" quotePrefix="0" xfId="0">
      <alignment vertical="top"/>
    </xf>
    <xf numFmtId="164" fontId="1" fillId="0" borderId="0" applyAlignment="1" pivotButton="0" quotePrefix="0" xfId="0">
      <alignment horizontal="center" vertical="top"/>
    </xf>
    <xf numFmtId="0" fontId="1" fillId="2" borderId="9" applyAlignment="1" pivotButton="0" quotePrefix="0" xfId="0">
      <alignment horizontal="center" vertical="top" wrapText="1"/>
    </xf>
    <xf numFmtId="164" fontId="1" fillId="2" borderId="9" applyAlignment="1" pivotButton="0" quotePrefix="0" xfId="0">
      <alignment horizontal="center" vertical="top" wrapText="1"/>
    </xf>
    <xf numFmtId="164" fontId="1" fillId="2" borderId="10" applyAlignment="1" pivotButton="0" quotePrefix="0" xfId="0">
      <alignment horizontal="center" vertical="top" wrapText="1"/>
    </xf>
    <xf numFmtId="164" fontId="1" fillId="2" borderId="12" applyAlignment="1" pivotButton="0" quotePrefix="0" xfId="0">
      <alignment horizontal="center" vertical="top" wrapText="1"/>
    </xf>
    <xf numFmtId="0" fontId="1" fillId="2" borderId="8" applyAlignment="1" pivotButton="0" quotePrefix="0" xfId="0">
      <alignment horizontal="center" vertical="top" wrapText="1"/>
    </xf>
    <xf numFmtId="164" fontId="0" fillId="0" borderId="10" applyAlignment="1" pivotButton="0" quotePrefix="0" xfId="0">
      <alignment horizontal="right" vertical="top"/>
    </xf>
    <xf numFmtId="164" fontId="0" fillId="0" borderId="13" applyAlignment="1" pivotButton="0" quotePrefix="0" xfId="0">
      <alignment horizontal="right" vertical="top"/>
    </xf>
    <xf numFmtId="0" fontId="0" fillId="0" borderId="8" applyAlignment="1" pivotButton="0" quotePrefix="0" xfId="0">
      <alignment vertical="top" wrapText="1"/>
    </xf>
    <xf numFmtId="164" fontId="1" fillId="0" borderId="14" applyAlignment="1" pivotButton="0" quotePrefix="0" xfId="0">
      <alignment horizontal="right" vertical="top"/>
    </xf>
    <xf numFmtId="0" fontId="1" fillId="3" borderId="9" applyAlignment="1" pivotButton="0" quotePrefix="0" xfId="0">
      <alignment horizontal="center" vertical="top" wrapText="1"/>
    </xf>
    <xf numFmtId="164" fontId="0" fillId="0" borderId="9" applyAlignment="1" pivotButton="0" quotePrefix="0" xfId="0">
      <alignment horizontal="center" vertical="top"/>
    </xf>
    <xf numFmtId="14" fontId="0" fillId="4" borderId="8" applyAlignment="1" pivotButton="0" quotePrefix="0" xfId="0">
      <alignment horizontal="center" vertical="top"/>
    </xf>
    <xf numFmtId="14" fontId="0" fillId="4" borderId="9" applyAlignment="1" pivotButton="0" quotePrefix="0" xfId="0">
      <alignment horizontal="center" vertical="top"/>
    </xf>
    <xf numFmtId="0" fontId="0" fillId="4" borderId="9" applyAlignment="1" pivotButton="0" quotePrefix="0" xfId="0">
      <alignment horizontal="left" vertical="top" wrapText="1"/>
    </xf>
    <xf numFmtId="0" fontId="0" fillId="4" borderId="9" applyAlignment="1" pivotButton="0" quotePrefix="0" xfId="0">
      <alignment vertical="top" wrapText="1"/>
    </xf>
    <xf numFmtId="164" fontId="0" fillId="4" borderId="9" applyAlignment="1" pivotButton="0" quotePrefix="0" xfId="0">
      <alignment horizontal="right" vertical="top"/>
    </xf>
    <xf numFmtId="0" fontId="0" fillId="4" borderId="9" applyAlignment="1" pivotButton="0" quotePrefix="0" xfId="0">
      <alignment horizontal="center" vertical="top" wrapText="1"/>
    </xf>
    <xf numFmtId="0" fontId="1" fillId="4" borderId="9" applyAlignment="1" pivotButton="0" quotePrefix="0" xfId="0">
      <alignment horizontal="center" vertical="top" wrapText="1"/>
    </xf>
    <xf numFmtId="165" fontId="0" fillId="0" borderId="0" applyAlignment="1" pivotButton="0" quotePrefix="0" xfId="0">
      <alignment horizontal="right" vertical="top"/>
    </xf>
    <xf numFmtId="164" fontId="1" fillId="0" borderId="9" applyAlignment="1" pivotButton="0" quotePrefix="0" xfId="0">
      <alignment horizontal="center" vertical="top"/>
    </xf>
    <xf numFmtId="166" fontId="1" fillId="0" borderId="14" applyAlignment="1" pivotButton="0" quotePrefix="0" xfId="0">
      <alignment horizontal="right" vertical="top"/>
    </xf>
    <xf numFmtId="166" fontId="0" fillId="0" borderId="13" applyAlignment="1" pivotButton="0" quotePrefix="0" xfId="0">
      <alignment horizontal="right" vertical="top"/>
    </xf>
    <xf numFmtId="164" fontId="1" fillId="0" borderId="9" applyAlignment="1" pivotButton="0" quotePrefix="0" xfId="0">
      <alignment horizontal="left" vertical="top"/>
    </xf>
    <xf numFmtId="0" fontId="1" fillId="0" borderId="0" applyAlignment="1" pivotButton="0" quotePrefix="0" xfId="0">
      <alignment horizontal="right" vertical="top" wrapText="1"/>
    </xf>
    <xf numFmtId="0" fontId="1" fillId="2" borderId="10" applyAlignment="1" pivotButton="0" quotePrefix="0" xfId="0">
      <alignment horizontal="center" vertical="top" wrapText="1"/>
    </xf>
    <xf numFmtId="0" fontId="0" fillId="0" borderId="1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10" applyAlignment="1" pivotButton="0" quotePrefix="0" xfId="0">
      <alignment horizontal="center" vertical="top"/>
    </xf>
    <xf numFmtId="164" fontId="1" fillId="0" borderId="9" applyAlignment="1" pivotButton="0" quotePrefix="0" xfId="0">
      <alignment horizontal="left" vertical="top" wrapText="1"/>
    </xf>
    <xf numFmtId="164" fontId="1" fillId="0" borderId="9" applyAlignment="1" pivotButton="0" quotePrefix="0" xfId="0">
      <alignment horizontal="righ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7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4" fontId="0" fillId="0" borderId="9" applyAlignment="1" pivotButton="0" quotePrefix="0" xfId="0">
      <alignment horizontal="center" vertical="top" wrapText="1"/>
    </xf>
    <xf numFmtId="14" fontId="0" fillId="0" borderId="9" applyAlignment="1" pivotButton="0" quotePrefix="0" xfId="0">
      <alignment vertical="top" wrapText="1"/>
    </xf>
    <xf numFmtId="14" fontId="0" fillId="5" borderId="9" applyAlignment="1" pivotButton="0" quotePrefix="0" xfId="0">
      <alignment horizontal="center" vertical="top" wrapText="1"/>
    </xf>
    <xf numFmtId="0" fontId="0" fillId="5" borderId="9" applyAlignment="1" pivotButton="0" quotePrefix="0" xfId="0">
      <alignment vertical="top" wrapText="1"/>
    </xf>
    <xf numFmtId="0" fontId="0" fillId="5" borderId="9" applyAlignment="1" pivotButton="0" quotePrefix="0" xfId="0">
      <alignment horizontal="center" vertical="top" wrapText="1"/>
    </xf>
    <xf numFmtId="14" fontId="0" fillId="5" borderId="9" applyAlignment="1" pivotButton="0" quotePrefix="0" xfId="0">
      <alignment vertical="top" wrapText="1"/>
    </xf>
    <xf numFmtId="0" fontId="8" fillId="6" borderId="9" applyAlignment="1" pivotButton="0" quotePrefix="0" xfId="0">
      <alignment horizontal="center" vertical="center" wrapText="1"/>
    </xf>
    <xf numFmtId="14" fontId="0" fillId="4" borderId="9" applyAlignment="1" pivotButton="0" quotePrefix="0" xfId="0">
      <alignment vertical="top" wrapText="1"/>
    </xf>
    <xf numFmtId="14" fontId="0" fillId="4" borderId="9" applyAlignment="1" pivotButton="0" quotePrefix="0" xfId="0">
      <alignment horizontal="center" vertical="top" wrapText="1"/>
    </xf>
    <xf numFmtId="0" fontId="8" fillId="6" borderId="10" applyAlignment="1" pivotButton="0" quotePrefix="0" xfId="0">
      <alignment horizontal="center" vertical="center" wrapText="1"/>
    </xf>
    <xf numFmtId="0" fontId="0" fillId="5" borderId="10" applyAlignment="1" pivotButton="0" quotePrefix="0" xfId="0">
      <alignment vertical="top" wrapText="1"/>
    </xf>
    <xf numFmtId="0" fontId="8" fillId="6" borderId="8" applyAlignment="1" pivotButton="0" quotePrefix="0" xfId="0">
      <alignment horizontal="center" vertical="center" wrapText="1"/>
    </xf>
    <xf numFmtId="0" fontId="0" fillId="5" borderId="8" applyAlignment="1" pivotButton="0" quotePrefix="0" xfId="0">
      <alignment vertical="top" wrapText="1"/>
    </xf>
    <xf numFmtId="0" fontId="8" fillId="6" borderId="12" applyAlignment="1" pivotButton="0" quotePrefix="0" xfId="0">
      <alignment horizontal="center" vertical="center" wrapText="1"/>
    </xf>
    <xf numFmtId="167" fontId="0" fillId="5" borderId="13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4" borderId="8" applyAlignment="1" pivotButton="0" quotePrefix="0" xfId="0">
      <alignment vertical="top" wrapText="1"/>
    </xf>
    <xf numFmtId="167" fontId="0" fillId="0" borderId="13" applyAlignment="1" pivotButton="0" quotePrefix="0" xfId="0">
      <alignment vertical="top" wrapText="1"/>
    </xf>
    <xf numFmtId="167" fontId="0" fillId="4" borderId="13" applyAlignment="1" pivotButton="0" quotePrefix="0" xfId="0">
      <alignment vertical="top" wrapText="1"/>
    </xf>
    <xf numFmtId="167" fontId="7" fillId="0" borderId="14" pivotButton="0" quotePrefix="0" xfId="0"/>
    <xf numFmtId="167" fontId="1" fillId="0" borderId="0" pivotButton="0" quotePrefix="0" xfId="0"/>
    <xf numFmtId="167" fontId="1" fillId="0" borderId="0" applyAlignment="1" pivotButton="0" quotePrefix="0" xfId="0">
      <alignment horizontal="center"/>
    </xf>
    <xf numFmtId="167" fontId="1" fillId="0" borderId="14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9" applyAlignment="1" pivotButton="0" quotePrefix="0" xfId="0">
      <alignment vertical="top"/>
    </xf>
    <xf numFmtId="0" fontId="8" fillId="6" borderId="9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6" borderId="12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1" fillId="0" borderId="16" pivotButton="0" quotePrefix="0" xfId="0"/>
    <xf numFmtId="0" fontId="0" fillId="0" borderId="16" pivotButton="0" quotePrefix="0" xfId="0"/>
    <xf numFmtId="167" fontId="0" fillId="0" borderId="16" pivotButton="0" quotePrefix="0" xfId="0"/>
    <xf numFmtId="0" fontId="1" fillId="0" borderId="17" pivotButton="0" quotePrefix="0" xfId="0"/>
    <xf numFmtId="0" fontId="1" fillId="0" borderId="19" pivotButton="0" quotePrefix="0" xfId="0"/>
    <xf numFmtId="0" fontId="0" fillId="0" borderId="19" pivotButton="0" quotePrefix="0" xfId="0"/>
    <xf numFmtId="167" fontId="0" fillId="0" borderId="19" pivotButton="0" quotePrefix="0" xfId="0"/>
    <xf numFmtId="0" fontId="1" fillId="0" borderId="20" pivotButton="0" quotePrefix="0" xfId="0"/>
    <xf numFmtId="0" fontId="10" fillId="0" borderId="0" pivotButton="0" quotePrefix="0" xfId="0"/>
    <xf numFmtId="167" fontId="11" fillId="0" borderId="14" pivotButton="0" quotePrefix="0" xfId="0"/>
    <xf numFmtId="0" fontId="11" fillId="0" borderId="0" pivotButton="0" quotePrefix="0" xfId="0"/>
    <xf numFmtId="14" fontId="0" fillId="7" borderId="9" applyAlignment="1" pivotButton="0" quotePrefix="0" xfId="0">
      <alignment vertical="top" wrapText="1"/>
    </xf>
    <xf numFmtId="0" fontId="0" fillId="7" borderId="9" applyAlignment="1" pivotButton="0" quotePrefix="0" xfId="0">
      <alignment vertical="top" wrapText="1"/>
    </xf>
    <xf numFmtId="0" fontId="0" fillId="7" borderId="9" applyAlignment="1" pivotButton="0" quotePrefix="0" xfId="0">
      <alignment horizontal="center" vertical="top" wrapText="1"/>
    </xf>
    <xf numFmtId="0" fontId="0" fillId="7" borderId="8" applyAlignment="1" pivotButton="0" quotePrefix="0" xfId="0">
      <alignment vertical="top" wrapText="1"/>
    </xf>
    <xf numFmtId="167" fontId="0" fillId="7" borderId="13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14" fontId="0" fillId="7" borderId="9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 wrapText="1"/>
    </xf>
    <xf numFmtId="164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 wrapText="1"/>
    </xf>
    <xf numFmtId="0" fontId="0" fillId="5" borderId="9" applyAlignment="1" pivotButton="0" quotePrefix="0" xfId="0">
      <alignment horizontal="center" vertical="top"/>
    </xf>
    <xf numFmtId="0" fontId="0" fillId="4" borderId="9" applyAlignment="1" pivotButton="0" quotePrefix="0" xfId="0">
      <alignment horizontal="center" vertical="top"/>
    </xf>
    <xf numFmtId="0" fontId="0" fillId="7" borderId="9" applyAlignment="1" pivotButton="0" quotePrefix="0" xfId="0">
      <alignment horizontal="center" vertical="top"/>
    </xf>
    <xf numFmtId="167" fontId="0" fillId="0" borderId="18" applyAlignment="1" pivotButton="0" quotePrefix="0" xfId="0">
      <alignment horizontal="center"/>
    </xf>
    <xf numFmtId="167" fontId="0" fillId="0" borderId="15" applyAlignment="1" pivotButton="0" quotePrefix="0" xfId="0">
      <alignment horizontal="center"/>
    </xf>
    <xf numFmtId="0" fontId="13" fillId="8" borderId="21" applyAlignment="1" pivotButton="0" quotePrefix="0" xfId="0">
      <alignment horizontal="center" vertical="center" wrapText="1"/>
    </xf>
    <xf numFmtId="14" fontId="0" fillId="0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167" fontId="0" fillId="0" borderId="21" applyAlignment="1" pivotButton="0" quotePrefix="0" xfId="0">
      <alignment vertical="top" wrapText="1"/>
    </xf>
    <xf numFmtId="0" fontId="14" fillId="0" borderId="0" pivotButton="0" quotePrefix="0" xfId="0"/>
    <xf numFmtId="167" fontId="14" fillId="0" borderId="0" pivotButton="0" quotePrefix="0" xfId="0"/>
    <xf numFmtId="0" fontId="15" fillId="0" borderId="0" pivotButton="0" quotePrefix="0" xfId="0"/>
    <xf numFmtId="14" fontId="0" fillId="9" borderId="21" applyAlignment="1" pivotButton="0" quotePrefix="0" xfId="0">
      <alignment vertical="top" wrapText="1"/>
    </xf>
    <xf numFmtId="0" fontId="0" fillId="9" borderId="21" applyAlignment="1" pivotButton="0" quotePrefix="0" xfId="0">
      <alignment vertical="top" wrapText="1"/>
    </xf>
    <xf numFmtId="167" fontId="0" fillId="9" borderId="21" applyAlignment="1" pivotButton="0" quotePrefix="0" xfId="0">
      <alignment vertical="top" wrapText="1"/>
    </xf>
    <xf numFmtId="0" fontId="0" fillId="9" borderId="21" applyAlignment="1" pivotButton="0" quotePrefix="0" xfId="0">
      <alignment horizontal="center" vertical="top" wrapText="1"/>
    </xf>
    <xf numFmtId="0" fontId="0" fillId="0" borderId="21" applyAlignment="1" pivotButton="0" quotePrefix="0" xfId="0">
      <alignment horizontal="center" vertical="top" wrapText="1"/>
    </xf>
    <xf numFmtId="0" fontId="16" fillId="10" borderId="22" applyAlignment="1" pivotButton="0" quotePrefix="0" xfId="0">
      <alignment horizontal="center" vertical="center" wrapText="1"/>
    </xf>
    <xf numFmtId="0" fontId="0" fillId="11" borderId="22" applyAlignment="1" pivotButton="0" quotePrefix="0" xfId="0">
      <alignment vertical="top" wrapText="1"/>
    </xf>
    <xf numFmtId="167" fontId="0" fillId="11" borderId="22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167" fontId="0" fillId="0" borderId="22" applyAlignment="1" pivotButton="0" quotePrefix="0" xfId="0">
      <alignment vertical="top" wrapText="1"/>
    </xf>
    <xf numFmtId="0" fontId="17" fillId="0" borderId="0" pivotButton="0" quotePrefix="0" xfId="0"/>
    <xf numFmtId="167" fontId="17" fillId="0" borderId="0" pivotButton="0" quotePrefix="0" xfId="0"/>
    <xf numFmtId="0" fontId="18" fillId="0" borderId="0" pivotButton="0" quotePrefix="0" xfId="0"/>
    <xf numFmtId="0" fontId="0" fillId="0" borderId="22" applyAlignment="1" pivotButton="0" quotePrefix="0" xfId="0">
      <alignment horizontal="center" vertical="top" wrapText="1"/>
    </xf>
    <xf numFmtId="0" fontId="9" fillId="10" borderId="22" applyAlignment="1" pivotButton="0" quotePrefix="0" xfId="0">
      <alignment horizontal="center" vertical="center" wrapText="1"/>
    </xf>
    <xf numFmtId="14" fontId="0" fillId="11" borderId="22" applyAlignment="1" pivotButton="0" quotePrefix="0" xfId="0">
      <alignment horizontal="center" vertical="top" wrapText="1"/>
    </xf>
    <xf numFmtId="0" fontId="0" fillId="11" borderId="22" applyAlignment="1" pivotButton="0" quotePrefix="0" xfId="0">
      <alignment horizontal="center" vertical="top" wrapText="1"/>
    </xf>
    <xf numFmtId="14" fontId="0" fillId="0" borderId="22" applyAlignment="1" pivotButton="0" quotePrefix="0" xfId="0">
      <alignment horizontal="center" vertical="top" wrapText="1"/>
    </xf>
    <xf numFmtId="14" fontId="0" fillId="12" borderId="22" applyAlignment="1" pivotButton="0" quotePrefix="0" xfId="0">
      <alignment horizontal="center" vertical="top" wrapText="1"/>
    </xf>
    <xf numFmtId="0" fontId="0" fillId="12" borderId="22" applyAlignment="1" pivotButton="0" quotePrefix="0" xfId="0">
      <alignment horizontal="center" vertical="top" wrapText="1"/>
    </xf>
    <xf numFmtId="0" fontId="0" fillId="12" borderId="22" applyAlignment="1" pivotButton="0" quotePrefix="0" xfId="0">
      <alignment vertical="top" wrapText="1"/>
    </xf>
    <xf numFmtId="167" fontId="0" fillId="12" borderId="22" applyAlignment="1" pivotButton="0" quotePrefix="0" xfId="0">
      <alignment vertical="top" wrapText="1"/>
    </xf>
    <xf numFmtId="0" fontId="0" fillId="13" borderId="0" pivotButton="0" quotePrefix="0" xfId="0"/>
    <xf numFmtId="0" fontId="19" fillId="0" borderId="0" pivotButton="0" quotePrefix="0" xfId="0"/>
    <xf numFmtId="14" fontId="20" fillId="0" borderId="0" pivotButton="0" quotePrefix="0" xfId="0"/>
    <xf numFmtId="0" fontId="21" fillId="14" borderId="23" applyAlignment="1" pivotButton="0" quotePrefix="0" xfId="0">
      <alignment horizontal="center" vertical="center" wrapText="1"/>
    </xf>
    <xf numFmtId="14" fontId="0" fillId="15" borderId="23" applyAlignment="1" pivotButton="0" quotePrefix="0" xfId="0">
      <alignment horizontal="center" vertical="top" wrapText="1"/>
    </xf>
    <xf numFmtId="0" fontId="0" fillId="15" borderId="23" applyAlignment="1" pivotButton="0" quotePrefix="0" xfId="0">
      <alignment horizontal="center" vertical="top" wrapText="1"/>
    </xf>
    <xf numFmtId="0" fontId="0" fillId="15" borderId="23" applyAlignment="1" pivotButton="0" quotePrefix="0" xfId="0">
      <alignment horizontal="left" vertical="top" wrapText="1"/>
    </xf>
    <xf numFmtId="167" fontId="0" fillId="15" borderId="23" applyAlignment="1" pivotButton="0" quotePrefix="0" xfId="0">
      <alignment vertical="top" wrapText="1"/>
    </xf>
    <xf numFmtId="14" fontId="0" fillId="0" borderId="23" applyAlignment="1" pivotButton="0" quotePrefix="0" xfId="0">
      <alignment horizontal="center" vertical="top" wrapText="1"/>
    </xf>
    <xf numFmtId="0" fontId="0" fillId="0" borderId="23" applyAlignment="1" pivotButton="0" quotePrefix="0" xfId="0">
      <alignment horizontal="center" vertical="top" wrapText="1"/>
    </xf>
    <xf numFmtId="0" fontId="0" fillId="0" borderId="23" applyAlignment="1" pivotButton="0" quotePrefix="0" xfId="0">
      <alignment horizontal="left" vertical="top" wrapText="1"/>
    </xf>
    <xf numFmtId="167" fontId="0" fillId="0" borderId="23" applyAlignment="1" pivotButton="0" quotePrefix="0" xfId="0">
      <alignment vertical="top" wrapText="1"/>
    </xf>
    <xf numFmtId="0" fontId="20" fillId="0" borderId="0" pivotButton="0" quotePrefix="0" xfId="0"/>
    <xf numFmtId="167" fontId="20" fillId="0" borderId="0" pivotButton="0" quotePrefix="0" xfId="0"/>
    <xf numFmtId="0" fontId="22" fillId="0" borderId="0" pivotButton="0" quotePrefix="0" xfId="0"/>
    <xf numFmtId="14" fontId="0" fillId="0" borderId="23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23" fillId="0" borderId="0" pivotButton="0" quotePrefix="0" xfId="0"/>
    <xf numFmtId="14" fontId="24" fillId="0" borderId="0" pivotButton="0" quotePrefix="0" xfId="0"/>
    <xf numFmtId="0" fontId="25" fillId="16" borderId="24" applyAlignment="1" pivotButton="0" quotePrefix="0" xfId="0">
      <alignment horizontal="center" vertical="center" wrapText="1"/>
    </xf>
    <xf numFmtId="14" fontId="0" fillId="17" borderId="24" applyAlignment="1" pivotButton="0" quotePrefix="0" xfId="0">
      <alignment horizontal="center" vertical="top" wrapText="1"/>
    </xf>
    <xf numFmtId="0" fontId="0" fillId="17" borderId="24" applyAlignment="1" pivotButton="0" quotePrefix="0" xfId="0">
      <alignment horizontal="center" vertical="top" wrapText="1"/>
    </xf>
    <xf numFmtId="0" fontId="0" fillId="17" borderId="24" applyAlignment="1" pivotButton="0" quotePrefix="0" xfId="0">
      <alignment horizontal="left" vertical="top" wrapText="1"/>
    </xf>
    <xf numFmtId="167" fontId="0" fillId="17" borderId="24" applyAlignment="1" pivotButton="0" quotePrefix="0" xfId="0">
      <alignment vertical="top" wrapText="1"/>
    </xf>
    <xf numFmtId="14" fontId="0" fillId="0" borderId="24" applyAlignment="1" pivotButton="0" quotePrefix="0" xfId="0">
      <alignment horizontal="center" vertical="top" wrapText="1"/>
    </xf>
    <xf numFmtId="0" fontId="0" fillId="0" borderId="24" applyAlignment="1" pivotButton="0" quotePrefix="0" xfId="0">
      <alignment horizontal="center" vertical="top" wrapText="1"/>
    </xf>
    <xf numFmtId="0" fontId="0" fillId="0" borderId="24" applyAlignment="1" pivotButton="0" quotePrefix="0" xfId="0">
      <alignment horizontal="left" vertical="top" wrapText="1"/>
    </xf>
    <xf numFmtId="167" fontId="0" fillId="0" borderId="24" applyAlignment="1" pivotButton="0" quotePrefix="0" xfId="0">
      <alignment vertical="top" wrapText="1"/>
    </xf>
    <xf numFmtId="0" fontId="24" fillId="0" borderId="0" pivotButton="0" quotePrefix="0" xfId="0"/>
    <xf numFmtId="167" fontId="24" fillId="0" borderId="0" pivotButton="0" quotePrefix="0" xfId="0"/>
    <xf numFmtId="0" fontId="26" fillId="0" borderId="0" pivotButton="0" quotePrefix="0" xfId="0"/>
    <xf numFmtId="14" fontId="0" fillId="0" borderId="24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14" fontId="0" fillId="19" borderId="25" applyAlignment="1" pivotButton="0" quotePrefix="0" xfId="0">
      <alignment horizontal="center" vertical="top" wrapText="1"/>
    </xf>
    <xf numFmtId="0" fontId="0" fillId="19" borderId="25" applyAlignment="1" pivotButton="0" quotePrefix="0" xfId="0">
      <alignment horizontal="center" vertical="top" wrapText="1"/>
    </xf>
    <xf numFmtId="0" fontId="0" fillId="19" borderId="25" applyAlignment="1" pivotButton="0" quotePrefix="0" xfId="0">
      <alignment horizontal="left" vertical="top" wrapText="1"/>
    </xf>
    <xf numFmtId="167" fontId="0" fillId="19" borderId="25" applyAlignment="1" pivotButton="0" quotePrefix="0" xfId="0">
      <alignment vertical="top" wrapText="1"/>
    </xf>
    <xf numFmtId="14" fontId="0" fillId="0" borderId="25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left" vertical="top" wrapText="1"/>
    </xf>
    <xf numFmtId="167" fontId="0" fillId="0" borderId="25" applyAlignment="1" pivotButton="0" quotePrefix="0" xfId="0">
      <alignment vertical="top" wrapText="1"/>
    </xf>
    <xf numFmtId="0" fontId="27" fillId="0" borderId="0" pivotButton="0" quotePrefix="0" xfId="0"/>
    <xf numFmtId="14" fontId="7" fillId="0" borderId="0" pivotButton="0" quotePrefix="0" xfId="0"/>
    <xf numFmtId="0" fontId="8" fillId="18" borderId="25" applyAlignment="1" pivotButton="0" quotePrefix="0" xfId="0">
      <alignment horizontal="center" vertical="center" wrapText="1"/>
    </xf>
    <xf numFmtId="167" fontId="7" fillId="0" borderId="0" pivotButton="0" quotePrefix="0" xfId="0"/>
    <xf numFmtId="0" fontId="28" fillId="0" borderId="0" pivotButton="0" quotePrefix="0" xfId="0"/>
    <xf numFmtId="14" fontId="29" fillId="0" borderId="0" pivotButton="0" quotePrefix="0" xfId="0"/>
    <xf numFmtId="0" fontId="30" fillId="20" borderId="26" applyAlignment="1" pivotButton="0" quotePrefix="0" xfId="0">
      <alignment horizontal="center" vertical="center" wrapText="1"/>
    </xf>
    <xf numFmtId="14" fontId="0" fillId="21" borderId="26" applyAlignment="1" pivotButton="0" quotePrefix="0" xfId="0">
      <alignment horizontal="center" vertical="top" wrapText="1"/>
    </xf>
    <xf numFmtId="0" fontId="0" fillId="21" borderId="26" applyAlignment="1" pivotButton="0" quotePrefix="0" xfId="0">
      <alignment horizontal="center" vertical="top" wrapText="1"/>
    </xf>
    <xf numFmtId="0" fontId="0" fillId="21" borderId="26" applyAlignment="1" pivotButton="0" quotePrefix="0" xfId="0">
      <alignment horizontal="left" vertical="top" wrapText="1"/>
    </xf>
    <xf numFmtId="167" fontId="0" fillId="21" borderId="26" applyAlignment="1" pivotButton="0" quotePrefix="0" xfId="0">
      <alignment vertical="top" wrapText="1"/>
    </xf>
    <xf numFmtId="14" fontId="0" fillId="0" borderId="26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left" vertical="top" wrapText="1"/>
    </xf>
    <xf numFmtId="167" fontId="0" fillId="0" borderId="26" applyAlignment="1" pivotButton="0" quotePrefix="0" xfId="0">
      <alignment vertical="top" wrapText="1"/>
    </xf>
    <xf numFmtId="0" fontId="29" fillId="0" borderId="0" pivotButton="0" quotePrefix="0" xfId="0"/>
    <xf numFmtId="167" fontId="29" fillId="0" borderId="0" pivotButton="0" quotePrefix="0" xfId="0"/>
    <xf numFmtId="0" fontId="31" fillId="0" borderId="0" pivotButton="0" quotePrefix="0" xfId="0"/>
    <xf numFmtId="14" fontId="0" fillId="0" borderId="26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8" fillId="2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left" vertical="top" wrapText="1"/>
    </xf>
    <xf numFmtId="0" fontId="32" fillId="0" borderId="0" pivotButton="0" quotePrefix="0" xfId="0"/>
    <xf numFmtId="14" fontId="33" fillId="0" borderId="0" pivotButton="0" quotePrefix="0" xfId="0"/>
    <xf numFmtId="0" fontId="34" fillId="22" borderId="27" applyAlignment="1" pivotButton="0" quotePrefix="0" xfId="0">
      <alignment horizontal="center" vertical="center" wrapText="1"/>
    </xf>
    <xf numFmtId="14" fontId="0" fillId="23" borderId="27" applyAlignment="1" pivotButton="0" quotePrefix="0" xfId="0">
      <alignment horizontal="center" vertical="top" wrapText="1"/>
    </xf>
    <xf numFmtId="0" fontId="0" fillId="23" borderId="27" applyAlignment="1" pivotButton="0" quotePrefix="0" xfId="0">
      <alignment horizontal="center" vertical="top" wrapText="1"/>
    </xf>
    <xf numFmtId="0" fontId="0" fillId="23" borderId="27" applyAlignment="1" pivotButton="0" quotePrefix="0" xfId="0">
      <alignment horizontal="left" vertical="top" wrapText="1"/>
    </xf>
    <xf numFmtId="167" fontId="0" fillId="23" borderId="27" applyAlignment="1" pivotButton="0" quotePrefix="0" xfId="0">
      <alignment vertical="top" wrapText="1"/>
    </xf>
    <xf numFmtId="14" fontId="0" fillId="0" borderId="27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left" vertical="top" wrapText="1"/>
    </xf>
    <xf numFmtId="167" fontId="0" fillId="0" borderId="27" applyAlignment="1" pivotButton="0" quotePrefix="0" xfId="0">
      <alignment vertical="top" wrapText="1"/>
    </xf>
    <xf numFmtId="0" fontId="33" fillId="0" borderId="0" pivotButton="0" quotePrefix="0" xfId="0"/>
    <xf numFmtId="167" fontId="33" fillId="0" borderId="0" pivotButton="0" quotePrefix="0" xfId="0"/>
    <xf numFmtId="0" fontId="35" fillId="0" borderId="0" pivotButton="0" quotePrefix="0" xfId="0"/>
    <xf numFmtId="14" fontId="0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14" fontId="0" fillId="0" borderId="0" pivotButton="0" quotePrefix="0" xfId="0"/>
    <xf numFmtId="14" fontId="34" fillId="22" borderId="27" applyAlignment="1" pivotButton="0" quotePrefix="0" xfId="0">
      <alignment horizontal="center" vertical="center" wrapText="1"/>
    </xf>
    <xf numFmtId="0" fontId="37" fillId="24" borderId="28" applyAlignment="1" pivotButton="0" quotePrefix="0" xfId="0">
      <alignment horizontal="center" vertical="center" wrapText="1"/>
    </xf>
    <xf numFmtId="14" fontId="0" fillId="25" borderId="28" applyAlignment="1" pivotButton="0" quotePrefix="0" xfId="0">
      <alignment horizontal="center" vertical="top" wrapText="1"/>
    </xf>
    <xf numFmtId="0" fontId="0" fillId="25" borderId="28" applyAlignment="1" pivotButton="0" quotePrefix="0" xfId="0">
      <alignment horizontal="center" vertical="top" wrapText="1"/>
    </xf>
    <xf numFmtId="0" fontId="0" fillId="25" borderId="28" applyAlignment="1" pivotButton="0" quotePrefix="0" xfId="0">
      <alignment horizontal="left" vertical="top" wrapText="1"/>
    </xf>
    <xf numFmtId="167" fontId="0" fillId="25" borderId="28" applyAlignment="1" pivotButton="0" quotePrefix="0" xfId="0">
      <alignment vertical="top" wrapText="1"/>
    </xf>
    <xf numFmtId="14" fontId="0" fillId="0" borderId="28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left" vertical="top" wrapText="1"/>
    </xf>
    <xf numFmtId="167" fontId="0" fillId="0" borderId="28" applyAlignment="1" pivotButton="0" quotePrefix="0" xfId="0">
      <alignment vertical="top" wrapText="1"/>
    </xf>
    <xf numFmtId="0" fontId="36" fillId="0" borderId="0" pivotButton="0" quotePrefix="0" xfId="0"/>
    <xf numFmtId="167" fontId="36" fillId="0" borderId="0" pivotButton="0" quotePrefix="0" xfId="0"/>
    <xf numFmtId="0" fontId="38" fillId="0" borderId="0" pivotButton="0" quotePrefix="0" xfId="0"/>
    <xf numFmtId="14" fontId="0" fillId="0" borderId="28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39" fillId="0" borderId="0" pivotButton="0" quotePrefix="0" xfId="0"/>
    <xf numFmtId="0" fontId="40" fillId="0" borderId="0" pivotButton="0" quotePrefix="0" xfId="0"/>
    <xf numFmtId="14" fontId="39" fillId="0" borderId="0" pivotButton="0" quotePrefix="0" xfId="0"/>
    <xf numFmtId="14" fontId="0" fillId="26" borderId="28" applyAlignment="1" pivotButton="0" quotePrefix="0" xfId="0">
      <alignment horizontal="center" vertical="top" wrapText="1"/>
    </xf>
    <xf numFmtId="0" fontId="0" fillId="26" borderId="28" applyAlignment="1" pivotButton="0" quotePrefix="0" xfId="0">
      <alignment horizontal="center" vertical="top" wrapText="1"/>
    </xf>
    <xf numFmtId="0" fontId="0" fillId="26" borderId="28" applyAlignment="1" pivotButton="0" quotePrefix="0" xfId="0">
      <alignment horizontal="left" vertical="top" wrapText="1"/>
    </xf>
    <xf numFmtId="167" fontId="0" fillId="26" borderId="28" applyAlignment="1" pivotButton="0" quotePrefix="0" xfId="0">
      <alignment vertical="top" wrapText="1"/>
    </xf>
    <xf numFmtId="168" fontId="42" fillId="0" borderId="0" pivotButton="0" quotePrefix="0" xfId="0"/>
    <xf numFmtId="0" fontId="41" fillId="0" borderId="0" applyAlignment="1" pivotButton="0" quotePrefix="0" xfId="0">
      <alignment horizontal="right"/>
    </xf>
    <xf numFmtId="14" fontId="2" fillId="0" borderId="1" applyAlignment="1" pivotButton="0" quotePrefix="0" xfId="0">
      <alignment horizontal="right" vertical="top" wrapText="1"/>
    </xf>
    <xf numFmtId="0" fontId="0" fillId="0" borderId="1" pivotButton="0" quotePrefix="0" xfId="0"/>
    <xf numFmtId="164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14" fontId="12" fillId="0" borderId="1" applyAlignment="1" pivotButton="0" quotePrefix="0" xfId="0">
      <alignment horizontal="right" vertical="top" wrapText="1"/>
    </xf>
    <xf numFmtId="164" fontId="0" fillId="0" borderId="0" applyAlignment="1" pivotButton="0" quotePrefix="0" xfId="0">
      <alignment horizontal="right" vertical="top"/>
    </xf>
    <xf numFmtId="164" fontId="2" fillId="0" borderId="0" applyAlignment="1" pivotButton="0" quotePrefix="0" xfId="0">
      <alignment horizontal="right" vertical="top"/>
    </xf>
    <xf numFmtId="164" fontId="3" fillId="2" borderId="3" applyAlignment="1" pivotButton="0" quotePrefix="0" xfId="0">
      <alignment horizontal="center" vertical="top" wrapText="1"/>
    </xf>
    <xf numFmtId="164" fontId="0" fillId="0" borderId="6" applyAlignment="1" pivotButton="0" quotePrefix="0" xfId="0">
      <alignment horizontal="right" vertical="top"/>
    </xf>
    <xf numFmtId="164" fontId="0" fillId="0" borderId="9" applyAlignment="1" pivotButton="0" quotePrefix="0" xfId="0">
      <alignment horizontal="right" vertical="top"/>
    </xf>
    <xf numFmtId="164" fontId="0" fillId="4" borderId="6" applyAlignment="1" pivotButton="0" quotePrefix="0" xfId="0">
      <alignment horizontal="right" vertical="top"/>
    </xf>
    <xf numFmtId="164" fontId="1" fillId="3" borderId="6" applyAlignment="1" pivotButton="0" quotePrefix="0" xfId="0">
      <alignment horizontal="right" vertical="top" wrapText="1"/>
    </xf>
    <xf numFmtId="164" fontId="5" fillId="0" borderId="7" applyAlignment="1" pivotButton="0" quotePrefix="0" xfId="0">
      <alignment horizontal="center" vertical="top"/>
    </xf>
    <xf numFmtId="164" fontId="1" fillId="0" borderId="11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right" vertical="top"/>
    </xf>
    <xf numFmtId="164" fontId="1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vertical="top"/>
    </xf>
    <xf numFmtId="164" fontId="0" fillId="0" borderId="9" applyAlignment="1" pivotButton="0" quotePrefix="0" xfId="0">
      <alignment horizontal="center" vertical="top"/>
    </xf>
    <xf numFmtId="164" fontId="0" fillId="0" borderId="9" applyAlignment="1" pivotButton="0" quotePrefix="0" xfId="0">
      <alignment horizontal="left" vertical="top"/>
    </xf>
    <xf numFmtId="164" fontId="1" fillId="0" borderId="11" applyAlignment="1" pivotButton="0" quotePrefix="0" xfId="0">
      <alignment vertical="top" wrapText="1"/>
    </xf>
    <xf numFmtId="164" fontId="0" fillId="0" borderId="9" applyAlignment="1" pivotButton="0" quotePrefix="0" xfId="0">
      <alignment vertical="top"/>
    </xf>
    <xf numFmtId="164" fontId="1" fillId="0" borderId="9" applyAlignment="1" pivotButton="0" quotePrefix="0" xfId="0">
      <alignment vertical="top"/>
    </xf>
    <xf numFmtId="164" fontId="1" fillId="2" borderId="9" applyAlignment="1" pivotButton="0" quotePrefix="0" xfId="0">
      <alignment horizontal="center" vertical="top" wrapText="1"/>
    </xf>
    <xf numFmtId="164" fontId="1" fillId="2" borderId="10" applyAlignment="1" pivotButton="0" quotePrefix="0" xfId="0">
      <alignment horizontal="center" vertical="top" wrapText="1"/>
    </xf>
    <xf numFmtId="164" fontId="1" fillId="2" borderId="12" applyAlignment="1" pivotButton="0" quotePrefix="0" xfId="0">
      <alignment horizontal="center" vertical="top" wrapText="1"/>
    </xf>
    <xf numFmtId="164" fontId="0" fillId="0" borderId="10" applyAlignment="1" pivotButton="0" quotePrefix="0" xfId="0">
      <alignment horizontal="right" vertical="top"/>
    </xf>
    <xf numFmtId="164" fontId="0" fillId="0" borderId="13" applyAlignment="1" pivotButton="0" quotePrefix="0" xfId="0">
      <alignment horizontal="right" vertical="top"/>
    </xf>
    <xf numFmtId="164" fontId="1" fillId="0" borderId="14" applyAlignment="1" pivotButton="0" quotePrefix="0" xfId="0">
      <alignment horizontal="right" vertical="top"/>
    </xf>
    <xf numFmtId="164" fontId="0" fillId="4" borderId="9" applyAlignment="1" pivotButton="0" quotePrefix="0" xfId="0">
      <alignment horizontal="right" vertical="top"/>
    </xf>
    <xf numFmtId="164" fontId="1" fillId="0" borderId="9" applyAlignment="1" pivotButton="0" quotePrefix="0" xfId="0">
      <alignment horizontal="center" vertical="top"/>
    </xf>
    <xf numFmtId="165" fontId="0" fillId="0" borderId="0" applyAlignment="1" pivotButton="0" quotePrefix="0" xfId="0">
      <alignment horizontal="right" vertical="top"/>
    </xf>
    <xf numFmtId="164" fontId="1" fillId="0" borderId="9" applyAlignment="1" pivotButton="0" quotePrefix="0" xfId="0">
      <alignment horizontal="left" vertical="top"/>
    </xf>
    <xf numFmtId="166" fontId="0" fillId="0" borderId="13" applyAlignment="1" pivotButton="0" quotePrefix="0" xfId="0">
      <alignment horizontal="right" vertical="top"/>
    </xf>
    <xf numFmtId="166" fontId="1" fillId="0" borderId="14" applyAlignment="1" pivotButton="0" quotePrefix="0" xfId="0">
      <alignment horizontal="right" vertical="top"/>
    </xf>
    <xf numFmtId="164" fontId="1" fillId="0" borderId="10" applyAlignment="1" pivotButton="0" quotePrefix="0" xfId="0">
      <alignment horizontal="center" vertical="top"/>
    </xf>
    <xf numFmtId="164" fontId="1" fillId="0" borderId="9" applyAlignment="1" pivotButton="0" quotePrefix="0" xfId="0">
      <alignment horizontal="right" vertical="top"/>
    </xf>
    <xf numFmtId="164" fontId="1" fillId="0" borderId="9" applyAlignment="1" pivotButton="0" quotePrefix="0" xfId="0">
      <alignment horizontal="left" vertical="top" wrapText="1"/>
    </xf>
    <xf numFmtId="167" fontId="0" fillId="5" borderId="13" applyAlignment="1" pivotButton="0" quotePrefix="0" xfId="0">
      <alignment vertical="top" wrapText="1"/>
    </xf>
    <xf numFmtId="167" fontId="0" fillId="0" borderId="13" applyAlignment="1" pivotButton="0" quotePrefix="0" xfId="0">
      <alignment vertical="top" wrapText="1"/>
    </xf>
    <xf numFmtId="167" fontId="0" fillId="4" borderId="13" applyAlignment="1" pivotButton="0" quotePrefix="0" xfId="0">
      <alignment vertical="top" wrapText="1"/>
    </xf>
    <xf numFmtId="167" fontId="7" fillId="0" borderId="14" pivotButton="0" quotePrefix="0" xfId="0"/>
    <xf numFmtId="167" fontId="1" fillId="0" borderId="0" pivotButton="0" quotePrefix="0" xfId="0"/>
    <xf numFmtId="167" fontId="1" fillId="0" borderId="0" applyAlignment="1" pivotButton="0" quotePrefix="0" xfId="0">
      <alignment horizontal="center"/>
    </xf>
    <xf numFmtId="167" fontId="1" fillId="0" borderId="14" pivotButton="0" quotePrefix="0" xfId="0"/>
    <xf numFmtId="167" fontId="0" fillId="0" borderId="0" pivotButton="0" quotePrefix="0" xfId="0"/>
    <xf numFmtId="164" fontId="12" fillId="0" borderId="0" applyAlignment="1" pivotButton="0" quotePrefix="0" xfId="0">
      <alignment horizontal="right" vertical="top"/>
    </xf>
    <xf numFmtId="167" fontId="0" fillId="7" borderId="13" applyAlignment="1" pivotButton="0" quotePrefix="0" xfId="0">
      <alignment vertical="top" wrapText="1"/>
    </xf>
    <xf numFmtId="167" fontId="11" fillId="0" borderId="14" pivotButton="0" quotePrefix="0" xfId="0"/>
    <xf numFmtId="167" fontId="0" fillId="0" borderId="19" pivotButton="0" quotePrefix="0" xfId="0"/>
    <xf numFmtId="167" fontId="0" fillId="0" borderId="18" applyAlignment="1" pivotButton="0" quotePrefix="0" xfId="0">
      <alignment horizontal="center"/>
    </xf>
    <xf numFmtId="167" fontId="0" fillId="0" borderId="16" pivotButton="0" quotePrefix="0" xfId="0"/>
    <xf numFmtId="167" fontId="0" fillId="0" borderId="15" applyAlignment="1" pivotButton="0" quotePrefix="0" xfId="0">
      <alignment horizontal="center"/>
    </xf>
    <xf numFmtId="167" fontId="0" fillId="9" borderId="21" applyAlignment="1" pivotButton="0" quotePrefix="0" xfId="0">
      <alignment vertical="top" wrapText="1"/>
    </xf>
    <xf numFmtId="167" fontId="0" fillId="0" borderId="21" applyAlignment="1" pivotButton="0" quotePrefix="0" xfId="0">
      <alignment vertical="top" wrapText="1"/>
    </xf>
    <xf numFmtId="167" fontId="14" fillId="0" borderId="0" pivotButton="0" quotePrefix="0" xfId="0"/>
    <xf numFmtId="167" fontId="0" fillId="11" borderId="22" applyAlignment="1" pivotButton="0" quotePrefix="0" xfId="0">
      <alignment vertical="top" wrapText="1"/>
    </xf>
    <xf numFmtId="167" fontId="0" fillId="0" borderId="22" applyAlignment="1" pivotButton="0" quotePrefix="0" xfId="0">
      <alignment vertical="top" wrapText="1"/>
    </xf>
    <xf numFmtId="167" fontId="17" fillId="0" borderId="0" pivotButton="0" quotePrefix="0" xfId="0"/>
    <xf numFmtId="167" fontId="0" fillId="12" borderId="22" applyAlignment="1" pivotButton="0" quotePrefix="0" xfId="0">
      <alignment vertical="top" wrapText="1"/>
    </xf>
    <xf numFmtId="167" fontId="0" fillId="15" borderId="23" applyAlignment="1" pivotButton="0" quotePrefix="0" xfId="0">
      <alignment vertical="top" wrapText="1"/>
    </xf>
    <xf numFmtId="167" fontId="0" fillId="0" borderId="23" applyAlignment="1" pivotButton="0" quotePrefix="0" xfId="0">
      <alignment vertical="top" wrapText="1"/>
    </xf>
    <xf numFmtId="167" fontId="20" fillId="0" borderId="0" pivotButton="0" quotePrefix="0" xfId="0"/>
    <xf numFmtId="167" fontId="0" fillId="17" borderId="24" applyAlignment="1" pivotButton="0" quotePrefix="0" xfId="0">
      <alignment vertical="top" wrapText="1"/>
    </xf>
    <xf numFmtId="167" fontId="0" fillId="0" borderId="24" applyAlignment="1" pivotButton="0" quotePrefix="0" xfId="0">
      <alignment vertical="top" wrapText="1"/>
    </xf>
    <xf numFmtId="167" fontId="24" fillId="0" borderId="0" pivotButton="0" quotePrefix="0" xfId="0"/>
    <xf numFmtId="167" fontId="0" fillId="19" borderId="25" applyAlignment="1" pivotButton="0" quotePrefix="0" xfId="0">
      <alignment vertical="top" wrapText="1"/>
    </xf>
    <xf numFmtId="167" fontId="0" fillId="0" borderId="25" applyAlignment="1" pivotButton="0" quotePrefix="0" xfId="0">
      <alignment vertical="top" wrapText="1"/>
    </xf>
    <xf numFmtId="167" fontId="7" fillId="0" borderId="0" pivotButton="0" quotePrefix="0" xfId="0"/>
    <xf numFmtId="167" fontId="0" fillId="21" borderId="26" applyAlignment="1" pivotButton="0" quotePrefix="0" xfId="0">
      <alignment vertical="top" wrapText="1"/>
    </xf>
    <xf numFmtId="167" fontId="0" fillId="0" borderId="26" applyAlignment="1" pivotButton="0" quotePrefix="0" xfId="0">
      <alignment vertical="top" wrapText="1"/>
    </xf>
    <xf numFmtId="167" fontId="29" fillId="0" borderId="0" pivotButton="0" quotePrefix="0" xfId="0"/>
    <xf numFmtId="167" fontId="0" fillId="23" borderId="27" applyAlignment="1" pivotButton="0" quotePrefix="0" xfId="0">
      <alignment vertical="top" wrapText="1"/>
    </xf>
    <xf numFmtId="167" fontId="0" fillId="0" borderId="27" applyAlignment="1" pivotButton="0" quotePrefix="0" xfId="0">
      <alignment vertical="top" wrapText="1"/>
    </xf>
    <xf numFmtId="167" fontId="33" fillId="0" borderId="0" pivotButton="0" quotePrefix="0" xfId="0"/>
    <xf numFmtId="167" fontId="0" fillId="25" borderId="28" applyAlignment="1" pivotButton="0" quotePrefix="0" xfId="0">
      <alignment vertical="top" wrapText="1"/>
    </xf>
    <xf numFmtId="167" fontId="0" fillId="0" borderId="28" applyAlignment="1" pivotButton="0" quotePrefix="0" xfId="0">
      <alignment vertical="top" wrapText="1"/>
    </xf>
    <xf numFmtId="167" fontId="0" fillId="26" borderId="28" applyAlignment="1" pivotButton="0" quotePrefix="0" xfId="0">
      <alignment vertical="top" wrapText="1"/>
    </xf>
    <xf numFmtId="167" fontId="36" fillId="0" borderId="0" pivotButton="0" quotePrefix="0" xfId="0"/>
    <xf numFmtId="168" fontId="42" fillId="0" borderId="0" pivotButton="0" quotePrefix="0" xfId="0"/>
  </cellXfs>
  <cellStyles count="1">
    <cellStyle name="Normal" xfId="0" builtinId="0"/>
  </cellStyles>
  <dxfs count="255"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top"/>
      <border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&quot;* #,##0.00_-;\-&quot;R&quot;* #,##0.00_-;_-&quot;R&quot;* &quot;-&quot;??_-;_-@_-"/>
      <alignment horizontal="righ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4" formatCode="_-&quot;R&quot;* #,##0.00_-;\-&quot;R&quot;* #,##0.00_-;_-&quot;R&quot;* &quot;-&quot;??_-;_-@_-"/>
      <alignment horizontal="righ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/>
      <border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Table13456789" displayName="Table13456789" ref="A2:N27" headerRowCount="1" totalsRowShown="0" headerRowDxfId="254" headerRowBorderDxfId="253" tableBorderDxfId="252" totalsRowBorderDxfId="251">
  <autoFilter ref="A2:N27"/>
  <sortState ref="A3:N27">
    <sortCondition ref="N2:N27"/>
  </sortState>
  <tableColumns count="14">
    <tableColumn id="1" name="Date" dataDxfId="250" totalsRowDxfId="249"/>
    <tableColumn id="2" name="Delivery Date" dataDxfId="248" totalsRowDxfId="247"/>
    <tableColumn id="3" name="Job Number" dataDxfId="246" totalsRowDxfId="245"/>
    <tableColumn id="4" name="SO Number" dataDxfId="244" totalsRowDxfId="243"/>
    <tableColumn id="5" name="Customer Ref." dataDxfId="242" totalsRowDxfId="241"/>
    <tableColumn id="6" name="Customer" dataDxfId="240" totalsRowDxfId="239"/>
    <tableColumn id="7" name="Price Excl." dataDxfId="238" totalsRowDxfId="237"/>
    <tableColumn id="8" name="VAT" dataDxfId="236" totalsRowDxfId="235"/>
    <tableColumn id="9" name="Price Incl." dataDxfId="234" totalsRowDxfId="233"/>
    <tableColumn id="10" name="Sales Rep." dataDxfId="232" totalsRowDxfId="231"/>
    <tableColumn id="11" name="Status" dataDxfId="230" totalsRowDxfId="229"/>
    <tableColumn id="12" name="Payment Type &amp; Status" dataDxfId="228" totalsRowDxfId="227"/>
    <tableColumn id="13" name="Details" dataDxfId="226" totalsRowDxfId="225"/>
    <tableColumn id="14" name="Planned Collection / Delivery" dataDxfId="224" totalsRowDxfId="22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34567893" displayName="Table134567893" ref="A2:N29" headerRowCount="1" totalsRowShown="0" headerRowDxfId="222" headerRowBorderDxfId="221" tableBorderDxfId="220" totalsRowBorderDxfId="219">
  <autoFilter ref="A2:N29"/>
  <sortState ref="A3:N29">
    <sortCondition ref="N2:N29"/>
  </sortState>
  <tableColumns count="14">
    <tableColumn id="1" name="Date" dataDxfId="218" totalsRowDxfId="217"/>
    <tableColumn id="2" name="Delivery Date" dataDxfId="216" totalsRowDxfId="215"/>
    <tableColumn id="3" name="Job Number" dataDxfId="214" totalsRowDxfId="213"/>
    <tableColumn id="4" name="SO Number" dataDxfId="212" totalsRowDxfId="211"/>
    <tableColumn id="5" name="Customer Ref." dataDxfId="210" totalsRowDxfId="209"/>
    <tableColumn id="6" name="Customer" dataDxfId="208" totalsRowDxfId="207"/>
    <tableColumn id="7" name="Price Excl." dataDxfId="206" totalsRowDxfId="205"/>
    <tableColumn id="8" name="VAT" dataDxfId="204" totalsRowDxfId="203"/>
    <tableColumn id="9" name="Price Incl." dataDxfId="202" totalsRowDxfId="201"/>
    <tableColumn id="10" name="Sales Rep." dataDxfId="200" totalsRowDxfId="199"/>
    <tableColumn id="11" name="Status" dataDxfId="198" totalsRowDxfId="197"/>
    <tableColumn id="12" name="Payment Type &amp; Status" dataDxfId="196" totalsRowDxfId="195"/>
    <tableColumn id="13" name="Details" dataDxfId="194" totalsRowDxfId="193"/>
    <tableColumn id="14" name="Planned Collection / Delivery" dataDxfId="192" totalsRowDxfId="19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345678934" displayName="Table1345678934" ref="A2:N25" headerRowCount="1" totalsRowShown="0" headerRowDxfId="190" headerRowBorderDxfId="189" tableBorderDxfId="188" totalsRowBorderDxfId="187">
  <autoFilter ref="A2:N25"/>
  <sortState ref="A3:N25">
    <sortCondition ref="N2:N25"/>
  </sortState>
  <tableColumns count="14">
    <tableColumn id="1" name="Date" dataDxfId="186" totalsRowDxfId="185"/>
    <tableColumn id="2" name="Delivery Date" dataDxfId="184" totalsRowDxfId="183"/>
    <tableColumn id="3" name="Job Number" dataDxfId="182" totalsRowDxfId="181"/>
    <tableColumn id="4" name="SO Number" dataDxfId="180" totalsRowDxfId="179"/>
    <tableColumn id="5" name="Customer Ref." dataDxfId="178" totalsRowDxfId="177"/>
    <tableColumn id="6" name="Customer" dataDxfId="176" totalsRowDxfId="175"/>
    <tableColumn id="7" name="Price Excl." dataDxfId="174" totalsRowDxfId="173"/>
    <tableColumn id="8" name="VAT" dataDxfId="172" totalsRowDxfId="171"/>
    <tableColumn id="9" name="Price Incl." dataDxfId="170" totalsRowDxfId="169"/>
    <tableColumn id="10" name="Sales Rep." dataDxfId="168" totalsRowDxfId="167"/>
    <tableColumn id="11" name="Status" dataDxfId="166" totalsRowDxfId="165"/>
    <tableColumn id="12" name="Payment Type &amp; Status" dataDxfId="164" totalsRowDxfId="163"/>
    <tableColumn id="13" name="Details" dataDxfId="162" totalsRowDxfId="161"/>
    <tableColumn id="14" name="Planned Collection / Delivery" dataDxfId="160" totalsRowDxfId="15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3456789345" displayName="Table13456789345" ref="A2:N27" headerRowCount="1" totalsRowShown="0" headerRowDxfId="158" headerRowBorderDxfId="157" tableBorderDxfId="156" totalsRowBorderDxfId="155">
  <autoFilter ref="A2:N27"/>
  <sortState ref="A3:N27">
    <sortCondition ref="N2:N27"/>
  </sortState>
  <tableColumns count="14">
    <tableColumn id="1" name="Date" dataDxfId="154" totalsRowDxfId="153"/>
    <tableColumn id="2" name="Delivery Date" dataDxfId="152" totalsRowDxfId="151"/>
    <tableColumn id="3" name="Job Number" dataDxfId="150" totalsRowDxfId="149"/>
    <tableColumn id="4" name="SO Number" dataDxfId="148" totalsRowDxfId="147"/>
    <tableColumn id="5" name="Customer Ref." dataDxfId="146" totalsRowDxfId="145"/>
    <tableColumn id="6" name="Customer" dataDxfId="144" totalsRowDxfId="143"/>
    <tableColumn id="7" name="Price Excl." dataDxfId="142" totalsRowDxfId="141"/>
    <tableColumn id="8" name="VAT" dataDxfId="140" totalsRowDxfId="139"/>
    <tableColumn id="9" name="Price Incl." dataDxfId="138" totalsRowDxfId="137"/>
    <tableColumn id="10" name="Sales Rep." dataDxfId="136" totalsRowDxfId="135"/>
    <tableColumn id="11" name="Status" dataDxfId="134" totalsRowDxfId="133"/>
    <tableColumn id="12" name="Payment Type &amp; Status" dataDxfId="132" totalsRowDxfId="131"/>
    <tableColumn id="13" name="Details" dataDxfId="130" totalsRowDxfId="129"/>
    <tableColumn id="14" name="Planned Collection / Delivery" dataDxfId="128" totalsRowDxfId="12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134567893457" displayName="Table134567893457" ref="A2:N27" headerRowCount="1" totalsRowShown="0" headerRowDxfId="126" headerRowBorderDxfId="125" tableBorderDxfId="124" totalsRowBorderDxfId="123">
  <autoFilter ref="A2:N27"/>
  <sortState ref="A3:N27">
    <sortCondition ref="N2:N27"/>
  </sortState>
  <tableColumns count="14">
    <tableColumn id="1" name="Date" dataDxfId="122" totalsRowDxfId="121"/>
    <tableColumn id="2" name="Delivery Date" dataDxfId="120" totalsRowDxfId="119"/>
    <tableColumn id="3" name="Job Number" dataDxfId="118" totalsRowDxfId="117"/>
    <tableColumn id="4" name="SO Number" dataDxfId="116" totalsRowDxfId="115"/>
    <tableColumn id="5" name="Customer Ref." dataDxfId="114" totalsRowDxfId="113"/>
    <tableColumn id="6" name="Customer" dataDxfId="112" totalsRowDxfId="111"/>
    <tableColumn id="7" name="Price Excl." dataDxfId="110" totalsRowDxfId="109"/>
    <tableColumn id="8" name="VAT" dataDxfId="108" totalsRowDxfId="107"/>
    <tableColumn id="9" name="Price Incl." dataDxfId="106" totalsRowDxfId="105"/>
    <tableColumn id="10" name="Sales Rep." dataDxfId="104" totalsRowDxfId="103"/>
    <tableColumn id="11" name="Status" dataDxfId="102" totalsRowDxfId="101"/>
    <tableColumn id="12" name="Payment Type &amp; Status" dataDxfId="100" totalsRowDxfId="99"/>
    <tableColumn id="13" name="Details" dataDxfId="98" totalsRowDxfId="97"/>
    <tableColumn id="14" name="Planned Collection / Delivery" dataDxfId="96" totalsRowDxfId="9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345678934578" displayName="Table1345678934578" ref="A2:L24" headerRowCount="1" totalsRowShown="0" headerRowDxfId="94" headerRowBorderDxfId="93" tableBorderDxfId="92" totalsRowBorderDxfId="91">
  <autoFilter ref="A2:L24"/>
  <sortState ref="A3:L24">
    <sortCondition ref="L2:L24"/>
  </sortState>
  <tableColumns count="12">
    <tableColumn id="1" name="Date" dataDxfId="90" totalsRowDxfId="89"/>
    <tableColumn id="2" name="Delivery Date" dataDxfId="88" totalsRowDxfId="87"/>
    <tableColumn id="3" name="Job Number" dataDxfId="86" totalsRowDxfId="85"/>
    <tableColumn id="4" name="SO Number" dataDxfId="84" totalsRowDxfId="83"/>
    <tableColumn id="5" name="Customer Ref." dataDxfId="82" totalsRowDxfId="81"/>
    <tableColumn id="6" name="Customer" dataDxfId="80" totalsRowDxfId="79"/>
    <tableColumn id="9" name="Price Incl." dataDxfId="78" totalsRowDxfId="77"/>
    <tableColumn id="10" name="Sales Rep." dataDxfId="76" totalsRowDxfId="75"/>
    <tableColumn id="11" name="Status" dataDxfId="74" totalsRowDxfId="73"/>
    <tableColumn id="12" name="Payment Type &amp; Status" dataDxfId="72" totalsRowDxfId="71"/>
    <tableColumn id="13" name="Details" dataDxfId="70" totalsRowDxfId="69"/>
    <tableColumn id="14" name="Planned Collection / Delivery" dataDxfId="68" totalsRowDxfId="6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13456789345789" displayName="Table13456789345789" ref="A2:L26" headerRowCount="1" totalsRowShown="0" headerRowDxfId="66" headerRowBorderDxfId="65" tableBorderDxfId="64" totalsRowBorderDxfId="63">
  <autoFilter ref="A2:L26"/>
  <sortState ref="A3:L26">
    <sortCondition ref="L2:L26"/>
  </sortState>
  <tableColumns count="12">
    <tableColumn id="1" name="Date" dataDxfId="62" totalsRowDxfId="61"/>
    <tableColumn id="2" name="Delivery Date" dataDxfId="60" totalsRowDxfId="59"/>
    <tableColumn id="3" name="Job Number" dataDxfId="58" totalsRowDxfId="57"/>
    <tableColumn id="4" name="SO Number" dataDxfId="56" totalsRowDxfId="55"/>
    <tableColumn id="5" name="Customer Ref." dataDxfId="54" totalsRowDxfId="53"/>
    <tableColumn id="6" name="Customer" dataDxfId="52" totalsRowDxfId="51"/>
    <tableColumn id="9" name="Price Incl." dataDxfId="50" totalsRowDxfId="49"/>
    <tableColumn id="10" name="Sales Rep." dataDxfId="48" totalsRowDxfId="47"/>
    <tableColumn id="11" name="Status" dataDxfId="46" totalsRowDxfId="45"/>
    <tableColumn id="12" name="Payment Type &amp; Status" dataDxfId="44" totalsRowDxfId="43"/>
    <tableColumn id="13" name="Details" dataDxfId="42" totalsRowDxfId="41"/>
    <tableColumn id="14" name="Planned Collection / Delivery" dataDxfId="40" totalsRowDxfId="3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134567893457896" displayName="Table134567893457896" ref="A2:L27" headerRowCount="1" totalsRowShown="0" headerRowDxfId="38" headerRowBorderDxfId="37" tableBorderDxfId="36" totalsRowBorderDxfId="35">
  <autoFilter ref="A2:L27"/>
  <sortState ref="A3:L27">
    <sortCondition ref="L2:L27"/>
  </sortState>
  <tableColumns count="12">
    <tableColumn id="1" name="Date" dataDxfId="34" totalsRowDxfId="33"/>
    <tableColumn id="2" name="Delivery Date" dataDxfId="32" totalsRowDxfId="31"/>
    <tableColumn id="3" name="Job Number" dataDxfId="30" totalsRowDxfId="29"/>
    <tableColumn id="4" name="SO Number" dataDxfId="28" totalsRowDxfId="27"/>
    <tableColumn id="5" name="Customer Ref." dataDxfId="26" totalsRowDxfId="25"/>
    <tableColumn id="6" name="Customer" dataDxfId="24" totalsRowDxfId="23"/>
    <tableColumn id="9" name="Price Incl." dataDxfId="22" totalsRowDxfId="21"/>
    <tableColumn id="10" name="Sales Rep." dataDxfId="20" totalsRowDxfId="19"/>
    <tableColumn id="11" name="Status" dataDxfId="18" totalsRowDxfId="17"/>
    <tableColumn id="12" name="Payment Type &amp; Status" dataDxfId="16" totalsRowDxfId="15"/>
    <tableColumn id="13" name="Details" dataDxfId="14" totalsRowDxfId="13"/>
    <tableColumn id="14" name="Planned Collection / Delivery" dataDxfId="12" totalsRow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zoomScale="80" zoomScaleNormal="80" workbookViewId="0">
      <pane xSplit="2" ySplit="2" topLeftCell="C3" activePane="bottomRight" state="frozen"/>
      <selection activeCell="E26" sqref="E26"/>
      <selection pane="topRight" activeCell="E26" sqref="E26"/>
      <selection pane="bottomLeft" activeCell="E26" sqref="E26"/>
      <selection pane="bottomRight" activeCell="K9" sqref="K9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3.77734375" bestFit="1" customWidth="1" style="299" min="4" max="4"/>
    <col width="12.88671875" customWidth="1" style="55" min="5" max="5"/>
    <col width="23.109375" customWidth="1" style="56" min="6" max="6"/>
    <col width="15" bestFit="1" customWidth="1" style="302" min="7" max="7"/>
    <col width="13.77734375" bestFit="1" customWidth="1" style="302" min="8" max="8"/>
    <col width="18.44140625" bestFit="1" customWidth="1" style="302" min="9" max="9"/>
    <col width="18.44140625" bestFit="1" customWidth="1" style="56" min="10" max="10"/>
    <col width="17.109375" bestFit="1" customWidth="1" style="53" min="11" max="11"/>
    <col width="21.88671875" bestFit="1" customWidth="1" style="60" min="12" max="12"/>
    <col width="45.77734375" customWidth="1" style="53" min="13" max="13"/>
    <col width="23.44140625" bestFit="1" customWidth="1" style="299" min="14" max="14"/>
    <col width="8.88671875" customWidth="1" style="23" min="15" max="32"/>
    <col width="8.88671875" customWidth="1" style="23" min="33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303" t="n"/>
      <c r="I1" s="303" t="n"/>
      <c r="J1" s="4" t="n"/>
      <c r="K1" s="6" t="n"/>
      <c r="L1" s="2" t="n"/>
      <c r="M1" s="296">
        <f>TODAY()</f>
        <v/>
      </c>
      <c r="N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10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Excl.</t>
        </is>
      </c>
      <c r="H2" s="304" t="inlineStr">
        <is>
          <t>VAT</t>
        </is>
      </c>
      <c r="I2" s="304" t="inlineStr">
        <is>
          <t>Price Incl.</t>
        </is>
      </c>
      <c r="J2" s="9" t="inlineStr">
        <is>
          <t>Sales Rep.</t>
        </is>
      </c>
      <c r="K2" s="9" t="inlineStr">
        <is>
          <t>Status</t>
        </is>
      </c>
      <c r="L2" s="9" t="inlineStr">
        <is>
          <t>Payment Type &amp; Status</t>
        </is>
      </c>
      <c r="M2" s="9" t="inlineStr">
        <is>
          <t>Details</t>
        </is>
      </c>
      <c r="N2" s="12" t="inlineStr">
        <is>
          <t>Planned Collection / Delivery</t>
        </is>
      </c>
    </row>
    <row r="3">
      <c r="A3" s="14" t="n">
        <v>46080</v>
      </c>
      <c r="B3" s="15">
        <f>TODAY()</f>
        <v/>
      </c>
      <c r="C3" s="16" t="inlineStr">
        <is>
          <t>FM3887</t>
        </is>
      </c>
      <c r="D3" s="16" t="inlineStr">
        <is>
          <t>SO4417</t>
        </is>
      </c>
      <c r="E3" s="18" t="inlineStr">
        <is>
          <t>FM3887</t>
        </is>
      </c>
      <c r="F3" s="19" t="inlineStr">
        <is>
          <t>Scanlink Buying Services</t>
        </is>
      </c>
      <c r="G3" s="305" t="n">
        <v>8646</v>
      </c>
      <c r="H3" s="305" t="n">
        <v>1296.9</v>
      </c>
      <c r="I3" s="305" t="n">
        <v>9942.9</v>
      </c>
      <c r="J3" s="19" t="inlineStr">
        <is>
          <t>Simon Mokgola</t>
        </is>
      </c>
      <c r="K3" s="16" t="inlineStr">
        <is>
          <t>In Progress</t>
        </is>
      </c>
      <c r="L3" s="38" t="inlineStr">
        <is>
          <t>CASH SALE - PAID</t>
        </is>
      </c>
      <c r="M3" s="16" t="inlineStr">
        <is>
          <t>CA02-02 50/60Hz 230V</t>
        </is>
      </c>
      <c r="N3" s="22">
        <f>Table13456789[[#This Row],[Delivery Date]]</f>
        <v/>
      </c>
    </row>
    <row r="4">
      <c r="A4" s="14" t="n">
        <v>46056</v>
      </c>
      <c r="B4" s="15">
        <f>TODAY()</f>
        <v/>
      </c>
      <c r="C4" s="16" t="inlineStr">
        <is>
          <t>FM3808</t>
        </is>
      </c>
      <c r="D4" s="17" t="inlineStr">
        <is>
          <t>SO4339</t>
        </is>
      </c>
      <c r="E4" s="18" t="inlineStr">
        <is>
          <t>PO549NN</t>
        </is>
      </c>
      <c r="F4" s="19" t="inlineStr">
        <is>
          <t>Intervent-Universal (Pty) Ltd</t>
        </is>
      </c>
      <c r="G4" s="305" t="n">
        <v>19840</v>
      </c>
      <c r="H4" s="305" t="n">
        <v>2976</v>
      </c>
      <c r="I4" s="305" t="n">
        <v>22816</v>
      </c>
      <c r="J4" s="19" t="inlineStr">
        <is>
          <t>Simon Mokgola</t>
        </is>
      </c>
      <c r="K4" s="16" t="inlineStr">
        <is>
          <t>Ready for dispatch</t>
        </is>
      </c>
      <c r="L4" s="21" t="inlineStr">
        <is>
          <t>CASH SALE - UNPAID</t>
        </is>
      </c>
      <c r="M4" s="16" t="inlineStr">
        <is>
          <t>RAD 250</t>
        </is>
      </c>
      <c r="N4" s="22">
        <f>Table13456789[[#This Row],[Delivery Date]]</f>
        <v/>
      </c>
    </row>
    <row r="5">
      <c r="A5" s="14" t="n">
        <v>46072</v>
      </c>
      <c r="B5" s="15">
        <f>TODAY()</f>
        <v/>
      </c>
      <c r="C5" s="16" t="inlineStr">
        <is>
          <t>FM3854</t>
        </is>
      </c>
      <c r="D5" s="17" t="inlineStr">
        <is>
          <t>SO4384</t>
        </is>
      </c>
      <c r="E5" s="18" t="inlineStr">
        <is>
          <t>FM3854</t>
        </is>
      </c>
      <c r="F5" s="19" t="inlineStr">
        <is>
          <t>KG Construction Pty Ltd</t>
        </is>
      </c>
      <c r="G5" s="305" t="n">
        <v>68975</v>
      </c>
      <c r="H5" s="305" t="n">
        <v>10346.25</v>
      </c>
      <c r="I5" s="305" t="n">
        <v>79321.25</v>
      </c>
      <c r="J5" s="19" t="inlineStr">
        <is>
          <t>Simon Mokgola</t>
        </is>
      </c>
      <c r="K5" s="16" t="inlineStr">
        <is>
          <t>Ready for dispatch</t>
        </is>
      </c>
      <c r="L5" s="21" t="inlineStr">
        <is>
          <t>CASH SALE - UNPAID</t>
        </is>
      </c>
      <c r="M5" s="16" t="inlineStr">
        <is>
          <t>AIRMAX-2.750 P.EC</t>
        </is>
      </c>
      <c r="N5" s="22">
        <f>Table13456789[[#This Row],[Delivery Date]]</f>
        <v/>
      </c>
    </row>
    <row r="6" ht="28.8" customHeight="1">
      <c r="A6" s="31" t="n">
        <v>46077</v>
      </c>
      <c r="B6" s="15">
        <f>TODAY()</f>
        <v/>
      </c>
      <c r="C6" s="33" t="inlineStr">
        <is>
          <t>FM3871</t>
        </is>
      </c>
      <c r="D6" s="33" t="inlineStr">
        <is>
          <t>SO4401</t>
        </is>
      </c>
      <c r="E6" s="35" t="inlineStr">
        <is>
          <t>Cash Sale</t>
        </is>
      </c>
      <c r="F6" s="36" t="inlineStr">
        <is>
          <t>Execuair</t>
        </is>
      </c>
      <c r="G6" s="306" t="n">
        <v>9596</v>
      </c>
      <c r="H6" s="306" t="n">
        <v>1439.4</v>
      </c>
      <c r="I6" s="306" t="n">
        <v>11035.4</v>
      </c>
      <c r="J6" s="36" t="inlineStr">
        <is>
          <t>Sizwe Tshabalala</t>
        </is>
      </c>
      <c r="K6" s="33" t="inlineStr">
        <is>
          <t>In Progress</t>
        </is>
      </c>
      <c r="L6" s="38" t="inlineStr">
        <is>
          <t>CASH SALE - PAID</t>
        </is>
      </c>
      <c r="M6" s="33" t="inlineStr">
        <is>
          <t>MAJAX-2 500 c/w 0,75KW 4P 220V, 500 Diam Counter Flange, 500 Diam Mounting Feet</t>
        </is>
      </c>
      <c r="N6" s="39">
        <f>Table13456789[[#This Row],[Delivery Date]]</f>
        <v/>
      </c>
    </row>
    <row r="7">
      <c r="A7" s="31" t="n">
        <v>46076</v>
      </c>
      <c r="B7" s="15">
        <f>TODAY()</f>
        <v/>
      </c>
      <c r="C7" s="33" t="inlineStr">
        <is>
          <t>FM3869</t>
        </is>
      </c>
      <c r="D7" s="34" t="inlineStr">
        <is>
          <t>SO4399</t>
        </is>
      </c>
      <c r="E7" s="35" t="inlineStr">
        <is>
          <t>MP015648</t>
        </is>
      </c>
      <c r="F7" s="36" t="inlineStr">
        <is>
          <t xml:space="preserve">Midair Air </t>
        </is>
      </c>
      <c r="G7" s="306" t="n">
        <v>12144</v>
      </c>
      <c r="H7" s="306" t="n">
        <v>1821.6</v>
      </c>
      <c r="I7" s="306" t="n">
        <v>13965.6</v>
      </c>
      <c r="J7" s="36" t="inlineStr">
        <is>
          <t>Mashudu Tshifularo</t>
        </is>
      </c>
      <c r="K7" s="33" t="inlineStr">
        <is>
          <t>Ready for dispatch</t>
        </is>
      </c>
      <c r="L7" s="38" t="inlineStr">
        <is>
          <t>ACCOUNT - UP TO DATE</t>
        </is>
      </c>
      <c r="M7" s="33" t="inlineStr">
        <is>
          <t>Tiracamino Chimney Fan for Chimney Tops</t>
        </is>
      </c>
      <c r="N7" s="39">
        <f>Table13456789[[#This Row],[Delivery Date]]</f>
        <v/>
      </c>
    </row>
    <row r="8">
      <c r="A8" s="31" t="n">
        <v>46078</v>
      </c>
      <c r="B8" s="32" t="n">
        <v>46083</v>
      </c>
      <c r="C8" s="33" t="inlineStr">
        <is>
          <t>FM3885</t>
        </is>
      </c>
      <c r="D8" s="33" t="inlineStr">
        <is>
          <t>SO4414</t>
        </is>
      </c>
      <c r="E8" s="35" t="inlineStr">
        <is>
          <t>POEE8051</t>
        </is>
      </c>
      <c r="F8" s="36" t="inlineStr">
        <is>
          <t>Elmecair (Pty) Ltd</t>
        </is>
      </c>
      <c r="G8" s="306" t="n">
        <v>27560</v>
      </c>
      <c r="H8" s="306" t="n">
        <v>4134</v>
      </c>
      <c r="I8" s="306" t="n">
        <v>31694</v>
      </c>
      <c r="J8" s="36" t="inlineStr">
        <is>
          <t>Mashudu Tshifularo</t>
        </is>
      </c>
      <c r="K8" s="33" t="inlineStr">
        <is>
          <t>In Progress</t>
        </is>
      </c>
      <c r="L8" s="38" t="inlineStr">
        <is>
          <t>ACCOUNT - UP TO DATE</t>
        </is>
      </c>
      <c r="M8" s="33" t="inlineStr">
        <is>
          <t>315 Diam Tube Silencer 600L, LINEO 250, LINEO 315</t>
        </is>
      </c>
      <c r="N8" s="39">
        <f>Table13456789[[#This Row],[Delivery Date]]</f>
        <v/>
      </c>
    </row>
    <row r="9" ht="57.6" customHeight="1">
      <c r="A9" s="31" t="n">
        <v>46080</v>
      </c>
      <c r="B9" s="32" t="n">
        <v>46084</v>
      </c>
      <c r="C9" s="33" t="inlineStr">
        <is>
          <t>FM3884</t>
        </is>
      </c>
      <c r="D9" s="33" t="inlineStr">
        <is>
          <t>SO4413</t>
        </is>
      </c>
      <c r="E9" s="35" t="inlineStr">
        <is>
          <t>PO143745</t>
        </is>
      </c>
      <c r="F9" s="36" t="inlineStr">
        <is>
          <t>Howden Power a Div of Howden Africa (Pty) LTD</t>
        </is>
      </c>
      <c r="G9" s="306" t="n">
        <v>41035</v>
      </c>
      <c r="H9" s="306" t="n">
        <v>6155.25</v>
      </c>
      <c r="I9" s="306" t="n">
        <v>47190.25</v>
      </c>
      <c r="J9" s="36" t="inlineStr">
        <is>
          <t>Sizwe Tshabalala</t>
        </is>
      </c>
      <c r="K9" s="33" t="inlineStr">
        <is>
          <t>In Progress</t>
        </is>
      </c>
      <c r="L9" s="38" t="inlineStr">
        <is>
          <t>ACCOUNT - UP TO DATE</t>
        </is>
      </c>
      <c r="M9" s="33" t="inlineStr">
        <is>
          <t>100NB x 135mm Style 10 Linkflex 100% (Inner &amp; Outer Tube) EPDM rubber bellows c/w mild steel, Material Cutting Cost - 150NB T600 Rings cut in order to machine flanges</t>
        </is>
      </c>
      <c r="N9" s="39">
        <f>Table13456789[[#This Row],[Delivery Date]]</f>
        <v/>
      </c>
    </row>
    <row r="10" ht="72" customHeight="1">
      <c r="A10" s="14" t="n">
        <v>46052</v>
      </c>
      <c r="B10" s="15" t="n">
        <v>46087</v>
      </c>
      <c r="C10" s="16" t="inlineStr">
        <is>
          <t>FM3799</t>
        </is>
      </c>
      <c r="D10" s="17" t="inlineStr">
        <is>
          <t>SO4330</t>
        </is>
      </c>
      <c r="E10" s="18" t="inlineStr">
        <is>
          <t>PO0000573</t>
        </is>
      </c>
      <c r="F10" s="19" t="inlineStr">
        <is>
          <t>ST AIR SERVICES AND MAINTENANCE (PTY) LTD</t>
        </is>
      </c>
      <c r="G10" s="305" t="n">
        <v>681952</v>
      </c>
      <c r="H10" s="305" t="n">
        <v>102292.8</v>
      </c>
      <c r="I10" s="305" t="n">
        <v>784244.8</v>
      </c>
      <c r="J10" s="19" t="inlineStr">
        <is>
          <t>Simon Mokgola</t>
        </is>
      </c>
      <c r="K10" s="16" t="inlineStr">
        <is>
          <t>In Progress</t>
        </is>
      </c>
      <c r="L10" s="21" t="inlineStr">
        <is>
          <t>ACCOUNT - UP TO DATE</t>
        </is>
      </c>
      <c r="M10" s="16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N10" s="22">
        <f>Table13456789[[#This Row],[Delivery Date]]</f>
        <v/>
      </c>
    </row>
    <row r="11" ht="28.8" customHeight="1">
      <c r="A11" s="14" t="n">
        <v>46065</v>
      </c>
      <c r="B11" s="15" t="n">
        <v>46087</v>
      </c>
      <c r="C11" s="16" t="inlineStr">
        <is>
          <t>FM3830</t>
        </is>
      </c>
      <c r="D11" s="17" t="inlineStr">
        <is>
          <t>SO4363</t>
        </is>
      </c>
      <c r="E11" s="18" t="inlineStr">
        <is>
          <t>FMTA4348</t>
        </is>
      </c>
      <c r="F11" s="19" t="inlineStr">
        <is>
          <t>Crystal Sparkle Trading</t>
        </is>
      </c>
      <c r="G11" s="305" t="n">
        <v>246560</v>
      </c>
      <c r="H11" s="305" t="n">
        <v>36984</v>
      </c>
      <c r="I11" s="305" t="n">
        <v>283544</v>
      </c>
      <c r="J11" s="19" t="inlineStr">
        <is>
          <t>Mashudu Tshifularo</t>
        </is>
      </c>
      <c r="K11" s="16" t="inlineStr">
        <is>
          <t>In Progress</t>
        </is>
      </c>
      <c r="L11" s="21" t="inlineStr">
        <is>
          <t>CASH SALE – PARTIAL</t>
        </is>
      </c>
      <c r="M11" s="16" t="inlineStr">
        <is>
          <t>Fumax 1000.32.F.8.1100.4.3, 1000Diam Screen, Inlet Cone, M/Feet</t>
        </is>
      </c>
      <c r="N11" s="22">
        <f>Table13456789[[#This Row],[Delivery Date]]</f>
        <v/>
      </c>
    </row>
    <row r="12" ht="28.8" customHeight="1">
      <c r="A12" s="14" t="n">
        <v>46077</v>
      </c>
      <c r="B12" s="15" t="n">
        <v>46087</v>
      </c>
      <c r="C12" s="16" t="inlineStr">
        <is>
          <t>FM3868</t>
        </is>
      </c>
      <c r="D12" s="16" t="inlineStr">
        <is>
          <t>SO4406</t>
        </is>
      </c>
      <c r="E12" s="18" t="n">
        <v>61862</v>
      </c>
      <c r="F12" s="19" t="inlineStr">
        <is>
          <t>Chabo &amp; Joubert Air Conditioning (Pty) Ltd</t>
        </is>
      </c>
      <c r="G12" s="305" t="n">
        <v>34524</v>
      </c>
      <c r="H12" s="305" t="n">
        <v>5178.6</v>
      </c>
      <c r="I12" s="305" t="n">
        <v>39702.6</v>
      </c>
      <c r="J12" s="19" t="inlineStr">
        <is>
          <t>Sizwe Tshabalala</t>
        </is>
      </c>
      <c r="K12" s="16" t="inlineStr">
        <is>
          <t>Ready for dispatch</t>
        </is>
      </c>
      <c r="L12" s="21" t="inlineStr">
        <is>
          <t>ACCOUNT - UP TO DATE</t>
        </is>
      </c>
      <c r="M12" s="16" t="inlineStr">
        <is>
          <t>RAD 250 , 250 Diam Tube Silencer 600L, 315 Diam Tube Silencer 600L, NEOLINEO-315/V</t>
        </is>
      </c>
      <c r="N12" s="22">
        <f>Table13456789[[#This Row],[Delivery Date]]</f>
        <v/>
      </c>
    </row>
    <row r="13" ht="28.8" customHeight="1">
      <c r="A13" s="14" t="n">
        <v>46077</v>
      </c>
      <c r="B13" s="15" t="n">
        <v>46087</v>
      </c>
      <c r="C13" s="16" t="inlineStr">
        <is>
          <t>FM3872</t>
        </is>
      </c>
      <c r="D13" s="16" t="inlineStr">
        <is>
          <t>SO4402</t>
        </is>
      </c>
      <c r="E13" s="18" t="n">
        <v>61482</v>
      </c>
      <c r="F13" s="19" t="inlineStr">
        <is>
          <t>Chabo &amp; Joubert Air Conditioning (Pty) Ltd</t>
        </is>
      </c>
      <c r="G13" s="305" t="n">
        <v>10577</v>
      </c>
      <c r="H13" s="305" t="n">
        <v>1586.55</v>
      </c>
      <c r="I13" s="305" t="n">
        <v>12163.55</v>
      </c>
      <c r="J13" s="19" t="inlineStr">
        <is>
          <t>Sizwe Tshabalala</t>
        </is>
      </c>
      <c r="K13" s="16" t="inlineStr">
        <is>
          <t>Ready for dispatch</t>
        </is>
      </c>
      <c r="L13" s="21" t="inlineStr">
        <is>
          <t>ACCOUNT - UP TO DATE</t>
        </is>
      </c>
      <c r="M13" s="16" t="inlineStr">
        <is>
          <t>HV1250 c/w 1.1Kw 450 rpm 380V</t>
        </is>
      </c>
      <c r="N13" s="22">
        <f>Table13456789[[#This Row],[Delivery Date]]</f>
        <v/>
      </c>
    </row>
    <row r="14" ht="28.8" customHeight="1">
      <c r="A14" s="14" t="n">
        <v>46076</v>
      </c>
      <c r="B14" s="15" t="n">
        <v>46090</v>
      </c>
      <c r="C14" s="16" t="inlineStr">
        <is>
          <t>FM3866</t>
        </is>
      </c>
      <c r="D14" s="16" t="inlineStr">
        <is>
          <t>SO4397</t>
        </is>
      </c>
      <c r="E14" s="18" t="inlineStr">
        <is>
          <t>J99335 Replacement</t>
        </is>
      </c>
      <c r="F14" s="19" t="inlineStr">
        <is>
          <t>Moyahabo Mosala Trading and Projects</t>
        </is>
      </c>
      <c r="G14" s="305" t="n">
        <v>76748.60000000001</v>
      </c>
      <c r="H14" s="305" t="n">
        <v>11512.29</v>
      </c>
      <c r="I14" s="305" t="n">
        <v>88260.89</v>
      </c>
      <c r="J14" s="19" t="inlineStr">
        <is>
          <t>Sizwe Tshabalala</t>
        </is>
      </c>
      <c r="K14" s="16" t="inlineStr">
        <is>
          <t>In Progress</t>
        </is>
      </c>
      <c r="L14" s="21" t="inlineStr">
        <is>
          <t>CASH SALE – PARTIAL</t>
        </is>
      </c>
      <c r="M14" s="16" t="inlineStr">
        <is>
          <t>MAJAX-1 1000 c/w 22.00KW 4P 380V Spark Proof</t>
        </is>
      </c>
      <c r="N14" s="22">
        <f>Table13456789[[#This Row],[Delivery Date]]</f>
        <v/>
      </c>
    </row>
    <row r="15">
      <c r="A15" s="14" t="n">
        <v>46058</v>
      </c>
      <c r="B15" s="15" t="n">
        <v>46090</v>
      </c>
      <c r="C15" s="16" t="inlineStr">
        <is>
          <t>FM3812</t>
        </is>
      </c>
      <c r="D15" s="17" t="inlineStr">
        <is>
          <t>SO4343</t>
        </is>
      </c>
      <c r="E15" s="18" t="inlineStr">
        <is>
          <t>DPO-1616</t>
        </is>
      </c>
      <c r="F15" s="19" t="inlineStr">
        <is>
          <t>Dueltron (Pty) Ltd</t>
        </is>
      </c>
      <c r="G15" s="305" t="n">
        <v>126321</v>
      </c>
      <c r="H15" s="305" t="n">
        <v>18948.15</v>
      </c>
      <c r="I15" s="305" t="n">
        <v>145269.15</v>
      </c>
      <c r="J15" s="19" t="inlineStr">
        <is>
          <t>Mashudu Tshifularo</t>
        </is>
      </c>
      <c r="K15" s="16" t="inlineStr">
        <is>
          <t>In Progress</t>
        </is>
      </c>
      <c r="L15" s="21" t="inlineStr">
        <is>
          <t>ACCOUNT - UP TO DATE</t>
        </is>
      </c>
      <c r="M15" s="16" t="inlineStr">
        <is>
          <t>MAJAX-3 1250 c/w 22,00KW 4P 380V</t>
        </is>
      </c>
      <c r="N15" s="22">
        <f>Table13456789[[#This Row],[Delivery Date]]</f>
        <v/>
      </c>
    </row>
    <row r="16" ht="28.8" customHeight="1">
      <c r="A16" s="31" t="n">
        <v>46070</v>
      </c>
      <c r="B16" s="15" t="n">
        <v>46092</v>
      </c>
      <c r="C16" s="16" t="inlineStr">
        <is>
          <t>FM3848</t>
        </is>
      </c>
      <c r="D16" s="16" t="inlineStr">
        <is>
          <t>SO4379</t>
        </is>
      </c>
      <c r="E16" s="35" t="inlineStr">
        <is>
          <t>ABF001-2026-0017</t>
        </is>
      </c>
      <c r="F16" s="36" t="inlineStr">
        <is>
          <t>Industrial Control &amp; Automation (ICA)</t>
        </is>
      </c>
      <c r="G16" s="306" t="n">
        <v>20760</v>
      </c>
      <c r="H16" s="306" t="n">
        <v>3114</v>
      </c>
      <c r="I16" s="306" t="n">
        <v>23874</v>
      </c>
      <c r="J16" s="36" t="inlineStr">
        <is>
          <t>Simon Mokgola</t>
        </is>
      </c>
      <c r="K16" s="33" t="inlineStr">
        <is>
          <t>In Progress</t>
        </is>
      </c>
      <c r="L16" s="38" t="inlineStr">
        <is>
          <t>CASH SALE - PAID</t>
        </is>
      </c>
      <c r="M16" s="33" t="inlineStr">
        <is>
          <t>HEP-31-2M/H 220-240V</t>
        </is>
      </c>
      <c r="N16" s="39">
        <f>Table13456789[[#This Row],[Delivery Date]]</f>
        <v/>
      </c>
    </row>
    <row r="17" ht="28.8" customHeight="1">
      <c r="A17" s="14" t="n">
        <v>46072</v>
      </c>
      <c r="B17" s="15" t="n">
        <v>46093</v>
      </c>
      <c r="C17" s="33" t="inlineStr">
        <is>
          <t>FM3857</t>
        </is>
      </c>
      <c r="D17" s="33" t="inlineStr">
        <is>
          <t>SO4388</t>
        </is>
      </c>
      <c r="E17" s="18" t="inlineStr">
        <is>
          <t>POL15058</t>
        </is>
      </c>
      <c r="F17" s="19" t="inlineStr">
        <is>
          <t>Heavy Duty Industrial (Pty) Ltd</t>
        </is>
      </c>
      <c r="G17" s="305" t="n">
        <v>243745.16</v>
      </c>
      <c r="H17" s="305" t="n">
        <v>36561.77</v>
      </c>
      <c r="I17" s="305" t="n">
        <v>280306.93</v>
      </c>
      <c r="J17" s="19" t="inlineStr">
        <is>
          <t>Mashudu Tshifularo</t>
        </is>
      </c>
      <c r="K17" s="16" t="inlineStr">
        <is>
          <t>In Progress</t>
        </is>
      </c>
      <c r="L17" s="21" t="inlineStr">
        <is>
          <t>CASH SALE - PAID</t>
        </is>
      </c>
      <c r="M17" s="16" t="inlineStr">
        <is>
          <t>Plate axial 800mm 150A10 c/w5.5kw 4 pole 380v flame proof motor</t>
        </is>
      </c>
      <c r="N17" s="22">
        <f>Table13456789[[#This Row],[Delivery Date]]</f>
        <v/>
      </c>
    </row>
    <row r="18" ht="28.8" customHeight="1">
      <c r="A18" s="40" t="n">
        <v>45972</v>
      </c>
      <c r="B18" s="41" t="n">
        <v>46094</v>
      </c>
      <c r="C18" s="42" t="inlineStr">
        <is>
          <t>FM3633</t>
        </is>
      </c>
      <c r="D18" s="43" t="inlineStr">
        <is>
          <t>SO4171</t>
        </is>
      </c>
      <c r="E18" s="44" t="inlineStr">
        <is>
          <t>A3412094782</t>
        </is>
      </c>
      <c r="F18" s="45" t="inlineStr">
        <is>
          <t>NWK LTD</t>
        </is>
      </c>
      <c r="G18" s="307" t="n">
        <v>13040</v>
      </c>
      <c r="H18" s="307" t="n">
        <v>1955.999999999998</v>
      </c>
      <c r="I18" s="307" t="n">
        <v>14996</v>
      </c>
      <c r="J18" s="45" t="inlineStr">
        <is>
          <t>Sizwe Tshabalala</t>
        </is>
      </c>
      <c r="K18" s="42" t="inlineStr">
        <is>
          <t>In Progress</t>
        </is>
      </c>
      <c r="L18" s="47" t="inlineStr">
        <is>
          <t>ACCOUNT - UP TO DATE</t>
        </is>
      </c>
      <c r="M18" s="42" t="inlineStr">
        <is>
          <t>1 x CMA-325-2M -PO3572 - Indent 0142 - Sodeca ETA: 28/02/2026</t>
        </is>
      </c>
      <c r="N18" s="48">
        <f>Table13456789[[#This Row],[Delivery Date]]</f>
        <v/>
      </c>
    </row>
    <row r="19" ht="28.8" customHeight="1">
      <c r="A19" s="40" t="n">
        <v>45981</v>
      </c>
      <c r="B19" s="41" t="n">
        <v>46094</v>
      </c>
      <c r="C19" s="42" t="inlineStr">
        <is>
          <t>FM3676</t>
        </is>
      </c>
      <c r="D19" s="43" t="inlineStr">
        <is>
          <t>SO4204</t>
        </is>
      </c>
      <c r="E19" s="44" t="inlineStr">
        <is>
          <t>B137477</t>
        </is>
      </c>
      <c r="F19" s="45" t="inlineStr">
        <is>
          <t>Vescotech</t>
        </is>
      </c>
      <c r="G19" s="307" t="n">
        <v>19620</v>
      </c>
      <c r="H19" s="307" t="n">
        <v>2943</v>
      </c>
      <c r="I19" s="307" t="n">
        <v>22563</v>
      </c>
      <c r="J19" s="45" t="inlineStr">
        <is>
          <t>Sizwe Tshabalala</t>
        </is>
      </c>
      <c r="K19" s="42" t="inlineStr">
        <is>
          <t>In Progress</t>
        </is>
      </c>
      <c r="L19" s="47" t="inlineStr">
        <is>
          <t>CASH SALE - PAID</t>
        </is>
      </c>
      <c r="M19" s="42" t="inlineStr">
        <is>
          <t>HCD - 40 -PO3572 - Indent 0142 - Sodeca ETA: 28/02/2026</t>
        </is>
      </c>
      <c r="N19" s="48">
        <f>Table13456789[[#This Row],[Delivery Date]]</f>
        <v/>
      </c>
    </row>
    <row r="20" ht="28.8" customHeight="1">
      <c r="A20" s="40" t="n">
        <v>45985</v>
      </c>
      <c r="B20" s="41" t="n">
        <v>46094</v>
      </c>
      <c r="C20" s="42" t="inlineStr">
        <is>
          <t>FM3685</t>
        </is>
      </c>
      <c r="D20" s="43" t="inlineStr">
        <is>
          <t>SO4215</t>
        </is>
      </c>
      <c r="E20" s="44" t="n">
        <v>4358</v>
      </c>
      <c r="F20" s="45" t="inlineStr">
        <is>
          <t>Air Speration (Pty) Ltd</t>
        </is>
      </c>
      <c r="G20" s="307" t="n">
        <v>11540</v>
      </c>
      <c r="H20" s="307" t="n">
        <v>1730.999999999998</v>
      </c>
      <c r="I20" s="307" t="n">
        <v>13271</v>
      </c>
      <c r="J20" s="45" t="inlineStr">
        <is>
          <t>Mashudu Tshifularo</t>
        </is>
      </c>
      <c r="K20" s="42" t="inlineStr">
        <is>
          <t>In Progress</t>
        </is>
      </c>
      <c r="L20" s="47" t="inlineStr">
        <is>
          <t>CASH SALE - PAID</t>
        </is>
      </c>
      <c r="M20" s="42" t="inlineStr">
        <is>
          <t>1 x CMP820-2T -PO3572 - Indent 0142 - Sodeca ETA: 28/02/2026</t>
        </is>
      </c>
      <c r="N20" s="48">
        <f>Table13456789[[#This Row],[Delivery Date]]</f>
        <v/>
      </c>
    </row>
    <row r="21" ht="57.6" customHeight="1">
      <c r="A21" s="31" t="n">
        <v>46077</v>
      </c>
      <c r="B21" s="32" t="n">
        <v>46106</v>
      </c>
      <c r="C21" s="16" t="inlineStr">
        <is>
          <t>FM3875 FM3876</t>
        </is>
      </c>
      <c r="D21" s="16" t="inlineStr">
        <is>
          <t>SO4405</t>
        </is>
      </c>
      <c r="E21" s="35" t="inlineStr">
        <is>
          <t>FM3875 FM3876</t>
        </is>
      </c>
      <c r="F21" s="36" t="inlineStr">
        <is>
          <t>BMT Smart Solutions</t>
        </is>
      </c>
      <c r="G21" s="306" t="n">
        <v>45898.4</v>
      </c>
      <c r="H21" s="306" t="n">
        <v>6884.76</v>
      </c>
      <c r="I21" s="306" t="n">
        <v>52783.16</v>
      </c>
      <c r="J21" s="36" t="inlineStr">
        <is>
          <t>Simon Mokgola</t>
        </is>
      </c>
      <c r="K21" s="33" t="inlineStr">
        <is>
          <t>In Progress</t>
        </is>
      </c>
      <c r="L21" s="38" t="inlineStr">
        <is>
          <t>ACCOUNT - UP TO DATE</t>
        </is>
      </c>
      <c r="M21" s="33" t="inlineStr">
        <is>
          <t>MAXFLO 500/150/10 A c/w 0.37KW 4P 380V, 500 Diam Silencer 1.5D Podded,M/Feet, 315 to 560 AVMs, Fumax 560.20.D.8 C/W 4KW 2P 380V, 560 Diam Silencer 1.5D Podded,C/Flange,M/ Feet, 315 to 560 AVMs</t>
        </is>
      </c>
      <c r="N21" s="22">
        <f>Table13456789[[#This Row],[Delivery Date]]</f>
        <v/>
      </c>
    </row>
    <row r="22">
      <c r="A22" s="24" t="n">
        <v>45799</v>
      </c>
      <c r="B22" s="25" t="n">
        <v>46111</v>
      </c>
      <c r="C22" s="26" t="inlineStr">
        <is>
          <t>TBA</t>
        </is>
      </c>
      <c r="D22" s="26" t="inlineStr">
        <is>
          <t>SO3760</t>
        </is>
      </c>
      <c r="E22" s="27" t="inlineStr">
        <is>
          <t>ORDER</t>
        </is>
      </c>
      <c r="F22" s="28" t="inlineStr">
        <is>
          <t>Rey &amp; Lenferna Ltd</t>
        </is>
      </c>
      <c r="G22" s="308" t="n">
        <v>545349.34</v>
      </c>
      <c r="H22" s="308" t="n">
        <v>0</v>
      </c>
      <c r="I22" s="308" t="n">
        <v>545349.34</v>
      </c>
      <c r="J22" s="28" t="inlineStr">
        <is>
          <t>Sizwe - R.O.A</t>
        </is>
      </c>
      <c r="K22" s="26" t="inlineStr">
        <is>
          <t>Not Processed</t>
        </is>
      </c>
      <c r="L22" s="26" t="inlineStr">
        <is>
          <t>ACCOUNT - UP TO DATE</t>
        </is>
      </c>
      <c r="M22" s="76" t="inlineStr">
        <is>
          <t>TBC</t>
        </is>
      </c>
      <c r="N22" s="30">
        <f>Table13456789[[#This Row],[Delivery Date]]</f>
        <v/>
      </c>
    </row>
    <row r="23">
      <c r="A23" s="24" t="n">
        <v>46052</v>
      </c>
      <c r="B23" s="25" t="n">
        <v>46111</v>
      </c>
      <c r="C23" s="26" t="inlineStr">
        <is>
          <t>TBA</t>
        </is>
      </c>
      <c r="D23" s="26" t="inlineStr">
        <is>
          <t>SO4331</t>
        </is>
      </c>
      <c r="E23" s="27" t="inlineStr">
        <is>
          <t>ORDER</t>
        </is>
      </c>
      <c r="F23" s="28" t="inlineStr">
        <is>
          <t>Rey &amp; Lenferna Ltd</t>
        </is>
      </c>
      <c r="G23" s="308" t="n">
        <v>1084072.0248</v>
      </c>
      <c r="H23" s="308" t="n">
        <v>0</v>
      </c>
      <c r="I23" s="308" t="n">
        <v>538722.6848</v>
      </c>
      <c r="J23" s="28" t="inlineStr">
        <is>
          <t>Sizwe - R.O.A</t>
        </is>
      </c>
      <c r="K23" s="26" t="inlineStr">
        <is>
          <t>Not Processed</t>
        </is>
      </c>
      <c r="L23" s="26" t="inlineStr">
        <is>
          <t>ACCOUNT - UP TO DATE</t>
        </is>
      </c>
      <c r="M23" s="76" t="inlineStr">
        <is>
          <t>TBC</t>
        </is>
      </c>
      <c r="N23" s="30">
        <f>Table13456789[[#This Row],[Delivery Date]]</f>
        <v/>
      </c>
    </row>
    <row r="24" ht="28.8" customHeight="1">
      <c r="A24" s="14" t="n">
        <v>46063</v>
      </c>
      <c r="B24" s="15" t="n">
        <v>46111</v>
      </c>
      <c r="C24" s="16" t="inlineStr">
        <is>
          <t>FM3819</t>
        </is>
      </c>
      <c r="D24" s="17" t="inlineStr">
        <is>
          <t>SO4350</t>
        </is>
      </c>
      <c r="E24" s="18" t="inlineStr">
        <is>
          <t>PO-27149</t>
        </is>
      </c>
      <c r="F24" s="19" t="inlineStr">
        <is>
          <t>Aircycle Engineering CC</t>
        </is>
      </c>
      <c r="G24" s="305" t="n">
        <v>56285</v>
      </c>
      <c r="H24" s="305" t="n">
        <v>8442.75</v>
      </c>
      <c r="I24" s="305" t="n">
        <v>64727.75</v>
      </c>
      <c r="J24" s="19" t="inlineStr">
        <is>
          <t>Simon Mokgola</t>
        </is>
      </c>
      <c r="K24" s="16" t="inlineStr">
        <is>
          <t>In Progress</t>
        </is>
      </c>
      <c r="L24" s="21" t="inlineStr">
        <is>
          <t>ACCOUNT - UP TO DATE</t>
        </is>
      </c>
      <c r="M24" s="33" t="inlineStr">
        <is>
          <t>CA/Line/EC - 31 50/60HZ, HCT/EC - 45-2T-2 400V 50/60HZ IE5, AVMs, 450 C/Flange, M/Feet</t>
        </is>
      </c>
      <c r="N24" s="22">
        <f>Table13456789[[#This Row],[Delivery Date]]</f>
        <v/>
      </c>
    </row>
    <row r="25">
      <c r="A25" s="14" t="n">
        <v>46077</v>
      </c>
      <c r="B25" s="15" t="n">
        <v>46112</v>
      </c>
      <c r="C25" s="16" t="inlineStr">
        <is>
          <t>FM3874</t>
        </is>
      </c>
      <c r="D25" s="16" t="inlineStr">
        <is>
          <t>SO4404</t>
        </is>
      </c>
      <c r="E25" s="18" t="inlineStr">
        <is>
          <t>Nicotra-Fan</t>
        </is>
      </c>
      <c r="F25" s="19" t="inlineStr">
        <is>
          <t>ITD North Pty Ltd</t>
        </is>
      </c>
      <c r="G25" s="305" t="n">
        <v>81954</v>
      </c>
      <c r="H25" s="305" t="n">
        <v>12293.1</v>
      </c>
      <c r="I25" s="305" t="n">
        <v>94247.10000000001</v>
      </c>
      <c r="J25" s="19" t="inlineStr">
        <is>
          <t>Mashudu Tshifularo</t>
        </is>
      </c>
      <c r="K25" s="16" t="inlineStr">
        <is>
          <t>In Progress</t>
        </is>
      </c>
      <c r="L25" s="21" t="inlineStr">
        <is>
          <t>CASH SALE – PARTIAL</t>
        </is>
      </c>
      <c r="M25" s="33" t="inlineStr">
        <is>
          <t>RDH 710 K2 - Nicotra Fan</t>
        </is>
      </c>
      <c r="N25" s="22">
        <f>Table13456789[[#This Row],[Delivery Date]]</f>
        <v/>
      </c>
    </row>
    <row r="26" ht="29.4" customHeight="1" thickBot="1">
      <c r="A26" s="40" t="n">
        <v>46069</v>
      </c>
      <c r="B26" s="41" t="n">
        <v>46157</v>
      </c>
      <c r="C26" s="42" t="inlineStr">
        <is>
          <t>FM3841</t>
        </is>
      </c>
      <c r="D26" s="43" t="inlineStr">
        <is>
          <t>SO4372</t>
        </is>
      </c>
      <c r="E26" s="44" t="inlineStr">
        <is>
          <t>PO2213</t>
        </is>
      </c>
      <c r="F26" s="45" t="inlineStr">
        <is>
          <t>Hucra Fans</t>
        </is>
      </c>
      <c r="G26" s="307" t="n">
        <v>330429</v>
      </c>
      <c r="H26" s="307" t="n">
        <v>49564.35</v>
      </c>
      <c r="I26" s="307" t="n">
        <v>379993.35</v>
      </c>
      <c r="J26" s="45" t="inlineStr">
        <is>
          <t>Sales Agent Hucra Fans</t>
        </is>
      </c>
      <c r="K26" s="42" t="inlineStr">
        <is>
          <t>In Progress</t>
        </is>
      </c>
      <c r="L26" s="47" t="inlineStr">
        <is>
          <t>ACCOUNT - UP TO DATE</t>
        </is>
      </c>
      <c r="M26" s="42" t="inlineStr">
        <is>
          <t>SCL K11 MS - 11.0kW - 525V</t>
        </is>
      </c>
      <c r="N26" s="48">
        <f>Table13456789[[#This Row],[Delivery Date]]</f>
        <v/>
      </c>
    </row>
    <row r="27" ht="16.2" customHeight="1" thickBot="1">
      <c r="A27" s="14" t="n"/>
      <c r="B27" s="15" t="n"/>
      <c r="C27" s="16" t="n"/>
      <c r="D27" s="17" t="n"/>
      <c r="E27" s="18" t="n"/>
      <c r="F27" s="19" t="n"/>
      <c r="G27" s="305" t="n"/>
      <c r="H27" s="309" t="inlineStr">
        <is>
          <t>Total</t>
        </is>
      </c>
      <c r="I27" s="310">
        <f>SUBTOTAL(109,I3:I26)</f>
        <v/>
      </c>
      <c r="J27" s="51" t="n"/>
      <c r="K27" s="16" t="n"/>
      <c r="L27" s="21" t="n"/>
      <c r="M27" s="16" t="n"/>
      <c r="N27" s="22" t="n"/>
    </row>
    <row r="28" ht="15.6" customHeight="1">
      <c r="A28" s="52" t="n"/>
      <c r="B28" s="52" t="n"/>
      <c r="C28" s="53" t="n"/>
      <c r="H28" s="311" t="n"/>
      <c r="I28" s="312" t="n"/>
      <c r="N28" s="52" t="n"/>
    </row>
    <row r="29" ht="15" customHeight="1" thickBot="1">
      <c r="C29" s="313" t="inlineStr">
        <is>
          <t>MARCH</t>
        </is>
      </c>
      <c r="D29" s="314" t="n"/>
      <c r="F29" s="314" t="inlineStr">
        <is>
          <t>APRIL</t>
        </is>
      </c>
      <c r="G29" s="314" t="n"/>
      <c r="I29" s="314" t="inlineStr">
        <is>
          <t>Dispatch</t>
        </is>
      </c>
    </row>
    <row r="30" ht="15" customFormat="1" customHeight="1" s="299" thickBot="1">
      <c r="C30" s="315" t="inlineStr">
        <is>
          <t>Cash Sale</t>
        </is>
      </c>
      <c r="D30" s="302">
        <f>I3+I4+I5+I6+I11+I14+I16+I17+I19+I20+I25</f>
        <v/>
      </c>
      <c r="E30" s="55" t="n"/>
      <c r="F30" s="316" t="inlineStr">
        <is>
          <t>Cash Sale</t>
        </is>
      </c>
      <c r="G30" s="302" t="n">
        <v>0</v>
      </c>
      <c r="H30" s="302" t="n"/>
      <c r="I30" s="317">
        <f>I4+I5+I7+I12+I13</f>
        <v/>
      </c>
      <c r="J30" s="56" t="n"/>
      <c r="K30" s="53" t="n"/>
      <c r="L30" s="60" t="n"/>
      <c r="M30" s="53" t="n"/>
    </row>
    <row r="31" customFormat="1" s="299">
      <c r="C31" s="315" t="inlineStr">
        <is>
          <t>Account</t>
        </is>
      </c>
      <c r="D31" s="302">
        <f>I24+I23+I22+I21+I18+I15+I13+I12+I10+I9+I8+I7</f>
        <v/>
      </c>
      <c r="E31" s="55" t="n"/>
      <c r="F31" s="318" t="inlineStr">
        <is>
          <t>Account</t>
        </is>
      </c>
      <c r="G31" s="302" t="n">
        <v>0</v>
      </c>
      <c r="H31" s="302" t="n"/>
      <c r="I31" s="302" t="n"/>
      <c r="J31" s="56" t="n"/>
      <c r="K31" s="53" t="n"/>
      <c r="L31" s="60" t="n"/>
      <c r="M31" s="53" t="n"/>
    </row>
    <row r="32" customFormat="1" s="299">
      <c r="C32" s="315" t="inlineStr">
        <is>
          <t>Total FEB</t>
        </is>
      </c>
      <c r="D32" s="312">
        <f>D31+D30</f>
        <v/>
      </c>
      <c r="E32" s="55" t="n"/>
      <c r="F32" s="319" t="inlineStr">
        <is>
          <t>Total</t>
        </is>
      </c>
      <c r="G32" s="312">
        <f>G31+G30</f>
        <v/>
      </c>
      <c r="H32" s="302" t="n"/>
      <c r="I32" s="302" t="n"/>
      <c r="J32" s="56" t="n"/>
      <c r="K32" s="53" t="n"/>
      <c r="L32" s="60" t="n"/>
      <c r="M32" s="53" t="n"/>
    </row>
    <row r="33" ht="15" customFormat="1" customHeight="1" s="299" thickBot="1">
      <c r="E33" s="55" t="n"/>
      <c r="F33" s="56" t="n"/>
      <c r="G33" s="313" t="n"/>
      <c r="I33" s="302" t="n"/>
      <c r="J33" s="56" t="n"/>
      <c r="K33" s="53" t="n"/>
      <c r="L33" s="60" t="n"/>
      <c r="M33" s="53" t="n"/>
    </row>
    <row r="34" ht="28.8" customFormat="1" customHeight="1" s="299">
      <c r="B34" s="67" t="inlineStr">
        <is>
          <t>Delivery Date</t>
        </is>
      </c>
      <c r="C34" s="67" t="inlineStr">
        <is>
          <t>Job Number</t>
        </is>
      </c>
      <c r="D34" s="67" t="inlineStr">
        <is>
          <t>SO Number</t>
        </is>
      </c>
      <c r="E34" s="67" t="inlineStr">
        <is>
          <t>Customer Ref.</t>
        </is>
      </c>
      <c r="F34" s="67" t="inlineStr">
        <is>
          <t>Customer</t>
        </is>
      </c>
      <c r="G34" s="320" t="inlineStr">
        <is>
          <t>Exclusive</t>
        </is>
      </c>
      <c r="H34" s="321" t="inlineStr">
        <is>
          <t>VAT</t>
        </is>
      </c>
      <c r="I34" s="322" t="inlineStr">
        <is>
          <t>Total</t>
        </is>
      </c>
      <c r="J34" s="71" t="inlineStr">
        <is>
          <t>Sales Rep</t>
        </is>
      </c>
      <c r="K34" s="67" t="inlineStr">
        <is>
          <t>Status</t>
        </is>
      </c>
      <c r="L34" s="67" t="inlineStr">
        <is>
          <t>Payment Type &amp; Status</t>
        </is>
      </c>
      <c r="M34" s="67" t="inlineStr">
        <is>
          <t>Comments</t>
        </is>
      </c>
    </row>
    <row r="35" customFormat="1" s="299">
      <c r="B35" s="32">
        <f>TODAY()</f>
        <v/>
      </c>
      <c r="C35" s="33" t="inlineStr">
        <is>
          <t>FM3808</t>
        </is>
      </c>
      <c r="D35" s="34" t="inlineStr">
        <is>
          <t>SO4339</t>
        </is>
      </c>
      <c r="E35" s="35" t="inlineStr">
        <is>
          <t>PO549NN</t>
        </is>
      </c>
      <c r="F35" s="36" t="inlineStr">
        <is>
          <t>Intervent-Universal (Pty) Ltd</t>
        </is>
      </c>
      <c r="G35" s="306" t="n">
        <v>19840</v>
      </c>
      <c r="H35" s="323" t="n">
        <v>2976</v>
      </c>
      <c r="I35" s="324" t="n">
        <v>22816</v>
      </c>
      <c r="J35" s="74" t="inlineStr">
        <is>
          <t>Simon Mokgola</t>
        </is>
      </c>
      <c r="K35" s="33" t="inlineStr">
        <is>
          <t>Ready for dispatch</t>
        </is>
      </c>
      <c r="L35" s="38" t="inlineStr">
        <is>
          <t>CASH SALE - UNPAID</t>
        </is>
      </c>
      <c r="M35" s="33" t="inlineStr">
        <is>
          <t>Awaiting payment confirmation &amp; Collection</t>
        </is>
      </c>
    </row>
    <row r="36" customFormat="1" s="299">
      <c r="B36" s="52" t="n"/>
      <c r="C36" s="33" t="inlineStr">
        <is>
          <t>FM3854</t>
        </is>
      </c>
      <c r="D36" s="34" t="inlineStr">
        <is>
          <t>SO4384</t>
        </is>
      </c>
      <c r="E36" s="35" t="inlineStr">
        <is>
          <t>FM3854</t>
        </is>
      </c>
      <c r="F36" s="36" t="inlineStr">
        <is>
          <t>KG Construction Pty Ltd</t>
        </is>
      </c>
      <c r="G36" s="306" t="n">
        <v>68975</v>
      </c>
      <c r="H36" s="323" t="n">
        <v>10346.25</v>
      </c>
      <c r="I36" s="324" t="n">
        <v>79321.25</v>
      </c>
      <c r="J36" s="74" t="inlineStr">
        <is>
          <t>Simon Mokgola</t>
        </is>
      </c>
      <c r="K36" s="33" t="inlineStr">
        <is>
          <t>Ready for dispatch</t>
        </is>
      </c>
      <c r="L36" s="38" t="inlineStr">
        <is>
          <t>CASH SALE - UNPAID</t>
        </is>
      </c>
      <c r="M36" s="33" t="inlineStr">
        <is>
          <t>Awaiting payment confirmation &amp; Collection</t>
        </is>
      </c>
    </row>
    <row r="37" customFormat="1" s="299">
      <c r="B37" s="52" t="n"/>
      <c r="C37" s="33" t="inlineStr">
        <is>
          <t>FM3869</t>
        </is>
      </c>
      <c r="D37" s="34" t="inlineStr">
        <is>
          <t>SO4399</t>
        </is>
      </c>
      <c r="E37" s="35" t="inlineStr">
        <is>
          <t>MP015648</t>
        </is>
      </c>
      <c r="F37" s="36" t="inlineStr">
        <is>
          <t xml:space="preserve">Midair Air </t>
        </is>
      </c>
      <c r="G37" s="306" t="n">
        <v>12144</v>
      </c>
      <c r="H37" s="323" t="n">
        <v>1821.6</v>
      </c>
      <c r="I37" s="324" t="n">
        <v>13965.6</v>
      </c>
      <c r="J37" s="74" t="inlineStr">
        <is>
          <t>Mashudu Tshifularo</t>
        </is>
      </c>
      <c r="K37" s="33" t="inlineStr">
        <is>
          <t>Ready for dispatch</t>
        </is>
      </c>
      <c r="L37" s="38" t="inlineStr">
        <is>
          <t>ACCOUNT - UP TO DATE</t>
        </is>
      </c>
      <c r="M37" s="33" t="inlineStr">
        <is>
          <t>Delivery 02/03/2026</t>
        </is>
      </c>
    </row>
    <row r="38" ht="28.8" customFormat="1" customHeight="1" s="299">
      <c r="B38" s="52" t="n"/>
      <c r="C38" s="33" t="inlineStr">
        <is>
          <t>FM3868</t>
        </is>
      </c>
      <c r="D38" s="34" t="inlineStr">
        <is>
          <t>SO4406</t>
        </is>
      </c>
      <c r="E38" s="35" t="n">
        <v>61862</v>
      </c>
      <c r="F38" s="36" t="inlineStr">
        <is>
          <t>Chabo &amp; Joubert Air Conditioning (Pty) Ltd</t>
        </is>
      </c>
      <c r="G38" s="306" t="n">
        <v>34524</v>
      </c>
      <c r="H38" s="323" t="n">
        <v>5178.6</v>
      </c>
      <c r="I38" s="324" t="n">
        <v>39702.6</v>
      </c>
      <c r="J38" s="74" t="inlineStr">
        <is>
          <t>Sizwe Tshabalala</t>
        </is>
      </c>
      <c r="K38" s="33" t="inlineStr">
        <is>
          <t>Ready for dispatch</t>
        </is>
      </c>
      <c r="L38" s="38" t="inlineStr">
        <is>
          <t>ACCOUNT - UP TO DATE</t>
        </is>
      </c>
      <c r="M38" s="33" t="inlineStr">
        <is>
          <t>To be collected by 06//03/2026</t>
        </is>
      </c>
    </row>
    <row r="39" ht="28.8" customFormat="1" customHeight="1" s="299">
      <c r="B39" s="52" t="n"/>
      <c r="C39" s="33" t="inlineStr">
        <is>
          <t>FM3872</t>
        </is>
      </c>
      <c r="D39" s="34" t="inlineStr">
        <is>
          <t>SO4402</t>
        </is>
      </c>
      <c r="E39" s="35" t="n">
        <v>61482</v>
      </c>
      <c r="F39" s="36" t="inlineStr">
        <is>
          <t>Chabo &amp; Joubert Air Conditioning (Pty) Ltd</t>
        </is>
      </c>
      <c r="G39" s="306" t="n">
        <v>10577</v>
      </c>
      <c r="H39" s="323" t="n">
        <v>1586.55</v>
      </c>
      <c r="I39" s="324" t="n">
        <v>12163.55</v>
      </c>
      <c r="J39" s="74" t="inlineStr">
        <is>
          <t>Sizwe Tshabalala</t>
        </is>
      </c>
      <c r="K39" s="33" t="inlineStr">
        <is>
          <t>Ready for dispatch</t>
        </is>
      </c>
      <c r="L39" s="38" t="inlineStr">
        <is>
          <t>ACCOUNT - UP TO DATE</t>
        </is>
      </c>
      <c r="M39" s="33" t="inlineStr">
        <is>
          <t>To be collected by 06//03/2026</t>
        </is>
      </c>
    </row>
    <row r="40" ht="15" customFormat="1" customHeight="1" s="299" thickBot="1">
      <c r="E40" s="55" t="n"/>
      <c r="F40" s="56" t="n"/>
      <c r="G40" s="302" t="n"/>
      <c r="H40" s="302" t="n"/>
      <c r="I40" s="325">
        <f>SUM(I35:I39)</f>
        <v/>
      </c>
      <c r="J40" s="56" t="n"/>
      <c r="K40" s="53" t="n"/>
      <c r="L40" s="60" t="n"/>
      <c r="M40" s="53" t="n"/>
    </row>
  </sheetData>
  <mergeCells count="2">
    <mergeCell ref="M1:N1"/>
    <mergeCell ref="G33:H33"/>
  </mergeCells>
  <conditionalFormatting sqref="A3:N28 B35:M39">
    <cfRule type="expression" priority="1" dxfId="0">
      <formula>$N3=TODAY()</formula>
    </cfRule>
  </conditionalFormatting>
  <dataValidations count="1">
    <dataValidation sqref="L3 L5:L29 L31:L33 L35:L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5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zoomScale="80" zoomScaleNormal="80" workbookViewId="0">
      <pane xSplit="2" ySplit="2" topLeftCell="C3" activePane="bottomRight" state="frozen"/>
      <selection activeCell="E26" sqref="E26"/>
      <selection pane="topRight" activeCell="E26" sqref="E26"/>
      <selection pane="bottomLeft" activeCell="E26" sqref="E26"/>
      <selection pane="bottomRight" activeCell="M38" sqref="M38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3.88671875" bestFit="1" customWidth="1" style="299" min="4" max="4"/>
    <col width="13.77734375" customWidth="1" style="55" min="5" max="5"/>
    <col width="23.109375" customWidth="1" style="56" min="6" max="6"/>
    <col width="15" bestFit="1" customWidth="1" style="302" min="7" max="7"/>
    <col width="13.77734375" bestFit="1" customWidth="1" style="302" min="8" max="8"/>
    <col width="18.44140625" bestFit="1" customWidth="1" style="302" min="9" max="9"/>
    <col width="18.44140625" bestFit="1" customWidth="1" style="56" min="10" max="10"/>
    <col width="17.109375" bestFit="1" customWidth="1" style="53" min="11" max="11"/>
    <col width="21.88671875" bestFit="1" customWidth="1" style="60" min="12" max="12"/>
    <col width="45.77734375" customWidth="1" style="53" min="13" max="13"/>
    <col width="23.44140625" bestFit="1" customWidth="1" style="299" min="14" max="14"/>
    <col width="8.88671875" customWidth="1" style="23" min="15" max="32"/>
    <col width="8.88671875" customWidth="1" style="23" min="33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303" t="n"/>
      <c r="I1" s="303" t="n"/>
      <c r="J1" s="4" t="n"/>
      <c r="K1" s="6" t="n"/>
      <c r="L1" s="2" t="n"/>
      <c r="M1" s="296">
        <f>TODAY()</f>
        <v/>
      </c>
      <c r="N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9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Excl.</t>
        </is>
      </c>
      <c r="H2" s="304" t="inlineStr">
        <is>
          <t>VAT</t>
        </is>
      </c>
      <c r="I2" s="304" t="inlineStr">
        <is>
          <t>Price Incl.</t>
        </is>
      </c>
      <c r="J2" s="9" t="inlineStr">
        <is>
          <t>Sales Rep.</t>
        </is>
      </c>
      <c r="K2" s="9" t="inlineStr">
        <is>
          <t>Status</t>
        </is>
      </c>
      <c r="L2" s="9" t="inlineStr">
        <is>
          <t>Payment Type &amp; Status</t>
        </is>
      </c>
      <c r="M2" s="9" t="inlineStr">
        <is>
          <t>Details</t>
        </is>
      </c>
      <c r="N2" s="12" t="inlineStr">
        <is>
          <t>Planned Collection / Delivery</t>
        </is>
      </c>
    </row>
    <row r="3" ht="43.2" customHeight="1">
      <c r="A3" s="14" t="n">
        <v>46084</v>
      </c>
      <c r="B3" s="15" t="n">
        <v>46085</v>
      </c>
      <c r="C3" s="16" t="inlineStr">
        <is>
          <t>SO4423</t>
        </is>
      </c>
      <c r="D3" s="17" t="inlineStr">
        <is>
          <t>FM3894</t>
        </is>
      </c>
      <c r="E3" s="18" t="inlineStr">
        <is>
          <t>BN-261950</t>
        </is>
      </c>
      <c r="F3" s="19" t="inlineStr">
        <is>
          <t>BirCraft Geared Motors Linear Actuators Controls t/a Bircraft cc</t>
        </is>
      </c>
      <c r="G3" s="305" t="n">
        <v>9382</v>
      </c>
      <c r="H3" s="305" t="n">
        <v>1407.3</v>
      </c>
      <c r="I3" s="305" t="n">
        <v>10789.3</v>
      </c>
      <c r="J3" s="19" t="inlineStr">
        <is>
          <t>Simon Mokgola</t>
        </is>
      </c>
      <c r="K3" s="16" t="inlineStr">
        <is>
          <t>In Progress</t>
        </is>
      </c>
      <c r="L3" s="21" t="inlineStr">
        <is>
          <t>CASH SALE - PAID</t>
        </is>
      </c>
      <c r="M3" s="16" t="inlineStr">
        <is>
          <t>CMP 616 2T</t>
        </is>
      </c>
      <c r="N3" s="22">
        <f>Table134567893[[#This Row],[Delivery Date]]</f>
        <v/>
      </c>
    </row>
    <row r="4" ht="57.6" customHeight="1">
      <c r="A4" s="14" t="n">
        <v>46080</v>
      </c>
      <c r="B4" s="15" t="n">
        <v>46087</v>
      </c>
      <c r="C4" s="16" t="inlineStr">
        <is>
          <t>FM3884</t>
        </is>
      </c>
      <c r="D4" s="16" t="inlineStr">
        <is>
          <t>SO4413</t>
        </is>
      </c>
      <c r="E4" s="18" t="inlineStr">
        <is>
          <t>PO143745</t>
        </is>
      </c>
      <c r="F4" s="19" t="inlineStr">
        <is>
          <t>Howden Power a Div of Howden Africa (Pty) LTD</t>
        </is>
      </c>
      <c r="G4" s="305" t="n">
        <v>41035</v>
      </c>
      <c r="H4" s="305" t="n">
        <v>6155.25</v>
      </c>
      <c r="I4" s="305" t="n">
        <v>47190.25</v>
      </c>
      <c r="J4" s="19" t="inlineStr">
        <is>
          <t>Sizwe Tshabalala</t>
        </is>
      </c>
      <c r="K4" s="16" t="inlineStr">
        <is>
          <t>In Progress</t>
        </is>
      </c>
      <c r="L4" s="21" t="inlineStr">
        <is>
          <t>ACCOUNT - UP TO DATE</t>
        </is>
      </c>
      <c r="M4" s="16" t="inlineStr">
        <is>
          <t>100NB x 135mm Style 10 Linkflex 100% (Inner &amp; Outer Tube) EPDM rubber bellows c/w mild steel, Material Cutting Cost - 150NB T600 Rings cut in order to machine flanges</t>
        </is>
      </c>
      <c r="N4" s="22">
        <f>Table134567893[[#This Row],[Delivery Date]]</f>
        <v/>
      </c>
    </row>
    <row r="5">
      <c r="A5" s="31" t="n">
        <v>46056</v>
      </c>
      <c r="B5" s="15" t="n">
        <v>46087</v>
      </c>
      <c r="C5" s="33" t="inlineStr">
        <is>
          <t>FM3808</t>
        </is>
      </c>
      <c r="D5" s="34" t="inlineStr">
        <is>
          <t>SO4339</t>
        </is>
      </c>
      <c r="E5" s="35" t="inlineStr">
        <is>
          <t>PO549NN</t>
        </is>
      </c>
      <c r="F5" s="36" t="inlineStr">
        <is>
          <t>Intervent-Universal (Pty) Ltd</t>
        </is>
      </c>
      <c r="G5" s="306" t="n">
        <v>19840</v>
      </c>
      <c r="H5" s="306" t="n">
        <v>2976</v>
      </c>
      <c r="I5" s="306" t="n">
        <v>22816</v>
      </c>
      <c r="J5" s="36" t="inlineStr">
        <is>
          <t>Simon Mokgola</t>
        </is>
      </c>
      <c r="K5" s="33" t="inlineStr">
        <is>
          <t>Ready - Dispatch</t>
        </is>
      </c>
      <c r="L5" s="38" t="inlineStr">
        <is>
          <t>CASH SALE - UNPAID</t>
        </is>
      </c>
      <c r="M5" s="33" t="inlineStr">
        <is>
          <t>RAD 250</t>
        </is>
      </c>
      <c r="N5" s="39">
        <f>Table134567893[[#This Row],[Delivery Date]]</f>
        <v/>
      </c>
    </row>
    <row r="6">
      <c r="A6" s="31" t="n">
        <v>46072</v>
      </c>
      <c r="B6" s="32" t="n">
        <v>46087</v>
      </c>
      <c r="C6" s="33" t="inlineStr">
        <is>
          <t>FM3854</t>
        </is>
      </c>
      <c r="D6" s="34" t="inlineStr">
        <is>
          <t>SO4384</t>
        </is>
      </c>
      <c r="E6" s="35" t="inlineStr">
        <is>
          <t>FM3854</t>
        </is>
      </c>
      <c r="F6" s="36" t="inlineStr">
        <is>
          <t>KG Construction Pty Ltd</t>
        </is>
      </c>
      <c r="G6" s="306" t="n">
        <v>68975</v>
      </c>
      <c r="H6" s="306" t="n">
        <v>10346.25</v>
      </c>
      <c r="I6" s="306" t="n">
        <v>79321.25</v>
      </c>
      <c r="J6" s="36" t="inlineStr">
        <is>
          <t>Simon Mokgola</t>
        </is>
      </c>
      <c r="K6" s="33" t="inlineStr">
        <is>
          <t>Ready - Dispatch</t>
        </is>
      </c>
      <c r="L6" s="38" t="inlineStr">
        <is>
          <t>CASH SALE - UNPAID</t>
        </is>
      </c>
      <c r="M6" s="33" t="inlineStr">
        <is>
          <t>AIRMAX-2.750 P.EC</t>
        </is>
      </c>
      <c r="N6" s="39">
        <f>Table134567893[[#This Row],[Delivery Date]]</f>
        <v/>
      </c>
    </row>
    <row r="7" ht="72" customHeight="1">
      <c r="A7" s="14" t="n">
        <v>46052</v>
      </c>
      <c r="B7" s="15" t="n">
        <v>46087</v>
      </c>
      <c r="C7" s="16" t="inlineStr">
        <is>
          <t>FM3799</t>
        </is>
      </c>
      <c r="D7" s="17" t="inlineStr">
        <is>
          <t>SO4330</t>
        </is>
      </c>
      <c r="E7" s="18" t="inlineStr">
        <is>
          <t>PO0000573</t>
        </is>
      </c>
      <c r="F7" s="19" t="inlineStr">
        <is>
          <t>ST AIR SERVICES AND MAINTENANCE (PTY) LTD</t>
        </is>
      </c>
      <c r="G7" s="305" t="n">
        <v>681952</v>
      </c>
      <c r="H7" s="305" t="n">
        <v>102292.8</v>
      </c>
      <c r="I7" s="305" t="n">
        <v>784244.8</v>
      </c>
      <c r="J7" s="19" t="inlineStr">
        <is>
          <t>Simon Mokgola</t>
        </is>
      </c>
      <c r="K7" s="33" t="inlineStr">
        <is>
          <t>In Progress</t>
        </is>
      </c>
      <c r="L7" s="21" t="inlineStr">
        <is>
          <t>ACCOUNT - UP TO DATE</t>
        </is>
      </c>
      <c r="M7" s="16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N7" s="22">
        <f>Table134567893[[#This Row],[Delivery Date]]</f>
        <v/>
      </c>
    </row>
    <row r="8" ht="28.8" customHeight="1">
      <c r="A8" s="14" t="n">
        <v>46065</v>
      </c>
      <c r="B8" s="15" t="n">
        <v>46087</v>
      </c>
      <c r="C8" s="16" t="inlineStr">
        <is>
          <t>FM3830</t>
        </is>
      </c>
      <c r="D8" s="17" t="inlineStr">
        <is>
          <t>SO4363</t>
        </is>
      </c>
      <c r="E8" s="18" t="inlineStr">
        <is>
          <t>FMTA4348</t>
        </is>
      </c>
      <c r="F8" s="19" t="inlineStr">
        <is>
          <t>Crystal Sparkle Trading</t>
        </is>
      </c>
      <c r="G8" s="305" t="n">
        <v>246560</v>
      </c>
      <c r="H8" s="305" t="n">
        <v>36984</v>
      </c>
      <c r="I8" s="305" t="n">
        <v>283544</v>
      </c>
      <c r="J8" s="19" t="inlineStr">
        <is>
          <t>Mashudu Tshifularo</t>
        </is>
      </c>
      <c r="K8" s="16" t="inlineStr">
        <is>
          <t>In Progress</t>
        </is>
      </c>
      <c r="L8" s="21" t="inlineStr">
        <is>
          <t>CASH SALE – PARTIAL</t>
        </is>
      </c>
      <c r="M8" s="16" t="inlineStr">
        <is>
          <t>Fumax 1000.32.F.8.1100.4.3, 1000Diam Screen, Inlet Cone, M/Feet</t>
        </is>
      </c>
      <c r="N8" s="22">
        <f>Table134567893[[#This Row],[Delivery Date]]</f>
        <v/>
      </c>
    </row>
    <row r="9" ht="28.8" customHeight="1">
      <c r="A9" s="14" t="n">
        <v>46077</v>
      </c>
      <c r="B9" s="15" t="n">
        <v>46087</v>
      </c>
      <c r="C9" s="16" t="inlineStr">
        <is>
          <t>FM3868</t>
        </is>
      </c>
      <c r="D9" s="16" t="inlineStr">
        <is>
          <t>SO4406</t>
        </is>
      </c>
      <c r="E9" s="18" t="n">
        <v>61862</v>
      </c>
      <c r="F9" s="19" t="inlineStr">
        <is>
          <t>Chabo &amp; Joubert Air Conditioning (Pty) Ltd</t>
        </is>
      </c>
      <c r="G9" s="305" t="n">
        <v>34524</v>
      </c>
      <c r="H9" s="305" t="n">
        <v>5178.6</v>
      </c>
      <c r="I9" s="305" t="n">
        <v>39702.6</v>
      </c>
      <c r="J9" s="19" t="inlineStr">
        <is>
          <t>Sizwe Tshabalala</t>
        </is>
      </c>
      <c r="K9" s="16" t="inlineStr">
        <is>
          <t>Ready - Dispatch</t>
        </is>
      </c>
      <c r="L9" s="21" t="inlineStr">
        <is>
          <t>ACCOUNT - UP TO DATE</t>
        </is>
      </c>
      <c r="M9" s="16" t="inlineStr">
        <is>
          <t>RAD 250 , 250 Diam Tube Silencer 600L, 315 Diam Tube Silencer 600L, NEOLINEO-315/V</t>
        </is>
      </c>
      <c r="N9" s="22">
        <f>Table134567893[[#This Row],[Delivery Date]]</f>
        <v/>
      </c>
    </row>
    <row r="10" ht="28.8" customHeight="1">
      <c r="A10" s="14" t="n">
        <v>46077</v>
      </c>
      <c r="B10" s="15" t="n">
        <v>46087</v>
      </c>
      <c r="C10" s="16" t="inlineStr">
        <is>
          <t>FM3872</t>
        </is>
      </c>
      <c r="D10" s="16" t="inlineStr">
        <is>
          <t>SO4402</t>
        </is>
      </c>
      <c r="E10" s="18" t="n">
        <v>61482</v>
      </c>
      <c r="F10" s="19" t="inlineStr">
        <is>
          <t>Chabo &amp; Joubert Air Conditioning (Pty) Ltd</t>
        </is>
      </c>
      <c r="G10" s="305" t="n">
        <v>10577</v>
      </c>
      <c r="H10" s="305" t="n">
        <v>1586.55</v>
      </c>
      <c r="I10" s="305" t="n">
        <v>12163.55</v>
      </c>
      <c r="J10" s="19" t="inlineStr">
        <is>
          <t>Sizwe Tshabalala</t>
        </is>
      </c>
      <c r="K10" s="33" t="inlineStr">
        <is>
          <t>Ready - Dispatch</t>
        </is>
      </c>
      <c r="L10" s="21" t="inlineStr">
        <is>
          <t>ACCOUNT - UP TO DATE</t>
        </is>
      </c>
      <c r="M10" s="16" t="inlineStr">
        <is>
          <t>HV1250 c/w 1.1Kw 450 rpm 380V</t>
        </is>
      </c>
      <c r="N10" s="22">
        <f>Table134567893[[#This Row],[Delivery Date]]</f>
        <v/>
      </c>
    </row>
    <row r="11" ht="28.8" customHeight="1">
      <c r="A11" s="14" t="n">
        <v>46084</v>
      </c>
      <c r="B11" s="15" t="n">
        <v>46087</v>
      </c>
      <c r="C11" s="16" t="inlineStr">
        <is>
          <t>SO4422</t>
        </is>
      </c>
      <c r="D11" s="17" t="inlineStr">
        <is>
          <t>FM3892</t>
        </is>
      </c>
      <c r="E11" s="18" t="inlineStr">
        <is>
          <t>PO-000060075</t>
        </is>
      </c>
      <c r="F11" s="19" t="inlineStr">
        <is>
          <t>Singita Management Company (Pty) Ltd.</t>
        </is>
      </c>
      <c r="G11" s="305" t="n">
        <v>27943.52</v>
      </c>
      <c r="H11" s="305" t="n">
        <v>4191.53</v>
      </c>
      <c r="I11" s="305" t="n">
        <v>32135.05</v>
      </c>
      <c r="J11" s="19" t="inlineStr">
        <is>
          <t>Mashudu Tshifularo</t>
        </is>
      </c>
      <c r="K11" s="33" t="inlineStr">
        <is>
          <t>In Progress</t>
        </is>
      </c>
      <c r="L11" s="21" t="inlineStr">
        <is>
          <t>CASH SALE - UNPAID</t>
        </is>
      </c>
      <c r="M11" s="16" t="inlineStr">
        <is>
          <t>Tiracamino Chimney Fan for Chimney Tops</t>
        </is>
      </c>
      <c r="N11" s="22">
        <f>Table134567893[[#This Row],[Delivery Date]]</f>
        <v/>
      </c>
    </row>
    <row r="12">
      <c r="A12" s="14" t="n">
        <v>46058</v>
      </c>
      <c r="B12" s="15" t="n">
        <v>46090</v>
      </c>
      <c r="C12" s="16" t="inlineStr">
        <is>
          <t>FM3812</t>
        </is>
      </c>
      <c r="D12" s="17" t="inlineStr">
        <is>
          <t>SO4343</t>
        </is>
      </c>
      <c r="E12" s="18" t="inlineStr">
        <is>
          <t>DPO-1616</t>
        </is>
      </c>
      <c r="F12" s="19" t="inlineStr">
        <is>
          <t>Dueltron (Pty) Ltd</t>
        </is>
      </c>
      <c r="G12" s="305" t="n">
        <v>126321</v>
      </c>
      <c r="H12" s="305" t="n">
        <v>18948.15</v>
      </c>
      <c r="I12" s="305" t="n">
        <v>145269.15</v>
      </c>
      <c r="J12" s="19" t="inlineStr">
        <is>
          <t>Mashudu Tshifularo</t>
        </is>
      </c>
      <c r="K12" s="16" t="inlineStr">
        <is>
          <t>In Progress</t>
        </is>
      </c>
      <c r="L12" s="21" t="inlineStr">
        <is>
          <t>ACCOUNT - UP TO DATE</t>
        </is>
      </c>
      <c r="M12" s="16" t="inlineStr">
        <is>
          <t>MAJAX-3 1250 c/w 22,00KW 4P 380V</t>
        </is>
      </c>
      <c r="N12" s="22">
        <f>Table134567893[[#This Row],[Delivery Date]]</f>
        <v/>
      </c>
    </row>
    <row r="13" ht="28.8" customHeight="1">
      <c r="A13" s="31" t="n">
        <v>46076</v>
      </c>
      <c r="B13" s="15" t="n">
        <v>46090</v>
      </c>
      <c r="C13" s="16" t="inlineStr">
        <is>
          <t>FM3866</t>
        </is>
      </c>
      <c r="D13" s="16" t="inlineStr">
        <is>
          <t>SO4397</t>
        </is>
      </c>
      <c r="E13" s="35" t="inlineStr">
        <is>
          <t>J99335 Replacement</t>
        </is>
      </c>
      <c r="F13" s="36" t="inlineStr">
        <is>
          <t>Moyahabo Mosala Trading and Projects</t>
        </is>
      </c>
      <c r="G13" s="306" t="n">
        <v>76748.60000000001</v>
      </c>
      <c r="H13" s="306" t="n">
        <v>11512.29</v>
      </c>
      <c r="I13" s="306" t="n">
        <v>88260.89</v>
      </c>
      <c r="J13" s="36" t="inlineStr">
        <is>
          <t>Sizwe Tshabalala</t>
        </is>
      </c>
      <c r="K13" s="33" t="inlineStr">
        <is>
          <t>In Progress</t>
        </is>
      </c>
      <c r="L13" s="38" t="inlineStr">
        <is>
          <t>CASH SALE – PARTIAL</t>
        </is>
      </c>
      <c r="M13" s="33" t="inlineStr">
        <is>
          <t>MAJAX-1 1000 c/w 22.00KW 4P 380V Spark Proof</t>
        </is>
      </c>
      <c r="N13" s="39">
        <f>Table134567893[[#This Row],[Delivery Date]]</f>
        <v/>
      </c>
    </row>
    <row r="14">
      <c r="A14" s="14" t="n">
        <v>46080</v>
      </c>
      <c r="B14" s="15">
        <f>TODAY()</f>
        <v/>
      </c>
      <c r="C14" s="33" t="inlineStr">
        <is>
          <t>FM3887</t>
        </is>
      </c>
      <c r="D14" s="33" t="inlineStr">
        <is>
          <t>SO4417</t>
        </is>
      </c>
      <c r="E14" s="18" t="inlineStr">
        <is>
          <t>FM3887</t>
        </is>
      </c>
      <c r="F14" s="19" t="inlineStr">
        <is>
          <t>Scanlink Buying Services</t>
        </is>
      </c>
      <c r="G14" s="305" t="n">
        <v>8646</v>
      </c>
      <c r="H14" s="305" t="n">
        <v>1296.9</v>
      </c>
      <c r="I14" s="305" t="n">
        <v>9942.9</v>
      </c>
      <c r="J14" s="19" t="inlineStr">
        <is>
          <t>Simon Mokgola</t>
        </is>
      </c>
      <c r="K14" s="16" t="inlineStr">
        <is>
          <t>In Progress</t>
        </is>
      </c>
      <c r="L14" s="21" t="inlineStr">
        <is>
          <t>CASH SALE - PAID</t>
        </is>
      </c>
      <c r="M14" s="16" t="inlineStr">
        <is>
          <t>CA02-02 50/60Hz 230V</t>
        </is>
      </c>
      <c r="N14" s="22">
        <f>Table134567893[[#This Row],[Delivery Date]]</f>
        <v/>
      </c>
    </row>
    <row r="15" ht="28.8" customHeight="1">
      <c r="A15" s="14" t="n">
        <v>46070</v>
      </c>
      <c r="B15" s="15" t="n">
        <v>46092</v>
      </c>
      <c r="C15" s="16" t="inlineStr">
        <is>
          <t>FM3848</t>
        </is>
      </c>
      <c r="D15" s="16" t="inlineStr">
        <is>
          <t>SO4379</t>
        </is>
      </c>
      <c r="E15" s="18" t="inlineStr">
        <is>
          <t>ABF001-2026-0017</t>
        </is>
      </c>
      <c r="F15" s="19" t="inlineStr">
        <is>
          <t>Industrial Control &amp; Automation (ICA)</t>
        </is>
      </c>
      <c r="G15" s="305" t="n">
        <v>20760</v>
      </c>
      <c r="H15" s="305" t="n">
        <v>3114</v>
      </c>
      <c r="I15" s="305" t="n">
        <v>23874</v>
      </c>
      <c r="J15" s="19" t="inlineStr">
        <is>
          <t>Simon Mokgola</t>
        </is>
      </c>
      <c r="K15" s="16" t="inlineStr">
        <is>
          <t>In Progress</t>
        </is>
      </c>
      <c r="L15" s="21" t="inlineStr">
        <is>
          <t>CASH SALE - PAID</t>
        </is>
      </c>
      <c r="M15" s="16" t="inlineStr">
        <is>
          <t>HEP-31-2M/H 220-240V</t>
        </is>
      </c>
      <c r="N15" s="22">
        <f>Table134567893[[#This Row],[Delivery Date]]</f>
        <v/>
      </c>
    </row>
    <row r="16" ht="28.8" customHeight="1">
      <c r="A16" s="14" t="n">
        <v>46072</v>
      </c>
      <c r="B16" s="15" t="n">
        <v>46093</v>
      </c>
      <c r="C16" s="16" t="inlineStr">
        <is>
          <t>FM3857</t>
        </is>
      </c>
      <c r="D16" s="16" t="inlineStr">
        <is>
          <t>SO4388</t>
        </is>
      </c>
      <c r="E16" s="18" t="inlineStr">
        <is>
          <t>POL15058</t>
        </is>
      </c>
      <c r="F16" s="19" t="inlineStr">
        <is>
          <t>Heavy Duty Industrial (Pty) Ltd</t>
        </is>
      </c>
      <c r="G16" s="305" t="n">
        <v>243745.16</v>
      </c>
      <c r="H16" s="305" t="n">
        <v>36561.77</v>
      </c>
      <c r="I16" s="305" t="n">
        <v>280306.93</v>
      </c>
      <c r="J16" s="19" t="inlineStr">
        <is>
          <t>Mashudu Tshifularo</t>
        </is>
      </c>
      <c r="K16" s="16" t="inlineStr">
        <is>
          <t>In Progress</t>
        </is>
      </c>
      <c r="L16" s="21" t="inlineStr">
        <is>
          <t>CASH SALE - PAID</t>
        </is>
      </c>
      <c r="M16" s="16" t="inlineStr">
        <is>
          <t>Plate axial 800mm 150A10 c/w5.5kw 4 pole 380v flame proof motor</t>
        </is>
      </c>
      <c r="N16" s="22">
        <f>Table134567893[[#This Row],[Delivery Date]]</f>
        <v/>
      </c>
    </row>
    <row r="17" ht="28.8" customHeight="1">
      <c r="A17" s="40" t="n">
        <v>45972</v>
      </c>
      <c r="B17" s="41" t="n">
        <v>46094</v>
      </c>
      <c r="C17" s="42" t="inlineStr">
        <is>
          <t>FM3633</t>
        </is>
      </c>
      <c r="D17" s="43" t="inlineStr">
        <is>
          <t>SO4171</t>
        </is>
      </c>
      <c r="E17" s="44" t="inlineStr">
        <is>
          <t>A3412094782</t>
        </is>
      </c>
      <c r="F17" s="45" t="inlineStr">
        <is>
          <t>NWK LTD</t>
        </is>
      </c>
      <c r="G17" s="307" t="n">
        <v>13040</v>
      </c>
      <c r="H17" s="307" t="n">
        <v>1955.999999999998</v>
      </c>
      <c r="I17" s="307" t="n">
        <v>14996</v>
      </c>
      <c r="J17" s="45" t="inlineStr">
        <is>
          <t>Sizwe Tshabalala</t>
        </is>
      </c>
      <c r="K17" s="42" t="inlineStr">
        <is>
          <t>In Progress</t>
        </is>
      </c>
      <c r="L17" s="47" t="inlineStr">
        <is>
          <t>ACCOUNT - UP TO DATE</t>
        </is>
      </c>
      <c r="M17" s="42" t="inlineStr">
        <is>
          <t>1 x CMA-325-2M -PO3572 - Indent 0142 - Sodeca ETA: 28/02/2026</t>
        </is>
      </c>
      <c r="N17" s="48">
        <f>Table134567893[[#This Row],[Delivery Date]]</f>
        <v/>
      </c>
    </row>
    <row r="18" ht="28.8" customHeight="1">
      <c r="A18" s="78" t="n">
        <v>45981</v>
      </c>
      <c r="B18" s="79" t="n">
        <v>46094</v>
      </c>
      <c r="C18" s="42" t="inlineStr">
        <is>
          <t>FM3676</t>
        </is>
      </c>
      <c r="D18" s="43" t="inlineStr">
        <is>
          <t>SO4204</t>
        </is>
      </c>
      <c r="E18" s="80" t="inlineStr">
        <is>
          <t>B137477</t>
        </is>
      </c>
      <c r="F18" s="81" t="inlineStr">
        <is>
          <t>Vescotech</t>
        </is>
      </c>
      <c r="G18" s="326" t="n">
        <v>19620</v>
      </c>
      <c r="H18" s="326" t="n">
        <v>2943</v>
      </c>
      <c r="I18" s="326" t="n">
        <v>22563</v>
      </c>
      <c r="J18" s="81" t="inlineStr">
        <is>
          <t>Sizwe Tshabalala</t>
        </is>
      </c>
      <c r="K18" s="83" t="inlineStr">
        <is>
          <t>In Progress</t>
        </is>
      </c>
      <c r="L18" s="84" t="inlineStr">
        <is>
          <t>CASH SALE - PAID</t>
        </is>
      </c>
      <c r="M18" s="83" t="inlineStr">
        <is>
          <t>HCD - 40 -PO3572 - Indent 0142 - Sodeca ETA: 28/02/2026</t>
        </is>
      </c>
      <c r="N18" s="48">
        <f>Table134567893[[#This Row],[Delivery Date]]</f>
        <v/>
      </c>
    </row>
    <row r="19" ht="28.8" customHeight="1">
      <c r="A19" s="40" t="n">
        <v>45985</v>
      </c>
      <c r="B19" s="41" t="n">
        <v>46094</v>
      </c>
      <c r="C19" s="42" t="inlineStr">
        <is>
          <t>FM3685</t>
        </is>
      </c>
      <c r="D19" s="43" t="inlineStr">
        <is>
          <t>SO4215</t>
        </is>
      </c>
      <c r="E19" s="44" t="n">
        <v>4358</v>
      </c>
      <c r="F19" s="45" t="inlineStr">
        <is>
          <t>Air Speration (Pty) Ltd</t>
        </is>
      </c>
      <c r="G19" s="307" t="n">
        <v>11540</v>
      </c>
      <c r="H19" s="307" t="n">
        <v>1730.999999999998</v>
      </c>
      <c r="I19" s="307" t="n">
        <v>13271</v>
      </c>
      <c r="J19" s="45" t="inlineStr">
        <is>
          <t>Mashudu Tshifularo</t>
        </is>
      </c>
      <c r="K19" s="42" t="inlineStr">
        <is>
          <t>In Progress</t>
        </is>
      </c>
      <c r="L19" s="47" t="inlineStr">
        <is>
          <t>CASH SALE - PAID</t>
        </is>
      </c>
      <c r="M19" s="83" t="inlineStr">
        <is>
          <t>1 x CMP820-2T -PO3572 - Indent 0142 - Sodeca ETA: 28/02/2026</t>
        </is>
      </c>
      <c r="N19" s="48">
        <f>Table134567893[[#This Row],[Delivery Date]]</f>
        <v/>
      </c>
    </row>
    <row r="20" ht="57.6" customHeight="1">
      <c r="A20" s="14" t="n">
        <v>46077</v>
      </c>
      <c r="B20" s="15" t="n">
        <v>46106</v>
      </c>
      <c r="C20" s="16" t="inlineStr">
        <is>
          <t>FM3875 FM3876</t>
        </is>
      </c>
      <c r="D20" s="16" t="inlineStr">
        <is>
          <t>SO4405</t>
        </is>
      </c>
      <c r="E20" s="18" t="inlineStr">
        <is>
          <t>FM3875 FM3876</t>
        </is>
      </c>
      <c r="F20" s="19" t="inlineStr">
        <is>
          <t>BMT Smart Solutions</t>
        </is>
      </c>
      <c r="G20" s="305" t="n">
        <v>45898.4</v>
      </c>
      <c r="H20" s="305" t="n">
        <v>6884.76</v>
      </c>
      <c r="I20" s="305" t="n">
        <v>52783.16</v>
      </c>
      <c r="J20" s="19" t="inlineStr">
        <is>
          <t>Simon Mokgola</t>
        </is>
      </c>
      <c r="K20" s="16" t="inlineStr">
        <is>
          <t>In Progress</t>
        </is>
      </c>
      <c r="L20" s="21" t="inlineStr">
        <is>
          <t>ACCOUNT - UP TO DATE</t>
        </is>
      </c>
      <c r="M20" s="33" t="inlineStr">
        <is>
          <t>MAXFLO 500/150/10 A c/w 0.37KW 4P 380V, 500 Diam Silencer 1.5D Podded,M/Feet, 315 to 560 AVMs, Fumax 560.20.D.8 C/W 4KW 2P 380V, 560 Diam Silencer 1.5D Podded,C/Flange,M/ Feet, 315 to 560 AVMs</t>
        </is>
      </c>
      <c r="N20" s="22">
        <f>Table134567893[[#This Row],[Delivery Date]]</f>
        <v/>
      </c>
    </row>
    <row r="21">
      <c r="A21" s="24" t="n">
        <v>45799</v>
      </c>
      <c r="B21" s="25" t="n">
        <v>46111</v>
      </c>
      <c r="C21" s="26" t="inlineStr">
        <is>
          <t>TBA</t>
        </is>
      </c>
      <c r="D21" s="26" t="inlineStr">
        <is>
          <t>SO3760</t>
        </is>
      </c>
      <c r="E21" s="27" t="inlineStr">
        <is>
          <t>ORDER</t>
        </is>
      </c>
      <c r="F21" s="28" t="inlineStr">
        <is>
          <t>Rey &amp; Lenferna Ltd</t>
        </is>
      </c>
      <c r="G21" s="308" t="n">
        <v>545349.34</v>
      </c>
      <c r="H21" s="308" t="n">
        <v>0</v>
      </c>
      <c r="I21" s="308" t="n">
        <v>545349.34</v>
      </c>
      <c r="J21" s="28" t="inlineStr">
        <is>
          <t>Sizwe - R.O.A</t>
        </is>
      </c>
      <c r="K21" s="26" t="inlineStr">
        <is>
          <t>Not Processed</t>
        </is>
      </c>
      <c r="L21" s="26" t="inlineStr">
        <is>
          <t>ACCOUNT - UP TO DATE</t>
        </is>
      </c>
      <c r="M21" s="76" t="inlineStr">
        <is>
          <t>TBC</t>
        </is>
      </c>
      <c r="N21" s="30">
        <f>Table134567893[[#This Row],[Delivery Date]]</f>
        <v/>
      </c>
    </row>
    <row r="22">
      <c r="A22" s="24" t="n">
        <v>46052</v>
      </c>
      <c r="B22" s="25" t="n">
        <v>46111</v>
      </c>
      <c r="C22" s="26" t="inlineStr">
        <is>
          <t>TBA</t>
        </is>
      </c>
      <c r="D22" s="26" t="inlineStr">
        <is>
          <t>SO4331</t>
        </is>
      </c>
      <c r="E22" s="27" t="inlineStr">
        <is>
          <t>ORDER</t>
        </is>
      </c>
      <c r="F22" s="28" t="inlineStr">
        <is>
          <t>Rey &amp; Lenferna Ltd</t>
        </is>
      </c>
      <c r="G22" s="308" t="n">
        <v>1084072.0248</v>
      </c>
      <c r="H22" s="308" t="n">
        <v>0</v>
      </c>
      <c r="I22" s="308" t="n">
        <v>538722.6848</v>
      </c>
      <c r="J22" s="28" t="inlineStr">
        <is>
          <t>Sizwe - R.O.A</t>
        </is>
      </c>
      <c r="K22" s="26" t="inlineStr">
        <is>
          <t>Not Processed</t>
        </is>
      </c>
      <c r="L22" s="26" t="inlineStr">
        <is>
          <t>ACCOUNT - UP TO DATE</t>
        </is>
      </c>
      <c r="M22" s="76" t="inlineStr">
        <is>
          <t>TBC</t>
        </is>
      </c>
      <c r="N22" s="30">
        <f>Table134567893[[#This Row],[Delivery Date]]</f>
        <v/>
      </c>
    </row>
    <row r="23" ht="28.8" customHeight="1">
      <c r="A23" s="14" t="n">
        <v>46063</v>
      </c>
      <c r="B23" s="15" t="n">
        <v>46111</v>
      </c>
      <c r="C23" s="16" t="inlineStr">
        <is>
          <t>FM3819</t>
        </is>
      </c>
      <c r="D23" s="17" t="inlineStr">
        <is>
          <t>SO4350</t>
        </is>
      </c>
      <c r="E23" s="18" t="inlineStr">
        <is>
          <t>PO-27149</t>
        </is>
      </c>
      <c r="F23" s="19" t="inlineStr">
        <is>
          <t>Aircycle Engineering CC</t>
        </is>
      </c>
      <c r="G23" s="305" t="n">
        <v>56285</v>
      </c>
      <c r="H23" s="305" t="n">
        <v>8442.75</v>
      </c>
      <c r="I23" s="305" t="n">
        <v>64727.75</v>
      </c>
      <c r="J23" s="19" t="inlineStr">
        <is>
          <t>Simon Mokgola</t>
        </is>
      </c>
      <c r="K23" s="16" t="inlineStr">
        <is>
          <t>In Progress</t>
        </is>
      </c>
      <c r="L23" s="21" t="inlineStr">
        <is>
          <t>ACCOUNT - UP TO DATE</t>
        </is>
      </c>
      <c r="M23" s="16" t="inlineStr">
        <is>
          <t>CA/Line/EC - 31 50/60HZ, HCT/EC - 45-2T-2 400V 50/60HZ IE5, AVMs, 450 C/Flange, M/Feet</t>
        </is>
      </c>
      <c r="N23" s="22">
        <f>Table134567893[[#This Row],[Delivery Date]]</f>
        <v/>
      </c>
    </row>
    <row r="24">
      <c r="A24" s="14" t="n">
        <v>46077</v>
      </c>
      <c r="B24" s="15" t="n">
        <v>46112</v>
      </c>
      <c r="C24" s="16" t="inlineStr">
        <is>
          <t>FM3874</t>
        </is>
      </c>
      <c r="D24" s="16" t="inlineStr">
        <is>
          <t>SO4404</t>
        </is>
      </c>
      <c r="E24" s="18" t="inlineStr">
        <is>
          <t>Nicotra-Fan</t>
        </is>
      </c>
      <c r="F24" s="19" t="inlineStr">
        <is>
          <t>ITD North Pty Ltd</t>
        </is>
      </c>
      <c r="G24" s="305" t="n">
        <v>81954</v>
      </c>
      <c r="H24" s="305" t="n">
        <v>12293.1</v>
      </c>
      <c r="I24" s="305" t="n">
        <v>94247.10000000001</v>
      </c>
      <c r="J24" s="19" t="inlineStr">
        <is>
          <t>Mashudu Tshifularo</t>
        </is>
      </c>
      <c r="K24" s="16" t="inlineStr">
        <is>
          <t>In Progress</t>
        </is>
      </c>
      <c r="L24" s="21" t="inlineStr">
        <is>
          <t>CASH SALE – PARTIAL</t>
        </is>
      </c>
      <c r="M24" s="33" t="inlineStr">
        <is>
          <t>RDH 710 K2 - Nicotra Fan</t>
        </is>
      </c>
      <c r="N24" s="22">
        <f>Table134567893[[#This Row],[Delivery Date]]</f>
        <v/>
      </c>
    </row>
    <row r="25" ht="43.2" customHeight="1">
      <c r="A25" s="14" t="n">
        <v>46083</v>
      </c>
      <c r="B25" s="15" t="n">
        <v>46112</v>
      </c>
      <c r="C25" s="16" t="inlineStr">
        <is>
          <t>SO4418</t>
        </is>
      </c>
      <c r="D25" s="17" t="inlineStr">
        <is>
          <t>FM3888</t>
        </is>
      </c>
      <c r="E25" s="18" t="inlineStr">
        <is>
          <t>BMT-PO101571</t>
        </is>
      </c>
      <c r="F25" s="19" t="inlineStr">
        <is>
          <t>BMT Smart Solutions</t>
        </is>
      </c>
      <c r="G25" s="305" t="n">
        <v>25566</v>
      </c>
      <c r="H25" s="305" t="n">
        <v>3834.9</v>
      </c>
      <c r="I25" s="305" t="n">
        <v>29400.9</v>
      </c>
      <c r="J25" s="19" t="inlineStr">
        <is>
          <t>Simon Mokgola</t>
        </is>
      </c>
      <c r="K25" s="16" t="inlineStr">
        <is>
          <t>In Progress</t>
        </is>
      </c>
      <c r="L25" s="21" t="inlineStr">
        <is>
          <t>ACCOUNT - UP TO DATE</t>
        </is>
      </c>
      <c r="M25" s="33" t="inlineStr">
        <is>
          <t>2 x MAXFLO 400/150/10 P c/w 1,10KW 2P 380V, 400 Diam Silencer 1.5D Podded, 400 Diam C/Flange, M/Feet, AVMs</t>
        </is>
      </c>
      <c r="N25" s="22">
        <f>Table134567893[[#This Row],[Delivery Date]]</f>
        <v/>
      </c>
    </row>
    <row r="26" ht="43.2" customHeight="1">
      <c r="A26" s="14" t="n">
        <v>46083</v>
      </c>
      <c r="B26" s="15" t="n">
        <v>46112</v>
      </c>
      <c r="C26" s="16" t="inlineStr">
        <is>
          <t>SO4419</t>
        </is>
      </c>
      <c r="D26" s="17" t="inlineStr">
        <is>
          <t>FM3889</t>
        </is>
      </c>
      <c r="E26" s="18" t="inlineStr">
        <is>
          <t>BMT-PO101572</t>
        </is>
      </c>
      <c r="F26" s="19" t="inlineStr">
        <is>
          <t>BMT Smart Solutions</t>
        </is>
      </c>
      <c r="G26" s="305" t="n">
        <v>12783</v>
      </c>
      <c r="H26" s="305" t="n">
        <v>1917.45</v>
      </c>
      <c r="I26" s="305" t="n">
        <v>14700.45</v>
      </c>
      <c r="J26" s="19" t="inlineStr">
        <is>
          <t>Simon Mokgola</t>
        </is>
      </c>
      <c r="K26" s="16" t="inlineStr">
        <is>
          <t>In Progress</t>
        </is>
      </c>
      <c r="L26" s="21" t="inlineStr">
        <is>
          <t>ACCOUNT - UP TO DATE</t>
        </is>
      </c>
      <c r="M26" s="33" t="inlineStr">
        <is>
          <t>MAXFLO 400/150/10 P c/w 1,10KW 2P 380V, 400 Diam Silencer 1.5D Podded, 400 Diam C/Flange, M/Feet, AVMs</t>
        </is>
      </c>
      <c r="N26" s="22">
        <f>Table134567893[[#This Row],[Delivery Date]]</f>
        <v/>
      </c>
    </row>
    <row r="27" ht="43.2" customHeight="1">
      <c r="A27" s="14" t="n">
        <v>46084</v>
      </c>
      <c r="B27" s="15" t="n">
        <v>46112</v>
      </c>
      <c r="C27" s="16" t="inlineStr">
        <is>
          <t>SO4425</t>
        </is>
      </c>
      <c r="D27" s="17" t="inlineStr">
        <is>
          <t>FM3895</t>
        </is>
      </c>
      <c r="E27" s="18" t="inlineStr">
        <is>
          <t>PO:01027016</t>
        </is>
      </c>
      <c r="F27" s="19" t="inlineStr">
        <is>
          <t>Voltex Thohoyandou</t>
        </is>
      </c>
      <c r="G27" s="305" t="n">
        <v>62000</v>
      </c>
      <c r="H27" s="305" t="n">
        <v>9300</v>
      </c>
      <c r="I27" s="305" t="n">
        <v>71300</v>
      </c>
      <c r="J27" s="19" t="inlineStr">
        <is>
          <t>Mashudu Tshifularo</t>
        </is>
      </c>
      <c r="K27" s="16" t="inlineStr">
        <is>
          <t>In Progress</t>
        </is>
      </c>
      <c r="L27" s="21" t="inlineStr">
        <is>
          <t>ACCOUNT - UP TO DATE</t>
        </is>
      </c>
      <c r="M27" s="33" t="inlineStr">
        <is>
          <t>RAD 100, 100 Diam Tube Silencer 600L, 10M ALUMINIUM CORE ONLY 100 DIA, 100MM METAL EXTRACT VALVE, WEATHER LOUVRE 200*200 NS NA</t>
        </is>
      </c>
      <c r="N27" s="22">
        <f>Table134567893[[#This Row],[Delivery Date]]</f>
        <v/>
      </c>
    </row>
    <row r="28" ht="29.4" customHeight="1" thickBot="1">
      <c r="A28" s="40" t="n">
        <v>46069</v>
      </c>
      <c r="B28" s="41" t="n">
        <v>46157</v>
      </c>
      <c r="C28" s="42" t="inlineStr">
        <is>
          <t>FM3841</t>
        </is>
      </c>
      <c r="D28" s="43" t="inlineStr">
        <is>
          <t>SO4372</t>
        </is>
      </c>
      <c r="E28" s="44" t="inlineStr">
        <is>
          <t>PO2213</t>
        </is>
      </c>
      <c r="F28" s="45" t="inlineStr">
        <is>
          <t>Hucra Fans</t>
        </is>
      </c>
      <c r="G28" s="307" t="n">
        <v>330429</v>
      </c>
      <c r="H28" s="307" t="n">
        <v>49564.35</v>
      </c>
      <c r="I28" s="307" t="n">
        <v>379993.35</v>
      </c>
      <c r="J28" s="45" t="inlineStr">
        <is>
          <t>Sales Agent Hucra Fans</t>
        </is>
      </c>
      <c r="K28" s="42" t="inlineStr">
        <is>
          <t>In Progress</t>
        </is>
      </c>
      <c r="L28" s="47" t="inlineStr">
        <is>
          <t>ACCOUNT - UP TO DATE</t>
        </is>
      </c>
      <c r="M28" s="83" t="inlineStr">
        <is>
          <t>SCL K11 MS - 11.0kW - 525V</t>
        </is>
      </c>
      <c r="N28" s="48">
        <f>Table134567893[[#This Row],[Delivery Date]]</f>
        <v/>
      </c>
    </row>
    <row r="29" ht="16.2" customHeight="1" thickBot="1">
      <c r="A29" s="14" t="n"/>
      <c r="B29" s="15" t="n"/>
      <c r="C29" s="16" t="n"/>
      <c r="D29" s="17" t="n"/>
      <c r="E29" s="18" t="n"/>
      <c r="F29" s="19" t="n"/>
      <c r="G29" s="305" t="n"/>
      <c r="H29" s="309" t="inlineStr">
        <is>
          <t>Total</t>
        </is>
      </c>
      <c r="I29" s="310">
        <f>SUBTOTAL(109,I3:I23)</f>
        <v/>
      </c>
      <c r="J29" s="51" t="n"/>
      <c r="K29" s="16" t="n"/>
      <c r="L29" s="21" t="n"/>
      <c r="M29" s="16" t="n"/>
      <c r="N29" s="22" t="n"/>
    </row>
    <row r="30" ht="15.6" customHeight="1">
      <c r="A30" s="52" t="n"/>
      <c r="B30" s="52" t="n"/>
      <c r="C30" s="53" t="n"/>
      <c r="H30" s="311" t="n"/>
      <c r="I30" s="312" t="n"/>
      <c r="N30" s="52" t="n"/>
    </row>
    <row r="31" ht="15" customHeight="1" thickBot="1">
      <c r="C31" s="313" t="inlineStr">
        <is>
          <t>MARCH</t>
        </is>
      </c>
      <c r="D31" s="314" t="n"/>
      <c r="F31" s="314" t="inlineStr">
        <is>
          <t>APRIL</t>
        </is>
      </c>
      <c r="G31" s="314" t="n"/>
      <c r="I31" s="314" t="inlineStr">
        <is>
          <t>Dispatch</t>
        </is>
      </c>
    </row>
    <row r="32" ht="15" customFormat="1" customHeight="1" s="299" thickBot="1">
      <c r="C32" s="315" t="inlineStr">
        <is>
          <t>Cash Sale</t>
        </is>
      </c>
      <c r="D32" s="302">
        <f>I4+I5+I6+I7+I9+I12+I14+I15+I16+I18+I19+I24</f>
        <v/>
      </c>
      <c r="E32" s="55" t="n"/>
      <c r="F32" s="316" t="inlineStr">
        <is>
          <t>Cash Sale</t>
        </is>
      </c>
      <c r="G32" s="302" t="n">
        <v>0</v>
      </c>
      <c r="H32" s="302" t="n"/>
      <c r="I32" s="317">
        <f>I4+I5+I10+I11</f>
        <v/>
      </c>
      <c r="J32" s="56" t="n"/>
      <c r="K32" s="53" t="n"/>
      <c r="L32" s="60" t="n"/>
      <c r="M32" s="53" t="n"/>
    </row>
    <row r="33" customFormat="1" s="299">
      <c r="C33" s="315" t="inlineStr">
        <is>
          <t>Account</t>
        </is>
      </c>
      <c r="D33" s="302">
        <f>I27+I26+I25+I23+I22+I21+I20+I17+I13+I11+I10+I8+I3</f>
        <v/>
      </c>
      <c r="E33" s="55" t="n"/>
      <c r="F33" s="318" t="inlineStr">
        <is>
          <t>Account</t>
        </is>
      </c>
      <c r="G33" s="302" t="n">
        <v>0</v>
      </c>
      <c r="H33" s="302" t="n"/>
      <c r="I33" s="302" t="n"/>
      <c r="J33" s="56" t="n"/>
      <c r="K33" s="53" t="n"/>
      <c r="L33" s="60" t="n"/>
      <c r="M33" s="53" t="n"/>
    </row>
    <row r="34" customFormat="1" s="299">
      <c r="C34" s="315" t="inlineStr">
        <is>
          <t>Total FEB</t>
        </is>
      </c>
      <c r="D34" s="312">
        <f>D33+D32</f>
        <v/>
      </c>
      <c r="E34" s="55" t="n"/>
      <c r="F34" s="319" t="inlineStr">
        <is>
          <t>Total</t>
        </is>
      </c>
      <c r="G34" s="312">
        <f>G33+G32</f>
        <v/>
      </c>
      <c r="H34" s="302" t="n"/>
      <c r="I34" s="302" t="n"/>
      <c r="J34" s="56" t="n"/>
      <c r="K34" s="53" t="n"/>
      <c r="L34" s="60" t="n"/>
      <c r="M34" s="53" t="n"/>
    </row>
    <row r="35" ht="15" customFormat="1" customHeight="1" s="299" thickBot="1">
      <c r="E35" s="55" t="n"/>
      <c r="F35" s="56" t="n"/>
      <c r="G35" s="313" t="n"/>
      <c r="I35" s="302" t="n"/>
      <c r="J35" s="56" t="n"/>
      <c r="K35" s="53" t="n"/>
      <c r="L35" s="60" t="n"/>
      <c r="M35" s="53" t="n"/>
    </row>
    <row r="36" ht="28.8" customFormat="1" customHeight="1" s="299">
      <c r="B36" s="67" t="inlineStr">
        <is>
          <t>Delivery Date</t>
        </is>
      </c>
      <c r="C36" s="67" t="inlineStr">
        <is>
          <t>Job Number</t>
        </is>
      </c>
      <c r="D36" s="67" t="inlineStr">
        <is>
          <t>SO Number</t>
        </is>
      </c>
      <c r="E36" s="67" t="inlineStr">
        <is>
          <t>Customer Ref.</t>
        </is>
      </c>
      <c r="F36" s="67" t="inlineStr">
        <is>
          <t>Customer</t>
        </is>
      </c>
      <c r="G36" s="320" t="inlineStr">
        <is>
          <t>Exclusive</t>
        </is>
      </c>
      <c r="H36" s="321" t="inlineStr">
        <is>
          <t>VAT</t>
        </is>
      </c>
      <c r="I36" s="322" t="inlineStr">
        <is>
          <t>Total</t>
        </is>
      </c>
      <c r="J36" s="71" t="inlineStr">
        <is>
          <t>Sales Rep</t>
        </is>
      </c>
      <c r="K36" s="67" t="inlineStr">
        <is>
          <t>Status</t>
        </is>
      </c>
      <c r="L36" s="67" t="inlineStr">
        <is>
          <t>Payment Type &amp; Status</t>
        </is>
      </c>
      <c r="M36" s="67" t="inlineStr">
        <is>
          <t>Comments</t>
        </is>
      </c>
    </row>
    <row r="37" customFormat="1" s="299">
      <c r="B37" s="32">
        <f>TODAY()</f>
        <v/>
      </c>
      <c r="C37" s="33" t="inlineStr">
        <is>
          <t>FM3887</t>
        </is>
      </c>
      <c r="D37" s="34" t="inlineStr">
        <is>
          <t>SO4417</t>
        </is>
      </c>
      <c r="E37" s="35" t="inlineStr">
        <is>
          <t>FM3887</t>
        </is>
      </c>
      <c r="F37" s="36" t="inlineStr">
        <is>
          <t>Scanlink Buying Services</t>
        </is>
      </c>
      <c r="G37" s="306" t="n">
        <v>8646</v>
      </c>
      <c r="H37" s="323" t="n">
        <v>1296.9</v>
      </c>
      <c r="I37" s="324" t="n">
        <v>9942.9</v>
      </c>
      <c r="J37" s="74" t="inlineStr">
        <is>
          <t>Simon Mokgola</t>
        </is>
      </c>
      <c r="K37" s="33" t="inlineStr">
        <is>
          <t>In Progress</t>
        </is>
      </c>
      <c r="L37" s="38" t="inlineStr">
        <is>
          <t>CASH SALE - PAID</t>
        </is>
      </c>
      <c r="M37" s="33" t="inlineStr">
        <is>
          <t>Simon to collect &amp; deliver</t>
        </is>
      </c>
    </row>
    <row r="38" ht="43.2" customFormat="1" customHeight="1" s="299">
      <c r="B38" s="52" t="n"/>
      <c r="C38" s="33" t="inlineStr">
        <is>
          <t>SO4423</t>
        </is>
      </c>
      <c r="D38" s="34" t="inlineStr">
        <is>
          <t>FM3894</t>
        </is>
      </c>
      <c r="E38" s="35" t="inlineStr">
        <is>
          <t>BN-261950</t>
        </is>
      </c>
      <c r="F38" s="36" t="inlineStr">
        <is>
          <t>BirCraft Geared Motors Linear Actuators Controls t/a Bircraft cc</t>
        </is>
      </c>
      <c r="G38" s="306" t="n">
        <v>9382</v>
      </c>
      <c r="H38" s="323" t="n">
        <v>1407.3</v>
      </c>
      <c r="I38" s="324" t="n">
        <v>10789.3</v>
      </c>
      <c r="J38" s="74" t="inlineStr">
        <is>
          <t>Simon Mokgola</t>
        </is>
      </c>
      <c r="K38" s="33" t="inlineStr">
        <is>
          <t>In Progress</t>
        </is>
      </c>
      <c r="L38" s="38" t="inlineStr">
        <is>
          <t>CASH SALE - PAID</t>
        </is>
      </c>
      <c r="M38" s="33" t="n"/>
    </row>
    <row r="39" ht="15" customFormat="1" customHeight="1" s="299" thickBot="1">
      <c r="E39" s="55" t="n"/>
      <c r="F39" s="56" t="n"/>
      <c r="G39" s="302" t="n"/>
      <c r="H39" s="302" t="n"/>
      <c r="I39" s="325">
        <f>SUM(I37:I38)</f>
        <v/>
      </c>
      <c r="J39" s="56" t="n"/>
      <c r="K39" s="53" t="n"/>
      <c r="L39" s="60" t="n"/>
      <c r="M39" s="53" t="n"/>
    </row>
  </sheetData>
  <mergeCells count="2">
    <mergeCell ref="M1:N1"/>
    <mergeCell ref="G35:H35"/>
  </mergeCells>
  <conditionalFormatting sqref="A3:N30 B37:M38">
    <cfRule type="expression" priority="1" dxfId="0">
      <formula>$N3=TODAY()</formula>
    </cfRule>
  </conditionalFormatting>
  <dataValidations disablePrompts="1" count="1">
    <dataValidation sqref="L4:L31 L33:L35 L37:L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48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zoomScale="80" zoomScaleNormal="80" workbookViewId="0">
      <pane xSplit="2" ySplit="2" topLeftCell="C14" activePane="bottomRight" state="frozen"/>
      <selection activeCell="E26" sqref="E26"/>
      <selection pane="topRight" activeCell="E26" sqref="E26"/>
      <selection pane="bottomLeft" activeCell="E26" sqref="E26"/>
      <selection pane="bottomRight" activeCell="M34" sqref="M34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3.88671875" bestFit="1" customWidth="1" style="299" min="4" max="4"/>
    <col width="13.77734375" customWidth="1" style="55" min="5" max="5"/>
    <col width="23.109375" customWidth="1" style="56" min="6" max="6"/>
    <col width="15" bestFit="1" customWidth="1" style="302" min="7" max="7"/>
    <col width="13.77734375" bestFit="1" customWidth="1" style="302" min="8" max="8"/>
    <col width="18.44140625" bestFit="1" customWidth="1" style="302" min="9" max="9"/>
    <col width="18.44140625" bestFit="1" customWidth="1" style="56" min="10" max="10"/>
    <col width="17.109375" bestFit="1" customWidth="1" style="53" min="11" max="11"/>
    <col width="21.88671875" bestFit="1" customWidth="1" style="60" min="12" max="12"/>
    <col width="45.77734375" customWidth="1" style="53" min="13" max="13"/>
    <col width="23.44140625" bestFit="1" customWidth="1" style="299" min="14" max="14"/>
    <col width="8.88671875" customWidth="1" style="23" min="15" max="32"/>
    <col width="8.88671875" customWidth="1" style="23" min="33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303" t="n"/>
      <c r="I1" s="303" t="n"/>
      <c r="J1" s="4" t="n"/>
      <c r="K1" s="6" t="n"/>
      <c r="L1" s="2" t="n"/>
      <c r="M1" s="296">
        <f>TODAY()</f>
        <v/>
      </c>
      <c r="N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9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Excl.</t>
        </is>
      </c>
      <c r="H2" s="304" t="inlineStr">
        <is>
          <t>VAT</t>
        </is>
      </c>
      <c r="I2" s="304" t="inlineStr">
        <is>
          <t>Price Incl.</t>
        </is>
      </c>
      <c r="J2" s="9" t="inlineStr">
        <is>
          <t>Sales Rep.</t>
        </is>
      </c>
      <c r="K2" s="9" t="inlineStr">
        <is>
          <t>Status</t>
        </is>
      </c>
      <c r="L2" s="9" t="inlineStr">
        <is>
          <t>Payment Type &amp; Status</t>
        </is>
      </c>
      <c r="M2" s="9" t="inlineStr">
        <is>
          <t>Details</t>
        </is>
      </c>
      <c r="N2" s="12" t="inlineStr">
        <is>
          <t>Planned Collection / Delivery</t>
        </is>
      </c>
    </row>
    <row r="3" ht="43.2" customHeight="1">
      <c r="A3" s="14" t="n">
        <v>46084</v>
      </c>
      <c r="B3" s="15" t="n">
        <v>46090</v>
      </c>
      <c r="C3" s="16" t="inlineStr">
        <is>
          <t>SO4423</t>
        </is>
      </c>
      <c r="D3" s="17" t="inlineStr">
        <is>
          <t>FM3894</t>
        </is>
      </c>
      <c r="E3" s="18" t="inlineStr">
        <is>
          <t>BN-261950</t>
        </is>
      </c>
      <c r="F3" s="19" t="inlineStr">
        <is>
          <t>BirCraft Geared Motors Linear Actuators Controls t/a Bircraft cc</t>
        </is>
      </c>
      <c r="G3" s="305" t="n">
        <v>9382</v>
      </c>
      <c r="H3" s="305" t="n">
        <v>1407.3</v>
      </c>
      <c r="I3" s="305" t="n">
        <v>10789.3</v>
      </c>
      <c r="J3" s="19" t="inlineStr">
        <is>
          <t>Simon Mokgola</t>
        </is>
      </c>
      <c r="K3" s="16" t="inlineStr">
        <is>
          <t>Ready - Dispatch</t>
        </is>
      </c>
      <c r="L3" s="21" t="inlineStr">
        <is>
          <t>CASH SALE - PAID</t>
        </is>
      </c>
      <c r="M3" s="16" t="inlineStr">
        <is>
          <t>CMP 616 2T</t>
        </is>
      </c>
      <c r="N3" s="22">
        <f>Table1345678934[[#This Row],[Delivery Date]]</f>
        <v/>
      </c>
    </row>
    <row r="4">
      <c r="A4" s="31" t="n">
        <v>46056</v>
      </c>
      <c r="B4" s="15" t="n">
        <v>46090</v>
      </c>
      <c r="C4" s="33" t="inlineStr">
        <is>
          <t>FM3808</t>
        </is>
      </c>
      <c r="D4" s="34" t="inlineStr">
        <is>
          <t>SO4339</t>
        </is>
      </c>
      <c r="E4" s="35" t="inlineStr">
        <is>
          <t>PO549NN</t>
        </is>
      </c>
      <c r="F4" s="36" t="inlineStr">
        <is>
          <t>Intervent-Universal (Pty) Ltd</t>
        </is>
      </c>
      <c r="G4" s="306" t="n">
        <v>19840</v>
      </c>
      <c r="H4" s="306" t="n">
        <v>2976</v>
      </c>
      <c r="I4" s="306" t="n">
        <v>22816</v>
      </c>
      <c r="J4" s="36" t="inlineStr">
        <is>
          <t>Simon Mokgola</t>
        </is>
      </c>
      <c r="K4" s="33" t="inlineStr">
        <is>
          <t>Ready - Dispatch</t>
        </is>
      </c>
      <c r="L4" s="38" t="inlineStr">
        <is>
          <t>CASH SALE - UNPAID</t>
        </is>
      </c>
      <c r="M4" s="33" t="inlineStr">
        <is>
          <t>RAD 250</t>
        </is>
      </c>
      <c r="N4" s="39">
        <f>Table1345678934[[#This Row],[Delivery Date]]</f>
        <v/>
      </c>
    </row>
    <row r="5">
      <c r="A5" s="14" t="n">
        <v>46072</v>
      </c>
      <c r="B5" s="15" t="n">
        <v>46090</v>
      </c>
      <c r="C5" s="16" t="inlineStr">
        <is>
          <t>FM3854</t>
        </is>
      </c>
      <c r="D5" s="17" t="inlineStr">
        <is>
          <t>SO4384</t>
        </is>
      </c>
      <c r="E5" s="18" t="inlineStr">
        <is>
          <t>FM3854</t>
        </is>
      </c>
      <c r="F5" s="19" t="inlineStr">
        <is>
          <t>KG Construction Pty Ltd</t>
        </is>
      </c>
      <c r="G5" s="305" t="n">
        <v>68975</v>
      </c>
      <c r="H5" s="305" t="n">
        <v>10346.25</v>
      </c>
      <c r="I5" s="305" t="n">
        <v>79321.25</v>
      </c>
      <c r="J5" s="19" t="inlineStr">
        <is>
          <t>Simon Mokgola</t>
        </is>
      </c>
      <c r="K5" s="33" t="inlineStr">
        <is>
          <t>Ready - Dispatch</t>
        </is>
      </c>
      <c r="L5" s="21" t="inlineStr">
        <is>
          <t>CASH SALE - UNPAID</t>
        </is>
      </c>
      <c r="M5" s="16" t="inlineStr">
        <is>
          <t>AIRMAX-2.750 P.EC</t>
        </is>
      </c>
      <c r="N5" s="22">
        <f>Table1345678934[[#This Row],[Delivery Date]]</f>
        <v/>
      </c>
    </row>
    <row r="6" ht="28.8" customHeight="1">
      <c r="A6" s="14" t="n">
        <v>46084</v>
      </c>
      <c r="B6" s="15" t="n">
        <v>46090</v>
      </c>
      <c r="C6" s="16" t="inlineStr">
        <is>
          <t>SO4422</t>
        </is>
      </c>
      <c r="D6" s="17" t="inlineStr">
        <is>
          <t>FM3892</t>
        </is>
      </c>
      <c r="E6" s="18" t="inlineStr">
        <is>
          <t>PO-000060075</t>
        </is>
      </c>
      <c r="F6" s="19" t="inlineStr">
        <is>
          <t>Singita Management Company (Pty) Ltd.</t>
        </is>
      </c>
      <c r="G6" s="305" t="n">
        <v>27943.52</v>
      </c>
      <c r="H6" s="305" t="n">
        <v>4191.53</v>
      </c>
      <c r="I6" s="305" t="n">
        <v>32135.05</v>
      </c>
      <c r="J6" s="19" t="inlineStr">
        <is>
          <t>Mashudu Tshifularo</t>
        </is>
      </c>
      <c r="K6" s="16" t="inlineStr">
        <is>
          <t>Ready - Dispatch</t>
        </is>
      </c>
      <c r="L6" s="21" t="inlineStr">
        <is>
          <t>CASH SALE - UNPAID</t>
        </is>
      </c>
      <c r="M6" s="16" t="inlineStr">
        <is>
          <t>Tiracamino Chimney Fan for Chimney Tops</t>
        </is>
      </c>
      <c r="N6" s="22">
        <f>Table1345678934[[#This Row],[Delivery Date]]</f>
        <v/>
      </c>
    </row>
    <row r="7" ht="43.2" customHeight="1">
      <c r="A7" s="14" t="n">
        <v>46083</v>
      </c>
      <c r="B7" s="15" t="n">
        <v>46090</v>
      </c>
      <c r="C7" s="16" t="inlineStr">
        <is>
          <t>SO4418</t>
        </is>
      </c>
      <c r="D7" s="17" t="inlineStr">
        <is>
          <t>FM3888</t>
        </is>
      </c>
      <c r="E7" s="18" t="inlineStr">
        <is>
          <t>BMT-PO101571</t>
        </is>
      </c>
      <c r="F7" s="19" t="inlineStr">
        <is>
          <t>BMT Smart Solutions</t>
        </is>
      </c>
      <c r="G7" s="305" t="n">
        <v>25566</v>
      </c>
      <c r="H7" s="305" t="n">
        <v>3834.9</v>
      </c>
      <c r="I7" s="305" t="n">
        <v>29400.9</v>
      </c>
      <c r="J7" s="19" t="inlineStr">
        <is>
          <t>Simon Mokgola</t>
        </is>
      </c>
      <c r="K7" s="16" t="inlineStr">
        <is>
          <t>Ready - Dispatch</t>
        </is>
      </c>
      <c r="L7" s="21" t="inlineStr">
        <is>
          <t>ACCOUNT - UP TO DATE</t>
        </is>
      </c>
      <c r="M7" s="16" t="inlineStr">
        <is>
          <t>2 x MAXFLO 400/150/10 P c/w 1,10KW 2P 380V, 400 Diam Silencer 1.5D Podded, 400 Diam C/Flange, M/Feet, AVMs</t>
        </is>
      </c>
      <c r="N7" s="22">
        <f>Table1345678934[[#This Row],[Delivery Date]]</f>
        <v/>
      </c>
    </row>
    <row r="8" ht="43.2" customHeight="1">
      <c r="A8" s="14" t="n">
        <v>46083</v>
      </c>
      <c r="B8" s="15" t="n">
        <v>46090</v>
      </c>
      <c r="C8" s="16" t="inlineStr">
        <is>
          <t>SO4419</t>
        </is>
      </c>
      <c r="D8" s="17" t="inlineStr">
        <is>
          <t>FM3889</t>
        </is>
      </c>
      <c r="E8" s="18" t="inlineStr">
        <is>
          <t>BMT-PO101572</t>
        </is>
      </c>
      <c r="F8" s="19" t="inlineStr">
        <is>
          <t>BMT Smart Solutions</t>
        </is>
      </c>
      <c r="G8" s="305" t="n">
        <v>12783</v>
      </c>
      <c r="H8" s="305" t="n">
        <v>1917.45</v>
      </c>
      <c r="I8" s="305" t="n">
        <v>14700.45</v>
      </c>
      <c r="J8" s="19" t="inlineStr">
        <is>
          <t>Simon Mokgola</t>
        </is>
      </c>
      <c r="K8" s="16" t="inlineStr">
        <is>
          <t>Ready - Dispatch</t>
        </is>
      </c>
      <c r="L8" s="21" t="inlineStr">
        <is>
          <t>ACCOUNT - UP TO DATE</t>
        </is>
      </c>
      <c r="M8" s="16" t="inlineStr">
        <is>
          <t>MAXFLO 400/150/10 P c/w 1,10KW 2P 380V, 400 Diam Silencer 1.5D Podded, 400 Diam C/Flange, M/Feet, AVMs</t>
        </is>
      </c>
      <c r="N8" s="22">
        <f>Table1345678934[[#This Row],[Delivery Date]]</f>
        <v/>
      </c>
    </row>
    <row r="9" ht="72" customHeight="1">
      <c r="A9" s="31" t="n">
        <v>46052</v>
      </c>
      <c r="B9" s="15" t="n">
        <v>46091</v>
      </c>
      <c r="C9" s="16" t="inlineStr">
        <is>
          <t>FM3799</t>
        </is>
      </c>
      <c r="D9" s="17" t="inlineStr">
        <is>
          <t>SO4330</t>
        </is>
      </c>
      <c r="E9" s="35" t="inlineStr">
        <is>
          <t>PO0000573</t>
        </is>
      </c>
      <c r="F9" s="36" t="inlineStr">
        <is>
          <t>ST AIR SERVICES AND MAINTENANCE (PTY) LTD</t>
        </is>
      </c>
      <c r="G9" s="306" t="n">
        <v>681952</v>
      </c>
      <c r="H9" s="306" t="n">
        <v>102292.8</v>
      </c>
      <c r="I9" s="306" t="n">
        <v>784244.8</v>
      </c>
      <c r="J9" s="36" t="inlineStr">
        <is>
          <t>Simon Mokgola</t>
        </is>
      </c>
      <c r="K9" s="33" t="inlineStr">
        <is>
          <t>In Progress</t>
        </is>
      </c>
      <c r="L9" s="38" t="inlineStr">
        <is>
          <t>ACCOUNT - UP TO DATE</t>
        </is>
      </c>
      <c r="M9" s="33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N9" s="39">
        <f>Table1345678934[[#This Row],[Delivery Date]]</f>
        <v/>
      </c>
    </row>
    <row r="10" ht="28.8" customHeight="1">
      <c r="A10" s="14" t="n">
        <v>46065</v>
      </c>
      <c r="B10" s="15" t="n">
        <v>46091</v>
      </c>
      <c r="C10" s="33" t="inlineStr">
        <is>
          <t>FM3830</t>
        </is>
      </c>
      <c r="D10" s="34" t="inlineStr">
        <is>
          <t>SO4363</t>
        </is>
      </c>
      <c r="E10" s="18" t="inlineStr">
        <is>
          <t>FMTA4348</t>
        </is>
      </c>
      <c r="F10" s="19" t="inlineStr">
        <is>
          <t>Crystal Sparkle Trading</t>
        </is>
      </c>
      <c r="G10" s="305" t="n">
        <v>246560</v>
      </c>
      <c r="H10" s="305" t="n">
        <v>36984</v>
      </c>
      <c r="I10" s="305" t="n">
        <v>283544</v>
      </c>
      <c r="J10" s="19" t="inlineStr">
        <is>
          <t>Mashudu Tshifularo</t>
        </is>
      </c>
      <c r="K10" s="16" t="inlineStr">
        <is>
          <t>In Progress</t>
        </is>
      </c>
      <c r="L10" s="21" t="inlineStr">
        <is>
          <t>CASH SALE – PARTIAL</t>
        </is>
      </c>
      <c r="M10" s="16" t="inlineStr">
        <is>
          <t>Fumax 1000.32.F.8.1100.4.3, 1000Diam Screen, Inlet Cone, M/Feet</t>
        </is>
      </c>
      <c r="N10" s="22">
        <f>Table1345678934[[#This Row],[Delivery Date]]</f>
        <v/>
      </c>
    </row>
    <row r="11">
      <c r="A11" s="14" t="n">
        <v>46058</v>
      </c>
      <c r="B11" s="15" t="n">
        <v>46091</v>
      </c>
      <c r="C11" s="16" t="inlineStr">
        <is>
          <t>FM3812</t>
        </is>
      </c>
      <c r="D11" s="17" t="inlineStr">
        <is>
          <t>SO4343</t>
        </is>
      </c>
      <c r="E11" s="18" t="inlineStr">
        <is>
          <t>DPO-1616</t>
        </is>
      </c>
      <c r="F11" s="19" t="inlineStr">
        <is>
          <t>Dueltron (Pty) Ltd</t>
        </is>
      </c>
      <c r="G11" s="305" t="n">
        <v>126321</v>
      </c>
      <c r="H11" s="305" t="n">
        <v>18948.15</v>
      </c>
      <c r="I11" s="305" t="n">
        <v>145269.15</v>
      </c>
      <c r="J11" s="19" t="inlineStr">
        <is>
          <t>Mashudu Tshifularo</t>
        </is>
      </c>
      <c r="K11" s="16" t="inlineStr">
        <is>
          <t>In Progress</t>
        </is>
      </c>
      <c r="L11" s="21" t="inlineStr">
        <is>
          <t>ACCOUNT - UP TO DATE</t>
        </is>
      </c>
      <c r="M11" s="16" t="inlineStr">
        <is>
          <t>MAJAX-3 1250 c/w 22,00KW 4P 380V</t>
        </is>
      </c>
      <c r="N11" s="22">
        <f>Table1345678934[[#This Row],[Delivery Date]]</f>
        <v/>
      </c>
    </row>
    <row r="12" ht="43.2" customHeight="1">
      <c r="A12" s="14" t="n">
        <v>46084</v>
      </c>
      <c r="B12" s="15" t="n">
        <v>46091</v>
      </c>
      <c r="C12" s="16" t="inlineStr">
        <is>
          <t>SO4425</t>
        </is>
      </c>
      <c r="D12" s="17" t="inlineStr">
        <is>
          <t>FM3895</t>
        </is>
      </c>
      <c r="E12" s="18" t="inlineStr">
        <is>
          <t>PO:01027016</t>
        </is>
      </c>
      <c r="F12" s="19" t="inlineStr">
        <is>
          <t>Voltex Thohoyandou</t>
        </is>
      </c>
      <c r="G12" s="305" t="n">
        <v>62000</v>
      </c>
      <c r="H12" s="305" t="n">
        <v>9300</v>
      </c>
      <c r="I12" s="305" t="n">
        <v>71300</v>
      </c>
      <c r="J12" s="19" t="inlineStr">
        <is>
          <t>Mashudu Tshifularo</t>
        </is>
      </c>
      <c r="K12" s="16" t="inlineStr">
        <is>
          <t>In Progress</t>
        </is>
      </c>
      <c r="L12" s="21" t="inlineStr">
        <is>
          <t>ACCOUNT - UP TO DATE</t>
        </is>
      </c>
      <c r="M12" s="16" t="inlineStr">
        <is>
          <t>RAD 100, 100 Diam Tube Silencer 600L, 10M ALUMINIUM CORE ONLY 100 DIA, 100MM METAL EXTRACT VALVE, WEATHER LOUVRE 200*200 NS NA</t>
        </is>
      </c>
      <c r="N12" s="22">
        <f>Table1345678934[[#This Row],[Delivery Date]]</f>
        <v/>
      </c>
    </row>
    <row r="13" ht="28.8" customHeight="1">
      <c r="A13" s="14" t="n">
        <v>46076</v>
      </c>
      <c r="B13" s="15" t="n">
        <v>46092</v>
      </c>
      <c r="C13" s="16" t="inlineStr">
        <is>
          <t>FM3866</t>
        </is>
      </c>
      <c r="D13" s="16" t="inlineStr">
        <is>
          <t>SO4397</t>
        </is>
      </c>
      <c r="E13" s="18" t="inlineStr">
        <is>
          <t>J99335 Replacement</t>
        </is>
      </c>
      <c r="F13" s="19" t="inlineStr">
        <is>
          <t>Moyahabo Mosala Trading and Projects</t>
        </is>
      </c>
      <c r="G13" s="305" t="n">
        <v>76748.60000000001</v>
      </c>
      <c r="H13" s="305" t="n">
        <v>11512.29</v>
      </c>
      <c r="I13" s="305" t="n">
        <v>88260.89</v>
      </c>
      <c r="J13" s="19" t="inlineStr">
        <is>
          <t>Sizwe Tshabalala</t>
        </is>
      </c>
      <c r="K13" s="16" t="inlineStr">
        <is>
          <t>In Progress</t>
        </is>
      </c>
      <c r="L13" s="21" t="inlineStr">
        <is>
          <t>CASH SALE – PARTIAL</t>
        </is>
      </c>
      <c r="M13" s="16" t="inlineStr">
        <is>
          <t>MAJAX-1 1000 c/w 22.00KW 4P 380V Spark Proof</t>
        </is>
      </c>
      <c r="N13" s="22">
        <f>Table1345678934[[#This Row],[Delivery Date]]</f>
        <v/>
      </c>
    </row>
    <row r="14" ht="28.8" customHeight="1">
      <c r="A14" s="78" t="n">
        <v>46070</v>
      </c>
      <c r="B14" s="41" t="n">
        <v>46094</v>
      </c>
      <c r="C14" s="42" t="inlineStr">
        <is>
          <t>FM3848</t>
        </is>
      </c>
      <c r="D14" s="43" t="inlineStr">
        <is>
          <t>SO4379</t>
        </is>
      </c>
      <c r="E14" s="80" t="inlineStr">
        <is>
          <t>ABF001-2026-0017</t>
        </is>
      </c>
      <c r="F14" s="81" t="inlineStr">
        <is>
          <t>Industrial Control &amp; Automation (ICA)</t>
        </is>
      </c>
      <c r="G14" s="326" t="n">
        <v>20760</v>
      </c>
      <c r="H14" s="326" t="n">
        <v>3114</v>
      </c>
      <c r="I14" s="326" t="n">
        <v>23874</v>
      </c>
      <c r="J14" s="81" t="inlineStr">
        <is>
          <t>Simon Mokgola</t>
        </is>
      </c>
      <c r="K14" s="83" t="inlineStr">
        <is>
          <t>In Progress</t>
        </is>
      </c>
      <c r="L14" s="84" t="inlineStr">
        <is>
          <t>CASH SALE - PAID</t>
        </is>
      </c>
      <c r="M14" s="83" t="inlineStr">
        <is>
          <t>HEP-31-2M/H 220-240V</t>
        </is>
      </c>
      <c r="N14" s="48">
        <f>Table1345678934[[#This Row],[Delivery Date]]</f>
        <v/>
      </c>
    </row>
    <row r="15" ht="28.8" customHeight="1">
      <c r="A15" s="14" t="n">
        <v>46072</v>
      </c>
      <c r="B15" s="15" t="n">
        <v>46097</v>
      </c>
      <c r="C15" s="16" t="inlineStr">
        <is>
          <t>FM3857</t>
        </is>
      </c>
      <c r="D15" s="16" t="inlineStr">
        <is>
          <t>SO4388</t>
        </is>
      </c>
      <c r="E15" s="18" t="inlineStr">
        <is>
          <t>POL15058</t>
        </is>
      </c>
      <c r="F15" s="19" t="inlineStr">
        <is>
          <t>Heavy Duty Industrial (Pty) Ltd</t>
        </is>
      </c>
      <c r="G15" s="305" t="n">
        <v>243745.16</v>
      </c>
      <c r="H15" s="305" t="n">
        <v>36561.77</v>
      </c>
      <c r="I15" s="305" t="n">
        <v>280306.93</v>
      </c>
      <c r="J15" s="19" t="inlineStr">
        <is>
          <t>Mashudu Tshifularo</t>
        </is>
      </c>
      <c r="K15" s="16" t="inlineStr">
        <is>
          <t>In Progress</t>
        </is>
      </c>
      <c r="L15" s="21" t="inlineStr">
        <is>
          <t>CASH SALE - PAID</t>
        </is>
      </c>
      <c r="M15" s="33" t="inlineStr">
        <is>
          <t>Plate axial 800mm 150A10 c/w5.5kw 4 pole 380v flame proof motor</t>
        </is>
      </c>
      <c r="N15" s="22">
        <f>Table1345678934[[#This Row],[Delivery Date]]</f>
        <v/>
      </c>
    </row>
    <row r="16" ht="28.8" customHeight="1">
      <c r="A16" s="40" t="n">
        <v>45972</v>
      </c>
      <c r="B16" s="41" t="n">
        <v>46103</v>
      </c>
      <c r="C16" s="42" t="inlineStr">
        <is>
          <t>FM3633</t>
        </is>
      </c>
      <c r="D16" s="43" t="inlineStr">
        <is>
          <t>SO4171</t>
        </is>
      </c>
      <c r="E16" s="44" t="inlineStr">
        <is>
          <t>A3412094782</t>
        </is>
      </c>
      <c r="F16" s="45" t="inlineStr">
        <is>
          <t>NWK LTD</t>
        </is>
      </c>
      <c r="G16" s="307" t="n">
        <v>13040</v>
      </c>
      <c r="H16" s="307" t="n">
        <v>1955.999999999998</v>
      </c>
      <c r="I16" s="307" t="n">
        <v>14996</v>
      </c>
      <c r="J16" s="45" t="inlineStr">
        <is>
          <t>Sizwe Tshabalala</t>
        </is>
      </c>
      <c r="K16" s="42" t="inlineStr">
        <is>
          <t>In Progress</t>
        </is>
      </c>
      <c r="L16" s="47" t="inlineStr">
        <is>
          <t>ACCOUNT - UP TO DATE</t>
        </is>
      </c>
      <c r="M16" s="83" t="inlineStr">
        <is>
          <t>1 x CMA-325-2M -PO3572 - Indent 0142 - Sodeca ETA: 28/02/2026</t>
        </is>
      </c>
      <c r="N16" s="48">
        <f>Table1345678934[[#This Row],[Delivery Date]]</f>
        <v/>
      </c>
    </row>
    <row r="17" ht="28.8" customHeight="1">
      <c r="A17" s="40" t="n">
        <v>45981</v>
      </c>
      <c r="B17" s="41" t="n">
        <v>46103</v>
      </c>
      <c r="C17" s="42" t="inlineStr">
        <is>
          <t>FM3676</t>
        </is>
      </c>
      <c r="D17" s="43" t="inlineStr">
        <is>
          <t>SO4204</t>
        </is>
      </c>
      <c r="E17" s="44" t="inlineStr">
        <is>
          <t>B137477</t>
        </is>
      </c>
      <c r="F17" s="45" t="inlineStr">
        <is>
          <t>Vescotech</t>
        </is>
      </c>
      <c r="G17" s="307" t="n">
        <v>19620</v>
      </c>
      <c r="H17" s="307" t="n">
        <v>2943</v>
      </c>
      <c r="I17" s="307" t="n">
        <v>22563</v>
      </c>
      <c r="J17" s="45" t="inlineStr">
        <is>
          <t>Sizwe Tshabalala</t>
        </is>
      </c>
      <c r="K17" s="42" t="inlineStr">
        <is>
          <t>In Progress</t>
        </is>
      </c>
      <c r="L17" s="47" t="inlineStr">
        <is>
          <t>CASH SALE - PAID</t>
        </is>
      </c>
      <c r="M17" s="83" t="inlineStr">
        <is>
          <t>HCD - 40 -PO3572 - Indent 0142 - Sodeca ETA: 28/02/2026</t>
        </is>
      </c>
      <c r="N17" s="48">
        <f>Table1345678934[[#This Row],[Delivery Date]]</f>
        <v/>
      </c>
    </row>
    <row r="18" ht="28.8" customHeight="1">
      <c r="A18" s="40" t="n">
        <v>45985</v>
      </c>
      <c r="B18" s="41" t="n">
        <v>46103</v>
      </c>
      <c r="C18" s="42" t="inlineStr">
        <is>
          <t>FM3685</t>
        </is>
      </c>
      <c r="D18" s="43" t="inlineStr">
        <is>
          <t>SO4215</t>
        </is>
      </c>
      <c r="E18" s="44" t="n">
        <v>4358</v>
      </c>
      <c r="F18" s="45" t="inlineStr">
        <is>
          <t>Air Speration (Pty) Ltd</t>
        </is>
      </c>
      <c r="G18" s="307" t="n">
        <v>11540</v>
      </c>
      <c r="H18" s="307" t="n">
        <v>1730.999999999998</v>
      </c>
      <c r="I18" s="307" t="n">
        <v>13271</v>
      </c>
      <c r="J18" s="45" t="inlineStr">
        <is>
          <t>Mashudu Tshifularo</t>
        </is>
      </c>
      <c r="K18" s="42" t="inlineStr">
        <is>
          <t>In Progress</t>
        </is>
      </c>
      <c r="L18" s="47" t="inlineStr">
        <is>
          <t>CASH SALE - PAID</t>
        </is>
      </c>
      <c r="M18" s="83" t="inlineStr">
        <is>
          <t>1 x CMP820-2T -PO3572 - Indent 0142 - Sodeca ETA: 28/02/2026</t>
        </is>
      </c>
      <c r="N18" s="48">
        <f>Table1345678934[[#This Row],[Delivery Date]]</f>
        <v/>
      </c>
    </row>
    <row r="19" ht="57.6" customHeight="1">
      <c r="A19" s="14" t="n">
        <v>46077</v>
      </c>
      <c r="B19" s="15" t="n">
        <v>46106</v>
      </c>
      <c r="C19" s="16" t="inlineStr">
        <is>
          <t>FM3875 FM3876</t>
        </is>
      </c>
      <c r="D19" s="16" t="inlineStr">
        <is>
          <t>SO4405</t>
        </is>
      </c>
      <c r="E19" s="18" t="inlineStr">
        <is>
          <t>FM3875 FM3876</t>
        </is>
      </c>
      <c r="F19" s="19" t="inlineStr">
        <is>
          <t>BMT Smart Solutions</t>
        </is>
      </c>
      <c r="G19" s="305" t="n">
        <v>45898.4</v>
      </c>
      <c r="H19" s="305" t="n">
        <v>6884.76</v>
      </c>
      <c r="I19" s="305" t="n">
        <v>52783.16</v>
      </c>
      <c r="J19" s="19" t="inlineStr">
        <is>
          <t>Simon Mokgola</t>
        </is>
      </c>
      <c r="K19" s="16" t="inlineStr">
        <is>
          <t>In Progress</t>
        </is>
      </c>
      <c r="L19" s="21" t="inlineStr">
        <is>
          <t>ACCOUNT - UP TO DATE</t>
        </is>
      </c>
      <c r="M19" s="16" t="inlineStr">
        <is>
          <t>MAXFLO 500/150/10 A c/w 0.37KW 4P 380V, 500 Diam Silencer 1.5D Podded,M/Feet, 315 to 560 AVMs, Fumax 560.20.D.8 C/W 4KW 2P 380V, 560 Diam Silencer 1.5D Podded,C/Flange,M/ Feet, 315 to 560 AVMs</t>
        </is>
      </c>
      <c r="N19" s="22">
        <f>Table1345678934[[#This Row],[Delivery Date]]</f>
        <v/>
      </c>
    </row>
    <row r="20">
      <c r="A20" s="24" t="n">
        <v>45799</v>
      </c>
      <c r="B20" s="25" t="n">
        <v>46111</v>
      </c>
      <c r="C20" s="26" t="inlineStr">
        <is>
          <t>TBA</t>
        </is>
      </c>
      <c r="D20" s="26" t="inlineStr">
        <is>
          <t>SO3760</t>
        </is>
      </c>
      <c r="E20" s="27" t="inlineStr">
        <is>
          <t>ORDER</t>
        </is>
      </c>
      <c r="F20" s="28" t="inlineStr">
        <is>
          <t>Rey &amp; Lenferna Ltd</t>
        </is>
      </c>
      <c r="G20" s="308" t="n">
        <v>545349.34</v>
      </c>
      <c r="H20" s="308" t="n">
        <v>0</v>
      </c>
      <c r="I20" s="308" t="n">
        <v>545349.34</v>
      </c>
      <c r="J20" s="28" t="inlineStr">
        <is>
          <t>Sizwe - R.O.A</t>
        </is>
      </c>
      <c r="K20" s="26" t="inlineStr">
        <is>
          <t>Not Processed</t>
        </is>
      </c>
      <c r="L20" s="26" t="inlineStr">
        <is>
          <t>ACCOUNT - UP TO DATE</t>
        </is>
      </c>
      <c r="M20" s="76" t="inlineStr">
        <is>
          <t>TBC</t>
        </is>
      </c>
      <c r="N20" s="30">
        <f>Table1345678934[[#This Row],[Delivery Date]]</f>
        <v/>
      </c>
    </row>
    <row r="21">
      <c r="A21" s="24" t="n">
        <v>46052</v>
      </c>
      <c r="B21" s="25" t="n">
        <v>46111</v>
      </c>
      <c r="C21" s="26" t="inlineStr">
        <is>
          <t>TBA</t>
        </is>
      </c>
      <c r="D21" s="26" t="inlineStr">
        <is>
          <t>SO4331</t>
        </is>
      </c>
      <c r="E21" s="27" t="inlineStr">
        <is>
          <t>ORDER</t>
        </is>
      </c>
      <c r="F21" s="28" t="inlineStr">
        <is>
          <t>Rey &amp; Lenferna Ltd</t>
        </is>
      </c>
      <c r="G21" s="308" t="n">
        <v>1084072.0248</v>
      </c>
      <c r="H21" s="308" t="n">
        <v>0</v>
      </c>
      <c r="I21" s="308" t="n">
        <v>538722.6848</v>
      </c>
      <c r="J21" s="28" t="inlineStr">
        <is>
          <t>Sizwe - R.O.A</t>
        </is>
      </c>
      <c r="K21" s="26" t="inlineStr">
        <is>
          <t>Not Processed</t>
        </is>
      </c>
      <c r="L21" s="26" t="inlineStr">
        <is>
          <t>ACCOUNT - UP TO DATE</t>
        </is>
      </c>
      <c r="M21" s="76" t="inlineStr">
        <is>
          <t>TBC</t>
        </is>
      </c>
      <c r="N21" s="30">
        <f>Table1345678934[[#This Row],[Delivery Date]]</f>
        <v/>
      </c>
    </row>
    <row r="22" ht="28.8" customHeight="1">
      <c r="A22" s="14" t="n">
        <v>46063</v>
      </c>
      <c r="B22" s="15" t="n">
        <v>46111</v>
      </c>
      <c r="C22" s="16" t="inlineStr">
        <is>
          <t>FM3819</t>
        </is>
      </c>
      <c r="D22" s="17" t="inlineStr">
        <is>
          <t>SO4350</t>
        </is>
      </c>
      <c r="E22" s="18" t="inlineStr">
        <is>
          <t>PO-27149</t>
        </is>
      </c>
      <c r="F22" s="19" t="inlineStr">
        <is>
          <t>Aircycle Engineering CC</t>
        </is>
      </c>
      <c r="G22" s="305" t="n">
        <v>56285</v>
      </c>
      <c r="H22" s="305" t="n">
        <v>8442.75</v>
      </c>
      <c r="I22" s="305" t="n">
        <v>64727.75</v>
      </c>
      <c r="J22" s="19" t="inlineStr">
        <is>
          <t>Simon Mokgola</t>
        </is>
      </c>
      <c r="K22" s="16" t="inlineStr">
        <is>
          <t>In Progress</t>
        </is>
      </c>
      <c r="L22" s="21" t="inlineStr">
        <is>
          <t>ACCOUNT - UP TO DATE</t>
        </is>
      </c>
      <c r="M22" s="33" t="inlineStr">
        <is>
          <t>CA/Line/EC - 31 50/60HZ, HCT/EC - 45-2T-2 400V 50/60HZ IE5, AVMs, 450 C/Flange, M/Feet</t>
        </is>
      </c>
      <c r="N22" s="22">
        <f>Table1345678934[[#This Row],[Delivery Date]]</f>
        <v/>
      </c>
    </row>
    <row r="23">
      <c r="A23" s="14" t="n">
        <v>46077</v>
      </c>
      <c r="B23" s="15" t="n">
        <v>46112</v>
      </c>
      <c r="C23" s="16" t="inlineStr">
        <is>
          <t>FM3874</t>
        </is>
      </c>
      <c r="D23" s="16" t="inlineStr">
        <is>
          <t>SO4404</t>
        </is>
      </c>
      <c r="E23" s="18" t="inlineStr">
        <is>
          <t>Nicotra-Fan</t>
        </is>
      </c>
      <c r="F23" s="19" t="inlineStr">
        <is>
          <t>ITD North Pty Ltd</t>
        </is>
      </c>
      <c r="G23" s="305" t="n">
        <v>81954</v>
      </c>
      <c r="H23" s="305" t="n">
        <v>12293.1</v>
      </c>
      <c r="I23" s="305" t="n">
        <v>94247.10000000001</v>
      </c>
      <c r="J23" s="19" t="inlineStr">
        <is>
          <t>Mashudu Tshifularo</t>
        </is>
      </c>
      <c r="K23" s="16" t="inlineStr">
        <is>
          <t>In Progress</t>
        </is>
      </c>
      <c r="L23" s="21" t="inlineStr">
        <is>
          <t>CASH SALE – PARTIAL</t>
        </is>
      </c>
      <c r="M23" s="33" t="inlineStr">
        <is>
          <t>RDH 710 K2 - Nicotra Fan</t>
        </is>
      </c>
      <c r="N23" s="22">
        <f>Table1345678934[[#This Row],[Delivery Date]]</f>
        <v/>
      </c>
    </row>
    <row r="24" ht="29.4" customHeight="1" thickBot="1">
      <c r="A24" s="40" t="n">
        <v>46069</v>
      </c>
      <c r="B24" s="41" t="n">
        <v>46157</v>
      </c>
      <c r="C24" s="42" t="inlineStr">
        <is>
          <t>FM3841</t>
        </is>
      </c>
      <c r="D24" s="43" t="inlineStr">
        <is>
          <t>SO4372</t>
        </is>
      </c>
      <c r="E24" s="44" t="inlineStr">
        <is>
          <t>PO2213</t>
        </is>
      </c>
      <c r="F24" s="45" t="inlineStr">
        <is>
          <t>Hucra Fans</t>
        </is>
      </c>
      <c r="G24" s="307" t="n">
        <v>330429</v>
      </c>
      <c r="H24" s="307" t="n">
        <v>49564.35</v>
      </c>
      <c r="I24" s="307" t="n">
        <v>379993.35</v>
      </c>
      <c r="J24" s="45" t="inlineStr">
        <is>
          <t>Sales Agent Hucra Fans</t>
        </is>
      </c>
      <c r="K24" s="42" t="inlineStr">
        <is>
          <t>In Progress</t>
        </is>
      </c>
      <c r="L24" s="47" t="inlineStr">
        <is>
          <t>ACCOUNT - UP TO DATE</t>
        </is>
      </c>
      <c r="M24" s="83" t="inlineStr">
        <is>
          <t>SCL K11 MS - 11.0kW - 525V</t>
        </is>
      </c>
      <c r="N24" s="48">
        <f>Table1345678934[[#This Row],[Delivery Date]]</f>
        <v/>
      </c>
    </row>
    <row r="25" ht="16.2" customHeight="1" thickBot="1">
      <c r="A25" s="14" t="n"/>
      <c r="B25" s="15" t="n"/>
      <c r="C25" s="16" t="n"/>
      <c r="D25" s="17" t="n"/>
      <c r="E25" s="18" t="n"/>
      <c r="F25" s="19" t="n"/>
      <c r="G25" s="305" t="n"/>
      <c r="H25" s="309" t="inlineStr">
        <is>
          <t>Total</t>
        </is>
      </c>
      <c r="I25" s="310">
        <f>SUBTOTAL(109,I3:I19)</f>
        <v/>
      </c>
      <c r="J25" s="51" t="n"/>
      <c r="K25" s="16" t="n"/>
      <c r="L25" s="21" t="n"/>
      <c r="M25" s="16" t="n"/>
      <c r="N25" s="22" t="n"/>
    </row>
    <row r="26" ht="15.6" customHeight="1">
      <c r="A26" s="52" t="n"/>
      <c r="B26" s="52" t="n"/>
      <c r="C26" s="53" t="n"/>
      <c r="H26" s="311" t="n"/>
      <c r="I26" s="312" t="n"/>
      <c r="N26" s="52" t="n"/>
    </row>
    <row r="27" ht="15" customHeight="1" thickBot="1">
      <c r="C27" s="313" t="inlineStr">
        <is>
          <t>MARCH</t>
        </is>
      </c>
      <c r="D27" s="314" t="n"/>
      <c r="F27" s="314" t="inlineStr">
        <is>
          <t>APRIL</t>
        </is>
      </c>
      <c r="G27" s="314" t="n"/>
      <c r="I27" s="314" t="inlineStr">
        <is>
          <t>Dispatch</t>
        </is>
      </c>
    </row>
    <row r="28" ht="15" customFormat="1" customHeight="1" s="299" thickBot="1">
      <c r="C28" s="315" t="inlineStr">
        <is>
          <t>Cash Sale</t>
        </is>
      </c>
      <c r="D28" s="302">
        <f>I3+I4+I5+I6+I10+I13+I14+I15+I17+I18+I23</f>
        <v/>
      </c>
      <c r="E28" s="55" t="n"/>
      <c r="F28" s="316" t="inlineStr">
        <is>
          <t>Cash Sale</t>
        </is>
      </c>
      <c r="G28" s="302" t="n">
        <v>0</v>
      </c>
      <c r="H28" s="302" t="n"/>
      <c r="I28" s="317">
        <f>I3+I4+I5+I6+I7+I8</f>
        <v/>
      </c>
      <c r="J28" s="56" t="n"/>
      <c r="K28" s="53" t="n"/>
      <c r="L28" s="60" t="n"/>
      <c r="M28" s="53" t="n"/>
    </row>
    <row r="29" customFormat="1" s="299">
      <c r="C29" s="315" t="inlineStr">
        <is>
          <t>Account</t>
        </is>
      </c>
      <c r="D29" s="302">
        <f>I7+I8+I9+I11+I12+I16+I19+I20+I21+I22</f>
        <v/>
      </c>
      <c r="E29" s="55" t="n"/>
      <c r="F29" s="318" t="inlineStr">
        <is>
          <t>Account</t>
        </is>
      </c>
      <c r="G29" s="302" t="n">
        <v>0</v>
      </c>
      <c r="H29" s="302" t="n"/>
      <c r="I29" s="302" t="n"/>
      <c r="J29" s="56" t="n"/>
      <c r="K29" s="53" t="n"/>
      <c r="L29" s="60" t="n"/>
      <c r="M29" s="53" t="n"/>
    </row>
    <row r="30" customFormat="1" s="299">
      <c r="C30" s="315" t="inlineStr">
        <is>
          <t>Total FEB</t>
        </is>
      </c>
      <c r="D30" s="312">
        <f>D29+D28</f>
        <v/>
      </c>
      <c r="E30" s="55" t="n"/>
      <c r="F30" s="319" t="inlineStr">
        <is>
          <t>Total</t>
        </is>
      </c>
      <c r="G30" s="312">
        <f>G29+G28</f>
        <v/>
      </c>
      <c r="H30" s="302" t="n"/>
      <c r="I30" s="302" t="n"/>
      <c r="J30" s="56" t="n"/>
      <c r="K30" s="53" t="n"/>
      <c r="L30" s="60" t="n"/>
      <c r="M30" s="53" t="n"/>
    </row>
    <row r="31" ht="15" customFormat="1" customHeight="1" s="299" thickBot="1">
      <c r="E31" s="55" t="n"/>
      <c r="F31" s="56" t="n"/>
      <c r="G31" s="313" t="n"/>
      <c r="I31" s="302" t="n"/>
      <c r="J31" s="56" t="n"/>
      <c r="K31" s="53" t="n"/>
      <c r="L31" s="60" t="n"/>
      <c r="M31" s="53" t="n"/>
    </row>
    <row r="32" ht="28.8" customFormat="1" customHeight="1" s="299">
      <c r="B32" s="67" t="inlineStr">
        <is>
          <t>Delivery Date</t>
        </is>
      </c>
      <c r="C32" s="67" t="inlineStr">
        <is>
          <t>Job Number</t>
        </is>
      </c>
      <c r="D32" s="67" t="inlineStr">
        <is>
          <t>SO Number</t>
        </is>
      </c>
      <c r="E32" s="67" t="inlineStr">
        <is>
          <t>Customer Ref.</t>
        </is>
      </c>
      <c r="F32" s="67" t="inlineStr">
        <is>
          <t>Customer</t>
        </is>
      </c>
      <c r="G32" s="320" t="inlineStr">
        <is>
          <t>Exclusive</t>
        </is>
      </c>
      <c r="H32" s="321" t="inlineStr">
        <is>
          <t>VAT</t>
        </is>
      </c>
      <c r="I32" s="322" t="inlineStr">
        <is>
          <t>Total</t>
        </is>
      </c>
      <c r="J32" s="71" t="inlineStr">
        <is>
          <t>Sales Rep</t>
        </is>
      </c>
      <c r="K32" s="67" t="inlineStr">
        <is>
          <t>Status</t>
        </is>
      </c>
      <c r="L32" s="67" t="inlineStr">
        <is>
          <t>Payment Type &amp; Status</t>
        </is>
      </c>
      <c r="M32" s="67" t="inlineStr">
        <is>
          <t>Comments</t>
        </is>
      </c>
    </row>
    <row r="33" ht="43.2" customFormat="1" customHeight="1" s="299">
      <c r="B33" s="32">
        <f>TODAY()</f>
        <v/>
      </c>
      <c r="C33" s="33" t="inlineStr">
        <is>
          <t>SO4423</t>
        </is>
      </c>
      <c r="D33" s="34" t="inlineStr">
        <is>
          <t>FM3894</t>
        </is>
      </c>
      <c r="E33" s="35" t="inlineStr">
        <is>
          <t>BN-261950</t>
        </is>
      </c>
      <c r="F33" s="36" t="inlineStr">
        <is>
          <t>BirCraft Geared Motors Linear Actuators Controls t/a Bircraft cc</t>
        </is>
      </c>
      <c r="G33" s="306" t="n">
        <v>9382</v>
      </c>
      <c r="H33" s="323" t="n">
        <v>1407.3</v>
      </c>
      <c r="I33" s="324" t="n">
        <v>10789.3</v>
      </c>
      <c r="J33" s="74" t="inlineStr">
        <is>
          <t>Simon Mokgola</t>
        </is>
      </c>
      <c r="K33" s="33" t="inlineStr">
        <is>
          <t>Ready - Dispatch</t>
        </is>
      </c>
      <c r="L33" s="38" t="inlineStr">
        <is>
          <t>CASH SALE - PAID</t>
        </is>
      </c>
      <c r="M33" s="33" t="inlineStr">
        <is>
          <t>Deliver 09/03/2026</t>
        </is>
      </c>
    </row>
    <row r="34" customFormat="1" s="299">
      <c r="B34" s="52" t="n"/>
      <c r="C34" s="33" t="inlineStr">
        <is>
          <t>FM3808</t>
        </is>
      </c>
      <c r="D34" s="34" t="inlineStr">
        <is>
          <t>SO4339</t>
        </is>
      </c>
      <c r="E34" s="35" t="inlineStr">
        <is>
          <t>PO549NN</t>
        </is>
      </c>
      <c r="F34" s="36" t="inlineStr">
        <is>
          <t>Intervent-Universal (Pty) Ltd</t>
        </is>
      </c>
      <c r="G34" s="306" t="n">
        <v>19840</v>
      </c>
      <c r="H34" s="323" t="n">
        <v>2976</v>
      </c>
      <c r="I34" s="324" t="n">
        <v>22816</v>
      </c>
      <c r="J34" s="74" t="inlineStr">
        <is>
          <t>Simon Mokgola</t>
        </is>
      </c>
      <c r="K34" s="33" t="inlineStr">
        <is>
          <t>Ready - Dispatch</t>
        </is>
      </c>
      <c r="L34" s="38" t="inlineStr">
        <is>
          <t>CASH SALE - UNPAID</t>
        </is>
      </c>
      <c r="M34" s="33" t="inlineStr">
        <is>
          <t>Awaiting Payment</t>
        </is>
      </c>
    </row>
    <row r="35" customFormat="1" s="299">
      <c r="B35" s="52" t="n"/>
      <c r="C35" s="33" t="inlineStr">
        <is>
          <t>FM3854</t>
        </is>
      </c>
      <c r="D35" s="34" t="inlineStr">
        <is>
          <t>SO4384</t>
        </is>
      </c>
      <c r="E35" s="35" t="inlineStr">
        <is>
          <t>FM3854</t>
        </is>
      </c>
      <c r="F35" s="36" t="inlineStr">
        <is>
          <t>KG Construction Pty Ltd</t>
        </is>
      </c>
      <c r="G35" s="306" t="n">
        <v>68975</v>
      </c>
      <c r="H35" s="323" t="n">
        <v>10346.25</v>
      </c>
      <c r="I35" s="324" t="n">
        <v>79321.25</v>
      </c>
      <c r="J35" s="74" t="inlineStr">
        <is>
          <t>Simon Mokgola</t>
        </is>
      </c>
      <c r="K35" s="33" t="inlineStr">
        <is>
          <t>Ready - Dispatch</t>
        </is>
      </c>
      <c r="L35" s="38" t="inlineStr">
        <is>
          <t>CASH SALE - UNPAID</t>
        </is>
      </c>
      <c r="M35" s="33" t="inlineStr">
        <is>
          <t>Awaiting Payment</t>
        </is>
      </c>
    </row>
    <row r="36" ht="28.8" customFormat="1" customHeight="1" s="299">
      <c r="B36" s="52" t="n"/>
      <c r="C36" s="33" t="inlineStr">
        <is>
          <t>SO4422</t>
        </is>
      </c>
      <c r="D36" s="34" t="inlineStr">
        <is>
          <t>FM3892</t>
        </is>
      </c>
      <c r="E36" s="35" t="inlineStr">
        <is>
          <t>PO-000060075</t>
        </is>
      </c>
      <c r="F36" s="36" t="inlineStr">
        <is>
          <t>Singita Management Company (Pty) Ltd.</t>
        </is>
      </c>
      <c r="G36" s="306" t="n">
        <v>27943.52</v>
      </c>
      <c r="H36" s="323" t="n">
        <v>4191.53</v>
      </c>
      <c r="I36" s="324" t="n">
        <v>32135.05</v>
      </c>
      <c r="J36" s="74" t="inlineStr">
        <is>
          <t>Mashudu Tshifularo</t>
        </is>
      </c>
      <c r="K36" s="33" t="inlineStr">
        <is>
          <t>Ready - Dispatch</t>
        </is>
      </c>
      <c r="L36" s="38" t="inlineStr">
        <is>
          <t>CASH SALE - UNPAID</t>
        </is>
      </c>
      <c r="M36" s="33" t="inlineStr">
        <is>
          <t>Awaiting Payment</t>
        </is>
      </c>
    </row>
    <row r="37" customFormat="1" s="299">
      <c r="B37" s="52" t="n"/>
      <c r="C37" s="33" t="inlineStr">
        <is>
          <t>SO4418</t>
        </is>
      </c>
      <c r="D37" s="34" t="inlineStr">
        <is>
          <t>FM3888</t>
        </is>
      </c>
      <c r="E37" s="35" t="inlineStr">
        <is>
          <t>BMT-PO101571</t>
        </is>
      </c>
      <c r="F37" s="36" t="inlineStr">
        <is>
          <t>BMT Smart Solutions</t>
        </is>
      </c>
      <c r="G37" s="306" t="n">
        <v>25566</v>
      </c>
      <c r="H37" s="323" t="n">
        <v>3834.9</v>
      </c>
      <c r="I37" s="324" t="n">
        <v>29400.9</v>
      </c>
      <c r="J37" s="74" t="inlineStr">
        <is>
          <t>Simon Mokgola</t>
        </is>
      </c>
      <c r="K37" s="33" t="inlineStr">
        <is>
          <t>Ready - Dispatch</t>
        </is>
      </c>
      <c r="L37" s="38" t="inlineStr">
        <is>
          <t>ACCOUNT - UP TO DATE</t>
        </is>
      </c>
      <c r="M37" s="33" t="inlineStr">
        <is>
          <t>Deliver 09/03/2026</t>
        </is>
      </c>
    </row>
    <row r="38" customFormat="1" s="299">
      <c r="B38" s="52" t="n"/>
      <c r="C38" s="33" t="inlineStr">
        <is>
          <t>SO4419</t>
        </is>
      </c>
      <c r="D38" s="34" t="inlineStr">
        <is>
          <t>FM3889</t>
        </is>
      </c>
      <c r="E38" s="35" t="inlineStr">
        <is>
          <t>BMT-PO101572</t>
        </is>
      </c>
      <c r="F38" s="36" t="inlineStr">
        <is>
          <t>BMT Smart Solutions</t>
        </is>
      </c>
      <c r="G38" s="306" t="n">
        <v>12783</v>
      </c>
      <c r="H38" s="323" t="n">
        <v>1917.45</v>
      </c>
      <c r="I38" s="324" t="n">
        <v>14700.45</v>
      </c>
      <c r="J38" s="74" t="inlineStr">
        <is>
          <t>Simon Mokgola</t>
        </is>
      </c>
      <c r="K38" s="33" t="inlineStr">
        <is>
          <t>Ready - Dispatch</t>
        </is>
      </c>
      <c r="L38" s="38" t="inlineStr">
        <is>
          <t>ACCOUNT - UP TO DATE</t>
        </is>
      </c>
      <c r="M38" s="33" t="inlineStr">
        <is>
          <t>Deliver 09/03/2026</t>
        </is>
      </c>
    </row>
    <row r="39" ht="15" customFormat="1" customHeight="1" s="299" thickBot="1">
      <c r="E39" s="55" t="n"/>
      <c r="F39" s="56" t="n"/>
      <c r="G39" s="302" t="n"/>
      <c r="H39" s="302" t="n"/>
      <c r="I39" s="325">
        <f>SUM(I33:I38)</f>
        <v/>
      </c>
      <c r="J39" s="56" t="n"/>
      <c r="K39" s="53" t="n"/>
      <c r="L39" s="60" t="n"/>
      <c r="M39" s="53" t="n"/>
    </row>
  </sheetData>
  <mergeCells count="2">
    <mergeCell ref="M1:N1"/>
    <mergeCell ref="G31:H31"/>
  </mergeCells>
  <conditionalFormatting sqref="A3:N26 B33:M38">
    <cfRule type="expression" priority="1" dxfId="0">
      <formula>$N3=TODAY()</formula>
    </cfRule>
  </conditionalFormatting>
  <dataValidations disablePrompts="1" count="1">
    <dataValidation sqref="L3:L27 L29:L31 L33:L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48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zoomScale="80" zoomScaleNormal="80" workbookViewId="0">
      <pane xSplit="2" ySplit="2" topLeftCell="C3" activePane="bottomRight" state="frozen"/>
      <selection activeCell="E26" sqref="E26"/>
      <selection pane="topRight" activeCell="E26" sqref="E26"/>
      <selection pane="bottomLeft" activeCell="E26" sqref="E26"/>
      <selection pane="bottomRight" activeCell="M37" sqref="M37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3.88671875" bestFit="1" customWidth="1" style="299" min="4" max="4"/>
    <col width="13.77734375" customWidth="1" style="55" min="5" max="5"/>
    <col width="23.109375" customWidth="1" style="56" min="6" max="6"/>
    <col width="15" bestFit="1" customWidth="1" style="302" min="7" max="7"/>
    <col width="13.77734375" bestFit="1" customWidth="1" style="302" min="8" max="8"/>
    <col width="18.44140625" bestFit="1" customWidth="1" style="302" min="9" max="9"/>
    <col width="18.44140625" bestFit="1" customWidth="1" style="56" min="10" max="10"/>
    <col width="17.109375" bestFit="1" customWidth="1" style="53" min="11" max="11"/>
    <col width="21.88671875" bestFit="1" customWidth="1" style="60" min="12" max="12"/>
    <col width="45.77734375" customWidth="1" style="53" min="13" max="13"/>
    <col width="23.44140625" bestFit="1" customWidth="1" style="299" min="14" max="14"/>
    <col width="8.88671875" customWidth="1" style="23" min="15" max="32"/>
    <col width="8.88671875" customWidth="1" style="23" min="33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303" t="n"/>
      <c r="I1" s="303" t="n"/>
      <c r="J1" s="4" t="n"/>
      <c r="K1" s="6" t="n"/>
      <c r="L1" s="2" t="n"/>
      <c r="M1" s="296">
        <f>TODAY()</f>
        <v/>
      </c>
      <c r="N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9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Excl.</t>
        </is>
      </c>
      <c r="H2" s="304" t="inlineStr">
        <is>
          <t>VAT</t>
        </is>
      </c>
      <c r="I2" s="304" t="inlineStr">
        <is>
          <t>Price Incl.</t>
        </is>
      </c>
      <c r="J2" s="9" t="inlineStr">
        <is>
          <t>Sales Rep.</t>
        </is>
      </c>
      <c r="K2" s="9" t="inlineStr">
        <is>
          <t>Status</t>
        </is>
      </c>
      <c r="L2" s="9" t="inlineStr">
        <is>
          <t>Payment Type &amp; Status</t>
        </is>
      </c>
      <c r="M2" s="9" t="inlineStr">
        <is>
          <t>Details</t>
        </is>
      </c>
      <c r="N2" s="12" t="inlineStr">
        <is>
          <t>Planned Collection / Delivery</t>
        </is>
      </c>
    </row>
    <row r="3">
      <c r="A3" s="31" t="n">
        <v>46056</v>
      </c>
      <c r="B3" s="15" t="n">
        <v>46091</v>
      </c>
      <c r="C3" s="33" t="inlineStr">
        <is>
          <t>FM3808</t>
        </is>
      </c>
      <c r="D3" s="34" t="inlineStr">
        <is>
          <t>SO4339</t>
        </is>
      </c>
      <c r="E3" s="35" t="inlineStr">
        <is>
          <t>PO549NN</t>
        </is>
      </c>
      <c r="F3" s="36" t="inlineStr">
        <is>
          <t>Intervent-Universal (Pty) Ltd</t>
        </is>
      </c>
      <c r="G3" s="306" t="n">
        <v>19840</v>
      </c>
      <c r="H3" s="306" t="n">
        <v>2976</v>
      </c>
      <c r="I3" s="306" t="n">
        <v>22816</v>
      </c>
      <c r="J3" s="36" t="inlineStr">
        <is>
          <t>Simon Mokgola</t>
        </is>
      </c>
      <c r="K3" s="33" t="inlineStr">
        <is>
          <t>Ready - Dispatch</t>
        </is>
      </c>
      <c r="L3" s="38" t="inlineStr">
        <is>
          <t>CASH SALE - UNPAID</t>
        </is>
      </c>
      <c r="M3" s="33" t="inlineStr">
        <is>
          <t>RAD 250</t>
        </is>
      </c>
      <c r="N3" s="39">
        <f>Table13456789345[[#This Row],[Delivery Date]]</f>
        <v/>
      </c>
    </row>
    <row r="4">
      <c r="A4" s="14" t="n">
        <v>46072</v>
      </c>
      <c r="B4" s="15" t="n">
        <v>46091</v>
      </c>
      <c r="C4" s="16" t="inlineStr">
        <is>
          <t>FM3854</t>
        </is>
      </c>
      <c r="D4" s="17" t="inlineStr">
        <is>
          <t>SO4384</t>
        </is>
      </c>
      <c r="E4" s="18" t="inlineStr">
        <is>
          <t>FM3854</t>
        </is>
      </c>
      <c r="F4" s="19" t="inlineStr">
        <is>
          <t>KG Construction Pty Ltd</t>
        </is>
      </c>
      <c r="G4" s="305" t="n">
        <v>68975</v>
      </c>
      <c r="H4" s="305" t="n">
        <v>10346.25</v>
      </c>
      <c r="I4" s="305" t="n">
        <v>79321.25</v>
      </c>
      <c r="J4" s="19" t="inlineStr">
        <is>
          <t>Simon Mokgola</t>
        </is>
      </c>
      <c r="K4" s="33" t="inlineStr">
        <is>
          <t>Ready - Dispatch</t>
        </is>
      </c>
      <c r="L4" s="21" t="inlineStr">
        <is>
          <t>CASH SALE - UNPAID</t>
        </is>
      </c>
      <c r="M4" s="16" t="inlineStr">
        <is>
          <t>AIRMAX-2.750 P.EC</t>
        </is>
      </c>
      <c r="N4" s="22">
        <f>Table13456789345[[#This Row],[Delivery Date]]</f>
        <v/>
      </c>
    </row>
    <row r="5" ht="28.8" customHeight="1">
      <c r="A5" s="14" t="n">
        <v>46086</v>
      </c>
      <c r="B5" s="15" t="n">
        <v>46091</v>
      </c>
      <c r="C5" s="16">
        <f>IFERROR(INDEX(#REF!,MATCH(D5,#REF!,0)),"")</f>
        <v/>
      </c>
      <c r="D5" s="16" t="inlineStr">
        <is>
          <t>SO4431</t>
        </is>
      </c>
      <c r="E5" s="18" t="inlineStr">
        <is>
          <t>FM3899</t>
        </is>
      </c>
      <c r="F5" s="19" t="inlineStr">
        <is>
          <t>EJ Stainless &amp; Mildsteel Solutions</t>
        </is>
      </c>
      <c r="G5" s="305" t="n">
        <v>5208</v>
      </c>
      <c r="H5" s="305" t="n">
        <v>781.2</v>
      </c>
      <c r="I5" s="305" t="n">
        <v>5989.2</v>
      </c>
      <c r="J5" s="19" t="inlineStr">
        <is>
          <t>Sizwe Tshabalala</t>
        </is>
      </c>
      <c r="K5" s="16" t="inlineStr">
        <is>
          <t>Ready - Dispatch</t>
        </is>
      </c>
      <c r="L5" s="21" t="inlineStr">
        <is>
          <t>CASH SALE - PAID</t>
        </is>
      </c>
      <c r="M5" s="16">
        <f t="array" ref="M5">IFERROR(_xlfn.TEXTJOIN(", ",TRUE,IF(#REF!=D5,#REF!,"")),"")</f>
        <v/>
      </c>
      <c r="N5" s="22">
        <f>Table13456789345[[#This Row],[Delivery Date]]</f>
        <v/>
      </c>
    </row>
    <row r="6" ht="28.8" customHeight="1">
      <c r="A6" s="31" t="n">
        <v>46084</v>
      </c>
      <c r="B6" s="15" t="n">
        <v>46092</v>
      </c>
      <c r="C6" s="16" t="inlineStr">
        <is>
          <t>SO4422</t>
        </is>
      </c>
      <c r="D6" s="17" t="inlineStr">
        <is>
          <t>FM3892</t>
        </is>
      </c>
      <c r="E6" s="35" t="inlineStr">
        <is>
          <t>PO-000060075</t>
        </is>
      </c>
      <c r="F6" s="36" t="inlineStr">
        <is>
          <t>Singita Management Company (Pty) Ltd.</t>
        </is>
      </c>
      <c r="G6" s="306" t="n">
        <v>27943.52</v>
      </c>
      <c r="H6" s="306" t="n">
        <v>4191.53</v>
      </c>
      <c r="I6" s="306" t="n">
        <v>32135.05</v>
      </c>
      <c r="J6" s="36" t="inlineStr">
        <is>
          <t>Mashudu Tshifularo</t>
        </is>
      </c>
      <c r="K6" s="33" t="inlineStr">
        <is>
          <t>Ready - Dispatch</t>
        </is>
      </c>
      <c r="L6" s="38" t="inlineStr">
        <is>
          <t>CASH SALE - UNPAID</t>
        </is>
      </c>
      <c r="M6" s="33" t="inlineStr">
        <is>
          <t>Tiracamino Chimney Fan for Chimney Tops</t>
        </is>
      </c>
      <c r="N6" s="39">
        <f>Table13456789345[[#This Row],[Delivery Date]]</f>
        <v/>
      </c>
    </row>
    <row r="7">
      <c r="A7" s="14" t="n">
        <v>46090</v>
      </c>
      <c r="B7" s="15" t="n">
        <v>46092</v>
      </c>
      <c r="C7" s="33">
        <f>IFERROR(INDEX(#REF!,MATCH(D7,#REF!,0)),"")</f>
        <v/>
      </c>
      <c r="D7" s="33" t="inlineStr">
        <is>
          <t>SO4437</t>
        </is>
      </c>
      <c r="E7" s="18" t="inlineStr">
        <is>
          <t>PO;0000334</t>
        </is>
      </c>
      <c r="F7" s="19" t="inlineStr">
        <is>
          <t>Compu Cool (Pty) Ltd</t>
        </is>
      </c>
      <c r="G7" s="305" t="n">
        <v>1346</v>
      </c>
      <c r="H7" s="305" t="n">
        <v>201.9</v>
      </c>
      <c r="I7" s="305" t="n">
        <v>1547.9</v>
      </c>
      <c r="J7" s="19" t="inlineStr">
        <is>
          <t>Mashudu Tshifularo</t>
        </is>
      </c>
      <c r="K7" s="16" t="inlineStr">
        <is>
          <t>Ready - Dispatch</t>
        </is>
      </c>
      <c r="L7" s="21" t="inlineStr">
        <is>
          <t>ACCOUNT - UP TO DATE</t>
        </is>
      </c>
      <c r="M7" s="16">
        <f t="array" ref="M7">IFERROR(_xlfn.TEXTJOIN(", ",TRUE,IF(#REF!=D7,#REF!,"")),"")</f>
        <v/>
      </c>
      <c r="N7" s="22">
        <f>Table13456789345[[#This Row],[Delivery Date]]</f>
        <v/>
      </c>
    </row>
    <row r="8">
      <c r="A8" s="14" t="n">
        <v>46091</v>
      </c>
      <c r="B8" s="15" t="n">
        <v>46092</v>
      </c>
      <c r="C8" s="16">
        <f>IFERROR(INDEX(#REF!,MATCH(D8,#REF!,0)),"")</f>
        <v/>
      </c>
      <c r="D8" s="16" t="inlineStr">
        <is>
          <t>SO4439</t>
        </is>
      </c>
      <c r="E8" s="18" t="inlineStr">
        <is>
          <t>POEE8210</t>
        </is>
      </c>
      <c r="F8" s="19" t="inlineStr">
        <is>
          <t>Elmecair (Pty) Ltd</t>
        </is>
      </c>
      <c r="G8" s="305" t="n">
        <v>12211</v>
      </c>
      <c r="H8" s="305" t="n">
        <v>1831.65</v>
      </c>
      <c r="I8" s="305" t="n">
        <v>14042.65</v>
      </c>
      <c r="J8" s="19" t="inlineStr">
        <is>
          <t>Mashudu Tshifularo</t>
        </is>
      </c>
      <c r="K8" s="16" t="inlineStr">
        <is>
          <t>Ready - Dispatch</t>
        </is>
      </c>
      <c r="L8" s="21" t="inlineStr">
        <is>
          <t>ACCOUNT - UP TO DATE</t>
        </is>
      </c>
      <c r="M8" s="16">
        <f t="array" ref="M8">IFERROR(_xlfn.TEXTJOIN(", ",TRUE,IF(#REF!=D8,#REF!,"")),"")</f>
        <v/>
      </c>
      <c r="N8" s="22">
        <f>Table13456789345[[#This Row],[Delivery Date]]</f>
        <v/>
      </c>
    </row>
    <row r="9" ht="28.8" customHeight="1">
      <c r="A9" s="14" t="n">
        <v>46076</v>
      </c>
      <c r="B9" s="15" t="n">
        <v>46092</v>
      </c>
      <c r="C9" s="16" t="inlineStr">
        <is>
          <t>FM3866</t>
        </is>
      </c>
      <c r="D9" s="16" t="inlineStr">
        <is>
          <t>SO4397</t>
        </is>
      </c>
      <c r="E9" s="18" t="inlineStr">
        <is>
          <t>J99335 Replacement</t>
        </is>
      </c>
      <c r="F9" s="19" t="inlineStr">
        <is>
          <t>Moyahabo Mosala Trading and Projects</t>
        </is>
      </c>
      <c r="G9" s="305" t="n">
        <v>76748.60000000001</v>
      </c>
      <c r="H9" s="305" t="n">
        <v>11512.29</v>
      </c>
      <c r="I9" s="305" t="n">
        <v>88260.89</v>
      </c>
      <c r="J9" s="19" t="inlineStr">
        <is>
          <t>Sizwe Tshabalala</t>
        </is>
      </c>
      <c r="K9" s="16" t="inlineStr">
        <is>
          <t>In Progress</t>
        </is>
      </c>
      <c r="L9" s="21" t="inlineStr">
        <is>
          <t>CASH SALE – PARTIAL</t>
        </is>
      </c>
      <c r="M9" s="16" t="inlineStr">
        <is>
          <t>MAJAX-1 1000 c/w 22.00KW 4P 380V Spark Proof</t>
        </is>
      </c>
      <c r="N9" s="22">
        <f>Table13456789345[[#This Row],[Delivery Date]]</f>
        <v/>
      </c>
    </row>
    <row r="10">
      <c r="A10" s="14" t="n">
        <v>46086</v>
      </c>
      <c r="B10" s="15" t="n">
        <v>46092</v>
      </c>
      <c r="C10" s="16">
        <f>IFERROR(INDEX(#REF!,MATCH(D10,#REF!,0)),"")</f>
        <v/>
      </c>
      <c r="D10" s="16" t="inlineStr">
        <is>
          <t>SO4430</t>
        </is>
      </c>
      <c r="E10" s="18" t="inlineStr">
        <is>
          <t>Cash Sale</t>
        </is>
      </c>
      <c r="F10" s="19" t="inlineStr">
        <is>
          <t>systeco Pty ltd</t>
        </is>
      </c>
      <c r="G10" s="305" t="n">
        <v>7898.93</v>
      </c>
      <c r="H10" s="305" t="n">
        <v>1184.84</v>
      </c>
      <c r="I10" s="305" t="n">
        <v>9083.77</v>
      </c>
      <c r="J10" s="19" t="inlineStr">
        <is>
          <t>Sizwe Tshabalala</t>
        </is>
      </c>
      <c r="K10" s="16" t="inlineStr">
        <is>
          <t>In Progress</t>
        </is>
      </c>
      <c r="L10" s="21" t="inlineStr">
        <is>
          <t>CASH SALE - PAID</t>
        </is>
      </c>
      <c r="M10" s="16">
        <f t="array" ref="M10">IFERROR(_xlfn.TEXTJOIN(", ",TRUE,IF(#REF!=D10,#REF!,"")),"")</f>
        <v/>
      </c>
      <c r="N10" s="22">
        <f>Table13456789345[[#This Row],[Delivery Date]]</f>
        <v/>
      </c>
    </row>
    <row r="11" ht="43.2" customHeight="1">
      <c r="A11" s="31" t="n">
        <v>46086</v>
      </c>
      <c r="B11" s="15" t="n">
        <v>46092</v>
      </c>
      <c r="C11" s="16">
        <f>IFERROR(INDEX(#REF!,MATCH(D11,#REF!,0)),"")</f>
        <v/>
      </c>
      <c r="D11" s="16" t="inlineStr">
        <is>
          <t>SO4432</t>
        </is>
      </c>
      <c r="E11" s="35" t="inlineStr">
        <is>
          <t>FMTA4453-Revised</t>
        </is>
      </c>
      <c r="F11" s="36" t="inlineStr">
        <is>
          <t>MBS</t>
        </is>
      </c>
      <c r="G11" s="306" t="n">
        <v>30125.7</v>
      </c>
      <c r="H11" s="306" t="n">
        <v>4518.86</v>
      </c>
      <c r="I11" s="306" t="n">
        <v>34644.56</v>
      </c>
      <c r="J11" s="36" t="inlineStr">
        <is>
          <t>Mashudu Tshifularo</t>
        </is>
      </c>
      <c r="K11" s="33" t="inlineStr">
        <is>
          <t>Ready - Dispatch</t>
        </is>
      </c>
      <c r="L11" s="38" t="inlineStr">
        <is>
          <t>CASH SALE - PAID</t>
        </is>
      </c>
      <c r="M11" s="33">
        <f t="array" ref="M11">IFERROR(_xlfn.TEXTJOIN(", ",TRUE,IF(#REF!=D11,#REF!,"")),"")</f>
        <v/>
      </c>
      <c r="N11" s="22">
        <f>Table13456789345[[#This Row],[Delivery Date]]</f>
        <v/>
      </c>
    </row>
    <row r="12" ht="72" customHeight="1">
      <c r="A12" s="14" t="n">
        <v>46052</v>
      </c>
      <c r="B12" s="15" t="n">
        <v>46094</v>
      </c>
      <c r="C12" s="16" t="inlineStr">
        <is>
          <t>FM3799</t>
        </is>
      </c>
      <c r="D12" s="17" t="inlineStr">
        <is>
          <t>SO4330</t>
        </is>
      </c>
      <c r="E12" s="18" t="inlineStr">
        <is>
          <t>PO0000573</t>
        </is>
      </c>
      <c r="F12" s="19" t="inlineStr">
        <is>
          <t>ST AIR SERVICES AND MAINTENANCE (PTY) LTD</t>
        </is>
      </c>
      <c r="G12" s="305" t="n">
        <v>681952</v>
      </c>
      <c r="H12" s="305" t="n">
        <v>102292.8</v>
      </c>
      <c r="I12" s="305" t="n">
        <v>784244.8</v>
      </c>
      <c r="J12" s="19" t="inlineStr">
        <is>
          <t>Simon Mokgola</t>
        </is>
      </c>
      <c r="K12" s="16" t="inlineStr">
        <is>
          <t>In Progress</t>
        </is>
      </c>
      <c r="L12" s="21" t="inlineStr">
        <is>
          <t>ACCOUNT - UP TO DATE</t>
        </is>
      </c>
      <c r="M12" s="33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N12" s="22">
        <f>Table13456789345[[#This Row],[Delivery Date]]</f>
        <v/>
      </c>
    </row>
    <row r="13" ht="28.8" customHeight="1">
      <c r="A13" s="14" t="n">
        <v>46065</v>
      </c>
      <c r="B13" s="15" t="n">
        <v>46094</v>
      </c>
      <c r="C13" s="16" t="inlineStr">
        <is>
          <t>FM3830</t>
        </is>
      </c>
      <c r="D13" s="17" t="inlineStr">
        <is>
          <t>SO4363</t>
        </is>
      </c>
      <c r="E13" s="18" t="inlineStr">
        <is>
          <t>FMTA4348</t>
        </is>
      </c>
      <c r="F13" s="19" t="inlineStr">
        <is>
          <t>Crystal Sparkle Trading</t>
        </is>
      </c>
      <c r="G13" s="305" t="n">
        <v>246560</v>
      </c>
      <c r="H13" s="305" t="n">
        <v>36984</v>
      </c>
      <c r="I13" s="305" t="n">
        <v>283544</v>
      </c>
      <c r="J13" s="19" t="inlineStr">
        <is>
          <t>Mashudu Tshifularo</t>
        </is>
      </c>
      <c r="K13" s="16" t="inlineStr">
        <is>
          <t>In Progress</t>
        </is>
      </c>
      <c r="L13" s="21" t="inlineStr">
        <is>
          <t>CASH SALE – PARTIAL</t>
        </is>
      </c>
      <c r="M13" s="33" t="inlineStr">
        <is>
          <t>Fumax 1000.32.F.8.1100.4.3, 1000Diam Screen, Inlet Cone, M/Feet</t>
        </is>
      </c>
      <c r="N13" s="22">
        <f>Table13456789345[[#This Row],[Delivery Date]]</f>
        <v/>
      </c>
    </row>
    <row r="14">
      <c r="A14" s="14" t="n">
        <v>46058</v>
      </c>
      <c r="B14" s="15" t="n">
        <v>46094</v>
      </c>
      <c r="C14" s="16" t="inlineStr">
        <is>
          <t>FM3812</t>
        </is>
      </c>
      <c r="D14" s="17" t="inlineStr">
        <is>
          <t>SO4343</t>
        </is>
      </c>
      <c r="E14" s="18" t="inlineStr">
        <is>
          <t>DPO-1616</t>
        </is>
      </c>
      <c r="F14" s="19" t="inlineStr">
        <is>
          <t>Dueltron (Pty) Ltd</t>
        </is>
      </c>
      <c r="G14" s="305" t="n">
        <v>126321</v>
      </c>
      <c r="H14" s="305" t="n">
        <v>18948.15</v>
      </c>
      <c r="I14" s="305" t="n">
        <v>145269.15</v>
      </c>
      <c r="J14" s="19" t="inlineStr">
        <is>
          <t>Mashudu Tshifularo</t>
        </is>
      </c>
      <c r="K14" s="16" t="inlineStr">
        <is>
          <t>In Progress</t>
        </is>
      </c>
      <c r="L14" s="21" t="inlineStr">
        <is>
          <t>ACCOUNT - UP TO DATE</t>
        </is>
      </c>
      <c r="M14" s="33" t="inlineStr">
        <is>
          <t>MAJAX-3 1250 c/w 22,00KW 4P 380V</t>
        </is>
      </c>
      <c r="N14" s="22">
        <f>Table13456789345[[#This Row],[Delivery Date]]</f>
        <v/>
      </c>
    </row>
    <row r="15" ht="43.2" customHeight="1">
      <c r="A15" s="14" t="n">
        <v>46084</v>
      </c>
      <c r="B15" s="15" t="n">
        <v>46094</v>
      </c>
      <c r="C15" s="16" t="inlineStr">
        <is>
          <t>SO4425</t>
        </is>
      </c>
      <c r="D15" s="17" t="inlineStr">
        <is>
          <t>FM3895</t>
        </is>
      </c>
      <c r="E15" s="18" t="inlineStr">
        <is>
          <t>PO:01027016</t>
        </is>
      </c>
      <c r="F15" s="19" t="inlineStr">
        <is>
          <t>Voltex Thohoyandou</t>
        </is>
      </c>
      <c r="G15" s="305" t="n">
        <v>62000</v>
      </c>
      <c r="H15" s="305" t="n">
        <v>9300</v>
      </c>
      <c r="I15" s="305" t="n">
        <v>71300</v>
      </c>
      <c r="J15" s="19" t="inlineStr">
        <is>
          <t>Mashudu Tshifularo</t>
        </is>
      </c>
      <c r="K15" s="16" t="inlineStr">
        <is>
          <t>In Progress</t>
        </is>
      </c>
      <c r="L15" s="21" t="inlineStr">
        <is>
          <t>ACCOUNT - UP TO DATE</t>
        </is>
      </c>
      <c r="M15" s="33" t="inlineStr">
        <is>
          <t>RAD 100, 100 Diam Tube Silencer 600L, 10M ALUMINIUM CORE ONLY 100 DIA, 100MM METAL EXTRACT VALVE, WEATHER LOUVRE 200*200 NS NA</t>
        </is>
      </c>
      <c r="N15" s="22">
        <f>Table13456789345[[#This Row],[Delivery Date]]</f>
        <v/>
      </c>
    </row>
    <row r="16" ht="28.8" customHeight="1">
      <c r="A16" s="40" t="n">
        <v>46070</v>
      </c>
      <c r="B16" s="41" t="n">
        <v>46094</v>
      </c>
      <c r="C16" s="42" t="inlineStr">
        <is>
          <t>FM3848</t>
        </is>
      </c>
      <c r="D16" s="43" t="inlineStr">
        <is>
          <t>SO4379</t>
        </is>
      </c>
      <c r="E16" s="44" t="inlineStr">
        <is>
          <t>ABF001-2026-0017</t>
        </is>
      </c>
      <c r="F16" s="45" t="inlineStr">
        <is>
          <t>Industrial Control &amp; Automation (ICA)</t>
        </is>
      </c>
      <c r="G16" s="307" t="n">
        <v>20760</v>
      </c>
      <c r="H16" s="307" t="n">
        <v>3114</v>
      </c>
      <c r="I16" s="307" t="n">
        <v>23874</v>
      </c>
      <c r="J16" s="45" t="inlineStr">
        <is>
          <t>Simon Mokgola</t>
        </is>
      </c>
      <c r="K16" s="42" t="inlineStr">
        <is>
          <t>In Progress</t>
        </is>
      </c>
      <c r="L16" s="47" t="inlineStr">
        <is>
          <t>CASH SALE - PAID</t>
        </is>
      </c>
      <c r="M16" s="42" t="inlineStr">
        <is>
          <t>HEP-31-2M/H 220-240V</t>
        </is>
      </c>
      <c r="N16" s="48">
        <f>Table13456789345[[#This Row],[Delivery Date]]</f>
        <v/>
      </c>
    </row>
    <row r="17" ht="28.8" customHeight="1">
      <c r="A17" s="14" t="n">
        <v>46072</v>
      </c>
      <c r="B17" s="15" t="n">
        <v>46097</v>
      </c>
      <c r="C17" s="16" t="inlineStr">
        <is>
          <t>FM3857</t>
        </is>
      </c>
      <c r="D17" s="16" t="inlineStr">
        <is>
          <t>SO4388</t>
        </is>
      </c>
      <c r="E17" s="18" t="inlineStr">
        <is>
          <t>POL15058</t>
        </is>
      </c>
      <c r="F17" s="19" t="inlineStr">
        <is>
          <t>Heavy Duty Industrial (Pty) Ltd</t>
        </is>
      </c>
      <c r="G17" s="305" t="n">
        <v>243745.16</v>
      </c>
      <c r="H17" s="305" t="n">
        <v>36561.77</v>
      </c>
      <c r="I17" s="305" t="n">
        <v>280306.93</v>
      </c>
      <c r="J17" s="19" t="inlineStr">
        <is>
          <t>Mashudu Tshifularo</t>
        </is>
      </c>
      <c r="K17" s="16" t="inlineStr">
        <is>
          <t>In Progress</t>
        </is>
      </c>
      <c r="L17" s="21" t="inlineStr">
        <is>
          <t>CASH SALE - PAID</t>
        </is>
      </c>
      <c r="M17" s="33" t="inlineStr">
        <is>
          <t>Plate axial 800mm 150A10 c/w5.5kw 4 pole 380v flame proof motor</t>
        </is>
      </c>
      <c r="N17" s="22">
        <f>Table13456789345[[#This Row],[Delivery Date]]</f>
        <v/>
      </c>
    </row>
    <row r="18" ht="28.8" customHeight="1">
      <c r="A18" s="40" t="n">
        <v>45972</v>
      </c>
      <c r="B18" s="41" t="n">
        <v>46103</v>
      </c>
      <c r="C18" s="42" t="inlineStr">
        <is>
          <t>FM3633</t>
        </is>
      </c>
      <c r="D18" s="43" t="inlineStr">
        <is>
          <t>SO4171</t>
        </is>
      </c>
      <c r="E18" s="44" t="inlineStr">
        <is>
          <t>A3412094782</t>
        </is>
      </c>
      <c r="F18" s="45" t="inlineStr">
        <is>
          <t>NWK LTD</t>
        </is>
      </c>
      <c r="G18" s="307" t="n">
        <v>13040</v>
      </c>
      <c r="H18" s="307" t="n">
        <v>1955.999999999998</v>
      </c>
      <c r="I18" s="307" t="n">
        <v>14996</v>
      </c>
      <c r="J18" s="45" t="inlineStr">
        <is>
          <t>Sizwe Tshabalala</t>
        </is>
      </c>
      <c r="K18" s="42" t="inlineStr">
        <is>
          <t>In Progress</t>
        </is>
      </c>
      <c r="L18" s="47" t="inlineStr">
        <is>
          <t>ACCOUNT - UP TO DATE</t>
        </is>
      </c>
      <c r="M18" s="83" t="inlineStr">
        <is>
          <t>1 x CMA-325-2M -PO3572 - Indent 0142 - Sodeca ETA: 28/02/2026</t>
        </is>
      </c>
      <c r="N18" s="48">
        <f>Table13456789345[[#This Row],[Delivery Date]]</f>
        <v/>
      </c>
    </row>
    <row r="19" ht="28.8" customHeight="1">
      <c r="A19" s="40" t="n">
        <v>45981</v>
      </c>
      <c r="B19" s="41" t="n">
        <v>46103</v>
      </c>
      <c r="C19" s="42" t="inlineStr">
        <is>
          <t>FM3676</t>
        </is>
      </c>
      <c r="D19" s="43" t="inlineStr">
        <is>
          <t>SO4204</t>
        </is>
      </c>
      <c r="E19" s="44" t="inlineStr">
        <is>
          <t>B137477</t>
        </is>
      </c>
      <c r="F19" s="45" t="inlineStr">
        <is>
          <t>Vescotech</t>
        </is>
      </c>
      <c r="G19" s="307" t="n">
        <v>19620</v>
      </c>
      <c r="H19" s="307" t="n">
        <v>2943</v>
      </c>
      <c r="I19" s="307" t="n">
        <v>22563</v>
      </c>
      <c r="J19" s="45" t="inlineStr">
        <is>
          <t>Sizwe Tshabalala</t>
        </is>
      </c>
      <c r="K19" s="42" t="inlineStr">
        <is>
          <t>In Progress</t>
        </is>
      </c>
      <c r="L19" s="47" t="inlineStr">
        <is>
          <t>CASH SALE - PAID</t>
        </is>
      </c>
      <c r="M19" s="83" t="inlineStr">
        <is>
          <t>HCD - 40 -PO3572 - Indent 0142 - Sodeca ETA: 28/02/2026</t>
        </is>
      </c>
      <c r="N19" s="48">
        <f>Table13456789345[[#This Row],[Delivery Date]]</f>
        <v/>
      </c>
    </row>
    <row r="20" ht="28.8" customHeight="1">
      <c r="A20" s="40" t="n">
        <v>45985</v>
      </c>
      <c r="B20" s="41" t="n">
        <v>46103</v>
      </c>
      <c r="C20" s="42" t="inlineStr">
        <is>
          <t>FM3685</t>
        </is>
      </c>
      <c r="D20" s="43" t="inlineStr">
        <is>
          <t>SO4215</t>
        </is>
      </c>
      <c r="E20" s="44" t="n">
        <v>4358</v>
      </c>
      <c r="F20" s="45" t="inlineStr">
        <is>
          <t>Air Speration (Pty) Ltd</t>
        </is>
      </c>
      <c r="G20" s="307" t="n">
        <v>11540</v>
      </c>
      <c r="H20" s="307" t="n">
        <v>1730.999999999998</v>
      </c>
      <c r="I20" s="307" t="n">
        <v>13271</v>
      </c>
      <c r="J20" s="45" t="inlineStr">
        <is>
          <t>Mashudu Tshifularo</t>
        </is>
      </c>
      <c r="K20" s="42" t="inlineStr">
        <is>
          <t>In Progress</t>
        </is>
      </c>
      <c r="L20" s="47" t="inlineStr">
        <is>
          <t>CASH SALE - PAID</t>
        </is>
      </c>
      <c r="M20" s="83" t="inlineStr">
        <is>
          <t>1 x CMP820-2T -PO3572 - Indent 0142 - Sodeca ETA: 28/02/2026</t>
        </is>
      </c>
      <c r="N20" s="48">
        <f>Table13456789345[[#This Row],[Delivery Date]]</f>
        <v/>
      </c>
    </row>
    <row r="21" ht="57.6" customHeight="1">
      <c r="A21" s="14" t="n">
        <v>46077</v>
      </c>
      <c r="B21" s="15" t="n">
        <v>46106</v>
      </c>
      <c r="C21" s="16" t="inlineStr">
        <is>
          <t>FM3875 FM3876</t>
        </is>
      </c>
      <c r="D21" s="16" t="inlineStr">
        <is>
          <t>SO4405</t>
        </is>
      </c>
      <c r="E21" s="18" t="inlineStr">
        <is>
          <t>FM3875 FM3876</t>
        </is>
      </c>
      <c r="F21" s="19" t="inlineStr">
        <is>
          <t>BMT Smart Solutions</t>
        </is>
      </c>
      <c r="G21" s="305" t="n">
        <v>45898.4</v>
      </c>
      <c r="H21" s="305" t="n">
        <v>6884.76</v>
      </c>
      <c r="I21" s="305" t="n">
        <v>52783.16</v>
      </c>
      <c r="J21" s="19" t="inlineStr">
        <is>
          <t>Simon Mokgola</t>
        </is>
      </c>
      <c r="K21" s="16" t="inlineStr">
        <is>
          <t>In Progress</t>
        </is>
      </c>
      <c r="L21" s="21" t="inlineStr">
        <is>
          <t>ACCOUNT - UP TO DATE</t>
        </is>
      </c>
      <c r="M21" s="33" t="inlineStr">
        <is>
          <t>MAXFLO 500/150/10 A c/w 0.37KW 4P 380V, 500 Diam Silencer 1.5D Podded,M/Feet, 315 to 560 AVMs, Fumax 560.20.D.8 C/W 4KW 2P 380V, 560 Diam Silencer 1.5D Podded,C/Flange,M/ Feet, 315 to 560 AVMs</t>
        </is>
      </c>
      <c r="N21" s="22">
        <f>Table13456789345[[#This Row],[Delivery Date]]</f>
        <v/>
      </c>
    </row>
    <row r="22">
      <c r="A22" s="24" t="n">
        <v>45799</v>
      </c>
      <c r="B22" s="25" t="n">
        <v>46111</v>
      </c>
      <c r="C22" s="26" t="inlineStr">
        <is>
          <t>TBA</t>
        </is>
      </c>
      <c r="D22" s="26" t="inlineStr">
        <is>
          <t>SO3760</t>
        </is>
      </c>
      <c r="E22" s="27" t="inlineStr">
        <is>
          <t>ORDER</t>
        </is>
      </c>
      <c r="F22" s="28" t="inlineStr">
        <is>
          <t>Rey &amp; Lenferna Ltd</t>
        </is>
      </c>
      <c r="G22" s="308" t="n">
        <v>545349.34</v>
      </c>
      <c r="H22" s="308" t="n">
        <v>0</v>
      </c>
      <c r="I22" s="308" t="n">
        <v>545349.34</v>
      </c>
      <c r="J22" s="28" t="inlineStr">
        <is>
          <t>Sizwe - R.O.A</t>
        </is>
      </c>
      <c r="K22" s="26" t="inlineStr">
        <is>
          <t>Not Processed</t>
        </is>
      </c>
      <c r="L22" s="26" t="inlineStr">
        <is>
          <t>ACCOUNT - UP TO DATE</t>
        </is>
      </c>
      <c r="M22" s="76" t="inlineStr">
        <is>
          <t>TBC</t>
        </is>
      </c>
      <c r="N22" s="30">
        <f>Table13456789345[[#This Row],[Delivery Date]]</f>
        <v/>
      </c>
    </row>
    <row r="23">
      <c r="A23" s="24" t="n">
        <v>46052</v>
      </c>
      <c r="B23" s="25" t="n">
        <v>46111</v>
      </c>
      <c r="C23" s="26" t="inlineStr">
        <is>
          <t>TBA</t>
        </is>
      </c>
      <c r="D23" s="26" t="inlineStr">
        <is>
          <t>SO4331</t>
        </is>
      </c>
      <c r="E23" s="27" t="inlineStr">
        <is>
          <t>ORDER</t>
        </is>
      </c>
      <c r="F23" s="28" t="inlineStr">
        <is>
          <t>Rey &amp; Lenferna Ltd</t>
        </is>
      </c>
      <c r="G23" s="308" t="n">
        <v>1084072.0248</v>
      </c>
      <c r="H23" s="308" t="n">
        <v>0</v>
      </c>
      <c r="I23" s="308" t="n">
        <v>538722.6848</v>
      </c>
      <c r="J23" s="28" t="inlineStr">
        <is>
          <t>Sizwe - R.O.A</t>
        </is>
      </c>
      <c r="K23" s="26" t="inlineStr">
        <is>
          <t>Not Processed</t>
        </is>
      </c>
      <c r="L23" s="26" t="inlineStr">
        <is>
          <t>ACCOUNT - UP TO DATE</t>
        </is>
      </c>
      <c r="M23" s="76" t="inlineStr">
        <is>
          <t>TBC</t>
        </is>
      </c>
      <c r="N23" s="30">
        <f>Table13456789345[[#This Row],[Delivery Date]]</f>
        <v/>
      </c>
    </row>
    <row r="24" ht="28.8" customHeight="1">
      <c r="A24" s="14" t="n">
        <v>46063</v>
      </c>
      <c r="B24" s="15" t="n">
        <v>46111</v>
      </c>
      <c r="C24" s="16" t="inlineStr">
        <is>
          <t>FM3819</t>
        </is>
      </c>
      <c r="D24" s="17" t="inlineStr">
        <is>
          <t>SO4350</t>
        </is>
      </c>
      <c r="E24" s="18" t="inlineStr">
        <is>
          <t>PO-27149</t>
        </is>
      </c>
      <c r="F24" s="19" t="inlineStr">
        <is>
          <t>Aircycle Engineering CC</t>
        </is>
      </c>
      <c r="G24" s="305" t="n">
        <v>56285</v>
      </c>
      <c r="H24" s="305" t="n">
        <v>8442.75</v>
      </c>
      <c r="I24" s="305" t="n">
        <v>64727.75</v>
      </c>
      <c r="J24" s="19" t="inlineStr">
        <is>
          <t>Simon Mokgola</t>
        </is>
      </c>
      <c r="K24" s="16" t="inlineStr">
        <is>
          <t>In Progress</t>
        </is>
      </c>
      <c r="L24" s="21" t="inlineStr">
        <is>
          <t>ACCOUNT - UP TO DATE</t>
        </is>
      </c>
      <c r="M24" s="33" t="inlineStr">
        <is>
          <t>CA/Line/EC - 31 50/60HZ, HCT/EC - 45-2T-2 400V 50/60HZ IE5, AVMs, 450 C/Flange, M/Feet</t>
        </is>
      </c>
      <c r="N24" s="22">
        <f>Table13456789345[[#This Row],[Delivery Date]]</f>
        <v/>
      </c>
    </row>
    <row r="25">
      <c r="A25" s="14" t="n">
        <v>46077</v>
      </c>
      <c r="B25" s="15" t="n">
        <v>46112</v>
      </c>
      <c r="C25" s="16" t="inlineStr">
        <is>
          <t>FM3874</t>
        </is>
      </c>
      <c r="D25" s="16" t="inlineStr">
        <is>
          <t>SO4404</t>
        </is>
      </c>
      <c r="E25" s="18" t="inlineStr">
        <is>
          <t>Nicotra-Fan</t>
        </is>
      </c>
      <c r="F25" s="19" t="inlineStr">
        <is>
          <t>ITD North Pty Ltd</t>
        </is>
      </c>
      <c r="G25" s="305" t="n">
        <v>81954</v>
      </c>
      <c r="H25" s="305" t="n">
        <v>12293.1</v>
      </c>
      <c r="I25" s="305" t="n">
        <v>94247.10000000001</v>
      </c>
      <c r="J25" s="19" t="inlineStr">
        <is>
          <t>Mashudu Tshifularo</t>
        </is>
      </c>
      <c r="K25" s="16" t="inlineStr">
        <is>
          <t>In Progress</t>
        </is>
      </c>
      <c r="L25" s="21" t="inlineStr">
        <is>
          <t>CASH SALE – PARTIAL</t>
        </is>
      </c>
      <c r="M25" s="33" t="inlineStr">
        <is>
          <t>RDH 710 K2 - Nicotra Fan</t>
        </is>
      </c>
      <c r="N25" s="22">
        <f>Table13456789345[[#This Row],[Delivery Date]]</f>
        <v/>
      </c>
    </row>
    <row r="26" ht="29.4" customHeight="1" thickBot="1">
      <c r="A26" s="40" t="n">
        <v>46069</v>
      </c>
      <c r="B26" s="41" t="n">
        <v>46157</v>
      </c>
      <c r="C26" s="42" t="inlineStr">
        <is>
          <t>FM3841</t>
        </is>
      </c>
      <c r="D26" s="43" t="inlineStr">
        <is>
          <t>SO4372</t>
        </is>
      </c>
      <c r="E26" s="44" t="inlineStr">
        <is>
          <t>PO2213</t>
        </is>
      </c>
      <c r="F26" s="45" t="inlineStr">
        <is>
          <t>Hucra Fans</t>
        </is>
      </c>
      <c r="G26" s="307" t="n">
        <v>330429</v>
      </c>
      <c r="H26" s="307" t="n">
        <v>49564.35</v>
      </c>
      <c r="I26" s="307" t="n">
        <v>379993.35</v>
      </c>
      <c r="J26" s="45" t="inlineStr">
        <is>
          <t>Sales Agent Hucra Fans</t>
        </is>
      </c>
      <c r="K26" s="42" t="inlineStr">
        <is>
          <t>In Progress</t>
        </is>
      </c>
      <c r="L26" s="47" t="inlineStr">
        <is>
          <t>ACCOUNT - UP TO DATE</t>
        </is>
      </c>
      <c r="M26" s="83" t="inlineStr">
        <is>
          <t>SCL K11 MS - 11.0kW - 525V</t>
        </is>
      </c>
      <c r="N26" s="48">
        <f>Table13456789345[[#This Row],[Delivery Date]]</f>
        <v/>
      </c>
    </row>
    <row r="27" ht="16.2" customHeight="1" thickBot="1">
      <c r="A27" s="14" t="n"/>
      <c r="B27" s="15" t="n"/>
      <c r="C27" s="16" t="n"/>
      <c r="D27" s="17" t="n"/>
      <c r="E27" s="18" t="n"/>
      <c r="F27" s="19" t="n"/>
      <c r="G27" s="305" t="n"/>
      <c r="H27" s="309" t="inlineStr">
        <is>
          <t>Total</t>
        </is>
      </c>
      <c r="I27" s="310">
        <f>SUBTOTAL(109,I3:I16)</f>
        <v/>
      </c>
      <c r="J27" s="51" t="n"/>
      <c r="K27" s="16" t="n"/>
      <c r="L27" s="21" t="n"/>
      <c r="M27" s="16" t="n"/>
      <c r="N27" s="22" t="n"/>
    </row>
    <row r="28" ht="15.6" customHeight="1">
      <c r="A28" s="52" t="n"/>
      <c r="B28" s="52" t="n"/>
      <c r="C28" s="53" t="n"/>
      <c r="H28" s="311" t="n"/>
      <c r="I28" s="312" t="n"/>
      <c r="N28" s="52" t="n"/>
    </row>
    <row r="29" ht="15" customHeight="1" thickBot="1">
      <c r="C29" s="313" t="inlineStr">
        <is>
          <t>MARCH</t>
        </is>
      </c>
      <c r="D29" s="314" t="n"/>
      <c r="F29" s="314" t="inlineStr">
        <is>
          <t>APRIL</t>
        </is>
      </c>
      <c r="G29" s="314" t="n"/>
      <c r="I29" s="314" t="inlineStr">
        <is>
          <t>Dispatch</t>
        </is>
      </c>
    </row>
    <row r="30" ht="15" customFormat="1" customHeight="1" s="299" thickBot="1">
      <c r="C30" s="327" t="inlineStr">
        <is>
          <t>Cash Sale</t>
        </is>
      </c>
      <c r="D30" s="328">
        <f t="array" ref="D30">SUMPRODUCT((MONTH(B3:B26)=3)*(YEAR(B3:B26)=2026)*(ISNUMBER(SEARCH("CASH SALE",L3:L26)))*(I3:I26))</f>
        <v/>
      </c>
      <c r="E30" s="55" t="n"/>
      <c r="F30" s="327" t="inlineStr">
        <is>
          <t>Cash Sale</t>
        </is>
      </c>
      <c r="G30" s="316">
        <f t="array" ref="G30">SUMPRODUCT((MONTH(B3:B26)=4)*(YEAR(B3:B26)=2026)*(ISNUMBER(SEARCH("CASH SALE",L3:L26)))*(I3:I26))</f>
        <v/>
      </c>
      <c r="H30" s="302" t="n"/>
      <c r="I30" s="317">
        <f>SUMIF(K3:K26,"*Ready - Dispatch*",I3:I26)</f>
        <v/>
      </c>
      <c r="J30" s="56" t="n"/>
      <c r="K30" s="53" t="n"/>
      <c r="L30" s="60" t="n"/>
      <c r="M30" s="53" t="n"/>
    </row>
    <row r="31" customFormat="1" s="299">
      <c r="C31" s="327" t="inlineStr">
        <is>
          <t>Account</t>
        </is>
      </c>
      <c r="D31" s="328">
        <f t="array" ref="D31">SUMPRODUCT((MONTH(B3:B26)=3)*(YEAR(B3:B26)=2026)*(ISNUMBER(SEARCH("ACCOUNT",L3:L26)))*(I3:I26))</f>
        <v/>
      </c>
      <c r="E31" s="55" t="n"/>
      <c r="F31" s="327" t="inlineStr">
        <is>
          <t>Account</t>
        </is>
      </c>
      <c r="G31" s="318">
        <f t="array" ref="G31">SUMPRODUCT((MONTH(B3:B26)=4)*(YEAR(B3:B26)=2026)*(ISNUMBER(SEARCH("ACCOUNT",L3:L26)))*(I3:I26))</f>
        <v/>
      </c>
      <c r="H31" s="302" t="n"/>
      <c r="I31" s="302" t="n"/>
      <c r="J31" s="56" t="n"/>
      <c r="K31" s="53" t="n"/>
      <c r="L31" s="60" t="n"/>
      <c r="M31" s="53" t="n"/>
    </row>
    <row r="32" customFormat="1" s="299">
      <c r="C32" s="327" t="inlineStr">
        <is>
          <t xml:space="preserve">Total </t>
        </is>
      </c>
      <c r="D32" s="312">
        <f>D31+D30</f>
        <v/>
      </c>
      <c r="E32" s="55" t="n"/>
      <c r="F32" s="327" t="inlineStr">
        <is>
          <t>Total</t>
        </is>
      </c>
      <c r="G32" s="312">
        <f>G31+G30</f>
        <v/>
      </c>
      <c r="H32" s="302" t="n"/>
      <c r="I32" s="302" t="n"/>
      <c r="J32" s="56" t="n"/>
      <c r="K32" s="53" t="n"/>
      <c r="L32" s="60" t="n"/>
      <c r="M32" s="53" t="n"/>
    </row>
    <row r="33" ht="15" customFormat="1" customHeight="1" s="299" thickBot="1">
      <c r="E33" s="55" t="n"/>
      <c r="F33" s="56" t="n"/>
      <c r="G33" s="313" t="n"/>
      <c r="I33" s="302" t="n"/>
      <c r="J33" s="56" t="n"/>
      <c r="K33" s="53" t="n"/>
      <c r="L33" s="60" t="n"/>
      <c r="M33" s="53" t="n"/>
    </row>
    <row r="34" ht="28.8" customFormat="1" customHeight="1" s="299">
      <c r="B34" s="67" t="inlineStr">
        <is>
          <t>Delivery Date</t>
        </is>
      </c>
      <c r="C34" s="67" t="inlineStr">
        <is>
          <t>Job Number</t>
        </is>
      </c>
      <c r="D34" s="67" t="inlineStr">
        <is>
          <t>SO Number</t>
        </is>
      </c>
      <c r="E34" s="67" t="inlineStr">
        <is>
          <t>Customer Ref.</t>
        </is>
      </c>
      <c r="F34" s="67" t="inlineStr">
        <is>
          <t>Customer</t>
        </is>
      </c>
      <c r="G34" s="320" t="inlineStr">
        <is>
          <t>Exclusive</t>
        </is>
      </c>
      <c r="H34" s="321" t="inlineStr">
        <is>
          <t>VAT</t>
        </is>
      </c>
      <c r="I34" s="322" t="inlineStr">
        <is>
          <t>Total</t>
        </is>
      </c>
      <c r="J34" s="71" t="inlineStr">
        <is>
          <t>Sales Rep</t>
        </is>
      </c>
      <c r="K34" s="67" t="inlineStr">
        <is>
          <t>Status</t>
        </is>
      </c>
      <c r="L34" s="67" t="inlineStr">
        <is>
          <t>Payment Type &amp; Status</t>
        </is>
      </c>
      <c r="M34" s="67" t="inlineStr">
        <is>
          <t>Comments</t>
        </is>
      </c>
    </row>
    <row r="35" customFormat="1" s="299">
      <c r="B35" s="32">
        <f>TODAY()</f>
        <v/>
      </c>
      <c r="C35" s="33" t="inlineStr">
        <is>
          <t>FM3808</t>
        </is>
      </c>
      <c r="D35" s="34" t="inlineStr">
        <is>
          <t>SO4339</t>
        </is>
      </c>
      <c r="E35" s="35" t="inlineStr">
        <is>
          <t>PO549NN</t>
        </is>
      </c>
      <c r="F35" s="36" t="inlineStr">
        <is>
          <t>Intervent-Universal (Pty) Ltd</t>
        </is>
      </c>
      <c r="G35" s="306" t="n">
        <v>19840</v>
      </c>
      <c r="H35" s="306" t="n">
        <v>2976</v>
      </c>
      <c r="I35" s="306" t="n">
        <v>22816</v>
      </c>
      <c r="J35" s="36" t="inlineStr">
        <is>
          <t>Simon Mokgola</t>
        </is>
      </c>
      <c r="K35" s="33" t="inlineStr">
        <is>
          <t>Ready - Dispatch</t>
        </is>
      </c>
      <c r="L35" s="38" t="inlineStr">
        <is>
          <t>CASH SALE - UNPAID</t>
        </is>
      </c>
      <c r="M35" s="33" t="inlineStr">
        <is>
          <t>Awaiting Payment</t>
        </is>
      </c>
    </row>
    <row r="36" customFormat="1" s="299">
      <c r="B36" s="52" t="n"/>
      <c r="C36" s="16" t="inlineStr">
        <is>
          <t>FM3854</t>
        </is>
      </c>
      <c r="D36" s="17" t="inlineStr">
        <is>
          <t>SO4384</t>
        </is>
      </c>
      <c r="E36" s="18" t="inlineStr">
        <is>
          <t>FM3854</t>
        </is>
      </c>
      <c r="F36" s="19" t="inlineStr">
        <is>
          <t>KG Construction Pty Ltd</t>
        </is>
      </c>
      <c r="G36" s="305" t="n">
        <v>68975</v>
      </c>
      <c r="H36" s="305" t="n">
        <v>10346.25</v>
      </c>
      <c r="I36" s="305" t="n">
        <v>79321.25</v>
      </c>
      <c r="J36" s="19" t="inlineStr">
        <is>
          <t>Simon Mokgola</t>
        </is>
      </c>
      <c r="K36" s="33" t="inlineStr">
        <is>
          <t>Ready - Dispatch</t>
        </is>
      </c>
      <c r="L36" s="21" t="inlineStr">
        <is>
          <t>CASH SALE - UNPAID</t>
        </is>
      </c>
      <c r="M36" s="33" t="inlineStr">
        <is>
          <t>Awaiting Payment</t>
        </is>
      </c>
    </row>
    <row r="37" ht="28.8" customFormat="1" customHeight="1" s="299">
      <c r="B37" s="52" t="n"/>
      <c r="C37" s="16">
        <f>IFERROR(INDEX(#REF!,MATCH(D37,#REF!,0)),"")</f>
        <v/>
      </c>
      <c r="D37" s="16" t="inlineStr">
        <is>
          <t>SO4431</t>
        </is>
      </c>
      <c r="E37" s="18" t="inlineStr">
        <is>
          <t>FM3899</t>
        </is>
      </c>
      <c r="F37" s="19" t="inlineStr">
        <is>
          <t>EJ Stainless &amp; Mildsteel Solutions</t>
        </is>
      </c>
      <c r="G37" s="305" t="n">
        <v>5208</v>
      </c>
      <c r="H37" s="305" t="n">
        <v>781.2</v>
      </c>
      <c r="I37" s="305" t="n">
        <v>5989.2</v>
      </c>
      <c r="J37" s="19" t="inlineStr">
        <is>
          <t>Sizwe Tshabalala</t>
        </is>
      </c>
      <c r="K37" s="16" t="inlineStr">
        <is>
          <t>Ready - Dispatch</t>
        </is>
      </c>
      <c r="L37" s="21" t="inlineStr">
        <is>
          <t>CASH SALE - PAID</t>
        </is>
      </c>
      <c r="M37" s="33" t="inlineStr">
        <is>
          <t>Awaiting Payment</t>
        </is>
      </c>
    </row>
    <row r="38" ht="15" customFormat="1" customHeight="1" s="299" thickBot="1">
      <c r="E38" s="55" t="n"/>
      <c r="F38" s="56" t="n"/>
      <c r="G38" s="302" t="n"/>
      <c r="H38" s="302" t="n"/>
      <c r="I38" s="325">
        <f>SUM(I35:I37)</f>
        <v/>
      </c>
      <c r="J38" s="56" t="n"/>
      <c r="K38" s="53" t="n"/>
      <c r="L38" s="60" t="n"/>
      <c r="M38" s="53" t="n"/>
    </row>
  </sheetData>
  <mergeCells count="2">
    <mergeCell ref="M1:N1"/>
    <mergeCell ref="G33:H33"/>
  </mergeCells>
  <conditionalFormatting sqref="A3:N28 B35:M37">
    <cfRule type="expression" priority="1" dxfId="0">
      <formula>$N3=TODAY()</formula>
    </cfRule>
  </conditionalFormatting>
  <dataValidations count="1">
    <dataValidation sqref="L3:L29 L31:L33 L35:L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48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showGridLines="0" zoomScale="80" zoomScaleNormal="80" workbookViewId="0">
      <pane xSplit="2" ySplit="2" topLeftCell="C9" activePane="bottomRight" state="frozen"/>
      <selection activeCell="E26" sqref="E26"/>
      <selection pane="topRight" activeCell="E26" sqref="E26"/>
      <selection pane="bottomLeft" activeCell="E26" sqref="E26"/>
      <selection pane="bottomRight" activeCell="L9" sqref="L9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3.88671875" bestFit="1" customWidth="1" style="299" min="4" max="4"/>
    <col width="13.77734375" customWidth="1" style="55" min="5" max="5"/>
    <col width="23.109375" customWidth="1" style="56" min="6" max="6"/>
    <col width="15" bestFit="1" customWidth="1" style="302" min="7" max="7"/>
    <col width="13.77734375" bestFit="1" customWidth="1" style="302" min="8" max="8"/>
    <col width="18.44140625" bestFit="1" customWidth="1" style="302" min="9" max="9"/>
    <col width="18.44140625" bestFit="1" customWidth="1" style="56" min="10" max="10"/>
    <col width="17.109375" bestFit="1" customWidth="1" style="53" min="11" max="11"/>
    <col width="21.88671875" bestFit="1" customWidth="1" style="60" min="12" max="12"/>
    <col width="45.77734375" customWidth="1" style="53" min="13" max="13"/>
    <col width="23.44140625" bestFit="1" customWidth="1" style="299" min="14" max="14"/>
    <col width="8.88671875" customWidth="1" style="23" min="15" max="32"/>
    <col width="8.88671875" customWidth="1" style="23" min="33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303" t="n"/>
      <c r="I1" s="303" t="n"/>
      <c r="J1" s="4" t="n"/>
      <c r="K1" s="6" t="n"/>
      <c r="L1" s="2" t="n"/>
      <c r="M1" s="296">
        <f>TODAY()</f>
        <v/>
      </c>
      <c r="N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9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Excl.</t>
        </is>
      </c>
      <c r="H2" s="304" t="inlineStr">
        <is>
          <t>VAT</t>
        </is>
      </c>
      <c r="I2" s="304" t="inlineStr">
        <is>
          <t>Price Incl.</t>
        </is>
      </c>
      <c r="J2" s="9" t="inlineStr">
        <is>
          <t>Sales Rep.</t>
        </is>
      </c>
      <c r="K2" s="9" t="inlineStr">
        <is>
          <t>Status</t>
        </is>
      </c>
      <c r="L2" s="9" t="inlineStr">
        <is>
          <t>Payment Type &amp; Status</t>
        </is>
      </c>
      <c r="M2" s="9" t="inlineStr">
        <is>
          <t>Details</t>
        </is>
      </c>
      <c r="N2" s="12" t="inlineStr">
        <is>
          <t>Planned Collection / Delivery</t>
        </is>
      </c>
    </row>
    <row r="3">
      <c r="A3" s="31" t="n">
        <v>46056</v>
      </c>
      <c r="B3" s="15" t="n">
        <v>46091</v>
      </c>
      <c r="C3" s="33" t="inlineStr">
        <is>
          <t>FM3808</t>
        </is>
      </c>
      <c r="D3" s="34" t="inlineStr">
        <is>
          <t>SO4339</t>
        </is>
      </c>
      <c r="E3" s="35" t="inlineStr">
        <is>
          <t>PO549NN</t>
        </is>
      </c>
      <c r="F3" s="36" t="inlineStr">
        <is>
          <t>Intervent-Universal (Pty) Ltd</t>
        </is>
      </c>
      <c r="G3" s="306" t="n">
        <v>19840</v>
      </c>
      <c r="H3" s="306" t="n">
        <v>2976</v>
      </c>
      <c r="I3" s="306" t="n">
        <v>22816</v>
      </c>
      <c r="J3" s="36" t="inlineStr">
        <is>
          <t>Simon Mokgola</t>
        </is>
      </c>
      <c r="K3" s="33" t="inlineStr">
        <is>
          <t>Ready - Dispatch</t>
        </is>
      </c>
      <c r="L3" s="38" t="inlineStr">
        <is>
          <t>CASH SALE - UNPAID</t>
        </is>
      </c>
      <c r="M3" s="33" t="inlineStr">
        <is>
          <t>RAD 250</t>
        </is>
      </c>
      <c r="N3" s="39">
        <f>Table134567893457[[#This Row],[Delivery Date]]</f>
        <v/>
      </c>
    </row>
    <row r="4">
      <c r="A4" s="14" t="n">
        <v>46072</v>
      </c>
      <c r="B4" s="15" t="n">
        <v>46091</v>
      </c>
      <c r="C4" s="16" t="inlineStr">
        <is>
          <t>FM3854</t>
        </is>
      </c>
      <c r="D4" s="17" t="inlineStr">
        <is>
          <t>SO4384</t>
        </is>
      </c>
      <c r="E4" s="18" t="inlineStr">
        <is>
          <t>FM3854</t>
        </is>
      </c>
      <c r="F4" s="19" t="inlineStr">
        <is>
          <t>KG Construction Pty Ltd</t>
        </is>
      </c>
      <c r="G4" s="305" t="n">
        <v>68975</v>
      </c>
      <c r="H4" s="305" t="n">
        <v>10346.25</v>
      </c>
      <c r="I4" s="305" t="n">
        <v>79321.25</v>
      </c>
      <c r="J4" s="19" t="inlineStr">
        <is>
          <t>Simon Mokgola</t>
        </is>
      </c>
      <c r="K4" s="33" t="inlineStr">
        <is>
          <t>Ready - Dispatch</t>
        </is>
      </c>
      <c r="L4" s="21" t="inlineStr">
        <is>
          <t>CASH SALE - UNPAID</t>
        </is>
      </c>
      <c r="M4" s="16" t="inlineStr">
        <is>
          <t>AIRMAX-2.750 P.EC</t>
        </is>
      </c>
      <c r="N4" s="22">
        <f>Table134567893457[[#This Row],[Delivery Date]]</f>
        <v/>
      </c>
    </row>
    <row r="5" ht="28.8" customHeight="1">
      <c r="A5" s="14" t="n">
        <v>46086</v>
      </c>
      <c r="B5" s="15" t="n">
        <v>46091</v>
      </c>
      <c r="C5" s="16">
        <f>IFERROR(INDEX(#REF!,MATCH(D5,#REF!,0)),"")</f>
        <v/>
      </c>
      <c r="D5" s="16" t="inlineStr">
        <is>
          <t>SO4431</t>
        </is>
      </c>
      <c r="E5" s="18" t="inlineStr">
        <is>
          <t>FM3899</t>
        </is>
      </c>
      <c r="F5" s="19" t="inlineStr">
        <is>
          <t>EJ Stainless &amp; Mildsteel Solutions</t>
        </is>
      </c>
      <c r="G5" s="305" t="n">
        <v>5208</v>
      </c>
      <c r="H5" s="305" t="n">
        <v>781.2</v>
      </c>
      <c r="I5" s="305" t="n">
        <v>5989.2</v>
      </c>
      <c r="J5" s="19" t="inlineStr">
        <is>
          <t>Sizwe Tshabalala</t>
        </is>
      </c>
      <c r="K5" s="16" t="inlineStr">
        <is>
          <t>Ready - Dispatch</t>
        </is>
      </c>
      <c r="L5" s="21" t="inlineStr">
        <is>
          <t>CASH SALE - PAID</t>
        </is>
      </c>
      <c r="M5" s="16">
        <f t="array" ref="M5">IFERROR(_xlfn.TEXTJOIN(", ",TRUE,IF(#REF!=D5,#REF!,"")),"")</f>
        <v/>
      </c>
      <c r="N5" s="22">
        <f>Table134567893457[[#This Row],[Delivery Date]]</f>
        <v/>
      </c>
    </row>
    <row r="6" ht="28.8" customHeight="1">
      <c r="A6" s="31" t="n">
        <v>46084</v>
      </c>
      <c r="B6" s="15" t="n">
        <v>46092</v>
      </c>
      <c r="C6" s="16" t="inlineStr">
        <is>
          <t>SO4422</t>
        </is>
      </c>
      <c r="D6" s="17" t="inlineStr">
        <is>
          <t>FM3892</t>
        </is>
      </c>
      <c r="E6" s="35" t="inlineStr">
        <is>
          <t>PO-000060075</t>
        </is>
      </c>
      <c r="F6" s="36" t="inlineStr">
        <is>
          <t>Singita Management Company (Pty) Ltd.</t>
        </is>
      </c>
      <c r="G6" s="306" t="n">
        <v>27943.52</v>
      </c>
      <c r="H6" s="306" t="n">
        <v>4191.53</v>
      </c>
      <c r="I6" s="306" t="n">
        <v>32135.05</v>
      </c>
      <c r="J6" s="36" t="inlineStr">
        <is>
          <t>Mashudu Tshifularo</t>
        </is>
      </c>
      <c r="K6" s="33" t="inlineStr">
        <is>
          <t>Ready - Dispatch</t>
        </is>
      </c>
      <c r="L6" s="38" t="inlineStr">
        <is>
          <t>CASH SALE - UNPAID</t>
        </is>
      </c>
      <c r="M6" s="33" t="inlineStr">
        <is>
          <t>Tiracamino Chimney Fan for Chimney Tops</t>
        </is>
      </c>
      <c r="N6" s="39">
        <f>Table134567893457[[#This Row],[Delivery Date]]</f>
        <v/>
      </c>
    </row>
    <row r="7">
      <c r="A7" s="14" t="n">
        <v>46090</v>
      </c>
      <c r="B7" s="15" t="n">
        <v>46092</v>
      </c>
      <c r="C7" s="33">
        <f>IFERROR(INDEX(#REF!,MATCH(D7,#REF!,0)),"")</f>
        <v/>
      </c>
      <c r="D7" s="33" t="inlineStr">
        <is>
          <t>SO4437</t>
        </is>
      </c>
      <c r="E7" s="18" t="inlineStr">
        <is>
          <t>PO;0000334</t>
        </is>
      </c>
      <c r="F7" s="19" t="inlineStr">
        <is>
          <t>Compu Cool (Pty) Ltd</t>
        </is>
      </c>
      <c r="G7" s="305" t="n">
        <v>1346</v>
      </c>
      <c r="H7" s="305" t="n">
        <v>201.9</v>
      </c>
      <c r="I7" s="305" t="n">
        <v>1547.9</v>
      </c>
      <c r="J7" s="19" t="inlineStr">
        <is>
          <t>Mashudu Tshifularo</t>
        </is>
      </c>
      <c r="K7" s="16" t="inlineStr">
        <is>
          <t>Ready - Dispatch</t>
        </is>
      </c>
      <c r="L7" s="21" t="inlineStr">
        <is>
          <t>ACCOUNT - UP TO DATE</t>
        </is>
      </c>
      <c r="M7" s="16">
        <f t="array" ref="M7">IFERROR(_xlfn.TEXTJOIN(", ",TRUE,IF(#REF!=D7,#REF!,"")),"")</f>
        <v/>
      </c>
      <c r="N7" s="22">
        <f>Table134567893457[[#This Row],[Delivery Date]]</f>
        <v/>
      </c>
    </row>
    <row r="8">
      <c r="A8" s="14" t="n">
        <v>46091</v>
      </c>
      <c r="B8" s="15" t="n">
        <v>46092</v>
      </c>
      <c r="C8" s="16">
        <f>IFERROR(INDEX(#REF!,MATCH(D8,#REF!,0)),"")</f>
        <v/>
      </c>
      <c r="D8" s="16" t="inlineStr">
        <is>
          <t>SO4439</t>
        </is>
      </c>
      <c r="E8" s="18" t="inlineStr">
        <is>
          <t>POEE8210</t>
        </is>
      </c>
      <c r="F8" s="19" t="inlineStr">
        <is>
          <t>Elmecair (Pty) Ltd</t>
        </is>
      </c>
      <c r="G8" s="305" t="n">
        <v>12211</v>
      </c>
      <c r="H8" s="305" t="n">
        <v>1831.65</v>
      </c>
      <c r="I8" s="305" t="n">
        <v>14042.65</v>
      </c>
      <c r="J8" s="19" t="inlineStr">
        <is>
          <t>Mashudu Tshifularo</t>
        </is>
      </c>
      <c r="K8" s="16" t="inlineStr">
        <is>
          <t>Ready - Dispatch</t>
        </is>
      </c>
      <c r="L8" s="21" t="inlineStr">
        <is>
          <t>ACCOUNT - UP TO DATE</t>
        </is>
      </c>
      <c r="M8" s="16">
        <f t="array" ref="M8">IFERROR(_xlfn.TEXTJOIN(", ",TRUE,IF(#REF!=D8,#REF!,"")),"")</f>
        <v/>
      </c>
      <c r="N8" s="22">
        <f>Table134567893457[[#This Row],[Delivery Date]]</f>
        <v/>
      </c>
    </row>
    <row r="9" ht="28.8" customHeight="1">
      <c r="A9" s="14" t="n">
        <v>46076</v>
      </c>
      <c r="B9" s="15" t="n">
        <v>46092</v>
      </c>
      <c r="C9" s="16" t="inlineStr">
        <is>
          <t>FM3866</t>
        </is>
      </c>
      <c r="D9" s="16" t="inlineStr">
        <is>
          <t>SO4397</t>
        </is>
      </c>
      <c r="E9" s="18" t="inlineStr">
        <is>
          <t>J99335 Replacement</t>
        </is>
      </c>
      <c r="F9" s="19" t="inlineStr">
        <is>
          <t>Moyahabo Mosala Trading and Projects</t>
        </is>
      </c>
      <c r="G9" s="305" t="n">
        <v>76748.60000000001</v>
      </c>
      <c r="H9" s="305" t="n">
        <v>11512.29</v>
      </c>
      <c r="I9" s="305" t="n">
        <v>88260.89</v>
      </c>
      <c r="J9" s="19" t="inlineStr">
        <is>
          <t>Sizwe Tshabalala</t>
        </is>
      </c>
      <c r="K9" s="16" t="inlineStr">
        <is>
          <t>In Progress</t>
        </is>
      </c>
      <c r="L9" s="21" t="inlineStr">
        <is>
          <t>CASH SALE – PARTIAL</t>
        </is>
      </c>
      <c r="M9" s="16" t="inlineStr">
        <is>
          <t>MAJAX-1 1000 c/w 22.00KW 4P 380V Spark Proof</t>
        </is>
      </c>
      <c r="N9" s="22">
        <f>Table134567893457[[#This Row],[Delivery Date]]</f>
        <v/>
      </c>
    </row>
    <row r="10">
      <c r="A10" s="14" t="n">
        <v>46086</v>
      </c>
      <c r="B10" s="15" t="n">
        <v>46092</v>
      </c>
      <c r="C10" s="16">
        <f>IFERROR(INDEX(#REF!,MATCH(D10,#REF!,0)),"")</f>
        <v/>
      </c>
      <c r="D10" s="16" t="inlineStr">
        <is>
          <t>SO4430</t>
        </is>
      </c>
      <c r="E10" s="18" t="inlineStr">
        <is>
          <t>Cash Sale</t>
        </is>
      </c>
      <c r="F10" s="19" t="inlineStr">
        <is>
          <t>systeco Pty ltd</t>
        </is>
      </c>
      <c r="G10" s="305" t="n">
        <v>7898.93</v>
      </c>
      <c r="H10" s="305" t="n">
        <v>1184.84</v>
      </c>
      <c r="I10" s="305" t="n">
        <v>9083.77</v>
      </c>
      <c r="J10" s="19" t="inlineStr">
        <is>
          <t>Sizwe Tshabalala</t>
        </is>
      </c>
      <c r="K10" s="16" t="inlineStr">
        <is>
          <t>In Progress</t>
        </is>
      </c>
      <c r="L10" s="21" t="inlineStr">
        <is>
          <t>CASH SALE - PAID</t>
        </is>
      </c>
      <c r="M10" s="16">
        <f t="array" ref="M10">IFERROR(_xlfn.TEXTJOIN(", ",TRUE,IF(#REF!=D10,#REF!,"")),"")</f>
        <v/>
      </c>
      <c r="N10" s="22">
        <f>Table134567893457[[#This Row],[Delivery Date]]</f>
        <v/>
      </c>
    </row>
    <row r="11" ht="43.2" customHeight="1">
      <c r="A11" s="31" t="n">
        <v>46086</v>
      </c>
      <c r="B11" s="15" t="n">
        <v>46092</v>
      </c>
      <c r="C11" s="16">
        <f>IFERROR(INDEX(#REF!,MATCH(D11,#REF!,0)),"")</f>
        <v/>
      </c>
      <c r="D11" s="16" t="inlineStr">
        <is>
          <t>SO4432</t>
        </is>
      </c>
      <c r="E11" s="35" t="inlineStr">
        <is>
          <t>FMTA4453-Revised</t>
        </is>
      </c>
      <c r="F11" s="36" t="inlineStr">
        <is>
          <t>MBS</t>
        </is>
      </c>
      <c r="G11" s="306" t="n">
        <v>30125.7</v>
      </c>
      <c r="H11" s="306" t="n">
        <v>4518.86</v>
      </c>
      <c r="I11" s="306" t="n">
        <v>34644.56</v>
      </c>
      <c r="J11" s="36" t="inlineStr">
        <is>
          <t>Mashudu Tshifularo</t>
        </is>
      </c>
      <c r="K11" s="33" t="inlineStr">
        <is>
          <t>Ready - Dispatch</t>
        </is>
      </c>
      <c r="L11" s="38" t="inlineStr">
        <is>
          <t>CASH SALE - PAID</t>
        </is>
      </c>
      <c r="M11" s="33">
        <f t="array" ref="M11">IFERROR(_xlfn.TEXTJOIN(", ",TRUE,IF(#REF!=D11,#REF!,"")),"")</f>
        <v/>
      </c>
      <c r="N11" s="22">
        <f>Table134567893457[[#This Row],[Delivery Date]]</f>
        <v/>
      </c>
    </row>
    <row r="12" ht="72" customHeight="1">
      <c r="A12" s="14" t="n">
        <v>46052</v>
      </c>
      <c r="B12" s="15" t="n">
        <v>46094</v>
      </c>
      <c r="C12" s="16" t="inlineStr">
        <is>
          <t>FM3799</t>
        </is>
      </c>
      <c r="D12" s="17" t="inlineStr">
        <is>
          <t>SO4330</t>
        </is>
      </c>
      <c r="E12" s="18" t="inlineStr">
        <is>
          <t>PO0000573</t>
        </is>
      </c>
      <c r="F12" s="19" t="inlineStr">
        <is>
          <t>ST AIR SERVICES AND MAINTENANCE (PTY) LTD</t>
        </is>
      </c>
      <c r="G12" s="305" t="n">
        <v>681952</v>
      </c>
      <c r="H12" s="305" t="n">
        <v>102292.8</v>
      </c>
      <c r="I12" s="305" t="n">
        <v>784244.8</v>
      </c>
      <c r="J12" s="19" t="inlineStr">
        <is>
          <t>Simon Mokgola</t>
        </is>
      </c>
      <c r="K12" s="16" t="inlineStr">
        <is>
          <t>In Progress</t>
        </is>
      </c>
      <c r="L12" s="21" t="inlineStr">
        <is>
          <t>ACCOUNT - UP TO DATE</t>
        </is>
      </c>
      <c r="M12" s="33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N12" s="22">
        <f>Table134567893457[[#This Row],[Delivery Date]]</f>
        <v/>
      </c>
    </row>
    <row r="13" ht="28.8" customHeight="1">
      <c r="A13" s="14" t="n">
        <v>46065</v>
      </c>
      <c r="B13" s="15" t="n">
        <v>46094</v>
      </c>
      <c r="C13" s="16" t="inlineStr">
        <is>
          <t>FM3830</t>
        </is>
      </c>
      <c r="D13" s="17" t="inlineStr">
        <is>
          <t>SO4363</t>
        </is>
      </c>
      <c r="E13" s="18" t="inlineStr">
        <is>
          <t>FMTA4348</t>
        </is>
      </c>
      <c r="F13" s="19" t="inlineStr">
        <is>
          <t>Crystal Sparkle Trading</t>
        </is>
      </c>
      <c r="G13" s="305" t="n">
        <v>246560</v>
      </c>
      <c r="H13" s="305" t="n">
        <v>36984</v>
      </c>
      <c r="I13" s="305" t="n">
        <v>283544</v>
      </c>
      <c r="J13" s="19" t="inlineStr">
        <is>
          <t>Mashudu Tshifularo</t>
        </is>
      </c>
      <c r="K13" s="16" t="inlineStr">
        <is>
          <t>In Progress</t>
        </is>
      </c>
      <c r="L13" s="21" t="inlineStr">
        <is>
          <t>CASH SALE – PARTIAL</t>
        </is>
      </c>
      <c r="M13" s="33" t="inlineStr">
        <is>
          <t>Fumax 1000.32.F.8.1100.4.3, 1000Diam Screen, Inlet Cone, M/Feet</t>
        </is>
      </c>
      <c r="N13" s="22">
        <f>Table134567893457[[#This Row],[Delivery Date]]</f>
        <v/>
      </c>
    </row>
    <row r="14">
      <c r="A14" s="14" t="n">
        <v>46058</v>
      </c>
      <c r="B14" s="15" t="n">
        <v>46094</v>
      </c>
      <c r="C14" s="16" t="inlineStr">
        <is>
          <t>FM3812</t>
        </is>
      </c>
      <c r="D14" s="17" t="inlineStr">
        <is>
          <t>SO4343</t>
        </is>
      </c>
      <c r="E14" s="18" t="inlineStr">
        <is>
          <t>DPO-1616</t>
        </is>
      </c>
      <c r="F14" s="19" t="inlineStr">
        <is>
          <t>Dueltron (Pty) Ltd</t>
        </is>
      </c>
      <c r="G14" s="305" t="n">
        <v>126321</v>
      </c>
      <c r="H14" s="305" t="n">
        <v>18948.15</v>
      </c>
      <c r="I14" s="305" t="n">
        <v>145269.15</v>
      </c>
      <c r="J14" s="19" t="inlineStr">
        <is>
          <t>Mashudu Tshifularo</t>
        </is>
      </c>
      <c r="K14" s="16" t="inlineStr">
        <is>
          <t>In Progress</t>
        </is>
      </c>
      <c r="L14" s="21" t="inlineStr">
        <is>
          <t>ACCOUNT - UP TO DATE</t>
        </is>
      </c>
      <c r="M14" s="33" t="inlineStr">
        <is>
          <t>MAJAX-3 1250 c/w 22,00KW 4P 380V</t>
        </is>
      </c>
      <c r="N14" s="22">
        <f>Table134567893457[[#This Row],[Delivery Date]]</f>
        <v/>
      </c>
    </row>
    <row r="15" ht="43.2" customHeight="1">
      <c r="A15" s="14" t="n">
        <v>46084</v>
      </c>
      <c r="B15" s="15" t="n">
        <v>46094</v>
      </c>
      <c r="C15" s="16" t="inlineStr">
        <is>
          <t>SO4425</t>
        </is>
      </c>
      <c r="D15" s="17" t="inlineStr">
        <is>
          <t>FM3895</t>
        </is>
      </c>
      <c r="E15" s="18" t="inlineStr">
        <is>
          <t>PO:01027016</t>
        </is>
      </c>
      <c r="F15" s="19" t="inlineStr">
        <is>
          <t>Voltex Thohoyandou</t>
        </is>
      </c>
      <c r="G15" s="305" t="n">
        <v>62000</v>
      </c>
      <c r="H15" s="305" t="n">
        <v>9300</v>
      </c>
      <c r="I15" s="305" t="n">
        <v>71300</v>
      </c>
      <c r="J15" s="19" t="inlineStr">
        <is>
          <t>Mashudu Tshifularo</t>
        </is>
      </c>
      <c r="K15" s="16" t="inlineStr">
        <is>
          <t>In Progress</t>
        </is>
      </c>
      <c r="L15" s="21" t="inlineStr">
        <is>
          <t>ACCOUNT - UP TO DATE</t>
        </is>
      </c>
      <c r="M15" s="33" t="inlineStr">
        <is>
          <t>RAD 100, 100 Diam Tube Silencer 600L, 10M ALUMINIUM CORE ONLY 100 DIA, 100MM METAL EXTRACT VALVE, WEATHER LOUVRE 200*200 NS NA</t>
        </is>
      </c>
      <c r="N15" s="22">
        <f>Table134567893457[[#This Row],[Delivery Date]]</f>
        <v/>
      </c>
    </row>
    <row r="16" ht="28.8" customHeight="1">
      <c r="A16" s="40" t="n">
        <v>46070</v>
      </c>
      <c r="B16" s="41" t="n">
        <v>46094</v>
      </c>
      <c r="C16" s="42" t="inlineStr">
        <is>
          <t>FM3848</t>
        </is>
      </c>
      <c r="D16" s="43" t="inlineStr">
        <is>
          <t>SO4379</t>
        </is>
      </c>
      <c r="E16" s="44" t="inlineStr">
        <is>
          <t>ABF001-2026-0017</t>
        </is>
      </c>
      <c r="F16" s="45" t="inlineStr">
        <is>
          <t>Industrial Control &amp; Automation (ICA)</t>
        </is>
      </c>
      <c r="G16" s="307" t="n">
        <v>20760</v>
      </c>
      <c r="H16" s="307" t="n">
        <v>3114</v>
      </c>
      <c r="I16" s="307" t="n">
        <v>23874</v>
      </c>
      <c r="J16" s="45" t="inlineStr">
        <is>
          <t>Simon Mokgola</t>
        </is>
      </c>
      <c r="K16" s="42" t="inlineStr">
        <is>
          <t>In Progress</t>
        </is>
      </c>
      <c r="L16" s="47" t="inlineStr">
        <is>
          <t>CASH SALE - PAID</t>
        </is>
      </c>
      <c r="M16" s="42" t="inlineStr">
        <is>
          <t>HEP-31-2M/H 220-240V</t>
        </is>
      </c>
      <c r="N16" s="48">
        <f>Table134567893457[[#This Row],[Delivery Date]]</f>
        <v/>
      </c>
    </row>
    <row r="17" ht="28.8" customHeight="1">
      <c r="A17" s="14" t="n">
        <v>46072</v>
      </c>
      <c r="B17" s="15" t="n">
        <v>46097</v>
      </c>
      <c r="C17" s="16" t="inlineStr">
        <is>
          <t>FM3857</t>
        </is>
      </c>
      <c r="D17" s="16" t="inlineStr">
        <is>
          <t>SO4388</t>
        </is>
      </c>
      <c r="E17" s="18" t="inlineStr">
        <is>
          <t>POL15058</t>
        </is>
      </c>
      <c r="F17" s="19" t="inlineStr">
        <is>
          <t>Heavy Duty Industrial (Pty) Ltd</t>
        </is>
      </c>
      <c r="G17" s="305" t="n">
        <v>243745.16</v>
      </c>
      <c r="H17" s="305" t="n">
        <v>36561.77</v>
      </c>
      <c r="I17" s="305" t="n">
        <v>280306.93</v>
      </c>
      <c r="J17" s="19" t="inlineStr">
        <is>
          <t>Mashudu Tshifularo</t>
        </is>
      </c>
      <c r="K17" s="16" t="inlineStr">
        <is>
          <t>In Progress</t>
        </is>
      </c>
      <c r="L17" s="21" t="inlineStr">
        <is>
          <t>CASH SALE - PAID</t>
        </is>
      </c>
      <c r="M17" s="33" t="inlineStr">
        <is>
          <t>Plate axial 800mm 150A10 c/w5.5kw 4 pole 380v flame proof motor</t>
        </is>
      </c>
      <c r="N17" s="22">
        <f>Table134567893457[[#This Row],[Delivery Date]]</f>
        <v/>
      </c>
    </row>
    <row r="18" ht="28.8" customHeight="1">
      <c r="A18" s="40" t="n">
        <v>45972</v>
      </c>
      <c r="B18" s="41" t="n">
        <v>46103</v>
      </c>
      <c r="C18" s="42" t="inlineStr">
        <is>
          <t>FM3633</t>
        </is>
      </c>
      <c r="D18" s="43" t="inlineStr">
        <is>
          <t>SO4171</t>
        </is>
      </c>
      <c r="E18" s="44" t="inlineStr">
        <is>
          <t>A3412094782</t>
        </is>
      </c>
      <c r="F18" s="45" t="inlineStr">
        <is>
          <t>NWK LTD</t>
        </is>
      </c>
      <c r="G18" s="307" t="n">
        <v>13040</v>
      </c>
      <c r="H18" s="307" t="n">
        <v>1955.999999999998</v>
      </c>
      <c r="I18" s="307" t="n">
        <v>14996</v>
      </c>
      <c r="J18" s="45" t="inlineStr">
        <is>
          <t>Sizwe Tshabalala</t>
        </is>
      </c>
      <c r="K18" s="42" t="inlineStr">
        <is>
          <t>In Progress</t>
        </is>
      </c>
      <c r="L18" s="47" t="inlineStr">
        <is>
          <t>ACCOUNT - UP TO DATE</t>
        </is>
      </c>
      <c r="M18" s="83" t="inlineStr">
        <is>
          <t>1 x CMA-325-2M -PO3572 - Indent 0142 - Sodeca ETA: 28/02/2026</t>
        </is>
      </c>
      <c r="N18" s="48">
        <f>Table134567893457[[#This Row],[Delivery Date]]</f>
        <v/>
      </c>
    </row>
    <row r="19" ht="28.8" customHeight="1">
      <c r="A19" s="40" t="n">
        <v>45981</v>
      </c>
      <c r="B19" s="41" t="n">
        <v>46103</v>
      </c>
      <c r="C19" s="42" t="inlineStr">
        <is>
          <t>FM3676</t>
        </is>
      </c>
      <c r="D19" s="43" t="inlineStr">
        <is>
          <t>SO4204</t>
        </is>
      </c>
      <c r="E19" s="44" t="inlineStr">
        <is>
          <t>B137477</t>
        </is>
      </c>
      <c r="F19" s="45" t="inlineStr">
        <is>
          <t>Vescotech</t>
        </is>
      </c>
      <c r="G19" s="307" t="n">
        <v>19620</v>
      </c>
      <c r="H19" s="307" t="n">
        <v>2943</v>
      </c>
      <c r="I19" s="307" t="n">
        <v>22563</v>
      </c>
      <c r="J19" s="45" t="inlineStr">
        <is>
          <t>Sizwe Tshabalala</t>
        </is>
      </c>
      <c r="K19" s="42" t="inlineStr">
        <is>
          <t>In Progress</t>
        </is>
      </c>
      <c r="L19" s="47" t="inlineStr">
        <is>
          <t>CASH SALE - PAID</t>
        </is>
      </c>
      <c r="M19" s="83" t="inlineStr">
        <is>
          <t>HCD - 40 -PO3572 - Indent 0142 - Sodeca ETA: 28/02/2026</t>
        </is>
      </c>
      <c r="N19" s="48">
        <f>Table134567893457[[#This Row],[Delivery Date]]</f>
        <v/>
      </c>
    </row>
    <row r="20" ht="28.8" customHeight="1">
      <c r="A20" s="40" t="n">
        <v>45985</v>
      </c>
      <c r="B20" s="41" t="n">
        <v>46103</v>
      </c>
      <c r="C20" s="42" t="inlineStr">
        <is>
          <t>FM3685</t>
        </is>
      </c>
      <c r="D20" s="43" t="inlineStr">
        <is>
          <t>SO4215</t>
        </is>
      </c>
      <c r="E20" s="44" t="n">
        <v>4358</v>
      </c>
      <c r="F20" s="45" t="inlineStr">
        <is>
          <t>Air Speration (Pty) Ltd</t>
        </is>
      </c>
      <c r="G20" s="307" t="n">
        <v>11540</v>
      </c>
      <c r="H20" s="307" t="n">
        <v>1730.999999999998</v>
      </c>
      <c r="I20" s="307" t="n">
        <v>13271</v>
      </c>
      <c r="J20" s="45" t="inlineStr">
        <is>
          <t>Mashudu Tshifularo</t>
        </is>
      </c>
      <c r="K20" s="42" t="inlineStr">
        <is>
          <t>In Progress</t>
        </is>
      </c>
      <c r="L20" s="47" t="inlineStr">
        <is>
          <t>CASH SALE - PAID</t>
        </is>
      </c>
      <c r="M20" s="83" t="inlineStr">
        <is>
          <t>1 x CMP820-2T -PO3572 - Indent 0142 - Sodeca ETA: 28/02/2026</t>
        </is>
      </c>
      <c r="N20" s="48">
        <f>Table134567893457[[#This Row],[Delivery Date]]</f>
        <v/>
      </c>
    </row>
    <row r="21" ht="57.6" customHeight="1">
      <c r="A21" s="14" t="n">
        <v>46077</v>
      </c>
      <c r="B21" s="15" t="n">
        <v>46106</v>
      </c>
      <c r="C21" s="16" t="inlineStr">
        <is>
          <t>FM3875 FM3876</t>
        </is>
      </c>
      <c r="D21" s="16" t="inlineStr">
        <is>
          <t>SO4405</t>
        </is>
      </c>
      <c r="E21" s="18" t="inlineStr">
        <is>
          <t>FM3875 FM3876</t>
        </is>
      </c>
      <c r="F21" s="19" t="inlineStr">
        <is>
          <t>BMT Smart Solutions</t>
        </is>
      </c>
      <c r="G21" s="305" t="n">
        <v>45898.4</v>
      </c>
      <c r="H21" s="305" t="n">
        <v>6884.76</v>
      </c>
      <c r="I21" s="305" t="n">
        <v>52783.16</v>
      </c>
      <c r="J21" s="19" t="inlineStr">
        <is>
          <t>Simon Mokgola</t>
        </is>
      </c>
      <c r="K21" s="16" t="inlineStr">
        <is>
          <t>In Progress</t>
        </is>
      </c>
      <c r="L21" s="21" t="inlineStr">
        <is>
          <t>ACCOUNT - UP TO DATE</t>
        </is>
      </c>
      <c r="M21" s="33" t="inlineStr">
        <is>
          <t>MAXFLO 500/150/10 A c/w 0.37KW 4P 380V, 500 Diam Silencer 1.5D Podded,M/Feet, 315 to 560 AVMs, Fumax 560.20.D.8 C/W 4KW 2P 380V, 560 Diam Silencer 1.5D Podded,C/Flange,M/ Feet, 315 to 560 AVMs</t>
        </is>
      </c>
      <c r="N21" s="22">
        <f>Table134567893457[[#This Row],[Delivery Date]]</f>
        <v/>
      </c>
    </row>
    <row r="22">
      <c r="A22" s="24" t="n">
        <v>45799</v>
      </c>
      <c r="B22" s="25" t="n">
        <v>46111</v>
      </c>
      <c r="C22" s="26" t="inlineStr">
        <is>
          <t>TBA</t>
        </is>
      </c>
      <c r="D22" s="26" t="inlineStr">
        <is>
          <t>SO3760</t>
        </is>
      </c>
      <c r="E22" s="27" t="inlineStr">
        <is>
          <t>ORDER</t>
        </is>
      </c>
      <c r="F22" s="28" t="inlineStr">
        <is>
          <t>Rey &amp; Lenferna Ltd</t>
        </is>
      </c>
      <c r="G22" s="308" t="n">
        <v>545349.34</v>
      </c>
      <c r="H22" s="308" t="n">
        <v>0</v>
      </c>
      <c r="I22" s="308" t="n">
        <v>545349.34</v>
      </c>
      <c r="J22" s="28" t="inlineStr">
        <is>
          <t>Sizwe - R.O.A</t>
        </is>
      </c>
      <c r="K22" s="26" t="inlineStr">
        <is>
          <t>Not Processed</t>
        </is>
      </c>
      <c r="L22" s="26" t="inlineStr">
        <is>
          <t>ACCOUNT - UP TO DATE</t>
        </is>
      </c>
      <c r="M22" s="76" t="inlineStr">
        <is>
          <t>TBC</t>
        </is>
      </c>
      <c r="N22" s="30">
        <f>Table134567893457[[#This Row],[Delivery Date]]</f>
        <v/>
      </c>
    </row>
    <row r="23">
      <c r="A23" s="24" t="n">
        <v>46052</v>
      </c>
      <c r="B23" s="25" t="n">
        <v>46111</v>
      </c>
      <c r="C23" s="26" t="inlineStr">
        <is>
          <t>TBA</t>
        </is>
      </c>
      <c r="D23" s="26" t="inlineStr">
        <is>
          <t>SO4331</t>
        </is>
      </c>
      <c r="E23" s="27" t="inlineStr">
        <is>
          <t>ORDER</t>
        </is>
      </c>
      <c r="F23" s="28" t="inlineStr">
        <is>
          <t>Rey &amp; Lenferna Ltd</t>
        </is>
      </c>
      <c r="G23" s="308" t="n">
        <v>1084072.0248</v>
      </c>
      <c r="H23" s="308" t="n">
        <v>0</v>
      </c>
      <c r="I23" s="308" t="n">
        <v>538722.6848</v>
      </c>
      <c r="J23" s="28" t="inlineStr">
        <is>
          <t>Sizwe - R.O.A</t>
        </is>
      </c>
      <c r="K23" s="26" t="inlineStr">
        <is>
          <t>Not Processed</t>
        </is>
      </c>
      <c r="L23" s="26" t="inlineStr">
        <is>
          <t>ACCOUNT - UP TO DATE</t>
        </is>
      </c>
      <c r="M23" s="76" t="inlineStr">
        <is>
          <t>TBC</t>
        </is>
      </c>
      <c r="N23" s="30">
        <f>Table134567893457[[#This Row],[Delivery Date]]</f>
        <v/>
      </c>
    </row>
    <row r="24" ht="28.8" customHeight="1">
      <c r="A24" s="14" t="n">
        <v>46063</v>
      </c>
      <c r="B24" s="15" t="n">
        <v>46111</v>
      </c>
      <c r="C24" s="16" t="inlineStr">
        <is>
          <t>FM3819</t>
        </is>
      </c>
      <c r="D24" s="17" t="inlineStr">
        <is>
          <t>SO4350</t>
        </is>
      </c>
      <c r="E24" s="18" t="inlineStr">
        <is>
          <t>PO-27149</t>
        </is>
      </c>
      <c r="F24" s="19" t="inlineStr">
        <is>
          <t>Aircycle Engineering CC</t>
        </is>
      </c>
      <c r="G24" s="305" t="n">
        <v>56285</v>
      </c>
      <c r="H24" s="305" t="n">
        <v>8442.75</v>
      </c>
      <c r="I24" s="305" t="n">
        <v>64727.75</v>
      </c>
      <c r="J24" s="19" t="inlineStr">
        <is>
          <t>Simon Mokgola</t>
        </is>
      </c>
      <c r="K24" s="16" t="inlineStr">
        <is>
          <t>In Progress</t>
        </is>
      </c>
      <c r="L24" s="21" t="inlineStr">
        <is>
          <t>ACCOUNT - UP TO DATE</t>
        </is>
      </c>
      <c r="M24" s="33" t="inlineStr">
        <is>
          <t>CA/Line/EC - 31 50/60HZ, HCT/EC - 45-2T-2 400V 50/60HZ IE5, AVMs, 450 C/Flange, M/Feet</t>
        </is>
      </c>
      <c r="N24" s="22">
        <f>Table134567893457[[#This Row],[Delivery Date]]</f>
        <v/>
      </c>
    </row>
    <row r="25">
      <c r="A25" s="14" t="n">
        <v>46077</v>
      </c>
      <c r="B25" s="15" t="n">
        <v>46112</v>
      </c>
      <c r="C25" s="16" t="inlineStr">
        <is>
          <t>FM3874</t>
        </is>
      </c>
      <c r="D25" s="16" t="inlineStr">
        <is>
          <t>SO4404</t>
        </is>
      </c>
      <c r="E25" s="18" t="inlineStr">
        <is>
          <t>Nicotra-Fan</t>
        </is>
      </c>
      <c r="F25" s="19" t="inlineStr">
        <is>
          <t>ITD North Pty Ltd</t>
        </is>
      </c>
      <c r="G25" s="305" t="n">
        <v>81954</v>
      </c>
      <c r="H25" s="305" t="n">
        <v>12293.1</v>
      </c>
      <c r="I25" s="305" t="n">
        <v>94247.10000000001</v>
      </c>
      <c r="J25" s="19" t="inlineStr">
        <is>
          <t>Mashudu Tshifularo</t>
        </is>
      </c>
      <c r="K25" s="16" t="inlineStr">
        <is>
          <t>In Progress</t>
        </is>
      </c>
      <c r="L25" s="21" t="inlineStr">
        <is>
          <t>CASH SALE – PARTIAL</t>
        </is>
      </c>
      <c r="M25" s="33" t="inlineStr">
        <is>
          <t>RDH 710 K2 - Nicotra Fan</t>
        </is>
      </c>
      <c r="N25" s="22">
        <f>Table134567893457[[#This Row],[Delivery Date]]</f>
        <v/>
      </c>
    </row>
    <row r="26" ht="29.4" customHeight="1" thickBot="1">
      <c r="A26" s="40" t="n">
        <v>46069</v>
      </c>
      <c r="B26" s="41" t="n">
        <v>46157</v>
      </c>
      <c r="C26" s="42" t="inlineStr">
        <is>
          <t>FM3841</t>
        </is>
      </c>
      <c r="D26" s="43" t="inlineStr">
        <is>
          <t>SO4372</t>
        </is>
      </c>
      <c r="E26" s="44" t="inlineStr">
        <is>
          <t>PO2213</t>
        </is>
      </c>
      <c r="F26" s="45" t="inlineStr">
        <is>
          <t>Hucra Fans</t>
        </is>
      </c>
      <c r="G26" s="307" t="n">
        <v>330429</v>
      </c>
      <c r="H26" s="307" t="n">
        <v>49564.35</v>
      </c>
      <c r="I26" s="307" t="n">
        <v>379993.35</v>
      </c>
      <c r="J26" s="45" t="inlineStr">
        <is>
          <t>Sales Agent Hucra Fans</t>
        </is>
      </c>
      <c r="K26" s="42" t="inlineStr">
        <is>
          <t>In Progress</t>
        </is>
      </c>
      <c r="L26" s="47" t="inlineStr">
        <is>
          <t>ACCOUNT - UP TO DATE</t>
        </is>
      </c>
      <c r="M26" s="83" t="inlineStr">
        <is>
          <t>SCL K11 MS - 11.0kW - 525V</t>
        </is>
      </c>
      <c r="N26" s="48">
        <f>Table134567893457[[#This Row],[Delivery Date]]</f>
        <v/>
      </c>
    </row>
    <row r="27" ht="16.2" customHeight="1" thickBot="1">
      <c r="A27" s="14" t="n"/>
      <c r="B27" s="15" t="n"/>
      <c r="C27" s="16" t="n"/>
      <c r="D27" s="17" t="n"/>
      <c r="E27" s="18" t="n"/>
      <c r="F27" s="19" t="n"/>
      <c r="G27" s="305" t="n"/>
      <c r="H27" s="309" t="inlineStr">
        <is>
          <t>Total</t>
        </is>
      </c>
      <c r="I27" s="310">
        <f>SUBTOTAL(109,I3:I16)</f>
        <v/>
      </c>
      <c r="J27" s="51" t="n"/>
      <c r="K27" s="16" t="n"/>
      <c r="L27" s="21" t="n"/>
      <c r="M27" s="16" t="n"/>
      <c r="N27" s="22" t="n"/>
    </row>
    <row r="28" ht="15.6" customHeight="1">
      <c r="A28" s="52" t="n"/>
      <c r="B28" s="52" t="n"/>
      <c r="C28" s="53" t="n"/>
      <c r="H28" s="311" t="n"/>
      <c r="I28" s="312" t="n"/>
      <c r="N28" s="52" t="n"/>
    </row>
    <row r="29" ht="15" customHeight="1" thickBot="1">
      <c r="C29" s="313" t="inlineStr">
        <is>
          <t>MARCH</t>
        </is>
      </c>
      <c r="D29" s="314" t="n"/>
      <c r="F29" s="314" t="inlineStr">
        <is>
          <t>APRIL</t>
        </is>
      </c>
      <c r="G29" s="314" t="n"/>
      <c r="I29" s="314" t="inlineStr">
        <is>
          <t>Dispatch</t>
        </is>
      </c>
    </row>
    <row r="30" ht="15" customFormat="1" customHeight="1" s="299" thickBot="1">
      <c r="C30" s="327" t="inlineStr">
        <is>
          <t>Cash Sale</t>
        </is>
      </c>
      <c r="D30" s="328">
        <f t="array" ref="D30">SUMPRODUCT((MONTH(B3:B26)=3)*(YEAR(B3:B26)=2026)*(ISNUMBER(SEARCH("CASH SALE",L3:L26)))*(I3:I26))</f>
        <v/>
      </c>
      <c r="E30" s="55" t="n"/>
      <c r="F30" s="327" t="inlineStr">
        <is>
          <t>Cash Sale</t>
        </is>
      </c>
      <c r="G30" s="316">
        <f t="array" ref="G30">SUMPRODUCT((MONTH(B3:B26)=4)*(YEAR(B3:B26)=2026)*(ISNUMBER(SEARCH("CASH SALE",L3:L26)))*(I3:I26))</f>
        <v/>
      </c>
      <c r="H30" s="302" t="n"/>
      <c r="I30" s="317">
        <f>SUMIF(K3:K26,"*Ready - Dispatch*",I3:I26)</f>
        <v/>
      </c>
      <c r="J30" s="56" t="n"/>
      <c r="K30" s="53" t="n"/>
      <c r="L30" s="60" t="n"/>
      <c r="M30" s="53" t="n"/>
    </row>
    <row r="31" customFormat="1" s="299">
      <c r="C31" s="327" t="inlineStr">
        <is>
          <t>Account</t>
        </is>
      </c>
      <c r="D31" s="328">
        <f t="array" ref="D31">SUMPRODUCT((MONTH(B3:B26)=3)*(YEAR(B3:B26)=2026)*(ISNUMBER(SEARCH("ACCOUNT",L3:L26)))*(I3:I26))</f>
        <v/>
      </c>
      <c r="E31" s="55" t="n"/>
      <c r="F31" s="327" t="inlineStr">
        <is>
          <t>Account</t>
        </is>
      </c>
      <c r="G31" s="318">
        <f t="array" ref="G31">SUMPRODUCT((MONTH(B3:B26)=4)*(YEAR(B3:B26)=2026)*(ISNUMBER(SEARCH("ACCOUNT",L3:L26)))*(I3:I26))</f>
        <v/>
      </c>
      <c r="H31" s="302" t="n"/>
      <c r="I31" s="302" t="n"/>
      <c r="J31" s="56" t="n"/>
      <c r="K31" s="53" t="n"/>
      <c r="L31" s="60" t="n"/>
      <c r="M31" s="53" t="n"/>
    </row>
    <row r="32" customFormat="1" s="299">
      <c r="C32" s="327" t="inlineStr">
        <is>
          <t xml:space="preserve">Total </t>
        </is>
      </c>
      <c r="D32" s="312">
        <f>D31+D30</f>
        <v/>
      </c>
      <c r="E32" s="55" t="n"/>
      <c r="F32" s="327" t="inlineStr">
        <is>
          <t>Total</t>
        </is>
      </c>
      <c r="G32" s="312">
        <f>G31+G30</f>
        <v/>
      </c>
      <c r="H32" s="302" t="n"/>
      <c r="I32" s="302" t="n"/>
      <c r="J32" s="56" t="n"/>
      <c r="K32" s="53" t="n"/>
      <c r="L32" s="60" t="n"/>
      <c r="M32" s="53" t="n"/>
    </row>
    <row r="33" ht="15" customFormat="1" customHeight="1" s="299" thickBot="1">
      <c r="E33" s="55" t="n"/>
      <c r="F33" s="56" t="n"/>
      <c r="G33" s="313" t="n"/>
      <c r="I33" s="302" t="n"/>
      <c r="J33" s="56" t="n"/>
      <c r="K33" s="53" t="n"/>
      <c r="L33" s="60" t="n"/>
      <c r="M33" s="53" t="n"/>
    </row>
    <row r="34" ht="28.8" customFormat="1" customHeight="1" s="299">
      <c r="B34" s="67" t="inlineStr">
        <is>
          <t>Delivery Date</t>
        </is>
      </c>
      <c r="C34" s="67" t="inlineStr">
        <is>
          <t>Job Number</t>
        </is>
      </c>
      <c r="D34" s="67" t="inlineStr">
        <is>
          <t>SO Number</t>
        </is>
      </c>
      <c r="E34" s="67" t="inlineStr">
        <is>
          <t>Customer Ref.</t>
        </is>
      </c>
      <c r="F34" s="67" t="inlineStr">
        <is>
          <t>Customer</t>
        </is>
      </c>
      <c r="G34" s="320" t="inlineStr">
        <is>
          <t>Exclusive</t>
        </is>
      </c>
      <c r="H34" s="321" t="inlineStr">
        <is>
          <t>VAT</t>
        </is>
      </c>
      <c r="I34" s="322" t="inlineStr">
        <is>
          <t>Total</t>
        </is>
      </c>
      <c r="J34" s="71" t="inlineStr">
        <is>
          <t>Sales Rep</t>
        </is>
      </c>
      <c r="K34" s="67" t="inlineStr">
        <is>
          <t>Status</t>
        </is>
      </c>
      <c r="L34" s="67" t="inlineStr">
        <is>
          <t>Payment Type &amp; Status</t>
        </is>
      </c>
      <c r="M34" s="67" t="inlineStr">
        <is>
          <t>Comments</t>
        </is>
      </c>
    </row>
    <row r="35" customFormat="1" s="299">
      <c r="B35" s="32">
        <f>TODAY()</f>
        <v/>
      </c>
      <c r="C35" s="33" t="inlineStr">
        <is>
          <t>FM3808</t>
        </is>
      </c>
      <c r="D35" s="34" t="inlineStr">
        <is>
          <t>SO4339</t>
        </is>
      </c>
      <c r="E35" s="35" t="inlineStr">
        <is>
          <t>PO549NN</t>
        </is>
      </c>
      <c r="F35" s="36" t="inlineStr">
        <is>
          <t>Intervent-Universal (Pty) Ltd</t>
        </is>
      </c>
      <c r="G35" s="306" t="n">
        <v>19840</v>
      </c>
      <c r="H35" s="306" t="n">
        <v>2976</v>
      </c>
      <c r="I35" s="306" t="n">
        <v>22816</v>
      </c>
      <c r="J35" s="36" t="inlineStr">
        <is>
          <t>Simon Mokgola</t>
        </is>
      </c>
      <c r="K35" s="33" t="inlineStr">
        <is>
          <t>Ready - Dispatch</t>
        </is>
      </c>
      <c r="L35" s="38" t="inlineStr">
        <is>
          <t>CASH SALE - UNPAID</t>
        </is>
      </c>
      <c r="M35" s="33" t="inlineStr">
        <is>
          <t>Awaiting Payment</t>
        </is>
      </c>
    </row>
    <row r="36" customFormat="1" s="299">
      <c r="B36" s="52" t="n"/>
      <c r="C36" s="16" t="inlineStr">
        <is>
          <t>FM3854</t>
        </is>
      </c>
      <c r="D36" s="17" t="inlineStr">
        <is>
          <t>SO4384</t>
        </is>
      </c>
      <c r="E36" s="18" t="inlineStr">
        <is>
          <t>FM3854</t>
        </is>
      </c>
      <c r="F36" s="19" t="inlineStr">
        <is>
          <t>KG Construction Pty Ltd</t>
        </is>
      </c>
      <c r="G36" s="305" t="n">
        <v>68975</v>
      </c>
      <c r="H36" s="305" t="n">
        <v>10346.25</v>
      </c>
      <c r="I36" s="305" t="n">
        <v>79321.25</v>
      </c>
      <c r="J36" s="19" t="inlineStr">
        <is>
          <t>Simon Mokgola</t>
        </is>
      </c>
      <c r="K36" s="33" t="inlineStr">
        <is>
          <t>Ready - Dispatch</t>
        </is>
      </c>
      <c r="L36" s="21" t="inlineStr">
        <is>
          <t>CASH SALE - UNPAID</t>
        </is>
      </c>
      <c r="M36" s="33" t="inlineStr">
        <is>
          <t>Awaiting Payment</t>
        </is>
      </c>
    </row>
    <row r="37" ht="28.8" customFormat="1" customHeight="1" s="299">
      <c r="B37" s="52" t="n"/>
      <c r="C37" s="16">
        <f>IFERROR(INDEX(#REF!,MATCH(D37,#REF!,0)),"")</f>
        <v/>
      </c>
      <c r="D37" s="16" t="inlineStr">
        <is>
          <t>SO4431</t>
        </is>
      </c>
      <c r="E37" s="18" t="inlineStr">
        <is>
          <t>FM3899</t>
        </is>
      </c>
      <c r="F37" s="19" t="inlineStr">
        <is>
          <t>EJ Stainless &amp; Mildsteel Solutions</t>
        </is>
      </c>
      <c r="G37" s="305" t="n">
        <v>5208</v>
      </c>
      <c r="H37" s="305" t="n">
        <v>781.2</v>
      </c>
      <c r="I37" s="305" t="n">
        <v>5989.2</v>
      </c>
      <c r="J37" s="19" t="inlineStr">
        <is>
          <t>Sizwe Tshabalala</t>
        </is>
      </c>
      <c r="K37" s="16" t="inlineStr">
        <is>
          <t>Ready - Dispatch</t>
        </is>
      </c>
      <c r="L37" s="21" t="inlineStr">
        <is>
          <t>CASH SALE - PAID</t>
        </is>
      </c>
      <c r="M37" s="33" t="inlineStr">
        <is>
          <t>Awaiting Payment</t>
        </is>
      </c>
    </row>
    <row r="38" ht="15" customFormat="1" customHeight="1" s="299" thickBot="1">
      <c r="E38" s="55" t="n"/>
      <c r="F38" s="56" t="n"/>
      <c r="G38" s="302" t="n"/>
      <c r="H38" s="302" t="n"/>
      <c r="I38" s="325">
        <f>SUM(I35:I37)</f>
        <v/>
      </c>
      <c r="J38" s="56" t="n"/>
      <c r="K38" s="53" t="n"/>
      <c r="L38" s="60" t="n"/>
      <c r="M38" s="53" t="n"/>
    </row>
  </sheetData>
  <mergeCells count="2">
    <mergeCell ref="M1:N1"/>
    <mergeCell ref="G33:H33"/>
  </mergeCells>
  <conditionalFormatting sqref="A3:N28 B35:M37">
    <cfRule type="expression" priority="1" dxfId="0">
      <formula>$N3=TODAY()</formula>
    </cfRule>
  </conditionalFormatting>
  <dataValidations count="1">
    <dataValidation sqref="L3:L29 L31:L33 L35:L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48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80" zoomScaleNormal="80" workbookViewId="0">
      <pane xSplit="2" ySplit="2" topLeftCell="C3" activePane="bottomRight" state="frozen"/>
      <selection activeCell="E26" sqref="E26"/>
      <selection pane="topRight" activeCell="E26" sqref="E26"/>
      <selection pane="bottomLeft" activeCell="E26" sqref="E26"/>
      <selection pane="bottomRight" activeCell="J14" sqref="J14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3.88671875" bestFit="1" customWidth="1" style="299" min="4" max="4"/>
    <col width="13.77734375" customWidth="1" style="55" min="5" max="5"/>
    <col width="23.109375" customWidth="1" style="56" min="6" max="6"/>
    <col width="18.44140625" bestFit="1" customWidth="1" style="302" min="7" max="7"/>
    <col width="18.44140625" bestFit="1" customWidth="1" style="56" min="8" max="8"/>
    <col width="17.109375" bestFit="1" customWidth="1" style="53" min="9" max="9"/>
    <col width="21.88671875" bestFit="1" customWidth="1" style="60" min="10" max="10"/>
    <col width="45.77734375" customWidth="1" style="53" min="11" max="11"/>
    <col width="23.44140625" bestFit="1" customWidth="1" style="299" min="12" max="12"/>
    <col width="8.88671875" customWidth="1" style="23" min="13" max="30"/>
    <col width="8.88671875" customWidth="1" style="23" min="31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4" t="n"/>
      <c r="I1" s="6" t="n"/>
      <c r="J1" s="2" t="n"/>
      <c r="K1" s="296">
        <f>TODAY()</f>
        <v/>
      </c>
      <c r="L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9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Incl.</t>
        </is>
      </c>
      <c r="H2" s="9" t="inlineStr">
        <is>
          <t>Sales Rep.</t>
        </is>
      </c>
      <c r="I2" s="9" t="inlineStr">
        <is>
          <t>Status</t>
        </is>
      </c>
      <c r="J2" s="9" t="inlineStr">
        <is>
          <t>Payment Type &amp; Status</t>
        </is>
      </c>
      <c r="K2" s="9" t="inlineStr">
        <is>
          <t>Details</t>
        </is>
      </c>
      <c r="L2" s="12" t="inlineStr">
        <is>
          <t>Planned Collection / Delivery</t>
        </is>
      </c>
    </row>
    <row r="3">
      <c r="A3" s="31" t="n">
        <v>46056</v>
      </c>
      <c r="B3" s="15">
        <f>TODAY()</f>
        <v/>
      </c>
      <c r="C3" s="33" t="inlineStr">
        <is>
          <t>FM3808</t>
        </is>
      </c>
      <c r="D3" s="34" t="inlineStr">
        <is>
          <t>SO4339</t>
        </is>
      </c>
      <c r="E3" s="35" t="inlineStr">
        <is>
          <t>PO549NN</t>
        </is>
      </c>
      <c r="F3" s="36" t="inlineStr">
        <is>
          <t>Intervent-Universal (Pty) Ltd</t>
        </is>
      </c>
      <c r="G3" s="306" t="n">
        <v>22816</v>
      </c>
      <c r="H3" s="36" t="inlineStr">
        <is>
          <t>Simon Mokgola</t>
        </is>
      </c>
      <c r="I3" s="33" t="inlineStr">
        <is>
          <t>Ready - Dispatch</t>
        </is>
      </c>
      <c r="J3" s="38" t="inlineStr">
        <is>
          <t>CASH SALE - UNPAID</t>
        </is>
      </c>
      <c r="K3" s="33" t="inlineStr">
        <is>
          <t>RAD 250</t>
        </is>
      </c>
      <c r="L3" s="39">
        <f>Table1345678934578[[#This Row],[Delivery Date]]</f>
        <v/>
      </c>
    </row>
    <row r="4">
      <c r="A4" s="14" t="n">
        <v>46072</v>
      </c>
      <c r="B4" s="15">
        <f>TODAY()</f>
        <v/>
      </c>
      <c r="C4" s="16" t="inlineStr">
        <is>
          <t>FM3854</t>
        </is>
      </c>
      <c r="D4" s="17" t="inlineStr">
        <is>
          <t>SO4384</t>
        </is>
      </c>
      <c r="E4" s="18" t="inlineStr">
        <is>
          <t>FM3854</t>
        </is>
      </c>
      <c r="F4" s="19" t="inlineStr">
        <is>
          <t>KG Construction Pty Ltd</t>
        </is>
      </c>
      <c r="G4" s="305" t="n">
        <v>79321.25</v>
      </c>
      <c r="H4" s="19" t="inlineStr">
        <is>
          <t>Simon Mokgola</t>
        </is>
      </c>
      <c r="I4" s="33" t="inlineStr">
        <is>
          <t>Ready - Dispatch</t>
        </is>
      </c>
      <c r="J4" s="21" t="inlineStr">
        <is>
          <t>CASH SALE - UNPAID</t>
        </is>
      </c>
      <c r="K4" s="16" t="inlineStr">
        <is>
          <t>AIRMAX-2.750 P.EC</t>
        </is>
      </c>
      <c r="L4" s="22">
        <f>Table1345678934578[[#This Row],[Delivery Date]]</f>
        <v/>
      </c>
    </row>
    <row r="5">
      <c r="A5" s="14" t="n">
        <v>46078</v>
      </c>
      <c r="B5" s="15">
        <f>TODAY()</f>
        <v/>
      </c>
      <c r="C5" s="16" t="inlineStr">
        <is>
          <t>FM3878</t>
        </is>
      </c>
      <c r="D5" s="17" t="inlineStr">
        <is>
          <t>SO4408</t>
        </is>
      </c>
      <c r="E5" s="18" t="inlineStr">
        <is>
          <t>Cash Sale</t>
        </is>
      </c>
      <c r="F5" s="19" t="inlineStr">
        <is>
          <t>XL Air-Conditioning</t>
        </is>
      </c>
      <c r="G5" s="305" t="n">
        <v>19908.8</v>
      </c>
      <c r="H5" s="19" t="inlineStr">
        <is>
          <t>Sizwe Tshabalala</t>
        </is>
      </c>
      <c r="I5" s="33" t="inlineStr">
        <is>
          <t>Ready - Dispatch</t>
        </is>
      </c>
      <c r="J5" s="21" t="inlineStr">
        <is>
          <t>CASH SALE – PARTIAL</t>
        </is>
      </c>
      <c r="K5" s="16" t="inlineStr">
        <is>
          <t>Maxflo 1000 Impeller</t>
        </is>
      </c>
      <c r="L5" s="22">
        <f>Table1345678934578[[#This Row],[Delivery Date]]</f>
        <v/>
      </c>
    </row>
    <row r="6" ht="28.8" customHeight="1">
      <c r="A6" s="14" t="n">
        <v>46076</v>
      </c>
      <c r="B6" s="15">
        <f>TODAY()</f>
        <v/>
      </c>
      <c r="C6" s="16" t="inlineStr">
        <is>
          <t>FM3866</t>
        </is>
      </c>
      <c r="D6" s="16" t="inlineStr">
        <is>
          <t>SO4397</t>
        </is>
      </c>
      <c r="E6" s="18" t="inlineStr">
        <is>
          <t>J99335 Replacement</t>
        </is>
      </c>
      <c r="F6" s="19" t="inlineStr">
        <is>
          <t>Moyahabo Mosala Trading and Projects</t>
        </is>
      </c>
      <c r="G6" s="305" t="n">
        <v>88260.89</v>
      </c>
      <c r="H6" s="19" t="inlineStr">
        <is>
          <t>Sizwe Tshabalala</t>
        </is>
      </c>
      <c r="I6" s="16" t="inlineStr">
        <is>
          <t>In Progress</t>
        </is>
      </c>
      <c r="J6" s="21" t="inlineStr">
        <is>
          <t>CASH SALE – PARTIAL</t>
        </is>
      </c>
      <c r="K6" s="16" t="inlineStr">
        <is>
          <t>MAJAX-1 1000 c/w 22.00KW 4P 380V Spark Proof</t>
        </is>
      </c>
      <c r="L6" s="22">
        <f>Table1345678934578[[#This Row],[Delivery Date]]</f>
        <v/>
      </c>
    </row>
    <row r="7" ht="28.8" customHeight="1">
      <c r="A7" s="14" t="n">
        <v>46065</v>
      </c>
      <c r="B7" s="15" t="n">
        <v>46093</v>
      </c>
      <c r="C7" s="16" t="inlineStr">
        <is>
          <t>FM3830</t>
        </is>
      </c>
      <c r="D7" s="17" t="inlineStr">
        <is>
          <t>SO4363</t>
        </is>
      </c>
      <c r="E7" s="18" t="inlineStr">
        <is>
          <t>FMTA4348</t>
        </is>
      </c>
      <c r="F7" s="19" t="inlineStr">
        <is>
          <t>Crystal Sparkle Trading</t>
        </is>
      </c>
      <c r="G7" s="305" t="n">
        <v>283544</v>
      </c>
      <c r="H7" s="19" t="inlineStr">
        <is>
          <t>Mashudu Tshifularo</t>
        </is>
      </c>
      <c r="I7" s="16" t="inlineStr">
        <is>
          <t>In Progress</t>
        </is>
      </c>
      <c r="J7" s="21" t="inlineStr">
        <is>
          <t>CASH SALE – PARTIAL</t>
        </is>
      </c>
      <c r="K7" s="33" t="inlineStr">
        <is>
          <t>Fumax 1000.32.F.8.1100.4.3, 1000Diam Screen, Inlet Cone, M/Feet</t>
        </is>
      </c>
      <c r="L7" s="22">
        <f>Table1345678934578[[#This Row],[Delivery Date]]</f>
        <v/>
      </c>
    </row>
    <row r="8" ht="43.2" customHeight="1">
      <c r="A8" s="14" t="n">
        <v>46084</v>
      </c>
      <c r="B8" s="15" t="n">
        <v>46093</v>
      </c>
      <c r="C8" s="16" t="inlineStr">
        <is>
          <t>SO4425</t>
        </is>
      </c>
      <c r="D8" s="17" t="inlineStr">
        <is>
          <t>FM3895</t>
        </is>
      </c>
      <c r="E8" s="18" t="inlineStr">
        <is>
          <t>PO:01027016</t>
        </is>
      </c>
      <c r="F8" s="19" t="inlineStr">
        <is>
          <t>Voltex Thohoyandou</t>
        </is>
      </c>
      <c r="G8" s="305" t="n">
        <v>71300</v>
      </c>
      <c r="H8" s="19" t="inlineStr">
        <is>
          <t>Mashudu Tshifularo</t>
        </is>
      </c>
      <c r="I8" s="16" t="inlineStr">
        <is>
          <t>In Progress</t>
        </is>
      </c>
      <c r="J8" s="21" t="inlineStr">
        <is>
          <t>ACCOUNT - UP TO DATE</t>
        </is>
      </c>
      <c r="K8" s="33" t="inlineStr">
        <is>
          <t>RAD 100, 100 Diam Tube Silencer 600L, 10M ALUMINIUM CORE ONLY 100 DIA, 100MM METAL EXTRACT VALVE, WEATHER LOUVRE 200*200 NS NA</t>
        </is>
      </c>
      <c r="L8" s="22">
        <f>Table1345678934578[[#This Row],[Delivery Date]]</f>
        <v/>
      </c>
    </row>
    <row r="9">
      <c r="A9" s="14" t="n">
        <v>46058</v>
      </c>
      <c r="B9" s="15" t="n">
        <v>46094</v>
      </c>
      <c r="C9" s="16" t="inlineStr">
        <is>
          <t>FM3812</t>
        </is>
      </c>
      <c r="D9" s="17" t="inlineStr">
        <is>
          <t>SO4343</t>
        </is>
      </c>
      <c r="E9" s="18" t="inlineStr">
        <is>
          <t>DPO-1616</t>
        </is>
      </c>
      <c r="F9" s="19" t="inlineStr">
        <is>
          <t>Dueltron (Pty) Ltd</t>
        </is>
      </c>
      <c r="G9" s="305" t="n">
        <v>145269.15</v>
      </c>
      <c r="H9" s="19" t="inlineStr">
        <is>
          <t>Mashudu Tshifularo</t>
        </is>
      </c>
      <c r="I9" s="16" t="inlineStr">
        <is>
          <t>In Progress</t>
        </is>
      </c>
      <c r="J9" s="21" t="inlineStr">
        <is>
          <t>ACCOUNT - UP TO DATE</t>
        </is>
      </c>
      <c r="K9" s="33" t="inlineStr">
        <is>
          <t>MAJAX-3 1250 c/w 22,00KW 4P 380V</t>
        </is>
      </c>
      <c r="L9" s="22">
        <f>Table1345678934578[[#This Row],[Delivery Date]]</f>
        <v/>
      </c>
    </row>
    <row r="10" ht="28.8" customHeight="1">
      <c r="A10" s="40" t="n">
        <v>46070</v>
      </c>
      <c r="B10" s="41" t="n">
        <v>46094</v>
      </c>
      <c r="C10" s="42" t="inlineStr">
        <is>
          <t>FM3848</t>
        </is>
      </c>
      <c r="D10" s="43" t="inlineStr">
        <is>
          <t>SO4379</t>
        </is>
      </c>
      <c r="E10" s="44" t="inlineStr">
        <is>
          <t>ABF001-2026-0017</t>
        </is>
      </c>
      <c r="F10" s="45" t="inlineStr">
        <is>
          <t>Industrial Control &amp; Automation (ICA)</t>
        </is>
      </c>
      <c r="G10" s="307" t="n">
        <v>23874</v>
      </c>
      <c r="H10" s="45" t="inlineStr">
        <is>
          <t>Simon Mokgola</t>
        </is>
      </c>
      <c r="I10" s="42" t="inlineStr">
        <is>
          <t>In Progress</t>
        </is>
      </c>
      <c r="J10" s="47" t="inlineStr">
        <is>
          <t>CASH SALE - PAID</t>
        </is>
      </c>
      <c r="K10" s="83" t="inlineStr">
        <is>
          <t>HEP-31-2M/H 220-240V</t>
        </is>
      </c>
      <c r="L10" s="48">
        <f>Table1345678934578[[#This Row],[Delivery Date]]</f>
        <v/>
      </c>
    </row>
    <row r="11" ht="28.8" customHeight="1">
      <c r="A11" s="14" t="n">
        <v>46092</v>
      </c>
      <c r="B11" s="15" t="n">
        <v>46094</v>
      </c>
      <c r="C11" s="16" t="inlineStr">
        <is>
          <t>FM3912</t>
        </is>
      </c>
      <c r="D11" s="16" t="inlineStr">
        <is>
          <t>SO4445</t>
        </is>
      </c>
      <c r="E11" s="18" t="inlineStr">
        <is>
          <t>PO2230</t>
        </is>
      </c>
      <c r="F11" s="19" t="inlineStr">
        <is>
          <t>Hucra Fans</t>
        </is>
      </c>
      <c r="G11" s="305" t="n">
        <v>6589.5</v>
      </c>
      <c r="H11" s="19" t="inlineStr">
        <is>
          <t>Sales Agent Hucra Fans</t>
        </is>
      </c>
      <c r="I11" s="16" t="inlineStr">
        <is>
          <t>In Progress</t>
        </is>
      </c>
      <c r="J11" s="21" t="inlineStr">
        <is>
          <t>ACCOUNT - UP TO DATE</t>
        </is>
      </c>
      <c r="K11" s="16" t="inlineStr">
        <is>
          <t>KAZ 140</t>
        </is>
      </c>
      <c r="L11" s="22">
        <f>Table1345678934578[[#This Row],[Delivery Date]]</f>
        <v/>
      </c>
    </row>
    <row r="12" ht="72" customHeight="1">
      <c r="A12" s="14" t="n">
        <v>46052</v>
      </c>
      <c r="B12" s="15" t="n">
        <v>46097</v>
      </c>
      <c r="C12" s="16" t="inlineStr">
        <is>
          <t>FM3799</t>
        </is>
      </c>
      <c r="D12" s="17" t="inlineStr">
        <is>
          <t>SO4330</t>
        </is>
      </c>
      <c r="E12" s="18" t="inlineStr">
        <is>
          <t>PO0000573</t>
        </is>
      </c>
      <c r="F12" s="19" t="inlineStr">
        <is>
          <t>ST AIR SERVICES AND MAINTENANCE (PTY) LTD</t>
        </is>
      </c>
      <c r="G12" s="305" t="n">
        <v>784244.8</v>
      </c>
      <c r="H12" s="19" t="inlineStr">
        <is>
          <t>Simon Mokgola</t>
        </is>
      </c>
      <c r="I12" s="16" t="inlineStr">
        <is>
          <t>In Progress</t>
        </is>
      </c>
      <c r="J12" s="21" t="inlineStr">
        <is>
          <t>ACCOUNT - UP TO DATE</t>
        </is>
      </c>
      <c r="K12" s="33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L12" s="22">
        <f>Table1345678934578[[#This Row],[Delivery Date]]</f>
        <v/>
      </c>
    </row>
    <row r="13" ht="28.8" customHeight="1">
      <c r="A13" s="14" t="n">
        <v>46072</v>
      </c>
      <c r="B13" s="15" t="n">
        <v>46097</v>
      </c>
      <c r="C13" s="16" t="inlineStr">
        <is>
          <t>FM3857</t>
        </is>
      </c>
      <c r="D13" s="16" t="inlineStr">
        <is>
          <t>SO4388</t>
        </is>
      </c>
      <c r="E13" s="18" t="inlineStr">
        <is>
          <t>POL15058</t>
        </is>
      </c>
      <c r="F13" s="19" t="inlineStr">
        <is>
          <t>Heavy Duty Industrial (Pty) Ltd</t>
        </is>
      </c>
      <c r="G13" s="305" t="n">
        <v>280306.93</v>
      </c>
      <c r="H13" s="19" t="inlineStr">
        <is>
          <t>Mashudu Tshifularo</t>
        </is>
      </c>
      <c r="I13" s="16" t="inlineStr">
        <is>
          <t>In Progress</t>
        </is>
      </c>
      <c r="J13" s="21" t="inlineStr">
        <is>
          <t>CASH SALE - PAID</t>
        </is>
      </c>
      <c r="K13" s="33" t="inlineStr">
        <is>
          <t>Plate axial 800mm 150A10 c/w5.5kw 4 pole 380v flame proof motor</t>
        </is>
      </c>
      <c r="L13" s="22">
        <f>Table1345678934578[[#This Row],[Delivery Date]]</f>
        <v/>
      </c>
    </row>
    <row r="14" ht="28.8" customHeight="1">
      <c r="A14" s="14" t="n">
        <v>46093</v>
      </c>
      <c r="B14" s="15" t="n">
        <v>46097</v>
      </c>
      <c r="C14" s="16" t="inlineStr">
        <is>
          <t>FM3913</t>
        </is>
      </c>
      <c r="D14" s="16" t="inlineStr">
        <is>
          <t>SO4447</t>
        </is>
      </c>
      <c r="E14" s="18" t="inlineStr">
        <is>
          <t>FM3913</t>
        </is>
      </c>
      <c r="F14" s="19" t="inlineStr">
        <is>
          <t>Gibela Trade and Invest 1247 CC t/a GTI AIR</t>
        </is>
      </c>
      <c r="G14" s="305" t="n">
        <v>16022.95</v>
      </c>
      <c r="H14" s="19" t="inlineStr">
        <is>
          <t>Simon Mokgola</t>
        </is>
      </c>
      <c r="I14" s="16" t="inlineStr">
        <is>
          <t>Pending</t>
        </is>
      </c>
      <c r="J14" s="21" t="inlineStr">
        <is>
          <t>CASH SALE - PAID</t>
        </is>
      </c>
      <c r="K14" s="33" t="inlineStr">
        <is>
          <t>MAJAX-3 630 c/w 7,50KW 2P 380V</t>
        </is>
      </c>
      <c r="L14" s="22">
        <f>Table1345678934578[[#This Row],[Delivery Date]]</f>
        <v/>
      </c>
    </row>
    <row r="15" ht="28.8" customHeight="1">
      <c r="A15" s="40" t="n">
        <v>45972</v>
      </c>
      <c r="B15" s="41" t="n">
        <v>46103</v>
      </c>
      <c r="C15" s="42" t="inlineStr">
        <is>
          <t>FM3633</t>
        </is>
      </c>
      <c r="D15" s="43" t="inlineStr">
        <is>
          <t>SO4171</t>
        </is>
      </c>
      <c r="E15" s="44" t="inlineStr">
        <is>
          <t>A3412094782</t>
        </is>
      </c>
      <c r="F15" s="45" t="inlineStr">
        <is>
          <t>NWK LTD</t>
        </is>
      </c>
      <c r="G15" s="307" t="n">
        <v>14996</v>
      </c>
      <c r="H15" s="45" t="inlineStr">
        <is>
          <t>Sizwe Tshabalala</t>
        </is>
      </c>
      <c r="I15" s="42" t="inlineStr">
        <is>
          <t>In Progress</t>
        </is>
      </c>
      <c r="J15" s="47" t="inlineStr">
        <is>
          <t>ACCOUNT - UP TO DATE</t>
        </is>
      </c>
      <c r="K15" s="83" t="inlineStr">
        <is>
          <t>1 x CMA-325-2M -PO3572 - Indent 0142 - Sodeca ETA: 28/02/2026</t>
        </is>
      </c>
      <c r="L15" s="48">
        <f>Table1345678934578[[#This Row],[Delivery Date]]</f>
        <v/>
      </c>
    </row>
    <row r="16" ht="28.8" customHeight="1">
      <c r="A16" s="40" t="n">
        <v>45981</v>
      </c>
      <c r="B16" s="41" t="n">
        <v>46103</v>
      </c>
      <c r="C16" s="42" t="inlineStr">
        <is>
          <t>FM3676</t>
        </is>
      </c>
      <c r="D16" s="43" t="inlineStr">
        <is>
          <t>SO4204</t>
        </is>
      </c>
      <c r="E16" s="44" t="inlineStr">
        <is>
          <t>B137477</t>
        </is>
      </c>
      <c r="F16" s="45" t="inlineStr">
        <is>
          <t>Vescotech</t>
        </is>
      </c>
      <c r="G16" s="307" t="n">
        <v>22563</v>
      </c>
      <c r="H16" s="45" t="inlineStr">
        <is>
          <t>Sizwe Tshabalala</t>
        </is>
      </c>
      <c r="I16" s="42" t="inlineStr">
        <is>
          <t>In Progress</t>
        </is>
      </c>
      <c r="J16" s="47" t="inlineStr">
        <is>
          <t>CASH SALE - PAID</t>
        </is>
      </c>
      <c r="K16" s="83" t="inlineStr">
        <is>
          <t>HCD - 40 -PO3572 - Indent 0142 - Sodeca ETA: 28/02/2026</t>
        </is>
      </c>
      <c r="L16" s="48">
        <f>Table1345678934578[[#This Row],[Delivery Date]]</f>
        <v/>
      </c>
    </row>
    <row r="17" ht="28.8" customHeight="1">
      <c r="A17" s="40" t="n">
        <v>45985</v>
      </c>
      <c r="B17" s="41" t="n">
        <v>46103</v>
      </c>
      <c r="C17" s="42" t="inlineStr">
        <is>
          <t>FM3685</t>
        </is>
      </c>
      <c r="D17" s="43" t="inlineStr">
        <is>
          <t>SO4215</t>
        </is>
      </c>
      <c r="E17" s="44" t="n">
        <v>4358</v>
      </c>
      <c r="F17" s="45" t="inlineStr">
        <is>
          <t>Air Speration (Pty) Ltd</t>
        </is>
      </c>
      <c r="G17" s="307" t="n">
        <v>13271</v>
      </c>
      <c r="H17" s="45" t="inlineStr">
        <is>
          <t>Mashudu Tshifularo</t>
        </is>
      </c>
      <c r="I17" s="42" t="inlineStr">
        <is>
          <t>In Progress</t>
        </is>
      </c>
      <c r="J17" s="47" t="inlineStr">
        <is>
          <t>CASH SALE - PAID</t>
        </is>
      </c>
      <c r="K17" s="83" t="inlineStr">
        <is>
          <t>1 x CMP820-2T -PO3572 - Indent 0142 - Sodeca ETA: 28/02/2026</t>
        </is>
      </c>
      <c r="L17" s="48">
        <f>Table1345678934578[[#This Row],[Delivery Date]]</f>
        <v/>
      </c>
    </row>
    <row r="18" ht="57.6" customHeight="1">
      <c r="A18" s="14" t="n">
        <v>46077</v>
      </c>
      <c r="B18" s="15" t="n">
        <v>46106</v>
      </c>
      <c r="C18" s="16" t="inlineStr">
        <is>
          <t>FM3875 FM3876</t>
        </is>
      </c>
      <c r="D18" s="16" t="inlineStr">
        <is>
          <t>SO4405</t>
        </is>
      </c>
      <c r="E18" s="18" t="inlineStr">
        <is>
          <t>FM3875 FM3876</t>
        </is>
      </c>
      <c r="F18" s="19" t="inlineStr">
        <is>
          <t>BMT Smart Solutions</t>
        </is>
      </c>
      <c r="G18" s="305" t="n">
        <v>52783.16</v>
      </c>
      <c r="H18" s="19" t="inlineStr">
        <is>
          <t>Simon Mokgola</t>
        </is>
      </c>
      <c r="I18" s="16" t="inlineStr">
        <is>
          <t>In Progress</t>
        </is>
      </c>
      <c r="J18" s="21" t="inlineStr">
        <is>
          <t>ACCOUNT - UP TO DATE</t>
        </is>
      </c>
      <c r="K18" s="33" t="inlineStr">
        <is>
          <t>MAXFLO 500/150/10 A c/w 0.37KW 4P 380V, 500 Diam Silencer 1.5D Podded,M/Feet, 315 to 560 AVMs, Fumax 560.20.D.8 C/W 4KW 2P 380V, 560 Diam Silencer 1.5D Podded,C/Flange,M/ Feet, 315 to 560 AVMs</t>
        </is>
      </c>
      <c r="L18" s="22">
        <f>Table1345678934578[[#This Row],[Delivery Date]]</f>
        <v/>
      </c>
    </row>
    <row r="19">
      <c r="A19" s="24" t="n">
        <v>45799</v>
      </c>
      <c r="B19" s="25" t="n">
        <v>46111</v>
      </c>
      <c r="C19" s="26" t="inlineStr">
        <is>
          <t>TBA</t>
        </is>
      </c>
      <c r="D19" s="26" t="inlineStr">
        <is>
          <t>SO3760</t>
        </is>
      </c>
      <c r="E19" s="27" t="inlineStr">
        <is>
          <t>ORDER</t>
        </is>
      </c>
      <c r="F19" s="28" t="inlineStr">
        <is>
          <t>Rey &amp; Lenferna Ltd</t>
        </is>
      </c>
      <c r="G19" s="308" t="n">
        <v>545349.34</v>
      </c>
      <c r="H19" s="28" t="inlineStr">
        <is>
          <t>Sizwe - R.O.A</t>
        </is>
      </c>
      <c r="I19" s="26" t="inlineStr">
        <is>
          <t>Not Processed</t>
        </is>
      </c>
      <c r="J19" s="26" t="inlineStr">
        <is>
          <t>ACCOUNT - UP TO DATE</t>
        </is>
      </c>
      <c r="K19" s="76" t="inlineStr">
        <is>
          <t>TBC</t>
        </is>
      </c>
      <c r="L19" s="30">
        <f>Table1345678934578[[#This Row],[Delivery Date]]</f>
        <v/>
      </c>
    </row>
    <row r="20">
      <c r="A20" s="24" t="n">
        <v>46052</v>
      </c>
      <c r="B20" s="25" t="n">
        <v>46111</v>
      </c>
      <c r="C20" s="26" t="inlineStr">
        <is>
          <t>TBA</t>
        </is>
      </c>
      <c r="D20" s="26" t="inlineStr">
        <is>
          <t>SO4331</t>
        </is>
      </c>
      <c r="E20" s="27" t="inlineStr">
        <is>
          <t>ORDER</t>
        </is>
      </c>
      <c r="F20" s="28" t="inlineStr">
        <is>
          <t>Rey &amp; Lenferna Ltd</t>
        </is>
      </c>
      <c r="G20" s="308" t="n">
        <v>538722.6848</v>
      </c>
      <c r="H20" s="28" t="inlineStr">
        <is>
          <t>Sizwe - R.O.A</t>
        </is>
      </c>
      <c r="I20" s="26" t="inlineStr">
        <is>
          <t>Not Processed</t>
        </is>
      </c>
      <c r="J20" s="26" t="inlineStr">
        <is>
          <t>ACCOUNT - UP TO DATE</t>
        </is>
      </c>
      <c r="K20" s="76" t="inlineStr">
        <is>
          <t>TBC</t>
        </is>
      </c>
      <c r="L20" s="30">
        <f>Table1345678934578[[#This Row],[Delivery Date]]</f>
        <v/>
      </c>
    </row>
    <row r="21" ht="28.8" customHeight="1">
      <c r="A21" s="14" t="n">
        <v>46063</v>
      </c>
      <c r="B21" s="15" t="n">
        <v>46111</v>
      </c>
      <c r="C21" s="16" t="inlineStr">
        <is>
          <t>FM3819</t>
        </is>
      </c>
      <c r="D21" s="17" t="inlineStr">
        <is>
          <t>SO4350</t>
        </is>
      </c>
      <c r="E21" s="18" t="inlineStr">
        <is>
          <t>PO-27149</t>
        </is>
      </c>
      <c r="F21" s="19" t="inlineStr">
        <is>
          <t>Aircycle Engineering CC</t>
        </is>
      </c>
      <c r="G21" s="305" t="n">
        <v>64727.75</v>
      </c>
      <c r="H21" s="19" t="inlineStr">
        <is>
          <t>Simon Mokgola</t>
        </is>
      </c>
      <c r="I21" s="16" t="inlineStr">
        <is>
          <t>In Progress</t>
        </is>
      </c>
      <c r="J21" s="21" t="inlineStr">
        <is>
          <t>ACCOUNT - UP TO DATE</t>
        </is>
      </c>
      <c r="K21" s="33" t="inlineStr">
        <is>
          <t>CA/Line/EC - 31 50/60HZ, HCT/EC - 45-2T-2 400V 50/60HZ IE5, AVMs, 450 C/Flange, M/Feet</t>
        </is>
      </c>
      <c r="L21" s="22">
        <f>Table1345678934578[[#This Row],[Delivery Date]]</f>
        <v/>
      </c>
    </row>
    <row r="22">
      <c r="A22" s="14" t="n">
        <v>46077</v>
      </c>
      <c r="B22" s="15" t="n">
        <v>46112</v>
      </c>
      <c r="C22" s="16" t="inlineStr">
        <is>
          <t>FM3874</t>
        </is>
      </c>
      <c r="D22" s="16" t="inlineStr">
        <is>
          <t>SO4404</t>
        </is>
      </c>
      <c r="E22" s="18" t="inlineStr">
        <is>
          <t>Nicotra-Fan</t>
        </is>
      </c>
      <c r="F22" s="19" t="inlineStr">
        <is>
          <t>ITD North Pty Ltd</t>
        </is>
      </c>
      <c r="G22" s="305" t="n">
        <v>94247.10000000001</v>
      </c>
      <c r="H22" s="19" t="inlineStr">
        <is>
          <t>Mashudu Tshifularo</t>
        </is>
      </c>
      <c r="I22" s="16" t="inlineStr">
        <is>
          <t>In Progress</t>
        </is>
      </c>
      <c r="J22" s="21" t="inlineStr">
        <is>
          <t>CASH SALE – PARTIAL</t>
        </is>
      </c>
      <c r="K22" s="33" t="inlineStr">
        <is>
          <t>RDH 710 K2 - Nicotra Fan</t>
        </is>
      </c>
      <c r="L22" s="22">
        <f>Table1345678934578[[#This Row],[Delivery Date]]</f>
        <v/>
      </c>
    </row>
    <row r="23" ht="29.4" customHeight="1" thickBot="1">
      <c r="A23" s="40" t="n">
        <v>46069</v>
      </c>
      <c r="B23" s="41" t="n">
        <v>46157</v>
      </c>
      <c r="C23" s="42" t="inlineStr">
        <is>
          <t>FM3841</t>
        </is>
      </c>
      <c r="D23" s="43" t="inlineStr">
        <is>
          <t>SO4372</t>
        </is>
      </c>
      <c r="E23" s="44" t="inlineStr">
        <is>
          <t>PO2213</t>
        </is>
      </c>
      <c r="F23" s="45" t="inlineStr">
        <is>
          <t>Hucra Fans</t>
        </is>
      </c>
      <c r="G23" s="307" t="n">
        <v>379993.35</v>
      </c>
      <c r="H23" s="45" t="inlineStr">
        <is>
          <t>Sales Agent Hucra Fans</t>
        </is>
      </c>
      <c r="I23" s="42" t="inlineStr">
        <is>
          <t>In Progress</t>
        </is>
      </c>
      <c r="J23" s="47" t="inlineStr">
        <is>
          <t>ACCOUNT - UP TO DATE</t>
        </is>
      </c>
      <c r="K23" s="83" t="inlineStr">
        <is>
          <t>SCL K11 MS - 11.0kW - 525V</t>
        </is>
      </c>
      <c r="L23" s="48">
        <f>Table1345678934578[[#This Row],[Delivery Date]]</f>
        <v/>
      </c>
    </row>
    <row r="24" ht="15" customHeight="1" thickBot="1">
      <c r="A24" s="14" t="n"/>
      <c r="B24" s="15" t="n"/>
      <c r="C24" s="16" t="n"/>
      <c r="D24" s="17" t="n"/>
      <c r="E24" s="18" t="n"/>
      <c r="F24" s="19" t="n"/>
      <c r="G24" s="310">
        <f>SUBTOTAL(109,G3:G23)</f>
        <v/>
      </c>
      <c r="H24" s="51" t="n"/>
      <c r="I24" s="16" t="n"/>
      <c r="J24" s="21" t="n"/>
      <c r="K24" s="16" t="n"/>
      <c r="L24" s="22" t="n"/>
    </row>
    <row r="25">
      <c r="A25" s="52" t="n"/>
      <c r="B25" s="52" t="n"/>
      <c r="C25" s="53" t="n"/>
      <c r="G25" s="312" t="n"/>
      <c r="L25" s="52" t="n"/>
    </row>
    <row r="26" ht="15" customHeight="1" thickBot="1">
      <c r="C26" s="313" t="inlineStr">
        <is>
          <t>MARCH</t>
        </is>
      </c>
      <c r="D26" s="314" t="n"/>
      <c r="F26" s="314" t="inlineStr">
        <is>
          <t>APRIL</t>
        </is>
      </c>
      <c r="I26" s="314" t="inlineStr">
        <is>
          <t>Dispatch</t>
        </is>
      </c>
    </row>
    <row r="27" ht="15" customFormat="1" customHeight="1" s="299" thickBot="1">
      <c r="C27" s="327" t="inlineStr">
        <is>
          <t>Cash Sale</t>
        </is>
      </c>
      <c r="D27" s="328">
        <f t="array" ref="D27">SUMPRODUCT((MONTH(B3:B23)=3)*(YEAR(B3:B23)=2026)*(ISNUMBER(SEARCH("CASH SALE",J3:J23)))*(G3:G23))</f>
        <v/>
      </c>
      <c r="E27" s="55" t="n"/>
      <c r="F27" s="329" t="inlineStr">
        <is>
          <t>Cash Sale</t>
        </is>
      </c>
      <c r="G27" s="302" t="n">
        <v>0</v>
      </c>
      <c r="H27" s="56" t="n"/>
      <c r="I27" s="317">
        <f>SUMIF(I3:I23,"*Ready - Dispatch*",G3:G23)</f>
        <v/>
      </c>
      <c r="J27" s="60" t="n"/>
      <c r="K27" s="53" t="n"/>
    </row>
    <row r="28" customFormat="1" s="299">
      <c r="C28" s="327" t="inlineStr">
        <is>
          <t>Account</t>
        </is>
      </c>
      <c r="D28" s="328">
        <f t="array" ref="D28">SUMPRODUCT((MONTH(B3:B23)=3)*(YEAR(B3:B23)=2026)*(ISNUMBER(SEARCH("ACCOUNT",J3:J23)))*(G3:G23))</f>
        <v/>
      </c>
      <c r="E28" s="55" t="n"/>
      <c r="F28" s="329" t="inlineStr">
        <is>
          <t>Account</t>
        </is>
      </c>
      <c r="G28" s="302" t="n">
        <v>0</v>
      </c>
      <c r="H28" s="56" t="n"/>
      <c r="I28" s="53" t="n"/>
      <c r="J28" s="60" t="n"/>
      <c r="K28" s="53" t="n"/>
    </row>
    <row r="29" customFormat="1" s="299">
      <c r="C29" s="327" t="inlineStr">
        <is>
          <t xml:space="preserve">Total </t>
        </is>
      </c>
      <c r="D29" s="312">
        <f>D28+D27</f>
        <v/>
      </c>
      <c r="E29" s="55" t="n"/>
      <c r="F29" s="329" t="inlineStr">
        <is>
          <t>Total</t>
        </is>
      </c>
      <c r="G29" s="302" t="n">
        <v>0</v>
      </c>
      <c r="H29" s="56" t="n"/>
      <c r="I29" s="53" t="n"/>
      <c r="J29" s="60" t="n"/>
      <c r="K29" s="53" t="n"/>
    </row>
    <row r="30" ht="15" customFormat="1" customHeight="1" s="299" thickBot="1">
      <c r="E30" s="55" t="n"/>
      <c r="F30" s="56" t="n"/>
      <c r="G30" s="302" t="n"/>
      <c r="H30" s="56" t="n"/>
      <c r="I30" s="53" t="n"/>
      <c r="J30" s="60" t="n"/>
      <c r="K30" s="53" t="n"/>
    </row>
    <row r="31" ht="28.8" customFormat="1" customHeight="1" s="299">
      <c r="B31" s="67" t="inlineStr">
        <is>
          <t>Delivery Date</t>
        </is>
      </c>
      <c r="C31" s="67" t="inlineStr">
        <is>
          <t>Job Number</t>
        </is>
      </c>
      <c r="D31" s="67" t="inlineStr">
        <is>
          <t>SO Number</t>
        </is>
      </c>
      <c r="E31" s="67" t="inlineStr">
        <is>
          <t>Customer Ref.</t>
        </is>
      </c>
      <c r="F31" s="91" t="inlineStr">
        <is>
          <t>Customer</t>
        </is>
      </c>
      <c r="G31" s="322" t="inlineStr">
        <is>
          <t>Total</t>
        </is>
      </c>
      <c r="H31" s="71" t="inlineStr">
        <is>
          <t>Sales Rep</t>
        </is>
      </c>
      <c r="I31" s="67" t="inlineStr">
        <is>
          <t>Status</t>
        </is>
      </c>
      <c r="J31" s="67" t="inlineStr">
        <is>
          <t>Payment Type &amp; Status</t>
        </is>
      </c>
      <c r="K31" s="67" t="inlineStr">
        <is>
          <t>Comments</t>
        </is>
      </c>
    </row>
    <row r="32" customFormat="1" s="299">
      <c r="B32" s="32">
        <f>TODAY()</f>
        <v/>
      </c>
      <c r="C32" s="33" t="inlineStr">
        <is>
          <t>FM3808</t>
        </is>
      </c>
      <c r="D32" s="34" t="inlineStr">
        <is>
          <t>SO4339</t>
        </is>
      </c>
      <c r="E32" s="35" t="inlineStr">
        <is>
          <t>PO549NN</t>
        </is>
      </c>
      <c r="F32" s="92" t="inlineStr">
        <is>
          <t>Intervent-Universal (Pty) Ltd</t>
        </is>
      </c>
      <c r="G32" s="330" t="n">
        <v>22816</v>
      </c>
      <c r="H32" s="74" t="inlineStr">
        <is>
          <t>Simon Mokgola</t>
        </is>
      </c>
      <c r="I32" s="33" t="inlineStr">
        <is>
          <t>Ready - Dispatch</t>
        </is>
      </c>
      <c r="J32" s="38" t="inlineStr">
        <is>
          <t>CASH SALE - UNPAID</t>
        </is>
      </c>
      <c r="K32" s="33" t="inlineStr">
        <is>
          <t>Awaiting payment</t>
        </is>
      </c>
      <c r="L32" s="52" t="n"/>
    </row>
    <row r="33" customFormat="1" s="299">
      <c r="B33" s="52" t="n"/>
      <c r="C33" s="33" t="inlineStr">
        <is>
          <t>FM3854</t>
        </is>
      </c>
      <c r="D33" s="34" t="inlineStr">
        <is>
          <t>SO4384</t>
        </is>
      </c>
      <c r="E33" s="35" t="inlineStr">
        <is>
          <t>FM3854</t>
        </is>
      </c>
      <c r="F33" s="92" t="inlineStr">
        <is>
          <t>KG Construction Pty Ltd</t>
        </is>
      </c>
      <c r="G33" s="330" t="n">
        <v>79321.25</v>
      </c>
      <c r="H33" s="74" t="inlineStr">
        <is>
          <t>Simon Mokgola</t>
        </is>
      </c>
      <c r="I33" s="33" t="inlineStr">
        <is>
          <t>Ready - Dispatch</t>
        </is>
      </c>
      <c r="J33" s="38" t="inlineStr">
        <is>
          <t>CASH SALE - UNPAID</t>
        </is>
      </c>
      <c r="K33" s="33" t="inlineStr">
        <is>
          <t>Awaiting payment</t>
        </is>
      </c>
      <c r="L33" s="52" t="n"/>
    </row>
    <row r="34" customFormat="1" s="299">
      <c r="B34" s="52" t="n"/>
      <c r="C34" s="33" t="inlineStr">
        <is>
          <t>FM3878</t>
        </is>
      </c>
      <c r="D34" s="33" t="inlineStr">
        <is>
          <t>SO4408</t>
        </is>
      </c>
      <c r="E34" s="35" t="inlineStr">
        <is>
          <t>Cash Sale</t>
        </is>
      </c>
      <c r="F34" s="92" t="inlineStr">
        <is>
          <t>XL Air-Conditioning</t>
        </is>
      </c>
      <c r="G34" s="330" t="n">
        <v>19908.8</v>
      </c>
      <c r="H34" s="74" t="inlineStr">
        <is>
          <t>Sizwe Tshabalala</t>
        </is>
      </c>
      <c r="I34" s="33" t="inlineStr">
        <is>
          <t>Ready - Dispatch</t>
        </is>
      </c>
      <c r="J34" s="38" t="inlineStr">
        <is>
          <t>CASH SALE – PARTIAL</t>
        </is>
      </c>
      <c r="K34" s="33" t="inlineStr">
        <is>
          <t>Awaiting payment</t>
        </is>
      </c>
      <c r="L34" s="52" t="n"/>
    </row>
    <row r="35" ht="28.8" customFormat="1" customHeight="1" s="299">
      <c r="B35" s="52" t="n"/>
      <c r="C35" s="33" t="inlineStr">
        <is>
          <t>FM3866</t>
        </is>
      </c>
      <c r="D35" s="33" t="inlineStr">
        <is>
          <t>SO4397</t>
        </is>
      </c>
      <c r="E35" s="35" t="inlineStr">
        <is>
          <t>J99335 Replacement</t>
        </is>
      </c>
      <c r="F35" s="92" t="inlineStr">
        <is>
          <t>Moyahabo Mosala Trading and Projects</t>
        </is>
      </c>
      <c r="G35" s="330" t="n">
        <v>88260.89</v>
      </c>
      <c r="H35" s="74" t="inlineStr">
        <is>
          <t>Sizwe Tshabalala</t>
        </is>
      </c>
      <c r="I35" s="33" t="inlineStr">
        <is>
          <t>In Progress</t>
        </is>
      </c>
      <c r="J35" s="38" t="inlineStr">
        <is>
          <t>CASH SALE – PARTIAL</t>
        </is>
      </c>
      <c r="K35" s="33" t="inlineStr">
        <is>
          <t>Awaiting payment</t>
        </is>
      </c>
      <c r="L35" s="52" t="n"/>
    </row>
    <row r="36" customFormat="1" s="299">
      <c r="B36" s="52" t="n"/>
      <c r="C36" s="33" t="inlineStr">
        <is>
          <t>FM3830</t>
        </is>
      </c>
      <c r="D36" s="33" t="inlineStr">
        <is>
          <t>SO4363</t>
        </is>
      </c>
      <c r="E36" s="35" t="inlineStr">
        <is>
          <t>FMTA4348</t>
        </is>
      </c>
      <c r="F36" s="92" t="inlineStr">
        <is>
          <t>Crystal Sparkle Trading</t>
        </is>
      </c>
      <c r="G36" s="330" t="n">
        <v>283544</v>
      </c>
      <c r="H36" s="74" t="inlineStr">
        <is>
          <t>Mashudu Tshifularo</t>
        </is>
      </c>
      <c r="I36" s="33" t="inlineStr">
        <is>
          <t>In Progress</t>
        </is>
      </c>
      <c r="J36" s="38" t="inlineStr">
        <is>
          <t>CASH SALE – PARTIAL</t>
        </is>
      </c>
      <c r="K36" s="33" t="inlineStr">
        <is>
          <t>Awaiting payment</t>
        </is>
      </c>
      <c r="L36" s="52" t="n"/>
    </row>
    <row r="37" customFormat="1" s="299">
      <c r="B37" s="52" t="n"/>
      <c r="C37" s="33" t="inlineStr">
        <is>
          <t>SO4425</t>
        </is>
      </c>
      <c r="D37" s="33" t="inlineStr">
        <is>
          <t>FM3895</t>
        </is>
      </c>
      <c r="E37" s="35" t="inlineStr">
        <is>
          <t>PO:01027016</t>
        </is>
      </c>
      <c r="F37" s="92" t="inlineStr">
        <is>
          <t>Voltex Thohoyandou</t>
        </is>
      </c>
      <c r="G37" s="330" t="n">
        <v>71300</v>
      </c>
      <c r="H37" s="74" t="inlineStr">
        <is>
          <t>Mashudu Tshifularo</t>
        </is>
      </c>
      <c r="I37" s="33" t="inlineStr">
        <is>
          <t>In Progress</t>
        </is>
      </c>
      <c r="J37" s="38" t="inlineStr">
        <is>
          <t>ACCOUNT - UP TO DATE</t>
        </is>
      </c>
      <c r="K37" s="33" t="inlineStr">
        <is>
          <t>Collection 12/03/2026</t>
        </is>
      </c>
      <c r="L37" s="52" t="n"/>
    </row>
    <row r="38" ht="15" customHeight="1" thickBot="1">
      <c r="F38" s="90" t="inlineStr">
        <is>
          <t>Total</t>
        </is>
      </c>
      <c r="G38" s="331">
        <f>SUM(G32:G37)</f>
        <v/>
      </c>
    </row>
  </sheetData>
  <mergeCells count="1">
    <mergeCell ref="K1:L1"/>
  </mergeCells>
  <conditionalFormatting sqref="A3:L25 B32:K32 B33:J35 K33:K37">
    <cfRule type="expression" priority="5" dxfId="0">
      <formula>$L3=TODAY()</formula>
    </cfRule>
  </conditionalFormatting>
  <conditionalFormatting sqref="B36:C37">
    <cfRule type="expression" priority="2" dxfId="0">
      <formula>$K36=TODAY()</formula>
    </cfRule>
  </conditionalFormatting>
  <conditionalFormatting sqref="C36:J37">
    <cfRule type="expression" priority="1" dxfId="0">
      <formula>$L36=TODAY()</formula>
    </cfRule>
  </conditionalFormatting>
  <dataValidations count="1">
    <dataValidation sqref="J3:J26 J28:J30 J32:J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58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zoomScale="85" zoomScaleNormal="85" workbookViewId="0">
      <pane xSplit="2" ySplit="2" topLeftCell="E12" activePane="bottomRight" state="frozen"/>
      <selection activeCell="E26" sqref="E26"/>
      <selection pane="topRight" activeCell="E26" sqref="E26"/>
      <selection pane="bottomLeft" activeCell="E26" sqref="E26"/>
      <selection pane="bottomRight" activeCell="K7" sqref="K7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5" bestFit="1" customWidth="1" style="299" min="4" max="4"/>
    <col width="13.77734375" customWidth="1" style="55" min="5" max="5"/>
    <col width="23.109375" customWidth="1" style="56" min="6" max="6"/>
    <col width="15.5546875" bestFit="1" customWidth="1" style="302" min="7" max="7"/>
    <col width="18.44140625" bestFit="1" customWidth="1" style="56" min="8" max="8"/>
    <col width="15.44140625" bestFit="1" customWidth="1" style="53" min="9" max="9"/>
    <col width="21.88671875" bestFit="1" customWidth="1" style="60" min="10" max="10"/>
    <col width="45.77734375" customWidth="1" style="53" min="11" max="11"/>
    <col width="23.44140625" bestFit="1" customWidth="1" style="299" min="12" max="12"/>
    <col width="8.88671875" customWidth="1" style="23" min="13" max="30"/>
    <col width="8.88671875" customWidth="1" style="23" min="31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4" t="n"/>
      <c r="I1" s="6" t="n"/>
      <c r="J1" s="2" t="n"/>
      <c r="K1" s="296">
        <f>TODAY()</f>
        <v/>
      </c>
      <c r="L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9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Incl.</t>
        </is>
      </c>
      <c r="H2" s="9" t="inlineStr">
        <is>
          <t>Sales Rep.</t>
        </is>
      </c>
      <c r="I2" s="9" t="inlineStr">
        <is>
          <t>Status</t>
        </is>
      </c>
      <c r="J2" s="9" t="inlineStr">
        <is>
          <t>Payment Type &amp; Status</t>
        </is>
      </c>
      <c r="K2" s="9" t="inlineStr">
        <is>
          <t>Details</t>
        </is>
      </c>
      <c r="L2" s="12" t="inlineStr">
        <is>
          <t>Planned Collection / Delivery</t>
        </is>
      </c>
    </row>
    <row r="3">
      <c r="A3" s="31" t="n">
        <v>46056</v>
      </c>
      <c r="B3" s="15">
        <f>TODAY()</f>
        <v/>
      </c>
      <c r="C3" s="33" t="inlineStr">
        <is>
          <t>FM3808</t>
        </is>
      </c>
      <c r="D3" s="34" t="inlineStr">
        <is>
          <t>SO4339</t>
        </is>
      </c>
      <c r="E3" s="35" t="inlineStr">
        <is>
          <t>PO549NN</t>
        </is>
      </c>
      <c r="F3" s="36" t="inlineStr">
        <is>
          <t>Intervent-Universal (Pty) Ltd</t>
        </is>
      </c>
      <c r="G3" s="306" t="n">
        <v>22816</v>
      </c>
      <c r="H3" s="36" t="inlineStr">
        <is>
          <t>Simon Mokgola</t>
        </is>
      </c>
      <c r="I3" s="33" t="inlineStr">
        <is>
          <t>Ready - Dispatch</t>
        </is>
      </c>
      <c r="J3" s="38" t="inlineStr">
        <is>
          <t>CASH SALE - UNPAID</t>
        </is>
      </c>
      <c r="K3" s="33" t="inlineStr">
        <is>
          <t>RAD 250</t>
        </is>
      </c>
      <c r="L3" s="39">
        <f>Table13456789345789[[#This Row],[Delivery Date]]</f>
        <v/>
      </c>
    </row>
    <row r="4">
      <c r="A4" s="14" t="n">
        <v>46072</v>
      </c>
      <c r="B4" s="15">
        <f>TODAY()</f>
        <v/>
      </c>
      <c r="C4" s="16" t="inlineStr">
        <is>
          <t>FM3854</t>
        </is>
      </c>
      <c r="D4" s="17" t="inlineStr">
        <is>
          <t>SO4384</t>
        </is>
      </c>
      <c r="E4" s="18" t="inlineStr">
        <is>
          <t>FM3854</t>
        </is>
      </c>
      <c r="F4" s="19" t="inlineStr">
        <is>
          <t>KG Construction Pty Ltd</t>
        </is>
      </c>
      <c r="G4" s="305" t="n">
        <v>79321.25</v>
      </c>
      <c r="H4" s="19" t="inlineStr">
        <is>
          <t>Simon Mokgola</t>
        </is>
      </c>
      <c r="I4" s="33" t="inlineStr">
        <is>
          <t>Ready - Dispatch</t>
        </is>
      </c>
      <c r="J4" s="21" t="inlineStr">
        <is>
          <t>CASH SALE - UNPAID</t>
        </is>
      </c>
      <c r="K4" s="16" t="inlineStr">
        <is>
          <t>AIRMAX-2.750 P.EC</t>
        </is>
      </c>
      <c r="L4" s="22">
        <f>Table13456789345789[[#This Row],[Delivery Date]]</f>
        <v/>
      </c>
    </row>
    <row r="5">
      <c r="A5" s="14" t="n">
        <v>46078</v>
      </c>
      <c r="B5" s="15">
        <f>TODAY()</f>
        <v/>
      </c>
      <c r="C5" s="16" t="inlineStr">
        <is>
          <t>FM3878</t>
        </is>
      </c>
      <c r="D5" s="17" t="inlineStr">
        <is>
          <t>SO4408</t>
        </is>
      </c>
      <c r="E5" s="18" t="inlineStr">
        <is>
          <t>Cash Sale</t>
        </is>
      </c>
      <c r="F5" s="19" t="inlineStr">
        <is>
          <t>XL Air-Conditioning</t>
        </is>
      </c>
      <c r="G5" s="305" t="n">
        <v>19908.8</v>
      </c>
      <c r="H5" s="19" t="inlineStr">
        <is>
          <t>Sizwe Tshabalala</t>
        </is>
      </c>
      <c r="I5" s="33" t="inlineStr">
        <is>
          <t>Ready - Dispatch</t>
        </is>
      </c>
      <c r="J5" s="21" t="inlineStr">
        <is>
          <t>CASH SALE – PARTIAL</t>
        </is>
      </c>
      <c r="K5" s="16" t="inlineStr">
        <is>
          <t>Maxflo 1000 Impeller</t>
        </is>
      </c>
      <c r="L5" s="22">
        <f>Table13456789345789[[#This Row],[Delivery Date]]</f>
        <v/>
      </c>
    </row>
    <row r="6" ht="28.8" customHeight="1">
      <c r="A6" s="14" t="n">
        <v>46076</v>
      </c>
      <c r="B6" s="15">
        <f>TODAY()</f>
        <v/>
      </c>
      <c r="C6" s="16" t="inlineStr">
        <is>
          <t>FM3866</t>
        </is>
      </c>
      <c r="D6" s="16" t="inlineStr">
        <is>
          <t>SO4397</t>
        </is>
      </c>
      <c r="E6" s="18" t="inlineStr">
        <is>
          <t>J99335 Replacement</t>
        </is>
      </c>
      <c r="F6" s="19" t="inlineStr">
        <is>
          <t>Moyahabo Mosala Trading and Projects</t>
        </is>
      </c>
      <c r="G6" s="305" t="n">
        <v>88260.89</v>
      </c>
      <c r="H6" s="19" t="inlineStr">
        <is>
          <t>Sizwe Tshabalala</t>
        </is>
      </c>
      <c r="I6" s="16" t="inlineStr">
        <is>
          <t>Ready - Dispatch</t>
        </is>
      </c>
      <c r="J6" s="21" t="inlineStr">
        <is>
          <t>CASH SALE – PARTIAL</t>
        </is>
      </c>
      <c r="K6" s="16" t="inlineStr">
        <is>
          <t>MAJAX-1 1000 c/w 22.00KW 4P 380V Spark Proof</t>
        </is>
      </c>
      <c r="L6" s="22">
        <f>Table13456789345789[[#This Row],[Delivery Date]]</f>
        <v/>
      </c>
    </row>
    <row r="7" ht="28.8" customHeight="1">
      <c r="A7" s="14" t="n">
        <v>46065</v>
      </c>
      <c r="B7" s="15">
        <f>TODAY()</f>
        <v/>
      </c>
      <c r="C7" s="16" t="inlineStr">
        <is>
          <t>FM3830</t>
        </is>
      </c>
      <c r="D7" s="17" t="inlineStr">
        <is>
          <t>SO4363</t>
        </is>
      </c>
      <c r="E7" s="18" t="inlineStr">
        <is>
          <t>FMTA4348</t>
        </is>
      </c>
      <c r="F7" s="19" t="inlineStr">
        <is>
          <t>Crystal Sparkle Trading</t>
        </is>
      </c>
      <c r="G7" s="305" t="n">
        <v>283544</v>
      </c>
      <c r="H7" s="19" t="inlineStr">
        <is>
          <t>Mashudu Tshifularo</t>
        </is>
      </c>
      <c r="I7" s="16" t="inlineStr">
        <is>
          <t>Ready - Dispatch</t>
        </is>
      </c>
      <c r="J7" s="21" t="inlineStr">
        <is>
          <t>CASH SALE – PARTIAL</t>
        </is>
      </c>
      <c r="K7" s="33" t="inlineStr">
        <is>
          <t>Fumax 1000.32.F.8.1100.4.3, 1000Diam Screen, Inlet Cone, M/Feet</t>
        </is>
      </c>
      <c r="L7" s="22">
        <f>Table13456789345789[[#This Row],[Delivery Date]]</f>
        <v/>
      </c>
    </row>
    <row r="8" ht="28.8" customHeight="1">
      <c r="A8" s="14" t="n">
        <v>46092</v>
      </c>
      <c r="B8" s="15" t="n">
        <v>46094</v>
      </c>
      <c r="C8" s="16" t="inlineStr">
        <is>
          <t>FM3912</t>
        </is>
      </c>
      <c r="D8" s="16" t="inlineStr">
        <is>
          <t>SO4445</t>
        </is>
      </c>
      <c r="E8" s="18" t="inlineStr">
        <is>
          <t>PO2230</t>
        </is>
      </c>
      <c r="F8" s="19" t="inlineStr">
        <is>
          <t>Hucra Fans</t>
        </is>
      </c>
      <c r="G8" s="305" t="n">
        <v>6589.5</v>
      </c>
      <c r="H8" s="19" t="inlineStr">
        <is>
          <t>Sales Agent Hucra Fans</t>
        </is>
      </c>
      <c r="I8" s="16" t="inlineStr">
        <is>
          <t>Ready - Dispatch</t>
        </is>
      </c>
      <c r="J8" s="21" t="inlineStr">
        <is>
          <t>ACCOUNT - UP TO DATE</t>
        </is>
      </c>
      <c r="K8" s="33" t="inlineStr">
        <is>
          <t>KAZ 140</t>
        </is>
      </c>
      <c r="L8" s="22">
        <f>Table13456789345789[[#This Row],[Delivery Date]]</f>
        <v/>
      </c>
    </row>
    <row r="9">
      <c r="A9" s="14" t="n">
        <v>46058</v>
      </c>
      <c r="B9" s="15" t="n">
        <v>46097</v>
      </c>
      <c r="C9" s="16" t="inlineStr">
        <is>
          <t>FM3812</t>
        </is>
      </c>
      <c r="D9" s="17" t="inlineStr">
        <is>
          <t>SO4343</t>
        </is>
      </c>
      <c r="E9" s="18" t="inlineStr">
        <is>
          <t>DPO-1616</t>
        </is>
      </c>
      <c r="F9" s="19" t="inlineStr">
        <is>
          <t>Dueltron (Pty) Ltd</t>
        </is>
      </c>
      <c r="G9" s="305" t="n">
        <v>145269.15</v>
      </c>
      <c r="H9" s="19" t="inlineStr">
        <is>
          <t>Mashudu Tshifularo</t>
        </is>
      </c>
      <c r="I9" s="16" t="inlineStr">
        <is>
          <t>In Progress</t>
        </is>
      </c>
      <c r="J9" s="21" t="inlineStr">
        <is>
          <t>ACCOUNT - UP TO DATE</t>
        </is>
      </c>
      <c r="K9" s="33" t="inlineStr">
        <is>
          <t>MAJAX-3 1250 c/w 22,00KW 4P 380V</t>
        </is>
      </c>
      <c r="L9" s="22">
        <f>Table13456789345789[[#This Row],[Delivery Date]]</f>
        <v/>
      </c>
    </row>
    <row r="10" ht="28.8" customHeight="1">
      <c r="A10" s="14" t="n">
        <v>46093</v>
      </c>
      <c r="B10" s="15" t="n">
        <v>46097</v>
      </c>
      <c r="C10" s="16">
        <f>IFERROR(INDEX(#REF!,MATCH(D10,#REF!,0)),"")</f>
        <v/>
      </c>
      <c r="D10" s="17" t="inlineStr">
        <is>
          <t>SO4450</t>
        </is>
      </c>
      <c r="E10" s="18" t="inlineStr">
        <is>
          <t>FM3914</t>
        </is>
      </c>
      <c r="F10" s="19" t="inlineStr">
        <is>
          <t>ZEFS More Vision</t>
        </is>
      </c>
      <c r="G10" s="305" t="n">
        <v>9419.08</v>
      </c>
      <c r="H10" s="19" t="inlineStr">
        <is>
          <t>Mashudu Tshifularo</t>
        </is>
      </c>
      <c r="I10" s="16" t="inlineStr">
        <is>
          <t>In Progress</t>
        </is>
      </c>
      <c r="J10" s="21" t="inlineStr">
        <is>
          <t>CASH SALE - PAID</t>
        </is>
      </c>
      <c r="K10" s="16">
        <f t="array" ref="K10">IFERROR(_xlfn.TEXTJOIN(", ",TRUE,IF(#REF!=D10,#REF!,"")),"")</f>
        <v/>
      </c>
      <c r="L10" s="22">
        <f>Table13456789345789[[#This Row],[Delivery Date]]</f>
        <v/>
      </c>
    </row>
    <row r="11" ht="72" customHeight="1">
      <c r="A11" s="14" t="n">
        <v>46052</v>
      </c>
      <c r="B11" s="15" t="n">
        <v>46097</v>
      </c>
      <c r="C11" s="16" t="inlineStr">
        <is>
          <t>FM3799</t>
        </is>
      </c>
      <c r="D11" s="17" t="inlineStr">
        <is>
          <t>SO4330</t>
        </is>
      </c>
      <c r="E11" s="18" t="inlineStr">
        <is>
          <t>PO0000573</t>
        </is>
      </c>
      <c r="F11" s="19" t="inlineStr">
        <is>
          <t>ST AIR SERVICES AND MAINTENANCE (PTY) LTD</t>
        </is>
      </c>
      <c r="G11" s="305" t="n">
        <v>784244.8</v>
      </c>
      <c r="H11" s="19" t="inlineStr">
        <is>
          <t>Simon Mokgola</t>
        </is>
      </c>
      <c r="I11" s="16" t="inlineStr">
        <is>
          <t>In Progress</t>
        </is>
      </c>
      <c r="J11" s="21" t="inlineStr">
        <is>
          <t>ACCOUNT - UP TO DATE</t>
        </is>
      </c>
      <c r="K11" s="33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L11" s="22">
        <f>Table13456789345789[[#This Row],[Delivery Date]]</f>
        <v/>
      </c>
    </row>
    <row r="12" ht="28.8" customHeight="1">
      <c r="A12" s="14" t="n">
        <v>46072</v>
      </c>
      <c r="B12" s="15" t="n">
        <v>46097</v>
      </c>
      <c r="C12" s="16" t="inlineStr">
        <is>
          <t>FM3857</t>
        </is>
      </c>
      <c r="D12" s="16" t="inlineStr">
        <is>
          <t>SO4388</t>
        </is>
      </c>
      <c r="E12" s="18" t="inlineStr">
        <is>
          <t>POL15058</t>
        </is>
      </c>
      <c r="F12" s="19" t="inlineStr">
        <is>
          <t>Heavy Duty Industrial (Pty) Ltd</t>
        </is>
      </c>
      <c r="G12" s="305" t="n">
        <v>280306.93</v>
      </c>
      <c r="H12" s="19" t="inlineStr">
        <is>
          <t>Mashudu Tshifularo</t>
        </is>
      </c>
      <c r="I12" s="16" t="inlineStr">
        <is>
          <t>In Progress</t>
        </is>
      </c>
      <c r="J12" s="21" t="inlineStr">
        <is>
          <t>CASH SALE - PAID</t>
        </is>
      </c>
      <c r="K12" s="33" t="inlineStr">
        <is>
          <t>Plate axial 800mm 150A10 c/w5.5kw 4 pole 380v flame proof motor</t>
        </is>
      </c>
      <c r="L12" s="22">
        <f>Table13456789345789[[#This Row],[Delivery Date]]</f>
        <v/>
      </c>
    </row>
    <row r="13" ht="28.8" customHeight="1">
      <c r="A13" s="14" t="n">
        <v>46093</v>
      </c>
      <c r="B13" s="15" t="n">
        <v>46097</v>
      </c>
      <c r="C13" s="16" t="inlineStr">
        <is>
          <t>FM3913</t>
        </is>
      </c>
      <c r="D13" s="16" t="inlineStr">
        <is>
          <t>SO4447</t>
        </is>
      </c>
      <c r="E13" s="18" t="inlineStr">
        <is>
          <t>FM3913</t>
        </is>
      </c>
      <c r="F13" s="19" t="inlineStr">
        <is>
          <t>Gibela Trade and Invest 1247 CC t/a GTI AIR</t>
        </is>
      </c>
      <c r="G13" s="305" t="n">
        <v>16022.95</v>
      </c>
      <c r="H13" s="19" t="inlineStr">
        <is>
          <t>Simon Mokgola</t>
        </is>
      </c>
      <c r="I13" s="16" t="inlineStr">
        <is>
          <t>In Progress</t>
        </is>
      </c>
      <c r="J13" s="21" t="inlineStr">
        <is>
          <t>CASH SALE - PAID</t>
        </is>
      </c>
      <c r="K13" s="33" t="inlineStr">
        <is>
          <t>MAJAX-3 630 c/w 7,50KW 2P 380V</t>
        </is>
      </c>
      <c r="L13" s="22">
        <f>Table13456789345789[[#This Row],[Delivery Date]]</f>
        <v/>
      </c>
    </row>
    <row r="14" ht="28.8" customHeight="1">
      <c r="A14" s="14" t="n">
        <v>46093</v>
      </c>
      <c r="B14" s="15" t="n">
        <v>46099</v>
      </c>
      <c r="C14" s="16">
        <f>IFERROR(INDEX(#REF!,MATCH(D14,#REF!,0)),"")</f>
        <v/>
      </c>
      <c r="D14" s="17" t="inlineStr">
        <is>
          <t>SO4448</t>
        </is>
      </c>
      <c r="E14" s="18" t="n">
        <v>61713</v>
      </c>
      <c r="F14" s="19" t="inlineStr">
        <is>
          <t>Chabo &amp; Joubert Air Conditioning (Pty) Ltd</t>
        </is>
      </c>
      <c r="G14" s="305" t="n">
        <v>84019</v>
      </c>
      <c r="H14" s="19" t="inlineStr">
        <is>
          <t>Sizwe Tshabalala</t>
        </is>
      </c>
      <c r="I14" s="16" t="inlineStr">
        <is>
          <t>In Progress</t>
        </is>
      </c>
      <c r="J14" s="21" t="inlineStr">
        <is>
          <t>ACCOUNT - UP TO DATE</t>
        </is>
      </c>
      <c r="K14" s="33">
        <f t="array" ref="K14">IFERROR(_xlfn.TEXTJOIN(", ",TRUE,IF(#REF!=D14,#REF!,"")),"")</f>
        <v/>
      </c>
      <c r="L14" s="22">
        <f>Table13456789345789[[#This Row],[Delivery Date]]</f>
        <v/>
      </c>
    </row>
    <row r="15" ht="28.8" customHeight="1">
      <c r="A15" s="14" t="n">
        <v>46094</v>
      </c>
      <c r="B15" s="15" t="n">
        <v>46099</v>
      </c>
      <c r="C15" s="16">
        <f>IFERROR(INDEX(#REF!,MATCH(D15,#REF!,0)),"")</f>
        <v/>
      </c>
      <c r="D15" s="17" t="inlineStr">
        <is>
          <t>SO4452</t>
        </is>
      </c>
      <c r="E15" s="18" t="inlineStr">
        <is>
          <t>PO-2603-001-FMT</t>
        </is>
      </c>
      <c r="F15" s="19" t="inlineStr">
        <is>
          <t>Hurricane Group</t>
        </is>
      </c>
      <c r="G15" s="305" t="n">
        <v>50075.83</v>
      </c>
      <c r="H15" s="19" t="inlineStr">
        <is>
          <t>Sizwe Tshabalala</t>
        </is>
      </c>
      <c r="I15" s="16" t="inlineStr">
        <is>
          <t>Pending</t>
        </is>
      </c>
      <c r="J15" s="21" t="inlineStr">
        <is>
          <t>CASH SALE - UNPAID</t>
        </is>
      </c>
      <c r="K15" s="33">
        <f t="array" ref="K15">IFERROR(_xlfn.TEXTJOIN(", ",TRUE,IF(#REF!=D15,#REF!,"")),"")</f>
        <v/>
      </c>
      <c r="L15" s="22">
        <f>Table13456789345789[[#This Row],[Delivery Date]]</f>
        <v/>
      </c>
    </row>
    <row r="16" ht="28.8" customHeight="1">
      <c r="A16" s="40" t="n">
        <v>46070</v>
      </c>
      <c r="B16" s="41" t="n">
        <v>46100</v>
      </c>
      <c r="C16" s="42" t="inlineStr">
        <is>
          <t>FM3848</t>
        </is>
      </c>
      <c r="D16" s="43" t="inlineStr">
        <is>
          <t>SO4379</t>
        </is>
      </c>
      <c r="E16" s="44" t="inlineStr">
        <is>
          <t>ABF001-2026-0017</t>
        </is>
      </c>
      <c r="F16" s="45" t="inlineStr">
        <is>
          <t>Industrial Control &amp; Automation (ICA)</t>
        </is>
      </c>
      <c r="G16" s="307" t="n">
        <v>23874</v>
      </c>
      <c r="H16" s="45" t="inlineStr">
        <is>
          <t>Simon Mokgola</t>
        </is>
      </c>
      <c r="I16" s="42" t="inlineStr">
        <is>
          <t>In Progress</t>
        </is>
      </c>
      <c r="J16" s="47" t="inlineStr">
        <is>
          <t>CASH SALE - PAID</t>
        </is>
      </c>
      <c r="K16" s="83" t="inlineStr">
        <is>
          <t>HEP-31-2M/H 220-240V</t>
        </is>
      </c>
      <c r="L16" s="48">
        <f>Table13456789345789[[#This Row],[Delivery Date]]</f>
        <v/>
      </c>
    </row>
    <row r="17" ht="28.8" customHeight="1">
      <c r="A17" s="40" t="n">
        <v>45972</v>
      </c>
      <c r="B17" s="41" t="n">
        <v>46103</v>
      </c>
      <c r="C17" s="42" t="inlineStr">
        <is>
          <t>FM3633</t>
        </is>
      </c>
      <c r="D17" s="43" t="inlineStr">
        <is>
          <t>SO4171</t>
        </is>
      </c>
      <c r="E17" s="44" t="inlineStr">
        <is>
          <t>A3412094782</t>
        </is>
      </c>
      <c r="F17" s="45" t="inlineStr">
        <is>
          <t>NWK LTD</t>
        </is>
      </c>
      <c r="G17" s="307" t="n">
        <v>14996</v>
      </c>
      <c r="H17" s="45" t="inlineStr">
        <is>
          <t>Sizwe Tshabalala</t>
        </is>
      </c>
      <c r="I17" s="42" t="inlineStr">
        <is>
          <t>In Progress</t>
        </is>
      </c>
      <c r="J17" s="47" t="inlineStr">
        <is>
          <t>ACCOUNT - UP TO DATE</t>
        </is>
      </c>
      <c r="K17" s="83" t="inlineStr">
        <is>
          <t>1 x CMA-325-2M -PO3572 - Indent 0142 - Sodeca ETA: 28/02/2026</t>
        </is>
      </c>
      <c r="L17" s="48">
        <f>Table13456789345789[[#This Row],[Delivery Date]]</f>
        <v/>
      </c>
    </row>
    <row r="18" ht="28.8" customHeight="1">
      <c r="A18" s="40" t="n">
        <v>45981</v>
      </c>
      <c r="B18" s="41" t="n">
        <v>46103</v>
      </c>
      <c r="C18" s="42" t="inlineStr">
        <is>
          <t>FM3676</t>
        </is>
      </c>
      <c r="D18" s="43" t="inlineStr">
        <is>
          <t>SO4204</t>
        </is>
      </c>
      <c r="E18" s="44" t="inlineStr">
        <is>
          <t>B137477</t>
        </is>
      </c>
      <c r="F18" s="45" t="inlineStr">
        <is>
          <t>Vescotech</t>
        </is>
      </c>
      <c r="G18" s="307" t="n">
        <v>22563</v>
      </c>
      <c r="H18" s="45" t="inlineStr">
        <is>
          <t>Sizwe Tshabalala</t>
        </is>
      </c>
      <c r="I18" s="42" t="inlineStr">
        <is>
          <t>In Progress</t>
        </is>
      </c>
      <c r="J18" s="47" t="inlineStr">
        <is>
          <t>CASH SALE - PAID</t>
        </is>
      </c>
      <c r="K18" s="83" t="inlineStr">
        <is>
          <t>HCD - 40 -PO3572 - Indent 0142 - Sodeca ETA: 28/02/2026</t>
        </is>
      </c>
      <c r="L18" s="48">
        <f>Table13456789345789[[#This Row],[Delivery Date]]</f>
        <v/>
      </c>
    </row>
    <row r="19" ht="28.8" customHeight="1">
      <c r="A19" s="40" t="n">
        <v>45985</v>
      </c>
      <c r="B19" s="41" t="n">
        <v>46103</v>
      </c>
      <c r="C19" s="42" t="inlineStr">
        <is>
          <t>FM3685</t>
        </is>
      </c>
      <c r="D19" s="43" t="inlineStr">
        <is>
          <t>SO4215</t>
        </is>
      </c>
      <c r="E19" s="44" t="n">
        <v>4358</v>
      </c>
      <c r="F19" s="45" t="inlineStr">
        <is>
          <t>Air Speration (Pty) Ltd</t>
        </is>
      </c>
      <c r="G19" s="307" t="n">
        <v>13271</v>
      </c>
      <c r="H19" s="45" t="inlineStr">
        <is>
          <t>Mashudu Tshifularo</t>
        </is>
      </c>
      <c r="I19" s="42" t="inlineStr">
        <is>
          <t>In Progress</t>
        </is>
      </c>
      <c r="J19" s="47" t="inlineStr">
        <is>
          <t>CASH SALE - PAID</t>
        </is>
      </c>
      <c r="K19" s="83" t="inlineStr">
        <is>
          <t>1 x CMP820-2T -PO3572 - Indent 0142 - Sodeca ETA: 28/02/2026</t>
        </is>
      </c>
      <c r="L19" s="48">
        <f>Table13456789345789[[#This Row],[Delivery Date]]</f>
        <v/>
      </c>
    </row>
    <row r="20" ht="57.6" customHeight="1">
      <c r="A20" s="14" t="n">
        <v>46077</v>
      </c>
      <c r="B20" s="15" t="n">
        <v>46106</v>
      </c>
      <c r="C20" s="16" t="inlineStr">
        <is>
          <t>FM3875 FM3876</t>
        </is>
      </c>
      <c r="D20" s="16" t="inlineStr">
        <is>
          <t>SO4405</t>
        </is>
      </c>
      <c r="E20" s="18" t="inlineStr">
        <is>
          <t>FM3875 FM3876</t>
        </is>
      </c>
      <c r="F20" s="19" t="inlineStr">
        <is>
          <t>BMT Smart Solutions</t>
        </is>
      </c>
      <c r="G20" s="305" t="n">
        <v>52783.16</v>
      </c>
      <c r="H20" s="19" t="inlineStr">
        <is>
          <t>Simon Mokgola</t>
        </is>
      </c>
      <c r="I20" s="16" t="inlineStr">
        <is>
          <t>In Progress</t>
        </is>
      </c>
      <c r="J20" s="21" t="inlineStr">
        <is>
          <t>ACCOUNT - UP TO DATE</t>
        </is>
      </c>
      <c r="K20" s="33" t="inlineStr">
        <is>
          <t>MAXFLO 500/150/10 A c/w 0.37KW 4P 380V, 500 Diam Silencer 1.5D Podded,M/Feet, 315 to 560 AVMs, Fumax 560.20.D.8 C/W 4KW 2P 380V, 560 Diam Silencer 1.5D Podded,C/Flange,M/ Feet, 315 to 560 AVMs</t>
        </is>
      </c>
      <c r="L20" s="22">
        <f>Table13456789345789[[#This Row],[Delivery Date]]</f>
        <v/>
      </c>
    </row>
    <row r="21">
      <c r="A21" s="24" t="n">
        <v>45799</v>
      </c>
      <c r="B21" s="25" t="n">
        <v>46111</v>
      </c>
      <c r="C21" s="26" t="inlineStr">
        <is>
          <t>TBA</t>
        </is>
      </c>
      <c r="D21" s="26" t="inlineStr">
        <is>
          <t>SO3760</t>
        </is>
      </c>
      <c r="E21" s="27" t="inlineStr">
        <is>
          <t>ORDER</t>
        </is>
      </c>
      <c r="F21" s="28" t="inlineStr">
        <is>
          <t>Rey &amp; Lenferna Ltd</t>
        </is>
      </c>
      <c r="G21" s="308" t="n">
        <v>545349.34</v>
      </c>
      <c r="H21" s="28" t="inlineStr">
        <is>
          <t>Sizwe - R.O.A</t>
        </is>
      </c>
      <c r="I21" s="26" t="inlineStr">
        <is>
          <t>Not Processed</t>
        </is>
      </c>
      <c r="J21" s="26" t="inlineStr">
        <is>
          <t>ACCOUNT - UP TO DATE</t>
        </is>
      </c>
      <c r="K21" s="76" t="inlineStr">
        <is>
          <t>TBC</t>
        </is>
      </c>
      <c r="L21" s="30">
        <f>Table13456789345789[[#This Row],[Delivery Date]]</f>
        <v/>
      </c>
    </row>
    <row r="22">
      <c r="A22" s="24" t="n">
        <v>46052</v>
      </c>
      <c r="B22" s="25" t="n">
        <v>46111</v>
      </c>
      <c r="C22" s="26" t="inlineStr">
        <is>
          <t>TBA</t>
        </is>
      </c>
      <c r="D22" s="26" t="inlineStr">
        <is>
          <t>SO4331</t>
        </is>
      </c>
      <c r="E22" s="27" t="inlineStr">
        <is>
          <t>ORDER</t>
        </is>
      </c>
      <c r="F22" s="28" t="inlineStr">
        <is>
          <t>Rey &amp; Lenferna Ltd</t>
        </is>
      </c>
      <c r="G22" s="308" t="n">
        <v>538722.6848</v>
      </c>
      <c r="H22" s="28" t="inlineStr">
        <is>
          <t>Sizwe - R.O.A</t>
        </is>
      </c>
      <c r="I22" s="26" t="inlineStr">
        <is>
          <t>Not Processed</t>
        </is>
      </c>
      <c r="J22" s="26" t="inlineStr">
        <is>
          <t>ACCOUNT - UP TO DATE</t>
        </is>
      </c>
      <c r="K22" s="76" t="inlineStr">
        <is>
          <t>TBC</t>
        </is>
      </c>
      <c r="L22" s="30">
        <f>Table13456789345789[[#This Row],[Delivery Date]]</f>
        <v/>
      </c>
    </row>
    <row r="23" ht="28.8" customHeight="1">
      <c r="A23" s="14" t="n">
        <v>46063</v>
      </c>
      <c r="B23" s="15" t="n">
        <v>46111</v>
      </c>
      <c r="C23" s="16" t="inlineStr">
        <is>
          <t>FM3819</t>
        </is>
      </c>
      <c r="D23" s="17" t="inlineStr">
        <is>
          <t>SO4350</t>
        </is>
      </c>
      <c r="E23" s="18" t="inlineStr">
        <is>
          <t>PO-27149</t>
        </is>
      </c>
      <c r="F23" s="19" t="inlineStr">
        <is>
          <t>Aircycle Engineering CC</t>
        </is>
      </c>
      <c r="G23" s="305" t="n">
        <v>64727.75</v>
      </c>
      <c r="H23" s="19" t="inlineStr">
        <is>
          <t>Simon Mokgola</t>
        </is>
      </c>
      <c r="I23" s="16" t="inlineStr">
        <is>
          <t>In Progress</t>
        </is>
      </c>
      <c r="J23" s="21" t="inlineStr">
        <is>
          <t>ACCOUNT - UP TO DATE</t>
        </is>
      </c>
      <c r="K23" s="33" t="inlineStr">
        <is>
          <t>CA/Line/EC - 31 50/60HZ, HCT/EC - 45-2T-2 400V 50/60HZ IE5, AVMs, 450 C/Flange, M/Feet</t>
        </is>
      </c>
      <c r="L23" s="22">
        <f>Table13456789345789[[#This Row],[Delivery Date]]</f>
        <v/>
      </c>
    </row>
    <row r="24">
      <c r="A24" s="14" t="n">
        <v>46077</v>
      </c>
      <c r="B24" s="15" t="n">
        <v>46112</v>
      </c>
      <c r="C24" s="16" t="inlineStr">
        <is>
          <t>FM3874</t>
        </is>
      </c>
      <c r="D24" s="16" t="inlineStr">
        <is>
          <t>SO4404</t>
        </is>
      </c>
      <c r="E24" s="18" t="inlineStr">
        <is>
          <t>Nicotra-Fan</t>
        </is>
      </c>
      <c r="F24" s="19" t="inlineStr">
        <is>
          <t>ITD North Pty Ltd</t>
        </is>
      </c>
      <c r="G24" s="305" t="n">
        <v>94247.10000000001</v>
      </c>
      <c r="H24" s="19" t="inlineStr">
        <is>
          <t>Mashudu Tshifularo</t>
        </is>
      </c>
      <c r="I24" s="16" t="inlineStr">
        <is>
          <t>In Progress</t>
        </is>
      </c>
      <c r="J24" s="21" t="inlineStr">
        <is>
          <t>CASH SALE – PARTIAL</t>
        </is>
      </c>
      <c r="K24" s="33" t="inlineStr">
        <is>
          <t>RDH 710 K2 - Nicotra Fan</t>
        </is>
      </c>
      <c r="L24" s="22">
        <f>Table13456789345789[[#This Row],[Delivery Date]]</f>
        <v/>
      </c>
    </row>
    <row r="25" ht="29.4" customHeight="1" thickBot="1">
      <c r="A25" s="40" t="n">
        <v>46069</v>
      </c>
      <c r="B25" s="41" t="n">
        <v>46157</v>
      </c>
      <c r="C25" s="42" t="inlineStr">
        <is>
          <t>FM3841</t>
        </is>
      </c>
      <c r="D25" s="43" t="inlineStr">
        <is>
          <t>SO4372</t>
        </is>
      </c>
      <c r="E25" s="44" t="inlineStr">
        <is>
          <t>PO2213</t>
        </is>
      </c>
      <c r="F25" s="45" t="inlineStr">
        <is>
          <t>Hucra Fans</t>
        </is>
      </c>
      <c r="G25" s="307" t="n">
        <v>379993.35</v>
      </c>
      <c r="H25" s="45" t="inlineStr">
        <is>
          <t>Sales Agent Hucra Fans</t>
        </is>
      </c>
      <c r="I25" s="42" t="inlineStr">
        <is>
          <t>In Progress</t>
        </is>
      </c>
      <c r="J25" s="47" t="inlineStr">
        <is>
          <t>ACCOUNT - UP TO DATE</t>
        </is>
      </c>
      <c r="K25" s="83" t="inlineStr">
        <is>
          <t>SCL K11 MS - 11.0kW - 525V</t>
        </is>
      </c>
      <c r="L25" s="48">
        <f>Table13456789345789[[#This Row],[Delivery Date]]</f>
        <v/>
      </c>
    </row>
    <row r="26" ht="15" customHeight="1" thickBot="1">
      <c r="A26" s="14" t="n"/>
      <c r="B26" s="15" t="n"/>
      <c r="C26" s="16" t="n"/>
      <c r="D26" s="17" t="n"/>
      <c r="E26" s="18" t="n"/>
      <c r="F26" s="19" t="n"/>
      <c r="G26" s="310">
        <f>SUBTOTAL(109,G3:G25)</f>
        <v/>
      </c>
      <c r="H26" s="51" t="n"/>
      <c r="I26" s="16" t="n"/>
      <c r="J26" s="21" t="n"/>
      <c r="K26" s="16" t="n"/>
      <c r="L26" s="22" t="n"/>
    </row>
    <row r="27">
      <c r="A27" s="52" t="n"/>
      <c r="B27" s="52" t="n"/>
      <c r="C27" s="53" t="n"/>
      <c r="G27" s="312" t="n"/>
      <c r="L27" s="52" t="n"/>
    </row>
    <row r="28" ht="15" customHeight="1" thickBot="1">
      <c r="C28" s="313" t="inlineStr">
        <is>
          <t>MARCH</t>
        </is>
      </c>
      <c r="D28" s="314" t="n"/>
      <c r="F28" s="314" t="inlineStr">
        <is>
          <t>APRIL</t>
        </is>
      </c>
      <c r="I28" s="314" t="inlineStr">
        <is>
          <t>Dispatch</t>
        </is>
      </c>
    </row>
    <row r="29" ht="15" customFormat="1" customHeight="1" s="299" thickBot="1">
      <c r="C29" s="327" t="inlineStr">
        <is>
          <t>Cash Sale</t>
        </is>
      </c>
      <c r="D29" s="328">
        <f t="array" ref="D29">SUMPRODUCT((MONTH(B3:B25)=3)*(YEAR(B3:B25)=2026)*(ISNUMBER(SEARCH("CASH SALE",J3:J25)))*(G3:G25))</f>
        <v/>
      </c>
      <c r="E29" s="55" t="n"/>
      <c r="F29" s="329">
        <f t="array" ref="F29">SUMPRODUCT((MONTH(B3:B25)=4)*(YEAR(B3:B25)=2026)*(ISNUMBER(SEARCH("CASH SALE",J3:J25)))*(G3:G25))</f>
        <v/>
      </c>
      <c r="G29" s="302" t="n"/>
      <c r="H29" s="56" t="n"/>
      <c r="I29" s="317">
        <f>SUMIF(I3:I25,"*Ready - Dispatch*",G3:G25)</f>
        <v/>
      </c>
      <c r="J29" s="60" t="n"/>
      <c r="K29" s="53" t="n"/>
    </row>
    <row r="30" customFormat="1" s="299">
      <c r="C30" s="327" t="inlineStr">
        <is>
          <t>Account</t>
        </is>
      </c>
      <c r="D30" s="328">
        <f t="array" ref="D30">SUMPRODUCT((MONTH(B3:B25)=3)*(YEAR(B3:B25)=2026)*(ISNUMBER(SEARCH("ACCOUNT",J3:J25)))*(G3:G25))</f>
        <v/>
      </c>
      <c r="E30" s="55" t="n"/>
      <c r="F30" s="329">
        <f t="array" ref="F30">SUMPRODUCT((MONTH(B3:B25)=4)*(YEAR(B3:B25)=2026)*(ISNUMBER(SEARCH("ACCOUNT",J3:J25)))*(G3:G25))</f>
        <v/>
      </c>
      <c r="G30" s="302" t="n"/>
      <c r="H30" s="56" t="n"/>
      <c r="I30" s="53" t="n"/>
      <c r="J30" s="60" t="n"/>
      <c r="K30" s="53" t="n"/>
    </row>
    <row r="31" customFormat="1" s="299">
      <c r="C31" s="327" t="inlineStr">
        <is>
          <t xml:space="preserve">Total </t>
        </is>
      </c>
      <c r="D31" s="312">
        <f>D30+D29</f>
        <v/>
      </c>
      <c r="E31" s="55" t="n"/>
      <c r="F31" s="329" t="inlineStr">
        <is>
          <t>Total</t>
        </is>
      </c>
      <c r="G31" s="302" t="n">
        <v>0</v>
      </c>
      <c r="H31" s="56" t="n"/>
      <c r="I31" s="53" t="n"/>
      <c r="J31" s="60" t="n"/>
      <c r="K31" s="53" t="n"/>
    </row>
    <row r="32" ht="15" customFormat="1" customHeight="1" s="299" thickBot="1">
      <c r="E32" s="55" t="n"/>
      <c r="F32" s="56" t="n"/>
      <c r="G32" s="302" t="n"/>
      <c r="H32" s="56" t="n"/>
      <c r="I32" s="53" t="n"/>
      <c r="J32" s="60" t="n"/>
      <c r="K32" s="53" t="n"/>
    </row>
    <row r="33" ht="28.8" customFormat="1" customHeight="1" s="299">
      <c r="B33" s="67" t="inlineStr">
        <is>
          <t>Delivery Date</t>
        </is>
      </c>
      <c r="C33" s="67" t="inlineStr">
        <is>
          <t>Job Number</t>
        </is>
      </c>
      <c r="D33" s="67" t="inlineStr">
        <is>
          <t>SO Number</t>
        </is>
      </c>
      <c r="E33" s="67" t="inlineStr">
        <is>
          <t>Customer Ref.</t>
        </is>
      </c>
      <c r="F33" s="91" t="inlineStr">
        <is>
          <t>Customer</t>
        </is>
      </c>
      <c r="G33" s="322" t="inlineStr">
        <is>
          <t>Total</t>
        </is>
      </c>
      <c r="H33" s="71" t="inlineStr">
        <is>
          <t>Sales Rep</t>
        </is>
      </c>
      <c r="I33" s="67" t="inlineStr">
        <is>
          <t>Status</t>
        </is>
      </c>
      <c r="J33" s="67" t="inlineStr">
        <is>
          <t>Payment Type &amp; Status</t>
        </is>
      </c>
      <c r="K33" s="67" t="inlineStr">
        <is>
          <t>Comments</t>
        </is>
      </c>
    </row>
    <row r="34" customFormat="1" s="299">
      <c r="B34" s="32">
        <f>TODAY()</f>
        <v/>
      </c>
      <c r="C34" s="33">
        <f>IF(B3=DATE(2026,3,13),C3,"")</f>
        <v/>
      </c>
      <c r="D34" s="34">
        <f>IF($B3=DATE(2026,3,13),D3,"")</f>
        <v/>
      </c>
      <c r="E34" s="35">
        <f>IF($B3=DATE(2026,3,13),E3,"")</f>
        <v/>
      </c>
      <c r="F34" s="92">
        <f>IF($B3=DATE(2026,3,13),F3,"")</f>
        <v/>
      </c>
      <c r="G34" s="330">
        <f>IF($B3=DATE(2026,3,13),G3,"")</f>
        <v/>
      </c>
      <c r="H34" s="74">
        <f>IF($B3=DATE(2026,3,13),H3,"")</f>
        <v/>
      </c>
      <c r="I34" s="33">
        <f>IF($B3=DATE(2026,3,13),I3,"")</f>
        <v/>
      </c>
      <c r="J34" s="38">
        <f>IF($B3=DATE(2026,3,13),J3,"")</f>
        <v/>
      </c>
      <c r="K34" s="33" t="inlineStr">
        <is>
          <t>Awaiting payment</t>
        </is>
      </c>
      <c r="L34" s="52" t="n"/>
    </row>
    <row r="35" customFormat="1" s="299">
      <c r="B35" s="52" t="n"/>
      <c r="C35" s="33">
        <f>IF(B4=DATE(2026,3,13),C4,"")</f>
        <v/>
      </c>
      <c r="D35" s="34">
        <f>IF($B4=DATE(2026,3,13),D4,"")</f>
        <v/>
      </c>
      <c r="E35" s="35">
        <f>IF($B4=DATE(2026,3,13),E4,"")</f>
        <v/>
      </c>
      <c r="F35" s="92">
        <f>IF($B4=DATE(2026,3,13),F4,"")</f>
        <v/>
      </c>
      <c r="G35" s="330">
        <f>IF($B4=DATE(2026,3,13),G4,"")</f>
        <v/>
      </c>
      <c r="H35" s="74">
        <f>IF($B4=DATE(2026,3,13),H4,"")</f>
        <v/>
      </c>
      <c r="I35" s="33">
        <f>IF($B4=DATE(2026,3,13),I4,"")</f>
        <v/>
      </c>
      <c r="J35" s="38">
        <f>IF($B4=DATE(2026,3,13),J4,"")</f>
        <v/>
      </c>
      <c r="K35" s="33" t="inlineStr">
        <is>
          <t>Awaiting payment</t>
        </is>
      </c>
      <c r="L35" s="52" t="n"/>
    </row>
    <row r="36" customFormat="1" s="299">
      <c r="B36" s="52" t="n"/>
      <c r="C36" s="33">
        <f>IF(B5=DATE(2026,3,13),C5,"")</f>
        <v/>
      </c>
      <c r="D36" s="33">
        <f>IF($B5=DATE(2026,3,13),D5,"")</f>
        <v/>
      </c>
      <c r="E36" s="35">
        <f>IF($B5=DATE(2026,3,13),E5,"")</f>
        <v/>
      </c>
      <c r="F36" s="92">
        <f>IF($B5=DATE(2026,3,13),F5,"")</f>
        <v/>
      </c>
      <c r="G36" s="330">
        <f>IF($B5=DATE(2026,3,13),G5,"")</f>
        <v/>
      </c>
      <c r="H36" s="74">
        <f>IF($B5=DATE(2026,3,13),H5,"")</f>
        <v/>
      </c>
      <c r="I36" s="33">
        <f>IF($B5=DATE(2026,3,13),I5,"")</f>
        <v/>
      </c>
      <c r="J36" s="38">
        <f>IF($B5=DATE(2026,3,13),J5,"")</f>
        <v/>
      </c>
      <c r="K36" s="33" t="inlineStr">
        <is>
          <t>Awaiting payment</t>
        </is>
      </c>
      <c r="L36" s="52" t="n"/>
    </row>
    <row r="37" customFormat="1" s="299">
      <c r="B37" s="52" t="n"/>
      <c r="C37" s="33">
        <f>IF(B6=DATE(2026,3,13),C6,"")</f>
        <v/>
      </c>
      <c r="D37" s="33">
        <f>IF($B6=DATE(2026,3,13),D6,"")</f>
        <v/>
      </c>
      <c r="E37" s="35">
        <f>IF($B6=DATE(2026,3,13),E6,"")</f>
        <v/>
      </c>
      <c r="F37" s="92">
        <f>IF($B6=DATE(2026,3,13),F6,"")</f>
        <v/>
      </c>
      <c r="G37" s="330">
        <f>IF($B6=DATE(2026,3,13),G6,"")</f>
        <v/>
      </c>
      <c r="H37" s="74">
        <f>IF($B6=DATE(2026,3,13),H6,"")</f>
        <v/>
      </c>
      <c r="I37" s="33">
        <f>IF($B6=DATE(2026,3,13),I6,"")</f>
        <v/>
      </c>
      <c r="J37" s="38">
        <f>IF($B6=DATE(2026,3,13),J6,"")</f>
        <v/>
      </c>
      <c r="K37" s="33" t="inlineStr">
        <is>
          <t>Awaiting payment</t>
        </is>
      </c>
      <c r="L37" s="52" t="n"/>
    </row>
    <row r="38" customFormat="1" s="299">
      <c r="B38" s="52" t="n"/>
      <c r="C38" s="33">
        <f>IF(B7=DATE(2026,3,13),C7,"")</f>
        <v/>
      </c>
      <c r="D38" s="33">
        <f>IF($B7=DATE(2026,3,13),D7,"")</f>
        <v/>
      </c>
      <c r="E38" s="35">
        <f>IF($B7=DATE(2026,3,13),E7,"")</f>
        <v/>
      </c>
      <c r="F38" s="92">
        <f>IF($B7=DATE(2026,3,13),F7,"")</f>
        <v/>
      </c>
      <c r="G38" s="330">
        <f>IF($B7=DATE(2026,3,13),G7,"")</f>
        <v/>
      </c>
      <c r="H38" s="74">
        <f>IF($B7=DATE(2026,3,13),H7,"")</f>
        <v/>
      </c>
      <c r="I38" s="33">
        <f>IF($B7=DATE(2026,3,13),I7,"")</f>
        <v/>
      </c>
      <c r="J38" s="38">
        <f>IF($B7=DATE(2026,3,13),J7,"")</f>
        <v/>
      </c>
      <c r="K38" s="33" t="inlineStr">
        <is>
          <t>Awaiting payment</t>
        </is>
      </c>
      <c r="L38" s="52" t="n"/>
    </row>
    <row r="39" ht="28.8" customFormat="1" customHeight="1" s="299">
      <c r="B39" s="52" t="n"/>
      <c r="C39" s="33">
        <f>IF(B8=DATE(2026,3,13),C8,"")</f>
        <v/>
      </c>
      <c r="D39" s="33">
        <f>IF($B8=DATE(2026,3,13),D8,"")</f>
        <v/>
      </c>
      <c r="E39" s="35">
        <f>IF($B8=DATE(2026,3,13),E8,"")</f>
        <v/>
      </c>
      <c r="F39" s="92">
        <f>IF($B8=DATE(2026,3,13),F8,"")</f>
        <v/>
      </c>
      <c r="G39" s="330">
        <f>IF($B8=DATE(2026,3,13),G8,"")</f>
        <v/>
      </c>
      <c r="H39" s="74">
        <f>IF($B8=DATE(2026,3,13),H8,"")</f>
        <v/>
      </c>
      <c r="I39" s="33">
        <f>IF($B8=DATE(2026,3,13),I8,"")</f>
        <v/>
      </c>
      <c r="J39" s="38">
        <f>IF($B8=DATE(2026,3,13),J8,"")</f>
        <v/>
      </c>
      <c r="K39" s="33" t="inlineStr">
        <is>
          <t>To be dispatched 13/03/2026</t>
        </is>
      </c>
      <c r="L39" s="52" t="n"/>
    </row>
    <row r="40" ht="15" customHeight="1" thickBot="1">
      <c r="F40" s="93" t="inlineStr">
        <is>
          <t>Total</t>
        </is>
      </c>
      <c r="G40" s="331">
        <f>SUM(G34:G39)</f>
        <v/>
      </c>
    </row>
  </sheetData>
  <mergeCells count="1">
    <mergeCell ref="K1:L1"/>
  </mergeCells>
  <conditionalFormatting sqref="A3:L27 B34:K34 B35:J37 C38:J39 K35:K39">
    <cfRule type="expression" priority="3" dxfId="0">
      <formula>$L3=TODAY()</formula>
    </cfRule>
  </conditionalFormatting>
  <conditionalFormatting sqref="B38:C39">
    <cfRule type="expression" priority="2" dxfId="0">
      <formula>$K38=TODAY()</formula>
    </cfRule>
  </conditionalFormatting>
  <dataValidations count="1">
    <dataValidation sqref="J3:J28 J30:J32 J34:J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58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zoomScale="85" zoomScaleNormal="85" workbookViewId="0">
      <pane xSplit="2" ySplit="2" topLeftCell="C3" activePane="bottomRight" state="frozen"/>
      <selection activeCell="E26" sqref="E26"/>
      <selection pane="topRight" activeCell="E26" sqref="E26"/>
      <selection pane="bottomLeft" activeCell="E26" sqref="E26"/>
      <selection pane="bottomRight" activeCell="J3" sqref="J3"/>
    </sheetView>
  </sheetViews>
  <sheetFormatPr baseColWidth="8" defaultColWidth="8.88671875" defaultRowHeight="14.4"/>
  <cols>
    <col width="11.21875" bestFit="1" customWidth="1" style="299" min="1" max="1"/>
    <col width="11.77734375" customWidth="1" style="299" min="2" max="2"/>
    <col width="10.88671875" customWidth="1" style="299" min="3" max="3"/>
    <col width="15" bestFit="1" customWidth="1" style="299" min="4" max="4"/>
    <col width="13.77734375" customWidth="1" style="55" min="5" max="5"/>
    <col width="25.5546875" customWidth="1" style="56" min="6" max="6"/>
    <col width="15.5546875" bestFit="1" customWidth="1" style="302" min="7" max="7"/>
    <col width="18.44140625" bestFit="1" customWidth="1" style="56" min="8" max="8"/>
    <col width="15.44140625" bestFit="1" customWidth="1" style="53" min="9" max="9"/>
    <col width="21.88671875" bestFit="1" customWidth="1" style="60" min="10" max="10"/>
    <col width="45.77734375" customWidth="1" style="53" min="11" max="11"/>
    <col width="23.44140625" bestFit="1" customWidth="1" style="299" min="12" max="12"/>
    <col width="8.88671875" customWidth="1" style="23" min="13" max="30"/>
    <col width="8.88671875" customWidth="1" style="23" min="31" max="16384"/>
  </cols>
  <sheetData>
    <row r="1" ht="31.2" customFormat="1" customHeight="1" s="7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4" t="n"/>
      <c r="I1" s="6" t="n"/>
      <c r="J1" s="2" t="n"/>
      <c r="K1" s="296">
        <f>TODAY()</f>
        <v/>
      </c>
      <c r="L1" s="297" t="n"/>
    </row>
    <row r="2" ht="28.8" customFormat="1" customHeight="1" s="13">
      <c r="A2" s="8" t="inlineStr">
        <is>
          <t>Date</t>
        </is>
      </c>
      <c r="B2" s="9" t="inlineStr">
        <is>
          <t>Delivery Date</t>
        </is>
      </c>
      <c r="C2" s="9" t="inlineStr">
        <is>
          <t>Job Number</t>
        </is>
      </c>
      <c r="D2" s="9" t="inlineStr">
        <is>
          <t>SO Number</t>
        </is>
      </c>
      <c r="E2" s="9" t="inlineStr">
        <is>
          <t>Customer Ref.</t>
        </is>
      </c>
      <c r="F2" s="9" t="inlineStr">
        <is>
          <t>Customer</t>
        </is>
      </c>
      <c r="G2" s="304" t="inlineStr">
        <is>
          <t>Price Incl.</t>
        </is>
      </c>
      <c r="H2" s="9" t="inlineStr">
        <is>
          <t>Sales Rep.</t>
        </is>
      </c>
      <c r="I2" s="9" t="inlineStr">
        <is>
          <t>Status</t>
        </is>
      </c>
      <c r="J2" s="9" t="inlineStr">
        <is>
          <t>Payment Type &amp; Status</t>
        </is>
      </c>
      <c r="K2" s="9" t="inlineStr">
        <is>
          <t>Details</t>
        </is>
      </c>
      <c r="L2" s="12" t="inlineStr">
        <is>
          <t>Planned Collection / Delivery</t>
        </is>
      </c>
    </row>
    <row r="3">
      <c r="A3" s="31" t="n">
        <v>46056</v>
      </c>
      <c r="B3" s="15">
        <f>TODAY()</f>
        <v/>
      </c>
      <c r="C3" s="33" t="inlineStr">
        <is>
          <t>FM3808</t>
        </is>
      </c>
      <c r="D3" s="34" t="inlineStr">
        <is>
          <t>SO4339</t>
        </is>
      </c>
      <c r="E3" s="35" t="inlineStr">
        <is>
          <t>PO549NN</t>
        </is>
      </c>
      <c r="F3" s="36" t="inlineStr">
        <is>
          <t>Intervent-Universal (Pty) Ltd</t>
        </is>
      </c>
      <c r="G3" s="306" t="n">
        <v>22816</v>
      </c>
      <c r="H3" s="36" t="inlineStr">
        <is>
          <t>Simon Mokgola</t>
        </is>
      </c>
      <c r="I3" s="33" t="inlineStr">
        <is>
          <t>Ready - Dispatch</t>
        </is>
      </c>
      <c r="J3" s="38" t="inlineStr">
        <is>
          <t>CASH SALE - UNPAID</t>
        </is>
      </c>
      <c r="K3" s="33" t="inlineStr">
        <is>
          <t>RAD 250</t>
        </is>
      </c>
      <c r="L3" s="39">
        <f>Table134567893457896[[#This Row],[Delivery Date]]</f>
        <v/>
      </c>
    </row>
    <row r="4" ht="28.8" customHeight="1">
      <c r="A4" s="14" t="n">
        <v>46065</v>
      </c>
      <c r="B4" s="15">
        <f>TODAY()</f>
        <v/>
      </c>
      <c r="C4" s="16" t="inlineStr">
        <is>
          <t>FM3830</t>
        </is>
      </c>
      <c r="D4" s="17" t="inlineStr">
        <is>
          <t>SO4363</t>
        </is>
      </c>
      <c r="E4" s="18" t="inlineStr">
        <is>
          <t>FMTA4348</t>
        </is>
      </c>
      <c r="F4" s="19" t="inlineStr">
        <is>
          <t>Crystal Sparkle Trading</t>
        </is>
      </c>
      <c r="G4" s="305" t="n">
        <v>283544</v>
      </c>
      <c r="H4" s="19" t="inlineStr">
        <is>
          <t>Mashudu Tshifularo</t>
        </is>
      </c>
      <c r="I4" s="33" t="inlineStr">
        <is>
          <t>Ready - Dispatch</t>
        </is>
      </c>
      <c r="J4" s="21" t="inlineStr">
        <is>
          <t>CASH SALE – PARTIAL</t>
        </is>
      </c>
      <c r="K4" s="16" t="inlineStr">
        <is>
          <t>Fumax 1000.32.F.8.1100.4.3, 1000Diam Screen, Inlet Cone, M/Feet</t>
        </is>
      </c>
      <c r="L4" s="22">
        <f>Table134567893457896[[#This Row],[Delivery Date]]</f>
        <v/>
      </c>
    </row>
    <row r="5">
      <c r="A5" s="14" t="n">
        <v>46072</v>
      </c>
      <c r="B5" s="15">
        <f>TODAY()</f>
        <v/>
      </c>
      <c r="C5" s="16" t="inlineStr">
        <is>
          <t>FM3854</t>
        </is>
      </c>
      <c r="D5" s="17" t="inlineStr">
        <is>
          <t>SO4384</t>
        </is>
      </c>
      <c r="E5" s="18" t="inlineStr">
        <is>
          <t>FM3854</t>
        </is>
      </c>
      <c r="F5" s="19" t="inlineStr">
        <is>
          <t>KG Construction Pty Ltd</t>
        </is>
      </c>
      <c r="G5" s="305" t="n">
        <v>79321.25</v>
      </c>
      <c r="H5" s="19" t="inlineStr">
        <is>
          <t>Simon Mokgola</t>
        </is>
      </c>
      <c r="I5" s="16" t="inlineStr">
        <is>
          <t>Ready - Dispatch</t>
        </is>
      </c>
      <c r="J5" s="21" t="inlineStr">
        <is>
          <t>CASH SALE - UNPAID</t>
        </is>
      </c>
      <c r="K5" s="33" t="inlineStr">
        <is>
          <t>AIRMAX-2.750 P.EC</t>
        </is>
      </c>
      <c r="L5" s="22">
        <f>Table134567893457896[[#This Row],[Delivery Date]]</f>
        <v/>
      </c>
    </row>
    <row r="6" ht="28.8" customHeight="1">
      <c r="A6" s="14" t="n">
        <v>46076</v>
      </c>
      <c r="B6" s="15">
        <f>TODAY()</f>
        <v/>
      </c>
      <c r="C6" s="16" t="inlineStr">
        <is>
          <t>FM3866</t>
        </is>
      </c>
      <c r="D6" s="16" t="inlineStr">
        <is>
          <t>SO4397</t>
        </is>
      </c>
      <c r="E6" s="18" t="inlineStr">
        <is>
          <t>J99335 Replacement</t>
        </is>
      </c>
      <c r="F6" s="19" t="inlineStr">
        <is>
          <t>Moyahabo Mosala Trading and Projects</t>
        </is>
      </c>
      <c r="G6" s="305" t="n">
        <v>88260.89</v>
      </c>
      <c r="H6" s="19" t="inlineStr">
        <is>
          <t>Sizwe Tshabalala</t>
        </is>
      </c>
      <c r="I6" s="16" t="inlineStr">
        <is>
          <t>Ready - Dispatch</t>
        </is>
      </c>
      <c r="J6" s="21" t="inlineStr">
        <is>
          <t>CASH SALE – PARTIAL</t>
        </is>
      </c>
      <c r="K6" s="33" t="inlineStr">
        <is>
          <t>MAJAX-1 1000 c/w 22.00KW 4P 380V Spark Proof</t>
        </is>
      </c>
      <c r="L6" s="22">
        <f>Table134567893457896[[#This Row],[Delivery Date]]</f>
        <v/>
      </c>
    </row>
    <row r="7" ht="28.8" customHeight="1">
      <c r="A7" s="14" t="n">
        <v>46091</v>
      </c>
      <c r="B7" s="15">
        <f>TODAY()</f>
        <v/>
      </c>
      <c r="C7" s="16" t="inlineStr">
        <is>
          <t>FM3909</t>
        </is>
      </c>
      <c r="D7" s="16" t="inlineStr">
        <is>
          <t>SO4442</t>
        </is>
      </c>
      <c r="E7" s="18" t="inlineStr">
        <is>
          <t>FM3909</t>
        </is>
      </c>
      <c r="F7" s="19" t="inlineStr">
        <is>
          <t>VIP SUPERMERCARDO LIMITADA</t>
        </is>
      </c>
      <c r="G7" s="305" t="n">
        <v>7619.9</v>
      </c>
      <c r="H7" s="19" t="inlineStr">
        <is>
          <t>Matimu Budeli</t>
        </is>
      </c>
      <c r="I7" s="16" t="inlineStr">
        <is>
          <t>Ready - Dispatch</t>
        </is>
      </c>
      <c r="J7" s="21" t="inlineStr">
        <is>
          <t>CASH SALE - PAID</t>
        </is>
      </c>
      <c r="K7" s="33" t="inlineStr">
        <is>
          <t>VP 150</t>
        </is>
      </c>
      <c r="L7" s="22">
        <f>Table134567893457896[[#This Row],[Delivery Date]]</f>
        <v/>
      </c>
    </row>
    <row r="8">
      <c r="A8" s="14" t="n">
        <v>46097</v>
      </c>
      <c r="B8" s="15" t="n">
        <v>46098</v>
      </c>
      <c r="C8" s="16" t="inlineStr">
        <is>
          <t>FM3920</t>
        </is>
      </c>
      <c r="D8" s="16" t="inlineStr">
        <is>
          <t>SO4456</t>
        </is>
      </c>
      <c r="E8" s="18" t="inlineStr">
        <is>
          <t>FM3920</t>
        </is>
      </c>
      <c r="F8" s="19" t="inlineStr">
        <is>
          <t>ZEFS More Vision</t>
        </is>
      </c>
      <c r="G8" s="305" t="n">
        <v>9062.58</v>
      </c>
      <c r="H8" s="19" t="inlineStr">
        <is>
          <t>Mashudu Tshifularo</t>
        </is>
      </c>
      <c r="I8" s="16" t="inlineStr">
        <is>
          <t>In Progress</t>
        </is>
      </c>
      <c r="J8" s="21" t="inlineStr">
        <is>
          <t>CASH SALE - PAID</t>
        </is>
      </c>
      <c r="K8" s="33" t="inlineStr">
        <is>
          <t>Maxflo 560/150/10 A c/w 1.10Kw 4P 380V &amp; 560 CF</t>
        </is>
      </c>
      <c r="L8" s="22">
        <f>Table134567893457896[[#This Row],[Delivery Date]]</f>
        <v/>
      </c>
    </row>
    <row r="9" ht="28.8" customHeight="1">
      <c r="A9" s="14" t="n">
        <v>46093</v>
      </c>
      <c r="B9" s="15" t="n">
        <v>46099</v>
      </c>
      <c r="C9" s="16" t="inlineStr">
        <is>
          <t>FM3902</t>
        </is>
      </c>
      <c r="D9" s="17" t="inlineStr">
        <is>
          <t>SO4448</t>
        </is>
      </c>
      <c r="E9" s="18" t="n">
        <v>61713</v>
      </c>
      <c r="F9" s="19" t="inlineStr">
        <is>
          <t>Chabo &amp; Joubert Air Conditioning (Pty) Ltd</t>
        </is>
      </c>
      <c r="G9" s="305" t="n">
        <v>84019</v>
      </c>
      <c r="H9" s="19" t="inlineStr">
        <is>
          <t>Sizwe Tshabalala</t>
        </is>
      </c>
      <c r="I9" s="16" t="inlineStr">
        <is>
          <t>In Progress</t>
        </is>
      </c>
      <c r="J9" s="21" t="inlineStr">
        <is>
          <t>ACCOUNT - UP TO DATE</t>
        </is>
      </c>
      <c r="K9" s="33" t="inlineStr">
        <is>
          <t>Majax 965 c/w 11kW 2STage</t>
        </is>
      </c>
      <c r="L9" s="22">
        <f>Table134567893457896[[#This Row],[Delivery Date]]</f>
        <v/>
      </c>
    </row>
    <row r="10" ht="28.8" customHeight="1">
      <c r="A10" s="14" t="n">
        <v>46094</v>
      </c>
      <c r="B10" s="15" t="n">
        <v>46099</v>
      </c>
      <c r="C10" s="16" t="inlineStr">
        <is>
          <t>FM3917</t>
        </is>
      </c>
      <c r="D10" s="17" t="inlineStr">
        <is>
          <t>SO4452</t>
        </is>
      </c>
      <c r="E10" s="18" t="inlineStr">
        <is>
          <t>PO-2603-001-FMT</t>
        </is>
      </c>
      <c r="F10" s="19" t="inlineStr">
        <is>
          <t>Hurricane Group</t>
        </is>
      </c>
      <c r="G10" s="305" t="n">
        <v>50075.83</v>
      </c>
      <c r="H10" s="19" t="inlineStr">
        <is>
          <t>Sizwe Tshabalala</t>
        </is>
      </c>
      <c r="I10" s="16" t="inlineStr">
        <is>
          <t>In Progress</t>
        </is>
      </c>
      <c r="J10" s="21" t="inlineStr">
        <is>
          <t>CASH SALE – PARTIAL</t>
        </is>
      </c>
      <c r="K10" s="33" t="inlineStr">
        <is>
          <t>Majax 500 c/w 3kW 2Pole</t>
        </is>
      </c>
      <c r="L10" s="22">
        <f>Table134567893457896[[#This Row],[Delivery Date]]</f>
        <v/>
      </c>
    </row>
    <row r="11" ht="28.8" customHeight="1">
      <c r="A11" s="14" t="n">
        <v>46093</v>
      </c>
      <c r="B11" s="15" t="n">
        <v>46100</v>
      </c>
      <c r="C11" s="16" t="inlineStr">
        <is>
          <t>FM3913</t>
        </is>
      </c>
      <c r="D11" s="16" t="inlineStr">
        <is>
          <t>SO4447</t>
        </is>
      </c>
      <c r="E11" s="18" t="inlineStr">
        <is>
          <t>FM3913</t>
        </is>
      </c>
      <c r="F11" s="19" t="inlineStr">
        <is>
          <t>Gibela Trade and Invest 1247 CC t/a GTI AIR</t>
        </is>
      </c>
      <c r="G11" s="305" t="n">
        <v>16022.95</v>
      </c>
      <c r="H11" s="19" t="inlineStr">
        <is>
          <t>Simon Mokgola</t>
        </is>
      </c>
      <c r="I11" s="16" t="inlineStr">
        <is>
          <t>In Progress</t>
        </is>
      </c>
      <c r="J11" s="21" t="inlineStr">
        <is>
          <t>CASH SALE - PAID</t>
        </is>
      </c>
      <c r="K11" s="33" t="inlineStr">
        <is>
          <t>MAJAX-3 630 c/w 7,50KW 2P 380V</t>
        </is>
      </c>
      <c r="L11" s="22">
        <f>Table134567893457896[[#This Row],[Delivery Date]]</f>
        <v/>
      </c>
    </row>
    <row r="12" ht="28.8" customHeight="1">
      <c r="A12" s="40" t="n">
        <v>46070</v>
      </c>
      <c r="B12" s="41" t="n">
        <v>46100</v>
      </c>
      <c r="C12" s="42" t="inlineStr">
        <is>
          <t>FM3848</t>
        </is>
      </c>
      <c r="D12" s="43" t="inlineStr">
        <is>
          <t>SO4379</t>
        </is>
      </c>
      <c r="E12" s="44" t="inlineStr">
        <is>
          <t>ABF001-2026-0017</t>
        </is>
      </c>
      <c r="F12" s="45" t="inlineStr">
        <is>
          <t>Industrial Control &amp; Automation (ICA)</t>
        </is>
      </c>
      <c r="G12" s="307" t="n">
        <v>23874</v>
      </c>
      <c r="H12" s="45" t="inlineStr">
        <is>
          <t>Simon Mokgola</t>
        </is>
      </c>
      <c r="I12" s="42" t="inlineStr">
        <is>
          <t>In Progress</t>
        </is>
      </c>
      <c r="J12" s="47" t="inlineStr">
        <is>
          <t>CASH SALE - PAID</t>
        </is>
      </c>
      <c r="K12" s="83" t="inlineStr">
        <is>
          <t>HEP-31-2M/H 220-240V</t>
        </is>
      </c>
      <c r="L12" s="48">
        <f>Table134567893457896[[#This Row],[Delivery Date]]</f>
        <v/>
      </c>
    </row>
    <row r="13" ht="72" customHeight="1">
      <c r="A13" s="14" t="n">
        <v>46052</v>
      </c>
      <c r="B13" s="15" t="n">
        <v>46101</v>
      </c>
      <c r="C13" s="16" t="inlineStr">
        <is>
          <t>FM3799</t>
        </is>
      </c>
      <c r="D13" s="17" t="inlineStr">
        <is>
          <t>SO4330</t>
        </is>
      </c>
      <c r="E13" s="18" t="inlineStr">
        <is>
          <t>PO0000573</t>
        </is>
      </c>
      <c r="F13" s="19" t="inlineStr">
        <is>
          <t>ST AIR SERVICES AND MAINTENANCE (PTY) LTD</t>
        </is>
      </c>
      <c r="G13" s="305" t="n">
        <v>784244.8</v>
      </c>
      <c r="H13" s="19" t="inlineStr">
        <is>
          <t>Simon Mokgola</t>
        </is>
      </c>
      <c r="I13" s="16" t="inlineStr">
        <is>
          <t>In Progress</t>
        </is>
      </c>
      <c r="J13" s="21" t="inlineStr">
        <is>
          <t>ACCOUNT - UP TO DATE</t>
        </is>
      </c>
      <c r="K13" s="33" t="inlineStr">
        <is>
          <t>Fumax 1000.32.F.8.1100.4.3 - c/w 11 kW 4 Pole 380 V Motor, Fumax 1000.32.F.8.1850.4.3 - c/w 18.5 kW 4 Pole 400 V Motor, Fumax 8004004 - 800 32.F.8 c/w 4 kW 4 Pole 380V, 1000CF, 1000IC, 1000MF, 630-1000AVMS, 800CF, 800IC</t>
        </is>
      </c>
      <c r="L13" s="22">
        <f>Table134567893457896[[#This Row],[Delivery Date]]</f>
        <v/>
      </c>
    </row>
    <row r="14">
      <c r="A14" s="14" t="n">
        <v>46058</v>
      </c>
      <c r="B14" s="15" t="n">
        <v>46101</v>
      </c>
      <c r="C14" s="16" t="inlineStr">
        <is>
          <t>FM3812</t>
        </is>
      </c>
      <c r="D14" s="17" t="inlineStr">
        <is>
          <t>SO4343</t>
        </is>
      </c>
      <c r="E14" s="18" t="inlineStr">
        <is>
          <t>DPO-1616</t>
        </is>
      </c>
      <c r="F14" s="19" t="inlineStr">
        <is>
          <t>Dueltron (Pty) Ltd</t>
        </is>
      </c>
      <c r="G14" s="305" t="n">
        <v>145269.15</v>
      </c>
      <c r="H14" s="19" t="inlineStr">
        <is>
          <t>Mashudu Tshifularo</t>
        </is>
      </c>
      <c r="I14" s="16" t="inlineStr">
        <is>
          <t>In Progress</t>
        </is>
      </c>
      <c r="J14" s="21" t="inlineStr">
        <is>
          <t>ACCOUNT - UP TO DATE</t>
        </is>
      </c>
      <c r="K14" s="33" t="inlineStr">
        <is>
          <t>MAJAX-3 1250 c/w 22,00KW 4P 380V</t>
        </is>
      </c>
      <c r="L14" s="22">
        <f>Table134567893457896[[#This Row],[Delivery Date]]</f>
        <v/>
      </c>
    </row>
    <row r="15" ht="28.8" customHeight="1">
      <c r="A15" s="14" t="n">
        <v>46072</v>
      </c>
      <c r="B15" s="15" t="n">
        <v>46101</v>
      </c>
      <c r="C15" s="16" t="inlineStr">
        <is>
          <t>FM3857</t>
        </is>
      </c>
      <c r="D15" s="16" t="inlineStr">
        <is>
          <t>SO4388</t>
        </is>
      </c>
      <c r="E15" s="18" t="inlineStr">
        <is>
          <t>POL15058</t>
        </is>
      </c>
      <c r="F15" s="19" t="inlineStr">
        <is>
          <t>Heavy Duty Industrial (Pty) Ltd</t>
        </is>
      </c>
      <c r="G15" s="305" t="n">
        <v>280306.93</v>
      </c>
      <c r="H15" s="19" t="inlineStr">
        <is>
          <t>Mashudu Tshifularo</t>
        </is>
      </c>
      <c r="I15" s="16" t="inlineStr">
        <is>
          <t>In Progress</t>
        </is>
      </c>
      <c r="J15" s="21" t="inlineStr">
        <is>
          <t>CASH SALE - PAID</t>
        </is>
      </c>
      <c r="K15" s="33" t="inlineStr">
        <is>
          <t>Plate axial 800mm 150A10 c/w5.5kw 4 pole 380v flame proof motor</t>
        </is>
      </c>
      <c r="L15" s="22">
        <f>Table134567893457896[[#This Row],[Delivery Date]]</f>
        <v/>
      </c>
    </row>
    <row r="16" ht="28.8" customHeight="1">
      <c r="A16" s="40" t="n">
        <v>45972</v>
      </c>
      <c r="B16" s="41" t="n">
        <v>46103</v>
      </c>
      <c r="C16" s="42" t="inlineStr">
        <is>
          <t>FM3633</t>
        </is>
      </c>
      <c r="D16" s="43" t="inlineStr">
        <is>
          <t>SO4171</t>
        </is>
      </c>
      <c r="E16" s="44" t="inlineStr">
        <is>
          <t>A3412094782</t>
        </is>
      </c>
      <c r="F16" s="45" t="inlineStr">
        <is>
          <t>NWK LTD</t>
        </is>
      </c>
      <c r="G16" s="307" t="n">
        <v>14996</v>
      </c>
      <c r="H16" s="45" t="inlineStr">
        <is>
          <t>Sizwe Tshabalala</t>
        </is>
      </c>
      <c r="I16" s="42" t="inlineStr">
        <is>
          <t>In Progress</t>
        </is>
      </c>
      <c r="J16" s="47" t="inlineStr">
        <is>
          <t>ACCOUNT - UP TO DATE</t>
        </is>
      </c>
      <c r="K16" s="83" t="inlineStr">
        <is>
          <t>1 x CMA-325-2M -PO3572 - Indent 0142 - Sodeca ETA: 28/02/2026</t>
        </is>
      </c>
      <c r="L16" s="48">
        <f>Table134567893457896[[#This Row],[Delivery Date]]</f>
        <v/>
      </c>
    </row>
    <row r="17" ht="28.8" customHeight="1">
      <c r="A17" s="40" t="n">
        <v>45981</v>
      </c>
      <c r="B17" s="41" t="n">
        <v>46103</v>
      </c>
      <c r="C17" s="42" t="inlineStr">
        <is>
          <t>FM3676</t>
        </is>
      </c>
      <c r="D17" s="43" t="inlineStr">
        <is>
          <t>SO4204</t>
        </is>
      </c>
      <c r="E17" s="44" t="inlineStr">
        <is>
          <t>B137477</t>
        </is>
      </c>
      <c r="F17" s="45" t="inlineStr">
        <is>
          <t>Vescotech</t>
        </is>
      </c>
      <c r="G17" s="307" t="n">
        <v>22563</v>
      </c>
      <c r="H17" s="45" t="inlineStr">
        <is>
          <t>Sizwe Tshabalala</t>
        </is>
      </c>
      <c r="I17" s="42" t="inlineStr">
        <is>
          <t>In Progress</t>
        </is>
      </c>
      <c r="J17" s="47" t="inlineStr">
        <is>
          <t>CASH SALE - PAID</t>
        </is>
      </c>
      <c r="K17" s="83" t="inlineStr">
        <is>
          <t>HCD - 40 -PO3572 - Indent 0142 - Sodeca ETA: 28/02/2026</t>
        </is>
      </c>
      <c r="L17" s="48">
        <f>Table134567893457896[[#This Row],[Delivery Date]]</f>
        <v/>
      </c>
    </row>
    <row r="18" ht="28.8" customHeight="1">
      <c r="A18" s="40" t="n">
        <v>45985</v>
      </c>
      <c r="B18" s="41" t="n">
        <v>46103</v>
      </c>
      <c r="C18" s="42" t="inlineStr">
        <is>
          <t>FM3685</t>
        </is>
      </c>
      <c r="D18" s="43" t="inlineStr">
        <is>
          <t>SO4215</t>
        </is>
      </c>
      <c r="E18" s="44" t="n">
        <v>4358</v>
      </c>
      <c r="F18" s="45" t="inlineStr">
        <is>
          <t>Air Speration (Pty) Ltd</t>
        </is>
      </c>
      <c r="G18" s="307" t="n">
        <v>13271</v>
      </c>
      <c r="H18" s="45" t="inlineStr">
        <is>
          <t>Mashudu Tshifularo</t>
        </is>
      </c>
      <c r="I18" s="42" t="inlineStr">
        <is>
          <t>In Progress</t>
        </is>
      </c>
      <c r="J18" s="47" t="inlineStr">
        <is>
          <t>CASH SALE - PAID</t>
        </is>
      </c>
      <c r="K18" s="83" t="inlineStr">
        <is>
          <t>1 x CMP820-2T -PO3572 - Indent 0142 - Sodeca ETA: 28/02/2026</t>
        </is>
      </c>
      <c r="L18" s="48">
        <f>Table134567893457896[[#This Row],[Delivery Date]]</f>
        <v/>
      </c>
    </row>
    <row r="19" ht="57.6" customHeight="1">
      <c r="A19" s="14" t="n">
        <v>46077</v>
      </c>
      <c r="B19" s="15" t="n">
        <v>46106</v>
      </c>
      <c r="C19" s="16" t="inlineStr">
        <is>
          <t>FM3875 FM3876</t>
        </is>
      </c>
      <c r="D19" s="16" t="inlineStr">
        <is>
          <t>SO4405</t>
        </is>
      </c>
      <c r="E19" s="18" t="inlineStr">
        <is>
          <t>FM3875 FM3876</t>
        </is>
      </c>
      <c r="F19" s="19" t="inlineStr">
        <is>
          <t>BMT Smart Solutions</t>
        </is>
      </c>
      <c r="G19" s="305" t="n">
        <v>52783.16</v>
      </c>
      <c r="H19" s="19" t="inlineStr">
        <is>
          <t>Simon Mokgola</t>
        </is>
      </c>
      <c r="I19" s="16" t="inlineStr">
        <is>
          <t>In Progress</t>
        </is>
      </c>
      <c r="J19" s="21" t="inlineStr">
        <is>
          <t>ACCOUNT - UP TO DATE</t>
        </is>
      </c>
      <c r="K19" s="33" t="inlineStr">
        <is>
          <t>MAXFLO 500/150/10 A c/w 0.37KW 4P 380V, 500 Diam Silencer 1.5D Podded,M/Feet, 315 to 560 AVMs, Fumax 560.20.D.8 C/W 4KW 2P 380V, 560 Diam Silencer 1.5D Podded,C/Flange,M/ Feet, 315 to 560 AVMs</t>
        </is>
      </c>
      <c r="L19" s="22">
        <f>Table134567893457896[[#This Row],[Delivery Date]]</f>
        <v/>
      </c>
    </row>
    <row r="20">
      <c r="A20" s="14" t="n">
        <v>46094</v>
      </c>
      <c r="B20" s="15" t="n">
        <v>46108</v>
      </c>
      <c r="C20" s="16" t="inlineStr">
        <is>
          <t>FM3891</t>
        </is>
      </c>
      <c r="D20" s="16" t="inlineStr">
        <is>
          <t>SO4455</t>
        </is>
      </c>
      <c r="E20" s="18" t="inlineStr">
        <is>
          <t>POR80557</t>
        </is>
      </c>
      <c r="F20" s="19" t="inlineStr">
        <is>
          <t>Venwood and Baker Electrical</t>
        </is>
      </c>
      <c r="G20" s="305" t="n">
        <v>137207.26</v>
      </c>
      <c r="H20" s="19" t="inlineStr">
        <is>
          <t>Sizwe Tshabalala</t>
        </is>
      </c>
      <c r="I20" s="16" t="inlineStr">
        <is>
          <t>In Progress</t>
        </is>
      </c>
      <c r="J20" s="21" t="inlineStr">
        <is>
          <t>CASH SALE - PAID</t>
        </is>
      </c>
      <c r="K20" s="33" t="inlineStr">
        <is>
          <t>Majax 800 c/w 3kW 4P 525V</t>
        </is>
      </c>
      <c r="L20" s="22">
        <f>Table134567893457896[[#This Row],[Delivery Date]]</f>
        <v/>
      </c>
    </row>
    <row r="21">
      <c r="A21" s="24" t="n">
        <v>45799</v>
      </c>
      <c r="B21" s="25" t="n">
        <v>46111</v>
      </c>
      <c r="C21" s="26" t="inlineStr">
        <is>
          <t>TBA</t>
        </is>
      </c>
      <c r="D21" s="26" t="inlineStr">
        <is>
          <t>SO3760</t>
        </is>
      </c>
      <c r="E21" s="27" t="inlineStr">
        <is>
          <t>ORDER</t>
        </is>
      </c>
      <c r="F21" s="28" t="inlineStr">
        <is>
          <t>Rey &amp; Lenferna Ltd</t>
        </is>
      </c>
      <c r="G21" s="308" t="n">
        <v>545349.34</v>
      </c>
      <c r="H21" s="28" t="inlineStr">
        <is>
          <t>Sizwe - R.O.A</t>
        </is>
      </c>
      <c r="I21" s="26" t="inlineStr">
        <is>
          <t>Not Processed</t>
        </is>
      </c>
      <c r="J21" s="26" t="inlineStr">
        <is>
          <t>ACCOUNT - UP TO DATE</t>
        </is>
      </c>
      <c r="K21" s="76" t="inlineStr">
        <is>
          <t>TBC</t>
        </is>
      </c>
      <c r="L21" s="30">
        <f>Table134567893457896[[#This Row],[Delivery Date]]</f>
        <v/>
      </c>
    </row>
    <row r="22">
      <c r="A22" s="24" t="n">
        <v>46052</v>
      </c>
      <c r="B22" s="25" t="n">
        <v>46111</v>
      </c>
      <c r="C22" s="26" t="inlineStr">
        <is>
          <t>TBA</t>
        </is>
      </c>
      <c r="D22" s="26" t="inlineStr">
        <is>
          <t>SO4331</t>
        </is>
      </c>
      <c r="E22" s="27" t="inlineStr">
        <is>
          <t>ORDER</t>
        </is>
      </c>
      <c r="F22" s="28" t="inlineStr">
        <is>
          <t>Rey &amp; Lenferna Ltd</t>
        </is>
      </c>
      <c r="G22" s="308" t="n">
        <v>538722.6848</v>
      </c>
      <c r="H22" s="28" t="inlineStr">
        <is>
          <t>Sizwe - R.O.A</t>
        </is>
      </c>
      <c r="I22" s="26" t="inlineStr">
        <is>
          <t>Not Processed</t>
        </is>
      </c>
      <c r="J22" s="26" t="inlineStr">
        <is>
          <t>ACCOUNT - UP TO DATE</t>
        </is>
      </c>
      <c r="K22" s="76" t="inlineStr">
        <is>
          <t>TBC</t>
        </is>
      </c>
      <c r="L22" s="30">
        <f>Table134567893457896[[#This Row],[Delivery Date]]</f>
        <v/>
      </c>
    </row>
    <row r="23" ht="28.8" customHeight="1">
      <c r="A23" s="14" t="n">
        <v>46063</v>
      </c>
      <c r="B23" s="15" t="n">
        <v>46111</v>
      </c>
      <c r="C23" s="16" t="inlineStr">
        <is>
          <t>FM3819</t>
        </is>
      </c>
      <c r="D23" s="17" t="inlineStr">
        <is>
          <t>SO4350</t>
        </is>
      </c>
      <c r="E23" s="18" t="inlineStr">
        <is>
          <t>PO-27149</t>
        </is>
      </c>
      <c r="F23" s="19" t="inlineStr">
        <is>
          <t>Aircycle Engineering CC</t>
        </is>
      </c>
      <c r="G23" s="305" t="n">
        <v>64727.75</v>
      </c>
      <c r="H23" s="19" t="inlineStr">
        <is>
          <t>Simon Mokgola</t>
        </is>
      </c>
      <c r="I23" s="16" t="inlineStr">
        <is>
          <t>In Progress</t>
        </is>
      </c>
      <c r="J23" s="21" t="inlineStr">
        <is>
          <t>ACCOUNT - UP TO DATE</t>
        </is>
      </c>
      <c r="K23" s="33" t="inlineStr">
        <is>
          <t>CA/Line/EC - 31 50/60HZ, HCT/EC - 45-2T-2 400V 50/60HZ IE5, AVMs, 450 C/Flange, M/Feet</t>
        </is>
      </c>
      <c r="L23" s="22">
        <f>Table134567893457896[[#This Row],[Delivery Date]]</f>
        <v/>
      </c>
    </row>
    <row r="24">
      <c r="A24" s="14" t="n">
        <v>46077</v>
      </c>
      <c r="B24" s="15" t="n">
        <v>46112</v>
      </c>
      <c r="C24" s="16" t="inlineStr">
        <is>
          <t>FM3874</t>
        </is>
      </c>
      <c r="D24" s="16" t="inlineStr">
        <is>
          <t>SO4404</t>
        </is>
      </c>
      <c r="E24" s="18" t="inlineStr">
        <is>
          <t>Nicotra-Fan</t>
        </is>
      </c>
      <c r="F24" s="19" t="inlineStr">
        <is>
          <t>ITD North Pty Ltd</t>
        </is>
      </c>
      <c r="G24" s="305" t="n">
        <v>94247.10000000001</v>
      </c>
      <c r="H24" s="19" t="inlineStr">
        <is>
          <t>Mashudu Tshifularo</t>
        </is>
      </c>
      <c r="I24" s="16" t="inlineStr">
        <is>
          <t>In Progress</t>
        </is>
      </c>
      <c r="J24" s="21" t="inlineStr">
        <is>
          <t>CASH SALE – PARTIAL</t>
        </is>
      </c>
      <c r="K24" s="33" t="inlineStr">
        <is>
          <t>RDH 710 K2 - Nicotra Fan</t>
        </is>
      </c>
      <c r="L24" s="22">
        <f>Table134567893457896[[#This Row],[Delivery Date]]</f>
        <v/>
      </c>
    </row>
    <row r="25" ht="28.8" customHeight="1">
      <c r="A25" s="14" t="n">
        <v>46091</v>
      </c>
      <c r="B25" s="15" t="n">
        <v>46114</v>
      </c>
      <c r="C25" s="16" t="inlineStr">
        <is>
          <t>FM3907</t>
        </is>
      </c>
      <c r="D25" s="16" t="inlineStr">
        <is>
          <t>SO4440</t>
        </is>
      </c>
      <c r="E25" s="18" t="inlineStr">
        <is>
          <t>PO2228</t>
        </is>
      </c>
      <c r="F25" s="19" t="inlineStr">
        <is>
          <t>Hucra Fans</t>
        </is>
      </c>
      <c r="G25" s="305" t="n">
        <v>21208.3</v>
      </c>
      <c r="H25" s="19" t="inlineStr">
        <is>
          <t>Sales Agent Hucra Fans</t>
        </is>
      </c>
      <c r="I25" s="16" t="inlineStr">
        <is>
          <t>In Progress</t>
        </is>
      </c>
      <c r="J25" s="21" t="inlineStr">
        <is>
          <t>ACCOUNT - UP TO DATE</t>
        </is>
      </c>
      <c r="K25" s="33" t="inlineStr">
        <is>
          <t>K05-MS 2.2K 380V</t>
        </is>
      </c>
      <c r="L25" s="22">
        <f>Table134567893457896[[#This Row],[Delivery Date]]</f>
        <v/>
      </c>
    </row>
    <row r="26" ht="29.4" customHeight="1" thickBot="1">
      <c r="A26" s="40" t="n">
        <v>46069</v>
      </c>
      <c r="B26" s="41" t="n">
        <v>46157</v>
      </c>
      <c r="C26" s="42" t="inlineStr">
        <is>
          <t>FM3841</t>
        </is>
      </c>
      <c r="D26" s="43" t="inlineStr">
        <is>
          <t>SO4372</t>
        </is>
      </c>
      <c r="E26" s="44" t="inlineStr">
        <is>
          <t>PO2213</t>
        </is>
      </c>
      <c r="F26" s="45" t="inlineStr">
        <is>
          <t>Hucra Fans</t>
        </is>
      </c>
      <c r="G26" s="307" t="n">
        <v>379993.35</v>
      </c>
      <c r="H26" s="45" t="inlineStr">
        <is>
          <t>Sales Agent Hucra Fans</t>
        </is>
      </c>
      <c r="I26" s="42" t="inlineStr">
        <is>
          <t>In Progress</t>
        </is>
      </c>
      <c r="J26" s="47" t="inlineStr">
        <is>
          <t>ACCOUNT - UP TO DATE</t>
        </is>
      </c>
      <c r="K26" s="83" t="inlineStr">
        <is>
          <t>SCL K11 MS - 11.0kW - 525V</t>
        </is>
      </c>
      <c r="L26" s="48">
        <f>Table134567893457896[[#This Row],[Delivery Date]]</f>
        <v/>
      </c>
    </row>
    <row r="27" ht="15" customHeight="1" thickBot="1">
      <c r="A27" s="14" t="n"/>
      <c r="B27" s="15" t="n"/>
      <c r="C27" s="16" t="n"/>
      <c r="D27" s="17" t="n"/>
      <c r="E27" s="18" t="n"/>
      <c r="F27" s="19" t="n"/>
      <c r="G27" s="310">
        <f>SUBTOTAL(109,G3:G26)</f>
        <v/>
      </c>
      <c r="H27" s="51" t="n"/>
      <c r="I27" s="16" t="n"/>
      <c r="J27" s="21" t="n"/>
      <c r="K27" s="16" t="n"/>
      <c r="L27" s="22" t="n"/>
    </row>
    <row r="28">
      <c r="A28" s="52" t="n"/>
      <c r="B28" s="52" t="n"/>
      <c r="C28" s="53" t="n"/>
      <c r="G28" s="312" t="n"/>
      <c r="L28" s="52" t="n"/>
    </row>
    <row r="29" ht="15" customHeight="1" thickBot="1">
      <c r="D29" s="313" t="inlineStr">
        <is>
          <t>MARCH</t>
        </is>
      </c>
      <c r="E29" s="314" t="inlineStr">
        <is>
          <t>APRIL</t>
        </is>
      </c>
      <c r="I29" s="314" t="inlineStr">
        <is>
          <t>Dispatch</t>
        </is>
      </c>
    </row>
    <row r="30" ht="15" customFormat="1" customHeight="1" s="299" thickBot="1">
      <c r="C30" s="332" t="inlineStr">
        <is>
          <t>Cash Sale</t>
        </is>
      </c>
      <c r="D30" s="306">
        <f t="array" ref="D30">SUMPRODUCT((MONTH(B3:B26)=3)*(YEAR(B3:B26)=2026)*(ISNUMBER(SEARCH("CASH SALE",J3:J26)))*(G3:G26))</f>
        <v/>
      </c>
      <c r="E30" s="316">
        <f t="array" ref="E30">SUMPRODUCT((MONTH(B3:B26)=4)*(YEAR(B3:B26)=2026)*(ISNUMBER(SEARCH("CASH SALE",J3:J26)))*(G3:G26))</f>
        <v/>
      </c>
      <c r="G30" s="302" t="n"/>
      <c r="H30" s="56" t="n"/>
      <c r="I30" s="317">
        <f>SUMIF(I3:I26,"*Ready - Dispatch*",G3:G26)</f>
        <v/>
      </c>
      <c r="J30" s="60" t="n"/>
      <c r="K30" s="53" t="n"/>
    </row>
    <row r="31" customFormat="1" s="299">
      <c r="C31" s="332" t="inlineStr">
        <is>
          <t>Account</t>
        </is>
      </c>
      <c r="D31" s="306">
        <f t="array" ref="D31">SUMPRODUCT((MONTH(B3:B26)=3)*(YEAR(B3:B26)=2026)*(ISNUMBER(SEARCH("ACCOUNT",J3:J26)))*(G3:G26))</f>
        <v/>
      </c>
      <c r="E31" s="316">
        <f t="array" ref="E31">SUMPRODUCT((MONTH(B3:B26)=4)*(YEAR(B3:B26)=2026)*(ISNUMBER(SEARCH("ACCOUNT",J3:J26)))*(G3:G26))</f>
        <v/>
      </c>
      <c r="G31" s="302" t="n"/>
      <c r="H31" s="56" t="n"/>
      <c r="I31" s="53" t="n"/>
      <c r="J31" s="60" t="n"/>
      <c r="K31" s="53" t="n"/>
    </row>
    <row r="32" customFormat="1" s="299">
      <c r="C32" s="332" t="inlineStr">
        <is>
          <t xml:space="preserve">Total </t>
        </is>
      </c>
      <c r="D32" s="333">
        <f>D31+D30</f>
        <v/>
      </c>
      <c r="E32" s="334">
        <f>E31+E30</f>
        <v/>
      </c>
      <c r="F32" s="302" t="n"/>
      <c r="G32" s="56" t="n"/>
      <c r="H32" s="53" t="n"/>
      <c r="I32" s="60" t="n"/>
      <c r="J32" s="53" t="n"/>
    </row>
    <row r="33" ht="15" customFormat="1" customHeight="1" s="299" thickBot="1">
      <c r="E33" s="55" t="n"/>
      <c r="F33" s="56" t="n"/>
      <c r="G33" s="302" t="n"/>
      <c r="H33" s="56" t="n"/>
      <c r="I33" s="53" t="n"/>
      <c r="J33" s="60" t="n"/>
      <c r="K33" s="53" t="n"/>
    </row>
    <row r="34" ht="28.8" customFormat="1" customHeight="1" s="299">
      <c r="B34" s="67" t="inlineStr">
        <is>
          <t>Delivery Date</t>
        </is>
      </c>
      <c r="C34" s="67" t="inlineStr">
        <is>
          <t>Job Number</t>
        </is>
      </c>
      <c r="D34" s="67" t="inlineStr">
        <is>
          <t>SO Number</t>
        </is>
      </c>
      <c r="E34" s="67" t="inlineStr">
        <is>
          <t>Customer Ref.</t>
        </is>
      </c>
      <c r="F34" s="91" t="inlineStr">
        <is>
          <t>Customer</t>
        </is>
      </c>
      <c r="G34" s="322" t="inlineStr">
        <is>
          <t>Total</t>
        </is>
      </c>
      <c r="H34" s="71" t="inlineStr">
        <is>
          <t>Sales Rep</t>
        </is>
      </c>
      <c r="I34" s="67" t="inlineStr">
        <is>
          <t>Status</t>
        </is>
      </c>
      <c r="J34" s="67" t="inlineStr">
        <is>
          <t>Payment Type &amp; Status</t>
        </is>
      </c>
      <c r="K34" s="67" t="inlineStr">
        <is>
          <t>Comments</t>
        </is>
      </c>
    </row>
    <row r="35" customFormat="1" s="299">
      <c r="B35" s="32">
        <f>TODAY()</f>
        <v/>
      </c>
      <c r="C35" s="33" t="inlineStr">
        <is>
          <t>FM3808</t>
        </is>
      </c>
      <c r="D35" s="34" t="inlineStr">
        <is>
          <t>SO4339</t>
        </is>
      </c>
      <c r="E35" s="35" t="inlineStr">
        <is>
          <t>PO549NN</t>
        </is>
      </c>
      <c r="F35" s="92" t="inlineStr">
        <is>
          <t>Intervent-Universal (Pty) Ltd</t>
        </is>
      </c>
      <c r="G35" s="330" t="n">
        <v>22816</v>
      </c>
      <c r="H35" s="74" t="inlineStr">
        <is>
          <t>Simon Mokgola</t>
        </is>
      </c>
      <c r="I35" s="33" t="inlineStr">
        <is>
          <t>Ready - Dispatch</t>
        </is>
      </c>
      <c r="J35" s="38" t="inlineStr">
        <is>
          <t>CASH SALE - UNPAID</t>
        </is>
      </c>
      <c r="K35" s="33" t="inlineStr">
        <is>
          <t>Awaiting payment</t>
        </is>
      </c>
      <c r="L35" s="52" t="n"/>
    </row>
    <row r="36" customFormat="1" s="299">
      <c r="B36" s="52" t="n"/>
      <c r="C36" s="33" t="inlineStr">
        <is>
          <t>FM3830</t>
        </is>
      </c>
      <c r="D36" s="34" t="inlineStr">
        <is>
          <t>SO4363</t>
        </is>
      </c>
      <c r="E36" s="35" t="inlineStr">
        <is>
          <t>FMTA4348</t>
        </is>
      </c>
      <c r="F36" s="92" t="inlineStr">
        <is>
          <t>Crystal Sparkle Trading</t>
        </is>
      </c>
      <c r="G36" s="330" t="n">
        <v>283544</v>
      </c>
      <c r="H36" s="74" t="inlineStr">
        <is>
          <t>Mashudu Tshifularo</t>
        </is>
      </c>
      <c r="I36" s="33" t="inlineStr">
        <is>
          <t>Ready - Dispatch</t>
        </is>
      </c>
      <c r="J36" s="38" t="inlineStr">
        <is>
          <t>CASH SALE – PARTIAL</t>
        </is>
      </c>
      <c r="K36" s="33" t="inlineStr">
        <is>
          <t>Awaiting payment</t>
        </is>
      </c>
      <c r="L36" s="52" t="n"/>
    </row>
    <row r="37" customFormat="1" s="299">
      <c r="B37" s="52" t="n"/>
      <c r="C37" s="33" t="inlineStr">
        <is>
          <t>FM3854</t>
        </is>
      </c>
      <c r="D37" s="33" t="inlineStr">
        <is>
          <t>SO4384</t>
        </is>
      </c>
      <c r="E37" s="35" t="inlineStr">
        <is>
          <t>FM3854</t>
        </is>
      </c>
      <c r="F37" s="92" t="inlineStr">
        <is>
          <t>KG Construction Pty Ltd</t>
        </is>
      </c>
      <c r="G37" s="330" t="n">
        <v>79321.25</v>
      </c>
      <c r="H37" s="74" t="inlineStr">
        <is>
          <t>Simon Mokgola</t>
        </is>
      </c>
      <c r="I37" s="33" t="inlineStr">
        <is>
          <t>Ready - Dispatch</t>
        </is>
      </c>
      <c r="J37" s="38" t="inlineStr">
        <is>
          <t>CASH SALE - UNPAID</t>
        </is>
      </c>
      <c r="K37" s="33" t="inlineStr">
        <is>
          <t>Awaiting payment</t>
        </is>
      </c>
      <c r="L37" s="52" t="n"/>
    </row>
    <row r="38" ht="28.8" customFormat="1" customHeight="1" s="299">
      <c r="B38" s="52" t="n"/>
      <c r="C38" s="33" t="inlineStr">
        <is>
          <t>FM3866</t>
        </is>
      </c>
      <c r="D38" s="33" t="inlineStr">
        <is>
          <t>SO4397</t>
        </is>
      </c>
      <c r="E38" s="35" t="inlineStr">
        <is>
          <t>J99335 Replacement</t>
        </is>
      </c>
      <c r="F38" s="92" t="inlineStr">
        <is>
          <t>Moyahabo Mosala Trading and Projects</t>
        </is>
      </c>
      <c r="G38" s="330" t="n">
        <v>88260.89</v>
      </c>
      <c r="H38" s="74" t="inlineStr">
        <is>
          <t>Sizwe Tshabalala</t>
        </is>
      </c>
      <c r="I38" s="33" t="inlineStr">
        <is>
          <t>Ready - Dispatch</t>
        </is>
      </c>
      <c r="J38" s="38" t="inlineStr">
        <is>
          <t>CASH SALE – PARTIAL</t>
        </is>
      </c>
      <c r="K38" s="33" t="inlineStr">
        <is>
          <t>Awaiting payment</t>
        </is>
      </c>
      <c r="L38" s="52" t="n"/>
    </row>
    <row r="39" ht="28.8" customFormat="1" customHeight="1" s="299">
      <c r="B39" s="52" t="n"/>
      <c r="C39" s="33" t="inlineStr">
        <is>
          <t>FM3909</t>
        </is>
      </c>
      <c r="D39" s="33" t="inlineStr">
        <is>
          <t>SO4442</t>
        </is>
      </c>
      <c r="E39" s="35" t="inlineStr">
        <is>
          <t>FM3909</t>
        </is>
      </c>
      <c r="F39" s="92" t="inlineStr">
        <is>
          <t>VIP SUPERMERCARDO LIMITADA</t>
        </is>
      </c>
      <c r="G39" s="330" t="n">
        <v>7619.9</v>
      </c>
      <c r="H39" s="74" t="n"/>
      <c r="I39" s="33" t="inlineStr">
        <is>
          <t>Ready - Dispatch</t>
        </is>
      </c>
      <c r="J39" s="38" t="inlineStr">
        <is>
          <t>CASH SALE - PAID</t>
        </is>
      </c>
      <c r="K39" s="33" t="n"/>
      <c r="L39" s="52" t="n"/>
    </row>
    <row r="40" ht="15" customHeight="1" thickBot="1">
      <c r="F40" s="93" t="inlineStr">
        <is>
          <t>Total</t>
        </is>
      </c>
      <c r="G40" s="331">
        <f>SUM(G35:G39)</f>
        <v/>
      </c>
    </row>
  </sheetData>
  <mergeCells count="1">
    <mergeCell ref="K1:L1"/>
  </mergeCells>
  <conditionalFormatting sqref="A3:L28 B35:K39">
    <cfRule type="expression" priority="2" dxfId="0">
      <formula>$L3=TODAY()</formula>
    </cfRule>
  </conditionalFormatting>
  <dataValidations count="1">
    <dataValidation sqref="I32 J3:J29 J31 J33 J35:J1048576" showDropDown="0" showInputMessage="1" showErrorMessage="1" allowBlank="1" type="list">
      <formula1>"CASH SALE - UNPAID, CASH SALE - PAID, CASH SALE – PARTIAL, ACCOUNT - OVER LIMIT, ACCOUNT - UP TO DATE, ACCOUNT - PENDING"</formula1>
    </dataValidation>
  </dataValidations>
  <printOptions horizontalCentered="1"/>
  <pageMargins left="0.03937007874015748" right="0.03937007874015748" top="0.1574803149606299" bottom="0.1574803149606299" header="0.3149606299212598" footer="0.3149606299212598"/>
  <pageSetup orientation="landscape" paperSize="9" scale="54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45" sqref="K45"/>
    </sheetView>
  </sheetViews>
  <sheetFormatPr baseColWidth="8" defaultRowHeight="14.4"/>
  <cols>
    <col width="12" customWidth="1" min="1" max="2"/>
    <col width="11.109375" bestFit="1" customWidth="1" min="3" max="3"/>
    <col width="10.77734375" bestFit="1" customWidth="1" min="4" max="4"/>
    <col width="20" customWidth="1" min="5" max="5"/>
    <col width="36.109375" customWidth="1" min="6" max="6"/>
    <col width="15" customWidth="1" min="7" max="7"/>
    <col width="20" customWidth="1" min="8" max="8"/>
    <col width="15" customWidth="1" style="97" min="9" max="9"/>
    <col width="21.109375" bestFit="1" customWidth="1" style="97" min="10" max="10"/>
    <col width="75.77734375" customWidth="1" style="98" min="11" max="11"/>
    <col width="16.6640625" customWidth="1" style="97" min="12" max="12"/>
  </cols>
  <sheetData>
    <row r="1" ht="31.8" customFormat="1" customHeight="1" s="7" thickBot="1">
      <c r="A1" s="1" t="inlineStr">
        <is>
          <t>SALES ORDER REPORT</t>
        </is>
      </c>
      <c r="B1" s="2" t="n"/>
      <c r="C1" s="2" t="n"/>
      <c r="D1" s="2" t="n"/>
      <c r="E1" s="3" t="n"/>
      <c r="F1" s="4" t="n"/>
      <c r="G1" s="303" t="n"/>
      <c r="H1" s="4" t="n"/>
      <c r="I1" s="6" t="n"/>
      <c r="J1" s="2" t="n"/>
      <c r="K1" s="296" t="n">
        <v>46098</v>
      </c>
      <c r="L1" s="297" t="n"/>
    </row>
    <row r="2" ht="28.8" customHeight="1">
      <c r="A2" s="108" t="inlineStr">
        <is>
          <t>Date</t>
        </is>
      </c>
      <c r="B2" s="108" t="inlineStr">
        <is>
          <t>Delivery Date</t>
        </is>
      </c>
      <c r="C2" s="108" t="inlineStr">
        <is>
          <t>Job Number</t>
        </is>
      </c>
      <c r="D2" s="108" t="inlineStr">
        <is>
          <t>SO Number</t>
        </is>
      </c>
      <c r="E2" s="108" t="inlineStr">
        <is>
          <t>Customer Ref.</t>
        </is>
      </c>
      <c r="F2" s="111" t="inlineStr">
        <is>
          <t>Customer</t>
        </is>
      </c>
      <c r="G2" s="115" t="inlineStr">
        <is>
          <t>Total</t>
        </is>
      </c>
      <c r="H2" s="113" t="inlineStr">
        <is>
          <t>Sales Rep</t>
        </is>
      </c>
      <c r="I2" s="108" t="inlineStr">
        <is>
          <t>Status</t>
        </is>
      </c>
      <c r="J2" s="108" t="inlineStr">
        <is>
          <t>Payment Status</t>
        </is>
      </c>
      <c r="K2" s="108" t="inlineStr">
        <is>
          <t>Details</t>
        </is>
      </c>
      <c r="L2" s="108" t="inlineStr">
        <is>
          <t>Delivery Date (Copy)</t>
        </is>
      </c>
    </row>
    <row r="3">
      <c r="A3" s="107" t="n">
        <v>46093</v>
      </c>
      <c r="B3" s="107" t="n">
        <v>46098</v>
      </c>
      <c r="C3" s="105" t="inlineStr">
        <is>
          <t>FM3913</t>
        </is>
      </c>
      <c r="D3" s="105" t="inlineStr">
        <is>
          <t>SO4447</t>
        </is>
      </c>
      <c r="E3" s="105" t="inlineStr">
        <is>
          <t>FM3913</t>
        </is>
      </c>
      <c r="F3" s="112" t="inlineStr">
        <is>
          <t>Gibela Trade and Invest 1247 CC t/a GTI AIR</t>
        </is>
      </c>
      <c r="G3" s="335" t="n">
        <v>16022.95</v>
      </c>
      <c r="H3" s="114" t="inlineStr">
        <is>
          <t>Simon Mokgola</t>
        </is>
      </c>
      <c r="I3" s="106" t="inlineStr">
        <is>
          <t>In Progress</t>
        </is>
      </c>
      <c r="J3" s="106" t="inlineStr">
        <is>
          <t>ACCOUNT - UP TO DATE</t>
        </is>
      </c>
      <c r="K3" s="105" t="inlineStr">
        <is>
          <t>MAJAX-3 630 c/w 7,50KW 2P 380V (Qty: 1)</t>
        </is>
      </c>
      <c r="L3" s="104">
        <f>B3</f>
        <v/>
      </c>
    </row>
    <row r="4">
      <c r="A4" s="107" t="n">
        <v>46097</v>
      </c>
      <c r="B4" s="107" t="n">
        <v>46098</v>
      </c>
      <c r="C4" s="105" t="inlineStr">
        <is>
          <t>FM3922</t>
        </is>
      </c>
      <c r="D4" s="105" t="inlineStr">
        <is>
          <t>SO4458</t>
        </is>
      </c>
      <c r="E4" s="105" t="inlineStr">
        <is>
          <t>Cash Sale</t>
        </is>
      </c>
      <c r="F4" s="112" t="inlineStr">
        <is>
          <t>Celette SA (PTY) LTD</t>
        </is>
      </c>
      <c r="G4" s="335" t="n">
        <v>8084.03</v>
      </c>
      <c r="H4" s="114" t="inlineStr">
        <is>
          <t>Sizwe Tshabalala</t>
        </is>
      </c>
      <c r="I4" s="106" t="inlineStr">
        <is>
          <t>Ready-Dispatch</t>
        </is>
      </c>
      <c r="J4" s="106" t="inlineStr">
        <is>
          <t>CASH SALE - UNPAID</t>
        </is>
      </c>
      <c r="K4" s="105" t="inlineStr">
        <is>
          <t>AT 18/18 SC - Single Unit (Qty: 1)</t>
        </is>
      </c>
      <c r="L4" s="104">
        <f>B4</f>
        <v/>
      </c>
    </row>
    <row r="5">
      <c r="A5" s="107" t="n">
        <v>46056</v>
      </c>
      <c r="B5" s="107" t="n">
        <v>46098.62421899306</v>
      </c>
      <c r="C5" s="105" t="inlineStr">
        <is>
          <t>FM3808</t>
        </is>
      </c>
      <c r="D5" s="105" t="inlineStr">
        <is>
          <t>SO4339</t>
        </is>
      </c>
      <c r="E5" s="105" t="inlineStr">
        <is>
          <t>PO549NN</t>
        </is>
      </c>
      <c r="F5" s="112" t="inlineStr">
        <is>
          <t>Intervent-Universal (Pty) Ltd</t>
        </is>
      </c>
      <c r="G5" s="335" t="n">
        <v>22816</v>
      </c>
      <c r="H5" s="114" t="inlineStr">
        <is>
          <t>Simon Mokgola</t>
        </is>
      </c>
      <c r="I5" s="106" t="inlineStr">
        <is>
          <t>Ready-Dispatch</t>
        </is>
      </c>
      <c r="J5" s="106" t="inlineStr">
        <is>
          <t>ACCOUNT - UP TO DATE</t>
        </is>
      </c>
      <c r="K5" s="105" t="inlineStr">
        <is>
          <t>RAD 250 (Qty: 8)</t>
        </is>
      </c>
      <c r="L5" s="104">
        <f>B5</f>
        <v/>
      </c>
    </row>
    <row r="6">
      <c r="A6" s="107" t="n">
        <v>46072</v>
      </c>
      <c r="B6" s="107" t="n">
        <v>46098.62421899306</v>
      </c>
      <c r="C6" s="105" t="inlineStr">
        <is>
          <t>FM3854</t>
        </is>
      </c>
      <c r="D6" s="105" t="inlineStr">
        <is>
          <t>SO4384</t>
        </is>
      </c>
      <c r="E6" s="105" t="inlineStr">
        <is>
          <t>FM3854</t>
        </is>
      </c>
      <c r="F6" s="112" t="inlineStr">
        <is>
          <t>KG Construction Pty Ltd</t>
        </is>
      </c>
      <c r="G6" s="335" t="n">
        <v>79321.25</v>
      </c>
      <c r="H6" s="114" t="inlineStr">
        <is>
          <t>Simon Mokgola</t>
        </is>
      </c>
      <c r="I6" s="106" t="inlineStr">
        <is>
          <t>Ready-Dispatch</t>
        </is>
      </c>
      <c r="J6" s="106" t="inlineStr">
        <is>
          <t>ACCOUNT - UP TO DATE</t>
        </is>
      </c>
      <c r="K6" s="105" t="inlineStr">
        <is>
          <t>AIRMAX-2.750 P.EC (Qty: 25)</t>
        </is>
      </c>
      <c r="L6" s="104">
        <f>B6</f>
        <v/>
      </c>
    </row>
    <row r="7">
      <c r="A7" s="107" t="n">
        <v>46076</v>
      </c>
      <c r="B7" s="107" t="n">
        <v>46098.62421899306</v>
      </c>
      <c r="C7" s="105" t="inlineStr">
        <is>
          <t>FM3866</t>
        </is>
      </c>
      <c r="D7" s="105" t="inlineStr">
        <is>
          <t>SO4397</t>
        </is>
      </c>
      <c r="E7" s="105" t="inlineStr">
        <is>
          <t>J99335 Replacement</t>
        </is>
      </c>
      <c r="F7" s="112" t="inlineStr">
        <is>
          <t>Moyahabo Mosala Trading and Projects</t>
        </is>
      </c>
      <c r="G7" s="335" t="n">
        <v>88260.89</v>
      </c>
      <c r="H7" s="114" t="inlineStr">
        <is>
          <t>Sizwe Tshabalala</t>
        </is>
      </c>
      <c r="I7" s="106" t="inlineStr">
        <is>
          <t>In Progress</t>
        </is>
      </c>
      <c r="J7" s="106" t="inlineStr">
        <is>
          <t>ACCOUNT - UP TO DATE</t>
        </is>
      </c>
      <c r="K7" s="105" t="inlineStr">
        <is>
          <t>MAJAX-1 1000 c/w 22,00KW 4P 380V Spark Proof (Qty: 1)</t>
        </is>
      </c>
      <c r="L7" s="104">
        <f>B7</f>
        <v/>
      </c>
    </row>
    <row r="8">
      <c r="A8" s="107" t="n">
        <v>46091</v>
      </c>
      <c r="B8" s="107" t="n">
        <v>46098.62421899306</v>
      </c>
      <c r="C8" s="105" t="inlineStr">
        <is>
          <t>FM3909</t>
        </is>
      </c>
      <c r="D8" s="105" t="inlineStr">
        <is>
          <t>SO4442</t>
        </is>
      </c>
      <c r="E8" s="105" t="inlineStr">
        <is>
          <t>FM3909</t>
        </is>
      </c>
      <c r="F8" s="112" t="inlineStr">
        <is>
          <t>VIP SUPERMERCARDO LIMITADA</t>
        </is>
      </c>
      <c r="G8" s="335" t="n">
        <v>7619.9</v>
      </c>
      <c r="H8" s="114" t="inlineStr">
        <is>
          <t>Sizwe - R.O.A</t>
        </is>
      </c>
      <c r="I8" s="106" t="inlineStr">
        <is>
          <t>Ready-Dispatch</t>
        </is>
      </c>
      <c r="J8" s="106" t="inlineStr">
        <is>
          <t>ACCOUNT - UP TO DATE</t>
        </is>
      </c>
      <c r="K8" s="105" t="inlineStr">
        <is>
          <t>VP 150K (Qty: 2)</t>
        </is>
      </c>
      <c r="L8" s="104">
        <f>B8</f>
        <v/>
      </c>
    </row>
    <row r="9" ht="43.2" customHeight="1">
      <c r="A9" s="107" t="n">
        <v>46097</v>
      </c>
      <c r="B9" s="107" t="n">
        <v>46098.62421899306</v>
      </c>
      <c r="C9" s="105" t="inlineStr">
        <is>
          <t>FM3921</t>
        </is>
      </c>
      <c r="D9" s="105" t="inlineStr">
        <is>
          <t>SO4457</t>
        </is>
      </c>
      <c r="E9" s="105" t="inlineStr">
        <is>
          <t>DPO-1715</t>
        </is>
      </c>
      <c r="F9" s="112" t="inlineStr">
        <is>
          <t>Dueltron (Pty) Ltd</t>
        </is>
      </c>
      <c r="G9" s="335" t="n">
        <v>5597.05</v>
      </c>
      <c r="H9" s="114" t="inlineStr">
        <is>
          <t>Mashudu Tshifularo</t>
        </is>
      </c>
      <c r="I9" s="106" t="inlineStr">
        <is>
          <t>In Progress</t>
        </is>
      </c>
      <c r="J9" s="106" t="inlineStr">
        <is>
          <t>ACCOUNT - UP TO DATE</t>
        </is>
      </c>
      <c r="K9" s="105" t="inlineStr">
        <is>
          <t>315 X 70 Wide Radical Bladed Fan - Existing Inlet ring removed - New one Manufactured &amp; re-assembled (Qty: 1)
Re-balance Impeller (Qty: 1)</t>
        </is>
      </c>
      <c r="L9" s="104">
        <f>B9</f>
        <v/>
      </c>
    </row>
    <row r="10" ht="28.8" customHeight="1">
      <c r="A10" s="107" t="n">
        <v>46097</v>
      </c>
      <c r="B10" s="107" t="n">
        <v>46098.62421899306</v>
      </c>
      <c r="C10" s="105" t="inlineStr">
        <is>
          <t>FM3924</t>
        </is>
      </c>
      <c r="D10" s="105" t="inlineStr">
        <is>
          <t>SO4460</t>
        </is>
      </c>
      <c r="E10" s="105" t="inlineStr">
        <is>
          <t xml:space="preserve">PO0000602 </t>
        </is>
      </c>
      <c r="F10" s="112" t="inlineStr">
        <is>
          <t>ST AIR SERVICES AND MAINTENANCE (PTY) LTD</t>
        </is>
      </c>
      <c r="G10" s="335" t="n">
        <v>1652.55</v>
      </c>
      <c r="H10" s="114" t="inlineStr">
        <is>
          <t>Simon Mokgola</t>
        </is>
      </c>
      <c r="I10" s="106" t="inlineStr">
        <is>
          <t>Ready-Dispatch</t>
        </is>
      </c>
      <c r="J10" s="106" t="inlineStr">
        <is>
          <t>ACCOUNT - UP TO DATE</t>
        </is>
      </c>
      <c r="K10" s="105" t="inlineStr">
        <is>
          <t>MG 120/5 LL T (Qty: 1)</t>
        </is>
      </c>
      <c r="L10" s="104">
        <f>B10</f>
        <v/>
      </c>
    </row>
    <row r="11">
      <c r="A11" s="103" t="n">
        <v>46097</v>
      </c>
      <c r="B11" s="103" t="n">
        <v>46099</v>
      </c>
      <c r="C11" s="36" t="inlineStr">
        <is>
          <t>FM3920</t>
        </is>
      </c>
      <c r="D11" s="36" t="inlineStr">
        <is>
          <t>SO4456</t>
        </is>
      </c>
      <c r="E11" s="36" t="inlineStr">
        <is>
          <t>FM3920</t>
        </is>
      </c>
      <c r="F11" s="92" t="inlineStr">
        <is>
          <t>ZEFS More Vision</t>
        </is>
      </c>
      <c r="G11" s="336" t="n">
        <v>9062.58</v>
      </c>
      <c r="H11" s="74" t="inlineStr">
        <is>
          <t>Mashudu Tshifularo</t>
        </is>
      </c>
      <c r="I11" s="33" t="inlineStr">
        <is>
          <t>In Progress</t>
        </is>
      </c>
      <c r="J11" s="33" t="inlineStr">
        <is>
          <t>ACCOUNT - UP TO DATE</t>
        </is>
      </c>
      <c r="K11" s="36" t="inlineStr">
        <is>
          <t>MAXFLO 560/150/10 A c/w 1,10KW 4P 380V (Qty: 1), 560 Diam Counter Flange (Qty: 2)</t>
        </is>
      </c>
      <c r="L11" s="102">
        <f>B11</f>
        <v/>
      </c>
    </row>
    <row r="12">
      <c r="A12" s="103" t="n">
        <v>46072</v>
      </c>
      <c r="B12" s="103" t="n">
        <v>46099</v>
      </c>
      <c r="C12" s="36" t="inlineStr">
        <is>
          <t>FM3857</t>
        </is>
      </c>
      <c r="D12" s="36" t="inlineStr">
        <is>
          <t>SO4388</t>
        </is>
      </c>
      <c r="E12" s="36" t="inlineStr">
        <is>
          <t>POL15058</t>
        </is>
      </c>
      <c r="F12" s="92" t="inlineStr">
        <is>
          <t>Heavy Duty Industrial (Pty) Ltd</t>
        </is>
      </c>
      <c r="G12" s="336" t="n">
        <v>280306.93</v>
      </c>
      <c r="H12" s="74" t="inlineStr">
        <is>
          <t>Mashudu Tshifularo</t>
        </is>
      </c>
      <c r="I12" s="33" t="inlineStr">
        <is>
          <t>In Progress</t>
        </is>
      </c>
      <c r="J12" s="33" t="inlineStr">
        <is>
          <t>ACCOUNT - UP TO DATE</t>
        </is>
      </c>
      <c r="K12" s="36" t="inlineStr">
        <is>
          <t>Plate axial 800mm 150A10 c/w5.5kw 4 pole 380v flame proof motor (Qty: 4)</t>
        </is>
      </c>
      <c r="L12" s="102">
        <f>B12</f>
        <v/>
      </c>
    </row>
    <row r="13">
      <c r="A13" s="103" t="n">
        <v>46058</v>
      </c>
      <c r="B13" s="103" t="n">
        <v>46100</v>
      </c>
      <c r="C13" s="36" t="inlineStr">
        <is>
          <t>FM3812</t>
        </is>
      </c>
      <c r="D13" s="36" t="inlineStr">
        <is>
          <t>SO4343</t>
        </is>
      </c>
      <c r="E13" s="36" t="inlineStr">
        <is>
          <t>DPO-1616</t>
        </is>
      </c>
      <c r="F13" s="92" t="inlineStr">
        <is>
          <t>Dueltron (Pty) Ltd</t>
        </is>
      </c>
      <c r="G13" s="336" t="n">
        <v>145269.15</v>
      </c>
      <c r="H13" s="74" t="inlineStr">
        <is>
          <t>Mashudu Tshifularo</t>
        </is>
      </c>
      <c r="I13" s="33" t="inlineStr">
        <is>
          <t>In Progress</t>
        </is>
      </c>
      <c r="J13" s="33" t="inlineStr">
        <is>
          <t>ACCOUNT - UP TO DATE</t>
        </is>
      </c>
      <c r="K13" s="36" t="inlineStr">
        <is>
          <t>MAJAX-2 BIF 1250 c/w 22,00KW 4P 380V (Qty: 1)</t>
        </is>
      </c>
      <c r="L13" s="102">
        <f>B13</f>
        <v/>
      </c>
    </row>
    <row r="14">
      <c r="A14" s="103" t="n">
        <v>46070</v>
      </c>
      <c r="B14" s="103" t="n">
        <v>46100</v>
      </c>
      <c r="C14" s="36" t="inlineStr">
        <is>
          <t>FM3848</t>
        </is>
      </c>
      <c r="D14" s="36" t="inlineStr">
        <is>
          <t>SO4379</t>
        </is>
      </c>
      <c r="E14" s="36" t="inlineStr">
        <is>
          <t>ABF001-2026-0017</t>
        </is>
      </c>
      <c r="F14" s="92" t="inlineStr">
        <is>
          <t>Industrial Control &amp; Automation (ICA)</t>
        </is>
      </c>
      <c r="G14" s="336" t="n">
        <v>23874</v>
      </c>
      <c r="H14" s="74" t="inlineStr">
        <is>
          <t>Simon Mokgola</t>
        </is>
      </c>
      <c r="I14" s="33" t="inlineStr">
        <is>
          <t>In Progress</t>
        </is>
      </c>
      <c r="J14" s="33" t="inlineStr">
        <is>
          <t>ACCOUNT - UP TO DATE</t>
        </is>
      </c>
      <c r="K14" s="36" t="inlineStr">
        <is>
          <t>HEP-31-2M/H 220-240V (Qty: 3)</t>
        </is>
      </c>
      <c r="L14" s="102">
        <f>B14</f>
        <v/>
      </c>
    </row>
    <row r="15" ht="115.2" customHeight="1">
      <c r="A15" s="103" t="n">
        <v>46052</v>
      </c>
      <c r="B15" s="103" t="n">
        <v>46101</v>
      </c>
      <c r="C15" s="36" t="inlineStr">
        <is>
          <t>FM3799 - FM3801</t>
        </is>
      </c>
      <c r="D15" s="36" t="inlineStr">
        <is>
          <t>SO4330</t>
        </is>
      </c>
      <c r="E15" s="36" t="inlineStr">
        <is>
          <t>PO0000573</t>
        </is>
      </c>
      <c r="F15" s="92" t="inlineStr">
        <is>
          <t>ST AIR SERVICES AND MAINTENANCE (PTY) LTD</t>
        </is>
      </c>
      <c r="G15" s="336" t="n">
        <v>784244.8</v>
      </c>
      <c r="H15" s="74" t="inlineStr">
        <is>
          <t>Simon Mokgola</t>
        </is>
      </c>
      <c r="I15" s="33" t="inlineStr">
        <is>
          <t>In Progress</t>
        </is>
      </c>
      <c r="J15" s="33" t="inlineStr">
        <is>
          <t>ACCOUNT - UP TO DATE</t>
        </is>
      </c>
      <c r="K15" s="36" t="inlineStr">
        <is>
          <t>Fumax 1000.32.F.4 c/w 7.5 kW 4 Pole 380V (SEF 10))) (Qty: 8), Majax Inlet Cone c/w Screen (Qty: 8), 1000 Diam Counter Flange (Qty: 8), 1000 Diam Mounting Feet (Qty: 16), 630 to 1000 NDB GREEN Neoprene Floor Mounts (Qty: 32), 800 32.F.8 c/w 4 kW 4 Pole 380V (SEF 13,14,15 and 16) (Qty: 4), Inlet Cone (Qty: 4), 800 Diam Counter Flange (Qty: 4), 800 Diam Mounting Feet (Qty: 8), 630 to 1000 NDB GREEN Neoprene Floor Mounts (Qty: 16), Fumax 1000.32.F.8 c/w 22 kW 4 Pole 380V (Qty: 2), Majax Inlet Cone c/w Screen (Qty: 2), 1000 Diam Counter Flange (Qty: 2)
1000 Diam Mounting Feet (Qty: 4), 630 to 1000 NDB GREEN Neoprene Floor Mounts (Qty: 8)</t>
        </is>
      </c>
      <c r="L15" s="102">
        <f>B15</f>
        <v/>
      </c>
    </row>
    <row r="16">
      <c r="A16" s="103" t="n">
        <v>46093</v>
      </c>
      <c r="B16" s="103" t="n">
        <v>46101</v>
      </c>
      <c r="C16" s="36" t="inlineStr">
        <is>
          <t>FM3902</t>
        </is>
      </c>
      <c r="D16" s="36" t="inlineStr">
        <is>
          <t>SO4448</t>
        </is>
      </c>
      <c r="E16" s="36" t="inlineStr">
        <is>
          <t>61713</t>
        </is>
      </c>
      <c r="F16" s="92" t="inlineStr">
        <is>
          <t>Chabo &amp; Joubert Air Conditioning (Pty) Ltd</t>
        </is>
      </c>
      <c r="G16" s="336" t="n">
        <v>84019</v>
      </c>
      <c r="H16" s="74" t="inlineStr">
        <is>
          <t>Sizwe Tshabalala</t>
        </is>
      </c>
      <c r="I16" s="33" t="inlineStr">
        <is>
          <t>In Progress</t>
        </is>
      </c>
      <c r="J16" s="33" t="inlineStr">
        <is>
          <t>ACCOUNT - UP TO DATE</t>
        </is>
      </c>
      <c r="K16" s="36" t="inlineStr">
        <is>
          <t>MAJAX 965 c/w 11,00KW 4P 525V - 2 Stage (Qty: 2)</t>
        </is>
      </c>
      <c r="L16" s="102">
        <f>B16</f>
        <v/>
      </c>
    </row>
    <row r="17">
      <c r="A17" s="103" t="n">
        <v>46094</v>
      </c>
      <c r="B17" s="103" t="n">
        <v>46104</v>
      </c>
      <c r="C17" s="36" t="inlineStr">
        <is>
          <t>FM3917</t>
        </is>
      </c>
      <c r="D17" s="36" t="inlineStr">
        <is>
          <t>SO4452</t>
        </is>
      </c>
      <c r="E17" s="36" t="inlineStr">
        <is>
          <t>PO-2603-001-FMT</t>
        </is>
      </c>
      <c r="F17" s="92" t="inlineStr">
        <is>
          <t>Hurricane Group</t>
        </is>
      </c>
      <c r="G17" s="336" t="n">
        <v>50075.83</v>
      </c>
      <c r="H17" s="74" t="inlineStr">
        <is>
          <t>Sizwe Tshabalala</t>
        </is>
      </c>
      <c r="I17" s="33" t="inlineStr">
        <is>
          <t>In Progress</t>
        </is>
      </c>
      <c r="J17" s="33" t="inlineStr">
        <is>
          <t>ACCOUNT - UP TO DATE</t>
        </is>
      </c>
      <c r="K17" s="36" t="inlineStr">
        <is>
          <t>MAJAX-3 500 c/w 3,00KW 2P 380V (Qty: 4), 500 Diam Counter Flange (Qty: 8)</t>
        </is>
      </c>
      <c r="L17" s="102">
        <f>B17</f>
        <v/>
      </c>
    </row>
    <row r="18">
      <c r="A18" s="109" t="n">
        <v>45972</v>
      </c>
      <c r="B18" s="109" t="n">
        <v>46105</v>
      </c>
      <c r="C18" s="81" t="inlineStr">
        <is>
          <t>FM3633</t>
        </is>
      </c>
      <c r="D18" s="81" t="inlineStr">
        <is>
          <t>SO4171</t>
        </is>
      </c>
      <c r="E18" s="81" t="inlineStr">
        <is>
          <t>A3412094782</t>
        </is>
      </c>
      <c r="F18" s="117" t="inlineStr">
        <is>
          <t>NWK LTD</t>
        </is>
      </c>
      <c r="G18" s="337" t="n">
        <v>74980</v>
      </c>
      <c r="H18" s="118" t="inlineStr">
        <is>
          <t>Sizwe Tshabalala</t>
        </is>
      </c>
      <c r="I18" s="83" t="inlineStr">
        <is>
          <t>In Progress</t>
        </is>
      </c>
      <c r="J18" s="83" t="inlineStr">
        <is>
          <t>ACCOUNT - UP TO DATE</t>
        </is>
      </c>
      <c r="K18" s="81" t="inlineStr">
        <is>
          <t>CMA-325-2M (Qty: 5)</t>
        </is>
      </c>
      <c r="L18" s="110">
        <f>B18</f>
        <v/>
      </c>
    </row>
    <row r="19">
      <c r="A19" s="109" t="n">
        <v>45981</v>
      </c>
      <c r="B19" s="109" t="n">
        <v>46105</v>
      </c>
      <c r="C19" s="81" t="inlineStr">
        <is>
          <t>FM3676</t>
        </is>
      </c>
      <c r="D19" s="81" t="inlineStr">
        <is>
          <t>SO4204</t>
        </is>
      </c>
      <c r="E19" s="81" t="inlineStr">
        <is>
          <t>B137477</t>
        </is>
      </c>
      <c r="F19" s="117" t="inlineStr">
        <is>
          <t>Vescotech</t>
        </is>
      </c>
      <c r="G19" s="337" t="n">
        <v>22563</v>
      </c>
      <c r="H19" s="118" t="inlineStr">
        <is>
          <t>Sizwe Tshabalala</t>
        </is>
      </c>
      <c r="I19" s="83" t="inlineStr">
        <is>
          <t>In Progress</t>
        </is>
      </c>
      <c r="J19" s="83" t="inlineStr">
        <is>
          <t>ACCOUNT - UP TO DATE</t>
        </is>
      </c>
      <c r="K19" s="81" t="inlineStr">
        <is>
          <t>HCT-40-4T-0.33/PL ATEX (Qty: 1)</t>
        </is>
      </c>
      <c r="L19" s="110">
        <f>B19</f>
        <v/>
      </c>
    </row>
    <row r="20" ht="28.8" customHeight="1">
      <c r="A20" s="109" t="n">
        <v>45985</v>
      </c>
      <c r="B20" s="109" t="n">
        <v>46105</v>
      </c>
      <c r="C20" s="81" t="inlineStr">
        <is>
          <t>FM3685</t>
        </is>
      </c>
      <c r="D20" s="81" t="inlineStr">
        <is>
          <t>SO4215</t>
        </is>
      </c>
      <c r="E20" s="81" t="inlineStr">
        <is>
          <t>4358</t>
        </is>
      </c>
      <c r="F20" s="117" t="inlineStr">
        <is>
          <t>Air Speration (Pty) Ltd</t>
        </is>
      </c>
      <c r="G20" s="337" t="n">
        <v>26542</v>
      </c>
      <c r="H20" s="118" t="inlineStr">
        <is>
          <t>Mashudu Tshifularo</t>
        </is>
      </c>
      <c r="I20" s="83" t="inlineStr">
        <is>
          <t>In Progress</t>
        </is>
      </c>
      <c r="J20" s="83" t="inlineStr">
        <is>
          <t>CASH SALE - PAID</t>
        </is>
      </c>
      <c r="K20" s="81" t="inlineStr">
        <is>
          <t>CMP 820 2T - LG270 (Qty: 1)
CMP 820 2T - RD270 (Qty: 1)</t>
        </is>
      </c>
      <c r="L20" s="110">
        <f>B20</f>
        <v/>
      </c>
    </row>
    <row r="21" ht="72" customHeight="1">
      <c r="A21" s="103" t="n">
        <v>46077</v>
      </c>
      <c r="B21" s="103" t="n">
        <v>46106</v>
      </c>
      <c r="C21" s="36" t="inlineStr">
        <is>
          <t>FM3876</t>
        </is>
      </c>
      <c r="D21" s="36" t="inlineStr">
        <is>
          <t>SO4405</t>
        </is>
      </c>
      <c r="E21" s="36" t="inlineStr">
        <is>
          <t>FM3875 - FM3876</t>
        </is>
      </c>
      <c r="F21" s="92" t="inlineStr">
        <is>
          <t>BMT SMART SOLUTIONS (PTY) LTD</t>
        </is>
      </c>
      <c r="G21" s="336" t="n">
        <v>52783.16</v>
      </c>
      <c r="H21" s="74" t="inlineStr">
        <is>
          <t>Simon Mokgola</t>
        </is>
      </c>
      <c r="I21" s="33" t="inlineStr">
        <is>
          <t>In Progress</t>
        </is>
      </c>
      <c r="J21" s="33" t="inlineStr">
        <is>
          <t>ACCOUNT - UP TO DATE</t>
        </is>
      </c>
      <c r="K21" s="36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
560 Diam Mounting Feet (Qty: 4), 315 to 560 NDA RED ANeoprene Floor Mounts (Qty: 8)</t>
        </is>
      </c>
      <c r="L21" s="102">
        <f>B21</f>
        <v/>
      </c>
    </row>
    <row r="22">
      <c r="A22" s="103" t="n">
        <v>46094</v>
      </c>
      <c r="B22" s="103" t="n">
        <v>46108</v>
      </c>
      <c r="C22" s="36" t="inlineStr">
        <is>
          <t>FM3891</t>
        </is>
      </c>
      <c r="D22" s="36" t="inlineStr">
        <is>
          <t>SO4455</t>
        </is>
      </c>
      <c r="E22" s="36" t="inlineStr">
        <is>
          <t>POR80557</t>
        </is>
      </c>
      <c r="F22" s="92" t="inlineStr">
        <is>
          <t>Venwood and Baker Electrical</t>
        </is>
      </c>
      <c r="G22" s="336" t="n">
        <v>137207.26</v>
      </c>
      <c r="H22" s="74" t="inlineStr">
        <is>
          <t>Sizwe Tshabalala</t>
        </is>
      </c>
      <c r="I22" s="33" t="inlineStr">
        <is>
          <t>In Progress</t>
        </is>
      </c>
      <c r="J22" s="33" t="inlineStr">
        <is>
          <t>ACCOUNT - UP TO DATE</t>
        </is>
      </c>
      <c r="K22" s="36" t="inlineStr">
        <is>
          <t>MAJAX-2 800 c/w 3,00KW 4P 525V (Qty: 6)</t>
        </is>
      </c>
      <c r="L22" s="102">
        <f>B22</f>
        <v/>
      </c>
    </row>
    <row r="23" ht="72" customHeight="1">
      <c r="A23" s="109" t="n">
        <v>46063</v>
      </c>
      <c r="B23" s="109" t="n">
        <v>46111</v>
      </c>
      <c r="C23" s="81" t="inlineStr">
        <is>
          <t>FM3819</t>
        </is>
      </c>
      <c r="D23" s="81" t="inlineStr">
        <is>
          <t>SO4350</t>
        </is>
      </c>
      <c r="E23" s="81" t="inlineStr">
        <is>
          <t>PO-27149</t>
        </is>
      </c>
      <c r="F23" s="117" t="inlineStr">
        <is>
          <t>Aircycle Engineering CC</t>
        </is>
      </c>
      <c r="G23" s="337" t="n">
        <v>64727.75</v>
      </c>
      <c r="H23" s="118" t="inlineStr">
        <is>
          <t>Simon Mokgola</t>
        </is>
      </c>
      <c r="I23" s="83" t="inlineStr">
        <is>
          <t>In Progress</t>
        </is>
      </c>
      <c r="J23" s="83" t="inlineStr">
        <is>
          <t>ACCOUNT - UP TO DATE</t>
        </is>
      </c>
      <c r="K23" s="81" t="inlineStr">
        <is>
          <t>31 50/60HZ (Qty: 1)
45-2T-2 400V 50/60HZ IE5 (Qty: 1)
Anti-Vibration Rubber Mounts (Qty: 8)
450 Diam Counter Flange (Qty: 2)
450 Diam Mounting Feet (Qty: 4)</t>
        </is>
      </c>
      <c r="L23" s="110">
        <f>B23</f>
        <v/>
      </c>
    </row>
    <row r="24">
      <c r="A24" s="103" t="n">
        <v>45799</v>
      </c>
      <c r="B24" s="103" t="n">
        <v>46112</v>
      </c>
      <c r="C24" s="36" t="inlineStr">
        <is>
          <t>Pending</t>
        </is>
      </c>
      <c r="D24" s="36" t="inlineStr">
        <is>
          <t>SO3760</t>
        </is>
      </c>
      <c r="E24" s="36" t="inlineStr">
        <is>
          <t>nan</t>
        </is>
      </c>
      <c r="F24" s="92" t="inlineStr">
        <is>
          <t>Rey &amp; Lenferna Ltd</t>
        </is>
      </c>
      <c r="G24" s="336" t="n">
        <v>545349.34</v>
      </c>
      <c r="H24" s="74" t="inlineStr">
        <is>
          <t>Sizwe - R.O.A</t>
        </is>
      </c>
      <c r="I24" s="33" t="inlineStr">
        <is>
          <t>Pending</t>
        </is>
      </c>
      <c r="J24" s="33" t="n"/>
      <c r="K24" s="36" t="inlineStr">
        <is>
          <t>OUTSTANDING ORDER (Qty: 1)</t>
        </is>
      </c>
      <c r="L24" s="102">
        <f>B24</f>
        <v/>
      </c>
    </row>
    <row r="25">
      <c r="A25" s="103" t="n">
        <v>46052</v>
      </c>
      <c r="B25" s="103" t="n">
        <v>46112</v>
      </c>
      <c r="C25" s="36" t="inlineStr">
        <is>
          <t>Pending</t>
        </is>
      </c>
      <c r="D25" s="36" t="inlineStr">
        <is>
          <t>SO4331</t>
        </is>
      </c>
      <c r="E25" s="36" t="inlineStr">
        <is>
          <t>ORDER</t>
        </is>
      </c>
      <c r="F25" s="92" t="inlineStr">
        <is>
          <t>Rey &amp; Lenferna Ltd</t>
        </is>
      </c>
      <c r="G25" s="336" t="n">
        <v>521526.68</v>
      </c>
      <c r="H25" s="74" t="inlineStr">
        <is>
          <t>Sizwe - R.O.A</t>
        </is>
      </c>
      <c r="I25" s="33" t="inlineStr">
        <is>
          <t>Pending</t>
        </is>
      </c>
      <c r="J25" s="33" t="n"/>
      <c r="K25" s="36" t="inlineStr">
        <is>
          <t>Sales order (Qty: 1)</t>
        </is>
      </c>
      <c r="L25" s="102">
        <f>B25</f>
        <v/>
      </c>
    </row>
    <row r="26">
      <c r="A26" s="109" t="n">
        <v>46077</v>
      </c>
      <c r="B26" s="109" t="n">
        <v>46112</v>
      </c>
      <c r="C26" s="81" t="inlineStr">
        <is>
          <t>FM3874</t>
        </is>
      </c>
      <c r="D26" s="81" t="inlineStr">
        <is>
          <t>SO4404</t>
        </is>
      </c>
      <c r="E26" s="81" t="inlineStr">
        <is>
          <t>PO2174</t>
        </is>
      </c>
      <c r="F26" s="117" t="inlineStr">
        <is>
          <t>ITD North Pty Ltd</t>
        </is>
      </c>
      <c r="G26" s="337" t="n">
        <v>94247.10000000001</v>
      </c>
      <c r="H26" s="118" t="inlineStr">
        <is>
          <t>Mashudu Tshifularo</t>
        </is>
      </c>
      <c r="I26" s="83" t="inlineStr">
        <is>
          <t>In Progress</t>
        </is>
      </c>
      <c r="J26" s="83" t="inlineStr">
        <is>
          <t>ACCOUNT - UP TO DATE</t>
        </is>
      </c>
      <c r="K26" s="81" t="inlineStr">
        <is>
          <t>RDH 710 K2 - Nicotra Fan (Qty: 1)</t>
        </is>
      </c>
      <c r="L26" s="110">
        <f>B26</f>
        <v/>
      </c>
    </row>
    <row r="27">
      <c r="A27" s="103" t="n">
        <v>46091</v>
      </c>
      <c r="B27" s="103" t="n">
        <v>46114</v>
      </c>
      <c r="C27" s="36" t="inlineStr">
        <is>
          <t>FM3907</t>
        </is>
      </c>
      <c r="D27" s="36" t="inlineStr">
        <is>
          <t>SO4440</t>
        </is>
      </c>
      <c r="E27" s="36" t="inlineStr">
        <is>
          <t>PO2228</t>
        </is>
      </c>
      <c r="F27" s="92" t="inlineStr">
        <is>
          <t>Hucra Fans</t>
        </is>
      </c>
      <c r="G27" s="336" t="n">
        <v>21208.3</v>
      </c>
      <c r="H27" s="74" t="inlineStr">
        <is>
          <t>Sales Agent Hucra Fans</t>
        </is>
      </c>
      <c r="I27" s="33" t="inlineStr">
        <is>
          <t>In Progress</t>
        </is>
      </c>
      <c r="J27" s="33" t="inlineStr">
        <is>
          <t>ACCOUNT - UP TO DATE</t>
        </is>
      </c>
      <c r="K27" s="36" t="inlineStr">
        <is>
          <t>SCL-K05 MS-2.2kW 380V (Qty: 1)</t>
        </is>
      </c>
      <c r="L27" s="102">
        <f>B27</f>
        <v/>
      </c>
    </row>
    <row r="28">
      <c r="A28" s="109" t="n">
        <v>46069</v>
      </c>
      <c r="B28" s="109" t="n">
        <v>46157</v>
      </c>
      <c r="C28" s="81" t="inlineStr">
        <is>
          <t>FM3841</t>
        </is>
      </c>
      <c r="D28" s="81" t="inlineStr">
        <is>
          <t>SO4372</t>
        </is>
      </c>
      <c r="E28" s="81" t="inlineStr">
        <is>
          <t>PO2213</t>
        </is>
      </c>
      <c r="F28" s="117" t="inlineStr">
        <is>
          <t>Hucra Fans</t>
        </is>
      </c>
      <c r="G28" s="337" t="n">
        <v>379993.35</v>
      </c>
      <c r="H28" s="118" t="inlineStr">
        <is>
          <t>Sales Agent Hucra Fans</t>
        </is>
      </c>
      <c r="I28" s="83" t="inlineStr">
        <is>
          <t>In Progress</t>
        </is>
      </c>
      <c r="J28" s="83" t="inlineStr">
        <is>
          <t>ACCOUNT - UP TO DATE</t>
        </is>
      </c>
      <c r="K28" s="81" t="inlineStr">
        <is>
          <t>SCL K11 MS - 11.0kW - 525V (Qty: 3)</t>
        </is>
      </c>
      <c r="L28" s="110">
        <f>B28</f>
        <v/>
      </c>
    </row>
    <row r="29" ht="15" customHeight="1" thickBot="1">
      <c r="F29" s="101" t="inlineStr">
        <is>
          <t>Total Value (All):</t>
        </is>
      </c>
      <c r="G29" s="338">
        <f>SUM(G3:G28)</f>
        <v/>
      </c>
    </row>
    <row r="30">
      <c r="F30" s="100" t="inlineStr">
        <is>
          <t>BREAKDOWN</t>
        </is>
      </c>
      <c r="K30" s="97" t="n"/>
      <c r="L30" s="98" t="n"/>
      <c r="M30" s="97" t="n"/>
    </row>
    <row r="31">
      <c r="F31" t="inlineStr">
        <is>
          <t>Cash Sale (March):</t>
        </is>
      </c>
      <c r="G31" s="339">
        <f>SUMIFS(G3:G28, J3:J28, "*CASH SALE*", L3:L28, "&gt;="&amp;EOMONTH(TODAY(),-1)+1, L3:L28, "&lt;="&amp;EOMONTH(TODAY(),0))</f>
        <v/>
      </c>
      <c r="I31" t="inlineStr">
        <is>
          <t>Cash Sale (April):</t>
        </is>
      </c>
      <c r="J31" s="340">
        <f>SUMIFS(G3:G28, J3:J28, "*CASH SALE*", L3:L28, "&gt;="&amp;EOMONTH(TODAY(),0)+1, L3:L28, "&lt;="&amp;EOMONTH(TODAY(),1))</f>
        <v/>
      </c>
      <c r="K31" s="97" t="n"/>
      <c r="L31" s="98" t="n"/>
      <c r="M31" s="97" t="n"/>
    </row>
    <row r="32" customFormat="1" s="98">
      <c r="F32" t="inlineStr">
        <is>
          <t>Account (March):</t>
        </is>
      </c>
      <c r="G32" s="339">
        <f>SUMIFS(G3:G28, J3:J28, "*ACCOUNT*", L3:L28, "&gt;="&amp;EOMONTH(TODAY(),-1)+1, L3:L28, "&lt;="&amp;EOMONTH(TODAY(),0))</f>
        <v/>
      </c>
      <c r="I32" t="inlineStr">
        <is>
          <t>Account (April):</t>
        </is>
      </c>
      <c r="J32" s="340">
        <f>SUMIFS(G3:G28, J3:J28, "*ACCOUNT*", L3:L28, "&gt;="&amp;EOMONTH(TODAY(),0)+1, L3:L28, "&lt;="&amp;EOMONTH(TODAY(),1))</f>
        <v/>
      </c>
      <c r="M32" s="97" t="n"/>
    </row>
    <row r="33" ht="15" customFormat="1" customHeight="1" s="98" thickBot="1">
      <c r="H33" s="97" t="n"/>
      <c r="I33" s="97" t="n"/>
      <c r="L33" s="97" t="n"/>
    </row>
    <row r="34" ht="28.8" customHeight="1">
      <c r="A34" s="108" t="inlineStr">
        <is>
          <t>Date</t>
        </is>
      </c>
      <c r="B34" s="108" t="inlineStr">
        <is>
          <t>Delivery Date</t>
        </is>
      </c>
      <c r="C34" s="108" t="inlineStr">
        <is>
          <t>Job Number</t>
        </is>
      </c>
      <c r="D34" s="108" t="inlineStr">
        <is>
          <t>SO Number</t>
        </is>
      </c>
      <c r="E34" s="108" t="inlineStr">
        <is>
          <t>Customer Ref.</t>
        </is>
      </c>
      <c r="F34" s="111" t="inlineStr">
        <is>
          <t>Customer</t>
        </is>
      </c>
      <c r="G34" s="115" t="inlineStr">
        <is>
          <t>Total</t>
        </is>
      </c>
      <c r="H34" s="113" t="inlineStr">
        <is>
          <t>Sales Rep</t>
        </is>
      </c>
      <c r="I34" s="108" t="inlineStr">
        <is>
          <t>Status</t>
        </is>
      </c>
      <c r="J34" s="108" t="inlineStr">
        <is>
          <t>Payment Status</t>
        </is>
      </c>
      <c r="K34" s="108" t="inlineStr">
        <is>
          <t>Details</t>
        </is>
      </c>
      <c r="L34" s="108" t="inlineStr">
        <is>
          <t>Delivery Date (Copy)</t>
        </is>
      </c>
    </row>
    <row r="35">
      <c r="A35" s="107" t="n">
        <v>46097</v>
      </c>
      <c r="B35" s="107" t="n">
        <v>46098</v>
      </c>
      <c r="C35" s="105" t="inlineStr">
        <is>
          <t>FM3922</t>
        </is>
      </c>
      <c r="D35" s="105" t="inlineStr">
        <is>
          <t>SO4458</t>
        </is>
      </c>
      <c r="E35" s="105" t="inlineStr">
        <is>
          <t>Cash Sale</t>
        </is>
      </c>
      <c r="F35" s="112" t="inlineStr">
        <is>
          <t>Celette SA (PTY) LTD</t>
        </is>
      </c>
      <c r="G35" s="335" t="n">
        <v>8084.03</v>
      </c>
      <c r="H35" s="114" t="inlineStr">
        <is>
          <t>Sizwe Tshabalala</t>
        </is>
      </c>
      <c r="I35" s="106" t="inlineStr">
        <is>
          <t>Ready-Dispatch</t>
        </is>
      </c>
      <c r="J35" s="106" t="inlineStr">
        <is>
          <t>CASH SALE - UNPAID</t>
        </is>
      </c>
      <c r="K35" s="105" t="inlineStr">
        <is>
          <t>Collection 17/03/2026</t>
        </is>
      </c>
      <c r="L35" s="104">
        <f>B35</f>
        <v/>
      </c>
    </row>
    <row r="36">
      <c r="A36" s="107" t="n">
        <v>46056</v>
      </c>
      <c r="B36" s="107" t="n">
        <v>46098.62421899306</v>
      </c>
      <c r="C36" s="105" t="inlineStr">
        <is>
          <t>FM3808</t>
        </is>
      </c>
      <c r="D36" s="105" t="inlineStr">
        <is>
          <t>SO4339</t>
        </is>
      </c>
      <c r="E36" s="105" t="inlineStr">
        <is>
          <t>PO549NN</t>
        </is>
      </c>
      <c r="F36" s="112" t="inlineStr">
        <is>
          <t>Intervent-Universal (Pty) Ltd</t>
        </is>
      </c>
      <c r="G36" s="335" t="n">
        <v>22816</v>
      </c>
      <c r="H36" s="114" t="inlineStr">
        <is>
          <t>Simon Mokgola</t>
        </is>
      </c>
      <c r="I36" s="106" t="inlineStr">
        <is>
          <t>Ready-Dispatch</t>
        </is>
      </c>
      <c r="J36" s="106" t="inlineStr">
        <is>
          <t>ACCOUNT - UP TO DATE</t>
        </is>
      </c>
      <c r="K36" s="105" t="inlineStr">
        <is>
          <t>Awaiting Payment</t>
        </is>
      </c>
      <c r="L36" s="104">
        <f>B36</f>
        <v/>
      </c>
    </row>
    <row r="37">
      <c r="A37" s="107" t="n">
        <v>46072</v>
      </c>
      <c r="B37" s="107" t="n">
        <v>46098.62421899306</v>
      </c>
      <c r="C37" s="105" t="inlineStr">
        <is>
          <t>FM3854</t>
        </is>
      </c>
      <c r="D37" s="105" t="inlineStr">
        <is>
          <t>SO4384</t>
        </is>
      </c>
      <c r="E37" s="105" t="inlineStr">
        <is>
          <t>FM3854</t>
        </is>
      </c>
      <c r="F37" s="112" t="inlineStr">
        <is>
          <t>KG Construction Pty Ltd</t>
        </is>
      </c>
      <c r="G37" s="335" t="n">
        <v>79321.25</v>
      </c>
      <c r="H37" s="114" t="inlineStr">
        <is>
          <t>Simon Mokgola</t>
        </is>
      </c>
      <c r="I37" s="106" t="inlineStr">
        <is>
          <t>Ready-Dispatch</t>
        </is>
      </c>
      <c r="J37" s="106" t="inlineStr">
        <is>
          <t>ACCOUNT - UP TO DATE</t>
        </is>
      </c>
      <c r="K37" s="105" t="inlineStr">
        <is>
          <t>Awaiting Payment</t>
        </is>
      </c>
      <c r="L37" s="104">
        <f>B37</f>
        <v/>
      </c>
    </row>
    <row r="38">
      <c r="A38" s="107" t="n">
        <v>46091</v>
      </c>
      <c r="B38" s="107" t="n">
        <v>46098.62421899306</v>
      </c>
      <c r="C38" s="105" t="inlineStr">
        <is>
          <t>FM3909</t>
        </is>
      </c>
      <c r="D38" s="105" t="inlineStr">
        <is>
          <t>SO4442</t>
        </is>
      </c>
      <c r="E38" s="105" t="inlineStr">
        <is>
          <t>FM3909</t>
        </is>
      </c>
      <c r="F38" s="112" t="inlineStr">
        <is>
          <t>VIP SUPERMERCARDO LIMITADA</t>
        </is>
      </c>
      <c r="G38" s="335" t="n">
        <v>7619.9</v>
      </c>
      <c r="H38" s="114" t="inlineStr">
        <is>
          <t>Sizwe - R.O.A</t>
        </is>
      </c>
      <c r="I38" s="106" t="inlineStr">
        <is>
          <t>Ready-Dispatch</t>
        </is>
      </c>
      <c r="J38" s="106" t="inlineStr">
        <is>
          <t>ACCOUNT - UP TO DATE</t>
        </is>
      </c>
      <c r="K38" s="105" t="inlineStr">
        <is>
          <t>Paid - Client to collect</t>
        </is>
      </c>
      <c r="L38" s="104">
        <f>B38</f>
        <v/>
      </c>
    </row>
    <row r="39" ht="28.8" customHeight="1">
      <c r="A39" s="107" t="n">
        <v>46097</v>
      </c>
      <c r="B39" s="107" t="n">
        <v>46098.62421899306</v>
      </c>
      <c r="C39" s="105" t="inlineStr">
        <is>
          <t>FM3924</t>
        </is>
      </c>
      <c r="D39" s="105" t="inlineStr">
        <is>
          <t>SO4460</t>
        </is>
      </c>
      <c r="E39" s="105" t="inlineStr">
        <is>
          <t xml:space="preserve">PO0000602 </t>
        </is>
      </c>
      <c r="F39" s="112" t="inlineStr">
        <is>
          <t>ST AIR SERVICES AND MAINTENANCE (PTY) LTD</t>
        </is>
      </c>
      <c r="G39" s="335" t="n">
        <v>1652.55</v>
      </c>
      <c r="H39" s="114" t="inlineStr">
        <is>
          <t>Simon Mokgola</t>
        </is>
      </c>
      <c r="I39" s="106" t="inlineStr">
        <is>
          <t>Ready-Dispatch</t>
        </is>
      </c>
      <c r="J39" s="106" t="inlineStr">
        <is>
          <t>ACCOUNT - UP TO DATE</t>
        </is>
      </c>
      <c r="K39" s="105" t="inlineStr">
        <is>
          <t>Collection 17/03/2026</t>
        </is>
      </c>
      <c r="L39" s="104">
        <f>B39</f>
        <v/>
      </c>
    </row>
    <row r="40" ht="15" customHeight="1" thickBot="1">
      <c r="F40" t="inlineStr">
        <is>
          <t>Ready-Dispatch:</t>
        </is>
      </c>
      <c r="G40" s="341">
        <f>SUMIFS(G3:G28, I3:I28, "*Ready*Dispatch*")</f>
        <v/>
      </c>
    </row>
    <row r="43">
      <c r="G43" s="342" t="n"/>
    </row>
  </sheetData>
  <mergeCells count="1">
    <mergeCell ref="K1:L1"/>
  </mergeCells>
  <pageMargins left="0.2362204724409449" right="0.2362204724409449" top="0.7480314960629921" bottom="0.7480314960629921" header="0.3149606299212598" footer="0.3149606299212598"/>
  <pageSetup orientation="landscape" scale="50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zoomScale="80" zoomScaleNormal="80" workbookViewId="0">
      <selection activeCell="A1" sqref="A1:XFD1"/>
    </sheetView>
  </sheetViews>
  <sheetFormatPr baseColWidth="8" defaultRowHeight="14.4"/>
  <cols>
    <col width="10.5546875" bestFit="1" customWidth="1" style="97" min="1" max="1"/>
    <col width="12.21875" customWidth="1" style="97" min="2" max="2"/>
    <col width="10.88671875" bestFit="1" customWidth="1" style="97" min="3" max="3"/>
    <col width="10.6640625" bestFit="1" customWidth="1" style="97" min="4" max="4"/>
    <col width="17.21875" bestFit="1" customWidth="1" min="5" max="5"/>
    <col width="38.88671875" customWidth="1" min="6" max="6"/>
    <col width="13.21875" bestFit="1" customWidth="1" min="7" max="7"/>
    <col width="20" customWidth="1" min="8" max="8"/>
    <col width="15.6640625" bestFit="1" customWidth="1" style="97" min="9" max="9"/>
    <col width="21.33203125" bestFit="1" customWidth="1" style="97" min="10" max="10"/>
    <col width="59.5546875" bestFit="1" customWidth="1" min="11" max="11"/>
    <col width="12.21875" bestFit="1" customWidth="1" min="12" max="12"/>
  </cols>
  <sheetData>
    <row r="1" ht="29.4" customFormat="1" customHeight="1" s="152" thickBot="1">
      <c r="A1" s="300" t="inlineStr">
        <is>
          <t>SALES ORDER REPORT</t>
        </is>
      </c>
      <c r="B1" s="297" t="n"/>
      <c r="C1" s="297" t="n"/>
      <c r="D1" s="297" t="n"/>
      <c r="E1" s="157" t="n"/>
      <c r="F1" s="155" t="n"/>
      <c r="G1" s="343" t="n"/>
      <c r="H1" s="155" t="n"/>
      <c r="I1" s="154" t="n"/>
      <c r="J1" s="153" t="n"/>
      <c r="K1" s="301" t="n">
        <v>46099</v>
      </c>
      <c r="L1" s="297" t="n"/>
    </row>
    <row r="2" ht="28.8" customHeight="1">
      <c r="A2" s="130" t="inlineStr">
        <is>
          <t>Date</t>
        </is>
      </c>
      <c r="B2" s="130" t="inlineStr">
        <is>
          <t>Delivery Date</t>
        </is>
      </c>
      <c r="C2" s="130" t="inlineStr">
        <is>
          <t>Job Number</t>
        </is>
      </c>
      <c r="D2" s="130" t="inlineStr">
        <is>
          <t>SO Number</t>
        </is>
      </c>
      <c r="E2" s="130" t="inlineStr">
        <is>
          <t>Customer Ref.</t>
        </is>
      </c>
      <c r="F2" s="133" t="inlineStr">
        <is>
          <t>Customer</t>
        </is>
      </c>
      <c r="G2" s="132" t="inlineStr">
        <is>
          <t>Total</t>
        </is>
      </c>
      <c r="H2" s="131" t="inlineStr">
        <is>
          <t>Sales Rep</t>
        </is>
      </c>
      <c r="I2" s="130" t="inlineStr">
        <is>
          <t>Status</t>
        </is>
      </c>
      <c r="J2" s="129" t="inlineStr">
        <is>
          <t>Payment Status</t>
        </is>
      </c>
      <c r="K2" s="130" t="inlineStr">
        <is>
          <t>Details</t>
        </is>
      </c>
      <c r="L2" s="108" t="inlineStr">
        <is>
          <t xml:space="preserve">(Planned) Delivery Date </t>
        </is>
      </c>
    </row>
    <row r="3">
      <c r="A3" s="104" t="n">
        <v>46056</v>
      </c>
      <c r="B3" s="104" t="n">
        <v>46099.54620069444</v>
      </c>
      <c r="C3" s="106" t="inlineStr">
        <is>
          <t>FM3808</t>
        </is>
      </c>
      <c r="D3" s="106" t="inlineStr">
        <is>
          <t>SO4339</t>
        </is>
      </c>
      <c r="E3" s="105" t="inlineStr">
        <is>
          <t>PO549NN</t>
        </is>
      </c>
      <c r="F3" s="112" t="inlineStr">
        <is>
          <t>Intervent-Universal (Pty) Ltd</t>
        </is>
      </c>
      <c r="G3" s="335" t="n">
        <v>22816</v>
      </c>
      <c r="H3" s="114" t="inlineStr">
        <is>
          <t>Simon Mokgola</t>
        </is>
      </c>
      <c r="I3" s="106" t="inlineStr">
        <is>
          <t>Ready-Dispatch</t>
        </is>
      </c>
      <c r="J3" s="158" t="inlineStr">
        <is>
          <t>CASH SALE - UNPAID</t>
        </is>
      </c>
      <c r="K3" s="105" t="inlineStr">
        <is>
          <t>RAD 250 (Qty: 8)</t>
        </is>
      </c>
      <c r="L3" s="107">
        <f>B3</f>
        <v/>
      </c>
    </row>
    <row r="4">
      <c r="A4" s="104" t="n">
        <v>46091</v>
      </c>
      <c r="B4" s="104" t="n">
        <v>46099.54620069444</v>
      </c>
      <c r="C4" s="106" t="inlineStr">
        <is>
          <t>FM3909</t>
        </is>
      </c>
      <c r="D4" s="106" t="inlineStr">
        <is>
          <t>SO4442</t>
        </is>
      </c>
      <c r="E4" s="105" t="inlineStr">
        <is>
          <t>FM3909</t>
        </is>
      </c>
      <c r="F4" s="112" t="inlineStr">
        <is>
          <t>VIP SUPERMERCARDO LIMITADA</t>
        </is>
      </c>
      <c r="G4" s="335" t="n">
        <v>7619.9</v>
      </c>
      <c r="H4" s="114" t="inlineStr">
        <is>
          <t>Sizwe - R.O.A</t>
        </is>
      </c>
      <c r="I4" s="106" t="inlineStr">
        <is>
          <t>Ready-Dispatch</t>
        </is>
      </c>
      <c r="J4" s="158" t="inlineStr">
        <is>
          <t>CASH SALE - PAID</t>
        </is>
      </c>
      <c r="K4" s="105" t="inlineStr">
        <is>
          <t>VP 150K (Qty: 2)</t>
        </is>
      </c>
      <c r="L4" s="107">
        <f>B4</f>
        <v/>
      </c>
    </row>
    <row r="5" ht="28.8" customHeight="1">
      <c r="A5" s="104" t="n">
        <v>46072</v>
      </c>
      <c r="B5" s="104" t="n">
        <v>46099.54620069444</v>
      </c>
      <c r="C5" s="106" t="inlineStr">
        <is>
          <t>FM3857</t>
        </is>
      </c>
      <c r="D5" s="106" t="inlineStr">
        <is>
          <t>SO4388</t>
        </is>
      </c>
      <c r="E5" s="105" t="inlineStr">
        <is>
          <t>POL15058</t>
        </is>
      </c>
      <c r="F5" s="112" t="inlineStr">
        <is>
          <t>Heavy Duty Industrial (Pty) Ltd</t>
        </is>
      </c>
      <c r="G5" s="335" t="n">
        <v>280306.93</v>
      </c>
      <c r="H5" s="114" t="inlineStr">
        <is>
          <t>Mashudu Tshifularo</t>
        </is>
      </c>
      <c r="I5" s="106" t="inlineStr">
        <is>
          <t>In Progress</t>
        </is>
      </c>
      <c r="J5" s="158" t="inlineStr">
        <is>
          <t>CASH SALE - PAID</t>
        </is>
      </c>
      <c r="K5" s="105" t="inlineStr">
        <is>
          <t>Plate axial 800mm 150A10 c/w5.5kw 4 pole 380v flame proof motor (Qty: 4)</t>
        </is>
      </c>
      <c r="L5" s="107">
        <f>B5</f>
        <v/>
      </c>
    </row>
    <row r="6" ht="28.8" customHeight="1">
      <c r="A6" s="104" t="n">
        <v>46097</v>
      </c>
      <c r="B6" s="104" t="n">
        <v>46099.54620069444</v>
      </c>
      <c r="C6" s="106" t="inlineStr">
        <is>
          <t>FM3920</t>
        </is>
      </c>
      <c r="D6" s="106" t="inlineStr">
        <is>
          <t>SO4456</t>
        </is>
      </c>
      <c r="E6" s="105" t="inlineStr">
        <is>
          <t>FM3920</t>
        </is>
      </c>
      <c r="F6" s="112" t="inlineStr">
        <is>
          <t>ZEFS More Vision</t>
        </is>
      </c>
      <c r="G6" s="335" t="n">
        <v>9062.58</v>
      </c>
      <c r="H6" s="114" t="inlineStr">
        <is>
          <t>Mashudu Tshifularo</t>
        </is>
      </c>
      <c r="I6" s="106" t="inlineStr">
        <is>
          <t>In Progress</t>
        </is>
      </c>
      <c r="J6" s="158" t="inlineStr">
        <is>
          <t>CASH SALE - PAID</t>
        </is>
      </c>
      <c r="K6" s="105" t="inlineStr">
        <is>
          <t>MAXFLO 560/150/10 A c/w 1,10KW 4P 380V (Qty: 1)
560 Diam Counter Flange (Qty: 2)</t>
        </is>
      </c>
      <c r="L6" s="107">
        <f>B6</f>
        <v/>
      </c>
    </row>
    <row r="7" ht="144" customHeight="1">
      <c r="A7" s="102" t="n">
        <v>46052</v>
      </c>
      <c r="B7" s="102" t="n">
        <v>46101</v>
      </c>
      <c r="C7" s="33" t="inlineStr">
        <is>
          <t>FM3801</t>
        </is>
      </c>
      <c r="D7" s="33" t="inlineStr">
        <is>
          <t>SO4330</t>
        </is>
      </c>
      <c r="E7" s="36" t="inlineStr">
        <is>
          <t>PO0000573</t>
        </is>
      </c>
      <c r="F7" s="92" t="inlineStr">
        <is>
          <t>ST AIR SERVICES AND MAINTENANCE (PTY) LTD</t>
        </is>
      </c>
      <c r="G7" s="336" t="n">
        <v>784244.8</v>
      </c>
      <c r="H7" s="74" t="inlineStr">
        <is>
          <t>Simon Mokgola</t>
        </is>
      </c>
      <c r="I7" s="33" t="inlineStr">
        <is>
          <t>In Progress</t>
        </is>
      </c>
      <c r="J7" s="34" t="inlineStr">
        <is>
          <t>ACCOUNT - UP TO DATE</t>
        </is>
      </c>
      <c r="K7" s="36" t="inlineStr">
        <is>
          <t>Fumax 1000.32.F.4 c/w 7.5 kW 4 Pole 380V (SEF 10))) (Qty: 8), Majax Inlet Cone c/w Screen (Qty: 8), 1000 Diam Counter Flange (Qty: 8)
1000 Diam Mounting Feet (Qty: 16), 630 to 1000 NDB GREEN Neoprene Floor Mounts (Qty: 32), 800 32.F.8 c/w 4 kW 4 Pole 380V (SEF 13,14,15 and 16) (Qty: 4), Inlet Cone (Qty: 4), 800 Diam Counter Flange (Qty: 4), 800 Diam Mounting Feet (Qty: 8), 630 to 1000 NDB GREEN Neoprene Floor Mounts (Qty: 16), Fumax 1000.32.F.8 c/w 22 kW 4 Pole 380V (Qty: 2), Majax Inlet Cone c/w Screen (Qty: 2), 1000 Diam Counter Flange (Qty: 2), 1000 Diam Mounting Feet (Qty: 4), 630 to 1000 NDB GREEN Neoprene Floor Mounts (Qty: 8)</t>
        </is>
      </c>
      <c r="L7" s="103">
        <f>B7</f>
        <v/>
      </c>
    </row>
    <row r="8" ht="43.2" customHeight="1">
      <c r="A8" s="110" t="n">
        <v>46063</v>
      </c>
      <c r="B8" s="110" t="n">
        <v>46101</v>
      </c>
      <c r="C8" s="83" t="inlineStr">
        <is>
          <t>FM3819</t>
        </is>
      </c>
      <c r="D8" s="83" t="inlineStr">
        <is>
          <t>SO4350</t>
        </is>
      </c>
      <c r="E8" s="81" t="inlineStr">
        <is>
          <t>PO-27149</t>
        </is>
      </c>
      <c r="F8" s="117" t="inlineStr">
        <is>
          <t>Aircycle Engineering CC</t>
        </is>
      </c>
      <c r="G8" s="337" t="n">
        <v>64727.75</v>
      </c>
      <c r="H8" s="118" t="inlineStr">
        <is>
          <t>Simon Mokgola</t>
        </is>
      </c>
      <c r="I8" s="83" t="inlineStr">
        <is>
          <t>In Progress</t>
        </is>
      </c>
      <c r="J8" s="159" t="inlineStr">
        <is>
          <t>ACCOUNT - UP TO DATE</t>
        </is>
      </c>
      <c r="K8" s="81" t="inlineStr">
        <is>
          <t>31 50/60HZ (Qty: 1), 45-2T-2 400V 50/60HZ IE5 (Qty: 1), Anti-Vibration Rubber Mounts (Qty: 8), 450 Diam Counter Flange (Qty: 2), 450 Diam Mounting Feet (Qty: 4)</t>
        </is>
      </c>
      <c r="L8" s="109">
        <f>B8</f>
        <v/>
      </c>
    </row>
    <row r="9">
      <c r="A9" s="110" t="n">
        <v>46070</v>
      </c>
      <c r="B9" s="110" t="n">
        <v>46101</v>
      </c>
      <c r="C9" s="83" t="inlineStr">
        <is>
          <t>FM3848</t>
        </is>
      </c>
      <c r="D9" s="83" t="inlineStr">
        <is>
          <t>SO4379</t>
        </is>
      </c>
      <c r="E9" s="81" t="inlineStr">
        <is>
          <t>ABF001-2026-0017</t>
        </is>
      </c>
      <c r="F9" s="117" t="inlineStr">
        <is>
          <t>Industrial Control &amp; Automation (ICA)</t>
        </is>
      </c>
      <c r="G9" s="337" t="n">
        <v>23874</v>
      </c>
      <c r="H9" s="118" t="inlineStr">
        <is>
          <t>Simon Mokgola</t>
        </is>
      </c>
      <c r="I9" s="83" t="inlineStr">
        <is>
          <t>In Progress</t>
        </is>
      </c>
      <c r="J9" s="159" t="inlineStr">
        <is>
          <t>CASH SALE - PAID</t>
        </is>
      </c>
      <c r="K9" s="81" t="inlineStr">
        <is>
          <t>HEP-31-2M/H 220-240V (Qty: 3)</t>
        </is>
      </c>
      <c r="L9" s="109">
        <f>B9</f>
        <v/>
      </c>
    </row>
    <row r="10">
      <c r="A10" s="102" t="n">
        <v>46098</v>
      </c>
      <c r="B10" s="102" t="n">
        <v>46101</v>
      </c>
      <c r="C10" s="33" t="inlineStr">
        <is>
          <t>FM3926</t>
        </is>
      </c>
      <c r="D10" s="33" t="inlineStr">
        <is>
          <t>SO4463</t>
        </is>
      </c>
      <c r="E10" s="36" t="inlineStr">
        <is>
          <t>PO3378</t>
        </is>
      </c>
      <c r="F10" s="92" t="inlineStr">
        <is>
          <t>Systeco Pty ltd</t>
        </is>
      </c>
      <c r="G10" s="336" t="n">
        <v>8128.1</v>
      </c>
      <c r="H10" s="74" t="inlineStr">
        <is>
          <t>Sizwe Tshabalala</t>
        </is>
      </c>
      <c r="I10" s="33" t="inlineStr">
        <is>
          <t>In Progress</t>
        </is>
      </c>
      <c r="J10" s="34" t="inlineStr">
        <is>
          <t>CASH SALE - PAID</t>
        </is>
      </c>
      <c r="K10" s="36" t="inlineStr">
        <is>
          <t>MAJAX-2 400 c/w 1,10KW 2P 380V (Qty: 1)</t>
        </is>
      </c>
      <c r="L10" s="103">
        <f>B10</f>
        <v/>
      </c>
    </row>
    <row r="11" ht="43.2" customHeight="1">
      <c r="A11" s="102" t="n">
        <v>46098</v>
      </c>
      <c r="B11" s="102" t="n">
        <v>46101</v>
      </c>
      <c r="C11" s="33" t="inlineStr">
        <is>
          <t>FM3927</t>
        </is>
      </c>
      <c r="D11" s="33" t="inlineStr">
        <is>
          <t>SO4464</t>
        </is>
      </c>
      <c r="E11" s="36" t="inlineStr">
        <is>
          <t>SABN</t>
        </is>
      </c>
      <c r="F11" s="92" t="inlineStr">
        <is>
          <t>ZEFS More Vision</t>
        </is>
      </c>
      <c r="G11" s="336" t="n">
        <v>34218.46</v>
      </c>
      <c r="H11" s="74" t="inlineStr">
        <is>
          <t>Mashudu Tshifularo</t>
        </is>
      </c>
      <c r="I11" s="33" t="inlineStr">
        <is>
          <t>In Progress</t>
        </is>
      </c>
      <c r="J11" s="34" t="inlineStr">
        <is>
          <t>CASH SALE - PAID</t>
        </is>
      </c>
      <c r="K11" s="36" t="inlineStr">
        <is>
          <t>MAXFLO 800/150/10 A c/w 7,50KW 4P 380V (Qty: 1), 800 Diam Counter Flange (Qty: 1), MAXFLO 560/150/10 P c/w 2,20KW 4P 380V (Qty: 2), 560 Diam Counter Flange (Qty: 2)</t>
        </is>
      </c>
      <c r="L11" s="103">
        <f>B11</f>
        <v/>
      </c>
    </row>
    <row r="12">
      <c r="A12" s="102" t="n">
        <v>46058</v>
      </c>
      <c r="B12" s="102" t="n">
        <v>46104</v>
      </c>
      <c r="C12" s="33" t="inlineStr">
        <is>
          <t>FM3812</t>
        </is>
      </c>
      <c r="D12" s="33" t="inlineStr">
        <is>
          <t>SO4343</t>
        </is>
      </c>
      <c r="E12" s="36" t="inlineStr">
        <is>
          <t>DPO-1616</t>
        </is>
      </c>
      <c r="F12" s="92" t="inlineStr">
        <is>
          <t>Dueltron (Pty) Ltd</t>
        </is>
      </c>
      <c r="G12" s="336" t="n">
        <v>145269.15</v>
      </c>
      <c r="H12" s="74" t="inlineStr">
        <is>
          <t>Mashudu Tshifularo</t>
        </is>
      </c>
      <c r="I12" s="33" t="inlineStr">
        <is>
          <t>In Progress</t>
        </is>
      </c>
      <c r="J12" s="34" t="inlineStr">
        <is>
          <t>ACCOUNT - UP TO DATE</t>
        </is>
      </c>
      <c r="K12" s="36" t="inlineStr">
        <is>
          <t>MAJAX-2 BIF 1250 c/w 22,00KW 4P 380V (Qty: 1)</t>
        </is>
      </c>
      <c r="L12" s="103">
        <f>B12</f>
        <v/>
      </c>
    </row>
    <row r="13">
      <c r="A13" s="110" t="n">
        <v>45972</v>
      </c>
      <c r="B13" s="110" t="n">
        <v>46106</v>
      </c>
      <c r="C13" s="83" t="inlineStr">
        <is>
          <t>FM3633</t>
        </is>
      </c>
      <c r="D13" s="83" t="inlineStr">
        <is>
          <t>SO4171</t>
        </is>
      </c>
      <c r="E13" s="81" t="inlineStr">
        <is>
          <t>A3412094782</t>
        </is>
      </c>
      <c r="F13" s="117" t="inlineStr">
        <is>
          <t>NWK LTD</t>
        </is>
      </c>
      <c r="G13" s="337">
        <f>74980/5</f>
        <v/>
      </c>
      <c r="H13" s="118" t="inlineStr">
        <is>
          <t>Sizwe Tshabalala</t>
        </is>
      </c>
      <c r="I13" s="83" t="inlineStr">
        <is>
          <t>In Progress</t>
        </is>
      </c>
      <c r="J13" s="159" t="inlineStr">
        <is>
          <t>ACCOUNT - UP TO DATE</t>
        </is>
      </c>
      <c r="K13" s="81" t="inlineStr">
        <is>
          <t>CMA-325-2M (Qty: 5)</t>
        </is>
      </c>
      <c r="L13" s="109">
        <f>B13</f>
        <v/>
      </c>
    </row>
    <row r="14">
      <c r="A14" s="110" t="n">
        <v>45981</v>
      </c>
      <c r="B14" s="110" t="n">
        <v>46106</v>
      </c>
      <c r="C14" s="83" t="inlineStr">
        <is>
          <t>FM3676</t>
        </is>
      </c>
      <c r="D14" s="83" t="inlineStr">
        <is>
          <t>SO4204</t>
        </is>
      </c>
      <c r="E14" s="81" t="inlineStr">
        <is>
          <t>B137477</t>
        </is>
      </c>
      <c r="F14" s="117" t="inlineStr">
        <is>
          <t>Vescotech</t>
        </is>
      </c>
      <c r="G14" s="337" t="n">
        <v>22563</v>
      </c>
      <c r="H14" s="118" t="inlineStr">
        <is>
          <t>Sizwe Tshabalala</t>
        </is>
      </c>
      <c r="I14" s="83" t="inlineStr">
        <is>
          <t>In Progress</t>
        </is>
      </c>
      <c r="J14" s="159" t="inlineStr">
        <is>
          <t>CASH SALE - PAID</t>
        </is>
      </c>
      <c r="K14" s="81" t="inlineStr">
        <is>
          <t>HCT-40-4T-0.33/PL ATEX (Qty: 1)</t>
        </is>
      </c>
      <c r="L14" s="109">
        <f>B14</f>
        <v/>
      </c>
    </row>
    <row r="15" ht="28.8" customHeight="1">
      <c r="A15" s="110" t="n">
        <v>45985</v>
      </c>
      <c r="B15" s="110" t="n">
        <v>46106</v>
      </c>
      <c r="C15" s="83" t="inlineStr">
        <is>
          <t>FM3685</t>
        </is>
      </c>
      <c r="D15" s="83" t="inlineStr">
        <is>
          <t>SO4215</t>
        </is>
      </c>
      <c r="E15" s="81" t="inlineStr">
        <is>
          <t>4358</t>
        </is>
      </c>
      <c r="F15" s="117" t="inlineStr">
        <is>
          <t>Air Speration (Pty) Ltd</t>
        </is>
      </c>
      <c r="G15" s="337">
        <f>26542/2</f>
        <v/>
      </c>
      <c r="H15" s="118" t="inlineStr">
        <is>
          <t>Mashudu Tshifularo</t>
        </is>
      </c>
      <c r="I15" s="83" t="inlineStr">
        <is>
          <t>In Progress</t>
        </is>
      </c>
      <c r="J15" s="159" t="inlineStr">
        <is>
          <t>CASH SALE - PAID</t>
        </is>
      </c>
      <c r="K15" s="81" t="inlineStr">
        <is>
          <t>CMP 820 2T - LG270 (Qty: 1)
CMP 820 2T - RD270 (Qty: 1)</t>
        </is>
      </c>
      <c r="L15" s="109">
        <f>B15</f>
        <v/>
      </c>
    </row>
    <row r="16" ht="100.8" customHeight="1">
      <c r="A16" s="102" t="n">
        <v>46077</v>
      </c>
      <c r="B16" s="102" t="n">
        <v>46108</v>
      </c>
      <c r="C16" s="33" t="inlineStr">
        <is>
          <t>FM3876</t>
        </is>
      </c>
      <c r="D16" s="33" t="inlineStr">
        <is>
          <t>SO4405</t>
        </is>
      </c>
      <c r="E16" s="36" t="inlineStr">
        <is>
          <t>FM3875 - FM3876</t>
        </is>
      </c>
      <c r="F16" s="92" t="inlineStr">
        <is>
          <t>BMT SMART SOLUTIONS (PTY) LTD</t>
        </is>
      </c>
      <c r="G16" s="336" t="n">
        <v>52783.16</v>
      </c>
      <c r="H16" s="74" t="inlineStr">
        <is>
          <t>Simon Mokgola</t>
        </is>
      </c>
      <c r="I16" s="33" t="inlineStr">
        <is>
          <t>In Progress</t>
        </is>
      </c>
      <c r="J16" s="34" t="inlineStr">
        <is>
          <t>ACCOUNT - UP TO DATE</t>
        </is>
      </c>
      <c r="K16" s="36" t="inlineStr">
        <is>
          <t>MAXFLO 500/150/10 A c/w 0,37KW 4P 380V (Qty: 1), 500 Diam Silencer 1.5D Podded (Qty: 2), 500 Diam Counter Flange (Qty: 2)
500 Diam Mounting Feet (Qty: 4), 315 to 560 NDA RED ANeoprene Floor Mounts (Qty: 8), Fumax 560.20.D.8 C/W 4KW 2P 380V (Qty: 1)
560 Diam Silencer 1.5D Podded (Qty: 2), 560 Diam Counter Flange (Qty: 2), 560 Diam Mounting Feet (Qty: 4), 315 to 560 NDA RED ANeoprene Floor Mounts (Qty: 8)</t>
        </is>
      </c>
      <c r="L16" s="103">
        <f>B16</f>
        <v/>
      </c>
    </row>
    <row r="17">
      <c r="A17" s="102" t="n">
        <v>46093</v>
      </c>
      <c r="B17" s="102" t="n">
        <v>46108</v>
      </c>
      <c r="C17" s="33" t="inlineStr">
        <is>
          <t>FM3902</t>
        </is>
      </c>
      <c r="D17" s="33" t="inlineStr">
        <is>
          <t>SO4448</t>
        </is>
      </c>
      <c r="E17" s="36" t="inlineStr">
        <is>
          <t>61713</t>
        </is>
      </c>
      <c r="F17" s="92" t="inlineStr">
        <is>
          <t>Chabo &amp; Joubert Air Conditioning (Pty) Ltd</t>
        </is>
      </c>
      <c r="G17" s="336" t="n">
        <v>84019</v>
      </c>
      <c r="H17" s="74" t="inlineStr">
        <is>
          <t>Sizwe Tshabalala</t>
        </is>
      </c>
      <c r="I17" s="33" t="inlineStr">
        <is>
          <t>In Progress</t>
        </is>
      </c>
      <c r="J17" s="34" t="inlineStr">
        <is>
          <t>ACCOUNT - UP TO DATE</t>
        </is>
      </c>
      <c r="K17" s="36" t="inlineStr">
        <is>
          <t>MAJAX 965 c/w 11,00KW 4P 525V - 2 Stage (Qty: 2)</t>
        </is>
      </c>
      <c r="L17" s="103">
        <f>B17</f>
        <v/>
      </c>
    </row>
    <row r="18" ht="28.8" customHeight="1">
      <c r="A18" s="102" t="n">
        <v>46094</v>
      </c>
      <c r="B18" s="102" t="n">
        <v>46108</v>
      </c>
      <c r="C18" s="33" t="inlineStr">
        <is>
          <t>FM3917</t>
        </is>
      </c>
      <c r="D18" s="33" t="inlineStr">
        <is>
          <t>SO4452</t>
        </is>
      </c>
      <c r="E18" s="36" t="inlineStr">
        <is>
          <t>PO-2603-001-FMT</t>
        </is>
      </c>
      <c r="F18" s="92" t="inlineStr">
        <is>
          <t>Hurricane Group</t>
        </is>
      </c>
      <c r="G18" s="336" t="n">
        <v>50075.83</v>
      </c>
      <c r="H18" s="74" t="inlineStr">
        <is>
          <t>Sizwe Tshabalala</t>
        </is>
      </c>
      <c r="I18" s="33" t="inlineStr">
        <is>
          <t>In Progress</t>
        </is>
      </c>
      <c r="J18" s="34" t="inlineStr">
        <is>
          <t>CASH SALE - PARTIAL</t>
        </is>
      </c>
      <c r="K18" s="36" t="inlineStr">
        <is>
          <t>MAJAX-3 500 c/w 3,00KW 2P 380V (Qty: 4)
500 Diam Counter Flange (Qty: 8)</t>
        </is>
      </c>
      <c r="L18" s="103">
        <f>B18</f>
        <v/>
      </c>
    </row>
    <row r="19">
      <c r="A19" s="102" t="n">
        <v>46094</v>
      </c>
      <c r="B19" s="102" t="n">
        <v>46112</v>
      </c>
      <c r="C19" s="33" t="inlineStr">
        <is>
          <t>FM3891</t>
        </is>
      </c>
      <c r="D19" s="33" t="inlineStr">
        <is>
          <t>SO4455</t>
        </is>
      </c>
      <c r="E19" s="36" t="inlineStr">
        <is>
          <t>POR80557</t>
        </is>
      </c>
      <c r="F19" s="92" t="inlineStr">
        <is>
          <t>Venwood and Baker Electrical</t>
        </is>
      </c>
      <c r="G19" s="336" t="n">
        <v>137207.26</v>
      </c>
      <c r="H19" s="74" t="inlineStr">
        <is>
          <t>Sizwe Tshabalala</t>
        </is>
      </c>
      <c r="I19" s="33" t="inlineStr">
        <is>
          <t>In Progress</t>
        </is>
      </c>
      <c r="J19" s="34" t="inlineStr">
        <is>
          <t>CASH SALE - PAID</t>
        </is>
      </c>
      <c r="K19" s="36" t="inlineStr">
        <is>
          <t>MAJAX-2 800 c/w 3,00KW 4P 525V (Qty: 6)</t>
        </is>
      </c>
      <c r="L19" s="103">
        <f>B19</f>
        <v/>
      </c>
    </row>
    <row r="20">
      <c r="A20" s="102" t="n">
        <v>46091</v>
      </c>
      <c r="B20" s="102" t="n">
        <v>46113</v>
      </c>
      <c r="C20" s="33" t="inlineStr">
        <is>
          <t>FM3907</t>
        </is>
      </c>
      <c r="D20" s="33" t="inlineStr">
        <is>
          <t>SO4440</t>
        </is>
      </c>
      <c r="E20" s="36" t="inlineStr">
        <is>
          <t>PO2228</t>
        </is>
      </c>
      <c r="F20" s="92" t="inlineStr">
        <is>
          <t>Hucra Fans</t>
        </is>
      </c>
      <c r="G20" s="336" t="n">
        <v>21208.3</v>
      </c>
      <c r="H20" s="74" t="inlineStr">
        <is>
          <t>Sales Agent Hucra Fans</t>
        </is>
      </c>
      <c r="I20" s="33" t="inlineStr">
        <is>
          <t>In Progress</t>
        </is>
      </c>
      <c r="J20" s="34" t="inlineStr">
        <is>
          <t>ACCOUNT - UP TO DATE</t>
        </is>
      </c>
      <c r="K20" s="36" t="inlineStr">
        <is>
          <t>SCL-K05 MS-2.2kW 380V (Qty: 1)</t>
        </is>
      </c>
      <c r="L20" s="103">
        <f>B20</f>
        <v/>
      </c>
    </row>
    <row r="21">
      <c r="A21" s="151" t="n">
        <v>45799</v>
      </c>
      <c r="B21" s="151" t="n">
        <v>46142</v>
      </c>
      <c r="C21" s="147" t="inlineStr">
        <is>
          <t>Pending</t>
        </is>
      </c>
      <c r="D21" s="147" t="inlineStr">
        <is>
          <t>SO3760</t>
        </is>
      </c>
      <c r="E21" s="146" t="inlineStr">
        <is>
          <t>nan</t>
        </is>
      </c>
      <c r="F21" s="150" t="inlineStr">
        <is>
          <t>Rey &amp; Lenferna Ltd</t>
        </is>
      </c>
      <c r="G21" s="344" t="n">
        <v>545349.34</v>
      </c>
      <c r="H21" s="148" t="inlineStr">
        <is>
          <t>Sizwe - R.O.A</t>
        </is>
      </c>
      <c r="I21" s="147" t="inlineStr">
        <is>
          <t>Pending</t>
        </is>
      </c>
      <c r="J21" s="160" t="inlineStr">
        <is>
          <t>ACCOUNT - UP TO DATE</t>
        </is>
      </c>
      <c r="K21" s="146" t="inlineStr">
        <is>
          <t>OUTSTANDING ORDER (Qty: 1)</t>
        </is>
      </c>
      <c r="L21" s="145">
        <f>B21</f>
        <v/>
      </c>
    </row>
    <row r="22">
      <c r="A22" s="151" t="n">
        <v>46052</v>
      </c>
      <c r="B22" s="151" t="n">
        <v>46142</v>
      </c>
      <c r="C22" s="147" t="inlineStr">
        <is>
          <t>Pending</t>
        </is>
      </c>
      <c r="D22" s="147" t="inlineStr">
        <is>
          <t>SO4331</t>
        </is>
      </c>
      <c r="E22" s="146" t="inlineStr">
        <is>
          <t>ORDER</t>
        </is>
      </c>
      <c r="F22" s="150" t="inlineStr">
        <is>
          <t>Rey &amp; Lenferna Ltd</t>
        </is>
      </c>
      <c r="G22" s="344" t="n">
        <v>521526.68</v>
      </c>
      <c r="H22" s="148" t="inlineStr">
        <is>
          <t>Sizwe - R.O.A</t>
        </is>
      </c>
      <c r="I22" s="147" t="inlineStr">
        <is>
          <t>Pending</t>
        </is>
      </c>
      <c r="J22" s="160" t="inlineStr">
        <is>
          <t>ACCOUNT - UP TO DATE</t>
        </is>
      </c>
      <c r="K22" s="146" t="inlineStr">
        <is>
          <t>Sales order (Qty: 1)</t>
        </is>
      </c>
      <c r="L22" s="145">
        <f>B22</f>
        <v/>
      </c>
    </row>
    <row r="23">
      <c r="A23" s="102" t="n">
        <v>46077</v>
      </c>
      <c r="B23" s="102" t="n">
        <v>46157</v>
      </c>
      <c r="C23" s="33" t="inlineStr">
        <is>
          <t>FM3874</t>
        </is>
      </c>
      <c r="D23" s="33" t="inlineStr">
        <is>
          <t>SO4404</t>
        </is>
      </c>
      <c r="E23" s="36" t="inlineStr">
        <is>
          <t>PO2174</t>
        </is>
      </c>
      <c r="F23" s="92" t="inlineStr">
        <is>
          <t>ITD North Pty Ltd</t>
        </is>
      </c>
      <c r="G23" s="336" t="n">
        <v>94247.10000000001</v>
      </c>
      <c r="H23" s="74" t="inlineStr">
        <is>
          <t>Mashudu Tshifularo</t>
        </is>
      </c>
      <c r="I23" s="33" t="inlineStr">
        <is>
          <t>In Progress</t>
        </is>
      </c>
      <c r="J23" s="34" t="inlineStr">
        <is>
          <t>CASH SALE - PARTIAL</t>
        </is>
      </c>
      <c r="K23" s="36" t="inlineStr">
        <is>
          <t>RDH 710 K2 - Nicotra Fan (Qty: 1)</t>
        </is>
      </c>
      <c r="L23" s="103">
        <f>B23</f>
        <v/>
      </c>
    </row>
    <row r="24">
      <c r="A24" s="102" t="n">
        <v>46069</v>
      </c>
      <c r="B24" s="102" t="n">
        <v>46157</v>
      </c>
      <c r="C24" s="33" t="inlineStr">
        <is>
          <t>FM3841</t>
        </is>
      </c>
      <c r="D24" s="33" t="inlineStr">
        <is>
          <t>SO4372</t>
        </is>
      </c>
      <c r="E24" s="36" t="inlineStr">
        <is>
          <t>PO2213</t>
        </is>
      </c>
      <c r="F24" s="92" t="inlineStr">
        <is>
          <t>Hucra Fans</t>
        </is>
      </c>
      <c r="G24" s="336" t="n">
        <v>379993.35</v>
      </c>
      <c r="H24" s="74" t="inlineStr">
        <is>
          <t>Sales Agent Hucra Fans</t>
        </is>
      </c>
      <c r="I24" s="33" t="inlineStr">
        <is>
          <t>In Progress</t>
        </is>
      </c>
      <c r="J24" s="34" t="inlineStr">
        <is>
          <t>ACCOUNT - UP TO DATE</t>
        </is>
      </c>
      <c r="K24" s="36" t="inlineStr">
        <is>
          <t>SCL K11 MS - 11.0kW - 525V (Qty: 3)</t>
        </is>
      </c>
      <c r="L24" s="103">
        <f>B24</f>
        <v/>
      </c>
    </row>
    <row r="25" ht="15" customHeight="1" thickBot="1">
      <c r="F25" s="144" t="inlineStr">
        <is>
          <t>Total Value (All):</t>
        </is>
      </c>
      <c r="G25" s="345">
        <f>SUM(G3:G24)</f>
        <v/>
      </c>
    </row>
    <row r="26" ht="15" customHeight="1" thickBot="1">
      <c r="F26" s="142" t="inlineStr">
        <is>
          <t>BREAKDOWN</t>
        </is>
      </c>
    </row>
    <row r="27">
      <c r="F27" s="141" t="inlineStr">
        <is>
          <t>Cash Sale (March):</t>
        </is>
      </c>
      <c r="G27" s="346">
        <f>SUMIFS(G3:G24, J3:J24, "*CASH SALE*", L3:L24, "&gt;="&amp;EOMONTH(TODAY(),-1)+1, L3:L24, "&lt;="&amp;EOMONTH(TODAY(),0))</f>
        <v/>
      </c>
      <c r="H27" s="139" t="n"/>
      <c r="I27" s="138" t="inlineStr">
        <is>
          <t>Cash Sale (April):</t>
        </is>
      </c>
      <c r="J27" s="347">
        <f>SUMIFS(G3:G24, J3:J24, "*CASH SALE*", L3:L24, "&gt;="&amp;EOMONTH(TODAY(),0)+1, L3:L24, "&lt;="&amp;EOMONTH(TODAY(),1))</f>
        <v/>
      </c>
    </row>
    <row r="28" ht="15" customHeight="1" thickBot="1">
      <c r="F28" s="137" t="inlineStr">
        <is>
          <t>Account (March):</t>
        </is>
      </c>
      <c r="G28" s="348">
        <f>SUMIFS(G3:G24, J3:J24, "*ACCOUNT*", L3:L24, "&gt;="&amp;EOMONTH(TODAY(),-1)+1, L3:L24, "&lt;="&amp;EOMONTH(TODAY(),0))</f>
        <v/>
      </c>
      <c r="H28" s="135" t="n"/>
      <c r="I28" s="134" t="inlineStr">
        <is>
          <t>Account (April):</t>
        </is>
      </c>
      <c r="J28" s="349">
        <f>SUMIFS(G3:G24, J3:J24, "*ACCOUNT*", L3:L24, "&gt;="&amp;EOMONTH(TODAY(),0)+1, L3:L24, "&lt;="&amp;EOMONTH(TODAY(),1))</f>
        <v/>
      </c>
    </row>
    <row r="29" ht="15" customHeight="1" thickBot="1"/>
    <row r="30">
      <c r="A30" s="130" t="inlineStr">
        <is>
          <t>Date</t>
        </is>
      </c>
      <c r="B30" s="130" t="inlineStr">
        <is>
          <t>Delivery Date</t>
        </is>
      </c>
      <c r="C30" s="130" t="inlineStr">
        <is>
          <t>Job Number</t>
        </is>
      </c>
      <c r="D30" s="130" t="inlineStr">
        <is>
          <t>SO Number</t>
        </is>
      </c>
      <c r="E30" s="130" t="inlineStr">
        <is>
          <t>Customer Ref.</t>
        </is>
      </c>
      <c r="F30" s="133" t="inlineStr">
        <is>
          <t>Customer</t>
        </is>
      </c>
      <c r="G30" s="132" t="inlineStr">
        <is>
          <t>Total</t>
        </is>
      </c>
      <c r="H30" s="131" t="inlineStr">
        <is>
          <t>Sales Rep</t>
        </is>
      </c>
      <c r="I30" s="130" t="inlineStr">
        <is>
          <t>Status</t>
        </is>
      </c>
      <c r="J30" s="129" t="inlineStr">
        <is>
          <t>Payment Status</t>
        </is>
      </c>
      <c r="K30" s="128" t="inlineStr">
        <is>
          <t>Comments</t>
        </is>
      </c>
    </row>
    <row r="31">
      <c r="A31" s="102" t="n">
        <v>46056</v>
      </c>
      <c r="B31" s="102" t="n">
        <v>46099.54620069444</v>
      </c>
      <c r="C31" s="33" t="inlineStr">
        <is>
          <t>FM3808</t>
        </is>
      </c>
      <c r="D31" s="33" t="inlineStr">
        <is>
          <t>SO4339</t>
        </is>
      </c>
      <c r="E31" s="36" t="inlineStr">
        <is>
          <t>PO549NN</t>
        </is>
      </c>
      <c r="F31" s="92" t="inlineStr">
        <is>
          <t>Intervent-Universal (Pty) Ltd</t>
        </is>
      </c>
      <c r="G31" s="336" t="n">
        <v>22816</v>
      </c>
      <c r="H31" s="74" t="inlineStr">
        <is>
          <t>Simon Mokgola</t>
        </is>
      </c>
      <c r="I31" s="33" t="inlineStr">
        <is>
          <t>Ready-Dispatch</t>
        </is>
      </c>
      <c r="J31" s="34" t="inlineStr">
        <is>
          <t>CASH SALE - UNPAID</t>
        </is>
      </c>
      <c r="K31" s="127" t="inlineStr">
        <is>
          <t xml:space="preserve">Awaiting feedback from Simon. </t>
        </is>
      </c>
    </row>
    <row r="32">
      <c r="A32" s="102" t="n">
        <v>46091</v>
      </c>
      <c r="B32" s="102" t="n">
        <v>46099.54620069444</v>
      </c>
      <c r="C32" s="33" t="inlineStr">
        <is>
          <t>FM3909</t>
        </is>
      </c>
      <c r="D32" s="33" t="inlineStr">
        <is>
          <t>SO4442</t>
        </is>
      </c>
      <c r="E32" s="36" t="inlineStr">
        <is>
          <t>FM3909</t>
        </is>
      </c>
      <c r="F32" s="92" t="inlineStr">
        <is>
          <t>VIP SUPERMERCARDO LIMITADA</t>
        </is>
      </c>
      <c r="G32" s="336" t="n">
        <v>7619.9</v>
      </c>
      <c r="H32" s="74" t="inlineStr">
        <is>
          <t>Sizwe - R.O.A</t>
        </is>
      </c>
      <c r="I32" s="33" t="inlineStr">
        <is>
          <t>Ready-Dispatch</t>
        </is>
      </c>
      <c r="J32" s="34" t="inlineStr">
        <is>
          <t>CASH SALE - PAID</t>
        </is>
      </c>
      <c r="K32" s="127" t="inlineStr">
        <is>
          <t>Collection 18 or 19/03/2026</t>
        </is>
      </c>
    </row>
    <row r="33" ht="15" customFormat="1" customHeight="1" s="125" thickBot="1">
      <c r="A33" s="126" t="n"/>
      <c r="B33" s="126" t="n"/>
      <c r="C33" s="126" t="n"/>
      <c r="D33" s="126" t="n"/>
      <c r="F33" s="125" t="inlineStr">
        <is>
          <t>Ready-Dispatch:</t>
        </is>
      </c>
      <c r="G33" s="341">
        <f>SUMIFS(G3:G24, I3:I24, "*Ready*Dispatch*")</f>
        <v/>
      </c>
      <c r="I33" s="126" t="n"/>
      <c r="J33" s="126" t="n"/>
    </row>
  </sheetData>
  <mergeCells count="2">
    <mergeCell ref="A1:D1"/>
    <mergeCell ref="K1:L1"/>
  </mergeCells>
  <pageMargins left="0.2362204724409449" right="0.2362204724409449" top="0.7480314960629921" bottom="0.7480314960629921" header="0.3149606299212598" footer="0.3149606299212598"/>
  <pageSetup orientation="landscape" scale="5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topLeftCell="A11" zoomScale="70" zoomScaleNormal="70" workbookViewId="0">
      <selection activeCell="K4" sqref="K4"/>
    </sheetView>
  </sheetViews>
  <sheetFormatPr baseColWidth="8" defaultRowHeight="14.4"/>
  <cols>
    <col width="12" customWidth="1" min="1" max="2"/>
    <col width="9.44140625" customWidth="1" style="97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0" customWidth="1" min="10" max="10"/>
    <col width="50" customWidth="1" min="11" max="11"/>
    <col width="12" customWidth="1" min="12" max="12"/>
  </cols>
  <sheetData>
    <row r="1" ht="28.8" customHeight="1">
      <c r="A1" s="163" t="inlineStr">
        <is>
          <t>Date</t>
        </is>
      </c>
      <c r="B1" s="163" t="inlineStr">
        <is>
          <t>Delivery Date</t>
        </is>
      </c>
      <c r="C1" s="163" t="inlineStr">
        <is>
          <t>Job Number</t>
        </is>
      </c>
      <c r="D1" s="163" t="inlineStr">
        <is>
          <t>SO Number</t>
        </is>
      </c>
      <c r="E1" s="163" t="inlineStr">
        <is>
          <t>Customer Ref.</t>
        </is>
      </c>
      <c r="F1" s="163" t="inlineStr">
        <is>
          <t>Customer</t>
        </is>
      </c>
      <c r="G1" s="163" t="inlineStr">
        <is>
          <t>Total</t>
        </is>
      </c>
      <c r="H1" s="163" t="inlineStr">
        <is>
          <t>Sales Rep</t>
        </is>
      </c>
      <c r="I1" s="163" t="inlineStr">
        <is>
          <t>Status</t>
        </is>
      </c>
      <c r="J1" s="163" t="inlineStr">
        <is>
          <t>Payment Status</t>
        </is>
      </c>
      <c r="K1" s="163" t="inlineStr">
        <is>
          <t>Details</t>
        </is>
      </c>
      <c r="L1" s="163" t="inlineStr">
        <is>
          <t>Delivery Date (Copy)</t>
        </is>
      </c>
    </row>
    <row r="2" ht="28.8" customHeight="1">
      <c r="A2" s="170" t="n">
        <v>46056</v>
      </c>
      <c r="B2" s="170" t="n">
        <v>46100.65944997685</v>
      </c>
      <c r="C2" s="173" t="inlineStr">
        <is>
          <t>FM3808</t>
        </is>
      </c>
      <c r="D2" s="171" t="inlineStr">
        <is>
          <t>SO4339</t>
        </is>
      </c>
      <c r="E2" s="171" t="inlineStr">
        <is>
          <t>PO549NN</t>
        </is>
      </c>
      <c r="F2" s="171" t="inlineStr">
        <is>
          <t>Intervent-Universal (Pty) Ltd</t>
        </is>
      </c>
      <c r="G2" s="350" t="n">
        <v>22816</v>
      </c>
      <c r="H2" s="171" t="inlineStr">
        <is>
          <t>Simon Mokgola</t>
        </is>
      </c>
      <c r="I2" s="171" t="inlineStr">
        <is>
          <t>Ready-Dispatch</t>
        </is>
      </c>
      <c r="J2" s="171" t="inlineStr">
        <is>
          <t>ACCOUNT - UP TO DATE</t>
        </is>
      </c>
      <c r="K2" s="171" t="inlineStr">
        <is>
          <t>RAD 250 (Qty: 8)</t>
        </is>
      </c>
      <c r="L2" s="170" t="n">
        <v>46100.65944997685</v>
      </c>
    </row>
    <row r="3" ht="28.8" customHeight="1">
      <c r="A3" s="170" t="n">
        <v>46091</v>
      </c>
      <c r="B3" s="170" t="n">
        <v>46100.65944997685</v>
      </c>
      <c r="C3" s="173" t="inlineStr">
        <is>
          <t>FM3909</t>
        </is>
      </c>
      <c r="D3" s="171" t="inlineStr">
        <is>
          <t>SO4442</t>
        </is>
      </c>
      <c r="E3" s="171" t="inlineStr">
        <is>
          <t>FM3909</t>
        </is>
      </c>
      <c r="F3" s="171" t="inlineStr">
        <is>
          <t>VIP SUPERMERCARDO LIMITADA</t>
        </is>
      </c>
      <c r="G3" s="350" t="n">
        <v>7619.9</v>
      </c>
      <c r="H3" s="171" t="inlineStr">
        <is>
          <t>Sizwe - R.O.A</t>
        </is>
      </c>
      <c r="I3" s="171" t="inlineStr">
        <is>
          <t>Ready-Dispatch</t>
        </is>
      </c>
      <c r="J3" s="171" t="inlineStr">
        <is>
          <t>ACCOUNT - UP TO DATE</t>
        </is>
      </c>
      <c r="K3" s="171" t="inlineStr">
        <is>
          <t>VP 150K (Qty: 2)</t>
        </is>
      </c>
      <c r="L3" s="170" t="n">
        <v>46100.65944997685</v>
      </c>
    </row>
    <row r="4" ht="230.4" customHeight="1">
      <c r="A4" s="170" t="n">
        <v>46052</v>
      </c>
      <c r="B4" s="170" t="n">
        <v>46100.65944997685</v>
      </c>
      <c r="C4" s="173" t="inlineStr">
        <is>
          <t>FM3800</t>
        </is>
      </c>
      <c r="D4" s="171" t="inlineStr">
        <is>
          <t>SO4330</t>
        </is>
      </c>
      <c r="E4" s="171" t="inlineStr">
        <is>
          <t>PO0000573 - JHB FORENSIC PATHOLOGY LAB</t>
        </is>
      </c>
      <c r="F4" s="171" t="inlineStr">
        <is>
          <t>ST AIR SERVICES AND MAINTENANCE (PTY) LTD</t>
        </is>
      </c>
      <c r="G4" s="350" t="n">
        <v>784244.8</v>
      </c>
      <c r="H4" s="171" t="inlineStr">
        <is>
          <t>Simon Mokgola</t>
        </is>
      </c>
      <c r="I4" s="171" t="inlineStr">
        <is>
          <t>In Progress</t>
        </is>
      </c>
      <c r="J4" s="171" t="n"/>
      <c r="K4" s="171" t="inlineStr">
        <is>
          <t>Fumax 1000.32.F.4 c/w 7.5 kW 4 Pole 380V (SEF 10))) (Qty: 8)
Majax Inlet Cone c/w Screen (Qty: 8)
1000 Diam Counter Flange (Qty: 8)
1000 Diam Mounting Feet (Qty: 16)
630 to 1000 NDB GREEN Neoprene Floor Mounts (Qty: 32)
800 32.F.8 c/w 4 kW 4 Pole 380V (SEF 13,14,15 and 16) (Qty: 4)
Inlet Cone (Qty: 4)
800 Diam Counter Flange (Qty: 4)
800 Diam Mounting Feet (Qty: 8)
630 to 1000 NDB GREEN Neoprene Floor Mounts (Qty: 16)
Fumax 1000.32.F.8 c/w 22 kW 4 Pole 380V (Qty: 2)
Majax Inlet Cone c/w Screen (Qty: 2)
1000 Diam Counter Flange (Qty: 2)
1000 Diam Mounting Feet (Qty: 4)
630 to 1000 NDB GREEN Neoprene Floor Mounts (Qty: 8)</t>
        </is>
      </c>
      <c r="L4" s="170" t="n">
        <v>46100.65944997685</v>
      </c>
    </row>
    <row r="5" ht="28.8" customHeight="1">
      <c r="A5" s="170" t="n">
        <v>46072</v>
      </c>
      <c r="B5" s="170" t="n">
        <v>46100.65944997685</v>
      </c>
      <c r="C5" s="173" t="inlineStr">
        <is>
          <t>FM3857</t>
        </is>
      </c>
      <c r="D5" s="171" t="inlineStr">
        <is>
          <t>SO4388</t>
        </is>
      </c>
      <c r="E5" s="171" t="inlineStr">
        <is>
          <t>POL15058</t>
        </is>
      </c>
      <c r="F5" s="171" t="inlineStr">
        <is>
          <t>Heavy Duty Industrial (Pty) Ltd</t>
        </is>
      </c>
      <c r="G5" s="350" t="n">
        <v>280306.93</v>
      </c>
      <c r="H5" s="171" t="inlineStr">
        <is>
          <t>Mashudu Tshifularo</t>
        </is>
      </c>
      <c r="I5" s="171" t="inlineStr">
        <is>
          <t>Ready-Dispatch</t>
        </is>
      </c>
      <c r="J5" s="171" t="inlineStr">
        <is>
          <t>ACCOUNT - UP TO DATE</t>
        </is>
      </c>
      <c r="K5" s="171" t="inlineStr">
        <is>
          <t>Plate axial 800mm 150A10 c/w5.5kw 4 pole 380v flame proof motor (Qty: 4)</t>
        </is>
      </c>
      <c r="L5" s="170" t="n">
        <v>46100.65944997685</v>
      </c>
    </row>
    <row r="6" ht="28.8" customHeight="1">
      <c r="A6" s="170" t="n">
        <v>46097</v>
      </c>
      <c r="B6" s="170" t="n">
        <v>46100.65944997685</v>
      </c>
      <c r="C6" s="173" t="inlineStr">
        <is>
          <t>FM3920</t>
        </is>
      </c>
      <c r="D6" s="171" t="inlineStr">
        <is>
          <t>SO4456</t>
        </is>
      </c>
      <c r="E6" s="171" t="inlineStr">
        <is>
          <t>FM3920</t>
        </is>
      </c>
      <c r="F6" s="171" t="inlineStr">
        <is>
          <t>ZEFS More Vision</t>
        </is>
      </c>
      <c r="G6" s="350" t="n">
        <v>9062.58</v>
      </c>
      <c r="H6" s="171" t="inlineStr">
        <is>
          <t>Mashudu Tshifularo</t>
        </is>
      </c>
      <c r="I6" s="171" t="inlineStr">
        <is>
          <t>In Progress</t>
        </is>
      </c>
      <c r="J6" s="171" t="inlineStr">
        <is>
          <t>ACCOUNT - UP TO DATE</t>
        </is>
      </c>
      <c r="K6" s="171" t="inlineStr">
        <is>
          <t>MAXFLO 560/150/10 A c/w 1,10KW 4P 380V (Qty: 1)
560 Diam Counter Flange (Qty: 2)</t>
        </is>
      </c>
      <c r="L6" s="170" t="n">
        <v>46100.65944997685</v>
      </c>
    </row>
    <row r="7" ht="72" customHeight="1">
      <c r="A7" s="164" t="n">
        <v>46063</v>
      </c>
      <c r="B7" s="164" t="n">
        <v>46101</v>
      </c>
      <c r="C7" s="174" t="inlineStr">
        <is>
          <t>FM3819</t>
        </is>
      </c>
      <c r="D7" s="165" t="inlineStr">
        <is>
          <t>SO4350</t>
        </is>
      </c>
      <c r="E7" s="165" t="inlineStr">
        <is>
          <t>PO-27149</t>
        </is>
      </c>
      <c r="F7" s="165" t="inlineStr">
        <is>
          <t>Aircycle Engineering CC</t>
        </is>
      </c>
      <c r="G7" s="351" t="n">
        <v>64727.75</v>
      </c>
      <c r="H7" s="165" t="inlineStr">
        <is>
          <t>Simon Mokgola</t>
        </is>
      </c>
      <c r="I7" s="165" t="inlineStr">
        <is>
          <t>In Progress</t>
        </is>
      </c>
      <c r="J7" s="165" t="inlineStr">
        <is>
          <t>ACCOUNT - UP TO DATE</t>
        </is>
      </c>
      <c r="K7" s="165" t="inlineStr">
        <is>
          <t>31 50/60HZ (Qty: 1)
45-2T-2 400V 50/60HZ IE5 (Qty: 1)
Anti-Vibration Rubber Mounts (Qty: 8)
450 Diam Counter Flange (Qty: 2)
450 Diam Mounting Feet (Qty: 4)</t>
        </is>
      </c>
      <c r="L7" s="164" t="n">
        <v>46101</v>
      </c>
    </row>
    <row r="8" ht="28.8" customHeight="1">
      <c r="A8" s="164" t="n">
        <v>46070</v>
      </c>
      <c r="B8" s="164" t="n">
        <v>46101</v>
      </c>
      <c r="C8" s="174" t="inlineStr">
        <is>
          <t>FM3848</t>
        </is>
      </c>
      <c r="D8" s="165" t="inlineStr">
        <is>
          <t>SO4379</t>
        </is>
      </c>
      <c r="E8" s="165" t="inlineStr">
        <is>
          <t>ABF001-2026-0017</t>
        </is>
      </c>
      <c r="F8" s="165" t="inlineStr">
        <is>
          <t>Industrial Control &amp; Automation (ICA)</t>
        </is>
      </c>
      <c r="G8" s="351" t="n">
        <v>23874</v>
      </c>
      <c r="H8" s="165" t="inlineStr">
        <is>
          <t>Simon Mokgola</t>
        </is>
      </c>
      <c r="I8" s="165" t="inlineStr">
        <is>
          <t>In Progress</t>
        </is>
      </c>
      <c r="J8" s="165" t="inlineStr">
        <is>
          <t>ACCOUNT - UP TO DATE</t>
        </is>
      </c>
      <c r="K8" s="165" t="inlineStr">
        <is>
          <t>HEP-31-2M/H 220-240V (Qty: 3)</t>
        </is>
      </c>
      <c r="L8" s="164" t="n">
        <v>46101</v>
      </c>
    </row>
    <row r="9" ht="28.8" customHeight="1">
      <c r="A9" s="164" t="n">
        <v>46098</v>
      </c>
      <c r="B9" s="164" t="n">
        <v>46101</v>
      </c>
      <c r="C9" s="174" t="inlineStr">
        <is>
          <t>FM3926</t>
        </is>
      </c>
      <c r="D9" s="165" t="inlineStr">
        <is>
          <t>SO4463</t>
        </is>
      </c>
      <c r="E9" s="165" t="inlineStr">
        <is>
          <t>PO3378</t>
        </is>
      </c>
      <c r="F9" s="165" t="inlineStr">
        <is>
          <t>systeco Pty ltd</t>
        </is>
      </c>
      <c r="G9" s="351" t="n">
        <v>8128.1</v>
      </c>
      <c r="H9" s="165" t="inlineStr">
        <is>
          <t>Sizwe Tshabalala</t>
        </is>
      </c>
      <c r="I9" s="165" t="inlineStr">
        <is>
          <t>In Progress</t>
        </is>
      </c>
      <c r="J9" s="165" t="inlineStr">
        <is>
          <t>ACCOUNT - UP TO DATE</t>
        </is>
      </c>
      <c r="K9" s="165" t="inlineStr">
        <is>
          <t>MAJAX-2 400 c/w 1,10KW 2P 380V (Qty: 1)</t>
        </is>
      </c>
      <c r="L9" s="164" t="n">
        <v>46101</v>
      </c>
    </row>
    <row r="10" ht="28.8" customHeight="1">
      <c r="A10" s="164" t="n">
        <v>46058</v>
      </c>
      <c r="B10" s="164" t="n">
        <v>46104</v>
      </c>
      <c r="C10" s="174" t="inlineStr">
        <is>
          <t>FM3812</t>
        </is>
      </c>
      <c r="D10" s="165" t="inlineStr">
        <is>
          <t>SO4343</t>
        </is>
      </c>
      <c r="E10" s="165" t="inlineStr">
        <is>
          <t>DPO-1616</t>
        </is>
      </c>
      <c r="F10" s="165" t="inlineStr">
        <is>
          <t>Dueltron (Pty) Ltd</t>
        </is>
      </c>
      <c r="G10" s="351" t="n">
        <v>145269.15</v>
      </c>
      <c r="H10" s="165" t="inlineStr">
        <is>
          <t>Mashudu Tshifularo</t>
        </is>
      </c>
      <c r="I10" s="165" t="inlineStr">
        <is>
          <t>In Progress</t>
        </is>
      </c>
      <c r="J10" s="165" t="inlineStr">
        <is>
          <t>ACCOUNT - UP TO DATE</t>
        </is>
      </c>
      <c r="K10" s="165" t="inlineStr">
        <is>
          <t>MAJAX-2 BIF 1250 c/w 22,00KW 4P 380V (Qty: 1)</t>
        </is>
      </c>
      <c r="L10" s="164" t="n">
        <v>46104</v>
      </c>
    </row>
    <row r="11" ht="28.8" customHeight="1">
      <c r="A11" s="164" t="n">
        <v>45972</v>
      </c>
      <c r="B11" s="164" t="n">
        <v>46106</v>
      </c>
      <c r="C11" s="174" t="inlineStr">
        <is>
          <t>FM3633</t>
        </is>
      </c>
      <c r="D11" s="165" t="inlineStr">
        <is>
          <t>SO4171</t>
        </is>
      </c>
      <c r="E11" s="165" t="inlineStr">
        <is>
          <t>A3412094782</t>
        </is>
      </c>
      <c r="F11" s="165" t="inlineStr">
        <is>
          <t>NWK LTD</t>
        </is>
      </c>
      <c r="G11" s="351" t="n">
        <v>74980</v>
      </c>
      <c r="H11" s="165" t="inlineStr">
        <is>
          <t>Sizwe Tshabalala</t>
        </is>
      </c>
      <c r="I11" s="165" t="inlineStr">
        <is>
          <t>In Progress</t>
        </is>
      </c>
      <c r="J11" s="165" t="inlineStr">
        <is>
          <t>ACCOUNT - UP TO DATE</t>
        </is>
      </c>
      <c r="K11" s="165" t="inlineStr">
        <is>
          <t>CMA-325-2M (Qty: 5)</t>
        </is>
      </c>
      <c r="L11" s="164" t="n">
        <v>46106</v>
      </c>
    </row>
    <row r="12" ht="28.8" customHeight="1">
      <c r="A12" s="164" t="n">
        <v>45981</v>
      </c>
      <c r="B12" s="164" t="n">
        <v>46106</v>
      </c>
      <c r="C12" s="174" t="inlineStr">
        <is>
          <t>FM3676</t>
        </is>
      </c>
      <c r="D12" s="165" t="inlineStr">
        <is>
          <t>SO4204</t>
        </is>
      </c>
      <c r="E12" s="165" t="inlineStr">
        <is>
          <t>B137477</t>
        </is>
      </c>
      <c r="F12" s="165" t="inlineStr">
        <is>
          <t>Vescotech</t>
        </is>
      </c>
      <c r="G12" s="351" t="n">
        <v>22563</v>
      </c>
      <c r="H12" s="165" t="inlineStr">
        <is>
          <t>Sizwe Tshabalala</t>
        </is>
      </c>
      <c r="I12" s="165" t="inlineStr">
        <is>
          <t>In Progress</t>
        </is>
      </c>
      <c r="J12" s="165" t="inlineStr">
        <is>
          <t>ACCOUNT - UP TO DATE</t>
        </is>
      </c>
      <c r="K12" s="165" t="inlineStr">
        <is>
          <t>HCT-40-4T-0.33/PL ATEX (Qty: 1)</t>
        </is>
      </c>
      <c r="L12" s="164" t="n">
        <v>46106</v>
      </c>
    </row>
    <row r="13" ht="28.8" customHeight="1">
      <c r="A13" s="164" t="n">
        <v>45985</v>
      </c>
      <c r="B13" s="164" t="n">
        <v>46106</v>
      </c>
      <c r="C13" s="174" t="inlineStr">
        <is>
          <t>FM3685</t>
        </is>
      </c>
      <c r="D13" s="165" t="inlineStr">
        <is>
          <t>SO4215</t>
        </is>
      </c>
      <c r="E13" s="165" t="inlineStr">
        <is>
          <t>4358</t>
        </is>
      </c>
      <c r="F13" s="165" t="inlineStr">
        <is>
          <t>Air Speration (Pty) Ltd</t>
        </is>
      </c>
      <c r="G13" s="351" t="n">
        <v>26542</v>
      </c>
      <c r="H13" s="165" t="inlineStr">
        <is>
          <t>Mashudu Tshifularo</t>
        </is>
      </c>
      <c r="I13" s="165" t="inlineStr">
        <is>
          <t>In Progress</t>
        </is>
      </c>
      <c r="J13" s="165" t="inlineStr">
        <is>
          <t>CASH SALE - PAID</t>
        </is>
      </c>
      <c r="K13" s="165" t="inlineStr">
        <is>
          <t>CMP 820 2T - LG270 (Qty: 1)
CMP 820 2T - RD270 (Qty: 1)</t>
        </is>
      </c>
      <c r="L13" s="164" t="n">
        <v>46106</v>
      </c>
    </row>
    <row r="14" ht="144" customHeight="1">
      <c r="A14" s="164" t="n">
        <v>46077</v>
      </c>
      <c r="B14" s="164" t="n">
        <v>46108</v>
      </c>
      <c r="C14" s="174" t="inlineStr">
        <is>
          <t>FM3876</t>
        </is>
      </c>
      <c r="D14" s="165" t="inlineStr">
        <is>
          <t>SO4405</t>
        </is>
      </c>
      <c r="E14" s="165" t="inlineStr">
        <is>
          <t>FM3875 - FM3876</t>
        </is>
      </c>
      <c r="F14" s="165" t="inlineStr">
        <is>
          <t>BMT SMART SOLUTIONS (PTY) LTD</t>
        </is>
      </c>
      <c r="G14" s="351" t="n">
        <v>52783.16</v>
      </c>
      <c r="H14" s="165" t="inlineStr">
        <is>
          <t>Simon Mokgola</t>
        </is>
      </c>
      <c r="I14" s="165" t="inlineStr">
        <is>
          <t>In Progress</t>
        </is>
      </c>
      <c r="J14" s="165" t="inlineStr">
        <is>
          <t>ACCOUNT - UP TO DATE</t>
        </is>
      </c>
      <c r="K14" s="165" t="inlineStr">
        <is>
          <t>MAXFLO 500/150/10 A c/w 0,37KW 4P 380V (Qty: 1)
500 Diam Silencer 1.5D Podded (Qty: 2)
500 Diam Counter Flange (Qty: 2)
500 Diam Mounting Feet (Qty: 4)
315 to 560 NDA RED ANeoprene Floor Mounts (Qty: 8)
Fumax 560.20.D.8 C/W 4KW 2P 380V (Qty: 1)
560 Diam Silencer 1.5D Podded (Qty: 2)
560 Diam Counter Flange (Qty: 2)
560 Diam Mounting Feet (Qty: 4)
315 to 560 NDA RED ANeoprene Floor Mounts (Qty: 8)</t>
        </is>
      </c>
      <c r="L14" s="164" t="n">
        <v>46108</v>
      </c>
    </row>
    <row r="15" ht="28.8" customHeight="1">
      <c r="A15" s="164" t="n">
        <v>46093</v>
      </c>
      <c r="B15" s="164" t="n">
        <v>46108</v>
      </c>
      <c r="C15" s="174" t="inlineStr">
        <is>
          <t>FM3902</t>
        </is>
      </c>
      <c r="D15" s="165" t="inlineStr">
        <is>
          <t>SO4448</t>
        </is>
      </c>
      <c r="E15" s="165" t="inlineStr">
        <is>
          <t>61713</t>
        </is>
      </c>
      <c r="F15" s="165" t="inlineStr">
        <is>
          <t>Chabo &amp; Joubert Air Conditioning (Pty) Ltd</t>
        </is>
      </c>
      <c r="G15" s="351" t="n">
        <v>84019</v>
      </c>
      <c r="H15" s="165" t="inlineStr">
        <is>
          <t>Sizwe Tshabalala</t>
        </is>
      </c>
      <c r="I15" s="165" t="inlineStr">
        <is>
          <t>In Progress</t>
        </is>
      </c>
      <c r="J15" s="165" t="inlineStr">
        <is>
          <t>ACCOUNT - UP TO DATE</t>
        </is>
      </c>
      <c r="K15" s="165" t="inlineStr">
        <is>
          <t>MAJAX 965 c/w 11,00KW 4P 525V - 2 Stage (Qty: 2)</t>
        </is>
      </c>
      <c r="L15" s="164" t="n">
        <v>46108</v>
      </c>
    </row>
    <row r="16" ht="28.8" customHeight="1">
      <c r="A16" s="164" t="n">
        <v>46094</v>
      </c>
      <c r="B16" s="164" t="n">
        <v>46108</v>
      </c>
      <c r="C16" s="174" t="inlineStr">
        <is>
          <t>FM3917</t>
        </is>
      </c>
      <c r="D16" s="165" t="inlineStr">
        <is>
          <t>SO4452</t>
        </is>
      </c>
      <c r="E16" s="165" t="inlineStr">
        <is>
          <t>PO-2603-001-FMT</t>
        </is>
      </c>
      <c r="F16" s="165" t="inlineStr">
        <is>
          <t>Hurricane Group</t>
        </is>
      </c>
      <c r="G16" s="351" t="n">
        <v>50075.83</v>
      </c>
      <c r="H16" s="165" t="inlineStr">
        <is>
          <t>Sizwe Tshabalala</t>
        </is>
      </c>
      <c r="I16" s="165" t="inlineStr">
        <is>
          <t>In Progress</t>
        </is>
      </c>
      <c r="J16" s="165" t="inlineStr">
        <is>
          <t>ACCOUNT - UP TO DATE</t>
        </is>
      </c>
      <c r="K16" s="165" t="inlineStr">
        <is>
          <t>MAJAX-3 500 c/w 3,00KW 2P 380V (Qty: 4)
500 Diam Counter Flange (Qty: 8)</t>
        </is>
      </c>
      <c r="L16" s="164" t="n">
        <v>46108</v>
      </c>
    </row>
    <row r="17" ht="28.8" customHeight="1">
      <c r="A17" s="164" t="n">
        <v>46094</v>
      </c>
      <c r="B17" s="164" t="n">
        <v>46112</v>
      </c>
      <c r="C17" s="174" t="inlineStr">
        <is>
          <t>FM3891</t>
        </is>
      </c>
      <c r="D17" s="165" t="inlineStr">
        <is>
          <t>SO4455</t>
        </is>
      </c>
      <c r="E17" s="165" t="inlineStr">
        <is>
          <t>POR80557</t>
        </is>
      </c>
      <c r="F17" s="165" t="inlineStr">
        <is>
          <t>Venwood and Baker Electrical</t>
        </is>
      </c>
      <c r="G17" s="351" t="n">
        <v>137207.26</v>
      </c>
      <c r="H17" s="165" t="inlineStr">
        <is>
          <t>Sizwe Tshabalala</t>
        </is>
      </c>
      <c r="I17" s="165" t="inlineStr">
        <is>
          <t>In Progress</t>
        </is>
      </c>
      <c r="J17" s="165" t="inlineStr">
        <is>
          <t>ACCOUNT - UP TO DATE</t>
        </is>
      </c>
      <c r="K17" s="165" t="inlineStr">
        <is>
          <t>MAJAX-2 800 c/w 3,00KW 4P 525V (Qty: 6)</t>
        </is>
      </c>
      <c r="L17" s="164" t="n">
        <v>46112</v>
      </c>
    </row>
    <row r="18" ht="57.6" customHeight="1">
      <c r="A18" s="164" t="n">
        <v>46098</v>
      </c>
      <c r="B18" s="164" t="n">
        <v>46112</v>
      </c>
      <c r="C18" s="174" t="inlineStr">
        <is>
          <t>FM3927</t>
        </is>
      </c>
      <c r="D18" s="165" t="inlineStr">
        <is>
          <t>SO4464</t>
        </is>
      </c>
      <c r="E18" s="165" t="inlineStr">
        <is>
          <t>SABN</t>
        </is>
      </c>
      <c r="F18" s="165" t="inlineStr">
        <is>
          <t>ZEFS More Vision</t>
        </is>
      </c>
      <c r="G18" s="351" t="n">
        <v>34218.46</v>
      </c>
      <c r="H18" s="165" t="inlineStr">
        <is>
          <t>Mashudu Tshifularo</t>
        </is>
      </c>
      <c r="I18" s="165" t="inlineStr">
        <is>
          <t>In Progress</t>
        </is>
      </c>
      <c r="J18" s="165" t="inlineStr">
        <is>
          <t>ACCOUNT - UP TO DATE</t>
        </is>
      </c>
      <c r="K18" s="165" t="inlineStr">
        <is>
          <t>MAXFLO 800/150/10 A c/w 7,50KW 4P 380V (Qty: 1)
800 Diam Counter Flange (Qty: 1)
MAXFLO 560/150/10 P c/w 2,20KW 4P 380V (Qty: 2)
560 Diam Counter Flange (Qty: 2)</t>
        </is>
      </c>
      <c r="L18" s="164" t="n">
        <v>46112</v>
      </c>
    </row>
    <row r="19" ht="28.8" customHeight="1">
      <c r="A19" s="164" t="n">
        <v>46099</v>
      </c>
      <c r="B19" s="164" t="n">
        <v>46112</v>
      </c>
      <c r="C19" s="174" t="inlineStr">
        <is>
          <t>FM3932</t>
        </is>
      </c>
      <c r="D19" s="165" t="inlineStr">
        <is>
          <t>SO4470</t>
        </is>
      </c>
      <c r="E19" s="165" t="inlineStr">
        <is>
          <t>FM3932</t>
        </is>
      </c>
      <c r="F19" s="165" t="inlineStr">
        <is>
          <t>Vigeta Pty Ltd</t>
        </is>
      </c>
      <c r="G19" s="351" t="n">
        <v>2515.05</v>
      </c>
      <c r="H19" s="165" t="inlineStr">
        <is>
          <t>Simon Mokgola</t>
        </is>
      </c>
      <c r="I19" s="165" t="inlineStr">
        <is>
          <t>In Progress</t>
        </is>
      </c>
      <c r="J19" s="165" t="inlineStr">
        <is>
          <t>ACCOUNT - UP TO DATE</t>
        </is>
      </c>
      <c r="K19" s="165" t="inlineStr">
        <is>
          <t>RAD 200 (Qty: 1)</t>
        </is>
      </c>
      <c r="L19" s="164" t="n">
        <v>46112</v>
      </c>
    </row>
    <row r="20" ht="28.8" customHeight="1">
      <c r="A20" s="164" t="n">
        <v>46099</v>
      </c>
      <c r="B20" s="164" t="n">
        <v>46128</v>
      </c>
      <c r="C20" s="174" t="inlineStr">
        <is>
          <t>Pending</t>
        </is>
      </c>
      <c r="D20" s="165" t="inlineStr">
        <is>
          <t>SO4469</t>
        </is>
      </c>
      <c r="E20" s="165" t="inlineStr">
        <is>
          <t>PO0007989 - FAN MAXFLO 710</t>
        </is>
      </c>
      <c r="F20" s="165" t="inlineStr">
        <is>
          <t>AGILITY ENGINEERING SERVICES (PTY) LTD</t>
        </is>
      </c>
      <c r="G20" s="351" t="n">
        <v>69948.06</v>
      </c>
      <c r="H20" s="165" t="inlineStr">
        <is>
          <t>Mashudu Tshifularo</t>
        </is>
      </c>
      <c r="I20" s="165" t="inlineStr">
        <is>
          <t>Pending</t>
        </is>
      </c>
      <c r="J20" s="165" t="n"/>
      <c r="K20" s="165" t="inlineStr">
        <is>
          <t>MAXFLO 710/150/10 A c/w 4,00KW 4P 380V (Qty: 2)</t>
        </is>
      </c>
      <c r="L20" s="164" t="n">
        <v>46128</v>
      </c>
    </row>
    <row r="21">
      <c r="A21" s="164" t="n">
        <v>45799</v>
      </c>
      <c r="B21" s="164" t="n">
        <v>46142</v>
      </c>
      <c r="C21" s="174" t="inlineStr">
        <is>
          <t>Pending</t>
        </is>
      </c>
      <c r="D21" s="165" t="inlineStr">
        <is>
          <t>SO3760</t>
        </is>
      </c>
      <c r="E21" s="165" t="inlineStr">
        <is>
          <t>nan</t>
        </is>
      </c>
      <c r="F21" s="165" t="inlineStr">
        <is>
          <t>Rey &amp; Lenferna Ltd</t>
        </is>
      </c>
      <c r="G21" s="351" t="n">
        <v>545349.34</v>
      </c>
      <c r="H21" s="165" t="inlineStr">
        <is>
          <t>Sizwe - R.O.A</t>
        </is>
      </c>
      <c r="I21" s="165" t="inlineStr">
        <is>
          <t>Pending</t>
        </is>
      </c>
      <c r="J21" s="165" t="n"/>
      <c r="K21" s="165" t="inlineStr">
        <is>
          <t>OUTSTANDING ORDER (Qty: 1)</t>
        </is>
      </c>
      <c r="L21" s="164" t="n">
        <v>46142</v>
      </c>
    </row>
    <row r="22">
      <c r="A22" s="164" t="n">
        <v>46052</v>
      </c>
      <c r="B22" s="164" t="n">
        <v>46142</v>
      </c>
      <c r="C22" s="174" t="inlineStr">
        <is>
          <t>Pending</t>
        </is>
      </c>
      <c r="D22" s="165" t="inlineStr">
        <is>
          <t>SO4331</t>
        </is>
      </c>
      <c r="E22" s="165" t="inlineStr">
        <is>
          <t>ORDER</t>
        </is>
      </c>
      <c r="F22" s="165" t="inlineStr">
        <is>
          <t>Rey &amp; Lenferna Ltd</t>
        </is>
      </c>
      <c r="G22" s="351" t="n">
        <v>521526.68</v>
      </c>
      <c r="H22" s="165" t="inlineStr">
        <is>
          <t>Sizwe - R.O.A</t>
        </is>
      </c>
      <c r="I22" s="165" t="inlineStr">
        <is>
          <t>Pending</t>
        </is>
      </c>
      <c r="J22" s="165" t="n"/>
      <c r="K22" s="165" t="inlineStr">
        <is>
          <t>Sales order (Qty: 1)</t>
        </is>
      </c>
      <c r="L22" s="164" t="n">
        <v>46142</v>
      </c>
    </row>
    <row r="23" ht="28.8" customHeight="1">
      <c r="A23" s="164" t="n">
        <v>46077</v>
      </c>
      <c r="B23" s="164" t="n">
        <v>46157</v>
      </c>
      <c r="C23" s="174" t="inlineStr">
        <is>
          <t>FM3874</t>
        </is>
      </c>
      <c r="D23" s="165" t="inlineStr">
        <is>
          <t>SO4404</t>
        </is>
      </c>
      <c r="E23" s="165" t="inlineStr">
        <is>
          <t>PO2174</t>
        </is>
      </c>
      <c r="F23" s="165" t="inlineStr">
        <is>
          <t>ITD North Pty Ltd</t>
        </is>
      </c>
      <c r="G23" s="351" t="n">
        <v>94247.10000000001</v>
      </c>
      <c r="H23" s="165" t="inlineStr">
        <is>
          <t>Mashudu Tshifularo</t>
        </is>
      </c>
      <c r="I23" s="165" t="inlineStr">
        <is>
          <t>In Progress</t>
        </is>
      </c>
      <c r="J23" s="165" t="inlineStr">
        <is>
          <t>ACCOUNT - UP TO DATE</t>
        </is>
      </c>
      <c r="K23" s="165" t="inlineStr">
        <is>
          <t>RDH 710 K2 - Nicotra Fan (Qty: 1)</t>
        </is>
      </c>
      <c r="L23" s="164" t="n">
        <v>46157</v>
      </c>
    </row>
    <row r="24" ht="28.8" customHeight="1">
      <c r="A24" s="164" t="n">
        <v>46069</v>
      </c>
      <c r="B24" s="164" t="n">
        <v>46157</v>
      </c>
      <c r="C24" s="174" t="inlineStr">
        <is>
          <t>FM3841</t>
        </is>
      </c>
      <c r="D24" s="165" t="inlineStr">
        <is>
          <t>SO4372</t>
        </is>
      </c>
      <c r="E24" s="165" t="inlineStr">
        <is>
          <t>PO2213</t>
        </is>
      </c>
      <c r="F24" s="165" t="inlineStr">
        <is>
          <t>Hucra Fans</t>
        </is>
      </c>
      <c r="G24" s="351" t="n">
        <v>379993.35</v>
      </c>
      <c r="H24" s="165" t="inlineStr">
        <is>
          <t>Sales Agent Hucra Fans</t>
        </is>
      </c>
      <c r="I24" s="165" t="inlineStr">
        <is>
          <t>In Progress</t>
        </is>
      </c>
      <c r="J24" s="165" t="inlineStr">
        <is>
          <t>ACCOUNT - UP TO DATE</t>
        </is>
      </c>
      <c r="K24" s="165" t="inlineStr">
        <is>
          <t>SCL K11 MS - 11.0kW - 525V (Qty: 3)</t>
        </is>
      </c>
      <c r="L24" s="164" t="n">
        <v>46157</v>
      </c>
    </row>
    <row r="25" ht="28.8" customHeight="1">
      <c r="A25" s="164" t="n">
        <v>46091</v>
      </c>
      <c r="B25" s="164" t="n">
        <v>46157</v>
      </c>
      <c r="C25" s="174" t="inlineStr">
        <is>
          <t>FM3907</t>
        </is>
      </c>
      <c r="D25" s="165" t="inlineStr">
        <is>
          <t>SO4440</t>
        </is>
      </c>
      <c r="E25" s="165" t="inlineStr">
        <is>
          <t>PO2228</t>
        </is>
      </c>
      <c r="F25" s="165" t="inlineStr">
        <is>
          <t>Hucra Fans</t>
        </is>
      </c>
      <c r="G25" s="351" t="n">
        <v>21208.3</v>
      </c>
      <c r="H25" s="165" t="inlineStr">
        <is>
          <t>Sales Agent Hucra Fans</t>
        </is>
      </c>
      <c r="I25" s="165" t="inlineStr">
        <is>
          <t>In Progress</t>
        </is>
      </c>
      <c r="J25" s="165" t="inlineStr">
        <is>
          <t>ACCOUNT - UP TO DATE</t>
        </is>
      </c>
      <c r="K25" s="165" t="inlineStr">
        <is>
          <t>SCL-K05 MS-2.2kW 380V (Qty: 1)</t>
        </is>
      </c>
      <c r="L25" s="164" t="n">
        <v>46113</v>
      </c>
    </row>
    <row r="26">
      <c r="F26" s="167" t="inlineStr">
        <is>
          <t>Total Value (All):</t>
        </is>
      </c>
      <c r="G26" s="352">
        <f>SUM(G2:G25)</f>
        <v/>
      </c>
    </row>
    <row r="28">
      <c r="F28" s="169" t="inlineStr">
        <is>
          <t>BREAKDOWN</t>
        </is>
      </c>
    </row>
    <row r="29">
      <c r="F29" t="inlineStr">
        <is>
          <t>Cash Sale (March):</t>
        </is>
      </c>
      <c r="G29" s="342">
        <f>SUMIFS(G2:G25, J2:J25, "*CASH SALE*", L2:L25, "&gt;="&amp;EOMONTH(TODAY(),-1)+1, L2:L25, "&lt;="&amp;EOMONTH(TODAY(),0))</f>
        <v/>
      </c>
      <c r="I29" t="inlineStr">
        <is>
          <t>Cash Sale (April):</t>
        </is>
      </c>
      <c r="J29" s="342">
        <f>SUMIFS(G2:G25, J2:J25, "*CASH SALE*", L2:L25, "&gt;="&amp;EOMONTH(TODAY(),0)+1, L2:L25, "&lt;="&amp;EOMONTH(TODAY(),1))</f>
        <v/>
      </c>
    </row>
    <row r="30">
      <c r="F30" t="inlineStr">
        <is>
          <t>Account (March):</t>
        </is>
      </c>
      <c r="G30" s="342">
        <f>SUMIFS(G2:G25, J2:J25, "*ACCOUNT*", L2:L25, "&gt;="&amp;EOMONTH(TODAY(),-1)+1, L2:L25, "&lt;="&amp;EOMONTH(TODAY(),0))</f>
        <v/>
      </c>
      <c r="I30" t="inlineStr">
        <is>
          <t>Account (April):</t>
        </is>
      </c>
      <c r="J30" s="342">
        <f>SUMIFS(G2:G25, J2:J25, "*ACCOUNT*", L2:L25, "&gt;="&amp;EOMONTH(TODAY(),0)+1, L2:L25, "&lt;="&amp;EOMONTH(TODAY(),1))</f>
        <v/>
      </c>
    </row>
    <row r="33">
      <c r="F33" t="inlineStr">
        <is>
          <t>Ready-Dispatch:</t>
        </is>
      </c>
      <c r="G33" s="342">
        <f>SUMIFS(G2:G25, I2:I25, "*Ready*Dispatch*")</f>
        <v/>
      </c>
    </row>
    <row r="35" ht="28.8" customHeight="1">
      <c r="A35" s="163" t="inlineStr">
        <is>
          <t>Date</t>
        </is>
      </c>
      <c r="B35" s="163" t="inlineStr">
        <is>
          <t>Delivery Date</t>
        </is>
      </c>
      <c r="C35" s="163" t="inlineStr">
        <is>
          <t>Job Number</t>
        </is>
      </c>
      <c r="D35" s="163" t="inlineStr">
        <is>
          <t>SO Number</t>
        </is>
      </c>
      <c r="E35" s="163" t="inlineStr">
        <is>
          <t>Customer Ref.</t>
        </is>
      </c>
      <c r="F35" s="163" t="inlineStr">
        <is>
          <t>Customer</t>
        </is>
      </c>
      <c r="G35" s="163" t="inlineStr">
        <is>
          <t>Total</t>
        </is>
      </c>
      <c r="H35" s="163" t="inlineStr">
        <is>
          <t>Sales Rep</t>
        </is>
      </c>
      <c r="I35" s="163" t="inlineStr">
        <is>
          <t>Status</t>
        </is>
      </c>
      <c r="J35" s="163" t="inlineStr">
        <is>
          <t>Payment Status</t>
        </is>
      </c>
    </row>
    <row r="36" ht="28.8" customHeight="1">
      <c r="A36" s="164" t="n">
        <v>46056</v>
      </c>
      <c r="B36" s="164" t="n">
        <v>46100.65944997685</v>
      </c>
      <c r="C36" s="174" t="inlineStr">
        <is>
          <t>FM3808</t>
        </is>
      </c>
      <c r="D36" s="165" t="inlineStr">
        <is>
          <t>SO4339</t>
        </is>
      </c>
      <c r="E36" s="165" t="inlineStr">
        <is>
          <t>PO549NN</t>
        </is>
      </c>
      <c r="F36" s="165" t="inlineStr">
        <is>
          <t>Intervent-Universal (Pty) Ltd</t>
        </is>
      </c>
      <c r="G36" s="351" t="n">
        <v>22816</v>
      </c>
      <c r="H36" s="165" t="inlineStr">
        <is>
          <t>Simon Mokgola</t>
        </is>
      </c>
      <c r="I36" s="165" t="inlineStr">
        <is>
          <t>Ready-Dispatch</t>
        </is>
      </c>
      <c r="J36" s="165" t="inlineStr">
        <is>
          <t>ACCOUNT - UP TO DATE</t>
        </is>
      </c>
    </row>
    <row r="37" ht="28.8" customHeight="1">
      <c r="A37" s="164" t="n">
        <v>46091</v>
      </c>
      <c r="B37" s="164" t="n">
        <v>46100.65944997685</v>
      </c>
      <c r="C37" s="174" t="inlineStr">
        <is>
          <t>FM3909</t>
        </is>
      </c>
      <c r="D37" s="165" t="inlineStr">
        <is>
          <t>SO4442</t>
        </is>
      </c>
      <c r="E37" s="165" t="inlineStr">
        <is>
          <t>FM3909</t>
        </is>
      </c>
      <c r="F37" s="165" t="inlineStr">
        <is>
          <t>VIP SUPERMERCARDO LIMITADA</t>
        </is>
      </c>
      <c r="G37" s="351" t="n">
        <v>7619.9</v>
      </c>
      <c r="H37" s="165" t="inlineStr">
        <is>
          <t>Sizwe - R.O.A</t>
        </is>
      </c>
      <c r="I37" s="165" t="inlineStr">
        <is>
          <t>Ready-Dispatch</t>
        </is>
      </c>
      <c r="J37" s="165" t="inlineStr">
        <is>
          <t>ACCOUNT - UP TO DATE</t>
        </is>
      </c>
    </row>
    <row r="38">
      <c r="F38" s="167" t="inlineStr">
        <is>
          <t>Ready-Dispatch:</t>
        </is>
      </c>
      <c r="G38" s="352">
        <f>SUM(G36:G37)</f>
        <v/>
      </c>
    </row>
  </sheetData>
  <pageMargins left="0.25" right="0.25" top="0.75" bottom="0.75" header="0.3" footer="0.3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zoomScale="80" zoomScaleNormal="80" workbookViewId="0">
      <selection activeCell="A11" sqref="A11:XFD11"/>
    </sheetView>
  </sheetViews>
  <sheetFormatPr baseColWidth="8" defaultRowHeight="14.4"/>
  <cols>
    <col width="12" customWidth="1" style="97" min="1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4.5546875" bestFit="1" customWidth="1" style="97" min="9" max="9"/>
    <col width="22" customWidth="1" style="97" min="10" max="10"/>
    <col width="60" customWidth="1" min="11" max="11"/>
    <col width="12" customWidth="1" style="97" min="12" max="12"/>
  </cols>
  <sheetData>
    <row r="1" ht="28.8" customFormat="1" customHeight="1" s="152">
      <c r="A1" s="300" t="inlineStr">
        <is>
          <t>SALES ORDER REPORT</t>
        </is>
      </c>
      <c r="B1" s="297" t="n"/>
      <c r="C1" s="297" t="n"/>
      <c r="D1" s="297" t="n"/>
      <c r="E1" s="157" t="n"/>
      <c r="F1" s="155" t="n"/>
      <c r="G1" s="343" t="n"/>
      <c r="H1" s="155" t="n"/>
      <c r="I1" s="154" t="n"/>
      <c r="J1" s="153" t="n"/>
      <c r="K1" s="301" t="n">
        <v>46101</v>
      </c>
      <c r="L1" s="297" t="n"/>
    </row>
    <row r="2" ht="43.2" customHeight="1">
      <c r="A2" s="175" t="inlineStr">
        <is>
          <t>Date</t>
        </is>
      </c>
      <c r="B2" s="175" t="inlineStr">
        <is>
          <t>Delivery Date</t>
        </is>
      </c>
      <c r="C2" s="175" t="inlineStr">
        <is>
          <t>Job Number</t>
        </is>
      </c>
      <c r="D2" s="175" t="inlineStr">
        <is>
          <t>SO Number</t>
        </is>
      </c>
      <c r="E2" s="175" t="inlineStr">
        <is>
          <t>Customer Ref.</t>
        </is>
      </c>
      <c r="F2" s="175" t="inlineStr">
        <is>
          <t>Customer</t>
        </is>
      </c>
      <c r="G2" s="175" t="inlineStr">
        <is>
          <t>Total</t>
        </is>
      </c>
      <c r="H2" s="175" t="inlineStr">
        <is>
          <t>Sales Rep</t>
        </is>
      </c>
      <c r="I2" s="175" t="inlineStr">
        <is>
          <t>Status</t>
        </is>
      </c>
      <c r="J2" s="175" t="inlineStr">
        <is>
          <t>Payment Status</t>
        </is>
      </c>
      <c r="K2" s="175" t="inlineStr">
        <is>
          <t>Details</t>
        </is>
      </c>
      <c r="L2" s="175" t="inlineStr">
        <is>
          <t xml:space="preserve">Planned Delivery Date </t>
        </is>
      </c>
    </row>
    <row r="3">
      <c r="A3" s="185" t="n">
        <v>46099</v>
      </c>
      <c r="B3" s="185" t="n">
        <v>46101</v>
      </c>
      <c r="C3" s="186" t="inlineStr">
        <is>
          <t>FM3932</t>
        </is>
      </c>
      <c r="D3" s="176" t="inlineStr">
        <is>
          <t>SO4470</t>
        </is>
      </c>
      <c r="E3" s="176" t="inlineStr">
        <is>
          <t>FM3932</t>
        </is>
      </c>
      <c r="F3" s="176" t="inlineStr">
        <is>
          <t>Vigeta Pty Ltd</t>
        </is>
      </c>
      <c r="G3" s="353" t="n">
        <v>2515.05</v>
      </c>
      <c r="H3" s="176" t="inlineStr">
        <is>
          <t>Simon Mokgola</t>
        </is>
      </c>
      <c r="I3" s="186" t="inlineStr">
        <is>
          <t>Ready-Dispatch</t>
        </is>
      </c>
      <c r="J3" s="186" t="inlineStr">
        <is>
          <t>CASH SALE - PAID</t>
        </is>
      </c>
      <c r="K3" s="176" t="inlineStr">
        <is>
          <t>RAD 200 (Qty: 1)</t>
        </is>
      </c>
      <c r="L3" s="185">
        <f>B3</f>
        <v/>
      </c>
    </row>
    <row r="4">
      <c r="A4" s="185" t="n">
        <v>46056</v>
      </c>
      <c r="B4" s="185" t="n">
        <v>46101.45109127315</v>
      </c>
      <c r="C4" s="186" t="inlineStr">
        <is>
          <t>FM3808</t>
        </is>
      </c>
      <c r="D4" s="176" t="inlineStr">
        <is>
          <t>SO4339</t>
        </is>
      </c>
      <c r="E4" s="176" t="inlineStr">
        <is>
          <t>PO549NN</t>
        </is>
      </c>
      <c r="F4" s="176" t="inlineStr">
        <is>
          <t>Intervent-Universal (Pty) Ltd</t>
        </is>
      </c>
      <c r="G4" s="353" t="n">
        <v>22816</v>
      </c>
      <c r="H4" s="176" t="inlineStr">
        <is>
          <t>Simon Mokgola</t>
        </is>
      </c>
      <c r="I4" s="186" t="inlineStr">
        <is>
          <t>Ready-Dispatch</t>
        </is>
      </c>
      <c r="J4" s="186" t="inlineStr">
        <is>
          <t>CASH SALE - UNPAID</t>
        </is>
      </c>
      <c r="K4" s="176" t="inlineStr">
        <is>
          <t>RAD 250 (Qty: 8)</t>
        </is>
      </c>
      <c r="L4" s="185">
        <f>B4</f>
        <v/>
      </c>
    </row>
    <row r="5">
      <c r="A5" s="185" t="n">
        <v>46091</v>
      </c>
      <c r="B5" s="185" t="n">
        <v>46101.45109127315</v>
      </c>
      <c r="C5" s="186" t="inlineStr">
        <is>
          <t>FM3909</t>
        </is>
      </c>
      <c r="D5" s="176" t="inlineStr">
        <is>
          <t>SO4442</t>
        </is>
      </c>
      <c r="E5" s="176" t="inlineStr">
        <is>
          <t>FM3909</t>
        </is>
      </c>
      <c r="F5" s="176" t="inlineStr">
        <is>
          <t>VIP SUPERMERCARDO LIMITADA</t>
        </is>
      </c>
      <c r="G5" s="353" t="n">
        <v>7619.9</v>
      </c>
      <c r="H5" s="176" t="inlineStr">
        <is>
          <t>Sizwe - R.O.A</t>
        </is>
      </c>
      <c r="I5" s="186" t="inlineStr">
        <is>
          <t>Ready-Dispatch</t>
        </is>
      </c>
      <c r="J5" s="186" t="inlineStr">
        <is>
          <t>CASH SALE - PAID</t>
        </is>
      </c>
      <c r="K5" s="176" t="inlineStr">
        <is>
          <t>VP 150K (Qty: 2)</t>
        </is>
      </c>
      <c r="L5" s="185">
        <f>B5</f>
        <v/>
      </c>
    </row>
    <row r="6" ht="28.8" customHeight="1">
      <c r="A6" s="185" t="n">
        <v>46072</v>
      </c>
      <c r="B6" s="185" t="n">
        <v>46101.45109127315</v>
      </c>
      <c r="C6" s="186" t="inlineStr">
        <is>
          <t>FM3857</t>
        </is>
      </c>
      <c r="D6" s="176" t="inlineStr">
        <is>
          <t>SO4388</t>
        </is>
      </c>
      <c r="E6" s="176" t="inlineStr">
        <is>
          <t>POL15058</t>
        </is>
      </c>
      <c r="F6" s="176" t="inlineStr">
        <is>
          <t>Heavy Duty Industrial (Pty) Ltd</t>
        </is>
      </c>
      <c r="G6" s="353" t="n">
        <v>280306.93</v>
      </c>
      <c r="H6" s="176" t="inlineStr">
        <is>
          <t>Mashudu Tshifularo</t>
        </is>
      </c>
      <c r="I6" s="186" t="inlineStr">
        <is>
          <t>Ready-Dispatch</t>
        </is>
      </c>
      <c r="J6" s="186" t="inlineStr">
        <is>
          <t>CASH SALE - PAID</t>
        </is>
      </c>
      <c r="K6" s="176" t="inlineStr">
        <is>
          <t>Plate axial 800mm 150A10 c/w5.5kw 4 pole 380v flame proof motor (Qty: 4)</t>
        </is>
      </c>
      <c r="L6" s="185">
        <f>B6</f>
        <v/>
      </c>
    </row>
    <row r="7" ht="43.2" customHeight="1">
      <c r="A7" s="185" t="n">
        <v>46098</v>
      </c>
      <c r="B7" s="185" t="n">
        <v>46101</v>
      </c>
      <c r="C7" s="186" t="inlineStr">
        <is>
          <t>FM3927</t>
        </is>
      </c>
      <c r="D7" s="176" t="inlineStr">
        <is>
          <t>SO4464</t>
        </is>
      </c>
      <c r="E7" s="176" t="inlineStr">
        <is>
          <t>SABN</t>
        </is>
      </c>
      <c r="F7" s="176" t="inlineStr">
        <is>
          <t>ZEFS More Vision</t>
        </is>
      </c>
      <c r="G7" s="353" t="n">
        <v>34218.46</v>
      </c>
      <c r="H7" s="176" t="inlineStr">
        <is>
          <t>Mashudu Tshifularo</t>
        </is>
      </c>
      <c r="I7" s="186" t="inlineStr">
        <is>
          <t>In Progress</t>
        </is>
      </c>
      <c r="J7" s="186" t="inlineStr">
        <is>
          <t>CASH SALE - PAID</t>
        </is>
      </c>
      <c r="K7" s="176" t="inlineStr">
        <is>
          <t>MAXFLO 800/150/10 A c/w 7,50KW 4P 380V (Qty: 1), 800 Diam Counter Flange (Qty: 1), MAXFLO 560/150/10 P c/w 2,20KW 4P 380V (Qty: 2), 560 Diam Counter Flange (Qty: 2)</t>
        </is>
      </c>
      <c r="L7" s="185">
        <f>B7</f>
        <v/>
      </c>
    </row>
    <row r="8">
      <c r="A8" s="187" t="n">
        <v>46098</v>
      </c>
      <c r="B8" s="187" t="n">
        <v>46104</v>
      </c>
      <c r="C8" s="183" t="inlineStr">
        <is>
          <t>FM3926</t>
        </is>
      </c>
      <c r="D8" s="178" t="inlineStr">
        <is>
          <t>SO4463</t>
        </is>
      </c>
      <c r="E8" s="178" t="inlineStr">
        <is>
          <t>PO3378</t>
        </is>
      </c>
      <c r="F8" s="178" t="inlineStr">
        <is>
          <t>systeco Pty ltd</t>
        </is>
      </c>
      <c r="G8" s="354" t="n">
        <v>8128.1</v>
      </c>
      <c r="H8" s="178" t="inlineStr">
        <is>
          <t>Sizwe Tshabalala</t>
        </is>
      </c>
      <c r="I8" s="183" t="inlineStr">
        <is>
          <t>In Progress</t>
        </is>
      </c>
      <c r="J8" s="183" t="inlineStr">
        <is>
          <t>CASH SALE - PAID</t>
        </is>
      </c>
      <c r="K8" s="178" t="inlineStr">
        <is>
          <t>MAJAX-2 400 c/w 1,10KW 2P 380V (Qty: 1)</t>
        </is>
      </c>
      <c r="L8" s="187">
        <f>B8</f>
        <v/>
      </c>
    </row>
    <row r="9" ht="28.8" customHeight="1">
      <c r="A9" s="187" t="n">
        <v>46070</v>
      </c>
      <c r="B9" s="187" t="n">
        <v>46105.45108796296</v>
      </c>
      <c r="C9" s="183" t="inlineStr">
        <is>
          <t>FM3848</t>
        </is>
      </c>
      <c r="D9" s="178" t="inlineStr">
        <is>
          <t>SO4379</t>
        </is>
      </c>
      <c r="E9" s="178" t="inlineStr">
        <is>
          <t>ABF001-2026-0017</t>
        </is>
      </c>
      <c r="F9" s="178" t="inlineStr">
        <is>
          <t>Industrial Control &amp; Automation (ICA)</t>
        </is>
      </c>
      <c r="G9" s="354" t="n">
        <v>23874</v>
      </c>
      <c r="H9" s="178" t="inlineStr">
        <is>
          <t>Simon Mokgola</t>
        </is>
      </c>
      <c r="I9" s="183" t="inlineStr">
        <is>
          <t>In Progress</t>
        </is>
      </c>
      <c r="J9" s="183" t="inlineStr">
        <is>
          <t>CASH SALE - PAID</t>
        </is>
      </c>
      <c r="K9" s="178" t="inlineStr">
        <is>
          <t>HEP-31-2M/H 220-240V (Qty: 3)</t>
        </is>
      </c>
      <c r="L9" s="187">
        <f>B9</f>
        <v/>
      </c>
    </row>
    <row r="10" ht="72" customHeight="1">
      <c r="A10" s="187" t="n">
        <v>46063</v>
      </c>
      <c r="B10" s="187" t="n">
        <v>46105.45108796296</v>
      </c>
      <c r="C10" s="183" t="inlineStr">
        <is>
          <t>FM3819</t>
        </is>
      </c>
      <c r="D10" s="178" t="inlineStr">
        <is>
          <t>SO4350</t>
        </is>
      </c>
      <c r="E10" s="178" t="inlineStr">
        <is>
          <t>PO-27149</t>
        </is>
      </c>
      <c r="F10" s="178" t="inlineStr">
        <is>
          <t>Aircycle Engineering CC</t>
        </is>
      </c>
      <c r="G10" s="354" t="n">
        <v>64727.75</v>
      </c>
      <c r="H10" s="178" t="inlineStr">
        <is>
          <t>Simon Mokgola</t>
        </is>
      </c>
      <c r="I10" s="183" t="inlineStr">
        <is>
          <t>In Progress</t>
        </is>
      </c>
      <c r="J10" s="183" t="inlineStr">
        <is>
          <t>ACCOUNT - UP TO DATE</t>
        </is>
      </c>
      <c r="K10" s="178" t="inlineStr">
        <is>
          <t>31 50/60HZ (Qty: 1)
45-2T-2 400V 50/60HZ IE5 (Qty: 1)
Anti-Vibration Rubber Mounts (Qty: 8)
450 Diam Counter Flange (Qty: 2)
450 Diam Mounting Feet (Qty: 4)</t>
        </is>
      </c>
      <c r="L10" s="187">
        <f>B10</f>
        <v/>
      </c>
    </row>
    <row r="11" ht="43.2" customHeight="1">
      <c r="A11" s="187" t="n">
        <v>46052</v>
      </c>
      <c r="B11" s="187" t="n">
        <v>46106</v>
      </c>
      <c r="C11" s="183" t="inlineStr">
        <is>
          <t>FM3800</t>
        </is>
      </c>
      <c r="D11" s="178" t="inlineStr">
        <is>
          <t>SO4330</t>
        </is>
      </c>
      <c r="E11" s="178" t="inlineStr">
        <is>
          <t>PO0000573 - JHB FORENSIC PATHOLOGY LAB</t>
        </is>
      </c>
      <c r="F11" s="178" t="inlineStr">
        <is>
          <t>ST AIR SERVICES AND MAINTENANCE (PTY) LTD</t>
        </is>
      </c>
      <c r="G11" s="354" t="n">
        <v>784244.8</v>
      </c>
      <c r="H11" s="178" t="inlineStr">
        <is>
          <t>Simon Mokgola</t>
        </is>
      </c>
      <c r="I11" s="183" t="inlineStr">
        <is>
          <t>In Progress</t>
        </is>
      </c>
      <c r="J11" s="183" t="inlineStr">
        <is>
          <t>ACCOUNT - UP TO DATE</t>
        </is>
      </c>
      <c r="K11" s="178" t="inlineStr">
        <is>
          <t>Fumax 800 Diam Counter Flange (Qty: 4), 800 Diam Mounting Feet (Qty: 8), 630 to 1000 NDB GREEN Neoprene Floor Mounts (Qty: 16)</t>
        </is>
      </c>
      <c r="L11" s="187">
        <f>B11</f>
        <v/>
      </c>
    </row>
    <row r="12">
      <c r="A12" s="187" t="n">
        <v>45972</v>
      </c>
      <c r="B12" s="187" t="n">
        <v>46106</v>
      </c>
      <c r="C12" s="183" t="inlineStr">
        <is>
          <t>FM3633</t>
        </is>
      </c>
      <c r="D12" s="178" t="inlineStr">
        <is>
          <t>SO4171</t>
        </is>
      </c>
      <c r="E12" s="178" t="inlineStr">
        <is>
          <t>A3412094782</t>
        </is>
      </c>
      <c r="F12" s="178" t="inlineStr">
        <is>
          <t>NWK LTD</t>
        </is>
      </c>
      <c r="G12" s="354">
        <f>74980/5</f>
        <v/>
      </c>
      <c r="H12" s="178" t="inlineStr">
        <is>
          <t>Sizwe Tshabalala</t>
        </is>
      </c>
      <c r="I12" s="183" t="inlineStr">
        <is>
          <t>In Progress</t>
        </is>
      </c>
      <c r="J12" s="183" t="inlineStr">
        <is>
          <t>ACCOUNT - UP TO DATE</t>
        </is>
      </c>
      <c r="K12" s="178" t="inlineStr">
        <is>
          <t>CMA-325-2M (Qty: 5)</t>
        </is>
      </c>
      <c r="L12" s="187">
        <f>B12</f>
        <v/>
      </c>
    </row>
    <row r="13">
      <c r="A13" s="187" t="n">
        <v>45981</v>
      </c>
      <c r="B13" s="187" t="n">
        <v>46106</v>
      </c>
      <c r="C13" s="183" t="inlineStr">
        <is>
          <t>FM3676</t>
        </is>
      </c>
      <c r="D13" s="178" t="inlineStr">
        <is>
          <t>SO4204</t>
        </is>
      </c>
      <c r="E13" s="178" t="inlineStr">
        <is>
          <t>B137477</t>
        </is>
      </c>
      <c r="F13" s="178" t="inlineStr">
        <is>
          <t>Vescotech</t>
        </is>
      </c>
      <c r="G13" s="354" t="n">
        <v>22563</v>
      </c>
      <c r="H13" s="178" t="inlineStr">
        <is>
          <t>Sizwe Tshabalala</t>
        </is>
      </c>
      <c r="I13" s="183" t="inlineStr">
        <is>
          <t>In Progress</t>
        </is>
      </c>
      <c r="J13" s="183" t="inlineStr">
        <is>
          <t>ACCOUNT - UP TO DATE</t>
        </is>
      </c>
      <c r="K13" s="178" t="inlineStr">
        <is>
          <t>HCT-40-4T-0.33/PL ATEX (Qty: 1)</t>
        </is>
      </c>
      <c r="L13" s="187">
        <f>B13</f>
        <v/>
      </c>
    </row>
    <row r="14">
      <c r="A14" s="187" t="n">
        <v>45985</v>
      </c>
      <c r="B14" s="187" t="n">
        <v>46106</v>
      </c>
      <c r="C14" s="183" t="inlineStr">
        <is>
          <t>FM3685</t>
        </is>
      </c>
      <c r="D14" s="178" t="inlineStr">
        <is>
          <t>SO4215</t>
        </is>
      </c>
      <c r="E14" s="178" t="inlineStr">
        <is>
          <t>4358</t>
        </is>
      </c>
      <c r="F14" s="178" t="inlineStr">
        <is>
          <t>Air Speration (Pty) Ltd</t>
        </is>
      </c>
      <c r="G14" s="354">
        <f>26542/2</f>
        <v/>
      </c>
      <c r="H14" s="178" t="inlineStr">
        <is>
          <t>Mashudu Tshifularo</t>
        </is>
      </c>
      <c r="I14" s="183" t="inlineStr">
        <is>
          <t>In Progress</t>
        </is>
      </c>
      <c r="J14" s="183" t="inlineStr">
        <is>
          <t>CASH SALE - PAID</t>
        </is>
      </c>
      <c r="K14" s="178" t="inlineStr">
        <is>
          <t>CMP 820 2T - LG270 (Qty: 1), CMP 820 2T - RD270 (Qty: 1)</t>
        </is>
      </c>
      <c r="L14" s="187">
        <f>B14</f>
        <v/>
      </c>
    </row>
    <row r="15" ht="100.8" customHeight="1">
      <c r="A15" s="187" t="n">
        <v>46077</v>
      </c>
      <c r="B15" s="187" t="n">
        <v>46108</v>
      </c>
      <c r="C15" s="183" t="inlineStr">
        <is>
          <t>FM3875 FM3876</t>
        </is>
      </c>
      <c r="D15" s="178" t="inlineStr">
        <is>
          <t>SO4405</t>
        </is>
      </c>
      <c r="E15" s="178" t="inlineStr">
        <is>
          <t>FM3875 - FM3876</t>
        </is>
      </c>
      <c r="F15" s="178" t="inlineStr">
        <is>
          <t>BMT SMART SOLUTIONS (PTY) LTD</t>
        </is>
      </c>
      <c r="G15" s="354" t="n">
        <v>52783.16</v>
      </c>
      <c r="H15" s="178" t="inlineStr">
        <is>
          <t>Simon Mokgola</t>
        </is>
      </c>
      <c r="I15" s="183" t="inlineStr">
        <is>
          <t>In Progress</t>
        </is>
      </c>
      <c r="J15" s="183" t="inlineStr">
        <is>
          <t>ACCOUNT - UP TO DATE</t>
        </is>
      </c>
      <c r="K15" s="178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
560 Diam Mounting Feet (Qty: 4), 315 to 560 NDA RED ANeoprene Floor Mounts (Qty: 8)</t>
        </is>
      </c>
      <c r="L15" s="187">
        <f>B15</f>
        <v/>
      </c>
    </row>
    <row r="16" ht="28.8" customHeight="1">
      <c r="A16" s="187" t="n">
        <v>46093</v>
      </c>
      <c r="B16" s="187" t="n">
        <v>46108</v>
      </c>
      <c r="C16" s="183" t="inlineStr">
        <is>
          <t>FM3902</t>
        </is>
      </c>
      <c r="D16" s="178" t="inlineStr">
        <is>
          <t>SO4448</t>
        </is>
      </c>
      <c r="E16" s="178" t="inlineStr">
        <is>
          <t>61713</t>
        </is>
      </c>
      <c r="F16" s="178" t="inlineStr">
        <is>
          <t>Chabo &amp; Joubert Air Conditioning (Pty) Ltd</t>
        </is>
      </c>
      <c r="G16" s="354" t="n">
        <v>84019</v>
      </c>
      <c r="H16" s="178" t="inlineStr">
        <is>
          <t>Sizwe Tshabalala</t>
        </is>
      </c>
      <c r="I16" s="183" t="inlineStr">
        <is>
          <t>In Progress</t>
        </is>
      </c>
      <c r="J16" s="183" t="inlineStr">
        <is>
          <t>ACCOUNT - UP TO DATE</t>
        </is>
      </c>
      <c r="K16" s="178" t="inlineStr">
        <is>
          <t>MAJAX 965 c/w 11,00KW 4P 525V - 2 Stage (Qty: 2)</t>
        </is>
      </c>
      <c r="L16" s="187">
        <f>B16</f>
        <v/>
      </c>
    </row>
    <row r="17" ht="28.8" customHeight="1">
      <c r="A17" s="187" t="n">
        <v>46094</v>
      </c>
      <c r="B17" s="187" t="n">
        <v>46108</v>
      </c>
      <c r="C17" s="183" t="inlineStr">
        <is>
          <t>FM3917</t>
        </is>
      </c>
      <c r="D17" s="178" t="inlineStr">
        <is>
          <t>SO4452</t>
        </is>
      </c>
      <c r="E17" s="178" t="inlineStr">
        <is>
          <t>PO-2603-001-FMT</t>
        </is>
      </c>
      <c r="F17" s="178" t="inlineStr">
        <is>
          <t>Hurricane Group</t>
        </is>
      </c>
      <c r="G17" s="354" t="n">
        <v>50075.83</v>
      </c>
      <c r="H17" s="178" t="inlineStr">
        <is>
          <t>Sizwe Tshabalala</t>
        </is>
      </c>
      <c r="I17" s="183" t="inlineStr">
        <is>
          <t>In Progress</t>
        </is>
      </c>
      <c r="J17" s="183" t="inlineStr">
        <is>
          <t>CASH SALE - PARTIAL</t>
        </is>
      </c>
      <c r="K17" s="178" t="inlineStr">
        <is>
          <t>MAJAX-3 500 c/w 3,00KW 2P 380V (Qty: 4)
500 Diam Counter Flange (Qty: 8)</t>
        </is>
      </c>
      <c r="L17" s="187">
        <f>B17</f>
        <v/>
      </c>
    </row>
    <row r="18">
      <c r="A18" s="187" t="n">
        <v>46094</v>
      </c>
      <c r="B18" s="187" t="n">
        <v>46112</v>
      </c>
      <c r="C18" s="183" t="inlineStr">
        <is>
          <t>FM3891</t>
        </is>
      </c>
      <c r="D18" s="178" t="inlineStr">
        <is>
          <t>SO4455</t>
        </is>
      </c>
      <c r="E18" s="178" t="inlineStr">
        <is>
          <t>POR80557</t>
        </is>
      </c>
      <c r="F18" s="178" t="inlineStr">
        <is>
          <t>Venwood and Baker Electrical</t>
        </is>
      </c>
      <c r="G18" s="354" t="n">
        <v>137207.26</v>
      </c>
      <c r="H18" s="178" t="inlineStr">
        <is>
          <t>Sizwe Tshabalala</t>
        </is>
      </c>
      <c r="I18" s="183" t="inlineStr">
        <is>
          <t>In Progress</t>
        </is>
      </c>
      <c r="J18" s="183" t="inlineStr">
        <is>
          <t>CASH SALE - PAID</t>
        </is>
      </c>
      <c r="K18" s="178" t="inlineStr">
        <is>
          <t>MAJAX-2 800 c/w 3,00KW 4P 525V (Qty: 6)</t>
        </is>
      </c>
      <c r="L18" s="187">
        <f>B18</f>
        <v/>
      </c>
    </row>
    <row r="19">
      <c r="A19" s="187" t="n">
        <v>46058</v>
      </c>
      <c r="B19" s="187" t="n">
        <v>46127</v>
      </c>
      <c r="C19" s="183" t="inlineStr">
        <is>
          <t>FM3812</t>
        </is>
      </c>
      <c r="D19" s="178" t="inlineStr">
        <is>
          <t>SO4343</t>
        </is>
      </c>
      <c r="E19" s="178" t="inlineStr">
        <is>
          <t>DPO-1616</t>
        </is>
      </c>
      <c r="F19" s="178" t="inlineStr">
        <is>
          <t>Dueltron (Pty) Ltd</t>
        </is>
      </c>
      <c r="G19" s="354" t="n">
        <v>145269.15</v>
      </c>
      <c r="H19" s="178" t="inlineStr">
        <is>
          <t>Mashudu Tshifularo</t>
        </is>
      </c>
      <c r="I19" s="183" t="inlineStr">
        <is>
          <t>In Progress</t>
        </is>
      </c>
      <c r="J19" s="183" t="inlineStr">
        <is>
          <t>ACCOUNT - UP TO DATE</t>
        </is>
      </c>
      <c r="K19" s="178" t="inlineStr">
        <is>
          <t>MAJAX-2 BIF 1250 c/w 22,00KW 4P 380V (Qty: 1)</t>
        </is>
      </c>
      <c r="L19" s="187">
        <f>B19</f>
        <v/>
      </c>
    </row>
    <row r="20" ht="28.8" customHeight="1">
      <c r="A20" s="187" t="n">
        <v>46099</v>
      </c>
      <c r="B20" s="187" t="n">
        <v>46128</v>
      </c>
      <c r="C20" s="183" t="inlineStr">
        <is>
          <t>FM3930</t>
        </is>
      </c>
      <c r="D20" s="178" t="inlineStr">
        <is>
          <t>SO4469</t>
        </is>
      </c>
      <c r="E20" s="178" t="inlineStr">
        <is>
          <t>PO0007989 - FAN MAXFLO 710</t>
        </is>
      </c>
      <c r="F20" s="178" t="inlineStr">
        <is>
          <t>AGILITY ENGINEERING SERVICES (PTY) LTD</t>
        </is>
      </c>
      <c r="G20" s="354" t="n">
        <v>69948.06</v>
      </c>
      <c r="H20" s="178" t="inlineStr">
        <is>
          <t>Mashudu Tshifularo</t>
        </is>
      </c>
      <c r="I20" s="183" t="inlineStr">
        <is>
          <t>In Progress</t>
        </is>
      </c>
      <c r="J20" s="183" t="inlineStr">
        <is>
          <t>CASH SALE - PAID</t>
        </is>
      </c>
      <c r="K20" s="178" t="inlineStr">
        <is>
          <t>MAXFLO 710/150/10 A c/w 4,00KW 4P 380V (Qty: 2)</t>
        </is>
      </c>
      <c r="L20" s="187">
        <f>B20</f>
        <v/>
      </c>
    </row>
    <row r="21">
      <c r="A21" s="187" t="n">
        <v>45799</v>
      </c>
      <c r="B21" s="187" t="n">
        <v>46142</v>
      </c>
      <c r="C21" s="183" t="inlineStr">
        <is>
          <t>Pending</t>
        </is>
      </c>
      <c r="D21" s="178" t="inlineStr">
        <is>
          <t>SO3760</t>
        </is>
      </c>
      <c r="E21" s="178" t="inlineStr">
        <is>
          <t>nan</t>
        </is>
      </c>
      <c r="F21" s="178" t="inlineStr">
        <is>
          <t>Rey &amp; Lenferna Ltd</t>
        </is>
      </c>
      <c r="G21" s="354" t="n">
        <v>545349.34</v>
      </c>
      <c r="H21" s="178" t="inlineStr">
        <is>
          <t>Sizwe - R.O.A</t>
        </is>
      </c>
      <c r="I21" s="183" t="inlineStr">
        <is>
          <t>Pending</t>
        </is>
      </c>
      <c r="J21" s="183" t="inlineStr">
        <is>
          <t>ACCOUNT - UP TO DATE</t>
        </is>
      </c>
      <c r="K21" s="178" t="inlineStr">
        <is>
          <t>OUTSTANDING ORDER (Qty: 1)</t>
        </is>
      </c>
      <c r="L21" s="187">
        <f>B21</f>
        <v/>
      </c>
    </row>
    <row r="22">
      <c r="A22" s="187" t="n">
        <v>46052</v>
      </c>
      <c r="B22" s="187" t="n">
        <v>46142</v>
      </c>
      <c r="C22" s="183" t="inlineStr">
        <is>
          <t>Pending</t>
        </is>
      </c>
      <c r="D22" s="178" t="inlineStr">
        <is>
          <t>SO4331</t>
        </is>
      </c>
      <c r="E22" s="178" t="inlineStr">
        <is>
          <t>ORDER</t>
        </is>
      </c>
      <c r="F22" s="178" t="inlineStr">
        <is>
          <t>Rey &amp; Lenferna Ltd</t>
        </is>
      </c>
      <c r="G22" s="354" t="n">
        <v>521526.68</v>
      </c>
      <c r="H22" s="178" t="inlineStr">
        <is>
          <t>Sizwe - R.O.A</t>
        </is>
      </c>
      <c r="I22" s="183" t="inlineStr">
        <is>
          <t>Pending</t>
        </is>
      </c>
      <c r="J22" s="183" t="inlineStr">
        <is>
          <t>ACCOUNT - UP TO DATE</t>
        </is>
      </c>
      <c r="K22" s="178" t="inlineStr">
        <is>
          <t>Sales order (Qty: 1)</t>
        </is>
      </c>
      <c r="L22" s="187">
        <f>B22</f>
        <v/>
      </c>
    </row>
    <row r="23">
      <c r="A23" s="187" t="n">
        <v>46077</v>
      </c>
      <c r="B23" s="187" t="n">
        <v>46157</v>
      </c>
      <c r="C23" s="183" t="inlineStr">
        <is>
          <t>FM3874</t>
        </is>
      </c>
      <c r="D23" s="178" t="inlineStr">
        <is>
          <t>SO4404</t>
        </is>
      </c>
      <c r="E23" s="178" t="inlineStr">
        <is>
          <t>PO2174</t>
        </is>
      </c>
      <c r="F23" s="178" t="inlineStr">
        <is>
          <t>ITD North Pty Ltd</t>
        </is>
      </c>
      <c r="G23" s="354" t="n">
        <v>94247.10000000001</v>
      </c>
      <c r="H23" s="178" t="inlineStr">
        <is>
          <t>Mashudu Tshifularo</t>
        </is>
      </c>
      <c r="I23" s="183" t="inlineStr">
        <is>
          <t>In Progress</t>
        </is>
      </c>
      <c r="J23" s="183" t="inlineStr">
        <is>
          <t>ACCOUNT - UP TO DATE</t>
        </is>
      </c>
      <c r="K23" s="178" t="inlineStr">
        <is>
          <t>RDH 710 K2 - Nicotra Fan (Qty: 1)</t>
        </is>
      </c>
      <c r="L23" s="187">
        <f>B23</f>
        <v/>
      </c>
    </row>
    <row r="24">
      <c r="A24" s="187" t="n">
        <v>46069</v>
      </c>
      <c r="B24" s="187" t="n">
        <v>46157</v>
      </c>
      <c r="C24" s="183" t="inlineStr">
        <is>
          <t>FM3841</t>
        </is>
      </c>
      <c r="D24" s="178" t="inlineStr">
        <is>
          <t>SO4372</t>
        </is>
      </c>
      <c r="E24" s="178" t="inlineStr">
        <is>
          <t>PO2213</t>
        </is>
      </c>
      <c r="F24" s="178" t="inlineStr">
        <is>
          <t>Hucra Fans</t>
        </is>
      </c>
      <c r="G24" s="354" t="n">
        <v>379993.35</v>
      </c>
      <c r="H24" s="178" t="inlineStr">
        <is>
          <t>Sales Agent Hucra Fans</t>
        </is>
      </c>
      <c r="I24" s="183" t="inlineStr">
        <is>
          <t>In Progress</t>
        </is>
      </c>
      <c r="J24" s="183" t="inlineStr">
        <is>
          <t>ACCOUNT - UP TO DATE</t>
        </is>
      </c>
      <c r="K24" s="178" t="inlineStr">
        <is>
          <t>SCL K11 MS - 11.0kW - 525V (Qty: 3)</t>
        </is>
      </c>
      <c r="L24" s="187">
        <f>B24</f>
        <v/>
      </c>
    </row>
    <row r="25">
      <c r="A25" s="187" t="n">
        <v>46091</v>
      </c>
      <c r="B25" s="187" t="n">
        <v>46171</v>
      </c>
      <c r="C25" s="183" t="inlineStr">
        <is>
          <t>FM3907</t>
        </is>
      </c>
      <c r="D25" s="178" t="inlineStr">
        <is>
          <t>SO4440</t>
        </is>
      </c>
      <c r="E25" s="178" t="inlineStr">
        <is>
          <t>PO2228</t>
        </is>
      </c>
      <c r="F25" s="178" t="inlineStr">
        <is>
          <t>Hucra Fans</t>
        </is>
      </c>
      <c r="G25" s="354" t="n">
        <v>21208.3</v>
      </c>
      <c r="H25" s="178" t="inlineStr">
        <is>
          <t>Sales Agent Hucra Fans</t>
        </is>
      </c>
      <c r="I25" s="183" t="inlineStr">
        <is>
          <t>In Progress</t>
        </is>
      </c>
      <c r="J25" s="183" t="inlineStr">
        <is>
          <t>ACCOUNT - UP TO DATE</t>
        </is>
      </c>
      <c r="K25" s="178" t="inlineStr">
        <is>
          <t>SCL-K05 MS-2.2kW 380V (Qty: 1)</t>
        </is>
      </c>
      <c r="L25" s="187">
        <f>B25</f>
        <v/>
      </c>
    </row>
    <row r="26">
      <c r="F26" s="180" t="inlineStr">
        <is>
          <t>Total Value (All):</t>
        </is>
      </c>
      <c r="G26" s="355">
        <f>SUM(G3:G25)</f>
        <v/>
      </c>
    </row>
    <row r="28">
      <c r="F28" s="182" t="inlineStr">
        <is>
          <t>BREAKDOWN</t>
        </is>
      </c>
    </row>
    <row r="29">
      <c r="F29" t="inlineStr">
        <is>
          <t>Cash Sale (March):</t>
        </is>
      </c>
      <c r="G29" s="342">
        <f>SUMIFS(G3:G25, J3:J25, "*CASH SALE*", L3:L25, "&gt;="&amp;EOMONTH(TODAY(),-1)+1, L3:L25, "&lt;="&amp;EOMONTH(TODAY(),0))</f>
        <v/>
      </c>
      <c r="I29" t="inlineStr">
        <is>
          <t>Cash Sale (April):</t>
        </is>
      </c>
      <c r="J29" s="342">
        <f>SUMIFS(G3:G25, J3:J25, "*CASH SALE*", L3:L25, "&gt;="&amp;EOMONTH(TODAY(),0)+1, L3:L25, "&lt;="&amp;EOMONTH(TODAY(),1))</f>
        <v/>
      </c>
    </row>
    <row r="30">
      <c r="F30" t="inlineStr">
        <is>
          <t>Account (March):</t>
        </is>
      </c>
      <c r="G30" s="342">
        <f>SUMIFS(G3:G25, J3:J25, "*ACCOUNT*", L3:L25, "&gt;="&amp;EOMONTH(TODAY(),-1)+1, L3:L25, "&lt;="&amp;EOMONTH(TODAY(),0))</f>
        <v/>
      </c>
      <c r="I30" t="inlineStr">
        <is>
          <t>Account (April):</t>
        </is>
      </c>
      <c r="J30" s="342">
        <f>SUMIFS(G3:G25, J3:J25, "*ACCOUNT*", L3:L25, "&gt;="&amp;EOMONTH(TODAY(),0)+1, L3:L25, "&lt;="&amp;EOMONTH(TODAY(),1))</f>
        <v/>
      </c>
    </row>
    <row r="32">
      <c r="F32" t="inlineStr">
        <is>
          <t>Ready-Dispatch:</t>
        </is>
      </c>
      <c r="G32" s="342">
        <f>SUMIFS(G3:G25, I3:I25, "*Ready*Dispatch*")</f>
        <v/>
      </c>
    </row>
    <row r="33">
      <c r="M33" s="97" t="n"/>
      <c r="N33" s="97" t="n"/>
      <c r="O33" s="97" t="n"/>
      <c r="P33" s="97" t="n"/>
    </row>
    <row r="34">
      <c r="A34" s="175" t="inlineStr">
        <is>
          <t>Date</t>
        </is>
      </c>
      <c r="B34" s="175" t="inlineStr">
        <is>
          <t>Delivery Date</t>
        </is>
      </c>
      <c r="C34" s="175" t="inlineStr">
        <is>
          <t>Job Number</t>
        </is>
      </c>
      <c r="D34" s="175" t="inlineStr">
        <is>
          <t>SO Number</t>
        </is>
      </c>
      <c r="E34" s="175" t="inlineStr">
        <is>
          <t>Customer Ref.</t>
        </is>
      </c>
      <c r="F34" s="175" t="inlineStr">
        <is>
          <t>Customer</t>
        </is>
      </c>
      <c r="G34" s="175" t="inlineStr">
        <is>
          <t>Total</t>
        </is>
      </c>
      <c r="H34" s="175" t="inlineStr">
        <is>
          <t>Sales Rep</t>
        </is>
      </c>
      <c r="I34" s="175" t="inlineStr">
        <is>
          <t>Status</t>
        </is>
      </c>
      <c r="J34" s="175" t="inlineStr">
        <is>
          <t>Payment Status</t>
        </is>
      </c>
      <c r="K34" s="184" t="inlineStr">
        <is>
          <t>Comments</t>
        </is>
      </c>
      <c r="M34" s="97" t="n"/>
      <c r="N34" s="97" t="n"/>
      <c r="O34" s="97" t="n"/>
      <c r="P34" s="97" t="n"/>
    </row>
    <row r="35" customFormat="1" s="192">
      <c r="A35" s="188" t="n">
        <v>46099</v>
      </c>
      <c r="B35" s="188" t="n">
        <v>46101</v>
      </c>
      <c r="C35" s="189" t="inlineStr">
        <is>
          <t>FM3932</t>
        </is>
      </c>
      <c r="D35" s="190" t="inlineStr">
        <is>
          <t>SO4470</t>
        </is>
      </c>
      <c r="E35" s="190" t="inlineStr">
        <is>
          <t>FM3932</t>
        </is>
      </c>
      <c r="F35" s="190" t="inlineStr">
        <is>
          <t>Vigeta Pty Ltd</t>
        </is>
      </c>
      <c r="G35" s="356" t="n">
        <v>2515.05</v>
      </c>
      <c r="H35" s="190" t="inlineStr">
        <is>
          <t>Simon Mokgola</t>
        </is>
      </c>
      <c r="I35" s="189" t="inlineStr">
        <is>
          <t>Ready-Dispatch</t>
        </is>
      </c>
      <c r="J35" s="189" t="inlineStr">
        <is>
          <t>CASH SALE - PAID</t>
        </is>
      </c>
      <c r="K35" s="190" t="inlineStr">
        <is>
          <t>Funds reflected late, client to arrange collection.</t>
        </is>
      </c>
      <c r="L35" s="97" t="n"/>
      <c r="M35" s="97" t="n"/>
      <c r="N35" s="97" t="n"/>
      <c r="O35" s="97" t="n"/>
      <c r="P35" s="97" t="n"/>
    </row>
    <row r="36" customFormat="1" s="192">
      <c r="A36" s="188" t="n">
        <v>46056</v>
      </c>
      <c r="B36" s="188" t="n">
        <v>46101.45109127315</v>
      </c>
      <c r="C36" s="189" t="inlineStr">
        <is>
          <t>FM3808</t>
        </is>
      </c>
      <c r="D36" s="190" t="inlineStr">
        <is>
          <t>SO4339</t>
        </is>
      </c>
      <c r="E36" s="190" t="inlineStr">
        <is>
          <t>PO549NN</t>
        </is>
      </c>
      <c r="F36" s="190" t="inlineStr">
        <is>
          <t>Intervent-Universal (Pty) Ltd</t>
        </is>
      </c>
      <c r="G36" s="356" t="n">
        <v>22816</v>
      </c>
      <c r="H36" s="190" t="inlineStr">
        <is>
          <t>Simon Mokgola</t>
        </is>
      </c>
      <c r="I36" s="189" t="inlineStr">
        <is>
          <t>Ready-Dispatch</t>
        </is>
      </c>
      <c r="J36" s="189" t="inlineStr">
        <is>
          <t>CASH SALE - UNPAID</t>
        </is>
      </c>
      <c r="K36" s="190" t="inlineStr">
        <is>
          <t>Awaiting payment - Client not taking calls (Simon)</t>
        </is>
      </c>
      <c r="L36" s="97" t="n"/>
      <c r="M36" s="97" t="n"/>
      <c r="N36" s="97" t="n"/>
      <c r="O36" s="97" t="n"/>
      <c r="P36" s="97" t="n"/>
    </row>
    <row r="37" customFormat="1" s="192">
      <c r="A37" s="188" t="n">
        <v>46091</v>
      </c>
      <c r="B37" s="188" t="n">
        <v>46101.45109127315</v>
      </c>
      <c r="C37" s="189" t="inlineStr">
        <is>
          <t>FM3909</t>
        </is>
      </c>
      <c r="D37" s="190" t="inlineStr">
        <is>
          <t>SO4442</t>
        </is>
      </c>
      <c r="E37" s="190" t="inlineStr">
        <is>
          <t>FM3909</t>
        </is>
      </c>
      <c r="F37" s="190" t="inlineStr">
        <is>
          <t>VIP SUPERMERCARDO LIMITADA</t>
        </is>
      </c>
      <c r="G37" s="356" t="n">
        <v>7619.9</v>
      </c>
      <c r="H37" s="190" t="inlineStr">
        <is>
          <t>Sizwe - R.O.A</t>
        </is>
      </c>
      <c r="I37" s="189" t="inlineStr">
        <is>
          <t>Ready-Dispatch</t>
        </is>
      </c>
      <c r="J37" s="189" t="inlineStr">
        <is>
          <t>CASH SALE - PAID</t>
        </is>
      </c>
      <c r="K37" s="190" t="inlineStr">
        <is>
          <t>Client was supposed to collect.</t>
        </is>
      </c>
      <c r="L37" s="97" t="n"/>
      <c r="M37" s="97" t="n"/>
      <c r="N37" s="97" t="n"/>
      <c r="O37" s="97" t="n"/>
      <c r="P37" s="97" t="n"/>
    </row>
    <row r="38" customFormat="1" s="192">
      <c r="A38" s="188" t="n">
        <v>46072</v>
      </c>
      <c r="B38" s="188" t="n">
        <v>46101.45109127315</v>
      </c>
      <c r="C38" s="189" t="inlineStr">
        <is>
          <t>FM3857</t>
        </is>
      </c>
      <c r="D38" s="190" t="inlineStr">
        <is>
          <t>SO4388</t>
        </is>
      </c>
      <c r="E38" s="190" t="inlineStr">
        <is>
          <t>POL15058</t>
        </is>
      </c>
      <c r="F38" s="190" t="inlineStr">
        <is>
          <t>Heavy Duty Industrial (Pty) Ltd</t>
        </is>
      </c>
      <c r="G38" s="356" t="n">
        <v>280306.93</v>
      </c>
      <c r="H38" s="190" t="inlineStr">
        <is>
          <t>Mashudu Tshifularo</t>
        </is>
      </c>
      <c r="I38" s="189" t="inlineStr">
        <is>
          <t>Ready-Dispatch</t>
        </is>
      </c>
      <c r="J38" s="189" t="inlineStr">
        <is>
          <t>CASH SALE - PAID</t>
        </is>
      </c>
      <c r="K38" s="190" t="inlineStr">
        <is>
          <t>On Delivery</t>
        </is>
      </c>
      <c r="L38" s="97" t="n"/>
      <c r="M38" s="97" t="n"/>
      <c r="N38" s="97" t="n"/>
      <c r="O38" s="97" t="n"/>
      <c r="P38" s="97" t="n"/>
    </row>
    <row r="39" customFormat="1" s="192">
      <c r="A39" s="188" t="n">
        <v>46098</v>
      </c>
      <c r="B39" s="188" t="n">
        <v>46101</v>
      </c>
      <c r="C39" s="189" t="inlineStr">
        <is>
          <t>FM3927</t>
        </is>
      </c>
      <c r="D39" s="190" t="inlineStr">
        <is>
          <t>SO4464</t>
        </is>
      </c>
      <c r="E39" s="190" t="inlineStr">
        <is>
          <t>SABN</t>
        </is>
      </c>
      <c r="F39" s="190" t="inlineStr">
        <is>
          <t>ZEFS More Vision</t>
        </is>
      </c>
      <c r="G39" s="356" t="n">
        <v>34218.46</v>
      </c>
      <c r="H39" s="190" t="inlineStr">
        <is>
          <t>Mashudu Tshifularo</t>
        </is>
      </c>
      <c r="I39" s="189" t="inlineStr">
        <is>
          <t>In Progress</t>
        </is>
      </c>
      <c r="J39" s="189" t="inlineStr">
        <is>
          <t>CASH SALE - PAID</t>
        </is>
      </c>
      <c r="K39" s="190" t="inlineStr">
        <is>
          <t>Collection 20/03/2026</t>
        </is>
      </c>
      <c r="L39" s="97" t="n"/>
      <c r="M39" s="97" t="n"/>
      <c r="N39" s="97" t="n"/>
      <c r="O39" s="97" t="n"/>
      <c r="P39" s="97" t="n"/>
    </row>
    <row r="40">
      <c r="F40" s="144" t="inlineStr">
        <is>
          <t>Total 20/03/2026</t>
        </is>
      </c>
      <c r="G40" s="355">
        <f>SUM(G35:G39)</f>
        <v/>
      </c>
      <c r="M40" s="97" t="n"/>
      <c r="N40" s="97" t="n"/>
      <c r="O40" s="97" t="n"/>
      <c r="P40" s="97" t="n"/>
    </row>
    <row r="41">
      <c r="M41" s="97" t="n"/>
      <c r="N41" s="97" t="n"/>
      <c r="O41" s="97" t="n"/>
      <c r="P41" s="97" t="n"/>
    </row>
    <row r="42">
      <c r="M42" s="97" t="n"/>
      <c r="N42" s="97" t="n"/>
      <c r="O42" s="97" t="n"/>
      <c r="P42" s="97" t="n"/>
    </row>
  </sheetData>
  <mergeCells count="2">
    <mergeCell ref="A1:D1"/>
    <mergeCell ref="K1:L1"/>
  </mergeCells>
  <printOptions horizontalCentered="1"/>
  <pageMargins left="0.2362204724409449" right="0.2362204724409449" top="0.7480314960629921" bottom="0.7480314960629921" header="0.3149606299212598" footer="0.3149606299212598"/>
  <pageSetup orientation="landscape" scale="5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zoomScale="70" zoomScaleNormal="7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4" sqref="A4:XFD4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0" customWidth="1" min="10" max="10"/>
    <col width="50" customWidth="1" min="11" max="11"/>
    <col width="12" customWidth="1" min="12" max="12"/>
  </cols>
  <sheetData>
    <row r="1" ht="18" customHeight="1">
      <c r="A1" s="193" t="inlineStr">
        <is>
          <t>SALES ORDER REPORT</t>
        </is>
      </c>
      <c r="K1" s="194">
        <f>TODAY()</f>
        <v/>
      </c>
    </row>
    <row r="2" ht="28.8" customHeight="1">
      <c r="A2" s="195" t="inlineStr">
        <is>
          <t>Date</t>
        </is>
      </c>
      <c r="B2" s="195" t="inlineStr">
        <is>
          <t>Delivery Date</t>
        </is>
      </c>
      <c r="C2" s="195" t="inlineStr">
        <is>
          <t>Job Number</t>
        </is>
      </c>
      <c r="D2" s="195" t="inlineStr">
        <is>
          <t>SO Number</t>
        </is>
      </c>
      <c r="E2" s="195" t="inlineStr">
        <is>
          <t>Customer Ref.</t>
        </is>
      </c>
      <c r="F2" s="195" t="inlineStr">
        <is>
          <t>Customer</t>
        </is>
      </c>
      <c r="G2" s="195" t="inlineStr">
        <is>
          <t>Total</t>
        </is>
      </c>
      <c r="H2" s="195" t="inlineStr">
        <is>
          <t>Sales Rep</t>
        </is>
      </c>
      <c r="I2" s="195" t="inlineStr">
        <is>
          <t>Status</t>
        </is>
      </c>
      <c r="J2" s="195" t="inlineStr">
        <is>
          <t>Payment Status</t>
        </is>
      </c>
      <c r="K2" s="195" t="inlineStr">
        <is>
          <t>Details</t>
        </is>
      </c>
      <c r="L2" s="195" t="inlineStr">
        <is>
          <t>Planned Delivery Date</t>
        </is>
      </c>
    </row>
    <row r="3">
      <c r="A3" s="196" t="n">
        <v>46056</v>
      </c>
      <c r="B3" s="196" t="n">
        <v>46104.98997305556</v>
      </c>
      <c r="C3" s="197" t="inlineStr">
        <is>
          <t>FM3808</t>
        </is>
      </c>
      <c r="D3" s="197" t="inlineStr">
        <is>
          <t>SO4339</t>
        </is>
      </c>
      <c r="E3" s="198" t="inlineStr">
        <is>
          <t>PO549NN</t>
        </is>
      </c>
      <c r="F3" s="198" t="inlineStr">
        <is>
          <t>Intervent-Universal (Pty) Ltd</t>
        </is>
      </c>
      <c r="G3" s="357" t="n">
        <v>22816</v>
      </c>
      <c r="H3" s="197" t="inlineStr">
        <is>
          <t>Simon Mokgola</t>
        </is>
      </c>
      <c r="I3" s="197" t="inlineStr">
        <is>
          <t>Ready-Dispatch</t>
        </is>
      </c>
      <c r="J3" s="197" t="inlineStr">
        <is>
          <t>CASH SALE - UNPAID</t>
        </is>
      </c>
      <c r="K3" s="198" t="inlineStr">
        <is>
          <t>RAD 250 (Qty: 8)</t>
        </is>
      </c>
      <c r="L3" s="196">
        <f>B3</f>
        <v/>
      </c>
    </row>
    <row r="4" ht="172.8" customHeight="1">
      <c r="A4" s="196" t="n">
        <v>46052</v>
      </c>
      <c r="B4" s="196" t="n">
        <v>46104.98997305556</v>
      </c>
      <c r="C4" s="197" t="inlineStr">
        <is>
          <t>FM3801</t>
        </is>
      </c>
      <c r="D4" s="197" t="inlineStr">
        <is>
          <t>SO4330</t>
        </is>
      </c>
      <c r="E4" s="198" t="inlineStr">
        <is>
          <t>PO0000573 - JHB FORENSIC PATHOLOGY LAB</t>
        </is>
      </c>
      <c r="F4" s="198" t="inlineStr">
        <is>
          <t>ST AIR SERVICES AND MAINTENANCE (PTY) LTD</t>
        </is>
      </c>
      <c r="G4" s="357" t="n">
        <v>784244.8</v>
      </c>
      <c r="H4" s="197" t="inlineStr">
        <is>
          <t>Simon Mokgola</t>
        </is>
      </c>
      <c r="I4" s="197" t="inlineStr">
        <is>
          <t>In Progress</t>
        </is>
      </c>
      <c r="J4" s="197" t="inlineStr">
        <is>
          <t>ACCOUNT - UP TO DATE</t>
        </is>
      </c>
      <c r="K4" s="198" t="inlineStr">
        <is>
          <t>Fumax 1000.32.F.4 c/w 7.5 kW 4 Pole 380V (SEF 10))) (Qty: 8), Majax Inlet Cone c/w Screen (Qty: 8), 1000 Diam Counter Flange (Qty: 8), 1000 Diam Mounting Feet (Qty: 16), 630 to 1000 NDB GREEN Neoprene Floor Mounts (Qty: 32), 800 32.F.8 c/w 4 kW 4 Pole 380V (SEF 13,14,15 and 16) (Qty: 4), Inlet Cone (Qty: 4), 800 Diam Counter Flange (Qty: 4), 800 Diam Mounting Feet (Qty: 8), 630 to 1000 NDB GREEN Neoprene Floor Mounts (Qty: 16), Fumax 1000.32.F.8 c/w 22 kW 4 Pole 380V (Qty: 2), Majax Inlet Cone c/w Screen (Qty: 2), 1000 Diam Counter Flange (Qty: 2), 1000 Diam Mounting Feet (Qty: 4), 630 to 1000 NDB GREEN Neoprene Floor Mounts (Qty: 8)</t>
        </is>
      </c>
      <c r="L4" s="196">
        <f>B4</f>
        <v/>
      </c>
    </row>
    <row r="5" ht="28.8" customHeight="1">
      <c r="A5" s="196" t="n">
        <v>46058</v>
      </c>
      <c r="B5" s="196" t="n">
        <v>46104.98997305556</v>
      </c>
      <c r="C5" s="197" t="inlineStr">
        <is>
          <t>FM3812</t>
        </is>
      </c>
      <c r="D5" s="197" t="inlineStr">
        <is>
          <t>SO4343</t>
        </is>
      </c>
      <c r="E5" s="198" t="inlineStr">
        <is>
          <t>DPO-1616</t>
        </is>
      </c>
      <c r="F5" s="198" t="inlineStr">
        <is>
          <t>Dueltron (Pty) Ltd</t>
        </is>
      </c>
      <c r="G5" s="357" t="n">
        <v>145269.15</v>
      </c>
      <c r="H5" s="197" t="inlineStr">
        <is>
          <t>Mashudu Tshifularo</t>
        </is>
      </c>
      <c r="I5" s="197" t="inlineStr">
        <is>
          <t>In Progress</t>
        </is>
      </c>
      <c r="J5" s="197" t="inlineStr">
        <is>
          <t>ACCOUNT - UP TO DATE</t>
        </is>
      </c>
      <c r="K5" s="198" t="inlineStr">
        <is>
          <t>MAJAX-2 BIF 1250 c/w 22,00KW 4P 380V (Qty: 1)</t>
        </is>
      </c>
      <c r="L5" s="196">
        <f>B5</f>
        <v/>
      </c>
    </row>
    <row r="6">
      <c r="A6" s="196" t="n">
        <v>46098</v>
      </c>
      <c r="B6" s="196" t="n">
        <v>46104.98997305556</v>
      </c>
      <c r="C6" s="197" t="inlineStr">
        <is>
          <t>FM3926</t>
        </is>
      </c>
      <c r="D6" s="197" t="inlineStr">
        <is>
          <t>SO4463</t>
        </is>
      </c>
      <c r="E6" s="198" t="inlineStr">
        <is>
          <t>PO3378</t>
        </is>
      </c>
      <c r="F6" s="198" t="inlineStr">
        <is>
          <t>systeco Pty ltd</t>
        </is>
      </c>
      <c r="G6" s="357" t="n">
        <v>8128.1</v>
      </c>
      <c r="H6" s="197" t="inlineStr">
        <is>
          <t>Sizwe Tshabalala</t>
        </is>
      </c>
      <c r="I6" s="197" t="inlineStr">
        <is>
          <t>In Progress</t>
        </is>
      </c>
      <c r="J6" s="197" t="inlineStr">
        <is>
          <t>CASH SALE - PAID</t>
        </is>
      </c>
      <c r="K6" s="198" t="inlineStr">
        <is>
          <t>MAJAX-2 400 c/w 1,10KW 2P 380V (Qty: 1)</t>
        </is>
      </c>
      <c r="L6" s="196">
        <f>B6</f>
        <v/>
      </c>
    </row>
    <row r="7" ht="28.8" customHeight="1">
      <c r="A7" s="200" t="n">
        <v>45972</v>
      </c>
      <c r="B7" s="200" t="n">
        <v>46106</v>
      </c>
      <c r="C7" s="201" t="inlineStr">
        <is>
          <t>FM3633</t>
        </is>
      </c>
      <c r="D7" s="201" t="inlineStr">
        <is>
          <t>SO4171</t>
        </is>
      </c>
      <c r="E7" s="202" t="inlineStr">
        <is>
          <t>A3412094782</t>
        </is>
      </c>
      <c r="F7" s="202" t="inlineStr">
        <is>
          <t>NWK LTD</t>
        </is>
      </c>
      <c r="G7" s="358" t="n">
        <v>74980</v>
      </c>
      <c r="H7" s="201" t="inlineStr">
        <is>
          <t>Sizwe Tshabalala</t>
        </is>
      </c>
      <c r="I7" s="201" t="inlineStr">
        <is>
          <t>In Progress</t>
        </is>
      </c>
      <c r="J7" s="201" t="inlineStr">
        <is>
          <t>ACCOUNT - UP TO DATE</t>
        </is>
      </c>
      <c r="K7" s="202" t="inlineStr">
        <is>
          <t>CMA-325-2M (Qty: 5)</t>
        </is>
      </c>
      <c r="L7" s="200">
        <f>B7</f>
        <v/>
      </c>
    </row>
    <row r="8">
      <c r="A8" s="200" t="n">
        <v>45981</v>
      </c>
      <c r="B8" s="200" t="n">
        <v>46106</v>
      </c>
      <c r="C8" s="201" t="inlineStr">
        <is>
          <t>FM3676</t>
        </is>
      </c>
      <c r="D8" s="201" t="inlineStr">
        <is>
          <t>SO4204</t>
        </is>
      </c>
      <c r="E8" s="202" t="inlineStr">
        <is>
          <t>B137477</t>
        </is>
      </c>
      <c r="F8" s="202" t="inlineStr">
        <is>
          <t>Vescotech</t>
        </is>
      </c>
      <c r="G8" s="358" t="n">
        <v>22563</v>
      </c>
      <c r="H8" s="201" t="inlineStr">
        <is>
          <t>Sizwe Tshabalala</t>
        </is>
      </c>
      <c r="I8" s="201" t="inlineStr">
        <is>
          <t>In Progress</t>
        </is>
      </c>
      <c r="J8" s="201" t="inlineStr">
        <is>
          <t>CASH SALE - PAID</t>
        </is>
      </c>
      <c r="K8" s="202" t="inlineStr">
        <is>
          <t>HCT-40-4T-0.33/PL ATEX (Qty: 1)</t>
        </is>
      </c>
      <c r="L8" s="200">
        <f>B8</f>
        <v/>
      </c>
    </row>
    <row r="9">
      <c r="A9" s="200" t="n">
        <v>45985</v>
      </c>
      <c r="B9" s="200" t="n">
        <v>46106</v>
      </c>
      <c r="C9" s="201" t="inlineStr">
        <is>
          <t>FM3685</t>
        </is>
      </c>
      <c r="D9" s="201" t="inlineStr">
        <is>
          <t>SO4215</t>
        </is>
      </c>
      <c r="E9" s="202" t="inlineStr">
        <is>
          <t>4358</t>
        </is>
      </c>
      <c r="F9" s="202" t="inlineStr">
        <is>
          <t>Air Speration (Pty) Ltd</t>
        </is>
      </c>
      <c r="G9" s="358" t="n">
        <v>26542</v>
      </c>
      <c r="H9" s="201" t="inlineStr">
        <is>
          <t>Mashudu Tshifularo</t>
        </is>
      </c>
      <c r="I9" s="201" t="inlineStr">
        <is>
          <t>In Progress</t>
        </is>
      </c>
      <c r="J9" s="201" t="inlineStr">
        <is>
          <t>CASH SALE - PAID</t>
        </is>
      </c>
      <c r="K9" s="202" t="inlineStr">
        <is>
          <t>CMP 820 2T - LG270 (Qty: 1), CMP 820 2T - RD270 (Qty: 1)</t>
        </is>
      </c>
      <c r="L9" s="200">
        <f>B9</f>
        <v/>
      </c>
    </row>
    <row r="10" ht="28.8" customHeight="1">
      <c r="A10" s="200" t="n">
        <v>46104</v>
      </c>
      <c r="B10" s="200" t="n">
        <v>46106</v>
      </c>
      <c r="C10" s="201" t="inlineStr">
        <is>
          <t>FM3936</t>
        </is>
      </c>
      <c r="D10" s="201" t="inlineStr">
        <is>
          <t>SO4474</t>
        </is>
      </c>
      <c r="E10" s="202" t="inlineStr">
        <is>
          <t>A3412096868</t>
        </is>
      </c>
      <c r="F10" s="202" t="inlineStr">
        <is>
          <t>NWK LTD</t>
        </is>
      </c>
      <c r="G10" s="358" t="n">
        <v>44988</v>
      </c>
      <c r="H10" s="201" t="inlineStr">
        <is>
          <t>Sizwe Tshabalala</t>
        </is>
      </c>
      <c r="I10" s="201" t="inlineStr">
        <is>
          <t>In Progress</t>
        </is>
      </c>
      <c r="J10" s="201" t="inlineStr">
        <is>
          <t>ACCOUNT - UP TO DATE</t>
        </is>
      </c>
      <c r="K10" s="202" t="inlineStr">
        <is>
          <t>CMA-325-2M (Qty: 3)</t>
        </is>
      </c>
      <c r="L10" s="200">
        <f>B10</f>
        <v/>
      </c>
    </row>
    <row r="11" ht="115.2" customHeight="1">
      <c r="A11" s="200" t="n">
        <v>46077</v>
      </c>
      <c r="B11" s="200" t="n">
        <v>46108</v>
      </c>
      <c r="C11" s="201" t="inlineStr">
        <is>
          <t>FM3876</t>
        </is>
      </c>
      <c r="D11" s="201" t="inlineStr">
        <is>
          <t>SO4405</t>
        </is>
      </c>
      <c r="E11" s="202" t="inlineStr">
        <is>
          <t>FM3875 - FM3876</t>
        </is>
      </c>
      <c r="F11" s="202" t="inlineStr">
        <is>
          <t>BMT SMART SOLUTIONS (PTY) LTD</t>
        </is>
      </c>
      <c r="G11" s="358" t="n">
        <v>52783.16</v>
      </c>
      <c r="H11" s="201" t="inlineStr">
        <is>
          <t>Simon Mokgola</t>
        </is>
      </c>
      <c r="I11" s="201" t="inlineStr">
        <is>
          <t>In Progress</t>
        </is>
      </c>
      <c r="J11" s="201" t="inlineStr">
        <is>
          <t>ACCOUNT - UP TO DATE</t>
        </is>
      </c>
      <c r="K11" s="202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2), 560 Diam Mounting Feet (Qty: 4), 315 to 560 NDA RED ANeoprene Floor Mounts (Qty: 8)</t>
        </is>
      </c>
      <c r="L11" s="200">
        <f>B11</f>
        <v/>
      </c>
    </row>
    <row r="12" ht="28.8" customHeight="1">
      <c r="A12" s="200" t="n">
        <v>46093</v>
      </c>
      <c r="B12" s="200" t="n">
        <v>46108</v>
      </c>
      <c r="C12" s="201" t="inlineStr">
        <is>
          <t>FM3902</t>
        </is>
      </c>
      <c r="D12" s="201" t="inlineStr">
        <is>
          <t>SO4448</t>
        </is>
      </c>
      <c r="E12" s="202" t="inlineStr">
        <is>
          <t>61713</t>
        </is>
      </c>
      <c r="F12" s="202" t="inlineStr">
        <is>
          <t>Chabo &amp; Joubert Air Conditioning (Pty) Ltd</t>
        </is>
      </c>
      <c r="G12" s="358" t="n">
        <v>84019</v>
      </c>
      <c r="H12" s="201" t="inlineStr">
        <is>
          <t>Sizwe Tshabalala</t>
        </is>
      </c>
      <c r="I12" s="201" t="inlineStr">
        <is>
          <t>In Progress</t>
        </is>
      </c>
      <c r="J12" s="201" t="inlineStr">
        <is>
          <t>ACCOUNT - UP TO DATE</t>
        </is>
      </c>
      <c r="K12" s="202" t="inlineStr">
        <is>
          <t>MAJAX 965 c/w 11,00KW 4P 525V - 2 Stage (Qty: 2)</t>
        </is>
      </c>
      <c r="L12" s="200">
        <f>B12</f>
        <v/>
      </c>
    </row>
    <row r="13" ht="28.8" customHeight="1">
      <c r="A13" s="200" t="n">
        <v>46094</v>
      </c>
      <c r="B13" s="200" t="n">
        <v>46108</v>
      </c>
      <c r="C13" s="201" t="inlineStr">
        <is>
          <t>FM3917</t>
        </is>
      </c>
      <c r="D13" s="201" t="inlineStr">
        <is>
          <t>SO4452</t>
        </is>
      </c>
      <c r="E13" s="202" t="inlineStr">
        <is>
          <t>PO-2603-001-FMT</t>
        </is>
      </c>
      <c r="F13" s="202" t="inlineStr">
        <is>
          <t>Hurricane Group</t>
        </is>
      </c>
      <c r="G13" s="358" t="n">
        <v>50075.83</v>
      </c>
      <c r="H13" s="201" t="inlineStr">
        <is>
          <t>Sizwe Tshabalala</t>
        </is>
      </c>
      <c r="I13" s="201" t="inlineStr">
        <is>
          <t>In Progress</t>
        </is>
      </c>
      <c r="J13" s="201" t="inlineStr">
        <is>
          <t>CASH SALE – PARTIAL</t>
        </is>
      </c>
      <c r="K13" s="202" t="inlineStr">
        <is>
          <t>MAJAX-3 500 c/w 3,00KW 2P 380V (Qty: 4), 500 Diam Counter Flange (Qty: 8)</t>
        </is>
      </c>
      <c r="L13" s="200">
        <f>B13</f>
        <v/>
      </c>
    </row>
    <row r="14">
      <c r="A14" s="200" t="n">
        <v>46077</v>
      </c>
      <c r="B14" s="200" t="n">
        <v>46112</v>
      </c>
      <c r="C14" s="201" t="inlineStr">
        <is>
          <t>FM3874</t>
        </is>
      </c>
      <c r="D14" s="201" t="inlineStr">
        <is>
          <t>SO4404</t>
        </is>
      </c>
      <c r="E14" s="202" t="inlineStr">
        <is>
          <t>PO2174</t>
        </is>
      </c>
      <c r="F14" s="202" t="inlineStr">
        <is>
          <t>ITD North Pty Ltd</t>
        </is>
      </c>
      <c r="G14" s="358" t="n">
        <v>94247.10000000001</v>
      </c>
      <c r="H14" s="201" t="inlineStr">
        <is>
          <t>Mashudu Tshifularo</t>
        </is>
      </c>
      <c r="I14" s="201" t="inlineStr">
        <is>
          <t>In Progress</t>
        </is>
      </c>
      <c r="J14" s="201" t="inlineStr">
        <is>
          <t>CASH SALE – PARTIAL</t>
        </is>
      </c>
      <c r="K14" s="202" t="inlineStr">
        <is>
          <t>RDH 710 K2 - Nicotra Fan (Qty: 1)</t>
        </is>
      </c>
      <c r="L14" s="200">
        <f>B14</f>
        <v/>
      </c>
    </row>
    <row r="15">
      <c r="A15" s="200" t="n">
        <v>46094</v>
      </c>
      <c r="B15" s="200" t="n">
        <v>46112</v>
      </c>
      <c r="C15" s="201" t="inlineStr">
        <is>
          <t>FM3891</t>
        </is>
      </c>
      <c r="D15" s="201" t="inlineStr">
        <is>
          <t>SO4455</t>
        </is>
      </c>
      <c r="E15" s="202" t="inlineStr">
        <is>
          <t>POR80557</t>
        </is>
      </c>
      <c r="F15" s="202" t="inlineStr">
        <is>
          <t>Venwood and Baker Electrical</t>
        </is>
      </c>
      <c r="G15" s="358" t="n">
        <v>137207.26</v>
      </c>
      <c r="H15" s="201" t="inlineStr">
        <is>
          <t>Sizwe Tshabalala</t>
        </is>
      </c>
      <c r="I15" s="201" t="inlineStr">
        <is>
          <t>In Progress</t>
        </is>
      </c>
      <c r="J15" s="201" t="inlineStr">
        <is>
          <t>CASH SALE - PAID</t>
        </is>
      </c>
      <c r="K15" s="202" t="inlineStr">
        <is>
          <t>MAJAX-2 800 c/w 3,00KW 4P 525V (Qty: 6)</t>
        </is>
      </c>
      <c r="L15" s="200">
        <f>B15</f>
        <v/>
      </c>
    </row>
    <row r="16" ht="28.8" customHeight="1">
      <c r="A16" s="200" t="n">
        <v>46104</v>
      </c>
      <c r="B16" s="200" t="n">
        <v>46114</v>
      </c>
      <c r="C16" s="201" t="inlineStr">
        <is>
          <t>FM3952</t>
        </is>
      </c>
      <c r="D16" s="201" t="inlineStr">
        <is>
          <t>SO4475</t>
        </is>
      </c>
      <c r="E16" s="202" t="inlineStr">
        <is>
          <t>J5383-001ORD</t>
        </is>
      </c>
      <c r="F16" s="202" t="inlineStr">
        <is>
          <t>RTS Africa Engineering (Pty) Ltd</t>
        </is>
      </c>
      <c r="G16" s="358" t="n">
        <v>34103.49</v>
      </c>
      <c r="H16" s="201" t="inlineStr">
        <is>
          <t>Simon Mokgola</t>
        </is>
      </c>
      <c r="I16" s="201" t="inlineStr">
        <is>
          <t>In Progress</t>
        </is>
      </c>
      <c r="J16" s="201" t="inlineStr">
        <is>
          <t>ACCOUNT - UP TO DATE</t>
        </is>
      </c>
      <c r="K16" s="202" t="inlineStr">
        <is>
          <t>MAJAX 400 c/w 0.75kW 2Pole 380V (Qty: 2), Data Book (Qty: 2), 400 Diam Side Screen (Qty: 2)</t>
        </is>
      </c>
      <c r="L16" s="200">
        <f>B16</f>
        <v/>
      </c>
    </row>
    <row r="17" ht="28.8" customHeight="1">
      <c r="A17" s="200" t="n">
        <v>46099</v>
      </c>
      <c r="B17" s="200" t="n">
        <v>46128</v>
      </c>
      <c r="C17" s="201" t="inlineStr">
        <is>
          <t>FM3930</t>
        </is>
      </c>
      <c r="D17" s="201" t="inlineStr">
        <is>
          <t>SO4469</t>
        </is>
      </c>
      <c r="E17" s="202" t="inlineStr">
        <is>
          <t>PO0007989 - FAN MAXFLO 710</t>
        </is>
      </c>
      <c r="F17" s="202" t="inlineStr">
        <is>
          <t>AGILITY ENGINEERING SERVICES (PTY) LTD</t>
        </is>
      </c>
      <c r="G17" s="358" t="n">
        <v>69948.06</v>
      </c>
      <c r="H17" s="201" t="inlineStr">
        <is>
          <t>Mashudu Tshifularo</t>
        </is>
      </c>
      <c r="I17" s="201" t="inlineStr">
        <is>
          <t>In Progress</t>
        </is>
      </c>
      <c r="J17" s="201" t="inlineStr">
        <is>
          <t>CASH SALE - PAID</t>
        </is>
      </c>
      <c r="K17" s="202" t="inlineStr">
        <is>
          <t>MAXFLO 710/150/10 A c/w 4,00KW 4P 380V (Qty: 2)</t>
        </is>
      </c>
      <c r="L17" s="200">
        <f>B17</f>
        <v/>
      </c>
    </row>
    <row r="18">
      <c r="A18" s="200" t="n">
        <v>45799</v>
      </c>
      <c r="B18" s="200" t="n">
        <v>46142</v>
      </c>
      <c r="C18" s="201" t="inlineStr">
        <is>
          <t>FM3944</t>
        </is>
      </c>
      <c r="D18" s="201" t="inlineStr">
        <is>
          <t>SO3760</t>
        </is>
      </c>
      <c r="E18" s="202" t="inlineStr">
        <is>
          <t>PO 62844</t>
        </is>
      </c>
      <c r="F18" s="202" t="inlineStr">
        <is>
          <t>Rey &amp; Lenferna Ltd</t>
        </is>
      </c>
      <c r="G18" s="358" t="n">
        <v>545349.34</v>
      </c>
      <c r="H18" s="201" t="inlineStr">
        <is>
          <t>Sizwe - R.O.A</t>
        </is>
      </c>
      <c r="I18" s="201" t="inlineStr">
        <is>
          <t>Pending</t>
        </is>
      </c>
      <c r="J18" s="201">
        <f>_xludf.IFNA(VLOOKUP(D18, '20.03.2026'!D:J, 7, FALSE), "")</f>
        <v/>
      </c>
      <c r="K18" s="202" t="inlineStr">
        <is>
          <t>OUTSTANDING ORDER (Qty: 1)</t>
        </is>
      </c>
      <c r="L18" s="200">
        <f>B18</f>
        <v/>
      </c>
    </row>
    <row r="19">
      <c r="A19" s="200" t="n">
        <v>46052</v>
      </c>
      <c r="B19" s="200" t="n">
        <v>46142</v>
      </c>
      <c r="C19" s="201" t="inlineStr">
        <is>
          <t>FM3951</t>
        </is>
      </c>
      <c r="D19" s="201" t="inlineStr">
        <is>
          <t>SO4331</t>
        </is>
      </c>
      <c r="E19" s="202" t="inlineStr">
        <is>
          <t>PO 62844</t>
        </is>
      </c>
      <c r="F19" s="202" t="inlineStr">
        <is>
          <t>Rey &amp; Lenferna Ltd</t>
        </is>
      </c>
      <c r="G19" s="358" t="n">
        <v>521526.68</v>
      </c>
      <c r="H19" s="201" t="inlineStr">
        <is>
          <t>Sizwe - R.O.A</t>
        </is>
      </c>
      <c r="I19" s="201" t="inlineStr">
        <is>
          <t>Pending</t>
        </is>
      </c>
      <c r="J19" s="201">
        <f>_xludf.IFNA(VLOOKUP(D19, '20.03.2026'!D:J, 7, FALSE), "")</f>
        <v/>
      </c>
      <c r="K19" s="202" t="inlineStr">
        <is>
          <t>Sales order (Qty: 1)</t>
        </is>
      </c>
      <c r="L19" s="200">
        <f>B19</f>
        <v/>
      </c>
    </row>
    <row r="20" ht="28.8" customHeight="1">
      <c r="A20" s="200" t="n">
        <v>46069</v>
      </c>
      <c r="B20" s="200" t="n">
        <v>46157</v>
      </c>
      <c r="C20" s="201" t="inlineStr">
        <is>
          <t>FM3841</t>
        </is>
      </c>
      <c r="D20" s="201" t="inlineStr">
        <is>
          <t>SO4372</t>
        </is>
      </c>
      <c r="E20" s="202" t="inlineStr">
        <is>
          <t>PO2213</t>
        </is>
      </c>
      <c r="F20" s="202" t="inlineStr">
        <is>
          <t>Hucra Fans</t>
        </is>
      </c>
      <c r="G20" s="358" t="n">
        <v>379993.35</v>
      </c>
      <c r="H20" s="201" t="inlineStr">
        <is>
          <t>Sales Agent Hucra Fans</t>
        </is>
      </c>
      <c r="I20" s="201" t="inlineStr">
        <is>
          <t>In Progress</t>
        </is>
      </c>
      <c r="J20" s="201" t="inlineStr">
        <is>
          <t>ACCOUNT - UP TO DATE</t>
        </is>
      </c>
      <c r="K20" s="202" t="inlineStr">
        <is>
          <t>SCL K11 MS - 11.0kW - 525V (Qty: 3)</t>
        </is>
      </c>
      <c r="L20" s="200">
        <f>B20</f>
        <v/>
      </c>
    </row>
    <row r="21" ht="28.8" customHeight="1">
      <c r="A21" s="200" t="n">
        <v>46091</v>
      </c>
      <c r="B21" s="200" t="n">
        <v>46171</v>
      </c>
      <c r="C21" s="201" t="inlineStr">
        <is>
          <t>FM3907</t>
        </is>
      </c>
      <c r="D21" s="201" t="inlineStr">
        <is>
          <t>SO4440</t>
        </is>
      </c>
      <c r="E21" s="202" t="inlineStr">
        <is>
          <t>PO2228</t>
        </is>
      </c>
      <c r="F21" s="202" t="inlineStr">
        <is>
          <t>Hucra Fans</t>
        </is>
      </c>
      <c r="G21" s="358" t="n">
        <v>21208.3</v>
      </c>
      <c r="H21" s="201" t="inlineStr">
        <is>
          <t>Sales Agent Hucra Fans</t>
        </is>
      </c>
      <c r="I21" s="201" t="inlineStr">
        <is>
          <t>Ready-Dispatch</t>
        </is>
      </c>
      <c r="J21" s="201" t="inlineStr">
        <is>
          <t>ACCOUNT - UP TO DATE</t>
        </is>
      </c>
      <c r="K21" s="202" t="inlineStr">
        <is>
          <t>SCL-K05 MS-2.2kW 380V (Qty: 1)</t>
        </is>
      </c>
      <c r="L21" s="200">
        <f>B21</f>
        <v/>
      </c>
    </row>
    <row r="22">
      <c r="F22" s="204" t="inlineStr">
        <is>
          <t>Total Value (All):</t>
        </is>
      </c>
      <c r="G22" s="359">
        <f>SUM(G3:G21)</f>
        <v/>
      </c>
    </row>
    <row r="24">
      <c r="F24" s="206" t="inlineStr">
        <is>
          <t>BREAKDOWN</t>
        </is>
      </c>
    </row>
    <row r="25">
      <c r="F25" t="inlineStr">
        <is>
          <t>Cash Sale (March):</t>
        </is>
      </c>
      <c r="G25" s="342">
        <f>SUMIFS(G3:G21, J3:J21, "*CASH SALE*", L3:L21, "&gt;="&amp;EOMONTH(TODAY(),-1)+1, L3:L21, "&lt;="&amp;EOMONTH(TODAY(),0))</f>
        <v/>
      </c>
      <c r="I25" t="inlineStr">
        <is>
          <t>Cash Sale (April):</t>
        </is>
      </c>
      <c r="J25" s="342">
        <f>SUMIFS(G3:G21, J3:J21, "*CASH SALE*", L3:L21, "&gt;="&amp;EOMONTH(TODAY(),0)+1, L3:L21, "&lt;="&amp;EOMONTH(TODAY(),1))</f>
        <v/>
      </c>
    </row>
    <row r="26">
      <c r="F26" t="inlineStr">
        <is>
          <t>Account (March):</t>
        </is>
      </c>
      <c r="G26" s="342">
        <f>SUMIFS(G3:G21, J3:J21, "*ACCOUNT*", L3:L21, "&gt;="&amp;EOMONTH(TODAY(),-1)+1, L3:L21, "&lt;="&amp;EOMONTH(TODAY(),0))</f>
        <v/>
      </c>
      <c r="I26" t="inlineStr">
        <is>
          <t>Account (April):</t>
        </is>
      </c>
      <c r="J26" s="342">
        <f>SUMIFS(G3:G21, J3:J21, "*ACCOUNT*", L3:L21, "&gt;="&amp;EOMONTH(TODAY(),0)+1, L3:L21, "&lt;="&amp;EOMONTH(TODAY(),1))</f>
        <v/>
      </c>
    </row>
    <row r="29">
      <c r="A29" s="195" t="inlineStr">
        <is>
          <t>Date</t>
        </is>
      </c>
      <c r="B29" s="195" t="inlineStr">
        <is>
          <t>Delivery Date</t>
        </is>
      </c>
      <c r="C29" s="195" t="inlineStr">
        <is>
          <t>Job Number</t>
        </is>
      </c>
      <c r="D29" s="195" t="inlineStr">
        <is>
          <t>SO Number</t>
        </is>
      </c>
      <c r="E29" s="195" t="inlineStr">
        <is>
          <t>Customer Ref.</t>
        </is>
      </c>
      <c r="F29" s="195" t="inlineStr">
        <is>
          <t>Customer</t>
        </is>
      </c>
      <c r="G29" s="195" t="inlineStr">
        <is>
          <t>Total</t>
        </is>
      </c>
      <c r="H29" s="195" t="inlineStr">
        <is>
          <t>Sales Rep</t>
        </is>
      </c>
      <c r="I29" s="195" t="inlineStr">
        <is>
          <t>Status</t>
        </is>
      </c>
      <c r="J29" s="195" t="inlineStr">
        <is>
          <t>Payment Status</t>
        </is>
      </c>
      <c r="K29" s="195" t="inlineStr">
        <is>
          <t>Comments</t>
        </is>
      </c>
    </row>
    <row r="30">
      <c r="A30" s="207" t="n">
        <v>46056</v>
      </c>
      <c r="B30" s="207" t="n">
        <v>46104.98997305556</v>
      </c>
      <c r="C30" s="208" t="inlineStr">
        <is>
          <t>FM3808</t>
        </is>
      </c>
      <c r="D30" s="208" t="inlineStr">
        <is>
          <t>SO4339</t>
        </is>
      </c>
      <c r="E30" s="208" t="inlineStr">
        <is>
          <t>PO549NN</t>
        </is>
      </c>
      <c r="F30" s="208" t="inlineStr">
        <is>
          <t>Intervent-Universal (Pty) Ltd</t>
        </is>
      </c>
      <c r="G30" s="358" t="n">
        <v>22816</v>
      </c>
      <c r="H30" s="208" t="inlineStr">
        <is>
          <t>Simon Mokgola</t>
        </is>
      </c>
      <c r="I30" s="208" t="inlineStr">
        <is>
          <t>Ready-Dispatch</t>
        </is>
      </c>
      <c r="J30" s="208" t="inlineStr">
        <is>
          <t>CASH SALE - UNPAID</t>
        </is>
      </c>
      <c r="K30" s="202" t="inlineStr">
        <is>
          <t>Awaiting payment - Client not taking calls (Simon)</t>
        </is>
      </c>
    </row>
    <row r="31" ht="43.2" customHeight="1">
      <c r="A31" s="207" t="n">
        <v>46052</v>
      </c>
      <c r="B31" s="207" t="n">
        <v>46104.98997305556</v>
      </c>
      <c r="C31" s="208" t="inlineStr">
        <is>
          <t>FM3801</t>
        </is>
      </c>
      <c r="D31" s="208" t="inlineStr">
        <is>
          <t>SO4330</t>
        </is>
      </c>
      <c r="E31" s="208" t="inlineStr">
        <is>
          <t>PO0000573 - JHB FORENSIC PATHOLOGY LAB</t>
        </is>
      </c>
      <c r="F31" s="208" t="inlineStr">
        <is>
          <t>ST AIR SERVICES AND MAINTENANCE (PTY) LTD</t>
        </is>
      </c>
      <c r="G31" s="358" t="n">
        <v>784244.8</v>
      </c>
      <c r="H31" s="208" t="inlineStr">
        <is>
          <t>Simon Mokgola</t>
        </is>
      </c>
      <c r="I31" s="208" t="inlineStr">
        <is>
          <t>In Progress</t>
        </is>
      </c>
      <c r="J31" s="208" t="inlineStr">
        <is>
          <t>ACCOUNT - UP TO DATE</t>
        </is>
      </c>
      <c r="K31" s="202" t="n"/>
    </row>
    <row r="32" ht="28.8" customHeight="1">
      <c r="A32" s="207" t="n">
        <v>46058</v>
      </c>
      <c r="B32" s="207" t="n">
        <v>46104.98997305556</v>
      </c>
      <c r="C32" s="208" t="inlineStr">
        <is>
          <t>FM3812</t>
        </is>
      </c>
      <c r="D32" s="208" t="inlineStr">
        <is>
          <t>SO4343</t>
        </is>
      </c>
      <c r="E32" s="208" t="inlineStr">
        <is>
          <t>DPO-1616</t>
        </is>
      </c>
      <c r="F32" s="208" t="inlineStr">
        <is>
          <t>Dueltron (Pty) Ltd</t>
        </is>
      </c>
      <c r="G32" s="358" t="n">
        <v>145269.15</v>
      </c>
      <c r="H32" s="208" t="inlineStr">
        <is>
          <t>Mashudu Tshifularo</t>
        </is>
      </c>
      <c r="I32" s="208" t="inlineStr">
        <is>
          <t>In Progress</t>
        </is>
      </c>
      <c r="J32" s="208" t="inlineStr">
        <is>
          <t>ACCOUNT - UP TO DATE</t>
        </is>
      </c>
      <c r="K32" s="202" t="n"/>
    </row>
    <row r="33">
      <c r="A33" s="207" t="n">
        <v>46098</v>
      </c>
      <c r="B33" s="207" t="n">
        <v>46104.98997305556</v>
      </c>
      <c r="C33" s="208" t="inlineStr">
        <is>
          <t>FM3926</t>
        </is>
      </c>
      <c r="D33" s="208" t="inlineStr">
        <is>
          <t>SO4463</t>
        </is>
      </c>
      <c r="E33" s="208" t="inlineStr">
        <is>
          <t>PO3378</t>
        </is>
      </c>
      <c r="F33" s="208" t="inlineStr">
        <is>
          <t>systeco Pty ltd</t>
        </is>
      </c>
      <c r="G33" s="358" t="n">
        <v>8128.1</v>
      </c>
      <c r="H33" s="208" t="inlineStr">
        <is>
          <t>Sizwe Tshabalala</t>
        </is>
      </c>
      <c r="I33" s="208" t="inlineStr">
        <is>
          <t>In Progress</t>
        </is>
      </c>
      <c r="J33" s="208" t="inlineStr">
        <is>
          <t>CASH SALE - PAID</t>
        </is>
      </c>
      <c r="K33" s="202" t="n"/>
    </row>
    <row r="34">
      <c r="F34" s="204" t="inlineStr">
        <is>
          <t>Due Today - Total:</t>
        </is>
      </c>
      <c r="G34" s="359">
        <f>SUM(G30:G33)</f>
        <v/>
      </c>
    </row>
    <row r="36">
      <c r="F36" s="204" t="inlineStr">
        <is>
          <t>Ready-Dispatch:</t>
        </is>
      </c>
      <c r="G36" s="359">
        <f>SUMIFS(G3:G21, I3:I21, "*Ready*Dispatch*")</f>
        <v/>
      </c>
    </row>
  </sheetData>
  <pageMargins left="0.25" right="0.25" top="0.75" bottom="0.75" header="0.3" footer="0.3"/>
  <pageSetup orientation="landscape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zoomScale="80" zoomScaleNormal="80" workbookViewId="0">
      <pane xSplit="4" ySplit="2" topLeftCell="E22" activePane="bottomRight" state="frozen"/>
      <selection pane="topRight" activeCell="A1" sqref="A1"/>
      <selection pane="bottomLeft" activeCell="A1" sqref="A1"/>
      <selection pane="bottomRight" activeCell="K31" sqref="K31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2.77734375" customWidth="1" min="10" max="10"/>
    <col width="50" customWidth="1" min="11" max="11"/>
    <col width="12" customWidth="1" min="12" max="12"/>
  </cols>
  <sheetData>
    <row r="1" ht="18" customHeight="1">
      <c r="A1" s="209" t="inlineStr">
        <is>
          <t>SALES ORDER REPORT</t>
        </is>
      </c>
      <c r="K1" s="210">
        <f>TODAY()</f>
        <v/>
      </c>
    </row>
    <row r="2" ht="43.2" customHeight="1">
      <c r="A2" s="211" t="inlineStr">
        <is>
          <t>Date</t>
        </is>
      </c>
      <c r="B2" s="211" t="inlineStr">
        <is>
          <t>Delivery Date</t>
        </is>
      </c>
      <c r="C2" s="211" t="inlineStr">
        <is>
          <t>Job Number</t>
        </is>
      </c>
      <c r="D2" s="211" t="inlineStr">
        <is>
          <t>SO Number</t>
        </is>
      </c>
      <c r="E2" s="211" t="inlineStr">
        <is>
          <t>Customer Ref.</t>
        </is>
      </c>
      <c r="F2" s="211" t="inlineStr">
        <is>
          <t>Customer</t>
        </is>
      </c>
      <c r="G2" s="211" t="inlineStr">
        <is>
          <t>Total</t>
        </is>
      </c>
      <c r="H2" s="211" t="inlineStr">
        <is>
          <t>Sales Rep</t>
        </is>
      </c>
      <c r="I2" s="211" t="inlineStr">
        <is>
          <t>Status</t>
        </is>
      </c>
      <c r="J2" s="211" t="inlineStr">
        <is>
          <t>Payment Status</t>
        </is>
      </c>
      <c r="K2" s="211" t="inlineStr">
        <is>
          <t>Details</t>
        </is>
      </c>
      <c r="L2" s="211" t="inlineStr">
        <is>
          <t>Planned Delivery Date</t>
        </is>
      </c>
    </row>
    <row r="3">
      <c r="A3" s="212" t="n">
        <v>46056</v>
      </c>
      <c r="B3" s="212" t="n">
        <v>46105.36077537037</v>
      </c>
      <c r="C3" s="213" t="inlineStr">
        <is>
          <t>FM3808</t>
        </is>
      </c>
      <c r="D3" s="213" t="inlineStr">
        <is>
          <t>SO4339</t>
        </is>
      </c>
      <c r="E3" s="214" t="inlineStr">
        <is>
          <t>PO549NN</t>
        </is>
      </c>
      <c r="F3" s="214" t="inlineStr">
        <is>
          <t>Intervent-Universal (Pty) Ltd</t>
        </is>
      </c>
      <c r="G3" s="360" t="n">
        <v>22816</v>
      </c>
      <c r="H3" s="213" t="inlineStr">
        <is>
          <t>Simon Mokgola</t>
        </is>
      </c>
      <c r="I3" s="213" t="inlineStr">
        <is>
          <t>Ready-Dispatch</t>
        </is>
      </c>
      <c r="J3" s="213" t="inlineStr">
        <is>
          <t>CASH SALE - UNPAID</t>
        </is>
      </c>
      <c r="K3" s="214" t="inlineStr">
        <is>
          <t>RAD 250 (Qty: 8)</t>
        </is>
      </c>
      <c r="L3" s="212">
        <f>B3</f>
        <v/>
      </c>
    </row>
    <row r="4">
      <c r="A4" s="212" t="n">
        <v>46094</v>
      </c>
      <c r="B4" s="212" t="n">
        <v>46105.36077537037</v>
      </c>
      <c r="C4" s="213" t="inlineStr">
        <is>
          <t>FM3891</t>
        </is>
      </c>
      <c r="D4" s="213" t="inlineStr">
        <is>
          <t>SO4455</t>
        </is>
      </c>
      <c r="E4" s="214" t="inlineStr">
        <is>
          <t>POR80557</t>
        </is>
      </c>
      <c r="F4" s="214" t="inlineStr">
        <is>
          <t>Venwood and Baker Electrical</t>
        </is>
      </c>
      <c r="G4" s="360" t="n">
        <v>137207.26</v>
      </c>
      <c r="H4" s="213" t="inlineStr">
        <is>
          <t>Sizwe Tshabalala</t>
        </is>
      </c>
      <c r="I4" s="213" t="inlineStr">
        <is>
          <t>In Progress</t>
        </is>
      </c>
      <c r="J4" s="213" t="inlineStr">
        <is>
          <t>CASH SALE - PAID</t>
        </is>
      </c>
      <c r="K4" s="214" t="inlineStr">
        <is>
          <t>MAJAX-2 800 c/w 3,00KW 4P 525V (Qty: 6)</t>
        </is>
      </c>
      <c r="L4" s="212">
        <f>B4</f>
        <v/>
      </c>
    </row>
    <row r="5">
      <c r="A5" s="212" t="n">
        <v>46098</v>
      </c>
      <c r="B5" s="212" t="n">
        <v>46105.36077537037</v>
      </c>
      <c r="C5" s="213" t="inlineStr">
        <is>
          <t>FM3926</t>
        </is>
      </c>
      <c r="D5" s="213" t="inlineStr">
        <is>
          <t>SO4463</t>
        </is>
      </c>
      <c r="E5" s="214" t="inlineStr">
        <is>
          <t>PO3378</t>
        </is>
      </c>
      <c r="F5" s="214" t="inlineStr">
        <is>
          <t>systeco Pty ltd</t>
        </is>
      </c>
      <c r="G5" s="360" t="n">
        <v>8128.1</v>
      </c>
      <c r="H5" s="213" t="inlineStr">
        <is>
          <t>Sizwe Tshabalala</t>
        </is>
      </c>
      <c r="I5" s="213" t="inlineStr">
        <is>
          <t>In Progress</t>
        </is>
      </c>
      <c r="J5" s="213" t="inlineStr">
        <is>
          <t>CASH SALE - PAID</t>
        </is>
      </c>
      <c r="K5" s="214" t="inlineStr">
        <is>
          <t>MAJAX-2 400 c/w 1,10KW 2P 380V (Qty: 1)</t>
        </is>
      </c>
      <c r="L5" s="212">
        <f>B5</f>
        <v/>
      </c>
    </row>
    <row r="6" ht="57.6" customHeight="1">
      <c r="A6" s="196" t="n">
        <v>46052</v>
      </c>
      <c r="B6" s="196" t="n">
        <v>46105</v>
      </c>
      <c r="C6" s="197" t="inlineStr">
        <is>
          <t>FM3801</t>
        </is>
      </c>
      <c r="D6" s="197" t="inlineStr">
        <is>
          <t>SO4330</t>
        </is>
      </c>
      <c r="E6" s="198" t="inlineStr">
        <is>
          <t>PO0000573 - JHB FORENSIC PATHOLOGY LAB</t>
        </is>
      </c>
      <c r="F6" s="198" t="inlineStr">
        <is>
          <t>ST AIR SERVICES AND MAINTENANCE (PTY) LTD</t>
        </is>
      </c>
      <c r="G6" s="357" t="n">
        <v>159969.6</v>
      </c>
      <c r="H6" s="197" t="inlineStr">
        <is>
          <t>Simon Mokgola</t>
        </is>
      </c>
      <c r="I6" s="197" t="inlineStr">
        <is>
          <t>In Progress</t>
        </is>
      </c>
      <c r="J6" s="197" t="inlineStr">
        <is>
          <t>ACCOUNT - UP TO DATE</t>
        </is>
      </c>
      <c r="K6" s="198" t="inlineStr">
        <is>
          <t>Fumax 800 32.F.8 c/w 4 kW 4 Pole 380V (SEF 13,14,15 and 16) (Qty: 4), Inlet Cone (Qty: 4), 800 Diam Counter Flange (Qty: 4), 800 Diam Mounting Feet (Qty: 8), 630 to 1000 NDB GREEN Neoprene Floor Mounts (Qty: 16)</t>
        </is>
      </c>
      <c r="L6" s="196">
        <f>B6</f>
        <v/>
      </c>
    </row>
    <row r="7">
      <c r="A7" s="216" t="n">
        <v>45972</v>
      </c>
      <c r="B7" s="216" t="n">
        <v>46106</v>
      </c>
      <c r="C7" s="217" t="inlineStr">
        <is>
          <t>FM3633</t>
        </is>
      </c>
      <c r="D7" s="217" t="inlineStr">
        <is>
          <t>SO4171</t>
        </is>
      </c>
      <c r="E7" s="218" t="inlineStr">
        <is>
          <t>A3412094782</t>
        </is>
      </c>
      <c r="F7" s="218" t="inlineStr">
        <is>
          <t>NWK LTD</t>
        </is>
      </c>
      <c r="G7" s="361">
        <f>74980/5</f>
        <v/>
      </c>
      <c r="H7" s="217" t="inlineStr">
        <is>
          <t>Sizwe Tshabalala</t>
        </is>
      </c>
      <c r="I7" s="217" t="inlineStr">
        <is>
          <t>In Progress</t>
        </is>
      </c>
      <c r="J7" s="217" t="inlineStr">
        <is>
          <t>ACCOUNT - UP TO DATE</t>
        </is>
      </c>
      <c r="K7" s="218" t="inlineStr">
        <is>
          <t>CMA-325-2M (Qty: 5)</t>
        </is>
      </c>
      <c r="L7" s="216">
        <f>B7</f>
        <v/>
      </c>
    </row>
    <row r="8">
      <c r="A8" s="216" t="n">
        <v>45981</v>
      </c>
      <c r="B8" s="216" t="n">
        <v>46106</v>
      </c>
      <c r="C8" s="217" t="inlineStr">
        <is>
          <t>FM3676</t>
        </is>
      </c>
      <c r="D8" s="217" t="inlineStr">
        <is>
          <t>SO4204</t>
        </is>
      </c>
      <c r="E8" s="218" t="inlineStr">
        <is>
          <t>B137477</t>
        </is>
      </c>
      <c r="F8" s="218" t="inlineStr">
        <is>
          <t>Vescotech</t>
        </is>
      </c>
      <c r="G8" s="361" t="n">
        <v>22563</v>
      </c>
      <c r="H8" s="217" t="inlineStr">
        <is>
          <t>Sizwe Tshabalala</t>
        </is>
      </c>
      <c r="I8" s="217" t="inlineStr">
        <is>
          <t>In Progress</t>
        </is>
      </c>
      <c r="J8" s="217" t="inlineStr">
        <is>
          <t>CASH SALE - PAID</t>
        </is>
      </c>
      <c r="K8" s="218" t="inlineStr">
        <is>
          <t>HCT-40-4T-0.33/PL ATEX (Qty: 1)</t>
        </is>
      </c>
      <c r="L8" s="216">
        <f>B8</f>
        <v/>
      </c>
    </row>
    <row r="9">
      <c r="A9" s="216" t="n">
        <v>45985</v>
      </c>
      <c r="B9" s="216" t="n">
        <v>46106</v>
      </c>
      <c r="C9" s="217" t="inlineStr">
        <is>
          <t>FM3685</t>
        </is>
      </c>
      <c r="D9" s="217" t="inlineStr">
        <is>
          <t>SO4215</t>
        </is>
      </c>
      <c r="E9" s="218" t="inlineStr">
        <is>
          <t>4358</t>
        </is>
      </c>
      <c r="F9" s="218" t="inlineStr">
        <is>
          <t>Air Speration (Pty) Ltd</t>
        </is>
      </c>
      <c r="G9" s="361">
        <f>26542/2</f>
        <v/>
      </c>
      <c r="H9" s="217" t="inlineStr">
        <is>
          <t>Mashudu Tshifularo</t>
        </is>
      </c>
      <c r="I9" s="217" t="inlineStr">
        <is>
          <t>In Progress</t>
        </is>
      </c>
      <c r="J9" s="217" t="inlineStr">
        <is>
          <t>CASH SALE - PAID</t>
        </is>
      </c>
      <c r="K9" s="218" t="inlineStr">
        <is>
          <t>CMP 820 2T - LG270 (Qty: 1), CMP 820 2T - RD270 (Qty: 1)</t>
        </is>
      </c>
      <c r="L9" s="216">
        <f>B9</f>
        <v/>
      </c>
    </row>
    <row r="10">
      <c r="A10" s="216" t="n">
        <v>46104</v>
      </c>
      <c r="B10" s="216" t="n">
        <v>46106</v>
      </c>
      <c r="C10" s="217" t="inlineStr">
        <is>
          <t>FM3936</t>
        </is>
      </c>
      <c r="D10" s="217" t="inlineStr">
        <is>
          <t>SO4474</t>
        </is>
      </c>
      <c r="E10" s="218" t="inlineStr">
        <is>
          <t>A3412096868</t>
        </is>
      </c>
      <c r="F10" s="218" t="inlineStr">
        <is>
          <t>NWK LTD</t>
        </is>
      </c>
      <c r="G10" s="361" t="n">
        <v>44988</v>
      </c>
      <c r="H10" s="217" t="inlineStr">
        <is>
          <t>Sizwe Tshabalala</t>
        </is>
      </c>
      <c r="I10" s="217" t="inlineStr">
        <is>
          <t>In Progress</t>
        </is>
      </c>
      <c r="J10" s="217" t="inlineStr">
        <is>
          <t>ACCOUNT - UP TO DATE</t>
        </is>
      </c>
      <c r="K10" s="218" t="inlineStr">
        <is>
          <t>CMA-325-2M (Qty: 3)</t>
        </is>
      </c>
      <c r="L10" s="216">
        <f>B10</f>
        <v/>
      </c>
    </row>
    <row r="11" ht="115.2" customHeight="1">
      <c r="A11" s="216" t="n">
        <v>46077</v>
      </c>
      <c r="B11" s="216" t="n">
        <v>46108</v>
      </c>
      <c r="C11" s="217" t="inlineStr">
        <is>
          <t>FM3876</t>
        </is>
      </c>
      <c r="D11" s="217" t="inlineStr">
        <is>
          <t>SO4405</t>
        </is>
      </c>
      <c r="E11" s="218" t="inlineStr">
        <is>
          <t>FM3875 - FM3876</t>
        </is>
      </c>
      <c r="F11" s="218" t="inlineStr">
        <is>
          <t>BMT SMART SOLUTIONS (PTY) LTD</t>
        </is>
      </c>
      <c r="G11" s="361" t="n">
        <v>52783.16</v>
      </c>
      <c r="H11" s="217" t="inlineStr">
        <is>
          <t>Simon Mokgola</t>
        </is>
      </c>
      <c r="I11" s="217" t="inlineStr">
        <is>
          <t>In Progress</t>
        </is>
      </c>
      <c r="J11" s="217" t="inlineStr">
        <is>
          <t>ACCOUNT - UP TO DATE</t>
        </is>
      </c>
      <c r="K11" s="218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2), 560 Diam Mounting Feet (Qty: 4), 315 to 560 NDA RED ANeoprene Floor Mounts (Qty: 8)</t>
        </is>
      </c>
      <c r="L11" s="216">
        <f>B11</f>
        <v/>
      </c>
    </row>
    <row r="12" ht="28.8" customHeight="1">
      <c r="A12" s="216" t="n">
        <v>46093</v>
      </c>
      <c r="B12" s="216" t="n">
        <v>46108</v>
      </c>
      <c r="C12" s="217" t="inlineStr">
        <is>
          <t>FM3902</t>
        </is>
      </c>
      <c r="D12" s="217" t="inlineStr">
        <is>
          <t>SO4448</t>
        </is>
      </c>
      <c r="E12" s="218" t="inlineStr">
        <is>
          <t>61713</t>
        </is>
      </c>
      <c r="F12" s="218" t="inlineStr">
        <is>
          <t>Chabo &amp; Joubert Air Conditioning (Pty) Ltd</t>
        </is>
      </c>
      <c r="G12" s="361" t="n">
        <v>84019</v>
      </c>
      <c r="H12" s="217" t="inlineStr">
        <is>
          <t>Sizwe Tshabalala</t>
        </is>
      </c>
      <c r="I12" s="217" t="inlineStr">
        <is>
          <t>In Progress</t>
        </is>
      </c>
      <c r="J12" s="217" t="inlineStr">
        <is>
          <t>ACCOUNT - UP TO DATE</t>
        </is>
      </c>
      <c r="K12" s="218" t="inlineStr">
        <is>
          <t>MAJAX 965 c/w 11,00KW 4P 525V - 2 Stage (Qty: 2)</t>
        </is>
      </c>
      <c r="L12" s="216">
        <f>B12</f>
        <v/>
      </c>
    </row>
    <row r="13" ht="28.8" customHeight="1">
      <c r="A13" s="216" t="n">
        <v>46094</v>
      </c>
      <c r="B13" s="216" t="n">
        <v>46108</v>
      </c>
      <c r="C13" s="217" t="inlineStr">
        <is>
          <t>FM3917</t>
        </is>
      </c>
      <c r="D13" s="217" t="inlineStr">
        <is>
          <t>SO4452</t>
        </is>
      </c>
      <c r="E13" s="218" t="inlineStr">
        <is>
          <t>PO-2603-001-FMT</t>
        </is>
      </c>
      <c r="F13" s="218" t="inlineStr">
        <is>
          <t>Hurricane Group</t>
        </is>
      </c>
      <c r="G13" s="361" t="n">
        <v>50075.83</v>
      </c>
      <c r="H13" s="217" t="inlineStr">
        <is>
          <t>Sizwe Tshabalala</t>
        </is>
      </c>
      <c r="I13" s="217" t="inlineStr">
        <is>
          <t>In Progress</t>
        </is>
      </c>
      <c r="J13" s="217" t="inlineStr">
        <is>
          <t>CASH SALE – PARTIAL</t>
        </is>
      </c>
      <c r="K13" s="218" t="inlineStr">
        <is>
          <t>MAJAX-3 500 c/w 3,00KW 2P 380V (Qty: 4), 500 Diam Counter Flange (Qty: 8)</t>
        </is>
      </c>
      <c r="L13" s="216">
        <f>B13</f>
        <v/>
      </c>
    </row>
    <row r="14">
      <c r="A14" s="216" t="n">
        <v>46058</v>
      </c>
      <c r="B14" s="216" t="n">
        <v>46112</v>
      </c>
      <c r="C14" s="217" t="inlineStr">
        <is>
          <t>FM3812</t>
        </is>
      </c>
      <c r="D14" s="217" t="inlineStr">
        <is>
          <t>SO4343</t>
        </is>
      </c>
      <c r="E14" s="218" t="inlineStr">
        <is>
          <t>DPO-1616</t>
        </is>
      </c>
      <c r="F14" s="218" t="inlineStr">
        <is>
          <t>Dueltron (Pty) Ltd</t>
        </is>
      </c>
      <c r="G14" s="361" t="n">
        <v>145269.15</v>
      </c>
      <c r="H14" s="217" t="inlineStr">
        <is>
          <t>Mashudu Tshifularo</t>
        </is>
      </c>
      <c r="I14" s="217" t="inlineStr">
        <is>
          <t>In Progress</t>
        </is>
      </c>
      <c r="J14" s="217" t="inlineStr">
        <is>
          <t>ACCOUNT - UP TO DATE</t>
        </is>
      </c>
      <c r="K14" s="218" t="inlineStr">
        <is>
          <t>MAJAX-2 BIF 1250 c/w 22,00KW 4P 380V (Qty: 1)</t>
        </is>
      </c>
      <c r="L14" s="216">
        <f>B14</f>
        <v/>
      </c>
    </row>
    <row r="15">
      <c r="A15" s="216" t="n">
        <v>46091</v>
      </c>
      <c r="B15" s="216" t="n">
        <v>46113</v>
      </c>
      <c r="C15" s="217" t="inlineStr">
        <is>
          <t>FM3907</t>
        </is>
      </c>
      <c r="D15" s="217" t="inlineStr">
        <is>
          <t>SO4440</t>
        </is>
      </c>
      <c r="E15" s="218" t="inlineStr">
        <is>
          <t>PO2228</t>
        </is>
      </c>
      <c r="F15" s="218" t="inlineStr">
        <is>
          <t>Hucra Fans</t>
        </is>
      </c>
      <c r="G15" s="361" t="n">
        <v>21208.3</v>
      </c>
      <c r="H15" s="217" t="inlineStr">
        <is>
          <t>Sales Agent Hucra Fans</t>
        </is>
      </c>
      <c r="I15" s="217" t="inlineStr">
        <is>
          <t>Ready-Dispatch</t>
        </is>
      </c>
      <c r="J15" s="217" t="inlineStr">
        <is>
          <t>ACCOUNT - UP TO DATE</t>
        </is>
      </c>
      <c r="K15" s="218" t="inlineStr">
        <is>
          <t>SCL-K05 MS-2.2kW 380V (Qty: 1)</t>
        </is>
      </c>
      <c r="L15" s="216">
        <f>B15</f>
        <v/>
      </c>
    </row>
    <row r="16" ht="28.8" customHeight="1">
      <c r="A16" s="216" t="n">
        <v>46104</v>
      </c>
      <c r="B16" s="216" t="n">
        <v>46114</v>
      </c>
      <c r="C16" s="217" t="inlineStr">
        <is>
          <t>FM3952</t>
        </is>
      </c>
      <c r="D16" s="217" t="inlineStr">
        <is>
          <t>SO4475</t>
        </is>
      </c>
      <c r="E16" s="218" t="inlineStr">
        <is>
          <t>J5383-001ORD</t>
        </is>
      </c>
      <c r="F16" s="218" t="inlineStr">
        <is>
          <t>RTS Africa Engineering (Pty) Ltd</t>
        </is>
      </c>
      <c r="G16" s="361" t="n">
        <v>34103.49</v>
      </c>
      <c r="H16" s="217" t="inlineStr">
        <is>
          <t>Simon Mokgola</t>
        </is>
      </c>
      <c r="I16" s="217" t="inlineStr">
        <is>
          <t>In Progress</t>
        </is>
      </c>
      <c r="J16" s="217" t="inlineStr">
        <is>
          <t>ACCOUNT - UP TO DATE</t>
        </is>
      </c>
      <c r="K16" s="218" t="inlineStr">
        <is>
          <t>MAJAX 400 c/w 0.75kW 2Pole 380V (Qty: 2), Data Book (Qty: 2), 400 Diam Side Screen (Qty: 2)</t>
        </is>
      </c>
      <c r="L16" s="216">
        <f>B16</f>
        <v/>
      </c>
    </row>
    <row r="17" ht="28.8" customHeight="1">
      <c r="A17" s="216" t="n">
        <v>46099</v>
      </c>
      <c r="B17" s="216" t="n">
        <v>46128</v>
      </c>
      <c r="C17" s="217" t="inlineStr">
        <is>
          <t>FM3930</t>
        </is>
      </c>
      <c r="D17" s="217" t="inlineStr">
        <is>
          <t>SO4469</t>
        </is>
      </c>
      <c r="E17" s="218" t="inlineStr">
        <is>
          <t>PO0007989 - FAN MAXFLO 710</t>
        </is>
      </c>
      <c r="F17" s="218" t="inlineStr">
        <is>
          <t>AGILITY ENGINEERING SERVICES (PTY) LTD</t>
        </is>
      </c>
      <c r="G17" s="361" t="n">
        <v>69948.06</v>
      </c>
      <c r="H17" s="217" t="inlineStr">
        <is>
          <t>Mashudu Tshifularo</t>
        </is>
      </c>
      <c r="I17" s="217" t="inlineStr">
        <is>
          <t>In Progress</t>
        </is>
      </c>
      <c r="J17" s="217" t="inlineStr">
        <is>
          <t>CASH SALE - PAID</t>
        </is>
      </c>
      <c r="K17" s="218" t="inlineStr">
        <is>
          <t>MAXFLO 710/150/10 A c/w 4,00KW 4P 380V (Qty: 2)</t>
        </is>
      </c>
      <c r="L17" s="216">
        <f>B17</f>
        <v/>
      </c>
    </row>
    <row r="18">
      <c r="A18" s="216" t="n">
        <v>45799</v>
      </c>
      <c r="B18" s="216" t="n">
        <v>46142</v>
      </c>
      <c r="C18" s="217" t="inlineStr">
        <is>
          <t>Pending</t>
        </is>
      </c>
      <c r="D18" s="217" t="inlineStr">
        <is>
          <t>SO3760</t>
        </is>
      </c>
      <c r="E18" s="218" t="inlineStr">
        <is>
          <t>nan</t>
        </is>
      </c>
      <c r="F18" s="218" t="inlineStr">
        <is>
          <t>Rey &amp; Lenferna Ltd</t>
        </is>
      </c>
      <c r="G18" s="361" t="n">
        <v>545349.34</v>
      </c>
      <c r="H18" s="217" t="inlineStr">
        <is>
          <t>Sizwe - R.O.A</t>
        </is>
      </c>
      <c r="I18" s="217" t="inlineStr">
        <is>
          <t>Pending</t>
        </is>
      </c>
      <c r="J18" s="217" t="inlineStr">
        <is>
          <t>ACCOUNT - UP TO DATE</t>
        </is>
      </c>
      <c r="K18" s="218" t="inlineStr">
        <is>
          <t>OUTSTANDING ORDER (Qty: 1)</t>
        </is>
      </c>
      <c r="L18" s="216">
        <f>B18</f>
        <v/>
      </c>
    </row>
    <row r="19">
      <c r="A19" s="216" t="n">
        <v>46052</v>
      </c>
      <c r="B19" s="216" t="n">
        <v>46142</v>
      </c>
      <c r="C19" s="217" t="inlineStr">
        <is>
          <t>Pending</t>
        </is>
      </c>
      <c r="D19" s="217" t="inlineStr">
        <is>
          <t>SO4331</t>
        </is>
      </c>
      <c r="E19" s="218" t="inlineStr">
        <is>
          <t>ORDER</t>
        </is>
      </c>
      <c r="F19" s="218" t="inlineStr">
        <is>
          <t>Rey &amp; Lenferna Ltd</t>
        </is>
      </c>
      <c r="G19" s="361" t="n">
        <v>521526.68</v>
      </c>
      <c r="H19" s="217" t="inlineStr">
        <is>
          <t>Sizwe - R.O.A</t>
        </is>
      </c>
      <c r="I19" s="217" t="inlineStr">
        <is>
          <t>Pending</t>
        </is>
      </c>
      <c r="J19" s="217" t="inlineStr">
        <is>
          <t>ACCOUNT - UP TO DATE</t>
        </is>
      </c>
      <c r="K19" s="218" t="inlineStr">
        <is>
          <t>Sales order (Qty: 1)</t>
        </is>
      </c>
      <c r="L19" s="216">
        <f>B19</f>
        <v/>
      </c>
    </row>
    <row r="20" ht="43.2" customHeight="1">
      <c r="A20" s="216" t="n">
        <v>46104</v>
      </c>
      <c r="B20" s="216" t="n">
        <v>46142</v>
      </c>
      <c r="C20" s="217" t="inlineStr">
        <is>
          <t>FM3954</t>
        </is>
      </c>
      <c r="D20" s="217" t="inlineStr">
        <is>
          <t>SO4478</t>
        </is>
      </c>
      <c r="E20" s="218" t="inlineStr">
        <is>
          <t>Plascon Flammable Paint Store</t>
        </is>
      </c>
      <c r="F20" s="218" t="inlineStr">
        <is>
          <t>Dueltron (Pty) Ltd</t>
        </is>
      </c>
      <c r="G20" s="361" t="n">
        <v>31848.1</v>
      </c>
      <c r="H20" s="217" t="inlineStr">
        <is>
          <t>Mashudu Tshifularo</t>
        </is>
      </c>
      <c r="I20" s="217" t="inlineStr">
        <is>
          <t>Pending</t>
        </is>
      </c>
      <c r="J20" s="217" t="inlineStr">
        <is>
          <t>ACCOUNT - UP TO DATE</t>
        </is>
      </c>
      <c r="K20" s="218" t="inlineStr">
        <is>
          <t>MAXFLO 560/150/10 P c/w 0,55KW 4P 380V-Flame Proof (Qty: 1), 560 Diam Silencer 1.5D Podded (Qty: 2), 560 Diam Counter Flange (Qty: 2), 560 Diam Mounting Feet (Qty: 4)</t>
        </is>
      </c>
      <c r="L20" s="216">
        <f>B20</f>
        <v/>
      </c>
    </row>
    <row r="21">
      <c r="A21" s="216" t="n">
        <v>46069</v>
      </c>
      <c r="B21" s="216" t="n">
        <v>46157</v>
      </c>
      <c r="C21" s="217" t="inlineStr">
        <is>
          <t>FM3841</t>
        </is>
      </c>
      <c r="D21" s="217" t="inlineStr">
        <is>
          <t>SO4372</t>
        </is>
      </c>
      <c r="E21" s="218" t="inlineStr">
        <is>
          <t>PO2213</t>
        </is>
      </c>
      <c r="F21" s="218" t="inlineStr">
        <is>
          <t>Hucra Fans</t>
        </is>
      </c>
      <c r="G21" s="361" t="n">
        <v>379993.35</v>
      </c>
      <c r="H21" s="217" t="inlineStr">
        <is>
          <t>Sales Agent Hucra Fans</t>
        </is>
      </c>
      <c r="I21" s="217" t="inlineStr">
        <is>
          <t>In Progress</t>
        </is>
      </c>
      <c r="J21" s="217" t="inlineStr">
        <is>
          <t>ACCOUNT - UP TO DATE</t>
        </is>
      </c>
      <c r="K21" s="218" t="inlineStr">
        <is>
          <t>SCL K11 MS - 11.0kW - 525V (Qty: 3)</t>
        </is>
      </c>
      <c r="L21" s="216">
        <f>B21</f>
        <v/>
      </c>
    </row>
    <row r="22">
      <c r="A22" s="216" t="n">
        <v>46077</v>
      </c>
      <c r="B22" s="216" t="n">
        <v>46157</v>
      </c>
      <c r="C22" s="217" t="inlineStr">
        <is>
          <t>FM3874</t>
        </is>
      </c>
      <c r="D22" s="217" t="inlineStr">
        <is>
          <t>SO4404</t>
        </is>
      </c>
      <c r="E22" s="218" t="inlineStr">
        <is>
          <t>PO2174</t>
        </is>
      </c>
      <c r="F22" s="218" t="inlineStr">
        <is>
          <t>ITD North Pty Ltd</t>
        </is>
      </c>
      <c r="G22" s="361" t="n">
        <v>94247.10000000001</v>
      </c>
      <c r="H22" s="217" t="inlineStr">
        <is>
          <t>Mashudu Tshifularo</t>
        </is>
      </c>
      <c r="I22" s="217" t="inlineStr">
        <is>
          <t>In Progress</t>
        </is>
      </c>
      <c r="J22" s="217" t="inlineStr">
        <is>
          <t>CASH SALE – PARTIAL</t>
        </is>
      </c>
      <c r="K22" s="218" t="inlineStr">
        <is>
          <t>RDH 710 K2 - Nicotra Fan (Qty: 1)</t>
        </is>
      </c>
      <c r="L22" s="216">
        <f>B22</f>
        <v/>
      </c>
    </row>
    <row r="23">
      <c r="F23" s="220" t="inlineStr">
        <is>
          <t>Total Value (All):</t>
        </is>
      </c>
      <c r="G23" s="362">
        <f>SUM(G3:G22)</f>
        <v/>
      </c>
    </row>
    <row r="25">
      <c r="F25" s="222" t="inlineStr">
        <is>
          <t>BREAKDOWN</t>
        </is>
      </c>
    </row>
    <row r="26">
      <c r="F26" t="inlineStr">
        <is>
          <t>Cash Sale (March):</t>
        </is>
      </c>
      <c r="G26" s="342">
        <f>SUMIFS(G3:G22, J3:J22, "*CASH SALE*", L3:L22, "&gt;="&amp;EOMONTH(TODAY(),-1)+1, L3:L22, "&lt;="&amp;EOMONTH(TODAY(),0))</f>
        <v/>
      </c>
      <c r="I26" t="inlineStr">
        <is>
          <t>Cash Sale (April):</t>
        </is>
      </c>
      <c r="J26" s="342">
        <f>SUMIFS(G3:G22, J3:J22, "*CASH SALE*", L3:L22, "&gt;="&amp;EOMONTH(TODAY(),0)+1, L3:L22, "&lt;="&amp;EOMONTH(TODAY(),1))</f>
        <v/>
      </c>
    </row>
    <row r="27">
      <c r="F27" t="inlineStr">
        <is>
          <t>Account (March):</t>
        </is>
      </c>
      <c r="G27" s="342">
        <f>SUMIFS(G3:G22, J3:J22, "*ACCOUNT*", L3:L22, "&gt;="&amp;EOMONTH(TODAY(),-1)+1, L3:L22, "&lt;="&amp;EOMONTH(TODAY(),0))</f>
        <v/>
      </c>
      <c r="I27" t="inlineStr">
        <is>
          <t>Account (April):</t>
        </is>
      </c>
      <c r="J27" s="342">
        <f>SUMIFS(G3:G22, J3:J22, "*ACCOUNT*", L3:L22, "&gt;="&amp;EOMONTH(TODAY(),0)+1, L3:L22, "&lt;="&amp;EOMONTH(TODAY(),1))</f>
        <v/>
      </c>
    </row>
    <row r="30" ht="28.8" customHeight="1">
      <c r="A30" s="211" t="inlineStr">
        <is>
          <t>Date</t>
        </is>
      </c>
      <c r="B30" s="211" t="inlineStr">
        <is>
          <t>Delivery Date</t>
        </is>
      </c>
      <c r="C30" s="211" t="inlineStr">
        <is>
          <t>Job Number</t>
        </is>
      </c>
      <c r="D30" s="211" t="inlineStr">
        <is>
          <t>SO Number</t>
        </is>
      </c>
      <c r="E30" s="211" t="inlineStr">
        <is>
          <t>Customer Ref.</t>
        </is>
      </c>
      <c r="F30" s="211" t="inlineStr">
        <is>
          <t>Customer</t>
        </is>
      </c>
      <c r="G30" s="211" t="inlineStr">
        <is>
          <t>Total</t>
        </is>
      </c>
      <c r="H30" s="211" t="inlineStr">
        <is>
          <t>Sales Rep</t>
        </is>
      </c>
      <c r="I30" s="211" t="inlineStr">
        <is>
          <t>Status</t>
        </is>
      </c>
      <c r="J30" s="211" t="inlineStr">
        <is>
          <t>Payment Status</t>
        </is>
      </c>
      <c r="K30" s="211" t="inlineStr">
        <is>
          <t>Comments</t>
        </is>
      </c>
    </row>
    <row r="31">
      <c r="A31" s="223" t="n">
        <v>46056</v>
      </c>
      <c r="B31" s="223" t="n">
        <v>46105.36077537037</v>
      </c>
      <c r="C31" s="224" t="inlineStr">
        <is>
          <t>FM3808</t>
        </is>
      </c>
      <c r="D31" s="224" t="inlineStr">
        <is>
          <t>SO4339</t>
        </is>
      </c>
      <c r="E31" s="224" t="inlineStr">
        <is>
          <t>PO549NN</t>
        </is>
      </c>
      <c r="F31" s="224" t="inlineStr">
        <is>
          <t>Intervent-Universal (Pty) Ltd</t>
        </is>
      </c>
      <c r="G31" s="361" t="n">
        <v>22816</v>
      </c>
      <c r="H31" s="224" t="inlineStr">
        <is>
          <t>Simon Mokgola</t>
        </is>
      </c>
      <c r="I31" s="224" t="inlineStr">
        <is>
          <t>Ready-Dispatch</t>
        </is>
      </c>
      <c r="J31" s="224" t="inlineStr">
        <is>
          <t>CASH SALE - UNPAID</t>
        </is>
      </c>
      <c r="K31" s="218" t="inlineStr">
        <is>
          <t>Awaiting payment - Client not taking calls (Simon)</t>
        </is>
      </c>
    </row>
    <row r="32">
      <c r="A32" s="223" t="n">
        <v>46094</v>
      </c>
      <c r="B32" s="223" t="n">
        <v>46105.36077537037</v>
      </c>
      <c r="C32" s="224" t="inlineStr">
        <is>
          <t>FM3891</t>
        </is>
      </c>
      <c r="D32" s="224" t="inlineStr">
        <is>
          <t>SO4455</t>
        </is>
      </c>
      <c r="E32" s="224" t="inlineStr">
        <is>
          <t>POR80557</t>
        </is>
      </c>
      <c r="F32" s="224" t="inlineStr">
        <is>
          <t>Venwood and Baker Electrical</t>
        </is>
      </c>
      <c r="G32" s="361" t="n">
        <v>137207.26</v>
      </c>
      <c r="H32" s="224" t="inlineStr">
        <is>
          <t>Sizwe Tshabalala</t>
        </is>
      </c>
      <c r="I32" s="224" t="inlineStr">
        <is>
          <t>In Progress</t>
        </is>
      </c>
      <c r="J32" s="224" t="inlineStr">
        <is>
          <t>CASH SALE - PAID</t>
        </is>
      </c>
      <c r="K32" s="218" t="n"/>
    </row>
    <row r="33">
      <c r="A33" s="223" t="n">
        <v>46098</v>
      </c>
      <c r="B33" s="223" t="n">
        <v>46105.36077537037</v>
      </c>
      <c r="C33" s="224" t="inlineStr">
        <is>
          <t>FM3926</t>
        </is>
      </c>
      <c r="D33" s="224" t="inlineStr">
        <is>
          <t>SO4463</t>
        </is>
      </c>
      <c r="E33" s="224" t="inlineStr">
        <is>
          <t>PO3378</t>
        </is>
      </c>
      <c r="F33" s="224" t="inlineStr">
        <is>
          <t>systeco Pty ltd</t>
        </is>
      </c>
      <c r="G33" s="361" t="n">
        <v>8128.1</v>
      </c>
      <c r="H33" s="224" t="inlineStr">
        <is>
          <t>Sizwe Tshabalala</t>
        </is>
      </c>
      <c r="I33" s="224" t="inlineStr">
        <is>
          <t>In Progress</t>
        </is>
      </c>
      <c r="J33" s="224" t="inlineStr">
        <is>
          <t>CASH SALE - PAID</t>
        </is>
      </c>
      <c r="K33" s="218" t="n"/>
    </row>
    <row r="34">
      <c r="F34" s="220" t="inlineStr">
        <is>
          <t>Due Today - Total:</t>
        </is>
      </c>
      <c r="G34" s="362">
        <f>SUM(G31:G33)</f>
        <v/>
      </c>
    </row>
    <row r="36">
      <c r="F36" s="220" t="inlineStr">
        <is>
          <t>Ready-Dispatch:</t>
        </is>
      </c>
      <c r="G36" s="362">
        <f>SUMIFS(G3:G22, I3:I22, "*Ready*Dispatch*")</f>
        <v/>
      </c>
    </row>
  </sheetData>
  <pageMargins left="0.25" right="0.25" top="0.75" bottom="0.75" header="0.3" footer="0.3"/>
  <pageSetup orientation="landscape" scale="56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zoomScale="80" zoomScaleNormal="80" workbookViewId="0">
      <pane xSplit="4" ySplit="2" topLeftCell="E14" activePane="bottomRight" state="frozen"/>
      <selection pane="topRight" activeCell="A1" sqref="A1"/>
      <selection pane="bottomLeft" activeCell="A1" sqref="A1"/>
      <selection pane="bottomRight" activeCell="J18" sqref="J18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0" customWidth="1" min="10" max="10"/>
    <col width="50" customWidth="1" min="11" max="11"/>
    <col width="12" customWidth="1" min="12" max="12"/>
  </cols>
  <sheetData>
    <row r="1" ht="18" customHeight="1">
      <c r="A1" s="233" t="inlineStr">
        <is>
          <t>SALES ORDER REPORT</t>
        </is>
      </c>
      <c r="K1" s="234">
        <f>TODAY()</f>
        <v/>
      </c>
    </row>
    <row r="2" ht="28.8" customHeight="1">
      <c r="A2" s="235" t="inlineStr">
        <is>
          <t>Date</t>
        </is>
      </c>
      <c r="B2" s="235" t="inlineStr">
        <is>
          <t>Delivery Date</t>
        </is>
      </c>
      <c r="C2" s="235" t="inlineStr">
        <is>
          <t>Job Number</t>
        </is>
      </c>
      <c r="D2" s="235" t="inlineStr">
        <is>
          <t>SO Number</t>
        </is>
      </c>
      <c r="E2" s="235" t="inlineStr">
        <is>
          <t>Customer Ref.</t>
        </is>
      </c>
      <c r="F2" s="235" t="inlineStr">
        <is>
          <t>Customer</t>
        </is>
      </c>
      <c r="G2" s="235" t="inlineStr">
        <is>
          <t>Total</t>
        </is>
      </c>
      <c r="H2" s="235" t="inlineStr">
        <is>
          <t>Sales Rep</t>
        </is>
      </c>
      <c r="I2" s="235" t="inlineStr">
        <is>
          <t>Status</t>
        </is>
      </c>
      <c r="J2" s="235" t="inlineStr">
        <is>
          <t>Payment Status</t>
        </is>
      </c>
      <c r="K2" s="235" t="inlineStr">
        <is>
          <t>Details</t>
        </is>
      </c>
      <c r="L2" s="235" t="inlineStr">
        <is>
          <t>Planned Delivery Date</t>
        </is>
      </c>
    </row>
    <row r="3">
      <c r="A3" s="225" t="n">
        <v>46056</v>
      </c>
      <c r="B3" s="225" t="n">
        <v>46106.41427074074</v>
      </c>
      <c r="C3" s="226" t="inlineStr">
        <is>
          <t>FM3808</t>
        </is>
      </c>
      <c r="D3" s="226" t="inlineStr">
        <is>
          <t>SO4339</t>
        </is>
      </c>
      <c r="E3" s="227" t="inlineStr">
        <is>
          <t>PO549NN</t>
        </is>
      </c>
      <c r="F3" s="227" t="inlineStr">
        <is>
          <t>Intervent-Universal (Pty) Ltd</t>
        </is>
      </c>
      <c r="G3" s="363" t="n">
        <v>22816</v>
      </c>
      <c r="H3" s="226" t="inlineStr">
        <is>
          <t>Simon Mokgola</t>
        </is>
      </c>
      <c r="I3" s="226" t="inlineStr">
        <is>
          <t>Ready-Dispatch</t>
        </is>
      </c>
      <c r="J3" s="226" t="inlineStr">
        <is>
          <t>CASH SALE - UNPAID</t>
        </is>
      </c>
      <c r="K3" s="227" t="inlineStr">
        <is>
          <t>RAD 250 (Qty: 8)</t>
        </is>
      </c>
      <c r="L3" s="225">
        <f>B3</f>
        <v/>
      </c>
    </row>
    <row r="4">
      <c r="A4" s="225" t="n">
        <v>45981</v>
      </c>
      <c r="B4" s="225" t="n">
        <v>46106.41427074074</v>
      </c>
      <c r="C4" s="226" t="inlineStr">
        <is>
          <t>FM3676</t>
        </is>
      </c>
      <c r="D4" s="226" t="inlineStr">
        <is>
          <t>SO4204</t>
        </is>
      </c>
      <c r="E4" s="227" t="inlineStr">
        <is>
          <t>B137477</t>
        </is>
      </c>
      <c r="F4" s="227" t="inlineStr">
        <is>
          <t>Vescotech</t>
        </is>
      </c>
      <c r="G4" s="363" t="n">
        <v>22563</v>
      </c>
      <c r="H4" s="226" t="inlineStr">
        <is>
          <t>Sizwe Tshabalala</t>
        </is>
      </c>
      <c r="I4" s="226" t="inlineStr">
        <is>
          <t>Ready-Dispatch</t>
        </is>
      </c>
      <c r="J4" s="226" t="inlineStr">
        <is>
          <t>CASH SALE - PAID</t>
        </is>
      </c>
      <c r="K4" s="227" t="inlineStr">
        <is>
          <t>HCT-40-4T-0.33/PL ATEX (Qty: 1)</t>
        </is>
      </c>
      <c r="L4" s="225">
        <f>B4</f>
        <v/>
      </c>
    </row>
    <row r="5">
      <c r="A5" s="225" t="n">
        <v>46094</v>
      </c>
      <c r="B5" s="225" t="n">
        <v>46106.41427074074</v>
      </c>
      <c r="C5" s="226" t="inlineStr">
        <is>
          <t>FM3891</t>
        </is>
      </c>
      <c r="D5" s="226" t="inlineStr">
        <is>
          <t>SO4455</t>
        </is>
      </c>
      <c r="E5" s="227" t="inlineStr">
        <is>
          <t>POR80557</t>
        </is>
      </c>
      <c r="F5" s="227" t="inlineStr">
        <is>
          <t>Venwood and Baker Electrical</t>
        </is>
      </c>
      <c r="G5" s="363" t="n">
        <v>137207.26</v>
      </c>
      <c r="H5" s="226" t="inlineStr">
        <is>
          <t>Sizwe Tshabalala</t>
        </is>
      </c>
      <c r="I5" s="226" t="inlineStr">
        <is>
          <t>Ready-Dispatch</t>
        </is>
      </c>
      <c r="J5" s="226" t="inlineStr">
        <is>
          <t>CASH SALE - PAID</t>
        </is>
      </c>
      <c r="K5" s="227" t="inlineStr">
        <is>
          <t>MAJAX-2 800 c/w 3,00KW 4P 525V (Qty: 6)</t>
        </is>
      </c>
      <c r="L5" s="225">
        <f>B5</f>
        <v/>
      </c>
    </row>
    <row r="6" ht="57.6" customHeight="1">
      <c r="A6" s="225" t="n">
        <v>46052</v>
      </c>
      <c r="B6" s="225" t="n">
        <v>46106.41427074074</v>
      </c>
      <c r="C6" s="226" t="inlineStr">
        <is>
          <t>FM3801</t>
        </is>
      </c>
      <c r="D6" s="226" t="inlineStr">
        <is>
          <t>SO4330</t>
        </is>
      </c>
      <c r="E6" s="227" t="inlineStr">
        <is>
          <t>PO0000573 - JHB FORENSIC PATHOLOGY LAB</t>
        </is>
      </c>
      <c r="F6" s="227" t="inlineStr">
        <is>
          <t>ST AIR SERVICES AND MAINTENANCE (PTY) LTD</t>
        </is>
      </c>
      <c r="G6" s="363" t="n">
        <v>159969.6</v>
      </c>
      <c r="H6" s="226" t="inlineStr">
        <is>
          <t>Simon Mokgola</t>
        </is>
      </c>
      <c r="I6" s="226" t="inlineStr">
        <is>
          <t>In Progress</t>
        </is>
      </c>
      <c r="J6" s="226" t="inlineStr">
        <is>
          <t>ACCOUNT - UP TO DATE</t>
        </is>
      </c>
      <c r="K6" s="227" t="inlineStr">
        <is>
          <t>Fumax 800 32.F.8 c/w 4 kW 4 Pole 380V (SEF 13,14,15 and 16) (Qty: 4), Inlet Cone (Qty: 4), 800 Diam Counter Flange (Qty: 4), 800 Diam Mounting Feet (Qty: 8), 630 to 1000 NDB GREEN Neoprene Floor Mounts (Qty: 16)</t>
        </is>
      </c>
      <c r="L6" s="225">
        <f>B6</f>
        <v/>
      </c>
    </row>
    <row r="7" ht="115.2" customHeight="1">
      <c r="A7" s="229" t="n">
        <v>46094</v>
      </c>
      <c r="B7" s="229" t="n">
        <v>46107</v>
      </c>
      <c r="C7" s="230" t="inlineStr">
        <is>
          <t>FM3917</t>
        </is>
      </c>
      <c r="D7" s="230" t="inlineStr">
        <is>
          <t>SO4452</t>
        </is>
      </c>
      <c r="E7" s="231" t="inlineStr">
        <is>
          <t>PO-2603-001-FMT</t>
        </is>
      </c>
      <c r="F7" s="231" t="inlineStr">
        <is>
          <t>Hurricane Group</t>
        </is>
      </c>
      <c r="G7" s="364" t="n">
        <v>50075.83</v>
      </c>
      <c r="H7" s="230" t="inlineStr">
        <is>
          <t>Sizwe Tshabalala</t>
        </is>
      </c>
      <c r="I7" s="230" t="inlineStr">
        <is>
          <t>In Progress</t>
        </is>
      </c>
      <c r="J7" s="230" t="inlineStr">
        <is>
          <t>CASH SALE – PARTIAL</t>
        </is>
      </c>
      <c r="K7" s="231" t="inlineStr">
        <is>
          <t>MAJAX-3 500 c/w 3,00KW 2P 380V (Qty: 4), 500 Diam Counter Flange (Qty: 8)</t>
        </is>
      </c>
      <c r="L7" s="229">
        <f>B7</f>
        <v/>
      </c>
    </row>
    <row r="8" ht="28.8" customHeight="1">
      <c r="A8" s="229" t="n">
        <v>46106</v>
      </c>
      <c r="B8" s="229" t="n">
        <v>46108</v>
      </c>
      <c r="C8" s="230" t="inlineStr">
        <is>
          <t>FM3958</t>
        </is>
      </c>
      <c r="D8" s="230" t="inlineStr">
        <is>
          <t>SO4482</t>
        </is>
      </c>
      <c r="E8" s="231" t="inlineStr">
        <is>
          <t>nan</t>
        </is>
      </c>
      <c r="F8" s="231" t="inlineStr">
        <is>
          <t>ZEFS More Vision</t>
        </is>
      </c>
      <c r="G8" s="364" t="n">
        <v>9275.9</v>
      </c>
      <c r="H8" s="230" t="inlineStr">
        <is>
          <t>Mashudu Tshifularo</t>
        </is>
      </c>
      <c r="I8" s="230" t="inlineStr">
        <is>
          <t>In Progress</t>
        </is>
      </c>
      <c r="J8" s="230" t="inlineStr">
        <is>
          <t>CASH SALE - PAID</t>
        </is>
      </c>
      <c r="K8" s="231" t="inlineStr">
        <is>
          <t>MAXFLO 560/150/10 P c/w 0,55KW 4P 380V (Qty: 1), 560 Diam Counter Flange (Qty: 2), 315 to 560 NDA RED ANeoprene Floor Mounts (Qty: 6), 560 Diam Mounting Feet (Qty: 4)</t>
        </is>
      </c>
      <c r="L8" s="229">
        <f>B8</f>
        <v/>
      </c>
    </row>
    <row r="9" ht="28.8" customHeight="1">
      <c r="A9" s="229" t="n">
        <v>46093</v>
      </c>
      <c r="B9" s="229" t="n">
        <v>46112</v>
      </c>
      <c r="C9" s="230" t="inlineStr">
        <is>
          <t>FM3902</t>
        </is>
      </c>
      <c r="D9" s="230" t="inlineStr">
        <is>
          <t>SO4448</t>
        </is>
      </c>
      <c r="E9" s="231" t="inlineStr">
        <is>
          <t>61713</t>
        </is>
      </c>
      <c r="F9" s="231" t="inlineStr">
        <is>
          <t>Chabo &amp; Joubert Air Conditioning (Pty) Ltd</t>
        </is>
      </c>
      <c r="G9" s="364" t="n">
        <v>84019</v>
      </c>
      <c r="H9" s="230" t="inlineStr">
        <is>
          <t>Sizwe Tshabalala</t>
        </is>
      </c>
      <c r="I9" s="230" t="inlineStr">
        <is>
          <t>In Progress</t>
        </is>
      </c>
      <c r="J9" s="230" t="inlineStr">
        <is>
          <t>ACCOUNT - UP TO DATE</t>
        </is>
      </c>
      <c r="K9" s="231" t="inlineStr">
        <is>
          <t>MAJAX 965 c/w 11,00KW 4P 525V - 2 Stage (Qty: 2)</t>
        </is>
      </c>
      <c r="L9" s="229">
        <f>B9</f>
        <v/>
      </c>
    </row>
    <row r="10" ht="57.6" customHeight="1">
      <c r="A10" s="229" t="n">
        <v>46058</v>
      </c>
      <c r="B10" s="229" t="n">
        <v>46112</v>
      </c>
      <c r="C10" s="230" t="inlineStr">
        <is>
          <t>FM3812</t>
        </is>
      </c>
      <c r="D10" s="230" t="inlineStr">
        <is>
          <t>SO4343</t>
        </is>
      </c>
      <c r="E10" s="231" t="inlineStr">
        <is>
          <t>DPO-1616</t>
        </is>
      </c>
      <c r="F10" s="231" t="inlineStr">
        <is>
          <t>Dueltron (Pty) Ltd</t>
        </is>
      </c>
      <c r="G10" s="364" t="n">
        <v>145269.15</v>
      </c>
      <c r="H10" s="230" t="inlineStr">
        <is>
          <t>Mashudu Tshifularo</t>
        </is>
      </c>
      <c r="I10" s="230" t="inlineStr">
        <is>
          <t>In Progress</t>
        </is>
      </c>
      <c r="J10" s="230" t="inlineStr">
        <is>
          <t>ACCOUNT - UP TO DATE</t>
        </is>
      </c>
      <c r="K10" s="231" t="inlineStr">
        <is>
          <t>MAJAX-2 BIF 1250 c/w 22,00KW 4P 380V (Qty: 1)</t>
        </is>
      </c>
      <c r="L10" s="229">
        <f>B10</f>
        <v/>
      </c>
    </row>
    <row r="11" ht="28.8" customHeight="1">
      <c r="A11" s="229" t="n">
        <v>46105</v>
      </c>
      <c r="B11" s="229" t="n">
        <v>46112</v>
      </c>
      <c r="C11" s="230" t="inlineStr">
        <is>
          <t>FM3956</t>
        </is>
      </c>
      <c r="D11" s="230" t="inlineStr">
        <is>
          <t>SO4480</t>
        </is>
      </c>
      <c r="E11" s="231" t="inlineStr">
        <is>
          <t>PO56990</t>
        </is>
      </c>
      <c r="F11" s="231" t="inlineStr">
        <is>
          <t>Dual Lighting</t>
        </is>
      </c>
      <c r="G11" s="364" t="n">
        <v>29205.4</v>
      </c>
      <c r="H11" s="230" t="inlineStr">
        <is>
          <t>Sizwe Tshabalala</t>
        </is>
      </c>
      <c r="I11" s="230" t="inlineStr">
        <is>
          <t>Pending</t>
        </is>
      </c>
      <c r="J11" s="230" t="n"/>
      <c r="K11" s="231" t="inlineStr">
        <is>
          <t>E 304 T ATEX II 2G/D h T3/125 X Gb/Db (Qty: 2)</t>
        </is>
      </c>
      <c r="L11" s="229">
        <f>B11</f>
        <v/>
      </c>
    </row>
    <row r="12" ht="28.8" customHeight="1">
      <c r="A12" s="229" t="n">
        <v>46091</v>
      </c>
      <c r="B12" s="229" t="n">
        <v>46113</v>
      </c>
      <c r="C12" s="230" t="inlineStr">
        <is>
          <t>FM3907</t>
        </is>
      </c>
      <c r="D12" s="230" t="inlineStr">
        <is>
          <t>SO4440</t>
        </is>
      </c>
      <c r="E12" s="231" t="inlineStr">
        <is>
          <t>PO2228</t>
        </is>
      </c>
      <c r="F12" s="231" t="inlineStr">
        <is>
          <t>Hucra Fans</t>
        </is>
      </c>
      <c r="G12" s="364" t="n">
        <v>21208.3</v>
      </c>
      <c r="H12" s="230" t="inlineStr">
        <is>
          <t>Sales Agent Hucra Fans</t>
        </is>
      </c>
      <c r="I12" s="230" t="inlineStr">
        <is>
          <t>Ready-Dispatch</t>
        </is>
      </c>
      <c r="J12" s="230" t="inlineStr">
        <is>
          <t>ACCOUNT - UP TO DATE</t>
        </is>
      </c>
      <c r="K12" s="231" t="inlineStr">
        <is>
          <t>SCL-K05 MS-2.2kW 380V (Qty: 1)</t>
        </is>
      </c>
      <c r="L12" s="229">
        <f>B12</f>
        <v/>
      </c>
    </row>
    <row r="13" ht="28.8" customHeight="1">
      <c r="A13" s="229" t="n">
        <v>46104</v>
      </c>
      <c r="B13" s="229" t="n">
        <v>46114</v>
      </c>
      <c r="C13" s="230" t="inlineStr">
        <is>
          <t>FM3952</t>
        </is>
      </c>
      <c r="D13" s="230" t="inlineStr">
        <is>
          <t>SO4475</t>
        </is>
      </c>
      <c r="E13" s="231" t="inlineStr">
        <is>
          <t>J5383-001ORD</t>
        </is>
      </c>
      <c r="F13" s="231" t="inlineStr">
        <is>
          <t>RTS Africa Engineering (Pty) Ltd</t>
        </is>
      </c>
      <c r="G13" s="364" t="n">
        <v>34103.49</v>
      </c>
      <c r="H13" s="230" t="inlineStr">
        <is>
          <t>Simon Mokgola</t>
        </is>
      </c>
      <c r="I13" s="230" t="inlineStr">
        <is>
          <t>In Progress</t>
        </is>
      </c>
      <c r="J13" s="230" t="inlineStr">
        <is>
          <t>ACCOUNT - UP TO DATE</t>
        </is>
      </c>
      <c r="K13" s="231" t="inlineStr">
        <is>
          <t>MAJAX 400 c/w 0.75kW 2Pole 380V (Qty: 2), Data Book (Qty: 2), 400 Diam Side Screen (Qty: 2)</t>
        </is>
      </c>
      <c r="L13" s="229">
        <f>B13</f>
        <v/>
      </c>
    </row>
    <row r="14" ht="28.8" customHeight="1">
      <c r="A14" s="229" t="n">
        <v>46077</v>
      </c>
      <c r="B14" s="229" t="n">
        <v>46120</v>
      </c>
      <c r="C14" s="230" t="inlineStr">
        <is>
          <t>FM3876</t>
        </is>
      </c>
      <c r="D14" s="230" t="inlineStr">
        <is>
          <t>SO4405</t>
        </is>
      </c>
      <c r="E14" s="231" t="inlineStr">
        <is>
          <t>FM3875 - FM3876</t>
        </is>
      </c>
      <c r="F14" s="231" t="inlineStr">
        <is>
          <t>BMT SMART SOLUTIONS (PTY) LTD</t>
        </is>
      </c>
      <c r="G14" s="364" t="n">
        <v>52783.16</v>
      </c>
      <c r="H14" s="230" t="inlineStr">
        <is>
          <t>Simon Mokgola</t>
        </is>
      </c>
      <c r="I14" s="230" t="inlineStr">
        <is>
          <t>In Progress</t>
        </is>
      </c>
      <c r="J14" s="230" t="inlineStr">
        <is>
          <t>ACCOUNT - UP TO DATE</t>
        </is>
      </c>
      <c r="K14" s="231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2), 560 Diam Mounting Feet (Qty: 4), 315 to 560 NDA RED ANeoprene Floor Mounts (Qty: 8)</t>
        </is>
      </c>
      <c r="L14" s="229">
        <f>B14</f>
        <v/>
      </c>
    </row>
    <row r="15" ht="28.8" customHeight="1">
      <c r="A15" s="229" t="n">
        <v>46099</v>
      </c>
      <c r="B15" s="229" t="n">
        <v>46128</v>
      </c>
      <c r="C15" s="230" t="inlineStr">
        <is>
          <t>FM3930</t>
        </is>
      </c>
      <c r="D15" s="230" t="inlineStr">
        <is>
          <t>SO4469</t>
        </is>
      </c>
      <c r="E15" s="231" t="inlineStr">
        <is>
          <t>PO0007989 - FAN MAXFLO 710</t>
        </is>
      </c>
      <c r="F15" s="231" t="inlineStr">
        <is>
          <t>AGILITY ENGINEERING SERVICES (PTY) LTD</t>
        </is>
      </c>
      <c r="G15" s="364" t="n">
        <v>69948.06</v>
      </c>
      <c r="H15" s="230" t="inlineStr">
        <is>
          <t>Mashudu Tshifularo</t>
        </is>
      </c>
      <c r="I15" s="230" t="inlineStr">
        <is>
          <t>In Progress</t>
        </is>
      </c>
      <c r="J15" s="230" t="inlineStr">
        <is>
          <t>CASH SALE - PAID</t>
        </is>
      </c>
      <c r="K15" s="231" t="inlineStr">
        <is>
          <t>MAXFLO 710/150/10 A c/w 4,00KW 4P 380V (Qty: 2)</t>
        </is>
      </c>
      <c r="L15" s="229">
        <f>B15</f>
        <v/>
      </c>
    </row>
    <row r="16" ht="57.6" customHeight="1">
      <c r="A16" s="229" t="n">
        <v>46052</v>
      </c>
      <c r="B16" s="229" t="n">
        <v>46129</v>
      </c>
      <c r="C16" s="230" t="inlineStr">
        <is>
          <t>FM3937</t>
        </is>
      </c>
      <c r="D16" s="230" t="inlineStr">
        <is>
          <t>SO4331</t>
        </is>
      </c>
      <c r="E16" s="231" t="inlineStr">
        <is>
          <t>PO 62844</t>
        </is>
      </c>
      <c r="F16" s="231" t="inlineStr">
        <is>
          <t>Rey &amp; Lenferna Ltd</t>
        </is>
      </c>
      <c r="G16" s="364" t="n">
        <v>1086604.31</v>
      </c>
      <c r="H16" s="230" t="inlineStr">
        <is>
          <t>Sizwe - R.O.A</t>
        </is>
      </c>
      <c r="I16" s="230" t="inlineStr">
        <is>
          <t>Pending</t>
        </is>
      </c>
      <c r="J16" s="230" t="inlineStr">
        <is>
          <t>ACCOUNT - UP TO DATE</t>
        </is>
      </c>
      <c r="K16" s="231" t="inlineStr">
        <is>
          <t>MAXFLO 400/150/10 A c/w 0,75KW 2P 380V, incl. Accessories, MAXFLO 500/150/10 A c/w 3KW 2P 380V, MAXFLO 560/250/14 A c/w 0,75KW 4P 380V, MAXFLO 560/250/14 A c/w 1,50KW 4P 380V, MAXFLO 560/250/14 A c/w 2,20KW 4P 380V, MAXFLO 630/250/14 A c/w 2,20KW 4P 380V, MAXFLO 630/250/14 A c/w 2,20KW 4P 380V, MAXFLO 630/250/14 A c/w 3,00KW 4P 380V, MAXFLO 630/250/14 A c/w 3,00KW 4P 380V, MAXFLO 710/250/14 A c/w 4,00KW 4P 380V, MAXFLO 800/250/14 A c/w 3,00KW 4P 380V, MAXFLO 900/250/14 A c/w 3,00KW 4P 380V, MAXFLO 900/250/14 A c/w 5,50KW 4P 380V, MAXFLO 900/250/14 A c/w 5,50KW 4P 380V, 3 x HC-25-4M/H w/ Louvre, 2 x HC-40-4M/H w/ Louvre, HC-40-4M/H w/ Louvre, 4 x LINEO 315 QUIET, 3 x LINEO 200 QUIET, LINEO 250 QUIET, LINEO 150 QUIET, LINEO 100 QUIET, RECT ATT - 1000x500x600mm Long, RECT ATT - 1100x1000x600mm Long, RECT ATT - 1200x1000x600mm Long, RECT ATT - 1200x550x600mm Long, RECT ATT - 1400x400x600mm Long, RECT ATT - 1500x700x600mm Long, RECT ATT - 1600x550x600mm Long, RECT ATT - 1600x800x600mm Long, RECT ATT - 600x600x600mm Long, RECT ATT - 650x650x600mm Long, RECT ATT - 750x400x600mm Long, RECT ATT -1125x295x600mm Long, RECT ATT -1400x600x600mm Long</t>
        </is>
      </c>
      <c r="L16" s="229">
        <f>B16</f>
        <v/>
      </c>
    </row>
    <row r="17" ht="28.8" customHeight="1">
      <c r="A17" s="229" t="n">
        <v>46105</v>
      </c>
      <c r="B17" s="229" t="n">
        <v>46132</v>
      </c>
      <c r="C17" s="230" t="inlineStr">
        <is>
          <t>FM3955</t>
        </is>
      </c>
      <c r="D17" s="230" t="inlineStr">
        <is>
          <t>SO4479</t>
        </is>
      </c>
      <c r="E17" s="231" t="inlineStr">
        <is>
          <t>PO0000606 - PO11 - JHB FORENSIC PATHOLOGY LAB</t>
        </is>
      </c>
      <c r="F17" s="231" t="inlineStr">
        <is>
          <t>ST AIR SERVICES AND MAINTENANCE (PTY) LTD</t>
        </is>
      </c>
      <c r="G17" s="364" t="n">
        <v>54407.65</v>
      </c>
      <c r="H17" s="230" t="inlineStr">
        <is>
          <t>Simon Mokgola</t>
        </is>
      </c>
      <c r="I17" s="230" t="inlineStr">
        <is>
          <t>Pending</t>
        </is>
      </c>
      <c r="J17" s="230" t="inlineStr">
        <is>
          <t>ACCOUNT - UP TO DATE</t>
        </is>
      </c>
      <c r="K17" s="231" t="inlineStr">
        <is>
          <t>Fumax 1000.32.F. c/w 7.5 kW 4 Pole 380 V Motor (SEF 10) (Qty: 1), Majax Inlet Cone c/w Screen (Qty: 1), 1000 Diam Counter Flange (Qty: 1), 1000 Diam Mounting Feet (Qty: 2), 630 to 1000 NDB GREEN Neoprene Floor Mounts (Qty: 4)</t>
        </is>
      </c>
      <c r="L17" s="229">
        <f>B17</f>
        <v/>
      </c>
    </row>
    <row r="18" ht="331.2" customHeight="1">
      <c r="A18" s="229" t="n">
        <v>45799</v>
      </c>
      <c r="B18" s="229" t="n">
        <v>46142</v>
      </c>
      <c r="C18" s="230" t="inlineStr">
        <is>
          <t>Pending</t>
        </is>
      </c>
      <c r="D18" s="230" t="inlineStr">
        <is>
          <t>SO3760</t>
        </is>
      </c>
      <c r="E18" s="231" t="inlineStr">
        <is>
          <t>nan</t>
        </is>
      </c>
      <c r="F18" s="231" t="inlineStr">
        <is>
          <t>Rey &amp; Lenferna Ltd</t>
        </is>
      </c>
      <c r="G18" s="364" t="n">
        <v>545349.34</v>
      </c>
      <c r="H18" s="230" t="inlineStr">
        <is>
          <t>Sizwe - R.O.A</t>
        </is>
      </c>
      <c r="I18" s="230" t="inlineStr">
        <is>
          <t>Pending</t>
        </is>
      </c>
      <c r="J18" s="230" t="inlineStr">
        <is>
          <t>ACCOUNT - UP TO DATE</t>
        </is>
      </c>
      <c r="K18" s="231" t="inlineStr">
        <is>
          <t>OUTSTANDING ORDER (Qty: 1)</t>
        </is>
      </c>
      <c r="L18" s="229">
        <f>B18</f>
        <v/>
      </c>
    </row>
    <row r="19" ht="43.2" customHeight="1">
      <c r="A19" s="229" t="n">
        <v>46104</v>
      </c>
      <c r="B19" s="229" t="n">
        <v>46142</v>
      </c>
      <c r="C19" s="230" t="inlineStr">
        <is>
          <t>FM3958</t>
        </is>
      </c>
      <c r="D19" s="230" t="inlineStr">
        <is>
          <t>SO4478</t>
        </is>
      </c>
      <c r="E19" s="231" t="inlineStr">
        <is>
          <t>Plascon Flammable Paint Store</t>
        </is>
      </c>
      <c r="F19" s="231" t="inlineStr">
        <is>
          <t>Dueltron (Pty) Ltd</t>
        </is>
      </c>
      <c r="G19" s="364" t="n">
        <v>31848.1</v>
      </c>
      <c r="H19" s="230" t="inlineStr">
        <is>
          <t>Mashudu Tshifularo</t>
        </is>
      </c>
      <c r="I19" s="230" t="inlineStr">
        <is>
          <t>In Progress</t>
        </is>
      </c>
      <c r="J19" s="230" t="inlineStr">
        <is>
          <t>CASH SALE - PAID</t>
        </is>
      </c>
      <c r="K19" s="231" t="inlineStr">
        <is>
          <t>MAXFLO 560/150/10 P c/w 0,55KW 4P 380V-Flame Proof (Qty: 1), 560 Diam Silencer 1.5D Podded (Qty: 2), 560 Diam Counter Flange (Qty: 2), 560 Diam Mounting Feet (Qty: 4)</t>
        </is>
      </c>
      <c r="L19" s="229">
        <f>B19</f>
        <v/>
      </c>
    </row>
    <row r="20" ht="28.8" customHeight="1">
      <c r="A20" s="229" t="n">
        <v>46069</v>
      </c>
      <c r="B20" s="229" t="n">
        <v>46157</v>
      </c>
      <c r="C20" s="230" t="inlineStr">
        <is>
          <t>FM3841</t>
        </is>
      </c>
      <c r="D20" s="230" t="inlineStr">
        <is>
          <t>SO4372</t>
        </is>
      </c>
      <c r="E20" s="231" t="inlineStr">
        <is>
          <t>PO2213</t>
        </is>
      </c>
      <c r="F20" s="231" t="inlineStr">
        <is>
          <t>Hucra Fans</t>
        </is>
      </c>
      <c r="G20" s="364" t="n">
        <v>379993.35</v>
      </c>
      <c r="H20" s="230" t="inlineStr">
        <is>
          <t>Sales Agent Hucra Fans</t>
        </is>
      </c>
      <c r="I20" s="230" t="inlineStr">
        <is>
          <t>In Progress</t>
        </is>
      </c>
      <c r="J20" s="230" t="inlineStr">
        <is>
          <t>ACCOUNT - UP TO DATE</t>
        </is>
      </c>
      <c r="K20" s="231" t="inlineStr">
        <is>
          <t>SCL K11 MS - 11.0kW - 525V (Qty: 3)</t>
        </is>
      </c>
      <c r="L20" s="229">
        <f>B20</f>
        <v/>
      </c>
    </row>
    <row r="21">
      <c r="A21" s="229" t="n">
        <v>46077</v>
      </c>
      <c r="B21" s="229" t="n">
        <v>46157</v>
      </c>
      <c r="C21" s="230" t="inlineStr">
        <is>
          <t>FM3874</t>
        </is>
      </c>
      <c r="D21" s="230" t="inlineStr">
        <is>
          <t>SO4404</t>
        </is>
      </c>
      <c r="E21" s="231" t="inlineStr">
        <is>
          <t>PO2174</t>
        </is>
      </c>
      <c r="F21" s="231" t="inlineStr">
        <is>
          <t>ITD North Pty Ltd</t>
        </is>
      </c>
      <c r="G21" s="364" t="n">
        <v>94247.10000000001</v>
      </c>
      <c r="H21" s="230" t="inlineStr">
        <is>
          <t>Mashudu Tshifularo</t>
        </is>
      </c>
      <c r="I21" s="230" t="inlineStr">
        <is>
          <t>In Progress</t>
        </is>
      </c>
      <c r="J21" s="230" t="inlineStr">
        <is>
          <t>CASH SALE – PARTIAL</t>
        </is>
      </c>
      <c r="K21" s="231" t="inlineStr">
        <is>
          <t>RDH 710 K2 - Nicotra Fan (Qty: 1)</t>
        </is>
      </c>
      <c r="L21" s="229">
        <f>B21</f>
        <v/>
      </c>
    </row>
    <row r="22">
      <c r="F22" s="101" t="inlineStr">
        <is>
          <t>Total Value (All):</t>
        </is>
      </c>
      <c r="G22" s="365">
        <f>SUM(G3:G21)</f>
        <v/>
      </c>
    </row>
    <row r="24">
      <c r="F24" s="100" t="inlineStr">
        <is>
          <t>BREAKDOWN</t>
        </is>
      </c>
    </row>
    <row r="25">
      <c r="F25" t="inlineStr">
        <is>
          <t>Cash Sale (March):</t>
        </is>
      </c>
      <c r="G25" s="342">
        <f>SUMIFS(G3:G21, J3:J21, "*CASH SALE*", L3:L21, "&gt;="&amp;EOMONTH(TODAY(),-1)+1, L3:L21, "&lt;="&amp;EOMONTH(TODAY(),0))</f>
        <v/>
      </c>
      <c r="I25" t="inlineStr">
        <is>
          <t>Cash Sale (April):</t>
        </is>
      </c>
      <c r="J25" s="342">
        <f>SUMIFS(G3:G21, J3:J21, "*CASH SALE*", L3:L21, "&gt;="&amp;EOMONTH(TODAY(),0)+1, L3:L21, "&lt;="&amp;EOMONTH(TODAY(),1))</f>
        <v/>
      </c>
    </row>
    <row r="26">
      <c r="F26" t="inlineStr">
        <is>
          <t>Account (March):</t>
        </is>
      </c>
      <c r="G26" s="342">
        <f>SUMIFS(G3:G21, J3:J21, "*ACCOUNT*", L3:L21, "&gt;="&amp;EOMONTH(TODAY(),-1)+1, L3:L21, "&lt;="&amp;EOMONTH(TODAY(),0))</f>
        <v/>
      </c>
      <c r="I26" t="inlineStr">
        <is>
          <t>Account (April):</t>
        </is>
      </c>
      <c r="J26" s="342">
        <f>SUMIFS(G3:G21, J3:J21, "*ACCOUNT*", L3:L21, "&gt;="&amp;EOMONTH(TODAY(),0)+1, L3:L21, "&lt;="&amp;EOMONTH(TODAY(),1))</f>
        <v/>
      </c>
    </row>
    <row r="28" ht="28.8" customHeight="1">
      <c r="A28" s="235" t="inlineStr">
        <is>
          <t>Date</t>
        </is>
      </c>
      <c r="B28" s="235" t="inlineStr">
        <is>
          <t>Delivery Date</t>
        </is>
      </c>
      <c r="C28" s="235" t="inlineStr">
        <is>
          <t>Job Number</t>
        </is>
      </c>
      <c r="D28" s="235" t="inlineStr">
        <is>
          <t>SO Number</t>
        </is>
      </c>
      <c r="E28" s="235" t="inlineStr">
        <is>
          <t>Customer Ref.</t>
        </is>
      </c>
      <c r="F28" s="235" t="inlineStr">
        <is>
          <t>Customer</t>
        </is>
      </c>
      <c r="G28" s="235" t="inlineStr">
        <is>
          <t>Total</t>
        </is>
      </c>
      <c r="H28" s="235" t="inlineStr">
        <is>
          <t>Sales Rep</t>
        </is>
      </c>
      <c r="I28" s="235" t="inlineStr">
        <is>
          <t>Status</t>
        </is>
      </c>
      <c r="J28" s="235" t="inlineStr">
        <is>
          <t>Payment Status</t>
        </is>
      </c>
      <c r="K28" s="235" t="inlineStr">
        <is>
          <t>Comments</t>
        </is>
      </c>
    </row>
    <row r="29">
      <c r="A29" s="225" t="n">
        <v>46056</v>
      </c>
      <c r="B29" s="225" t="n">
        <v>46106.41427074074</v>
      </c>
      <c r="C29" s="226" t="inlineStr">
        <is>
          <t>FM3808</t>
        </is>
      </c>
      <c r="D29" s="226" t="inlineStr">
        <is>
          <t>SO4339</t>
        </is>
      </c>
      <c r="E29" s="227" t="inlineStr">
        <is>
          <t>PO549NN</t>
        </is>
      </c>
      <c r="F29" s="227" t="inlineStr">
        <is>
          <t>Intervent-Universal (Pty) Ltd</t>
        </is>
      </c>
      <c r="G29" s="363" t="n">
        <v>22816</v>
      </c>
      <c r="H29" s="226" t="inlineStr">
        <is>
          <t>Simon Mokgola</t>
        </is>
      </c>
      <c r="I29" s="226" t="inlineStr">
        <is>
          <t>Ready-Dispatch</t>
        </is>
      </c>
      <c r="J29" s="226" t="inlineStr">
        <is>
          <t>CASH SALE - UNPAID</t>
        </is>
      </c>
      <c r="K29" s="227" t="inlineStr">
        <is>
          <t>Awaiting payment - Client not taking calls (Simon)</t>
        </is>
      </c>
    </row>
    <row r="30">
      <c r="A30" s="225" t="n">
        <v>45981</v>
      </c>
      <c r="B30" s="225" t="n">
        <v>46106.41427074074</v>
      </c>
      <c r="C30" s="226" t="inlineStr">
        <is>
          <t>FM3676</t>
        </is>
      </c>
      <c r="D30" s="226" t="inlineStr">
        <is>
          <t>SO4204</t>
        </is>
      </c>
      <c r="E30" s="227" t="inlineStr">
        <is>
          <t>B137477</t>
        </is>
      </c>
      <c r="F30" s="227" t="inlineStr">
        <is>
          <t>Vescotech</t>
        </is>
      </c>
      <c r="G30" s="363" t="n">
        <v>22563</v>
      </c>
      <c r="H30" s="226" t="inlineStr">
        <is>
          <t>Sizwe Tshabalala</t>
        </is>
      </c>
      <c r="I30" s="226" t="inlineStr">
        <is>
          <t>Ready-Dispatch</t>
        </is>
      </c>
      <c r="J30" s="226" t="inlineStr">
        <is>
          <t>CASH SALE - PAID</t>
        </is>
      </c>
      <c r="K30" s="227" t="inlineStr">
        <is>
          <t>ST - To deliver</t>
        </is>
      </c>
    </row>
    <row r="31">
      <c r="A31" s="225" t="n">
        <v>46094</v>
      </c>
      <c r="B31" s="225" t="n">
        <v>46106.41427074074</v>
      </c>
      <c r="C31" s="226" t="inlineStr">
        <is>
          <t>FM3891</t>
        </is>
      </c>
      <c r="D31" s="226" t="inlineStr">
        <is>
          <t>SO4455</t>
        </is>
      </c>
      <c r="E31" s="227" t="inlineStr">
        <is>
          <t>POR80557</t>
        </is>
      </c>
      <c r="F31" s="227" t="inlineStr">
        <is>
          <t>Venwood and Baker Electrical</t>
        </is>
      </c>
      <c r="G31" s="363" t="n">
        <v>137207.26</v>
      </c>
      <c r="H31" s="226" t="inlineStr">
        <is>
          <t>Sizwe Tshabalala</t>
        </is>
      </c>
      <c r="I31" s="226" t="inlineStr">
        <is>
          <t>Ready-Dispatch</t>
        </is>
      </c>
      <c r="J31" s="226" t="inlineStr">
        <is>
          <t>CASH SALE - PAID</t>
        </is>
      </c>
      <c r="K31" s="227" t="n"/>
    </row>
    <row r="32" ht="57.6" customHeight="1">
      <c r="A32" s="225" t="n">
        <v>46052</v>
      </c>
      <c r="B32" s="225" t="n">
        <v>46106.41427074074</v>
      </c>
      <c r="C32" s="226" t="inlineStr">
        <is>
          <t>FM3801</t>
        </is>
      </c>
      <c r="D32" s="226" t="inlineStr">
        <is>
          <t>SO4330</t>
        </is>
      </c>
      <c r="E32" s="227" t="inlineStr">
        <is>
          <t>PO0000573 - JHB FORENSIC PATHOLOGY LAB</t>
        </is>
      </c>
      <c r="F32" s="227" t="inlineStr">
        <is>
          <t>ST AIR SERVICES AND MAINTENANCE (PTY) LTD</t>
        </is>
      </c>
      <c r="G32" s="363" t="n">
        <v>159969.6</v>
      </c>
      <c r="H32" s="226" t="inlineStr">
        <is>
          <t>Simon Mokgola</t>
        </is>
      </c>
      <c r="I32" s="226" t="inlineStr">
        <is>
          <t>In Progress</t>
        </is>
      </c>
      <c r="J32" s="226" t="inlineStr">
        <is>
          <t>ACCOUNT - UP TO DATE</t>
        </is>
      </c>
      <c r="K32" s="227" t="n"/>
    </row>
    <row r="33">
      <c r="F33" s="101" t="inlineStr">
        <is>
          <t>Due Today - Total:</t>
        </is>
      </c>
      <c r="G33" s="365">
        <f>SUM(G29:G32)</f>
        <v/>
      </c>
    </row>
    <row r="35">
      <c r="F35" s="101" t="inlineStr">
        <is>
          <t>Ready-Dispatch:</t>
        </is>
      </c>
      <c r="G35" s="365">
        <f>SUMIFS(G3:G21, I3:I21, "*Ready*Dispatch*")</f>
        <v/>
      </c>
    </row>
  </sheetData>
  <pageMargins left="0.2362204724409449" right="0.2362204724409449" top="0.7480314960629921" bottom="0.7480314960629921" header="0.3149606299212598" footer="0.3149606299212598"/>
  <pageSetup orientation="landscape" scale="57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zoomScale="80" zoomScaleNormal="80" workbookViewId="0">
      <pane xSplit="4" ySplit="2" topLeftCell="E3" activePane="bottomRight" state="frozen"/>
      <selection activeCell="J18" sqref="J18"/>
      <selection pane="topRight" activeCell="J18" sqref="J18"/>
      <selection pane="bottomLeft" activeCell="J18" sqref="J18"/>
      <selection pane="bottomRight" activeCell="K3" sqref="K3"/>
    </sheetView>
  </sheetViews>
  <sheetFormatPr baseColWidth="8" defaultRowHeight="14.4"/>
  <cols>
    <col width="12" customWidth="1" min="1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" customWidth="1" min="10" max="10"/>
    <col width="50" customWidth="1" min="11" max="11"/>
    <col width="12" customWidth="1" min="12" max="12"/>
  </cols>
  <sheetData>
    <row r="1" ht="18" customHeight="1">
      <c r="A1" s="233" t="inlineStr">
        <is>
          <t>SALES ORDER REPORT</t>
        </is>
      </c>
      <c r="K1" s="234">
        <f>TODAY()</f>
        <v/>
      </c>
    </row>
    <row r="2" ht="28.8" customHeight="1">
      <c r="A2" s="253" t="inlineStr">
        <is>
          <t>Date</t>
        </is>
      </c>
      <c r="B2" s="253" t="inlineStr">
        <is>
          <t>Delivery Date</t>
        </is>
      </c>
      <c r="C2" s="253" t="inlineStr">
        <is>
          <t>Job Number</t>
        </is>
      </c>
      <c r="D2" s="253" t="inlineStr">
        <is>
          <t>SO Number</t>
        </is>
      </c>
      <c r="E2" s="253" t="inlineStr">
        <is>
          <t>Customer Ref.</t>
        </is>
      </c>
      <c r="F2" s="253" t="inlineStr">
        <is>
          <t>Customer</t>
        </is>
      </c>
      <c r="G2" s="253" t="inlineStr">
        <is>
          <t>Total</t>
        </is>
      </c>
      <c r="H2" s="253" t="inlineStr">
        <is>
          <t>Sales Rep</t>
        </is>
      </c>
      <c r="I2" s="253" t="inlineStr">
        <is>
          <t>Status</t>
        </is>
      </c>
      <c r="J2" s="253" t="inlineStr">
        <is>
          <t>Payment Status</t>
        </is>
      </c>
      <c r="K2" s="253" t="inlineStr">
        <is>
          <t>Details</t>
        </is>
      </c>
      <c r="L2" s="253" t="inlineStr">
        <is>
          <t>Planned Delivery Date</t>
        </is>
      </c>
    </row>
    <row r="3">
      <c r="A3" s="240" t="n">
        <v>46056</v>
      </c>
      <c r="B3" s="240" t="n">
        <v>46107.35772550926</v>
      </c>
      <c r="C3" s="241" t="inlineStr">
        <is>
          <t>FM3808</t>
        </is>
      </c>
      <c r="D3" s="241" t="inlineStr">
        <is>
          <t>SO4339</t>
        </is>
      </c>
      <c r="E3" s="242" t="inlineStr">
        <is>
          <t>PO549NN</t>
        </is>
      </c>
      <c r="F3" s="242" t="inlineStr">
        <is>
          <t>Intervent-Universal (Pty) Ltd</t>
        </is>
      </c>
      <c r="G3" s="366" t="n">
        <v>22816</v>
      </c>
      <c r="H3" s="241" t="inlineStr">
        <is>
          <t>Simon Mokgola</t>
        </is>
      </c>
      <c r="I3" s="241" t="inlineStr">
        <is>
          <t>Ready-Dispatch</t>
        </is>
      </c>
      <c r="J3" s="241" t="inlineStr">
        <is>
          <t>CASH SALE - UNPAID</t>
        </is>
      </c>
      <c r="K3" s="242" t="inlineStr">
        <is>
          <t>RAD 250 (Qty: 8)</t>
        </is>
      </c>
      <c r="L3" s="240">
        <f>B3</f>
        <v/>
      </c>
    </row>
    <row r="4" ht="57.6" customHeight="1">
      <c r="A4" s="244" t="n">
        <v>46106</v>
      </c>
      <c r="B4" s="244" t="n">
        <v>46108</v>
      </c>
      <c r="C4" s="245" t="inlineStr">
        <is>
          <t>FM3958</t>
        </is>
      </c>
      <c r="D4" s="245" t="inlineStr">
        <is>
          <t>SO4482</t>
        </is>
      </c>
      <c r="E4" s="254" t="inlineStr">
        <is>
          <t>FM3958</t>
        </is>
      </c>
      <c r="F4" s="246" t="inlineStr">
        <is>
          <t>ZEFS More Vision</t>
        </is>
      </c>
      <c r="G4" s="367" t="n">
        <v>9275.9</v>
      </c>
      <c r="H4" s="245" t="inlineStr">
        <is>
          <t>Mashudu Tshifularo</t>
        </is>
      </c>
      <c r="I4" s="245" t="inlineStr">
        <is>
          <t>In Progress</t>
        </is>
      </c>
      <c r="J4" s="245" t="inlineStr">
        <is>
          <t>CASH SALE - PAID</t>
        </is>
      </c>
      <c r="K4" s="246" t="inlineStr">
        <is>
          <t>MAXFLO 560/150/10 P c/w 0,55KW 4P 380V (Qty: 1), 560 Diam Counter Flange (Qty: 2), 315 to 560 NDA RED ANeoprene Floor Mounts (Qty: 6), 560 Diam Mounting Feet (Qty: 4)</t>
        </is>
      </c>
      <c r="L4" s="244">
        <f>B4</f>
        <v/>
      </c>
    </row>
    <row r="5">
      <c r="A5" s="244" t="n">
        <v>46106</v>
      </c>
      <c r="B5" s="244" t="n">
        <v>46108</v>
      </c>
      <c r="C5" s="245" t="inlineStr">
        <is>
          <t>FM3959</t>
        </is>
      </c>
      <c r="D5" s="245" t="inlineStr">
        <is>
          <t>SO4483</t>
        </is>
      </c>
      <c r="E5" s="246" t="inlineStr">
        <is>
          <t>PO:30155</t>
        </is>
      </c>
      <c r="F5" s="246" t="inlineStr">
        <is>
          <t>Atlas Air Conditioning (Pty) Ltd</t>
        </is>
      </c>
      <c r="G5" s="367" t="n">
        <v>7930.91</v>
      </c>
      <c r="H5" s="245" t="inlineStr">
        <is>
          <t>Mashudu Tshifularo</t>
        </is>
      </c>
      <c r="I5" s="245" t="inlineStr">
        <is>
          <t>In Progress</t>
        </is>
      </c>
      <c r="J5" s="245" t="inlineStr">
        <is>
          <t>ACCOUNT - UP TO DATE</t>
        </is>
      </c>
      <c r="K5" s="246" t="inlineStr">
        <is>
          <t>MAJAX-3 500 c/w 0,37KW 4P 380V (Qty: 1)</t>
        </is>
      </c>
      <c r="L5" s="244">
        <f>B5</f>
        <v/>
      </c>
    </row>
    <row r="6" ht="28.8" customHeight="1">
      <c r="A6" s="244" t="n">
        <v>46093</v>
      </c>
      <c r="B6" s="244" t="n">
        <v>46111</v>
      </c>
      <c r="C6" s="245" t="inlineStr">
        <is>
          <t>FM3902</t>
        </is>
      </c>
      <c r="D6" s="245" t="inlineStr">
        <is>
          <t>SO4448</t>
        </is>
      </c>
      <c r="E6" s="246" t="inlineStr">
        <is>
          <t>61713</t>
        </is>
      </c>
      <c r="F6" s="246" t="inlineStr">
        <is>
          <t>Chabo &amp; Joubert Air Conditioning (Pty) Ltd</t>
        </is>
      </c>
      <c r="G6" s="367" t="n">
        <v>84019</v>
      </c>
      <c r="H6" s="245" t="inlineStr">
        <is>
          <t>Sizwe Tshabalala</t>
        </is>
      </c>
      <c r="I6" s="245" t="inlineStr">
        <is>
          <t>In Progress</t>
        </is>
      </c>
      <c r="J6" s="245" t="inlineStr">
        <is>
          <t>ACCOUNT - UP TO DATE</t>
        </is>
      </c>
      <c r="K6" s="246" t="inlineStr">
        <is>
          <t>MAJAX 965 c/w 11,00KW 4P 525V - 2 Stage (Qty: 2)</t>
        </is>
      </c>
      <c r="L6" s="244">
        <f>B6</f>
        <v/>
      </c>
    </row>
    <row r="7">
      <c r="A7" s="244" t="n">
        <v>46058</v>
      </c>
      <c r="B7" s="244" t="n">
        <v>46112</v>
      </c>
      <c r="C7" s="245" t="inlineStr">
        <is>
          <t>FM3812</t>
        </is>
      </c>
      <c r="D7" s="245" t="inlineStr">
        <is>
          <t>SO4343</t>
        </is>
      </c>
      <c r="E7" s="246" t="inlineStr">
        <is>
          <t>DPO-1616</t>
        </is>
      </c>
      <c r="F7" s="246" t="inlineStr">
        <is>
          <t>Dueltron (Pty) Ltd</t>
        </is>
      </c>
      <c r="G7" s="367" t="n">
        <v>145269.15</v>
      </c>
      <c r="H7" s="245" t="inlineStr">
        <is>
          <t>Mashudu Tshifularo</t>
        </is>
      </c>
      <c r="I7" s="245" t="inlineStr">
        <is>
          <t>In Progress</t>
        </is>
      </c>
      <c r="J7" s="245" t="inlineStr">
        <is>
          <t>ACCOUNT - UP TO DATE</t>
        </is>
      </c>
      <c r="K7" s="246" t="inlineStr">
        <is>
          <t>MAJAX-2 BIF 1250 c/w 22,00KW 4P 380V (Qty: 1)</t>
        </is>
      </c>
      <c r="L7" s="244">
        <f>B7</f>
        <v/>
      </c>
    </row>
    <row r="8">
      <c r="A8" s="244" t="n">
        <v>46091</v>
      </c>
      <c r="B8" s="244" t="n">
        <v>46113</v>
      </c>
      <c r="C8" s="245" t="inlineStr">
        <is>
          <t>FM3907</t>
        </is>
      </c>
      <c r="D8" s="245" t="inlineStr">
        <is>
          <t>SO4440</t>
        </is>
      </c>
      <c r="E8" s="246" t="inlineStr">
        <is>
          <t>PO2228</t>
        </is>
      </c>
      <c r="F8" s="246" t="inlineStr">
        <is>
          <t>Hucra Fans</t>
        </is>
      </c>
      <c r="G8" s="367" t="n">
        <v>21208.3</v>
      </c>
      <c r="H8" s="245" t="inlineStr">
        <is>
          <t>Sales Agent Hucra Fans</t>
        </is>
      </c>
      <c r="I8" s="245" t="inlineStr">
        <is>
          <t>Ready-Dispatch</t>
        </is>
      </c>
      <c r="J8" s="245" t="inlineStr">
        <is>
          <t>ACCOUNT - UP TO DATE</t>
        </is>
      </c>
      <c r="K8" s="246" t="inlineStr">
        <is>
          <t>SCL-K05 MS-2.2kW 380V (Qty: 1)</t>
        </is>
      </c>
      <c r="L8" s="244">
        <f>B8</f>
        <v/>
      </c>
    </row>
    <row r="9" ht="115.2" customHeight="1">
      <c r="A9" s="244" t="n">
        <v>46077</v>
      </c>
      <c r="B9" s="244" t="n">
        <v>46114</v>
      </c>
      <c r="C9" s="245" t="inlineStr">
        <is>
          <t>FM3876</t>
        </is>
      </c>
      <c r="D9" s="245" t="inlineStr">
        <is>
          <t>SO4405</t>
        </is>
      </c>
      <c r="E9" s="246" t="inlineStr">
        <is>
          <t>FM3875 - FM3876</t>
        </is>
      </c>
      <c r="F9" s="246" t="inlineStr">
        <is>
          <t>BMT SMART SOLUTIONS (PTY) LTD</t>
        </is>
      </c>
      <c r="G9" s="367" t="n">
        <v>52783.16</v>
      </c>
      <c r="H9" s="245" t="inlineStr">
        <is>
          <t>Simon Mokgola</t>
        </is>
      </c>
      <c r="I9" s="245" t="inlineStr">
        <is>
          <t>In Progress</t>
        </is>
      </c>
      <c r="J9" s="245" t="inlineStr">
        <is>
          <t>ACCOUNT - UP TO DATE</t>
        </is>
      </c>
      <c r="K9" s="246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2), 560 Diam Mounting Feet (Qty: 4), 315 to 560 NDA RED ANeoprene Floor Mounts (Qty: 8)</t>
        </is>
      </c>
      <c r="L9" s="244">
        <f>B9</f>
        <v/>
      </c>
    </row>
    <row r="10" ht="28.8" customHeight="1">
      <c r="A10" s="244" t="n">
        <v>46104</v>
      </c>
      <c r="B10" s="244" t="n">
        <v>46114</v>
      </c>
      <c r="C10" s="245" t="inlineStr">
        <is>
          <t>FM3952</t>
        </is>
      </c>
      <c r="D10" s="245" t="inlineStr">
        <is>
          <t>SO4475</t>
        </is>
      </c>
      <c r="E10" s="246" t="inlineStr">
        <is>
          <t>J5383-001ORD</t>
        </is>
      </c>
      <c r="F10" s="246" t="inlineStr">
        <is>
          <t>RTS Africa Engineering (Pty) Ltd</t>
        </is>
      </c>
      <c r="G10" s="367" t="n">
        <v>34103.49</v>
      </c>
      <c r="H10" s="245" t="inlineStr">
        <is>
          <t>Simon Mokgola</t>
        </is>
      </c>
      <c r="I10" s="245" t="inlineStr">
        <is>
          <t>In Progress</t>
        </is>
      </c>
      <c r="J10" s="245" t="inlineStr">
        <is>
          <t>ACCOUNT - UP TO DATE</t>
        </is>
      </c>
      <c r="K10" s="246" t="inlineStr">
        <is>
          <t>MAJAX 400 c/w 0.75kW 2Pole 380V (Qty: 2), Data Book (Qty: 2), 400 Diam Side Screen (Qty: 2)</t>
        </is>
      </c>
      <c r="L10" s="244">
        <f>B10</f>
        <v/>
      </c>
    </row>
    <row r="11" ht="28.8" customHeight="1">
      <c r="A11" s="244" t="n">
        <v>46099</v>
      </c>
      <c r="B11" s="244" t="n">
        <v>46128</v>
      </c>
      <c r="C11" s="245" t="inlineStr">
        <is>
          <t>FM3930</t>
        </is>
      </c>
      <c r="D11" s="245" t="inlineStr">
        <is>
          <t>SO4469</t>
        </is>
      </c>
      <c r="E11" s="246" t="inlineStr">
        <is>
          <t>PO0007989 - FAN MAXFLO 710</t>
        </is>
      </c>
      <c r="F11" s="246" t="inlineStr">
        <is>
          <t>AGILITY ENGINEERING SERVICES (PTY) LTD</t>
        </is>
      </c>
      <c r="G11" s="367" t="n">
        <v>69948.06</v>
      </c>
      <c r="H11" s="245" t="inlineStr">
        <is>
          <t>Mashudu Tshifularo</t>
        </is>
      </c>
      <c r="I11" s="245" t="inlineStr">
        <is>
          <t>In Progress</t>
        </is>
      </c>
      <c r="J11" s="245" t="inlineStr">
        <is>
          <t>CASH SALE - PAID</t>
        </is>
      </c>
      <c r="K11" s="246" t="inlineStr">
        <is>
          <t>MAXFLO 710/150/10 A c/w 4,00KW 4P 380V (Qty: 2)</t>
        </is>
      </c>
      <c r="L11" s="244">
        <f>B11</f>
        <v/>
      </c>
    </row>
    <row r="12" ht="187.2" customHeight="1">
      <c r="A12" s="244" t="n">
        <v>46052</v>
      </c>
      <c r="B12" s="244" t="n">
        <v>46129</v>
      </c>
      <c r="C12" s="245" t="inlineStr">
        <is>
          <t>FM3937 FM3951</t>
        </is>
      </c>
      <c r="D12" s="245" t="inlineStr">
        <is>
          <t>SO4331</t>
        </is>
      </c>
      <c r="E12" s="246" t="inlineStr">
        <is>
          <t>PO 62844</t>
        </is>
      </c>
      <c r="F12" s="246" t="inlineStr">
        <is>
          <t>Rey &amp; Lenferna Ltd</t>
        </is>
      </c>
      <c r="G12" s="367" t="n">
        <v>1086604.31</v>
      </c>
      <c r="H12" s="245" t="inlineStr">
        <is>
          <t>Sizwe - R.O.A</t>
        </is>
      </c>
      <c r="I12" s="245" t="inlineStr">
        <is>
          <t>In Progress</t>
        </is>
      </c>
      <c r="J12" s="245" t="inlineStr">
        <is>
          <t>ACCOUNT - UP TO DATE</t>
        </is>
      </c>
      <c r="K12" s="246" t="inlineStr">
        <is>
          <t xml:space="preserve">MAJAX 400 c/w 0.75kW 2Pole 380V, MAXFLO 400/150/10 A c/w 0,75KW 2P 380V, MAXFLO 500/150/10 A c/w 3KW 2P 380V, MAXFLO 560/250/14 A c/w 0,75KW 4P 380V, MAXFLO 560/250/14 A c/w 1,50KW 4P 380V, MAXFLO 560/250/14 A c/w 2,20KW 4P 380V, MAXFLO 630/250/14 A c/w 2,20KW 4P 380V, MAXFLO 630/250/14 A c/w 2,20KW 4P 380V, MAXFLO 630/250/14 A c/w 3,00KW 4P 380V, MAXFLO 630/250/14 A c/w 3,00KW 4P 380V, MAXFLO 710/250/14 A c/w 4,00KW 4P 380V, MAXFLO 800/250/14 A c/w 3,00KW 4P 380V, MAXFLO 900/250/14 A c/w 3,00KW 4P 380V, MAXFLO 900/250/14 A c/w 5,50KW 4P 380V, MAXFLO 900/250/14 A c/w 5,50KW 4P 380V, c/w VSD's, VSD Enclosures, Rect Attenuators, Accessories &amp; Box Fans </t>
        </is>
      </c>
      <c r="L12" s="244">
        <f>B12</f>
        <v/>
      </c>
    </row>
    <row r="13" ht="57.6" customHeight="1">
      <c r="A13" s="244" t="n">
        <v>46105</v>
      </c>
      <c r="B13" s="244" t="n">
        <v>46132</v>
      </c>
      <c r="C13" s="245" t="inlineStr">
        <is>
          <t>FM3955</t>
        </is>
      </c>
      <c r="D13" s="245" t="inlineStr">
        <is>
          <t>SO4479</t>
        </is>
      </c>
      <c r="E13" s="246" t="inlineStr">
        <is>
          <t>PO0000606 - PO11 - JHB FORENSIC PATHOLOGY LAB</t>
        </is>
      </c>
      <c r="F13" s="246" t="inlineStr">
        <is>
          <t>ST AIR SERVICES AND MAINTENANCE (PTY) LTD</t>
        </is>
      </c>
      <c r="G13" s="367" t="n">
        <v>54407.65</v>
      </c>
      <c r="H13" s="245" t="inlineStr">
        <is>
          <t>Simon Mokgola</t>
        </is>
      </c>
      <c r="I13" s="245" t="inlineStr">
        <is>
          <t>Pending</t>
        </is>
      </c>
      <c r="J13" s="245" t="inlineStr">
        <is>
          <t>ACCOUNT - UP TO DATE</t>
        </is>
      </c>
      <c r="K13" s="246" t="inlineStr">
        <is>
          <t>Fumax 1000.32.F. c/w 7.5 kW 4 Pole 380 V Motor (SEF 10) (Qty: 1), Majax Inlet Cone c/w Screen (Qty: 1), 1000 Diam Counter Flange (Qty: 1), 1000 Diam Mounting Feet (Qty: 2), 630 to 1000 NDB GREEN Neoprene Floor Mounts (Qty: 4)</t>
        </is>
      </c>
      <c r="L13" s="244">
        <f>B13</f>
        <v/>
      </c>
    </row>
    <row r="14" ht="43.2" customHeight="1">
      <c r="A14" s="244" t="n">
        <v>46104</v>
      </c>
      <c r="B14" s="244" t="n">
        <v>46142</v>
      </c>
      <c r="C14" s="245" t="inlineStr">
        <is>
          <t>FM3958</t>
        </is>
      </c>
      <c r="D14" s="245" t="inlineStr">
        <is>
          <t>SO4478</t>
        </is>
      </c>
      <c r="E14" s="246" t="inlineStr">
        <is>
          <t>Plascon Flammable Paint Store</t>
        </is>
      </c>
      <c r="F14" s="246" t="inlineStr">
        <is>
          <t>Dueltron (Pty) Ltd</t>
        </is>
      </c>
      <c r="G14" s="367" t="n">
        <v>31848.1</v>
      </c>
      <c r="H14" s="245" t="inlineStr">
        <is>
          <t>Mashudu Tshifularo</t>
        </is>
      </c>
      <c r="I14" s="245" t="inlineStr">
        <is>
          <t>In Progress</t>
        </is>
      </c>
      <c r="J14" s="245" t="inlineStr">
        <is>
          <t>CASH SALE - PAID</t>
        </is>
      </c>
      <c r="K14" s="246" t="inlineStr">
        <is>
          <t>MAXFLO 560/150/10 P c/w 0,55KW 4P 380V-Flame Proof (Qty: 1), 560 Diam Silencer 1.5D Podded (Qty: 2), 560 Diam Counter Flange (Qty: 2), 560 Diam Mounting Feet (Qty: 4)</t>
        </is>
      </c>
      <c r="L14" s="244">
        <f>B14</f>
        <v/>
      </c>
    </row>
    <row r="15">
      <c r="A15" s="244" t="n">
        <v>46069</v>
      </c>
      <c r="B15" s="244" t="n">
        <v>46157</v>
      </c>
      <c r="C15" s="245" t="inlineStr">
        <is>
          <t>FM3841</t>
        </is>
      </c>
      <c r="D15" s="245" t="inlineStr">
        <is>
          <t>SO4372</t>
        </is>
      </c>
      <c r="E15" s="246" t="inlineStr">
        <is>
          <t>PO2213</t>
        </is>
      </c>
      <c r="F15" s="246" t="inlineStr">
        <is>
          <t>Hucra Fans</t>
        </is>
      </c>
      <c r="G15" s="367" t="n">
        <v>379993.35</v>
      </c>
      <c r="H15" s="245" t="inlineStr">
        <is>
          <t>Sales Agent Hucra Fans</t>
        </is>
      </c>
      <c r="I15" s="245" t="inlineStr">
        <is>
          <t>In Progress</t>
        </is>
      </c>
      <c r="J15" s="245" t="inlineStr">
        <is>
          <t>ACCOUNT - UP TO DATE</t>
        </is>
      </c>
      <c r="K15" s="246" t="inlineStr">
        <is>
          <t>SCL K11 MS - 11.0kW - 525V (Qty: 3)</t>
        </is>
      </c>
      <c r="L15" s="244">
        <f>B15</f>
        <v/>
      </c>
    </row>
    <row r="16">
      <c r="A16" s="244" t="n">
        <v>46077</v>
      </c>
      <c r="B16" s="244" t="n">
        <v>46157</v>
      </c>
      <c r="C16" s="245" t="inlineStr">
        <is>
          <t>FM3874</t>
        </is>
      </c>
      <c r="D16" s="245" t="inlineStr">
        <is>
          <t>SO4404</t>
        </is>
      </c>
      <c r="E16" s="246" t="inlineStr">
        <is>
          <t>PO2174</t>
        </is>
      </c>
      <c r="F16" s="246" t="inlineStr">
        <is>
          <t>ITD North Pty Ltd</t>
        </is>
      </c>
      <c r="G16" s="367" t="n">
        <v>94247.10000000001</v>
      </c>
      <c r="H16" s="245" t="inlineStr">
        <is>
          <t>Mashudu Tshifularo</t>
        </is>
      </c>
      <c r="I16" s="245" t="inlineStr">
        <is>
          <t>In Progress</t>
        </is>
      </c>
      <c r="J16" s="245" t="inlineStr">
        <is>
          <t>CASH SALE – PARTIAL</t>
        </is>
      </c>
      <c r="K16" s="246" t="inlineStr">
        <is>
          <t>RDH 710 K2 - Nicotra Fan (Qty: 1)</t>
        </is>
      </c>
      <c r="L16" s="244">
        <f>B16</f>
        <v/>
      </c>
    </row>
    <row r="17">
      <c r="F17" s="101" t="inlineStr">
        <is>
          <t>Total Value (All):</t>
        </is>
      </c>
      <c r="G17" s="365">
        <f>SUM(G3:G16)</f>
        <v/>
      </c>
    </row>
    <row r="19">
      <c r="F19" s="100" t="inlineStr">
        <is>
          <t>BREAKDOWN</t>
        </is>
      </c>
    </row>
    <row r="20">
      <c r="F20" t="inlineStr">
        <is>
          <t>Cash Sale (March):</t>
        </is>
      </c>
      <c r="G20" s="342">
        <f>SUMIFS(G3:G16, J3:J16, "*CASH SALE*", L3:L16, "&gt;="&amp;EOMONTH(TODAY(),-1)+1, L3:L16, "&lt;="&amp;EOMONTH(TODAY(),0))</f>
        <v/>
      </c>
      <c r="I20" t="inlineStr">
        <is>
          <t>Cash Sale (April):</t>
        </is>
      </c>
      <c r="J20" s="342">
        <f>SUMIFS(G3:G16, J3:J16, "*CASH SALE*", L3:L16, "&gt;="&amp;EOMONTH(TODAY(),0)+1, L3:L16, "&lt;="&amp;EOMONTH(TODAY(),1))</f>
        <v/>
      </c>
    </row>
    <row r="21">
      <c r="F21" t="inlineStr">
        <is>
          <t>Account (March):</t>
        </is>
      </c>
      <c r="G21" s="342">
        <f>SUMIFS(G3:G16, J3:J16, "*ACCOUNT*", L3:L16, "&gt;="&amp;EOMONTH(TODAY(),-1)+1, L3:L16, "&lt;="&amp;EOMONTH(TODAY(),0))</f>
        <v/>
      </c>
      <c r="I21" t="inlineStr">
        <is>
          <t>Account (April):</t>
        </is>
      </c>
      <c r="J21" s="342">
        <f>SUMIFS(G3:G16, J3:J16, "*ACCOUNT*", L3:L16, "&gt;="&amp;EOMONTH(TODAY(),0)+1, L3:L16, "&lt;="&amp;EOMONTH(TODAY(),1))</f>
        <v/>
      </c>
    </row>
    <row r="23">
      <c r="A23" s="253" t="inlineStr">
        <is>
          <t>Date</t>
        </is>
      </c>
      <c r="B23" s="253" t="inlineStr">
        <is>
          <t>Delivery Date</t>
        </is>
      </c>
      <c r="C23" s="253" t="inlineStr">
        <is>
          <t>Job Number</t>
        </is>
      </c>
      <c r="D23" s="253" t="inlineStr">
        <is>
          <t>SO Number</t>
        </is>
      </c>
      <c r="E23" s="253" t="inlineStr">
        <is>
          <t>Customer Ref.</t>
        </is>
      </c>
      <c r="F23" s="253" t="inlineStr">
        <is>
          <t>Customer</t>
        </is>
      </c>
      <c r="G23" s="253" t="inlineStr">
        <is>
          <t>Total</t>
        </is>
      </c>
      <c r="H23" s="253" t="inlineStr">
        <is>
          <t>Sales Rep</t>
        </is>
      </c>
      <c r="I23" s="253" t="inlineStr">
        <is>
          <t>Status</t>
        </is>
      </c>
      <c r="J23" s="253" t="inlineStr">
        <is>
          <t>Payment Status</t>
        </is>
      </c>
      <c r="K23" s="253" t="inlineStr">
        <is>
          <t>Comments</t>
        </is>
      </c>
    </row>
    <row r="24">
      <c r="A24" s="251" t="n">
        <v>46056</v>
      </c>
      <c r="B24" s="251" t="n">
        <v>46107.35772550926</v>
      </c>
      <c r="C24" s="252" t="inlineStr">
        <is>
          <t>FM3808</t>
        </is>
      </c>
      <c r="D24" s="252" t="inlineStr">
        <is>
          <t>SO4339</t>
        </is>
      </c>
      <c r="E24" s="252" t="inlineStr">
        <is>
          <t>PO549NN</t>
        </is>
      </c>
      <c r="F24" s="252" t="inlineStr">
        <is>
          <t>Intervent-Universal (Pty) Ltd</t>
        </is>
      </c>
      <c r="G24" s="367" t="n">
        <v>22816</v>
      </c>
      <c r="H24" s="252" t="inlineStr">
        <is>
          <t>Simon Mokgola</t>
        </is>
      </c>
      <c r="I24" s="252" t="inlineStr">
        <is>
          <t>Ready-Dispatch</t>
        </is>
      </c>
      <c r="J24" s="252" t="inlineStr">
        <is>
          <t>CASH SALE - UNPAID</t>
        </is>
      </c>
      <c r="K24" s="246" t="inlineStr">
        <is>
          <t>Awaiting payment - Client not taking calls (Simon)</t>
        </is>
      </c>
    </row>
    <row r="25">
      <c r="F25" s="101" t="inlineStr">
        <is>
          <t>Due Today - Total:</t>
        </is>
      </c>
      <c r="G25" s="365">
        <f>SUM(G24:G24)</f>
        <v/>
      </c>
    </row>
    <row r="27">
      <c r="F27" s="101" t="inlineStr">
        <is>
          <t>Ready-Dispatch:</t>
        </is>
      </c>
      <c r="G27" s="365">
        <f>SUMIFS(G3:G16, I3:I16, "*Ready*Dispatch*")</f>
        <v/>
      </c>
    </row>
  </sheetData>
  <pageMargins left="0.25" right="0.25" top="0.75" bottom="0.75" header="0.3" footer="0.3"/>
  <pageSetup orientation="landscape" paperSize="9" scale="5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zoomScale="80" zoomScaleNormal="80" workbookViewId="0">
      <pane xSplit="4" ySplit="2" topLeftCell="E8" activePane="bottomRight" state="frozen"/>
      <selection pane="topRight" activeCell="A1" sqref="A1"/>
      <selection pane="bottomLeft" activeCell="A1" sqref="A1"/>
      <selection pane="bottomRight" activeCell="K14" sqref="K14"/>
    </sheetView>
  </sheetViews>
  <sheetFormatPr baseColWidth="8" defaultRowHeight="14.4"/>
  <cols>
    <col width="12" customWidth="1" min="1" max="2"/>
    <col width="14.33203125" bestFit="1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" customWidth="1" min="10" max="10"/>
    <col width="52" customWidth="1" min="11" max="11"/>
    <col width="12" customWidth="1" min="12" max="12"/>
  </cols>
  <sheetData>
    <row r="1" ht="18" customHeight="1">
      <c r="A1" s="237" t="inlineStr">
        <is>
          <t>SALES ORDER REPORT</t>
        </is>
      </c>
      <c r="K1" s="238">
        <f>TODAY()</f>
        <v/>
      </c>
    </row>
    <row r="2" ht="43.2" customHeight="1">
      <c r="A2" s="239" t="inlineStr">
        <is>
          <t>Date</t>
        </is>
      </c>
      <c r="B2" s="239" t="inlineStr">
        <is>
          <t>Delivery Date</t>
        </is>
      </c>
      <c r="C2" s="239" t="inlineStr">
        <is>
          <t>Job Number</t>
        </is>
      </c>
      <c r="D2" s="239" t="inlineStr">
        <is>
          <t>SO Number</t>
        </is>
      </c>
      <c r="E2" s="239" t="inlineStr">
        <is>
          <t>Customer Ref.</t>
        </is>
      </c>
      <c r="F2" s="239" t="inlineStr">
        <is>
          <t>Customer</t>
        </is>
      </c>
      <c r="G2" s="239" t="inlineStr">
        <is>
          <t>Total</t>
        </is>
      </c>
      <c r="H2" s="239" t="inlineStr">
        <is>
          <t>Sales Rep</t>
        </is>
      </c>
      <c r="I2" s="239" t="inlineStr">
        <is>
          <t>Status</t>
        </is>
      </c>
      <c r="J2" s="239" t="inlineStr">
        <is>
          <t>Payment Status</t>
        </is>
      </c>
      <c r="K2" s="239" t="inlineStr">
        <is>
          <t>Details</t>
        </is>
      </c>
      <c r="L2" s="239" t="inlineStr">
        <is>
          <t>Planned Delivery Date</t>
        </is>
      </c>
    </row>
    <row r="3">
      <c r="A3" s="240" t="n">
        <v>46056</v>
      </c>
      <c r="B3" s="240" t="n">
        <v>46108.34466681713</v>
      </c>
      <c r="C3" s="241" t="inlineStr">
        <is>
          <t>FM3808</t>
        </is>
      </c>
      <c r="D3" s="241" t="inlineStr">
        <is>
          <t>SO4339</t>
        </is>
      </c>
      <c r="E3" s="242" t="inlineStr">
        <is>
          <t>PO549NN</t>
        </is>
      </c>
      <c r="F3" s="242" t="inlineStr">
        <is>
          <t>Intervent-Universal (Pty) Ltd</t>
        </is>
      </c>
      <c r="G3" s="366" t="n">
        <v>22816</v>
      </c>
      <c r="H3" s="241" t="inlineStr">
        <is>
          <t>Simon Mokgola</t>
        </is>
      </c>
      <c r="I3" s="241" t="inlineStr">
        <is>
          <t>Ready-Dispatch</t>
        </is>
      </c>
      <c r="J3" s="241" t="inlineStr">
        <is>
          <t>CASH SALE - UNPAID</t>
        </is>
      </c>
      <c r="K3" s="242" t="inlineStr">
        <is>
          <t>RAD 250 (Qty: 8)</t>
        </is>
      </c>
      <c r="L3" s="240">
        <f>B3</f>
        <v/>
      </c>
    </row>
    <row r="4" ht="43.2" customHeight="1">
      <c r="A4" s="240" t="n">
        <v>46106</v>
      </c>
      <c r="B4" s="240" t="n">
        <v>46108.34466681713</v>
      </c>
      <c r="C4" s="241" t="inlineStr">
        <is>
          <t>FM3962</t>
        </is>
      </c>
      <c r="D4" s="241" t="inlineStr">
        <is>
          <t>SO4482</t>
        </is>
      </c>
      <c r="E4" s="242" t="inlineStr">
        <is>
          <t>FM3962</t>
        </is>
      </c>
      <c r="F4" s="242" t="inlineStr">
        <is>
          <t>ZEFS More Vision</t>
        </is>
      </c>
      <c r="G4" s="366" t="n">
        <v>9275.9</v>
      </c>
      <c r="H4" s="241" t="inlineStr">
        <is>
          <t>Mashudu Tshifularo</t>
        </is>
      </c>
      <c r="I4" s="241" t="inlineStr">
        <is>
          <t>Ready-Dispatch</t>
        </is>
      </c>
      <c r="J4" s="241" t="inlineStr">
        <is>
          <t>CASH SALE - PAID</t>
        </is>
      </c>
      <c r="K4" s="242" t="inlineStr">
        <is>
          <t>MAXFLO 560/150/10 P c/w 0,55KW 4P 380V (Qty: 1), 560 Diam Counter Flange (Qty: 2), 315 to 560 NDA RED ANeoprene Floor Mounts (Qty: 6), 560 Diam Mounting Feet (Qty: 4)</t>
        </is>
      </c>
      <c r="L4" s="240">
        <f>B4</f>
        <v/>
      </c>
    </row>
    <row r="5">
      <c r="A5" s="244" t="n">
        <v>46106</v>
      </c>
      <c r="B5" s="244" t="n">
        <v>46111</v>
      </c>
      <c r="C5" s="245" t="inlineStr">
        <is>
          <t>FM3959</t>
        </is>
      </c>
      <c r="D5" s="245" t="inlineStr">
        <is>
          <t>SO4483</t>
        </is>
      </c>
      <c r="E5" s="246" t="inlineStr">
        <is>
          <t>PO:30155</t>
        </is>
      </c>
      <c r="F5" s="246" t="inlineStr">
        <is>
          <t>Atlas Air Conditioning (Pty) Ltd</t>
        </is>
      </c>
      <c r="G5" s="367" t="n">
        <v>7930.91</v>
      </c>
      <c r="H5" s="245" t="inlineStr">
        <is>
          <t>Mashudu Tshifularo</t>
        </is>
      </c>
      <c r="I5" s="245" t="inlineStr">
        <is>
          <t>In Progress</t>
        </is>
      </c>
      <c r="J5" s="245" t="inlineStr">
        <is>
          <t>ACCOUNT - UP TO DATE</t>
        </is>
      </c>
      <c r="K5" s="246" t="inlineStr">
        <is>
          <t>MAJAX-3 500 c/w 0,37KW 4P 380V (Qty: 1)</t>
        </is>
      </c>
      <c r="L5" s="244">
        <f>B5</f>
        <v/>
      </c>
    </row>
    <row r="6">
      <c r="A6" s="244" t="n">
        <v>46058</v>
      </c>
      <c r="B6" s="244" t="n">
        <v>46112</v>
      </c>
      <c r="C6" s="245" t="inlineStr">
        <is>
          <t>FM3812</t>
        </is>
      </c>
      <c r="D6" s="245" t="inlineStr">
        <is>
          <t>SO4343</t>
        </is>
      </c>
      <c r="E6" s="246" t="inlineStr">
        <is>
          <t>DPO-1616</t>
        </is>
      </c>
      <c r="F6" s="246" t="inlineStr">
        <is>
          <t>Dueltron (Pty) Ltd</t>
        </is>
      </c>
      <c r="G6" s="367" t="n">
        <v>145269.15</v>
      </c>
      <c r="H6" s="245" t="inlineStr">
        <is>
          <t>Mashudu Tshifularo</t>
        </is>
      </c>
      <c r="I6" s="245" t="inlineStr">
        <is>
          <t>In Progress</t>
        </is>
      </c>
      <c r="J6" s="245" t="inlineStr">
        <is>
          <t>ACCOUNT - UP TO DATE</t>
        </is>
      </c>
      <c r="K6" s="246" t="inlineStr">
        <is>
          <t>MAJAX-2 BIF 1250 c/w 22,00KW 4P 380V (Qty: 1)</t>
        </is>
      </c>
      <c r="L6" s="244">
        <f>B6</f>
        <v/>
      </c>
    </row>
    <row r="7" ht="100.8" customHeight="1">
      <c r="A7" s="244" t="n">
        <v>46077</v>
      </c>
      <c r="B7" s="244" t="n">
        <v>46112</v>
      </c>
      <c r="C7" s="245" t="inlineStr">
        <is>
          <t>FM3876</t>
        </is>
      </c>
      <c r="D7" s="245" t="inlineStr">
        <is>
          <t>SO4405</t>
        </is>
      </c>
      <c r="E7" s="246" t="inlineStr">
        <is>
          <t>FM3875 - FM3876</t>
        </is>
      </c>
      <c r="F7" s="246" t="inlineStr">
        <is>
          <t>BMT SMART SOLUTIONS (PTY) LTD</t>
        </is>
      </c>
      <c r="G7" s="367" t="n">
        <v>52783.16</v>
      </c>
      <c r="H7" s="245" t="inlineStr">
        <is>
          <t>Simon Mokgola</t>
        </is>
      </c>
      <c r="I7" s="245" t="inlineStr">
        <is>
          <t>In Progress</t>
        </is>
      </c>
      <c r="J7" s="245" t="inlineStr">
        <is>
          <t>ACCOUNT - UP TO DATE</t>
        </is>
      </c>
      <c r="K7" s="246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2), 560 Diam Mounting Feet (Qty: 4), 315 to 560 NDA RED ANeoprene Floor Mounts (Qty: 8)</t>
        </is>
      </c>
      <c r="L7" s="244">
        <f>B7</f>
        <v/>
      </c>
    </row>
    <row r="8" ht="28.8" customHeight="1">
      <c r="A8" s="244" t="n">
        <v>46093</v>
      </c>
      <c r="B8" s="244" t="n">
        <v>46112</v>
      </c>
      <c r="C8" s="245" t="inlineStr">
        <is>
          <t>FM3902</t>
        </is>
      </c>
      <c r="D8" s="245" t="inlineStr">
        <is>
          <t>SO4448</t>
        </is>
      </c>
      <c r="E8" s="246" t="inlineStr">
        <is>
          <t>61713</t>
        </is>
      </c>
      <c r="F8" s="246" t="inlineStr">
        <is>
          <t>Chabo &amp; Joubert Air Conditioning (Pty) Ltd</t>
        </is>
      </c>
      <c r="G8" s="367" t="n">
        <v>84019</v>
      </c>
      <c r="H8" s="245" t="inlineStr">
        <is>
          <t>Sizwe Tshabalala</t>
        </is>
      </c>
      <c r="I8" s="245" t="inlineStr">
        <is>
          <t>In Progress</t>
        </is>
      </c>
      <c r="J8" s="245" t="inlineStr">
        <is>
          <t>ACCOUNT - UP TO DATE</t>
        </is>
      </c>
      <c r="K8" s="246" t="inlineStr">
        <is>
          <t>MAJAX 965 c/w 11.00KW 4P 525V - 2 Stage (Qty: 2)</t>
        </is>
      </c>
      <c r="L8" s="244">
        <f>B8</f>
        <v/>
      </c>
    </row>
    <row r="9">
      <c r="A9" s="244" t="n">
        <v>46107</v>
      </c>
      <c r="B9" s="244" t="n">
        <v>46112</v>
      </c>
      <c r="C9" s="245" t="inlineStr">
        <is>
          <t>Pending</t>
        </is>
      </c>
      <c r="D9" s="245" t="inlineStr">
        <is>
          <t>SO4487</t>
        </is>
      </c>
      <c r="E9" s="246" t="inlineStr">
        <is>
          <t>Pending</t>
        </is>
      </c>
      <c r="F9" s="246" t="inlineStr">
        <is>
          <t>ZEFS More Vision</t>
        </is>
      </c>
      <c r="G9" s="367" t="n">
        <v>13735.6</v>
      </c>
      <c r="H9" s="245" t="inlineStr">
        <is>
          <t>Mashudu Tshifularo</t>
        </is>
      </c>
      <c r="I9" s="245" t="inlineStr">
        <is>
          <t>Pending</t>
        </is>
      </c>
      <c r="J9" s="245" t="inlineStr">
        <is>
          <t>CASH SALE - PENDING</t>
        </is>
      </c>
      <c r="K9" s="246" t="inlineStr">
        <is>
          <t>MAXFLO 400/150/10 A c/w 1,10KW 2P 380V-Bifucated (Qty: 1)</t>
        </is>
      </c>
      <c r="L9" s="244">
        <f>B9</f>
        <v/>
      </c>
    </row>
    <row r="10" ht="28.8" customHeight="1">
      <c r="A10" s="244" t="n">
        <v>46108</v>
      </c>
      <c r="B10" s="244" t="n">
        <v>46112</v>
      </c>
      <c r="C10" s="245" t="inlineStr">
        <is>
          <t>FM3964</t>
        </is>
      </c>
      <c r="D10" s="245" t="inlineStr">
        <is>
          <t>SO4489</t>
        </is>
      </c>
      <c r="E10" s="246" t="inlineStr">
        <is>
          <t>PO Number: 4000237198</t>
        </is>
      </c>
      <c r="F10" s="246" t="inlineStr">
        <is>
          <t>barloworld Power</t>
        </is>
      </c>
      <c r="G10" s="367" t="n">
        <v>112877.1</v>
      </c>
      <c r="H10" s="245" t="inlineStr">
        <is>
          <t>Simon Mokgola</t>
        </is>
      </c>
      <c r="I10" s="245" t="inlineStr">
        <is>
          <t>In Progress</t>
        </is>
      </c>
      <c r="J10" s="245" t="inlineStr">
        <is>
          <t>ACCOUNT - UP TO DATE</t>
        </is>
      </c>
      <c r="K10" s="246" t="inlineStr">
        <is>
          <t>MAJAX-3 800 c/w 3,00KW 4P 380V (Qty: 6), 800 Diam Counter Flange (Qty: 12), 800 Diam Mounting Feet (Qty: 12)</t>
        </is>
      </c>
      <c r="L10" s="244">
        <f>B10</f>
        <v/>
      </c>
    </row>
    <row r="11">
      <c r="A11" s="244" t="n">
        <v>46091</v>
      </c>
      <c r="B11" s="244" t="n">
        <v>46113</v>
      </c>
      <c r="C11" s="245" t="inlineStr">
        <is>
          <t>FM3907</t>
        </is>
      </c>
      <c r="D11" s="245" t="inlineStr">
        <is>
          <t>SO4440</t>
        </is>
      </c>
      <c r="E11" s="246" t="inlineStr">
        <is>
          <t>PO2228</t>
        </is>
      </c>
      <c r="F11" s="246" t="inlineStr">
        <is>
          <t>Hucra Fans</t>
        </is>
      </c>
      <c r="G11" s="367" t="n">
        <v>21208.3</v>
      </c>
      <c r="H11" s="245" t="inlineStr">
        <is>
          <t>Sales Agent Hucra Fans</t>
        </is>
      </c>
      <c r="I11" s="245" t="inlineStr">
        <is>
          <t>Ready-Dispatch</t>
        </is>
      </c>
      <c r="J11" s="245" t="inlineStr">
        <is>
          <t>ACCOUNT - UP TO DATE</t>
        </is>
      </c>
      <c r="K11" s="246" t="inlineStr">
        <is>
          <t>SCL-K05 MS-2.2kW 380V (Qty: 1)</t>
        </is>
      </c>
      <c r="L11" s="244">
        <f>B11</f>
        <v/>
      </c>
    </row>
    <row r="12" ht="28.8" customHeight="1">
      <c r="A12" s="244" t="n">
        <v>46104</v>
      </c>
      <c r="B12" s="244" t="n">
        <v>46114</v>
      </c>
      <c r="C12" s="245" t="inlineStr">
        <is>
          <t>FM3952</t>
        </is>
      </c>
      <c r="D12" s="245" t="inlineStr">
        <is>
          <t>SO4475</t>
        </is>
      </c>
      <c r="E12" s="246" t="inlineStr">
        <is>
          <t>J5383-001ORD</t>
        </is>
      </c>
      <c r="F12" s="246" t="inlineStr">
        <is>
          <t>RTS Africa Engineering (Pty) Ltd</t>
        </is>
      </c>
      <c r="G12" s="367" t="n">
        <v>34103.49</v>
      </c>
      <c r="H12" s="245" t="inlineStr">
        <is>
          <t>Simon Mokgola</t>
        </is>
      </c>
      <c r="I12" s="245" t="inlineStr">
        <is>
          <t>In Progress</t>
        </is>
      </c>
      <c r="J12" s="245" t="inlineStr">
        <is>
          <t>ACCOUNT - UP TO DATE</t>
        </is>
      </c>
      <c r="K12" s="246" t="inlineStr">
        <is>
          <t>MAJAX 400 c/w 0.75kW 2Pole 380V (Qty: 2), Data Book (Qty: 2), 400 Diam Side Screen (Qty: 2)</t>
        </is>
      </c>
      <c r="L12" s="244">
        <f>B12</f>
        <v/>
      </c>
    </row>
    <row r="13" ht="28.8" customHeight="1">
      <c r="A13" s="244" t="n">
        <v>46099</v>
      </c>
      <c r="B13" s="244" t="n">
        <v>46128</v>
      </c>
      <c r="C13" s="245" t="inlineStr">
        <is>
          <t>FM3930</t>
        </is>
      </c>
      <c r="D13" s="245" t="inlineStr">
        <is>
          <t>SO4469</t>
        </is>
      </c>
      <c r="E13" s="246" t="inlineStr">
        <is>
          <t>PO0007989 - FAN MAXFLO 710</t>
        </is>
      </c>
      <c r="F13" s="246" t="inlineStr">
        <is>
          <t>AGILITY ENGINEERING SERVICES (PTY) LTD</t>
        </is>
      </c>
      <c r="G13" s="367" t="n">
        <v>69948.06</v>
      </c>
      <c r="H13" s="245" t="inlineStr">
        <is>
          <t>Mashudu Tshifularo</t>
        </is>
      </c>
      <c r="I13" s="245" t="inlineStr">
        <is>
          <t>In Progress</t>
        </is>
      </c>
      <c r="J13" s="245" t="inlineStr">
        <is>
          <t>CASH SALE - PAID</t>
        </is>
      </c>
      <c r="K13" s="246" t="inlineStr">
        <is>
          <t>MAXFLO 710/150/10 A c/w 4,00KW 4P 380V (Qty: 2)</t>
        </is>
      </c>
      <c r="L13" s="244">
        <f>B13</f>
        <v/>
      </c>
    </row>
    <row r="14" ht="187.2" customHeight="1">
      <c r="A14" s="244" t="n">
        <v>46052</v>
      </c>
      <c r="B14" s="244" t="n">
        <v>46129</v>
      </c>
      <c r="C14" s="245" t="inlineStr">
        <is>
          <t>FM3937 FM3951</t>
        </is>
      </c>
      <c r="D14" s="245" t="inlineStr">
        <is>
          <t>SO4331</t>
        </is>
      </c>
      <c r="E14" s="246" t="inlineStr">
        <is>
          <t>PO 62844</t>
        </is>
      </c>
      <c r="F14" s="246" t="inlineStr">
        <is>
          <t>Rey &amp; Lenferna Ltd</t>
        </is>
      </c>
      <c r="G14" s="367" t="n">
        <v>1086604.31</v>
      </c>
      <c r="H14" s="245" t="inlineStr">
        <is>
          <t>Sizwe - R.O.A</t>
        </is>
      </c>
      <c r="I14" s="245" t="inlineStr">
        <is>
          <t>In Progress</t>
        </is>
      </c>
      <c r="J14" s="245" t="inlineStr">
        <is>
          <t>ACCOUNT - UP TO DATE</t>
        </is>
      </c>
      <c r="K14" s="246" t="inlineStr">
        <is>
          <t xml:space="preserve">MAJAX 400 c/w 0.75kW 2Pole 380V, MAXFLO 400/150/10 A c/w 0,75KW 2P 380V, MAXFLO 500/150/10 A c/w 3KW 2P 380V, MAXFLO 560/250/14 A c/w 0,75KW 4P 380V, MAXFLO 560/250/14 A c/w 1,50KW 4P 380V, MAXFLO 560/250/14 A c/w 2,20KW 4P 380V, MAXFLO 630/250/14 A c/w 2,20KW 4P 380V, MAXFLO 630/250/14 A c/w 2,20KW 4P 380V, MAXFLO 630/250/14 A c/w 3,00KW 4P 380V, MAXFLO 630/250/14 A c/w 3,00KW 4P 380V, MAXFLO 710/250/14 A c/w 4,00KW 4P 380V, MAXFLO 800/250/14 A c/w 3,00KW 4P 380V, MAXFLO 900/250/14 A c/w 3,00KW 4P 380V, MAXFLO 900/250/14 A c/w 5,50KW 4P 380V, MAXFLO 900/250/14 A c/w 5,50KW 4P 380V, c/w VSD's, VSD Enclosures, Rect Attenuators, Accessories &amp; Box Fans </t>
        </is>
      </c>
      <c r="L14" s="244">
        <f>B14</f>
        <v/>
      </c>
    </row>
    <row r="15" ht="57.6" customHeight="1">
      <c r="A15" s="244" t="n">
        <v>46105</v>
      </c>
      <c r="B15" s="244" t="n">
        <v>46132</v>
      </c>
      <c r="C15" s="245" t="inlineStr">
        <is>
          <t>FM3955</t>
        </is>
      </c>
      <c r="D15" s="245" t="inlineStr">
        <is>
          <t>SO4479</t>
        </is>
      </c>
      <c r="E15" s="246" t="inlineStr">
        <is>
          <t>PO0000606 - PO11 - JHB FORENSIC PATHOLOGY LAB</t>
        </is>
      </c>
      <c r="F15" s="246" t="inlineStr">
        <is>
          <t>ST AIR SERVICES AND MAINTENANCE (PTY) LTD</t>
        </is>
      </c>
      <c r="G15" s="367" t="n">
        <v>54407.65</v>
      </c>
      <c r="H15" s="245" t="inlineStr">
        <is>
          <t>Simon Mokgola</t>
        </is>
      </c>
      <c r="I15" s="245" t="inlineStr">
        <is>
          <t>Pending</t>
        </is>
      </c>
      <c r="J15" s="245" t="inlineStr">
        <is>
          <t>ACCOUNT - UP TO DATE</t>
        </is>
      </c>
      <c r="K15" s="246" t="inlineStr">
        <is>
          <t>Fumax 1000.32.F. c/w 7.5 kW 4 Pole 380 V Motor (SEF 10) (Qty: 1), Majax Inlet Cone c/w Screen (Qty: 1), 1000 Diam Counter Flange (Qty: 1), 1000 Diam Mounting Feet (Qty: 2), 630 to 1000 NDB GREEN Neoprene Floor Mounts (Qty: 4)</t>
        </is>
      </c>
      <c r="L15" s="244">
        <f>B15</f>
        <v/>
      </c>
    </row>
    <row r="16" ht="57.6" customHeight="1">
      <c r="A16" s="244" t="n">
        <v>46107</v>
      </c>
      <c r="B16" s="244" t="n">
        <v>46136</v>
      </c>
      <c r="C16" s="245" t="inlineStr">
        <is>
          <t>FM3963</t>
        </is>
      </c>
      <c r="D16" s="245" t="inlineStr">
        <is>
          <t>SO4485</t>
        </is>
      </c>
      <c r="E16" s="246" t="inlineStr">
        <is>
          <t>PO0000611 - JHB FORENSIC LAB</t>
        </is>
      </c>
      <c r="F16" s="246" t="inlineStr">
        <is>
          <t>ST AIR SERVICES AND MAINTENANCE (PTY) LTD</t>
        </is>
      </c>
      <c r="G16" s="367" t="n">
        <v>165016.95</v>
      </c>
      <c r="H16" s="245" t="inlineStr">
        <is>
          <t>Simon Mokgola</t>
        </is>
      </c>
      <c r="I16" s="245" t="inlineStr">
        <is>
          <t>Pending</t>
        </is>
      </c>
      <c r="J16" s="245" t="inlineStr">
        <is>
          <t>ACCOUNT - UP TO DATE</t>
        </is>
      </c>
      <c r="K16" s="246" t="inlineStr">
        <is>
          <t>Fumax 1000.32.F. c/w 7.5 kW 4 Pole 380 V Motor (SEF 10) (Qty: 3), Majax Inlet Cone c/w Screen (Qty: 3), 1000 Diam Counter Flange (Qty: 3), 1000 Diam Mounting Feet (Qty: 6), Spring Mount H 1-200Black (Qty: 12)</t>
        </is>
      </c>
      <c r="L16" s="244">
        <f>B16</f>
        <v/>
      </c>
    </row>
    <row r="17" ht="43.2" customHeight="1">
      <c r="A17" s="244" t="n">
        <v>46104</v>
      </c>
      <c r="B17" s="244" t="n">
        <v>46142</v>
      </c>
      <c r="C17" s="245" t="inlineStr">
        <is>
          <t>FM3958</t>
        </is>
      </c>
      <c r="D17" s="245" t="inlineStr">
        <is>
          <t>SO4478</t>
        </is>
      </c>
      <c r="E17" s="246" t="inlineStr">
        <is>
          <t>Plascon Flammable Paint Store</t>
        </is>
      </c>
      <c r="F17" s="246" t="inlineStr">
        <is>
          <t>Dueltron (Pty) Ltd</t>
        </is>
      </c>
      <c r="G17" s="367" t="n">
        <v>31848.1</v>
      </c>
      <c r="H17" s="245" t="inlineStr">
        <is>
          <t>Mashudu Tshifularo</t>
        </is>
      </c>
      <c r="I17" s="245" t="inlineStr">
        <is>
          <t>In Progress</t>
        </is>
      </c>
      <c r="J17" s="245" t="inlineStr">
        <is>
          <t>CASH SALE - PAID</t>
        </is>
      </c>
      <c r="K17" s="246" t="inlineStr">
        <is>
          <t>MAXFLO 560/150/10 P c/w 0,55KW 4P 380V-Flame Proof (Qty: 1), 560 Diam Silencer 1.5D Podded (Qty: 2), 560 Diam Counter Flange (Qty: 2), 560 Diam Mounting Feet (Qty: 4)</t>
        </is>
      </c>
      <c r="L17" s="244">
        <f>B17</f>
        <v/>
      </c>
    </row>
    <row r="18">
      <c r="A18" s="244" t="n">
        <v>46069</v>
      </c>
      <c r="B18" s="244" t="n">
        <v>46157</v>
      </c>
      <c r="C18" s="245" t="inlineStr">
        <is>
          <t>FM3841</t>
        </is>
      </c>
      <c r="D18" s="245" t="inlineStr">
        <is>
          <t>SO4372</t>
        </is>
      </c>
      <c r="E18" s="246" t="inlineStr">
        <is>
          <t>PO2213</t>
        </is>
      </c>
      <c r="F18" s="246" t="inlineStr">
        <is>
          <t>Hucra Fans</t>
        </is>
      </c>
      <c r="G18" s="367" t="n">
        <v>379993.35</v>
      </c>
      <c r="H18" s="245" t="inlineStr">
        <is>
          <t>Sales Agent Hucra Fans</t>
        </is>
      </c>
      <c r="I18" s="245" t="inlineStr">
        <is>
          <t>In Progress</t>
        </is>
      </c>
      <c r="J18" s="245" t="inlineStr">
        <is>
          <t>ACCOUNT - UP TO DATE</t>
        </is>
      </c>
      <c r="K18" s="246" t="inlineStr">
        <is>
          <t>SCL K11 MS - 11.0kW - 525V (Qty: 3)</t>
        </is>
      </c>
      <c r="L18" s="244">
        <f>B18</f>
        <v/>
      </c>
    </row>
    <row r="19">
      <c r="A19" s="244" t="n">
        <v>46077</v>
      </c>
      <c r="B19" s="244" t="n">
        <v>46157</v>
      </c>
      <c r="C19" s="245" t="inlineStr">
        <is>
          <t>FM3874</t>
        </is>
      </c>
      <c r="D19" s="245" t="inlineStr">
        <is>
          <t>SO4404</t>
        </is>
      </c>
      <c r="E19" s="246" t="inlineStr">
        <is>
          <t>PO2174</t>
        </is>
      </c>
      <c r="F19" s="246" t="inlineStr">
        <is>
          <t>ITD North Pty Ltd</t>
        </is>
      </c>
      <c r="G19" s="367" t="n">
        <v>94247.10000000001</v>
      </c>
      <c r="H19" s="245" t="inlineStr">
        <is>
          <t>Mashudu Tshifularo</t>
        </is>
      </c>
      <c r="I19" s="245" t="inlineStr">
        <is>
          <t>In Progress</t>
        </is>
      </c>
      <c r="J19" s="245" t="inlineStr">
        <is>
          <t>CASH SALE – PARTIAL</t>
        </is>
      </c>
      <c r="K19" s="246" t="inlineStr">
        <is>
          <t>RDH 710 K2 - Nicotra Fan (Qty: 1)</t>
        </is>
      </c>
      <c r="L19" s="244">
        <f>B19</f>
        <v/>
      </c>
    </row>
    <row r="20">
      <c r="F20" s="248" t="inlineStr">
        <is>
          <t>Total Value (All):</t>
        </is>
      </c>
      <c r="G20" s="368">
        <f>SUM(G3:G19)</f>
        <v/>
      </c>
    </row>
    <row r="22">
      <c r="F22" s="250" t="inlineStr">
        <is>
          <t>BREAKDOWN</t>
        </is>
      </c>
    </row>
    <row r="23">
      <c r="F23" t="inlineStr">
        <is>
          <t>Cash Sale (March):</t>
        </is>
      </c>
      <c r="G23" s="342">
        <f>SUMIFS(G3:G19, J3:J19, "*CASH SALE*", L3:L19, "&gt;="&amp;EOMONTH(TODAY(),-1)+1, L3:L19, "&lt;="&amp;EOMONTH(TODAY(),0))</f>
        <v/>
      </c>
      <c r="I23" t="inlineStr">
        <is>
          <t>Cash Sale (April):</t>
        </is>
      </c>
      <c r="J23" s="342">
        <f>SUMIFS(G3:G19, J3:J19, "*CASH SALE*", L3:L19, "&gt;="&amp;EOMONTH(TODAY(),0)+1, L3:L19, "&lt;="&amp;EOMONTH(TODAY(),1))</f>
        <v/>
      </c>
    </row>
    <row r="24">
      <c r="F24" t="inlineStr">
        <is>
          <t>Account (March):</t>
        </is>
      </c>
      <c r="G24" s="342">
        <f>SUMIFS(G3:G19, J3:J19, "*ACCOUNT*", L3:L19, "&gt;="&amp;EOMONTH(TODAY(),-1)+1, L3:L19, "&lt;="&amp;EOMONTH(TODAY(),0))</f>
        <v/>
      </c>
      <c r="I24" t="inlineStr">
        <is>
          <t>Account (April):</t>
        </is>
      </c>
      <c r="J24" s="342">
        <f>SUMIFS(G3:G19, J3:J19, "*ACCOUNT*", L3:L19, "&gt;="&amp;EOMONTH(TODAY(),0)+1, L3:L19, "&lt;="&amp;EOMONTH(TODAY(),1))</f>
        <v/>
      </c>
    </row>
    <row r="26">
      <c r="A26" s="239" t="inlineStr">
        <is>
          <t>Date</t>
        </is>
      </c>
      <c r="B26" s="239" t="inlineStr">
        <is>
          <t>Delivery Date</t>
        </is>
      </c>
      <c r="C26" s="239" t="inlineStr">
        <is>
          <t>Job Number</t>
        </is>
      </c>
      <c r="D26" s="239" t="inlineStr">
        <is>
          <t>SO Number</t>
        </is>
      </c>
      <c r="E26" s="239" t="inlineStr">
        <is>
          <t>Customer Ref.</t>
        </is>
      </c>
      <c r="F26" s="239" t="inlineStr">
        <is>
          <t>Customer</t>
        </is>
      </c>
      <c r="G26" s="239" t="inlineStr">
        <is>
          <t>Total</t>
        </is>
      </c>
      <c r="H26" s="239" t="inlineStr">
        <is>
          <t>Sales Rep</t>
        </is>
      </c>
      <c r="I26" s="239" t="inlineStr">
        <is>
          <t>Status</t>
        </is>
      </c>
      <c r="J26" s="239" t="inlineStr">
        <is>
          <t>Payment Status</t>
        </is>
      </c>
      <c r="K26" s="239" t="inlineStr">
        <is>
          <t>Comments</t>
        </is>
      </c>
    </row>
    <row r="27">
      <c r="A27" s="251" t="n">
        <v>46056</v>
      </c>
      <c r="B27" s="251" t="n">
        <v>46108.34466681713</v>
      </c>
      <c r="C27" s="252" t="inlineStr">
        <is>
          <t>FM3808</t>
        </is>
      </c>
      <c r="D27" s="252" t="inlineStr">
        <is>
          <t>SO4339</t>
        </is>
      </c>
      <c r="E27" s="252" t="inlineStr">
        <is>
          <t>PO549NN</t>
        </is>
      </c>
      <c r="F27" s="252" t="inlineStr">
        <is>
          <t>Intervent-Universal (Pty) Ltd</t>
        </is>
      </c>
      <c r="G27" s="367" t="n">
        <v>22816</v>
      </c>
      <c r="H27" s="252" t="inlineStr">
        <is>
          <t>Simon Mokgola</t>
        </is>
      </c>
      <c r="I27" s="252" t="inlineStr">
        <is>
          <t>Ready-Dispatch</t>
        </is>
      </c>
      <c r="J27" s="252" t="inlineStr">
        <is>
          <t>CASH SALE - UNPAID</t>
        </is>
      </c>
      <c r="K27" s="246" t="inlineStr">
        <is>
          <t>Awaiting payment - Client not taking calls (Simon)</t>
        </is>
      </c>
    </row>
    <row r="28">
      <c r="A28" s="251" t="n">
        <v>46077</v>
      </c>
      <c r="B28" s="251" t="n">
        <v>46108.34466681713</v>
      </c>
      <c r="C28" s="252" t="inlineStr">
        <is>
          <t>FM3876</t>
        </is>
      </c>
      <c r="D28" s="252" t="inlineStr">
        <is>
          <t>SO4405</t>
        </is>
      </c>
      <c r="E28" s="252" t="inlineStr">
        <is>
          <t>FM3875 - FM3876</t>
        </is>
      </c>
      <c r="F28" s="252" t="inlineStr">
        <is>
          <t>BMT SMART SOLUTIONS (PTY) LTD</t>
        </is>
      </c>
      <c r="G28" s="367" t="n">
        <v>52783.16</v>
      </c>
      <c r="H28" s="252" t="inlineStr">
        <is>
          <t>Simon Mokgola</t>
        </is>
      </c>
      <c r="I28" s="252" t="inlineStr">
        <is>
          <t>In Progress</t>
        </is>
      </c>
      <c r="J28" s="252" t="inlineStr">
        <is>
          <t>ACCOUNT - UP TO DATE</t>
        </is>
      </c>
      <c r="K28" s="246" t="n"/>
    </row>
    <row r="29" ht="28.8" customHeight="1">
      <c r="A29" s="251" t="n">
        <v>46093</v>
      </c>
      <c r="B29" s="251" t="n">
        <v>46108.34466681713</v>
      </c>
      <c r="C29" s="252" t="inlineStr">
        <is>
          <t>FM3902</t>
        </is>
      </c>
      <c r="D29" s="252" t="inlineStr">
        <is>
          <t>SO4448</t>
        </is>
      </c>
      <c r="E29" s="252" t="inlineStr">
        <is>
          <t>61713</t>
        </is>
      </c>
      <c r="F29" s="252" t="inlineStr">
        <is>
          <t>Chabo &amp; Joubert Air Conditioning (Pty) Ltd</t>
        </is>
      </c>
      <c r="G29" s="367" t="n">
        <v>84019</v>
      </c>
      <c r="H29" s="252" t="inlineStr">
        <is>
          <t>Sizwe Tshabalala</t>
        </is>
      </c>
      <c r="I29" s="252" t="inlineStr">
        <is>
          <t>In Progress</t>
        </is>
      </c>
      <c r="J29" s="252" t="inlineStr">
        <is>
          <t>ACCOUNT - UP TO DATE</t>
        </is>
      </c>
      <c r="K29" s="246" t="n"/>
    </row>
    <row r="30">
      <c r="A30" s="251" t="n">
        <v>46106</v>
      </c>
      <c r="B30" s="251" t="n">
        <v>46108.34466681713</v>
      </c>
      <c r="C30" s="252" t="inlineStr">
        <is>
          <t>FM3962</t>
        </is>
      </c>
      <c r="D30" s="252" t="inlineStr">
        <is>
          <t>SO4482</t>
        </is>
      </c>
      <c r="E30" s="252" t="inlineStr">
        <is>
          <t>nan</t>
        </is>
      </c>
      <c r="F30" s="252" t="inlineStr">
        <is>
          <t>ZEFS More Vision</t>
        </is>
      </c>
      <c r="G30" s="367" t="n">
        <v>9275.9</v>
      </c>
      <c r="H30" s="252" t="inlineStr">
        <is>
          <t>Mashudu Tshifularo</t>
        </is>
      </c>
      <c r="I30" s="252" t="inlineStr">
        <is>
          <t>In Progress</t>
        </is>
      </c>
      <c r="J30" s="252" t="inlineStr">
        <is>
          <t>CASH SALE - PAID</t>
        </is>
      </c>
      <c r="K30" s="246" t="n"/>
    </row>
    <row r="31">
      <c r="F31" s="248" t="inlineStr">
        <is>
          <t>Due Today - Total:</t>
        </is>
      </c>
      <c r="G31" s="368">
        <f>SUM(G27:G30)</f>
        <v/>
      </c>
    </row>
    <row r="33">
      <c r="F33" s="248" t="inlineStr">
        <is>
          <t>Ready-Dispatch:</t>
        </is>
      </c>
      <c r="G33" s="368">
        <f>SUMIFS(G3:G19, I3:I19, "*Ready*Dispatch*")</f>
        <v/>
      </c>
    </row>
  </sheetData>
  <pageMargins left="0.25" right="0.25" top="0.75" bottom="0.75" header="0.3" footer="0.3"/>
  <pageSetup orientation="landscape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zoomScale="70" zoomScaleNormal="70" workbookViewId="0">
      <pane xSplit="4" ySplit="2" topLeftCell="E10" activePane="bottomRight" state="frozen"/>
      <selection pane="topRight" activeCell="A1" sqref="A1"/>
      <selection pane="bottomLeft" activeCell="A1" sqref="A1"/>
      <selection pane="bottomRight" activeCell="K14" sqref="K14"/>
    </sheetView>
  </sheetViews>
  <sheetFormatPr baseColWidth="8" defaultRowHeight="14.4"/>
  <cols>
    <col width="12" customWidth="1" min="1" max="1"/>
    <col width="12" customWidth="1" style="271" min="2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" customWidth="1" min="10" max="10"/>
    <col width="50" customWidth="1" min="11" max="11"/>
    <col width="12" customWidth="1" min="12" max="12"/>
  </cols>
  <sheetData>
    <row r="1" ht="18" customHeight="1">
      <c r="A1" s="255" t="inlineStr">
        <is>
          <t>SALES ORDER REPORT</t>
        </is>
      </c>
      <c r="K1" s="256">
        <f>TODAY()</f>
        <v/>
      </c>
    </row>
    <row r="2" ht="43.2" customHeight="1">
      <c r="A2" s="257" t="inlineStr">
        <is>
          <t>Date</t>
        </is>
      </c>
      <c r="B2" s="272" t="inlineStr">
        <is>
          <t>Delivery Date</t>
        </is>
      </c>
      <c r="C2" s="257" t="inlineStr">
        <is>
          <t>Job Number</t>
        </is>
      </c>
      <c r="D2" s="257" t="inlineStr">
        <is>
          <t>SO Number</t>
        </is>
      </c>
      <c r="E2" s="257" t="inlineStr">
        <is>
          <t>Customer Ref.</t>
        </is>
      </c>
      <c r="F2" s="257" t="inlineStr">
        <is>
          <t>Customer</t>
        </is>
      </c>
      <c r="G2" s="257" t="inlineStr">
        <is>
          <t>Total</t>
        </is>
      </c>
      <c r="H2" s="257" t="inlineStr">
        <is>
          <t>Sales Rep</t>
        </is>
      </c>
      <c r="I2" s="257" t="inlineStr">
        <is>
          <t>Status</t>
        </is>
      </c>
      <c r="J2" s="257" t="inlineStr">
        <is>
          <t>Payment Status</t>
        </is>
      </c>
      <c r="K2" s="257" t="inlineStr">
        <is>
          <t>Details</t>
        </is>
      </c>
      <c r="L2" s="257" t="inlineStr">
        <is>
          <t>Planned Delivery Date</t>
        </is>
      </c>
    </row>
    <row r="3" ht="28.8" customHeight="1">
      <c r="A3" s="258" t="n">
        <v>46093</v>
      </c>
      <c r="B3" s="258" t="n">
        <v>46111.39913777778</v>
      </c>
      <c r="C3" s="259" t="inlineStr">
        <is>
          <t>FM3902</t>
        </is>
      </c>
      <c r="D3" s="259" t="inlineStr">
        <is>
          <t>SO4448</t>
        </is>
      </c>
      <c r="E3" s="260" t="inlineStr">
        <is>
          <t>61713</t>
        </is>
      </c>
      <c r="F3" s="260" t="inlineStr">
        <is>
          <t>Chabo &amp; Joubert Air Conditioning (Pty) Ltd</t>
        </is>
      </c>
      <c r="G3" s="369" t="n">
        <v>84019</v>
      </c>
      <c r="H3" s="259" t="inlineStr">
        <is>
          <t>Sizwe Tshabalala</t>
        </is>
      </c>
      <c r="I3" s="259" t="inlineStr">
        <is>
          <t>In Progress</t>
        </is>
      </c>
      <c r="J3" s="259" t="inlineStr">
        <is>
          <t>ACCOUNT - UP TO DATE</t>
        </is>
      </c>
      <c r="K3" s="260" t="inlineStr">
        <is>
          <t>MAJAX 965 c/w 11,00KW 4P 525V - 2 Stage (Qty: 2)</t>
        </is>
      </c>
      <c r="L3" s="258">
        <f>B3</f>
        <v/>
      </c>
    </row>
    <row r="4">
      <c r="A4" s="258" t="n">
        <v>46106</v>
      </c>
      <c r="B4" s="258" t="n">
        <v>46111.39913777778</v>
      </c>
      <c r="C4" s="259" t="inlineStr">
        <is>
          <t>FM3959</t>
        </is>
      </c>
      <c r="D4" s="259" t="inlineStr">
        <is>
          <t>SO4483</t>
        </is>
      </c>
      <c r="E4" s="260" t="inlineStr">
        <is>
          <t>PO:30155</t>
        </is>
      </c>
      <c r="F4" s="260" t="inlineStr">
        <is>
          <t>Atlas Air Conditioning (Pty) Ltd</t>
        </is>
      </c>
      <c r="G4" s="369" t="n">
        <v>7930.91</v>
      </c>
      <c r="H4" s="259" t="inlineStr">
        <is>
          <t>Mashudu Tshifularo</t>
        </is>
      </c>
      <c r="I4" s="259" t="inlineStr">
        <is>
          <t>In Progress</t>
        </is>
      </c>
      <c r="J4" s="259" t="inlineStr">
        <is>
          <t>ACCOUNT - UP TO DATE</t>
        </is>
      </c>
      <c r="K4" s="260" t="inlineStr">
        <is>
          <t>MAJAX-3 500 c/w 0,37KW 4P 380V (Qty: 1)</t>
        </is>
      </c>
      <c r="L4" s="258">
        <f>B4</f>
        <v/>
      </c>
    </row>
    <row r="5" ht="43.2" customHeight="1">
      <c r="A5" s="262" t="n">
        <v>46104</v>
      </c>
      <c r="B5" s="262" t="n">
        <v>46112</v>
      </c>
      <c r="C5" s="263" t="inlineStr">
        <is>
          <t>FM3958</t>
        </is>
      </c>
      <c r="D5" s="263" t="inlineStr">
        <is>
          <t>SO4478</t>
        </is>
      </c>
      <c r="E5" s="264" t="inlineStr">
        <is>
          <t>Plascon Flammable Paint Store</t>
        </is>
      </c>
      <c r="F5" s="264" t="inlineStr">
        <is>
          <t>Dueltron (Pty) Ltd</t>
        </is>
      </c>
      <c r="G5" s="370" t="n">
        <v>31848.1</v>
      </c>
      <c r="H5" s="263" t="inlineStr">
        <is>
          <t>Mashudu Tshifularo</t>
        </is>
      </c>
      <c r="I5" s="263" t="inlineStr">
        <is>
          <t>In Progress</t>
        </is>
      </c>
      <c r="J5" s="263" t="inlineStr">
        <is>
          <t>ACCOUNT - UP TO DATE</t>
        </is>
      </c>
      <c r="K5" s="264" t="inlineStr">
        <is>
          <t>MAXFLO 560/150/10 P c/w 0,55KW 4P 380V-Flame Proof (Qty: 1), 560 Diam Silencer 1.5D Podded (Qty: 2), 560 Diam Counter Flange (Qty: 2), 560 Diam Mounting Feet (Qty: 4)</t>
        </is>
      </c>
      <c r="L5" s="262">
        <f>B5</f>
        <v/>
      </c>
    </row>
    <row r="6" ht="28.8" customHeight="1">
      <c r="A6" s="262" t="n">
        <v>46108</v>
      </c>
      <c r="B6" s="262" t="n">
        <v>46112</v>
      </c>
      <c r="C6" s="263" t="inlineStr">
        <is>
          <t>FM3964</t>
        </is>
      </c>
      <c r="D6" s="263" t="inlineStr">
        <is>
          <t>SO4489</t>
        </is>
      </c>
      <c r="E6" s="264" t="inlineStr">
        <is>
          <t>PO Number: 4000237198</t>
        </is>
      </c>
      <c r="F6" s="264" t="inlineStr">
        <is>
          <t>barloworld Power</t>
        </is>
      </c>
      <c r="G6" s="370" t="n">
        <v>112877.1</v>
      </c>
      <c r="H6" s="263" t="inlineStr">
        <is>
          <t>Simon Mokgola</t>
        </is>
      </c>
      <c r="I6" s="263" t="inlineStr">
        <is>
          <t>In Progress</t>
        </is>
      </c>
      <c r="J6" s="263" t="inlineStr">
        <is>
          <t>ACCOUNT - UP TO DATE</t>
        </is>
      </c>
      <c r="K6" s="264" t="inlineStr">
        <is>
          <t>MAJAX-3 800 c/w 3,00KW 4P 380V (Qty: 6), 800 Diam Counter Flange (Qty: 12), 800 Diam Mounting Feet (Qty: 12)</t>
        </is>
      </c>
      <c r="L6" s="262">
        <f>B6</f>
        <v/>
      </c>
    </row>
    <row r="7" ht="28.8" customHeight="1">
      <c r="A7" s="262" t="n">
        <v>46104</v>
      </c>
      <c r="B7" s="262" t="n">
        <v>46112</v>
      </c>
      <c r="C7" s="263" t="inlineStr">
        <is>
          <t>FM3952</t>
        </is>
      </c>
      <c r="D7" s="263" t="inlineStr">
        <is>
          <t>SO4475</t>
        </is>
      </c>
      <c r="E7" s="264" t="inlineStr">
        <is>
          <t>J5383-001ORD</t>
        </is>
      </c>
      <c r="F7" s="264" t="inlineStr">
        <is>
          <t>RTS Africa Engineering (Pty) Ltd</t>
        </is>
      </c>
      <c r="G7" s="370" t="n">
        <v>34103.49</v>
      </c>
      <c r="H7" s="263" t="inlineStr">
        <is>
          <t>Simon Mokgola</t>
        </is>
      </c>
      <c r="I7" s="263" t="inlineStr">
        <is>
          <t>In Progress</t>
        </is>
      </c>
      <c r="J7" s="263" t="inlineStr">
        <is>
          <t>ACCOUNT - UP TO DATE</t>
        </is>
      </c>
      <c r="K7" s="264" t="inlineStr">
        <is>
          <t>MAJAX 400 c/w 0.75kW 2Pole 380V (Qty: 2), Data Book (Qty: 2), 400 Diam Side Screen (Qty: 2)</t>
        </is>
      </c>
      <c r="L7" s="262">
        <f>B7</f>
        <v/>
      </c>
    </row>
    <row r="8" ht="28.8" customHeight="1">
      <c r="A8" s="262" t="n">
        <v>46111</v>
      </c>
      <c r="B8" s="262" t="n">
        <v>46112</v>
      </c>
      <c r="C8" s="263" t="inlineStr">
        <is>
          <t>FM3967</t>
        </is>
      </c>
      <c r="D8" s="263" t="inlineStr">
        <is>
          <t>SO4492</t>
        </is>
      </c>
      <c r="E8" s="264" t="inlineStr">
        <is>
          <t>PO260306</t>
        </is>
      </c>
      <c r="F8" s="264" t="inlineStr">
        <is>
          <t>Alpha Air Ventilation Services</t>
        </is>
      </c>
      <c r="G8" s="370" t="n">
        <v>9014.209999999999</v>
      </c>
      <c r="H8" s="263" t="inlineStr">
        <is>
          <t>Sizwe Tshabalala</t>
        </is>
      </c>
      <c r="I8" s="263" t="inlineStr">
        <is>
          <t>Pending</t>
        </is>
      </c>
      <c r="J8" s="263" t="inlineStr">
        <is>
          <t>Pending</t>
        </is>
      </c>
      <c r="K8" s="264" t="inlineStr">
        <is>
          <t>MAJAX-2 500 c/w 0,55KW 4P 380V (Qty: 1), 500 Diam Counter Flange (Qty: 2)</t>
        </is>
      </c>
      <c r="L8" s="262">
        <f>B8</f>
        <v/>
      </c>
    </row>
    <row r="9">
      <c r="A9" s="262" t="n">
        <v>46091</v>
      </c>
      <c r="B9" s="262" t="n">
        <v>46113</v>
      </c>
      <c r="C9" s="263" t="inlineStr">
        <is>
          <t>FM3907</t>
        </is>
      </c>
      <c r="D9" s="263" t="inlineStr">
        <is>
          <t>SO4440</t>
        </is>
      </c>
      <c r="E9" s="264" t="inlineStr">
        <is>
          <t>PO2228</t>
        </is>
      </c>
      <c r="F9" s="264" t="inlineStr">
        <is>
          <t>Hucra Fans</t>
        </is>
      </c>
      <c r="G9" s="370" t="n">
        <v>21208.3</v>
      </c>
      <c r="H9" s="263" t="inlineStr">
        <is>
          <t>Sales Agent Hucra Fans</t>
        </is>
      </c>
      <c r="I9" s="263" t="inlineStr">
        <is>
          <t>Ready-Dispatch</t>
        </is>
      </c>
      <c r="J9" s="263" t="inlineStr">
        <is>
          <t>ACCOUNT - UP TO DATE</t>
        </is>
      </c>
      <c r="K9" s="264" t="inlineStr">
        <is>
          <t>SCL-K05 MS-2.2kW 380V (Qty: 1)</t>
        </is>
      </c>
      <c r="L9" s="262">
        <f>B9</f>
        <v/>
      </c>
    </row>
    <row r="10" ht="115.2" customHeight="1">
      <c r="A10" s="262" t="n">
        <v>46077</v>
      </c>
      <c r="B10" s="262" t="n">
        <v>46122</v>
      </c>
      <c r="C10" s="263" t="inlineStr">
        <is>
          <t>FM3876</t>
        </is>
      </c>
      <c r="D10" s="263" t="inlineStr">
        <is>
          <t>SO4405</t>
        </is>
      </c>
      <c r="E10" s="264" t="inlineStr">
        <is>
          <t>FM3875 - FM3876</t>
        </is>
      </c>
      <c r="F10" s="264" t="inlineStr">
        <is>
          <t>BMT SMART SOLUTIONS (PTY) LTD</t>
        </is>
      </c>
      <c r="G10" s="370" t="n">
        <v>52783.16</v>
      </c>
      <c r="H10" s="263" t="inlineStr">
        <is>
          <t>Simon Mokgola</t>
        </is>
      </c>
      <c r="I10" s="263" t="inlineStr">
        <is>
          <t>In Progress</t>
        </is>
      </c>
      <c r="J10" s="263" t="inlineStr">
        <is>
          <t>ACCOUNT - UP TO DATE</t>
        </is>
      </c>
      <c r="K10" s="264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2), 560 Diam Mounting Feet (Qty: 4), 315 to 560 NDA RED ANeoprene Floor Mounts (Qty: 8)</t>
        </is>
      </c>
      <c r="L10" s="262">
        <f>B10</f>
        <v/>
      </c>
    </row>
    <row r="11" ht="28.8" customHeight="1">
      <c r="A11" s="262" t="n">
        <v>46107</v>
      </c>
      <c r="B11" s="262" t="n">
        <v>46122</v>
      </c>
      <c r="C11" s="263" t="inlineStr">
        <is>
          <t>FM3962</t>
        </is>
      </c>
      <c r="D11" s="263" t="inlineStr">
        <is>
          <t>SO4487</t>
        </is>
      </c>
      <c r="E11" s="264" t="inlineStr">
        <is>
          <t>FM3962</t>
        </is>
      </c>
      <c r="F11" s="264" t="inlineStr">
        <is>
          <t>ZEFS More Vision</t>
        </is>
      </c>
      <c r="G11" s="370" t="n">
        <v>13735.6</v>
      </c>
      <c r="H11" s="263" t="inlineStr">
        <is>
          <t>Mashudu Tshifularo</t>
        </is>
      </c>
      <c r="I11" s="263" t="inlineStr">
        <is>
          <t>In Progress</t>
        </is>
      </c>
      <c r="J11" s="263" t="inlineStr">
        <is>
          <t>CASH SALE - PAID</t>
        </is>
      </c>
      <c r="K11" s="264" t="inlineStr">
        <is>
          <t>MAXFLO 400/150/10 A c/w 1,10KW 2P 380V-Bifucated (Qty: 1)</t>
        </is>
      </c>
      <c r="L11" s="262">
        <f>B11</f>
        <v/>
      </c>
    </row>
    <row r="12">
      <c r="A12" s="262" t="n">
        <v>46058</v>
      </c>
      <c r="B12" s="262" t="n">
        <v>46126</v>
      </c>
      <c r="C12" s="263" t="inlineStr">
        <is>
          <t>FM3812</t>
        </is>
      </c>
      <c r="D12" s="263" t="inlineStr">
        <is>
          <t>SO4343</t>
        </is>
      </c>
      <c r="E12" s="264" t="inlineStr">
        <is>
          <t>DPO-1616</t>
        </is>
      </c>
      <c r="F12" s="264" t="inlineStr">
        <is>
          <t>Dueltron (Pty) Ltd</t>
        </is>
      </c>
      <c r="G12" s="370" t="n">
        <v>145269.15</v>
      </c>
      <c r="H12" s="263" t="inlineStr">
        <is>
          <t>Mashudu Tshifularo</t>
        </is>
      </c>
      <c r="I12" s="263" t="inlineStr">
        <is>
          <t>In Progress</t>
        </is>
      </c>
      <c r="J12" s="263" t="inlineStr">
        <is>
          <t>ACCOUNT - UP TO DATE</t>
        </is>
      </c>
      <c r="K12" s="264" t="inlineStr">
        <is>
          <t>MAJAX-2 BIF 1250 c/w 22,00KW 4P 380V (Qty: 1)</t>
        </is>
      </c>
      <c r="L12" s="262">
        <f>B12</f>
        <v/>
      </c>
    </row>
    <row r="13" ht="28.8" customHeight="1">
      <c r="A13" s="262" t="n">
        <v>46099</v>
      </c>
      <c r="B13" s="262" t="n">
        <v>46128</v>
      </c>
      <c r="C13" s="263" t="inlineStr">
        <is>
          <t>FM3930</t>
        </is>
      </c>
      <c r="D13" s="263" t="inlineStr">
        <is>
          <t>SO4469</t>
        </is>
      </c>
      <c r="E13" s="264" t="inlineStr">
        <is>
          <t>PO0007989 - FAN MAXFLO 710</t>
        </is>
      </c>
      <c r="F13" s="264" t="inlineStr">
        <is>
          <t>AGILITY ENGINEERING SERVICES (PTY) LTD</t>
        </is>
      </c>
      <c r="G13" s="370" t="n">
        <v>69948.06</v>
      </c>
      <c r="H13" s="263" t="inlineStr">
        <is>
          <t>Mashudu Tshifularo</t>
        </is>
      </c>
      <c r="I13" s="263" t="inlineStr">
        <is>
          <t>In Progress</t>
        </is>
      </c>
      <c r="J13" s="263" t="inlineStr">
        <is>
          <t>CASH SALE - PAID</t>
        </is>
      </c>
      <c r="K13" s="264" t="inlineStr">
        <is>
          <t>MAXFLO 710/150/10 A c/w 4,00KW 4P 380V (Qty: 2)</t>
        </is>
      </c>
      <c r="L13" s="262">
        <f>B13</f>
        <v/>
      </c>
    </row>
    <row r="14" ht="187.2" customHeight="1">
      <c r="A14" s="262" t="n">
        <v>46052</v>
      </c>
      <c r="B14" s="262" t="n">
        <v>46129</v>
      </c>
      <c r="C14" s="263" t="inlineStr">
        <is>
          <t>FM3937</t>
        </is>
      </c>
      <c r="D14" s="263" t="inlineStr">
        <is>
          <t>SO4331</t>
        </is>
      </c>
      <c r="E14" s="264" t="inlineStr">
        <is>
          <t>PO 62844</t>
        </is>
      </c>
      <c r="F14" s="264" t="inlineStr">
        <is>
          <t>Rey &amp; Lenferna Ltd</t>
        </is>
      </c>
      <c r="G14" s="370" t="n">
        <v>1086604.31</v>
      </c>
      <c r="H14" s="263" t="inlineStr">
        <is>
          <t>Sizwe - R.O.A</t>
        </is>
      </c>
      <c r="I14" s="263" t="inlineStr">
        <is>
          <t>In Progress</t>
        </is>
      </c>
      <c r="J14" s="263" t="inlineStr">
        <is>
          <t>ACCOUNT - UP TO DATE</t>
        </is>
      </c>
      <c r="K14" s="264" t="inlineStr">
        <is>
          <t xml:space="preserve">MAJAX 400 c/w 0.75kW 2Pole 380V, MAXFLO 400/150/10 A c/w 0,75KW 2P 380V, MAXFLO 500/150/10 A c/w 3KW 2P 380V, MAXFLO 560/250/14 A c/w 0,75KW 4P 380V, MAXFLO 560/250/14 A c/w 1,50KW 4P 380V, MAXFLO 560/250/14 A c/w 2,20KW 4P 380V, MAXFLO 630/250/14 A c/w 2,20KW 4P 380V, MAXFLO 630/250/14 A c/w 2,20KW 4P 380V, MAXFLO 630/250/14 A c/w 3,00KW 4P 380V, MAXFLO 630/250/14 A c/w 3,00KW 4P 380V, MAXFLO 710/250/14 A c/w 4,00KW 4P 380V, MAXFLO 800/250/14 A c/w 3,00KW 4P 380V, MAXFLO 900/250/14 A c/w 3,00KW 4P 380V, MAXFLO 900/250/14 A c/w 5,50KW 4P 380V, MAXFLO 900/250/14 A c/w 5,50KW 4P 380V, c/w VSD's, VSD Enclosures, Rect Attenuators, Accessories &amp; Box Fans </t>
        </is>
      </c>
      <c r="L14" s="262">
        <f>B14</f>
        <v/>
      </c>
    </row>
    <row r="15" ht="57.6" customHeight="1">
      <c r="A15" s="262" t="n">
        <v>46105</v>
      </c>
      <c r="B15" s="262" t="n">
        <v>46132</v>
      </c>
      <c r="C15" s="263" t="inlineStr">
        <is>
          <t>FM3955</t>
        </is>
      </c>
      <c r="D15" s="263" t="inlineStr">
        <is>
          <t>SO4479</t>
        </is>
      </c>
      <c r="E15" s="264" t="inlineStr">
        <is>
          <t>PO0000606 - PO11 - JHB FORENSIC PATHOLOGY LAB</t>
        </is>
      </c>
      <c r="F15" s="264" t="inlineStr">
        <is>
          <t>ST AIR SERVICES AND MAINTENANCE (PTY) LTD</t>
        </is>
      </c>
      <c r="G15" s="370" t="n">
        <v>54407.65</v>
      </c>
      <c r="H15" s="263" t="inlineStr">
        <is>
          <t>Simon Mokgola</t>
        </is>
      </c>
      <c r="I15" s="263" t="inlineStr">
        <is>
          <t>In Progress</t>
        </is>
      </c>
      <c r="J15" s="263" t="inlineStr">
        <is>
          <t>ACCOUNT - UP TO DATE</t>
        </is>
      </c>
      <c r="K15" s="264" t="inlineStr">
        <is>
          <t>Fumax 1000.32.F. c/w 7.5 kW 4 Pole 380 V Motor (SEF 10) (Qty: 1), Majax Inlet Cone c/w Screen (Qty: 1), 1000 Diam Counter Flange (Qty: 1), 1000 Diam Mounting Feet (Qty: 2), 630 to 1000 NDB GREEN Neoprene Floor Mounts (Qty: 4)</t>
        </is>
      </c>
      <c r="L15" s="262">
        <f>B15</f>
        <v/>
      </c>
    </row>
    <row r="16" ht="57.6" customHeight="1">
      <c r="A16" s="262" t="n">
        <v>46107</v>
      </c>
      <c r="B16" s="262" t="n">
        <v>46136</v>
      </c>
      <c r="C16" s="263" t="inlineStr">
        <is>
          <t>FM3963</t>
        </is>
      </c>
      <c r="D16" s="263" t="inlineStr">
        <is>
          <t>SO4485</t>
        </is>
      </c>
      <c r="E16" s="264" t="inlineStr">
        <is>
          <t>PO0000611 - JHB FORENSIC LAB</t>
        </is>
      </c>
      <c r="F16" s="264" t="inlineStr">
        <is>
          <t>ST AIR SERVICES AND MAINTENANCE (PTY) LTD</t>
        </is>
      </c>
      <c r="G16" s="370" t="n">
        <v>165016.95</v>
      </c>
      <c r="H16" s="263" t="inlineStr">
        <is>
          <t>Simon Mokgola</t>
        </is>
      </c>
      <c r="I16" s="263" t="inlineStr">
        <is>
          <t>In Progress</t>
        </is>
      </c>
      <c r="J16" s="263" t="inlineStr">
        <is>
          <t>ACCOUNT - UP TO DATE</t>
        </is>
      </c>
      <c r="K16" s="246" t="inlineStr">
        <is>
          <t>Fumax 1000.32.F. c/w 7.5 kW 4 Pole 380 V Motor (SEF 10) (Qty: 3), Majax Inlet Cone c/w Screen (Qty: 3), 1000 Diam Counter Flange (Qty: 3), 1000 Diam Mounting Feet (Qty: 6), Spring Mount H 1-200Black (Qty: 12)</t>
        </is>
      </c>
      <c r="L16" s="262">
        <f>B16</f>
        <v/>
      </c>
    </row>
    <row r="17">
      <c r="A17" s="262" t="n">
        <v>46069</v>
      </c>
      <c r="B17" s="262" t="n">
        <v>46157</v>
      </c>
      <c r="C17" s="263" t="inlineStr">
        <is>
          <t>FM3841</t>
        </is>
      </c>
      <c r="D17" s="263" t="inlineStr">
        <is>
          <t>SO4372</t>
        </is>
      </c>
      <c r="E17" s="264" t="inlineStr">
        <is>
          <t>PO2213</t>
        </is>
      </c>
      <c r="F17" s="264" t="inlineStr">
        <is>
          <t>Hucra Fans</t>
        </is>
      </c>
      <c r="G17" s="370" t="n">
        <v>379993.35</v>
      </c>
      <c r="H17" s="263" t="inlineStr">
        <is>
          <t>Sales Agent Hucra Fans</t>
        </is>
      </c>
      <c r="I17" s="263" t="inlineStr">
        <is>
          <t>In Progress</t>
        </is>
      </c>
      <c r="J17" s="263" t="inlineStr">
        <is>
          <t>ACCOUNT - UP TO DATE</t>
        </is>
      </c>
      <c r="K17" s="264" t="inlineStr">
        <is>
          <t>SCL K11 MS - 11.0kW - 525V (Qty: 3)</t>
        </is>
      </c>
      <c r="L17" s="262">
        <f>B17</f>
        <v/>
      </c>
    </row>
    <row r="18">
      <c r="A18" s="262" t="n">
        <v>46077</v>
      </c>
      <c r="B18" s="262" t="n">
        <v>46157</v>
      </c>
      <c r="C18" s="263" t="inlineStr">
        <is>
          <t>FM3874</t>
        </is>
      </c>
      <c r="D18" s="263" t="inlineStr">
        <is>
          <t>SO4404</t>
        </is>
      </c>
      <c r="E18" s="264" t="inlineStr">
        <is>
          <t>PO2174</t>
        </is>
      </c>
      <c r="F18" s="264" t="inlineStr">
        <is>
          <t>ITD North Pty Ltd</t>
        </is>
      </c>
      <c r="G18" s="370" t="n">
        <v>94247.10000000001</v>
      </c>
      <c r="H18" s="263" t="inlineStr">
        <is>
          <t>Mashudu Tshifularo</t>
        </is>
      </c>
      <c r="I18" s="263" t="inlineStr">
        <is>
          <t>In Progress</t>
        </is>
      </c>
      <c r="J18" s="263" t="inlineStr">
        <is>
          <t>CASH SALE – PARTIAL</t>
        </is>
      </c>
      <c r="K18" s="264" t="inlineStr">
        <is>
          <t>RDH 710 K2 - Nicotra Fan (Qty: 1)</t>
        </is>
      </c>
      <c r="L18" s="262">
        <f>B18</f>
        <v/>
      </c>
    </row>
    <row r="19">
      <c r="F19" s="266" t="inlineStr">
        <is>
          <t>Total Value (All):</t>
        </is>
      </c>
      <c r="G19" s="371">
        <f>SUM(G3:G18)</f>
        <v/>
      </c>
    </row>
    <row r="21">
      <c r="F21" s="268" t="inlineStr">
        <is>
          <t>BREAKDOWN</t>
        </is>
      </c>
    </row>
    <row r="22">
      <c r="F22" t="inlineStr">
        <is>
          <t>Cash Sale (March):</t>
        </is>
      </c>
      <c r="G22" s="342">
        <f>SUMIFS(G3:G18, J3:J18, "*CASH SALE*", L3:L18, "&gt;="&amp;EOMONTH(TODAY(),-1)+1, L3:L18, "&lt;="&amp;EOMONTH(TODAY(),0))</f>
        <v/>
      </c>
      <c r="I22" t="inlineStr">
        <is>
          <t>Cash Sale (April):</t>
        </is>
      </c>
      <c r="J22" s="342">
        <f>SUMIFS(G3:G18, J3:J18, "*CASH SALE*", L3:L18, "&gt;="&amp;EOMONTH(TODAY(),0)+1, L3:L18, "&lt;="&amp;EOMONTH(TODAY(),1))</f>
        <v/>
      </c>
    </row>
    <row r="23">
      <c r="F23" t="inlineStr">
        <is>
          <t>Account (March):</t>
        </is>
      </c>
      <c r="G23" s="342">
        <f>SUMIFS(G3:G18, J3:J18, "*ACCOUNT*", L3:L18, "&gt;="&amp;EOMONTH(TODAY(),-1)+1, L3:L18, "&lt;="&amp;EOMONTH(TODAY(),0))</f>
        <v/>
      </c>
      <c r="I23" t="inlineStr">
        <is>
          <t>Account (April):</t>
        </is>
      </c>
      <c r="J23" s="342">
        <f>SUMIFS(G3:G18, J3:J18, "*ACCOUNT*", L3:L18, "&gt;="&amp;EOMONTH(TODAY(),0)+1, L3:L18, "&lt;="&amp;EOMONTH(TODAY(),1))</f>
        <v/>
      </c>
    </row>
    <row r="25">
      <c r="A25" s="257" t="inlineStr">
        <is>
          <t>Date</t>
        </is>
      </c>
      <c r="B25" s="272" t="inlineStr">
        <is>
          <t>Delivery Date</t>
        </is>
      </c>
      <c r="C25" s="257" t="inlineStr">
        <is>
          <t>Job Number</t>
        </is>
      </c>
      <c r="D25" s="257" t="inlineStr">
        <is>
          <t>SO Number</t>
        </is>
      </c>
      <c r="E25" s="257" t="inlineStr">
        <is>
          <t>Customer Ref.</t>
        </is>
      </c>
      <c r="F25" s="257" t="inlineStr">
        <is>
          <t>Customer</t>
        </is>
      </c>
      <c r="G25" s="257" t="inlineStr">
        <is>
          <t>Total</t>
        </is>
      </c>
      <c r="H25" s="257" t="inlineStr">
        <is>
          <t>Sales Rep</t>
        </is>
      </c>
      <c r="I25" s="257" t="inlineStr">
        <is>
          <t>Status</t>
        </is>
      </c>
      <c r="J25" s="257" t="inlineStr">
        <is>
          <t>Payment Status</t>
        </is>
      </c>
      <c r="K25" s="257" t="inlineStr">
        <is>
          <t>Comments</t>
        </is>
      </c>
    </row>
    <row r="26" ht="28.8" customHeight="1">
      <c r="A26" s="269" t="n">
        <v>46093</v>
      </c>
      <c r="B26" s="269" t="n">
        <v>46111.39913777778</v>
      </c>
      <c r="C26" s="270" t="inlineStr">
        <is>
          <t>FM3902</t>
        </is>
      </c>
      <c r="D26" s="270" t="inlineStr">
        <is>
          <t>SO4448</t>
        </is>
      </c>
      <c r="E26" s="270" t="inlineStr">
        <is>
          <t>61713</t>
        </is>
      </c>
      <c r="F26" s="270" t="inlineStr">
        <is>
          <t>Chabo &amp; Joubert Air Conditioning (Pty) Ltd</t>
        </is>
      </c>
      <c r="G26" s="370" t="n">
        <v>84019</v>
      </c>
      <c r="H26" s="270" t="inlineStr">
        <is>
          <t>Sizwe Tshabalala</t>
        </is>
      </c>
      <c r="I26" s="270" t="inlineStr">
        <is>
          <t>In Progress</t>
        </is>
      </c>
      <c r="J26" s="270" t="inlineStr">
        <is>
          <t>ACCOUNT - UP TO DATE</t>
        </is>
      </c>
      <c r="K26" s="264" t="n"/>
    </row>
    <row r="27">
      <c r="A27" s="269" t="n">
        <v>46106</v>
      </c>
      <c r="B27" s="269" t="n">
        <v>46111.39913777778</v>
      </c>
      <c r="C27" s="270" t="inlineStr">
        <is>
          <t>FM3959</t>
        </is>
      </c>
      <c r="D27" s="270" t="inlineStr">
        <is>
          <t>SO4483</t>
        </is>
      </c>
      <c r="E27" s="270" t="inlineStr">
        <is>
          <t>PO:30155</t>
        </is>
      </c>
      <c r="F27" s="270" t="inlineStr">
        <is>
          <t>Atlas Air Conditioning (Pty) Ltd</t>
        </is>
      </c>
      <c r="G27" s="370" t="n">
        <v>7930.91</v>
      </c>
      <c r="H27" s="270" t="inlineStr">
        <is>
          <t>Mashudu Tshifularo</t>
        </is>
      </c>
      <c r="I27" s="270" t="inlineStr">
        <is>
          <t>In Progress</t>
        </is>
      </c>
      <c r="J27" s="270" t="inlineStr">
        <is>
          <t>ACCOUNT - UP TO DATE</t>
        </is>
      </c>
      <c r="K27" s="264" t="n"/>
    </row>
    <row r="28">
      <c r="F28" s="266" t="inlineStr">
        <is>
          <t>Due Today - Total:</t>
        </is>
      </c>
      <c r="G28" s="371">
        <f>SUM(G26:G27)</f>
        <v/>
      </c>
    </row>
    <row r="30">
      <c r="F30" s="266" t="inlineStr">
        <is>
          <t>Ready-Dispatch:</t>
        </is>
      </c>
      <c r="G30" s="371">
        <f>SUMIFS(G3:G18, I3:I18, "*Ready*Dispatch*")</f>
        <v/>
      </c>
    </row>
  </sheetData>
  <printOptions horizontalCentered="1"/>
  <pageMargins left="0.2362204724409449" right="0.2362204724409449" top="0.5511811023622047" bottom="0.5511811023622047" header="0.3149606299212598" footer="0.3149606299212598"/>
  <pageSetup orientation="landscape" scale="5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tabSelected="1" zoomScale="85" zoomScaleNormal="85" workbookViewId="0">
      <pane xSplit="4" ySplit="2" topLeftCell="E12" activePane="bottomRight" state="frozen"/>
      <selection pane="topRight" activeCell="A1" sqref="A1"/>
      <selection pane="bottomLeft" activeCell="A1" sqref="A1"/>
      <selection pane="bottomRight" activeCell="J21" sqref="J21"/>
    </sheetView>
  </sheetViews>
  <sheetFormatPr baseColWidth="8" defaultRowHeight="14.4"/>
  <cols>
    <col width="12" customWidth="1" min="1" max="2"/>
    <col width="15" customWidth="1" min="3" max="3"/>
    <col width="12" customWidth="1" min="4" max="4"/>
    <col width="20" customWidth="1" min="5" max="5"/>
    <col width="30" customWidth="1" min="6" max="6"/>
    <col width="15" customWidth="1" min="7" max="7"/>
    <col width="20" customWidth="1" min="8" max="8"/>
    <col width="15" customWidth="1" min="9" max="9"/>
    <col width="23" customWidth="1" min="10" max="10"/>
    <col width="50" customWidth="1" min="11" max="11"/>
    <col width="12" customWidth="1" min="12" max="12"/>
  </cols>
  <sheetData>
    <row r="1" ht="25.8" customFormat="1" customHeight="1" s="288">
      <c r="A1" s="287" t="inlineStr">
        <is>
          <t>SALES ORDER REPORT</t>
        </is>
      </c>
      <c r="K1" s="289">
        <f>TODAY()</f>
        <v/>
      </c>
    </row>
    <row r="2" ht="43.2" customHeight="1">
      <c r="A2" s="273" t="inlineStr">
        <is>
          <t>Date</t>
        </is>
      </c>
      <c r="B2" s="273" t="inlineStr">
        <is>
          <t>Delivery Date</t>
        </is>
      </c>
      <c r="C2" s="273" t="inlineStr">
        <is>
          <t>Job Number</t>
        </is>
      </c>
      <c r="D2" s="273" t="inlineStr">
        <is>
          <t>SO Number</t>
        </is>
      </c>
      <c r="E2" s="273" t="inlineStr">
        <is>
          <t>Customer Ref.</t>
        </is>
      </c>
      <c r="F2" s="273" t="inlineStr">
        <is>
          <t>Customer</t>
        </is>
      </c>
      <c r="G2" s="273" t="inlineStr">
        <is>
          <t>Total</t>
        </is>
      </c>
      <c r="H2" s="273" t="inlineStr">
        <is>
          <t>Sales Rep</t>
        </is>
      </c>
      <c r="I2" s="273" t="inlineStr">
        <is>
          <t>Status</t>
        </is>
      </c>
      <c r="J2" s="273" t="inlineStr">
        <is>
          <t>Payment Status</t>
        </is>
      </c>
      <c r="K2" s="273" t="inlineStr">
        <is>
          <t>Details</t>
        </is>
      </c>
      <c r="L2" s="273" t="inlineStr">
        <is>
          <t>Planned Delivery Date</t>
        </is>
      </c>
    </row>
    <row r="3" ht="57.6" customHeight="1">
      <c r="A3" s="274" t="n">
        <v>46111</v>
      </c>
      <c r="B3" s="274" t="n">
        <v>46112.4980684375</v>
      </c>
      <c r="C3" s="275" t="inlineStr">
        <is>
          <t>FM3968</t>
        </is>
      </c>
      <c r="D3" s="275" t="inlineStr">
        <is>
          <t>SO4493</t>
        </is>
      </c>
      <c r="E3" s="276" t="inlineStr">
        <is>
          <t>pps-Revised</t>
        </is>
      </c>
      <c r="F3" s="276" t="inlineStr">
        <is>
          <t>ZEFS More Vision</t>
        </is>
      </c>
      <c r="G3" s="372" t="n">
        <v>20240</v>
      </c>
      <c r="H3" s="275" t="inlineStr">
        <is>
          <t>Mashudu Tshifularo</t>
        </is>
      </c>
      <c r="I3" s="275" t="inlineStr">
        <is>
          <t>In Progress</t>
        </is>
      </c>
      <c r="J3" s="275" t="inlineStr">
        <is>
          <t>CASH SALE - PAID</t>
        </is>
      </c>
      <c r="K3" s="276" t="inlineStr">
        <is>
          <t>MAXFLO 400/150/10 A c/w 1.1KW 4P 380V-Return Air (Qty: 1), 400 Diam Counter Flange (Qty: 1), 400 Diam Mounting Feet (Qty: 4), MAXFLO 710/250/14 A c/w 1,50KW 4P 380V-Extraction (Qty: 1)</t>
        </is>
      </c>
      <c r="L3" s="274">
        <f>B3</f>
        <v/>
      </c>
    </row>
    <row r="4">
      <c r="A4" s="278" t="n">
        <v>46091</v>
      </c>
      <c r="B4" s="278" t="n">
        <v>46113</v>
      </c>
      <c r="C4" s="279" t="inlineStr">
        <is>
          <t>FM3907</t>
        </is>
      </c>
      <c r="D4" s="279" t="inlineStr">
        <is>
          <t>SO4440</t>
        </is>
      </c>
      <c r="E4" s="280" t="inlineStr">
        <is>
          <t>PO2228</t>
        </is>
      </c>
      <c r="F4" s="280" t="inlineStr">
        <is>
          <t>Hucra Fans</t>
        </is>
      </c>
      <c r="G4" s="373" t="n">
        <v>21208.3</v>
      </c>
      <c r="H4" s="279" t="inlineStr">
        <is>
          <t>Sales Agent Hucra Fans</t>
        </is>
      </c>
      <c r="I4" s="279" t="inlineStr">
        <is>
          <t>Ready-Dispatch</t>
        </is>
      </c>
      <c r="J4" s="279" t="inlineStr">
        <is>
          <t>ACCOUNT - UP TO DATE</t>
        </is>
      </c>
      <c r="K4" s="280" t="inlineStr">
        <is>
          <t>SCL-K05 MS-2.2kW 380V (Qty: 1)</t>
        </is>
      </c>
      <c r="L4" s="278">
        <f>B4</f>
        <v/>
      </c>
    </row>
    <row r="5" ht="28.8" customHeight="1">
      <c r="A5" s="290" t="n">
        <v>46111</v>
      </c>
      <c r="B5" s="290" t="n">
        <v>46114</v>
      </c>
      <c r="C5" s="291" t="inlineStr">
        <is>
          <t>FM3967</t>
        </is>
      </c>
      <c r="D5" s="291" t="inlineStr">
        <is>
          <t>SO4492</t>
        </is>
      </c>
      <c r="E5" s="292" t="inlineStr">
        <is>
          <t>PO260306</t>
        </is>
      </c>
      <c r="F5" s="292" t="inlineStr">
        <is>
          <t>Alpha Air Ventilation Services</t>
        </is>
      </c>
      <c r="G5" s="374" t="n">
        <v>9014.209999999999</v>
      </c>
      <c r="H5" s="291" t="inlineStr">
        <is>
          <t>Sizwe Tshabalala</t>
        </is>
      </c>
      <c r="I5" s="291" t="inlineStr">
        <is>
          <t>Pending</t>
        </is>
      </c>
      <c r="J5" s="291" t="inlineStr">
        <is>
          <t>CASH SALE - UNPAID</t>
        </is>
      </c>
      <c r="K5" s="292" t="inlineStr">
        <is>
          <t>MAJAX-2 500 c/w 0,55KW 4P 380V (Qty: 1), 500 Diam Counter Flange (Qty: 2)</t>
        </is>
      </c>
      <c r="L5" s="290">
        <f>B5</f>
        <v/>
      </c>
    </row>
    <row r="6">
      <c r="A6" s="278" t="n">
        <v>46111</v>
      </c>
      <c r="B6" s="278" t="n">
        <v>46119</v>
      </c>
      <c r="C6" s="279" t="inlineStr">
        <is>
          <t>FM3969</t>
        </is>
      </c>
      <c r="D6" s="279" t="inlineStr">
        <is>
          <t>SO4494</t>
        </is>
      </c>
      <c r="E6" s="280" t="inlineStr">
        <is>
          <t>Mak Polok-PO0000400</t>
        </is>
      </c>
      <c r="F6" s="280" t="inlineStr">
        <is>
          <t>Compu Cool (Pty) Ltd</t>
        </is>
      </c>
      <c r="G6" s="373" t="n">
        <v>14487.87</v>
      </c>
      <c r="H6" s="279" t="inlineStr">
        <is>
          <t>Mashudu Tshifularo</t>
        </is>
      </c>
      <c r="I6" s="279" t="inlineStr">
        <is>
          <t>In Progress</t>
        </is>
      </c>
      <c r="J6" s="279" t="inlineStr">
        <is>
          <t>ACCOUNT - UP TO DATE</t>
        </is>
      </c>
      <c r="K6" s="280" t="inlineStr">
        <is>
          <t>MAXFLO 630/250/14 A c/w 4,00KW 4P 380V (Qty: 1)</t>
        </is>
      </c>
      <c r="L6" s="278">
        <f>B6</f>
        <v/>
      </c>
    </row>
    <row r="7" ht="115.2" customHeight="1">
      <c r="A7" s="278" t="n">
        <v>46077</v>
      </c>
      <c r="B7" s="278" t="n">
        <v>46122</v>
      </c>
      <c r="C7" s="279" t="inlineStr">
        <is>
          <t>FM3876</t>
        </is>
      </c>
      <c r="D7" s="279" t="inlineStr">
        <is>
          <t>SO4405</t>
        </is>
      </c>
      <c r="E7" s="280" t="inlineStr">
        <is>
          <t>FM3875 - FM3876</t>
        </is>
      </c>
      <c r="F7" s="280" t="inlineStr">
        <is>
          <t>BMT SMART SOLUTIONS (PTY) LTD</t>
        </is>
      </c>
      <c r="G7" s="373" t="n">
        <v>52783.16</v>
      </c>
      <c r="H7" s="279" t="inlineStr">
        <is>
          <t>Simon Mokgola</t>
        </is>
      </c>
      <c r="I7" s="279" t="inlineStr">
        <is>
          <t>In Progress</t>
        </is>
      </c>
      <c r="J7" s="279" t="inlineStr">
        <is>
          <t>ACCOUNT - UP TO DATE</t>
        </is>
      </c>
      <c r="K7" s="280" t="inlineStr">
        <is>
          <t>MAXFLO 500/150/10 A c/w 0,37KW 4P 380V (Qty: 1), 500 Diam Silencer 1.5D Podded (Qty: 2), 500 Diam Counter Flange (Qty: 2), 500 Diam Mounting Feet (Qty: 4), 315 to 560 NDA RED ANeoprene Floor Mounts (Qty: 8), Fumax 560.20.D.8 C/W 4KW 2P 380V (Qty: 1), 560 Diam Silencer 1.5D Podded (Qty: 2), 560 Diam Counter Flange (Qty: 2), 560 Diam Mounting Feet (Qty: 4), 315 to 560 NDA RED ANeoprene Floor Mounts (Qty: 8)</t>
        </is>
      </c>
      <c r="L7" s="278">
        <f>B7</f>
        <v/>
      </c>
    </row>
    <row r="8" ht="28.8" customHeight="1">
      <c r="A8" s="278" t="n">
        <v>46107</v>
      </c>
      <c r="B8" s="278" t="n">
        <v>46122</v>
      </c>
      <c r="C8" s="279" t="inlineStr">
        <is>
          <t>FM3962</t>
        </is>
      </c>
      <c r="D8" s="279" t="inlineStr">
        <is>
          <t>SO4487</t>
        </is>
      </c>
      <c r="E8" s="280" t="inlineStr">
        <is>
          <t>FM3962</t>
        </is>
      </c>
      <c r="F8" s="280" t="inlineStr">
        <is>
          <t>ZEFS More Vision</t>
        </is>
      </c>
      <c r="G8" s="373" t="n">
        <v>13735.6</v>
      </c>
      <c r="H8" s="279" t="inlineStr">
        <is>
          <t>Mashudu Tshifularo</t>
        </is>
      </c>
      <c r="I8" s="279" t="inlineStr">
        <is>
          <t>In Progress</t>
        </is>
      </c>
      <c r="J8" s="279" t="inlineStr">
        <is>
          <t>CASH SALE - PAID</t>
        </is>
      </c>
      <c r="K8" s="280" t="inlineStr">
        <is>
          <t>MAXFLO 400/150/10 A c/w 1,10KW 2P 380V-Bifucated (Qty: 1)</t>
        </is>
      </c>
      <c r="L8" s="278">
        <f>B8</f>
        <v/>
      </c>
    </row>
    <row r="9">
      <c r="A9" s="278" t="n">
        <v>46058</v>
      </c>
      <c r="B9" s="278" t="n">
        <v>46126</v>
      </c>
      <c r="C9" s="279" t="inlineStr">
        <is>
          <t>FM3812</t>
        </is>
      </c>
      <c r="D9" s="279" t="inlineStr">
        <is>
          <t>SO4343</t>
        </is>
      </c>
      <c r="E9" s="280" t="inlineStr">
        <is>
          <t>DPO-1616</t>
        </is>
      </c>
      <c r="F9" s="280" t="inlineStr">
        <is>
          <t>Dueltron (Pty) Ltd</t>
        </is>
      </c>
      <c r="G9" s="373" t="n">
        <v>145269.15</v>
      </c>
      <c r="H9" s="279" t="inlineStr">
        <is>
          <t>Mashudu Tshifularo</t>
        </is>
      </c>
      <c r="I9" s="279" t="inlineStr">
        <is>
          <t>In Progress</t>
        </is>
      </c>
      <c r="J9" s="279" t="inlineStr">
        <is>
          <t>ACCOUNT - UP TO DATE</t>
        </is>
      </c>
      <c r="K9" s="280" t="inlineStr">
        <is>
          <t>MAJAX-2 BIF 1250 c/w 22,00KW 4P 380V (Qty: 1)</t>
        </is>
      </c>
      <c r="L9" s="278">
        <f>B9</f>
        <v/>
      </c>
    </row>
    <row r="10" ht="28.8" customHeight="1">
      <c r="A10" s="278" t="n">
        <v>46099</v>
      </c>
      <c r="B10" s="278" t="n">
        <v>46128</v>
      </c>
      <c r="C10" s="279" t="inlineStr">
        <is>
          <t>FM3930</t>
        </is>
      </c>
      <c r="D10" s="279" t="inlineStr">
        <is>
          <t>SO4469</t>
        </is>
      </c>
      <c r="E10" s="280" t="inlineStr">
        <is>
          <t>PO0007989 - FAN MAXFLO 710</t>
        </is>
      </c>
      <c r="F10" s="280" t="inlineStr">
        <is>
          <t>AGILITY ENGINEERING SERVICES (PTY) LTD</t>
        </is>
      </c>
      <c r="G10" s="373" t="n">
        <v>69948.06</v>
      </c>
      <c r="H10" s="279" t="inlineStr">
        <is>
          <t>Mashudu Tshifularo</t>
        </is>
      </c>
      <c r="I10" s="279" t="inlineStr">
        <is>
          <t>In Progress</t>
        </is>
      </c>
      <c r="J10" s="279" t="inlineStr">
        <is>
          <t>CASH SALE - PAID</t>
        </is>
      </c>
      <c r="K10" s="280" t="inlineStr">
        <is>
          <t>MAXFLO 710/150/10 A c/w 4,00KW 4P 380V (Qty: 2)</t>
        </is>
      </c>
      <c r="L10" s="278">
        <f>B10</f>
        <v/>
      </c>
    </row>
    <row r="11" ht="187.2" customHeight="1">
      <c r="A11" s="278" t="n">
        <v>46052</v>
      </c>
      <c r="B11" s="278" t="n">
        <v>46129</v>
      </c>
      <c r="C11" s="279" t="inlineStr">
        <is>
          <t>FM3937</t>
        </is>
      </c>
      <c r="D11" s="279" t="inlineStr">
        <is>
          <t>SO4331</t>
        </is>
      </c>
      <c r="E11" s="280" t="inlineStr">
        <is>
          <t>PO 62844</t>
        </is>
      </c>
      <c r="F11" s="280" t="inlineStr">
        <is>
          <t>Rey &amp; Lenferna Ltd</t>
        </is>
      </c>
      <c r="G11" s="373" t="n">
        <v>1086604.31</v>
      </c>
      <c r="H11" s="279" t="inlineStr">
        <is>
          <t>Sizwe - R.O.A</t>
        </is>
      </c>
      <c r="I11" s="279" t="inlineStr">
        <is>
          <t>In Progress</t>
        </is>
      </c>
      <c r="J11" s="279" t="inlineStr">
        <is>
          <t>ACCOUNT - UP TO DATE</t>
        </is>
      </c>
      <c r="K11" s="280" t="inlineStr">
        <is>
          <t xml:space="preserve">MAJAX 400 c/w 0.75kW 2Pole 380V, MAXFLO 400/150/10 A c/w 0,75KW 2P 380V, MAXFLO 500/150/10 A c/w 3KW 2P 380V, MAXFLO 560/250/14 A c/w 0,75KW 4P 380V, MAXFLO 560/250/14 A c/w 1,50KW 4P 380V, MAXFLO 560/250/14 A c/w 2,20KW 4P 380V, MAXFLO 630/250/14 A c/w 2,20KW 4P 380V, MAXFLO 630/250/14 A c/w 2,20KW 4P 380V, MAXFLO 630/250/14 A c/w 3,00KW 4P 380V, MAXFLO 630/250/14 A c/w 3,00KW 4P 380V, MAXFLO 710/250/14 A c/w 4,00KW 4P 380V, MAXFLO 800/250/14 A c/w 3,00KW 4P 380V, MAXFLO 900/250/14 A c/w 3,00KW 4P 380V, MAXFLO 900/250/14 A c/w 5,50KW 4P 380V, MAXFLO 900/250/14 A c/w 5,50KW 4P 380V, c/w VSD's, VSD Enclosures, Rect Attenuators, Accessories &amp; Box Fans </t>
        </is>
      </c>
      <c r="L11" s="278">
        <f>B11</f>
        <v/>
      </c>
    </row>
    <row r="12" ht="57.6" customHeight="1">
      <c r="A12" s="278" t="n">
        <v>46105</v>
      </c>
      <c r="B12" s="278" t="n">
        <v>46132</v>
      </c>
      <c r="C12" s="279" t="inlineStr">
        <is>
          <t>FM3955</t>
        </is>
      </c>
      <c r="D12" s="279" t="inlineStr">
        <is>
          <t>SO4479</t>
        </is>
      </c>
      <c r="E12" s="280" t="inlineStr">
        <is>
          <t>PO0000606 - PO11 - JHB FORENSIC PATHOLOGY LAB</t>
        </is>
      </c>
      <c r="F12" s="280" t="inlineStr">
        <is>
          <t>ST AIR SERVICES AND MAINTENANCE (PTY) LTD</t>
        </is>
      </c>
      <c r="G12" s="373" t="n">
        <v>54407.65</v>
      </c>
      <c r="H12" s="279" t="inlineStr">
        <is>
          <t>Simon Mokgola</t>
        </is>
      </c>
      <c r="I12" s="279" t="inlineStr">
        <is>
          <t>In Progress</t>
        </is>
      </c>
      <c r="J12" s="279" t="inlineStr">
        <is>
          <t>ACCOUNT - UP TO DATE</t>
        </is>
      </c>
      <c r="K12" s="280" t="inlineStr">
        <is>
          <t>Fumax 1000.32.F. c/w 7.5 kW 4 Pole 380 V Motor (SEF 10) (Qty: 1), Majax Inlet Cone c/w Screen (Qty: 1), 1000 Diam Counter Flange (Qty: 1), 1000 Diam Mounting Feet (Qty: 2), 630 to 1000 NDB GREEN Neoprene Floor Mounts (Qty: 4)</t>
        </is>
      </c>
      <c r="L12" s="278">
        <f>B12</f>
        <v/>
      </c>
    </row>
    <row r="13" ht="57.6" customHeight="1">
      <c r="A13" s="278" t="n">
        <v>46107</v>
      </c>
      <c r="B13" s="278" t="n">
        <v>46136</v>
      </c>
      <c r="C13" s="279" t="inlineStr">
        <is>
          <t>FM3963</t>
        </is>
      </c>
      <c r="D13" s="279" t="inlineStr">
        <is>
          <t>SO4485</t>
        </is>
      </c>
      <c r="E13" s="280" t="inlineStr">
        <is>
          <t>PO0000611 - JHB FORENSIC LAB</t>
        </is>
      </c>
      <c r="F13" s="280" t="inlineStr">
        <is>
          <t>ST AIR SERVICES AND MAINTENANCE (PTY) LTD</t>
        </is>
      </c>
      <c r="G13" s="373" t="n">
        <v>165016.95</v>
      </c>
      <c r="H13" s="279" t="inlineStr">
        <is>
          <t>Simon Mokgola</t>
        </is>
      </c>
      <c r="I13" s="279" t="inlineStr">
        <is>
          <t>In Progress</t>
        </is>
      </c>
      <c r="J13" s="279" t="inlineStr">
        <is>
          <t>ACCOUNT - UP TO DATE</t>
        </is>
      </c>
      <c r="K13" s="264" t="inlineStr">
        <is>
          <t>Fumax 1000.32.F. c/w 7.5 kW 4 Pole 380 V Motor (SEF 10) (Qty: 3), Majax Inlet Cone c/w Screen (Qty: 3), 1000 Diam Counter Flange (Qty: 3), 1000 Diam Mounting Feet (Qty: 6), Spring Mount H 1-200Black (Qty: 12)</t>
        </is>
      </c>
      <c r="L13" s="278">
        <f>B13</f>
        <v/>
      </c>
    </row>
    <row r="14" ht="43.2" customHeight="1">
      <c r="A14" s="278" t="n">
        <v>46104</v>
      </c>
      <c r="B14" s="278" t="n">
        <v>46142</v>
      </c>
      <c r="C14" s="279" t="inlineStr">
        <is>
          <t>FM3958</t>
        </is>
      </c>
      <c r="D14" s="279" t="inlineStr">
        <is>
          <t>SO4478</t>
        </is>
      </c>
      <c r="E14" s="280" t="inlineStr">
        <is>
          <t>Plascon Flammable Paint Store</t>
        </is>
      </c>
      <c r="F14" s="280" t="inlineStr">
        <is>
          <t>Dueltron (Pty) Ltd</t>
        </is>
      </c>
      <c r="G14" s="373" t="n">
        <v>31848.1</v>
      </c>
      <c r="H14" s="279" t="inlineStr">
        <is>
          <t>Mashudu Tshifularo</t>
        </is>
      </c>
      <c r="I14" s="279" t="inlineStr">
        <is>
          <t>In Progress</t>
        </is>
      </c>
      <c r="J14" s="279" t="inlineStr">
        <is>
          <t>CASH SALE - PAID</t>
        </is>
      </c>
      <c r="K14" s="280" t="inlineStr">
        <is>
          <t>MAXFLO 560/150/10 P c/w 0,55KW 4P 380V-Flame Proof (Qty: 1), 560 Diam Silencer 1.5D Podded (Qty: 2), 560 Diam Counter Flange (Qty: 2), 560 Diam Mounting Feet (Qty: 4)</t>
        </is>
      </c>
      <c r="L14" s="278">
        <f>B14</f>
        <v/>
      </c>
    </row>
    <row r="15">
      <c r="A15" s="278" t="n">
        <v>46069</v>
      </c>
      <c r="B15" s="278" t="n">
        <v>46157</v>
      </c>
      <c r="C15" s="279" t="inlineStr">
        <is>
          <t>FM3841</t>
        </is>
      </c>
      <c r="D15" s="279" t="inlineStr">
        <is>
          <t>SO4372</t>
        </is>
      </c>
      <c r="E15" s="280" t="inlineStr">
        <is>
          <t>PO2213</t>
        </is>
      </c>
      <c r="F15" s="280" t="inlineStr">
        <is>
          <t>Hucra Fans</t>
        </is>
      </c>
      <c r="G15" s="373" t="n">
        <v>379993.35</v>
      </c>
      <c r="H15" s="279" t="inlineStr">
        <is>
          <t>Sales Agent Hucra Fans</t>
        </is>
      </c>
      <c r="I15" s="279" t="inlineStr">
        <is>
          <t>In Progress</t>
        </is>
      </c>
      <c r="J15" s="279" t="inlineStr">
        <is>
          <t>ACCOUNT - UP TO DATE</t>
        </is>
      </c>
      <c r="K15" s="280" t="inlineStr">
        <is>
          <t>SCL K11 MS - 11.0kW - 525V (Qty: 3)</t>
        </is>
      </c>
      <c r="L15" s="278">
        <f>B15</f>
        <v/>
      </c>
    </row>
    <row r="16">
      <c r="A16" s="278" t="n">
        <v>46077</v>
      </c>
      <c r="B16" s="278" t="n">
        <v>46157</v>
      </c>
      <c r="C16" s="279" t="inlineStr">
        <is>
          <t>FM3874</t>
        </is>
      </c>
      <c r="D16" s="279" t="inlineStr">
        <is>
          <t>SO4404</t>
        </is>
      </c>
      <c r="E16" s="280" t="inlineStr">
        <is>
          <t>PO2174</t>
        </is>
      </c>
      <c r="F16" s="280" t="inlineStr">
        <is>
          <t>ITD North Pty Ltd</t>
        </is>
      </c>
      <c r="G16" s="373" t="n">
        <v>94247.10000000001</v>
      </c>
      <c r="H16" s="279" t="inlineStr">
        <is>
          <t>Mashudu Tshifularo</t>
        </is>
      </c>
      <c r="I16" s="279" t="inlineStr">
        <is>
          <t>In Progress</t>
        </is>
      </c>
      <c r="J16" s="279" t="inlineStr">
        <is>
          <t>CASH SALE – PARTIAL</t>
        </is>
      </c>
      <c r="K16" s="280" t="inlineStr">
        <is>
          <t>RDH 710 K2 - Nicotra Fan (Qty: 1)</t>
        </is>
      </c>
      <c r="L16" s="278">
        <f>B16</f>
        <v/>
      </c>
    </row>
    <row r="17">
      <c r="F17" s="282" t="inlineStr">
        <is>
          <t>Total Value (All):</t>
        </is>
      </c>
      <c r="G17" s="375">
        <f>SUM(G3:G16)</f>
        <v/>
      </c>
    </row>
    <row r="18"/>
    <row r="19">
      <c r="F19" s="284" t="inlineStr">
        <is>
          <t>BREAKDOWN</t>
        </is>
      </c>
    </row>
    <row r="20">
      <c r="F20" t="inlineStr">
        <is>
          <t>Cash Sale (March):</t>
        </is>
      </c>
      <c r="G20" s="342">
        <f>SUMIFS(G3:G16, J3:J16, "*CASH SALE*", L3:L16, "&gt;="&amp;EOMONTH(TODAY(),-1)+1, L3:L16, "&lt;="&amp;EOMONTH(TODAY(),0))</f>
        <v/>
      </c>
      <c r="I20" t="inlineStr">
        <is>
          <t>Cash Sale (April):</t>
        </is>
      </c>
      <c r="J20" s="342">
        <f>SUMIFS(G3:G16, J3:J16, "*CASH SALE*", L3:L16, "&gt;="&amp;EOMONTH(TODAY(),0)+1, L3:L16, "&lt;="&amp;EOMONTH(TODAY(),1))</f>
        <v/>
      </c>
      <c r="K20" s="295" t="inlineStr">
        <is>
          <t>Excl. Rey &amp; Lenferna</t>
        </is>
      </c>
    </row>
    <row r="21">
      <c r="F21" t="inlineStr">
        <is>
          <t>Account (March):</t>
        </is>
      </c>
      <c r="G21" s="342">
        <f>SUMIFS(G3:G16, J3:J16, "*ACCOUNT*", L3:L16, "&gt;="&amp;EOMONTH(TODAY(),-1)+1, L3:L16, "&lt;="&amp;EOMONTH(TODAY(),0))</f>
        <v/>
      </c>
      <c r="I21" t="inlineStr">
        <is>
          <t>Account (April):</t>
        </is>
      </c>
      <c r="J21" s="342">
        <f>SUMIFS(G3:G16, J3:J16, "*ACCOUNT*", L3:L16, "&gt;="&amp;EOMONTH(TODAY(),0)+1, L3:L16, "&lt;="&amp;EOMONTH(TODAY(),1))</f>
        <v/>
      </c>
      <c r="K21" s="376">
        <f>J21-G11</f>
        <v/>
      </c>
    </row>
    <row r="22"/>
    <row r="23">
      <c r="A23" s="273" t="inlineStr">
        <is>
          <t>Date</t>
        </is>
      </c>
      <c r="B23" s="273" t="inlineStr">
        <is>
          <t>Delivery Date</t>
        </is>
      </c>
      <c r="C23" s="273" t="inlineStr">
        <is>
          <t>Job Number</t>
        </is>
      </c>
      <c r="D23" s="273" t="inlineStr">
        <is>
          <t>SO Number</t>
        </is>
      </c>
      <c r="E23" s="273" t="inlineStr">
        <is>
          <t>Customer Ref.</t>
        </is>
      </c>
      <c r="F23" s="273" t="inlineStr">
        <is>
          <t>Customer</t>
        </is>
      </c>
      <c r="G23" s="273" t="inlineStr">
        <is>
          <t>Total</t>
        </is>
      </c>
      <c r="H23" s="273" t="inlineStr">
        <is>
          <t>Sales Rep</t>
        </is>
      </c>
      <c r="I23" s="273" t="inlineStr">
        <is>
          <t>Status</t>
        </is>
      </c>
      <c r="J23" s="273" t="inlineStr">
        <is>
          <t>Payment Status</t>
        </is>
      </c>
      <c r="K23" s="273" t="inlineStr">
        <is>
          <t>Comments</t>
        </is>
      </c>
    </row>
    <row r="24">
      <c r="A24" s="285" t="n">
        <v>46111</v>
      </c>
      <c r="B24" s="285" t="n">
        <v>46112.4980684375</v>
      </c>
      <c r="C24" s="286" t="inlineStr">
        <is>
          <t>FM3967</t>
        </is>
      </c>
      <c r="D24" s="286" t="inlineStr">
        <is>
          <t>SO4492</t>
        </is>
      </c>
      <c r="E24" s="286" t="inlineStr">
        <is>
          <t>PO260306</t>
        </is>
      </c>
      <c r="F24" s="286" t="inlineStr">
        <is>
          <t>Alpha Air Ventilation Services</t>
        </is>
      </c>
      <c r="G24" s="373" t="n">
        <v>9014.209999999999</v>
      </c>
      <c r="H24" s="286" t="inlineStr">
        <is>
          <t>Sizwe Tshabalala</t>
        </is>
      </c>
      <c r="I24" s="286" t="inlineStr">
        <is>
          <t>Pending</t>
        </is>
      </c>
      <c r="J24" s="286" t="n"/>
      <c r="K24" s="280" t="n"/>
    </row>
    <row r="25">
      <c r="A25" s="285" t="n">
        <v>46111</v>
      </c>
      <c r="B25" s="285" t="n">
        <v>46112.4980684375</v>
      </c>
      <c r="C25" s="286" t="inlineStr">
        <is>
          <t>FM3968</t>
        </is>
      </c>
      <c r="D25" s="286" t="inlineStr">
        <is>
          <t>SO4493</t>
        </is>
      </c>
      <c r="E25" s="286" t="inlineStr">
        <is>
          <t>pps-Revised</t>
        </is>
      </c>
      <c r="F25" s="286" t="inlineStr">
        <is>
          <t>ZEFS More Vision</t>
        </is>
      </c>
      <c r="G25" s="373" t="n">
        <v>20240</v>
      </c>
      <c r="H25" s="286" t="inlineStr">
        <is>
          <t>Mashudu Tshifularo</t>
        </is>
      </c>
      <c r="I25" s="286" t="inlineStr">
        <is>
          <t>In Progress</t>
        </is>
      </c>
      <c r="J25" s="286" t="inlineStr">
        <is>
          <t>CASH SALE - PAID</t>
        </is>
      </c>
      <c r="K25" s="280" t="n"/>
    </row>
    <row r="26">
      <c r="F26" s="282" t="inlineStr">
        <is>
          <t>Due Today - Total:</t>
        </is>
      </c>
      <c r="G26" s="375">
        <f>SUM(G24:G25)</f>
        <v/>
      </c>
    </row>
    <row r="27"/>
    <row r="28">
      <c r="F28" s="282" t="inlineStr">
        <is>
          <t>Ready-Dispatch:</t>
        </is>
      </c>
      <c r="G28" s="375">
        <f>SUMIFS(G3:G16, I3:I16, "*Ready*Dispatch*")</f>
        <v/>
      </c>
    </row>
  </sheetData>
  <printOptions horizontalCentered="1"/>
  <pageMargins left="0.25" right="0.25" top="0.75" bottom="0.75" header="0.3" footer="0.3"/>
  <pageSetup orientation="landscape" scale="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Tebello Lelosa</dc:creator>
  <dcterms:created xsi:type="dcterms:W3CDTF">2026-03-02T05:35:03Z</dcterms:created>
  <dcterms:modified xsi:type="dcterms:W3CDTF">2026-04-21T06:28:38Z</dcterms:modified>
  <cp:lastModifiedBy>Tebello Lelosa</cp:lastModifiedBy>
  <cp:lastPrinted>2026-03-31T10:05:43Z</cp:lastPrinted>
</cp:coreProperties>
</file>