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Operations/Workshop Stock - 07.04.2026/"/>
    </mc:Choice>
  </mc:AlternateContent>
  <xr:revisionPtr revIDLastSave="813" documentId="8_{6E1255A9-9FA2-4CE4-8A70-3A0A99F22A80}" xr6:coauthVersionLast="47" xr6:coauthVersionMax="47" xr10:uidLastSave="{C46C45C1-F6CC-4CDC-88EB-3CA1B34962FC}"/>
  <bookViews>
    <workbookView xWindow="-108" yWindow="-108" windowWidth="23256" windowHeight="12456" tabRatio="671" xr2:uid="{6AC5E5F2-8FDF-4DD3-9B35-5B9BEA11A385}"/>
  </bookViews>
  <sheets>
    <sheet name="W-shop Calc" sheetId="1" r:id="rId1"/>
    <sheet name="W.SHOP COUNT" sheetId="29" r:id="rId2"/>
  </sheets>
  <definedNames>
    <definedName name="_xlnm._FilterDatabase" localSheetId="0" hidden="1">'W-shop Calc'!$A$1:$O$251</definedName>
    <definedName name="_xlnm.Print_Titles" localSheetId="1">'W.SHOP COUNT'!$1:$1</definedName>
    <definedName name="_xlnm.Print_Titles" localSheetId="0">'W-shop Calc'!$1:$1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1" i="1" l="1"/>
  <c r="J251" i="1"/>
  <c r="I251" i="1"/>
  <c r="L250" i="1"/>
  <c r="J250" i="1"/>
  <c r="I250" i="1"/>
  <c r="L249" i="1"/>
  <c r="J249" i="1"/>
  <c r="I249" i="1"/>
  <c r="L248" i="1"/>
  <c r="J248" i="1"/>
  <c r="I248" i="1"/>
  <c r="L247" i="1"/>
  <c r="J247" i="1"/>
  <c r="I247" i="1"/>
  <c r="L246" i="1"/>
  <c r="J246" i="1"/>
  <c r="I246" i="1"/>
  <c r="L245" i="1"/>
  <c r="J245" i="1"/>
  <c r="I245" i="1"/>
  <c r="L244" i="1"/>
  <c r="J244" i="1"/>
  <c r="I244" i="1"/>
  <c r="L243" i="1"/>
  <c r="J243" i="1"/>
  <c r="I243" i="1"/>
  <c r="L242" i="1"/>
  <c r="J242" i="1"/>
  <c r="I242" i="1"/>
  <c r="L241" i="1"/>
  <c r="J241" i="1"/>
  <c r="I241" i="1"/>
  <c r="L240" i="1"/>
  <c r="J240" i="1"/>
  <c r="I240" i="1"/>
  <c r="L239" i="1"/>
  <c r="J239" i="1"/>
  <c r="I239" i="1"/>
  <c r="L238" i="1"/>
  <c r="J238" i="1"/>
  <c r="I238" i="1"/>
  <c r="L237" i="1"/>
  <c r="J237" i="1"/>
  <c r="I237" i="1"/>
  <c r="L236" i="1"/>
  <c r="J236" i="1"/>
  <c r="I236" i="1"/>
  <c r="L235" i="1"/>
  <c r="J235" i="1"/>
  <c r="I235" i="1"/>
  <c r="L234" i="1"/>
  <c r="J234" i="1"/>
  <c r="I234" i="1"/>
  <c r="L233" i="1"/>
  <c r="J233" i="1"/>
  <c r="I233" i="1"/>
  <c r="L232" i="1"/>
  <c r="J232" i="1"/>
  <c r="I232" i="1"/>
  <c r="K242" i="1" l="1"/>
  <c r="O242" i="1" s="1"/>
  <c r="K235" i="1"/>
  <c r="O235" i="1" s="1"/>
  <c r="K236" i="1"/>
  <c r="O236" i="1" s="1"/>
  <c r="K243" i="1"/>
  <c r="O243" i="1" s="1"/>
  <c r="K244" i="1"/>
  <c r="O244" i="1" s="1"/>
  <c r="K248" i="1"/>
  <c r="O248" i="1" s="1"/>
  <c r="K250" i="1"/>
  <c r="O250" i="1" s="1"/>
  <c r="K247" i="1"/>
  <c r="O247" i="1" s="1"/>
  <c r="K238" i="1"/>
  <c r="O238" i="1" s="1"/>
  <c r="K239" i="1"/>
  <c r="O239" i="1" s="1"/>
  <c r="K240" i="1"/>
  <c r="O240" i="1" s="1"/>
  <c r="K241" i="1"/>
  <c r="O241" i="1" s="1"/>
  <c r="K249" i="1"/>
  <c r="O249" i="1" s="1"/>
  <c r="K237" i="1"/>
  <c r="O237" i="1" s="1"/>
  <c r="K234" i="1"/>
  <c r="O234" i="1" s="1"/>
  <c r="K233" i="1"/>
  <c r="O233" i="1" s="1"/>
  <c r="K245" i="1"/>
  <c r="O245" i="1" s="1"/>
  <c r="K246" i="1"/>
  <c r="O246" i="1" s="1"/>
  <c r="K251" i="1"/>
  <c r="O251" i="1" s="1"/>
  <c r="K232" i="1"/>
  <c r="O232" i="1" s="1"/>
  <c r="L127" i="1" l="1"/>
  <c r="J127" i="1"/>
  <c r="I127" i="1"/>
  <c r="K127" i="1" l="1"/>
  <c r="O127" i="1" s="1"/>
  <c r="L98" i="1"/>
  <c r="J98" i="1"/>
  <c r="I98" i="1"/>
  <c r="K98" i="1" l="1"/>
  <c r="O98" i="1" s="1"/>
  <c r="E231" i="1" l="1"/>
  <c r="E219" i="1"/>
  <c r="E218" i="1"/>
  <c r="E217" i="1"/>
  <c r="E178" i="1"/>
  <c r="E175" i="1"/>
  <c r="E159" i="1"/>
  <c r="E121" i="1"/>
  <c r="L150" i="1" l="1"/>
  <c r="J150" i="1"/>
  <c r="I150" i="1"/>
  <c r="K150" i="1" l="1"/>
  <c r="O150" i="1" s="1"/>
  <c r="I90" i="1"/>
  <c r="J90" i="1"/>
  <c r="L90" i="1"/>
  <c r="K90" i="1" l="1"/>
  <c r="O90" i="1" s="1"/>
  <c r="L10" i="1" l="1"/>
  <c r="J10" i="1"/>
  <c r="I10" i="1"/>
  <c r="L31" i="1"/>
  <c r="L30" i="1"/>
  <c r="I28" i="1"/>
  <c r="L34" i="1"/>
  <c r="L32" i="1"/>
  <c r="L33" i="1"/>
  <c r="L44" i="1"/>
  <c r="L3" i="1"/>
  <c r="L35" i="1"/>
  <c r="L4" i="1"/>
  <c r="L36" i="1"/>
  <c r="L23" i="1"/>
  <c r="L24" i="1"/>
  <c r="L25" i="1"/>
  <c r="L26" i="1"/>
  <c r="L27" i="1"/>
  <c r="L29" i="1"/>
  <c r="L37" i="1"/>
  <c r="L38" i="1"/>
  <c r="L39" i="1"/>
  <c r="L40" i="1"/>
  <c r="L41" i="1"/>
  <c r="L42" i="1"/>
  <c r="L45" i="1"/>
  <c r="L46" i="1"/>
  <c r="L47" i="1"/>
  <c r="L48" i="1"/>
  <c r="L49" i="1"/>
  <c r="L43" i="1"/>
  <c r="L50" i="1"/>
  <c r="L51" i="1"/>
  <c r="L5" i="1"/>
  <c r="L6" i="1"/>
  <c r="L2" i="1"/>
  <c r="L7" i="1"/>
  <c r="L8" i="1"/>
  <c r="L9" i="1"/>
  <c r="L11" i="1"/>
  <c r="L12" i="1"/>
  <c r="L13" i="1"/>
  <c r="L14" i="1"/>
  <c r="L15" i="1"/>
  <c r="L16" i="1"/>
  <c r="L17" i="1"/>
  <c r="L18" i="1"/>
  <c r="L19" i="1"/>
  <c r="L20" i="1"/>
  <c r="L21" i="1"/>
  <c r="L52" i="1"/>
  <c r="L53" i="1"/>
  <c r="L68" i="1"/>
  <c r="L54" i="1"/>
  <c r="L69" i="1"/>
  <c r="L55" i="1"/>
  <c r="L70" i="1"/>
  <c r="L56" i="1"/>
  <c r="L71" i="1"/>
  <c r="L57" i="1"/>
  <c r="L72" i="1"/>
  <c r="L58" i="1"/>
  <c r="L73" i="1"/>
  <c r="L59" i="1"/>
  <c r="L74" i="1"/>
  <c r="L60" i="1"/>
  <c r="L75" i="1"/>
  <c r="L61" i="1"/>
  <c r="L76" i="1"/>
  <c r="L62" i="1"/>
  <c r="L77" i="1"/>
  <c r="L63" i="1"/>
  <c r="L78" i="1"/>
  <c r="L64" i="1"/>
  <c r="L80" i="1"/>
  <c r="L65" i="1"/>
  <c r="L79" i="1"/>
  <c r="L66" i="1"/>
  <c r="L81" i="1"/>
  <c r="L67" i="1"/>
  <c r="L82" i="1"/>
  <c r="L83" i="1"/>
  <c r="L91" i="1"/>
  <c r="L84" i="1"/>
  <c r="L92" i="1"/>
  <c r="L93" i="1"/>
  <c r="L85" i="1"/>
  <c r="L94" i="1"/>
  <c r="L86" i="1"/>
  <c r="L95" i="1"/>
  <c r="L87" i="1"/>
  <c r="L96" i="1"/>
  <c r="L88" i="1"/>
  <c r="L97" i="1"/>
  <c r="L89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26" i="1"/>
  <c r="L129" i="1"/>
  <c r="L118" i="1"/>
  <c r="L130" i="1"/>
  <c r="L119" i="1"/>
  <c r="L131" i="1"/>
  <c r="L120" i="1"/>
  <c r="L132" i="1"/>
  <c r="L121" i="1"/>
  <c r="L133" i="1"/>
  <c r="L122" i="1"/>
  <c r="L134" i="1"/>
  <c r="L123" i="1"/>
  <c r="L135" i="1"/>
  <c r="L124" i="1"/>
  <c r="L136" i="1"/>
  <c r="L125" i="1"/>
  <c r="L128" i="1"/>
  <c r="L137" i="1"/>
  <c r="L146" i="1"/>
  <c r="L138" i="1"/>
  <c r="L147" i="1"/>
  <c r="L139" i="1"/>
  <c r="L148" i="1"/>
  <c r="L140" i="1"/>
  <c r="L149" i="1"/>
  <c r="L141" i="1"/>
  <c r="L142" i="1"/>
  <c r="L151" i="1"/>
  <c r="L143" i="1"/>
  <c r="L152" i="1"/>
  <c r="L144" i="1"/>
  <c r="L153" i="1"/>
  <c r="L145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78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9" i="1"/>
  <c r="L185" i="1"/>
  <c r="L180" i="1"/>
  <c r="L186" i="1"/>
  <c r="L181" i="1"/>
  <c r="L187" i="1"/>
  <c r="L182" i="1"/>
  <c r="L188" i="1"/>
  <c r="L183" i="1"/>
  <c r="L184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J32" i="1"/>
  <c r="J33" i="1"/>
  <c r="J34" i="1"/>
  <c r="J44" i="1"/>
  <c r="J3" i="1"/>
  <c r="J35" i="1"/>
  <c r="J4" i="1"/>
  <c r="J36" i="1"/>
  <c r="J23" i="1"/>
  <c r="J24" i="1"/>
  <c r="J25" i="1"/>
  <c r="J26" i="1"/>
  <c r="J27" i="1"/>
  <c r="J28" i="1"/>
  <c r="J29" i="1"/>
  <c r="J30" i="1"/>
  <c r="J31" i="1"/>
  <c r="J37" i="1"/>
  <c r="J38" i="1"/>
  <c r="J39" i="1"/>
  <c r="J40" i="1"/>
  <c r="J41" i="1"/>
  <c r="J42" i="1"/>
  <c r="J45" i="1"/>
  <c r="J46" i="1"/>
  <c r="J47" i="1"/>
  <c r="J48" i="1"/>
  <c r="J49" i="1"/>
  <c r="J43" i="1"/>
  <c r="J50" i="1"/>
  <c r="J51" i="1"/>
  <c r="J5" i="1"/>
  <c r="J6" i="1"/>
  <c r="J2" i="1"/>
  <c r="J7" i="1"/>
  <c r="J8" i="1"/>
  <c r="J9" i="1"/>
  <c r="J11" i="1"/>
  <c r="J12" i="1"/>
  <c r="J13" i="1"/>
  <c r="J14" i="1"/>
  <c r="J15" i="1"/>
  <c r="J16" i="1"/>
  <c r="J17" i="1"/>
  <c r="J18" i="1"/>
  <c r="J19" i="1"/>
  <c r="J20" i="1"/>
  <c r="J21" i="1"/>
  <c r="J52" i="1"/>
  <c r="J53" i="1"/>
  <c r="J68" i="1"/>
  <c r="J54" i="1"/>
  <c r="J69" i="1"/>
  <c r="J55" i="1"/>
  <c r="J70" i="1"/>
  <c r="J56" i="1"/>
  <c r="J71" i="1"/>
  <c r="J57" i="1"/>
  <c r="J72" i="1"/>
  <c r="J58" i="1"/>
  <c r="J73" i="1"/>
  <c r="J59" i="1"/>
  <c r="J74" i="1"/>
  <c r="J60" i="1"/>
  <c r="J75" i="1"/>
  <c r="J61" i="1"/>
  <c r="J76" i="1"/>
  <c r="J62" i="1"/>
  <c r="J77" i="1"/>
  <c r="J63" i="1"/>
  <c r="J78" i="1"/>
  <c r="J64" i="1"/>
  <c r="J80" i="1"/>
  <c r="J65" i="1"/>
  <c r="J79" i="1"/>
  <c r="J66" i="1"/>
  <c r="J81" i="1"/>
  <c r="J67" i="1"/>
  <c r="J82" i="1"/>
  <c r="J83" i="1"/>
  <c r="J91" i="1"/>
  <c r="J84" i="1"/>
  <c r="J92" i="1"/>
  <c r="J93" i="1"/>
  <c r="J85" i="1"/>
  <c r="J94" i="1"/>
  <c r="J86" i="1"/>
  <c r="J95" i="1"/>
  <c r="J87" i="1"/>
  <c r="J96" i="1"/>
  <c r="J88" i="1"/>
  <c r="J97" i="1"/>
  <c r="J89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26" i="1"/>
  <c r="J129" i="1"/>
  <c r="J118" i="1"/>
  <c r="J130" i="1"/>
  <c r="J119" i="1"/>
  <c r="J131" i="1"/>
  <c r="J120" i="1"/>
  <c r="J132" i="1"/>
  <c r="J121" i="1"/>
  <c r="J133" i="1"/>
  <c r="J122" i="1"/>
  <c r="J134" i="1"/>
  <c r="J123" i="1"/>
  <c r="J135" i="1"/>
  <c r="J124" i="1"/>
  <c r="J136" i="1"/>
  <c r="J125" i="1"/>
  <c r="J128" i="1"/>
  <c r="J137" i="1"/>
  <c r="J146" i="1"/>
  <c r="J138" i="1"/>
  <c r="J147" i="1"/>
  <c r="J139" i="1"/>
  <c r="J148" i="1"/>
  <c r="J140" i="1"/>
  <c r="J149" i="1"/>
  <c r="J141" i="1"/>
  <c r="J142" i="1"/>
  <c r="J151" i="1"/>
  <c r="J143" i="1"/>
  <c r="J152" i="1"/>
  <c r="J144" i="1"/>
  <c r="J153" i="1"/>
  <c r="J145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78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9" i="1"/>
  <c r="J185" i="1"/>
  <c r="J180" i="1"/>
  <c r="J186" i="1"/>
  <c r="J181" i="1"/>
  <c r="J187" i="1"/>
  <c r="J182" i="1"/>
  <c r="J188" i="1"/>
  <c r="J183" i="1"/>
  <c r="J184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I32" i="1"/>
  <c r="I33" i="1"/>
  <c r="I34" i="1"/>
  <c r="I44" i="1"/>
  <c r="I3" i="1"/>
  <c r="I35" i="1"/>
  <c r="I4" i="1"/>
  <c r="I36" i="1"/>
  <c r="I23" i="1"/>
  <c r="I24" i="1"/>
  <c r="I25" i="1"/>
  <c r="I26" i="1"/>
  <c r="I27" i="1"/>
  <c r="I29" i="1"/>
  <c r="I30" i="1"/>
  <c r="I31" i="1"/>
  <c r="I37" i="1"/>
  <c r="I38" i="1"/>
  <c r="I39" i="1"/>
  <c r="I40" i="1"/>
  <c r="I41" i="1"/>
  <c r="I42" i="1"/>
  <c r="I45" i="1"/>
  <c r="I46" i="1"/>
  <c r="I47" i="1"/>
  <c r="I48" i="1"/>
  <c r="I49" i="1"/>
  <c r="I43" i="1"/>
  <c r="I50" i="1"/>
  <c r="I51" i="1"/>
  <c r="I5" i="1"/>
  <c r="I6" i="1"/>
  <c r="I2" i="1"/>
  <c r="I7" i="1"/>
  <c r="I8" i="1"/>
  <c r="I9" i="1"/>
  <c r="I11" i="1"/>
  <c r="I12" i="1"/>
  <c r="I13" i="1"/>
  <c r="I14" i="1"/>
  <c r="I15" i="1"/>
  <c r="I16" i="1"/>
  <c r="I17" i="1"/>
  <c r="I18" i="1"/>
  <c r="I19" i="1"/>
  <c r="I20" i="1"/>
  <c r="I21" i="1"/>
  <c r="I52" i="1"/>
  <c r="I53" i="1"/>
  <c r="I68" i="1"/>
  <c r="I54" i="1"/>
  <c r="I69" i="1"/>
  <c r="I55" i="1"/>
  <c r="I70" i="1"/>
  <c r="I56" i="1"/>
  <c r="I71" i="1"/>
  <c r="I57" i="1"/>
  <c r="I72" i="1"/>
  <c r="I58" i="1"/>
  <c r="I73" i="1"/>
  <c r="I59" i="1"/>
  <c r="I74" i="1"/>
  <c r="I60" i="1"/>
  <c r="I75" i="1"/>
  <c r="I61" i="1"/>
  <c r="I76" i="1"/>
  <c r="I62" i="1"/>
  <c r="I77" i="1"/>
  <c r="I63" i="1"/>
  <c r="I78" i="1"/>
  <c r="I64" i="1"/>
  <c r="I80" i="1"/>
  <c r="I65" i="1"/>
  <c r="I79" i="1"/>
  <c r="I66" i="1"/>
  <c r="I81" i="1"/>
  <c r="I67" i="1"/>
  <c r="I82" i="1"/>
  <c r="I83" i="1"/>
  <c r="I91" i="1"/>
  <c r="I84" i="1"/>
  <c r="I92" i="1"/>
  <c r="I93" i="1"/>
  <c r="I85" i="1"/>
  <c r="I94" i="1"/>
  <c r="I86" i="1"/>
  <c r="I95" i="1"/>
  <c r="I87" i="1"/>
  <c r="I96" i="1"/>
  <c r="I88" i="1"/>
  <c r="I97" i="1"/>
  <c r="I89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26" i="1"/>
  <c r="I129" i="1"/>
  <c r="I118" i="1"/>
  <c r="I130" i="1"/>
  <c r="I119" i="1"/>
  <c r="I131" i="1"/>
  <c r="I120" i="1"/>
  <c r="I132" i="1"/>
  <c r="I121" i="1"/>
  <c r="I133" i="1"/>
  <c r="I122" i="1"/>
  <c r="I134" i="1"/>
  <c r="I123" i="1"/>
  <c r="I135" i="1"/>
  <c r="I124" i="1"/>
  <c r="I136" i="1"/>
  <c r="I125" i="1"/>
  <c r="I128" i="1"/>
  <c r="I137" i="1"/>
  <c r="I146" i="1"/>
  <c r="I138" i="1"/>
  <c r="I147" i="1"/>
  <c r="I139" i="1"/>
  <c r="I148" i="1"/>
  <c r="I140" i="1"/>
  <c r="I149" i="1"/>
  <c r="I141" i="1"/>
  <c r="I142" i="1"/>
  <c r="I151" i="1"/>
  <c r="I143" i="1"/>
  <c r="I152" i="1"/>
  <c r="I144" i="1"/>
  <c r="I153" i="1"/>
  <c r="I145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78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9" i="1"/>
  <c r="I185" i="1"/>
  <c r="I180" i="1"/>
  <c r="I186" i="1"/>
  <c r="I181" i="1"/>
  <c r="I187" i="1"/>
  <c r="I182" i="1"/>
  <c r="I188" i="1"/>
  <c r="I183" i="1"/>
  <c r="I184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J22" i="1"/>
  <c r="L22" i="1"/>
  <c r="K32" i="1" l="1"/>
  <c r="O32" i="1" s="1"/>
  <c r="K60" i="1"/>
  <c r="O60" i="1" s="1"/>
  <c r="K10" i="1"/>
  <c r="O10" i="1" s="1"/>
  <c r="L28" i="1"/>
  <c r="K196" i="1"/>
  <c r="O196" i="1" s="1"/>
  <c r="K185" i="1"/>
  <c r="O185" i="1" s="1"/>
  <c r="K164" i="1"/>
  <c r="O164" i="1" s="1"/>
  <c r="K143" i="1"/>
  <c r="O143" i="1" s="1"/>
  <c r="K135" i="1"/>
  <c r="O135" i="1" s="1"/>
  <c r="K115" i="1"/>
  <c r="O115" i="1" s="1"/>
  <c r="K99" i="1"/>
  <c r="O99" i="1" s="1"/>
  <c r="K82" i="1"/>
  <c r="O82" i="1" s="1"/>
  <c r="K74" i="1"/>
  <c r="O74" i="1" s="1"/>
  <c r="K20" i="1"/>
  <c r="O20" i="1" s="1"/>
  <c r="K51" i="1"/>
  <c r="O51" i="1" s="1"/>
  <c r="K29" i="1"/>
  <c r="O29" i="1" s="1"/>
  <c r="K151" i="1"/>
  <c r="O151" i="1" s="1"/>
  <c r="K59" i="1"/>
  <c r="O59" i="1" s="1"/>
  <c r="K19" i="1"/>
  <c r="O19" i="1" s="1"/>
  <c r="K50" i="1"/>
  <c r="O50" i="1" s="1"/>
  <c r="K28" i="1"/>
  <c r="K197" i="1"/>
  <c r="O197" i="1" s="1"/>
  <c r="K21" i="1"/>
  <c r="O21" i="1" s="1"/>
  <c r="K209" i="1"/>
  <c r="O209" i="1" s="1"/>
  <c r="K142" i="1"/>
  <c r="O142" i="1" s="1"/>
  <c r="K113" i="1"/>
  <c r="O113" i="1" s="1"/>
  <c r="K97" i="1"/>
  <c r="O97" i="1" s="1"/>
  <c r="K81" i="1"/>
  <c r="O81" i="1" s="1"/>
  <c r="K73" i="1"/>
  <c r="O73" i="1" s="1"/>
  <c r="K18" i="1"/>
  <c r="O18" i="1" s="1"/>
  <c r="K43" i="1"/>
  <c r="O43" i="1" s="1"/>
  <c r="K27" i="1"/>
  <c r="O27" i="1" s="1"/>
  <c r="K208" i="1"/>
  <c r="O208" i="1" s="1"/>
  <c r="K193" i="1"/>
  <c r="O193" i="1" s="1"/>
  <c r="K176" i="1"/>
  <c r="O176" i="1" s="1"/>
  <c r="K161" i="1"/>
  <c r="O161" i="1" s="1"/>
  <c r="K141" i="1"/>
  <c r="O141" i="1" s="1"/>
  <c r="K122" i="1"/>
  <c r="O122" i="1" s="1"/>
  <c r="K112" i="1"/>
  <c r="O112" i="1" s="1"/>
  <c r="K88" i="1"/>
  <c r="O88" i="1" s="1"/>
  <c r="K66" i="1"/>
  <c r="O66" i="1" s="1"/>
  <c r="K58" i="1"/>
  <c r="O58" i="1" s="1"/>
  <c r="K17" i="1"/>
  <c r="O17" i="1" s="1"/>
  <c r="K49" i="1"/>
  <c r="O49" i="1" s="1"/>
  <c r="K26" i="1"/>
  <c r="O26" i="1" s="1"/>
  <c r="K5" i="1"/>
  <c r="O5" i="1" s="1"/>
  <c r="K179" i="1"/>
  <c r="O179" i="1" s="1"/>
  <c r="K134" i="1"/>
  <c r="O134" i="1" s="1"/>
  <c r="K231" i="1"/>
  <c r="O231" i="1" s="1"/>
  <c r="K207" i="1"/>
  <c r="O207" i="1" s="1"/>
  <c r="K192" i="1"/>
  <c r="O192" i="1" s="1"/>
  <c r="K175" i="1"/>
  <c r="O175" i="1" s="1"/>
  <c r="K160" i="1"/>
  <c r="O160" i="1" s="1"/>
  <c r="K149" i="1"/>
  <c r="O149" i="1" s="1"/>
  <c r="K133" i="1"/>
  <c r="O133" i="1" s="1"/>
  <c r="K111" i="1"/>
  <c r="O111" i="1" s="1"/>
  <c r="K96" i="1"/>
  <c r="O96" i="1" s="1"/>
  <c r="K79" i="1"/>
  <c r="O79" i="1" s="1"/>
  <c r="K72" i="1"/>
  <c r="O72" i="1" s="1"/>
  <c r="K16" i="1"/>
  <c r="O16" i="1" s="1"/>
  <c r="K48" i="1"/>
  <c r="O48" i="1" s="1"/>
  <c r="K25" i="1"/>
  <c r="O25" i="1" s="1"/>
  <c r="K220" i="1"/>
  <c r="O220" i="1" s="1"/>
  <c r="K206" i="1"/>
  <c r="O206" i="1" s="1"/>
  <c r="K191" i="1"/>
  <c r="O191" i="1" s="1"/>
  <c r="K174" i="1"/>
  <c r="O174" i="1" s="1"/>
  <c r="K159" i="1"/>
  <c r="O159" i="1" s="1"/>
  <c r="K140" i="1"/>
  <c r="O140" i="1" s="1"/>
  <c r="K121" i="1"/>
  <c r="O121" i="1" s="1"/>
  <c r="K110" i="1"/>
  <c r="O110" i="1" s="1"/>
  <c r="K87" i="1"/>
  <c r="O87" i="1" s="1"/>
  <c r="K65" i="1"/>
  <c r="O65" i="1" s="1"/>
  <c r="K57" i="1"/>
  <c r="O57" i="1" s="1"/>
  <c r="K15" i="1"/>
  <c r="O15" i="1" s="1"/>
  <c r="K47" i="1"/>
  <c r="O47" i="1" s="1"/>
  <c r="K24" i="1"/>
  <c r="O24" i="1" s="1"/>
  <c r="K195" i="1"/>
  <c r="O195" i="1" s="1"/>
  <c r="K194" i="1"/>
  <c r="O194" i="1" s="1"/>
  <c r="K205" i="1"/>
  <c r="O205" i="1" s="1"/>
  <c r="K190" i="1"/>
  <c r="O190" i="1" s="1"/>
  <c r="K173" i="1"/>
  <c r="O173" i="1" s="1"/>
  <c r="K158" i="1"/>
  <c r="O158" i="1" s="1"/>
  <c r="K148" i="1"/>
  <c r="O148" i="1" s="1"/>
  <c r="K132" i="1"/>
  <c r="O132" i="1" s="1"/>
  <c r="K109" i="1"/>
  <c r="O109" i="1" s="1"/>
  <c r="K95" i="1"/>
  <c r="O95" i="1" s="1"/>
  <c r="K80" i="1"/>
  <c r="O80" i="1" s="1"/>
  <c r="K71" i="1"/>
  <c r="O71" i="1" s="1"/>
  <c r="K14" i="1"/>
  <c r="O14" i="1" s="1"/>
  <c r="K46" i="1"/>
  <c r="O46" i="1" s="1"/>
  <c r="K23" i="1"/>
  <c r="O23" i="1" s="1"/>
  <c r="K224" i="1"/>
  <c r="O224" i="1" s="1"/>
  <c r="K114" i="1"/>
  <c r="O114" i="1" s="1"/>
  <c r="K221" i="1"/>
  <c r="O221" i="1" s="1"/>
  <c r="K219" i="1"/>
  <c r="O219" i="1" s="1"/>
  <c r="K204" i="1"/>
  <c r="O204" i="1" s="1"/>
  <c r="K189" i="1"/>
  <c r="O189" i="1" s="1"/>
  <c r="K172" i="1"/>
  <c r="O172" i="1" s="1"/>
  <c r="K157" i="1"/>
  <c r="O157" i="1" s="1"/>
  <c r="K139" i="1"/>
  <c r="O139" i="1" s="1"/>
  <c r="K120" i="1"/>
  <c r="O120" i="1" s="1"/>
  <c r="K108" i="1"/>
  <c r="O108" i="1" s="1"/>
  <c r="K86" i="1"/>
  <c r="O86" i="1" s="1"/>
  <c r="K64" i="1"/>
  <c r="O64" i="1" s="1"/>
  <c r="K56" i="1"/>
  <c r="O56" i="1" s="1"/>
  <c r="K13" i="1"/>
  <c r="O13" i="1" s="1"/>
  <c r="K45" i="1"/>
  <c r="O45" i="1" s="1"/>
  <c r="K36" i="1"/>
  <c r="O36" i="1" s="1"/>
  <c r="K165" i="1"/>
  <c r="O165" i="1" s="1"/>
  <c r="K30" i="1"/>
  <c r="O30" i="1" s="1"/>
  <c r="K163" i="1"/>
  <c r="O163" i="1" s="1"/>
  <c r="K177" i="1"/>
  <c r="O177" i="1" s="1"/>
  <c r="K218" i="1"/>
  <c r="O218" i="1" s="1"/>
  <c r="K203" i="1"/>
  <c r="O203" i="1" s="1"/>
  <c r="K184" i="1"/>
  <c r="O184" i="1" s="1"/>
  <c r="K171" i="1"/>
  <c r="O171" i="1" s="1"/>
  <c r="K147" i="1"/>
  <c r="O147" i="1" s="1"/>
  <c r="K131" i="1"/>
  <c r="O131" i="1" s="1"/>
  <c r="K107" i="1"/>
  <c r="O107" i="1" s="1"/>
  <c r="K94" i="1"/>
  <c r="O94" i="1" s="1"/>
  <c r="K78" i="1"/>
  <c r="O78" i="1" s="1"/>
  <c r="K70" i="1"/>
  <c r="O70" i="1" s="1"/>
  <c r="K12" i="1"/>
  <c r="O12" i="1" s="1"/>
  <c r="K42" i="1"/>
  <c r="O42" i="1" s="1"/>
  <c r="K4" i="1"/>
  <c r="O4" i="1" s="1"/>
  <c r="K180" i="1"/>
  <c r="O180" i="1" s="1"/>
  <c r="K211" i="1"/>
  <c r="O211" i="1" s="1"/>
  <c r="K89" i="1"/>
  <c r="O89" i="1" s="1"/>
  <c r="K230" i="1"/>
  <c r="O230" i="1" s="1"/>
  <c r="K217" i="1"/>
  <c r="O217" i="1" s="1"/>
  <c r="K202" i="1"/>
  <c r="O202" i="1" s="1"/>
  <c r="K183" i="1"/>
  <c r="O183" i="1" s="1"/>
  <c r="K170" i="1"/>
  <c r="O170" i="1" s="1"/>
  <c r="K156" i="1"/>
  <c r="O156" i="1" s="1"/>
  <c r="K138" i="1"/>
  <c r="O138" i="1" s="1"/>
  <c r="K119" i="1"/>
  <c r="O119" i="1" s="1"/>
  <c r="K106" i="1"/>
  <c r="O106" i="1" s="1"/>
  <c r="K85" i="1"/>
  <c r="O85" i="1" s="1"/>
  <c r="K63" i="1"/>
  <c r="O63" i="1" s="1"/>
  <c r="K55" i="1"/>
  <c r="O55" i="1" s="1"/>
  <c r="K11" i="1"/>
  <c r="O11" i="1" s="1"/>
  <c r="K41" i="1"/>
  <c r="O41" i="1" s="1"/>
  <c r="K35" i="1"/>
  <c r="O35" i="1" s="1"/>
  <c r="K100" i="1"/>
  <c r="O100" i="1" s="1"/>
  <c r="K67" i="1"/>
  <c r="O67" i="1" s="1"/>
  <c r="K229" i="1"/>
  <c r="O229" i="1" s="1"/>
  <c r="K216" i="1"/>
  <c r="O216" i="1" s="1"/>
  <c r="K201" i="1"/>
  <c r="O201" i="1" s="1"/>
  <c r="K188" i="1"/>
  <c r="O188" i="1" s="1"/>
  <c r="K169" i="1"/>
  <c r="O169" i="1" s="1"/>
  <c r="K155" i="1"/>
  <c r="O155" i="1" s="1"/>
  <c r="K146" i="1"/>
  <c r="O146" i="1" s="1"/>
  <c r="K130" i="1"/>
  <c r="O130" i="1" s="1"/>
  <c r="K105" i="1"/>
  <c r="O105" i="1" s="1"/>
  <c r="K93" i="1"/>
  <c r="O93" i="1" s="1"/>
  <c r="K77" i="1"/>
  <c r="O77" i="1" s="1"/>
  <c r="K69" i="1"/>
  <c r="O69" i="1" s="1"/>
  <c r="K9" i="1"/>
  <c r="O9" i="1" s="1"/>
  <c r="K40" i="1"/>
  <c r="O40" i="1" s="1"/>
  <c r="K3" i="1"/>
  <c r="O3" i="1" s="1"/>
  <c r="K152" i="1"/>
  <c r="O152" i="1" s="1"/>
  <c r="K210" i="1"/>
  <c r="O210" i="1" s="1"/>
  <c r="I22" i="1"/>
  <c r="K22" i="1" s="1"/>
  <c r="O22" i="1" s="1"/>
  <c r="K228" i="1"/>
  <c r="O228" i="1" s="1"/>
  <c r="K215" i="1"/>
  <c r="O215" i="1" s="1"/>
  <c r="K182" i="1"/>
  <c r="O182" i="1" s="1"/>
  <c r="K168" i="1"/>
  <c r="O168" i="1" s="1"/>
  <c r="K154" i="1"/>
  <c r="O154" i="1" s="1"/>
  <c r="K137" i="1"/>
  <c r="O137" i="1" s="1"/>
  <c r="K118" i="1"/>
  <c r="O118" i="1" s="1"/>
  <c r="K104" i="1"/>
  <c r="O104" i="1" s="1"/>
  <c r="K92" i="1"/>
  <c r="O92" i="1" s="1"/>
  <c r="K62" i="1"/>
  <c r="O62" i="1" s="1"/>
  <c r="K54" i="1"/>
  <c r="O54" i="1" s="1"/>
  <c r="K8" i="1"/>
  <c r="O8" i="1" s="1"/>
  <c r="K39" i="1"/>
  <c r="O39" i="1" s="1"/>
  <c r="K44" i="1"/>
  <c r="O44" i="1" s="1"/>
  <c r="K222" i="1"/>
  <c r="O222" i="1" s="1"/>
  <c r="K227" i="1"/>
  <c r="O227" i="1" s="1"/>
  <c r="K200" i="1"/>
  <c r="O200" i="1" s="1"/>
  <c r="K187" i="1"/>
  <c r="O187" i="1" s="1"/>
  <c r="K167" i="1"/>
  <c r="O167" i="1" s="1"/>
  <c r="K145" i="1"/>
  <c r="O145" i="1" s="1"/>
  <c r="K128" i="1"/>
  <c r="O128" i="1" s="1"/>
  <c r="K129" i="1"/>
  <c r="O129" i="1" s="1"/>
  <c r="K103" i="1"/>
  <c r="O103" i="1" s="1"/>
  <c r="K84" i="1"/>
  <c r="O84" i="1" s="1"/>
  <c r="K76" i="1"/>
  <c r="O76" i="1" s="1"/>
  <c r="K68" i="1"/>
  <c r="O68" i="1" s="1"/>
  <c r="K7" i="1"/>
  <c r="O7" i="1" s="1"/>
  <c r="K38" i="1"/>
  <c r="O38" i="1" s="1"/>
  <c r="K34" i="1"/>
  <c r="O34" i="1" s="1"/>
  <c r="K212" i="1"/>
  <c r="O212" i="1" s="1"/>
  <c r="K116" i="1"/>
  <c r="O116" i="1" s="1"/>
  <c r="K223" i="1"/>
  <c r="O223" i="1" s="1"/>
  <c r="K162" i="1"/>
  <c r="O162" i="1" s="1"/>
  <c r="K226" i="1"/>
  <c r="O226" i="1" s="1"/>
  <c r="K214" i="1"/>
  <c r="O214" i="1" s="1"/>
  <c r="K199" i="1"/>
  <c r="O199" i="1" s="1"/>
  <c r="K181" i="1"/>
  <c r="O181" i="1" s="1"/>
  <c r="K166" i="1"/>
  <c r="O166" i="1" s="1"/>
  <c r="K153" i="1"/>
  <c r="O153" i="1" s="1"/>
  <c r="K125" i="1"/>
  <c r="O125" i="1" s="1"/>
  <c r="K126" i="1"/>
  <c r="O126" i="1" s="1"/>
  <c r="K102" i="1"/>
  <c r="O102" i="1" s="1"/>
  <c r="K91" i="1"/>
  <c r="O91" i="1" s="1"/>
  <c r="K61" i="1"/>
  <c r="O61" i="1" s="1"/>
  <c r="K53" i="1"/>
  <c r="O53" i="1" s="1"/>
  <c r="K2" i="1"/>
  <c r="O2" i="1" s="1"/>
  <c r="K37" i="1"/>
  <c r="O37" i="1" s="1"/>
  <c r="K33" i="1"/>
  <c r="O33" i="1" s="1"/>
  <c r="K124" i="1"/>
  <c r="O124" i="1" s="1"/>
  <c r="K123" i="1"/>
  <c r="O123" i="1" s="1"/>
  <c r="K225" i="1"/>
  <c r="O225" i="1" s="1"/>
  <c r="K213" i="1"/>
  <c r="O213" i="1" s="1"/>
  <c r="K198" i="1"/>
  <c r="O198" i="1" s="1"/>
  <c r="K186" i="1"/>
  <c r="O186" i="1" s="1"/>
  <c r="K178" i="1"/>
  <c r="O178" i="1" s="1"/>
  <c r="K144" i="1"/>
  <c r="O144" i="1" s="1"/>
  <c r="K136" i="1"/>
  <c r="O136" i="1" s="1"/>
  <c r="K117" i="1"/>
  <c r="O117" i="1" s="1"/>
  <c r="K101" i="1"/>
  <c r="O101" i="1" s="1"/>
  <c r="K83" i="1"/>
  <c r="O83" i="1" s="1"/>
  <c r="K75" i="1"/>
  <c r="O75" i="1" s="1"/>
  <c r="K52" i="1"/>
  <c r="O52" i="1" s="1"/>
  <c r="K6" i="1"/>
  <c r="O6" i="1" s="1"/>
  <c r="K31" i="1"/>
  <c r="O31" i="1" s="1"/>
  <c r="O28" i="1" l="1"/>
</calcChain>
</file>

<file path=xl/sharedStrings.xml><?xml version="1.0" encoding="utf-8"?>
<sst xmlns="http://schemas.openxmlformats.org/spreadsheetml/2006/main" count="1231" uniqueCount="530">
  <si>
    <t>Code</t>
  </si>
  <si>
    <t>Description</t>
  </si>
  <si>
    <t>Category</t>
  </si>
  <si>
    <t>Current Stock</t>
  </si>
  <si>
    <t>Lead Time (months)</t>
  </si>
  <si>
    <t>Safety Factor (months)</t>
  </si>
  <si>
    <t>Review Period (months)</t>
  </si>
  <si>
    <t>Safety Stock</t>
  </si>
  <si>
    <t>Lead Time Demand</t>
  </si>
  <si>
    <t>Reorder Point (ROP)</t>
  </si>
  <si>
    <t>Maximum Stock (MAX)</t>
  </si>
  <si>
    <t>On Order</t>
  </si>
  <si>
    <t>Order Quantity</t>
  </si>
  <si>
    <t>M10*16 HT HEX SET SCREW Z/BLUE</t>
  </si>
  <si>
    <t>FASTENERS</t>
  </si>
  <si>
    <t>M12*40 HT HEX SET SCREW Z/BLUE</t>
  </si>
  <si>
    <t>M12*60 HT HEX SET SCREW Z/BLUE</t>
  </si>
  <si>
    <t>M12*90 HT HEX SET SCREW Z/BLUE</t>
  </si>
  <si>
    <t>M16*100 HT HEX SET SCREW Z/BLUE</t>
  </si>
  <si>
    <t>M5 HT HEX NUT Z/BLUE</t>
  </si>
  <si>
    <t>M12 HT NYLOCK NUT</t>
  </si>
  <si>
    <t>M6 HT NYLOCK NUT</t>
  </si>
  <si>
    <t>M12 HEX NUT ZINC BLUE</t>
  </si>
  <si>
    <t xml:space="preserve">M10 FLAT WASHER </t>
  </si>
  <si>
    <t>M10 FLAT WASHER DIN 125A ZINC BLUE (10 .5i/dx20o/dxthk) 10 125A ZB</t>
  </si>
  <si>
    <t>M10 HEX NUT ZB</t>
  </si>
  <si>
    <t>M10 DIN 934 GRADE 8.8 HEX NUT Z/BLUE 10 934 GR8 ZB</t>
  </si>
  <si>
    <t>M10 Nylock Nut</t>
  </si>
  <si>
    <t>M10 Nylock Nut Zinc Blue(Silver)</t>
  </si>
  <si>
    <t>M10*25 HT HEX SET SCREW ZB</t>
  </si>
  <si>
    <t>M10*25 HT HEX SET SCREW Z/BLUE 10X25 933 8.8 ZB</t>
  </si>
  <si>
    <t>M10X25X2 FLAT WASHER</t>
  </si>
  <si>
    <t>M10X25X2 FLAT WASHER Z/BLUE 10X25X2 OLD ZB</t>
  </si>
  <si>
    <t>M10X35</t>
  </si>
  <si>
    <t>M10X35 HT HEX SET SCREWS</t>
  </si>
  <si>
    <t>M10X40</t>
  </si>
  <si>
    <t>M10X40 HT HEX SET SCREWS</t>
  </si>
  <si>
    <t>M10X45</t>
  </si>
  <si>
    <t>M10X45 HT HEX SET SCREWS</t>
  </si>
  <si>
    <t>M10X65</t>
  </si>
  <si>
    <t>M10X65 HT HEX SET SCREWS</t>
  </si>
  <si>
    <t>M12*20 HT HEX SET SCREW ZB</t>
  </si>
  <si>
    <t>M12*20 HT HEX SET SCREW Z/BLUE 12X20 933 8.8 ZB</t>
  </si>
  <si>
    <t>M12X16</t>
  </si>
  <si>
    <t>M12X16 HT HEX SET SCREWS</t>
  </si>
  <si>
    <t>M12X25</t>
  </si>
  <si>
    <t>M12*25 HT HEX SET SCREW Z/BLUE 12X25 933 8.8 ZB</t>
  </si>
  <si>
    <t>M12X30X3 FLAT WASHER ZB</t>
  </si>
  <si>
    <t>M12X30X3 FLAT WASHER Z/BLUE</t>
  </si>
  <si>
    <t>M12X35</t>
  </si>
  <si>
    <t>M12X35 HT Hex Set Screws</t>
  </si>
  <si>
    <t>M14 HT NYLOCK NUT</t>
  </si>
  <si>
    <t>M14 HT NYLOCK NUT 14 985 GR8</t>
  </si>
  <si>
    <t>M16 FLAT WASHER  ZB</t>
  </si>
  <si>
    <t>M16 FLAT WASHER DIN 125A ZINC BLUE (17i/d X 30o/d 3thk) 16 125A ZB</t>
  </si>
  <si>
    <t>M16 HEX NUT ZB</t>
  </si>
  <si>
    <t>M16 GR8 HEX NUT Z/BLUE 16 934 GR8 ZB</t>
  </si>
  <si>
    <t>M16 HT NYLOCK NUT</t>
  </si>
  <si>
    <t>M16*120 HT HEX SET SCREW</t>
  </si>
  <si>
    <t>M16*120 HT HEX SET SCREW 16X120 933 8.8</t>
  </si>
  <si>
    <t>M16*16</t>
  </si>
  <si>
    <t>M16*16 Hex Set Screws</t>
  </si>
  <si>
    <t>M16*25</t>
  </si>
  <si>
    <t>M16*25 Hex Set Screws</t>
  </si>
  <si>
    <t>M16X1 THREADED ROD ZB</t>
  </si>
  <si>
    <t>M16X1 THREADED ROD 8 . 8 ZINC BLUE 16X1 975 8 .8 ZB</t>
  </si>
  <si>
    <t>M16X90</t>
  </si>
  <si>
    <t>M16X90 HT HEX SET SCREWS Z/BLUE</t>
  </si>
  <si>
    <t>M5*16 HT HEX SET SCREW ZB</t>
  </si>
  <si>
    <t>M5*16 HT HEX SET SCREW Z/BLUE 5X16 933 8.8 ZB</t>
  </si>
  <si>
    <t xml:space="preserve">M5*45 HT HEX SET SCREW </t>
  </si>
  <si>
    <t>M5*45 HT HEX SET SCREW 5X45 933 8 . 8</t>
  </si>
  <si>
    <t>M5X16X1.5 Flat washer</t>
  </si>
  <si>
    <t>M5X16X1.5 HT Flat washer</t>
  </si>
  <si>
    <t>M6 FLAT WASHER ZB</t>
  </si>
  <si>
    <t>M6 (6.4 X12X1.6) FLAT WASHER DIN 125A ZINC BLUE</t>
  </si>
  <si>
    <t>M6 HT HEX NUT ZB</t>
  </si>
  <si>
    <t>M6 HT HEX NUT Z/BLUE 6 934 GR8 ZB</t>
  </si>
  <si>
    <t>M6*16 HT HEX SET SCREW</t>
  </si>
  <si>
    <t>M6*16 HT HEX SET SCREW ENVIROPAS 6X16 933 8.8 EN</t>
  </si>
  <si>
    <t>M6*25</t>
  </si>
  <si>
    <t>M6*25 HT HEX SET SCREW S/S A2</t>
  </si>
  <si>
    <t>M6*35 HT SET SCREW ZB</t>
  </si>
  <si>
    <t>M6*35 HT SET SCREW Z/BLUE 6X35 933 8.8 ZB</t>
  </si>
  <si>
    <t>M6X20X2  FLAT WASHER ZB</t>
  </si>
  <si>
    <t>M6x20x2 - Flat Washer Zinc Blue</t>
  </si>
  <si>
    <t>M8 . 4*20*3 FLAT WASHER ZB</t>
  </si>
  <si>
    <t>M8 . 4*20*3 FLAT WASHER Z/BLUE 8X20X3 OLD ZB</t>
  </si>
  <si>
    <t>M8 FLAT WASHER ZB</t>
  </si>
  <si>
    <t>M8 FLAT WASHER DIN 125A ZINC BLUE (8 . 4ID*16OD*1.6THICK) 8 125A ZB</t>
  </si>
  <si>
    <t>M8 HEX NUT ZB</t>
  </si>
  <si>
    <t>M8 HEX NUT ZINC/BLUE</t>
  </si>
  <si>
    <t>M8 HT NYLOCK NUT</t>
  </si>
  <si>
    <t>M8 HT NYLOCK NUT 8 985 GR8</t>
  </si>
  <si>
    <t>M8*16 HT SET SCREW Z/BLUE</t>
  </si>
  <si>
    <t>M8*25 HT HEX 8.8 SET SCREW</t>
  </si>
  <si>
    <t>M8*25 HT HEX 8 . 8 SET SCREW Z/BLUE 8X25 933 8 . 8 ZB</t>
  </si>
  <si>
    <t>M8X70</t>
  </si>
  <si>
    <t>M8X70 HT HEX SET SCREWS ZINC/BLUE</t>
  </si>
  <si>
    <t>M8X75</t>
  </si>
  <si>
    <t>M8X75 HT HEX SET SCREWS ZINC/BLUE</t>
  </si>
  <si>
    <t>POZI SELF TAPPER</t>
  </si>
  <si>
    <t>No10 ( 4 . 8mm) *19 PAN/HD POZI SELF TAPPER 10X19 7981</t>
  </si>
  <si>
    <t>C315x315</t>
  </si>
  <si>
    <t>Casing size 315diamx315</t>
  </si>
  <si>
    <t>FM - CASING</t>
  </si>
  <si>
    <t>C315x315UG</t>
  </si>
  <si>
    <t>Casing size 315diamx315-Ungalvanised</t>
  </si>
  <si>
    <t>C400x400</t>
  </si>
  <si>
    <t>Casing Size 400diamx400</t>
  </si>
  <si>
    <t>C400x400UG</t>
  </si>
  <si>
    <t>Casing Size 400diamx400-Ungalvanised</t>
  </si>
  <si>
    <t>C500x400</t>
  </si>
  <si>
    <t>Casing Size 500diamx400</t>
  </si>
  <si>
    <t>C500x400UG</t>
  </si>
  <si>
    <t>Casing Size 500diamx400-Ungalvanised</t>
  </si>
  <si>
    <t>C500x500</t>
  </si>
  <si>
    <t>Casing Size 500diamx500</t>
  </si>
  <si>
    <t>C500x500UG</t>
  </si>
  <si>
    <t>Casing Size 500diamx500-Ungalvanised</t>
  </si>
  <si>
    <t>C560x400</t>
  </si>
  <si>
    <t>Casing size 560diamx400</t>
  </si>
  <si>
    <t>C560x400UG</t>
  </si>
  <si>
    <t>Casing size 560diamx400-Ungalvanised</t>
  </si>
  <si>
    <t>C560x500</t>
  </si>
  <si>
    <t>Casing size 560diamx500</t>
  </si>
  <si>
    <t>C560x500UG</t>
  </si>
  <si>
    <t>Casing size 560diamx500-Ungalvanised</t>
  </si>
  <si>
    <t>C630x400</t>
  </si>
  <si>
    <t>Casing Size 630diamx400</t>
  </si>
  <si>
    <t>C630x400UG</t>
  </si>
  <si>
    <t>Casing Size 630diamx400-Ungalvanised</t>
  </si>
  <si>
    <t>C630x500</t>
  </si>
  <si>
    <t>Casing Size 630diamx500</t>
  </si>
  <si>
    <t>C630x500UG</t>
  </si>
  <si>
    <t>Casing Size 630diamx500-Ungalvanised</t>
  </si>
  <si>
    <t>C710x400</t>
  </si>
  <si>
    <t>Casing Size 710diamx400</t>
  </si>
  <si>
    <t>C710x400UG</t>
  </si>
  <si>
    <t>Casing Size 710diamx400-Ungalvanised</t>
  </si>
  <si>
    <t>C710x500</t>
  </si>
  <si>
    <t>Casing Size 710diamx500</t>
  </si>
  <si>
    <t>C710x500UG</t>
  </si>
  <si>
    <t>Casing Size 710diamx500-Ungalvanised</t>
  </si>
  <si>
    <t>C800x400</t>
  </si>
  <si>
    <t>Casing Size 800diamx400</t>
  </si>
  <si>
    <t>C800x400UG</t>
  </si>
  <si>
    <t>Casing Size 800diamx400-Ungalvanised</t>
  </si>
  <si>
    <t>C800x500</t>
  </si>
  <si>
    <t>Casing Size 800diamx500</t>
  </si>
  <si>
    <t>C800x500 FM</t>
  </si>
  <si>
    <t>Casing Size 800diamx500 Foot Mount-Ungalvanised</t>
  </si>
  <si>
    <t>Casing Size 800diamx500 Foot Mount</t>
  </si>
  <si>
    <t>C800x500UG</t>
  </si>
  <si>
    <t>Casing Size 800diamx500-Ungalvanised</t>
  </si>
  <si>
    <t>CTERM-CAP</t>
  </si>
  <si>
    <t>Casing Terminal Cap</t>
  </si>
  <si>
    <t>315CF</t>
  </si>
  <si>
    <t>315 Diam Counter Flange</t>
  </si>
  <si>
    <t>FM - CFLANGE</t>
  </si>
  <si>
    <t>315CFUG</t>
  </si>
  <si>
    <t>315 Diam Counter Flange Ungalvanised</t>
  </si>
  <si>
    <t>400CF</t>
  </si>
  <si>
    <t>400 Diam Counter Flange</t>
  </si>
  <si>
    <t>400CFUG</t>
  </si>
  <si>
    <t>400 Diam Counter Flange Ungalvanised</t>
  </si>
  <si>
    <t>500CF</t>
  </si>
  <si>
    <t>500 Diam Counter Flange</t>
  </si>
  <si>
    <t>500CFUG</t>
  </si>
  <si>
    <t>500 Diam Counter Flange Ungalvanised</t>
  </si>
  <si>
    <t>535CFUG</t>
  </si>
  <si>
    <t>535 Diam Counter Flange Ungalvanised</t>
  </si>
  <si>
    <t>560CF</t>
  </si>
  <si>
    <t>560 Diam Counter Flange</t>
  </si>
  <si>
    <t>560CFUG</t>
  </si>
  <si>
    <t>560 Diam Counter Flange Ungalvanised</t>
  </si>
  <si>
    <t>630CF</t>
  </si>
  <si>
    <t>630 Diam Counter Flange</t>
  </si>
  <si>
    <t>630CFUG</t>
  </si>
  <si>
    <t>630 Diam Counter Flange Ungalvanised</t>
  </si>
  <si>
    <t>710CF</t>
  </si>
  <si>
    <t>710 Diam Counter Flange</t>
  </si>
  <si>
    <t>710CFUG</t>
  </si>
  <si>
    <t>710 Diam Counter Flange Ungalvanised</t>
  </si>
  <si>
    <t>800CF</t>
  </si>
  <si>
    <t>800 Diam Counter Flange</t>
  </si>
  <si>
    <t>800CFUG</t>
  </si>
  <si>
    <t>800 Diam Counter Flange Ungalvanised</t>
  </si>
  <si>
    <t>900CF</t>
  </si>
  <si>
    <t>900 Diam Counter Flange</t>
  </si>
  <si>
    <t>315-560AVMS</t>
  </si>
  <si>
    <t>315 to 560 NDA RED ANeoprene Floor Mounts</t>
  </si>
  <si>
    <t>FM - DONKIN</t>
  </si>
  <si>
    <t>630-1000AVMS</t>
  </si>
  <si>
    <t>630 to 1000 NDB GREEN Neoprene Floor Mounts</t>
  </si>
  <si>
    <t>1609CL</t>
  </si>
  <si>
    <t>160/9 Clamp - To Suit 14mm, 19mm, 24mm and 28mm Bore Hubs</t>
  </si>
  <si>
    <t>FM - IMPELLER</t>
  </si>
  <si>
    <t>1609H14</t>
  </si>
  <si>
    <t>160/9 Hub - 14mm bore</t>
  </si>
  <si>
    <t>1609H19</t>
  </si>
  <si>
    <t>160/9 Hub - 19mm bore</t>
  </si>
  <si>
    <t>1609H24</t>
  </si>
  <si>
    <t>160/9 Hub - 24mm bore</t>
  </si>
  <si>
    <t>1609H28</t>
  </si>
  <si>
    <t>160/9 Hub - 28mm bore</t>
  </si>
  <si>
    <t>25012CL</t>
  </si>
  <si>
    <t>250/12 Clamp - To Suit 38mm and 42mm Bore Hubs</t>
  </si>
  <si>
    <t>25012H19</t>
  </si>
  <si>
    <t>250/12 Hub - 19mm bore</t>
  </si>
  <si>
    <t>25012H24</t>
  </si>
  <si>
    <t>250/12 Hub - 24mm bore</t>
  </si>
  <si>
    <t>25012H28</t>
  </si>
  <si>
    <t>250/12 Hub - 28mm bore</t>
  </si>
  <si>
    <t>25012H38</t>
  </si>
  <si>
    <t>250/12 Hub - 38mm bore</t>
  </si>
  <si>
    <t>25012H42</t>
  </si>
  <si>
    <t>250/12 Hub - 42mm bore</t>
  </si>
  <si>
    <t>Al Blades</t>
  </si>
  <si>
    <t>Aluminium Blades</t>
  </si>
  <si>
    <t>Al Blanks</t>
  </si>
  <si>
    <t>Aluminium Blanks</t>
  </si>
  <si>
    <t>Keep Plates - 165</t>
  </si>
  <si>
    <t>Keep Plate 5mm OD. 42mm, ID. 6, 10mm</t>
  </si>
  <si>
    <t>Keep Plates - 250</t>
  </si>
  <si>
    <t>Keep Plate 5mm OD. 42mm, ID. 6, 10, 12mm</t>
  </si>
  <si>
    <t>Pl Blades</t>
  </si>
  <si>
    <t>Plastic Blades</t>
  </si>
  <si>
    <t>Pl Blanks</t>
  </si>
  <si>
    <t>Plastic Blanks</t>
  </si>
  <si>
    <t>MB1000</t>
  </si>
  <si>
    <t>1000Diam Mounting Brackets (4 per set)</t>
  </si>
  <si>
    <t>FM - MBRACKET</t>
  </si>
  <si>
    <t>MB1000HD</t>
  </si>
  <si>
    <t>1000Diam Mounting Brackets Heavy Duty (4 per set)</t>
  </si>
  <si>
    <t>MB315</t>
  </si>
  <si>
    <t>315Diam Mounting Brackets (4 per set)</t>
  </si>
  <si>
    <t>MB315UG</t>
  </si>
  <si>
    <t>315Diam Mounting Brackets Ungalvanised (4 per set)</t>
  </si>
  <si>
    <t>MB400</t>
  </si>
  <si>
    <t>400Diam Mounting Brackets (4 per set)</t>
  </si>
  <si>
    <t>MB400UG</t>
  </si>
  <si>
    <t>400Diam Mounting Brackets Ungalvanised (4 per set)</t>
  </si>
  <si>
    <t>MB500</t>
  </si>
  <si>
    <t>500Diam Mounting Brackets (4 per set)</t>
  </si>
  <si>
    <t>MB500UG</t>
  </si>
  <si>
    <t>500Diam Mounting Brackets Ungalvanised (4 per set)</t>
  </si>
  <si>
    <t>MB560</t>
  </si>
  <si>
    <t>560Diam Mounting Brackets (4 per set)</t>
  </si>
  <si>
    <t>MB560UG</t>
  </si>
  <si>
    <t>560Diam Mounting Brackets Ungalvanised (4 per set)</t>
  </si>
  <si>
    <t>MB630</t>
  </si>
  <si>
    <t>630Diam Mounting Brackets (4 per set)</t>
  </si>
  <si>
    <t>MB630UG</t>
  </si>
  <si>
    <t>630Diam Mounting Brackets Ungalvanised (4 per set)</t>
  </si>
  <si>
    <t>MB710</t>
  </si>
  <si>
    <t>710Diam Mounting Brackets (4 per set)</t>
  </si>
  <si>
    <t>MB710UG</t>
  </si>
  <si>
    <t>710Diam Mounting Brackets Ungalvanised (4 per set)</t>
  </si>
  <si>
    <t>MB800</t>
  </si>
  <si>
    <t>800Diam Mounting Brackets (4 per set)</t>
  </si>
  <si>
    <t>MB800UG</t>
  </si>
  <si>
    <t>800Diam Mounting Brackets Ungalvanised (4 per set)</t>
  </si>
  <si>
    <t>MB900</t>
  </si>
  <si>
    <t>900Diam Mounting Brackets (4 per set)</t>
  </si>
  <si>
    <t>MB900HD</t>
  </si>
  <si>
    <t>900Diam Mounting Brackets Heavy Duty (4 per set)</t>
  </si>
  <si>
    <t>MB900UG</t>
  </si>
  <si>
    <t>900Diam Mounting Brackets Ungalvanised (4 per set)</t>
  </si>
  <si>
    <t>1000MF (CFW)</t>
  </si>
  <si>
    <t>1000 Diam Mounting Feet (CFW)</t>
  </si>
  <si>
    <t>FM - MFEET</t>
  </si>
  <si>
    <t>315MF</t>
  </si>
  <si>
    <t>315 Diam Mounting Feet</t>
  </si>
  <si>
    <t>315MFUG</t>
  </si>
  <si>
    <t>315 Diam Mounting Feet Ungalvanised</t>
  </si>
  <si>
    <t>400MF</t>
  </si>
  <si>
    <t>400 Diam Mounting Feet</t>
  </si>
  <si>
    <t>400MFUG</t>
  </si>
  <si>
    <t>400 Diam Mounting Feet Ungalvanised</t>
  </si>
  <si>
    <t>500MF</t>
  </si>
  <si>
    <t>500 Diam Mounting Feet</t>
  </si>
  <si>
    <t>500MFUG</t>
  </si>
  <si>
    <t>500 Diam Mounting Feet Ungalvanised</t>
  </si>
  <si>
    <t>560MF</t>
  </si>
  <si>
    <t>560 Diam Mounting Feet</t>
  </si>
  <si>
    <t>630MF</t>
  </si>
  <si>
    <t>630 Diam Mounting Feet</t>
  </si>
  <si>
    <t>630MFUG</t>
  </si>
  <si>
    <t>630 Diam Mounting Feet Ungalvanised</t>
  </si>
  <si>
    <t>710MF</t>
  </si>
  <si>
    <t>710 Diam Mounting Feet</t>
  </si>
  <si>
    <t>710MFUG</t>
  </si>
  <si>
    <t>710 Diam Mounting Feet Ungalvanised</t>
  </si>
  <si>
    <t>800MF</t>
  </si>
  <si>
    <t>800 Diam Mounting Feet</t>
  </si>
  <si>
    <t>800MFUG</t>
  </si>
  <si>
    <t>800 Diam Mounting Feet Ungalvanised</t>
  </si>
  <si>
    <t>900MF</t>
  </si>
  <si>
    <t>900 Diam Mounting Feet</t>
  </si>
  <si>
    <t>900MFUG</t>
  </si>
  <si>
    <t>900 Diam Mounting Feet Ungalvanised</t>
  </si>
  <si>
    <t>0.2543PM</t>
  </si>
  <si>
    <t>0.25kW 4P 380V Pad Mount Motor</t>
  </si>
  <si>
    <t>FM - MOTORS</t>
  </si>
  <si>
    <t>0.3723PM</t>
  </si>
  <si>
    <t>0.37kW 2P 380V Pad Mount Motor</t>
  </si>
  <si>
    <t>0.3743PM</t>
  </si>
  <si>
    <t>0.37kW 4P 380V Pad Mount Motor</t>
  </si>
  <si>
    <t>0.5523PM</t>
  </si>
  <si>
    <t>0.55kW 2P 380V Pad Mount Motor</t>
  </si>
  <si>
    <t>0.5543PM</t>
  </si>
  <si>
    <t>0.55kW 4P 380V Pad Mount Motor</t>
  </si>
  <si>
    <t>0.7523PM</t>
  </si>
  <si>
    <t>0.75kW 2P 380V Pad Mount Motor</t>
  </si>
  <si>
    <t>0.7543PM</t>
  </si>
  <si>
    <t>0.75kW 4P 380V Pad Mount Motor</t>
  </si>
  <si>
    <t>1.123PM</t>
  </si>
  <si>
    <t>1.1kW 2P 380V Pad Mount Motor</t>
  </si>
  <si>
    <t>1.143PM</t>
  </si>
  <si>
    <t>1.1kW 4P 380V Pad Mount Motor</t>
  </si>
  <si>
    <t>1.523PM</t>
  </si>
  <si>
    <t>1.5kW 2P 380V Pad Mount Motor</t>
  </si>
  <si>
    <t>1.543PM</t>
  </si>
  <si>
    <t>1.5kW 4P 380V Pad Mount Motor</t>
  </si>
  <si>
    <t>1143PM</t>
  </si>
  <si>
    <t>11KW 4P 380V Pad Mount Motor</t>
  </si>
  <si>
    <t>2.223PM</t>
  </si>
  <si>
    <t>2.2kW 2P 380V Pad Mount Motor</t>
  </si>
  <si>
    <t>2.243PM</t>
  </si>
  <si>
    <t>2.2kW 4P 380V Pad Mount Motor</t>
  </si>
  <si>
    <t>323PM</t>
  </si>
  <si>
    <t>3kW 2P 380V Pad Mount Motor</t>
  </si>
  <si>
    <t>343PM</t>
  </si>
  <si>
    <t>3kW 4P 380V Pad Mount Motor</t>
  </si>
  <si>
    <t>423PM</t>
  </si>
  <si>
    <t>4kW 2P 380V Pad Mount Motor</t>
  </si>
  <si>
    <t>443PM</t>
  </si>
  <si>
    <t>4kW 4P 380V Pad Mount Motor</t>
  </si>
  <si>
    <t>5.523PM</t>
  </si>
  <si>
    <t>5.5 kW 2P 380V Pad Mount Motor</t>
  </si>
  <si>
    <t>5.543PM</t>
  </si>
  <si>
    <t>5.5kW 4P 380V Pad Mount Motor</t>
  </si>
  <si>
    <t>7.523PM</t>
  </si>
  <si>
    <t>7.5kW 2P 38V Pad Mount Motor</t>
  </si>
  <si>
    <t>7.543PM</t>
  </si>
  <si>
    <t>7.5kW 4P 380V Pad Mount Motor</t>
  </si>
  <si>
    <t>9.223PM</t>
  </si>
  <si>
    <t>9.2kW 2P 380V Pad Mount Motor</t>
  </si>
  <si>
    <t>9.243PM</t>
  </si>
  <si>
    <t>9.2kW 4P 380V Pad Mount Motor</t>
  </si>
  <si>
    <t>315S1.5DP</t>
  </si>
  <si>
    <t>315 Diam Silencer 1.5D Podded</t>
  </si>
  <si>
    <t>FM - SILENCER</t>
  </si>
  <si>
    <t>315S1.5DP600L</t>
  </si>
  <si>
    <t>315 Diam Silencer 1.5D Podded 600L</t>
  </si>
  <si>
    <t>400S1.5DP</t>
  </si>
  <si>
    <t>400 Diam Silencer 1.5D Podded</t>
  </si>
  <si>
    <t>400S2.0DP</t>
  </si>
  <si>
    <t>400 Diam Silencer 2.0D Podded</t>
  </si>
  <si>
    <t>500S1.5DP</t>
  </si>
  <si>
    <t>500 Diam Silencer 1.5D Podded</t>
  </si>
  <si>
    <t>500S2.0DP</t>
  </si>
  <si>
    <t>500 Diam Silencer 2.0D Podded</t>
  </si>
  <si>
    <t>560S1.5DP</t>
  </si>
  <si>
    <t>560 Diam Silencer 1.5D Podded</t>
  </si>
  <si>
    <t>560SM2.0DP</t>
  </si>
  <si>
    <t>560 Diam Silencer Melinex  2.0D Podded</t>
  </si>
  <si>
    <t>630S1.5DP</t>
  </si>
  <si>
    <t>630 Diam Silencer 1.5D Podded</t>
  </si>
  <si>
    <t>710S1.5DP</t>
  </si>
  <si>
    <t>710 Diam Silencer 1.5D Podded</t>
  </si>
  <si>
    <t>710SM1.5DP</t>
  </si>
  <si>
    <t>710 Diam Melinex Silencer 1.5D Podded</t>
  </si>
  <si>
    <t>900SM1.5DP</t>
  </si>
  <si>
    <t>900 Diam Melinex Silencer 1.5D Podded</t>
  </si>
  <si>
    <t>100T600</t>
  </si>
  <si>
    <t>100 Diam Tube Silencer 600L</t>
  </si>
  <si>
    <t>FM - TUBES</t>
  </si>
  <si>
    <t>125T600</t>
  </si>
  <si>
    <t>125 Diam Tube Silencer 600L</t>
  </si>
  <si>
    <t>150T600</t>
  </si>
  <si>
    <t>150 Diam Tube Silencer 600L</t>
  </si>
  <si>
    <t>200T600</t>
  </si>
  <si>
    <t>200 Diam Tube Silencer 600L</t>
  </si>
  <si>
    <t>250T600</t>
  </si>
  <si>
    <t>250 Diam Tube Silencer 600L</t>
  </si>
  <si>
    <t>315T600</t>
  </si>
  <si>
    <t>315 Diam Tube Silencer 600L</t>
  </si>
  <si>
    <t>355T600.</t>
  </si>
  <si>
    <t>355 Diam Tube Silencer 600L</t>
  </si>
  <si>
    <t>100/112 FR 27.8</t>
  </si>
  <si>
    <t>100/112 Motor Frame - 27.8 mm OD Spacer</t>
  </si>
  <si>
    <t>FM - WORKS</t>
  </si>
  <si>
    <t>15-05'</t>
  </si>
  <si>
    <t>T50R BLACK - T50R CABLE TIES BLACK 198MMX4</t>
  </si>
  <si>
    <t>168-37</t>
  </si>
  <si>
    <t>FAS3212LF RIVET FA - 3.2MMX12MM POP RIVETS</t>
  </si>
  <si>
    <t>71 FR 13.8</t>
  </si>
  <si>
    <t>71 Motor frame - 13.8 mm OD spacer</t>
  </si>
  <si>
    <t>80 FR 18.8</t>
  </si>
  <si>
    <t>80 Motor Frame - 18.8 mm OD Spacer</t>
  </si>
  <si>
    <t>90 FR 23.8</t>
  </si>
  <si>
    <t>90 Motor Frame - 23.8 mm OD Spacer</t>
  </si>
  <si>
    <t>BBC19X10/14T</t>
  </si>
  <si>
    <t>BANDSAW BIMETAL M42 19x10/14T (2.480x1)</t>
  </si>
  <si>
    <t>CARDBOARD BOX -2</t>
  </si>
  <si>
    <t>CARDBOARD BOX STK 2</t>
  </si>
  <si>
    <t>CARDBOARD BOX -4</t>
  </si>
  <si>
    <t>CARDBOARD BOX STK 4</t>
  </si>
  <si>
    <t>CARDBOARD BOX -5</t>
  </si>
  <si>
    <t>CARDBOARD BOX STK 5</t>
  </si>
  <si>
    <t>CARDBOARD BOX -7</t>
  </si>
  <si>
    <t>CARDBOARD BOX STK 7</t>
  </si>
  <si>
    <t>Cutting Disc</t>
  </si>
  <si>
    <t>Cutting Disc - 4.5inch x 1.5mm</t>
  </si>
  <si>
    <t>DRILL BIT - 3MM</t>
  </si>
  <si>
    <t>Drill bit 3mm HSS</t>
  </si>
  <si>
    <t>DRILL BIT - 4MM</t>
  </si>
  <si>
    <t>Drill bit 4mm HSS</t>
  </si>
  <si>
    <t>DRILL BIT - 5MM</t>
  </si>
  <si>
    <t>Drill bit 5mm HSS</t>
  </si>
  <si>
    <t>DRILL BIT - 6MM</t>
  </si>
  <si>
    <t>Drill bit 6mm HSS</t>
  </si>
  <si>
    <t>ECO100220</t>
  </si>
  <si>
    <t>Bubble Wrap - 1250mm x 100mm</t>
  </si>
  <si>
    <t>NAME PLATES</t>
  </si>
  <si>
    <t>Name plates/ engraving plates</t>
  </si>
  <si>
    <t xml:space="preserve">Pallet Wrap </t>
  </si>
  <si>
    <t>Clear Pallet Wrap, Extended Core, 450x400x10mic (Roll)</t>
  </si>
  <si>
    <t>PHPM20B</t>
  </si>
  <si>
    <t>M20 SCREW-IN BLANKING PLUGS (BLK)</t>
  </si>
  <si>
    <t>PHPM25B</t>
  </si>
  <si>
    <t>M25 SCREW-IN BLANKING PLUGS (BLK)</t>
  </si>
  <si>
    <t>PMGB20-13.5</t>
  </si>
  <si>
    <t>M20 NYLON COMPRESSION GLAND GREY</t>
  </si>
  <si>
    <t>PMGB25-18</t>
  </si>
  <si>
    <t>M25 NYLON COMPRESSION GLAND GREY</t>
  </si>
  <si>
    <t>QD GP 5LT</t>
  </si>
  <si>
    <t>QD GREY PRIMER 5LT</t>
  </si>
  <si>
    <t xml:space="preserve">RT1.25-4S </t>
  </si>
  <si>
    <t>Red Ring Terminal 4mm Stud</t>
  </si>
  <si>
    <t xml:space="preserve">RT1.25-5S </t>
  </si>
  <si>
    <t>Red Ring Terminal 5mm Stud</t>
  </si>
  <si>
    <t xml:space="preserve">RT1.25-6S </t>
  </si>
  <si>
    <t>Red Ring Terminal 6mm Stud</t>
  </si>
  <si>
    <t>SAV STICKERS</t>
  </si>
  <si>
    <t>Solvent Printed SAV Stickers - Rounded Corners - (108mm x 88mm)</t>
  </si>
  <si>
    <t>SH01</t>
  </si>
  <si>
    <t>HAND STRAPPING 12X 1500M - BLACK</t>
  </si>
  <si>
    <t>Terminal-B56.36</t>
  </si>
  <si>
    <t>Terminal Blocik 56.36 - 6TN 56.36 M5 Complete</t>
  </si>
  <si>
    <t>Terminal-B70.45</t>
  </si>
  <si>
    <t>Terminal Blocks 70.45 - 6TN10, M6</t>
  </si>
  <si>
    <t>THINNERS - 25L</t>
  </si>
  <si>
    <t>Thinners 25L</t>
  </si>
  <si>
    <t>THINNERS - 5L</t>
  </si>
  <si>
    <t>Thinners 5l</t>
  </si>
  <si>
    <t>Cost Price</t>
  </si>
  <si>
    <t>Avg Monthly Usage (AMU)</t>
  </si>
  <si>
    <t>M6*25 HT HEX SET SCREW Z/B</t>
  </si>
  <si>
    <t>M6*25 HT HEX SET SCREW Z/BLUE</t>
  </si>
  <si>
    <t>560MFUG</t>
  </si>
  <si>
    <t>560 Diam Mounting Feet Ungalvanised</t>
  </si>
  <si>
    <t>CT2.50X4BK </t>
  </si>
  <si>
    <t xml:space="preserve">CABTYRE 2,5MM2 4CORE - BLACK </t>
  </si>
  <si>
    <t>C900x500</t>
  </si>
  <si>
    <t>Casing Size 900diamx500</t>
  </si>
  <si>
    <t>C900x500UG</t>
  </si>
  <si>
    <t>Casing Size 900diamx500-Ungalvanised</t>
  </si>
  <si>
    <t>900CFUG</t>
  </si>
  <si>
    <t>900 Diam Counter Flange Ungalvanised</t>
  </si>
  <si>
    <t>MB800HD</t>
  </si>
  <si>
    <t>800Diam Mounting Brackets Heavy Duty (4 per set)</t>
  </si>
  <si>
    <t>315PLT400-2MM</t>
  </si>
  <si>
    <t>315 Casing Sheet - 995 x 315 - 2mm</t>
  </si>
  <si>
    <t>CASING</t>
  </si>
  <si>
    <t>400PLT400-2MM</t>
  </si>
  <si>
    <t>400 Casing Sheet - 1262 x 400 - 2mm</t>
  </si>
  <si>
    <t>500PLT400-2MM</t>
  </si>
  <si>
    <t>500 Casing Sheet - 1579 x 400 - 2mm</t>
  </si>
  <si>
    <t>500PLT400-3MM</t>
  </si>
  <si>
    <t>500 Casing Sheet - 1579 x 400 - 3mm</t>
  </si>
  <si>
    <t>500PLT500-3MM</t>
  </si>
  <si>
    <t>500 Casing Sheet - 1579 x 500 - 3mm</t>
  </si>
  <si>
    <t>560PLT400-2MM</t>
  </si>
  <si>
    <t>560 Casing Sheet - 1767 x 400 - 2mm</t>
  </si>
  <si>
    <t>560PLT400-3MM</t>
  </si>
  <si>
    <t>560 Casing Sheet - 1767 x 400 - 3mm</t>
  </si>
  <si>
    <t>560PLT500-3MM</t>
  </si>
  <si>
    <t>560 Casing Sheet - 1767 x 500 - 3mm</t>
  </si>
  <si>
    <t>630PLT400-2MM</t>
  </si>
  <si>
    <t>630 Casing Sheet - 1987 x 400 - 2mm</t>
  </si>
  <si>
    <t>630PLT400-3MM</t>
  </si>
  <si>
    <t>630 Casing Sheet - 1987 x 400 - 3mm</t>
  </si>
  <si>
    <t>630PLT500-3MM</t>
  </si>
  <si>
    <t>630 Casing Sheet - 1987 x 500 - 3mm</t>
  </si>
  <si>
    <t>710PLT400-2MM</t>
  </si>
  <si>
    <t>710PLT400-3MM</t>
  </si>
  <si>
    <t>710PLT500-3MM</t>
  </si>
  <si>
    <t>800PLT400-2MM</t>
  </si>
  <si>
    <t>800PLT400-3MM</t>
  </si>
  <si>
    <t>800PLT500-2MM</t>
  </si>
  <si>
    <t>800PLT500-3MM</t>
  </si>
  <si>
    <t>900PLT500-3MM</t>
  </si>
  <si>
    <t>900 Casing Sheet - 2839 x 500 - 3mm</t>
  </si>
  <si>
    <t>1000PLT500-3MM</t>
  </si>
  <si>
    <t>1000 Casing Sheet - 3153 x 500 - 3mm</t>
  </si>
  <si>
    <t>710 Casing Sheet - 2246 x 400 - 2mm</t>
  </si>
  <si>
    <t>710 Casing Sheet - 2246 x 400 - 3mm</t>
  </si>
  <si>
    <t>710 Casing Sheet - 2246 x 500 - 3mm</t>
  </si>
  <si>
    <t>800 Casing Sheet - 2532 x 400 - 2mm</t>
  </si>
  <si>
    <t>800 Casing Sheet - 2532 x 400 - 3mm</t>
  </si>
  <si>
    <t>800 Casing Sheet - 2532 x 500 - 2mm</t>
  </si>
  <si>
    <t>800 Casing Sheet - 2532 x 500 - 3mm</t>
  </si>
  <si>
    <t>Count</t>
  </si>
  <si>
    <t>CASINGS</t>
  </si>
  <si>
    <t>COUNTER FLANGE</t>
  </si>
  <si>
    <t>COUNT</t>
  </si>
  <si>
    <t>AVMs</t>
  </si>
  <si>
    <t>IMPELLER</t>
  </si>
  <si>
    <t>BRACKETS</t>
  </si>
  <si>
    <t>MOUNTING FEET</t>
  </si>
  <si>
    <t>MOTORS</t>
  </si>
  <si>
    <t>SILENCER</t>
  </si>
  <si>
    <t>TUBE SILENCER</t>
  </si>
  <si>
    <t>Casing</t>
  </si>
  <si>
    <t>ASSEMBLY COMP.</t>
  </si>
  <si>
    <t>SHEETS</t>
  </si>
  <si>
    <t>160/9 Clamp - To Suit 14, 19, 24 &amp; 28mm Bore Hubs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</si>
</sst>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4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4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44" fontId="0" fillId="3" borderId="1" xfId="0" applyNumberForma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44" fontId="0" fillId="0" borderId="1" xfId="0" applyNumberFormat="1" applyBorder="1" applyAlignment="1">
      <alignment horizontal="right" vertical="top"/>
    </xf>
    <xf numFmtId="0" fontId="0" fillId="3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16" fontId="0" fillId="0" borderId="1" xfId="0" applyNumberFormat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top" wrapText="1"/>
    </xf>
    <xf numFmtId="44" fontId="2" fillId="2" borderId="3" xfId="0" applyNumberFormat="1" applyFont="1" applyFill="1" applyBorder="1" applyAlignment="1">
      <alignment horizontal="righ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14" fontId="3" fillId="0" borderId="0" xfId="0" applyNumberFormat="1" applyFont="1" applyAlignment="1">
      <alignment horizontal="left" vertical="top" wrapText="1"/>
    </xf>
  </cellXfs>
  <cellStyles count="2">
    <cellStyle name="Normal" xfId="0" builtinId="0"/>
    <cellStyle name="Normal 2" xfId="1" xr:uid="{095E2A50-F742-418B-A8EA-50148899E6BC}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&quot;* #,##0.00_-;\-&quot;R&quot;* #,##0.00_-;_-&quot;R&quot;* &quot;-&quot;??_-;_-@_-"/>
      <fill>
        <patternFill patternType="solid">
          <fgColor theme="4" tint="0.79998168889431442"/>
          <bgColor theme="4" tint="0.79998168889431442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D50ACC-189D-45DA-BD4D-923FCFF129DC}" name="W_shop_calc" displayName="W_shop_calc" ref="A1:O251" totalsRowShown="0" headerRowDxfId="17" dataDxfId="16" tableBorderDxfId="15">
  <autoFilter ref="A1:O251" xr:uid="{DAD50ACC-189D-45DA-BD4D-923FCFF129DC}"/>
  <tableColumns count="15">
    <tableColumn id="1" xr3:uid="{26AF64AD-1604-40E3-9568-1DDE71CCC51C}" name="Code" dataDxfId="14"/>
    <tableColumn id="2" xr3:uid="{5A82D246-FE07-4D3E-9A8C-29E9B0587160}" name="Description" dataDxfId="13"/>
    <tableColumn id="3" xr3:uid="{1168BF08-0101-41F3-8911-9558EB03DCC3}" name="Category" dataDxfId="12"/>
    <tableColumn id="4" xr3:uid="{4F2AA857-6D73-4B4D-B108-9ACD2D6ADF4D}" name="Cost Price" dataDxfId="11"/>
    <tableColumn id="5" xr3:uid="{D2FAA00E-0E30-40C5-9BCC-B8E5B893BF1E}" name="Avg Monthly Usage (AMU)" dataDxfId="10"/>
    <tableColumn id="6" xr3:uid="{59F9FFC7-68B4-40E3-875C-AC3E7BE713D0}" name="Lead Time (months)" dataDxfId="9"/>
    <tableColumn id="7" xr3:uid="{72A45DCF-DA01-4ACC-B7CD-817DFD3DC8FB}" name="Safety Factor (months)" dataDxfId="8"/>
    <tableColumn id="8" xr3:uid="{F9A5F4A4-6DC9-4021-B259-369E2AC455C4}" name="Review Period (months)" dataDxfId="7"/>
    <tableColumn id="9" xr3:uid="{58BE0C00-85B9-4E1D-8442-93E0DD0D7D31}" name="Safety Stock" dataDxfId="6">
      <calculatedColumnFormula>MROUND(E2*G2,1)</calculatedColumnFormula>
    </tableColumn>
    <tableColumn id="10" xr3:uid="{DFD7E9E9-C8F4-4332-800B-2370E0A4F929}" name="Lead Time Demand" dataDxfId="5">
      <calculatedColumnFormula>MROUND(E2*F2,1)</calculatedColumnFormula>
    </tableColumn>
    <tableColumn id="11" xr3:uid="{6033FDEA-FF86-4961-90CA-1645719A4D75}" name="Reorder Point (ROP)" dataDxfId="4">
      <calculatedColumnFormula>MROUND(I2+J2,1)</calculatedColumnFormula>
    </tableColumn>
    <tableColumn id="12" xr3:uid="{F3DBD3FC-D43F-4058-9937-6E2A3F1109D3}" name="Maximum Stock (MAX)" dataDxfId="3">
      <calculatedColumnFormula>MROUND(E2*(F2+G2+H2),1)</calculatedColumnFormula>
    </tableColumn>
    <tableColumn id="13" xr3:uid="{5989A796-B170-4745-8994-B284D986BD18}" name="Current Stock" dataDxfId="2"/>
    <tableColumn id="14" xr3:uid="{4101EBA8-2CCD-4B61-89BB-365F1C9C1EE7}" name="On Order" dataDxfId="1"/>
    <tableColumn id="15" xr3:uid="{03EDD70D-7ABE-4C3A-9DB3-F70AE0DBDEA1}" name="Order Quantity" dataDxfId="0">
      <calculatedColumnFormula>IF(IF(M2&lt;=K2,L2-M2-N2,0)&lt;0,0,IF(M2&lt;=K2,L2-M2-N2,0))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0545F-D4A7-441A-9B73-CB2027018336}">
  <sheetPr>
    <pageSetUpPr fitToPage="1"/>
  </sheetPr>
  <dimension ref="A1:Q251"/>
  <sheetViews>
    <sheetView tabSelected="1" zoomScale="80" zoomScaleNormal="80" workbookViewId="0">
      <pane xSplit="2" ySplit="1" topLeftCell="C14" activePane="bottomRight" state="frozen"/>
      <selection pane="topRight" activeCell="C1" sqref="C1"/>
      <selection pane="bottomLeft" activeCell="A2" sqref="A2"/>
      <selection pane="bottomRight" activeCell="H111" sqref="H111"/>
    </sheetView>
  </sheetViews>
  <sheetFormatPr defaultRowHeight="14.4" x14ac:dyDescent="0.3"/>
  <cols>
    <col min="1" max="1" width="26.33203125" style="4" customWidth="1"/>
    <col min="2" max="2" width="50.6640625" style="5" customWidth="1"/>
    <col min="3" max="3" width="14.44140625" style="6" bestFit="1" customWidth="1"/>
    <col min="4" max="4" width="13.33203125" style="7" customWidth="1"/>
    <col min="5" max="15" width="12.6640625" style="2" customWidth="1"/>
    <col min="16" max="16" width="8.88671875" style="2"/>
    <col min="17" max="17" width="11.21875" style="2" bestFit="1" customWidth="1"/>
    <col min="18" max="16384" width="8.88671875" style="2"/>
  </cols>
  <sheetData>
    <row r="1" spans="1:17" ht="43.2" x14ac:dyDescent="0.3">
      <c r="A1" s="25" t="s">
        <v>0</v>
      </c>
      <c r="B1" s="26" t="s">
        <v>1</v>
      </c>
      <c r="C1" s="26" t="s">
        <v>2</v>
      </c>
      <c r="D1" s="27" t="s">
        <v>458</v>
      </c>
      <c r="E1" s="26" t="s">
        <v>459</v>
      </c>
      <c r="F1" s="26" t="s">
        <v>4</v>
      </c>
      <c r="G1" s="26" t="s">
        <v>5</v>
      </c>
      <c r="H1" s="26" t="s">
        <v>6</v>
      </c>
      <c r="I1" s="26" t="s">
        <v>7</v>
      </c>
      <c r="J1" s="26" t="s">
        <v>8</v>
      </c>
      <c r="K1" s="26" t="s">
        <v>9</v>
      </c>
      <c r="L1" s="26" t="s">
        <v>10</v>
      </c>
      <c r="M1" s="26" t="s">
        <v>3</v>
      </c>
      <c r="N1" s="26" t="s">
        <v>11</v>
      </c>
      <c r="O1" s="26" t="s">
        <v>12</v>
      </c>
    </row>
    <row r="2" spans="1:17" x14ac:dyDescent="0.3">
      <c r="A2" s="8" t="s">
        <v>72</v>
      </c>
      <c r="B2" s="9" t="s">
        <v>73</v>
      </c>
      <c r="C2" s="10" t="s">
        <v>14</v>
      </c>
      <c r="D2" s="11">
        <v>0.15</v>
      </c>
      <c r="E2" s="10">
        <v>50</v>
      </c>
      <c r="F2" s="10">
        <v>1</v>
      </c>
      <c r="G2" s="10">
        <v>1</v>
      </c>
      <c r="H2" s="10">
        <v>1</v>
      </c>
      <c r="I2" s="10">
        <f t="shared" ref="I2:I33" si="0">MROUND(E2*G2,1)</f>
        <v>50</v>
      </c>
      <c r="J2" s="10">
        <f t="shared" ref="J2:J33" si="1">MROUND(E2*F2,1)</f>
        <v>50</v>
      </c>
      <c r="K2" s="10">
        <f t="shared" ref="K2:K33" si="2">MROUND(I2+J2,1)</f>
        <v>100</v>
      </c>
      <c r="L2" s="10">
        <f t="shared" ref="L2:L33" si="3">MROUND(E2*(F2+G2+H2),1)</f>
        <v>150</v>
      </c>
      <c r="M2" s="10">
        <v>600</v>
      </c>
      <c r="N2" s="10">
        <v>0</v>
      </c>
      <c r="O2" s="16">
        <f>IF(IF(M2&lt;=K2,L2-M2-N2,0)&lt;0,0,IF(M2&lt;=K2,L2-M2-N2,0))</f>
        <v>0</v>
      </c>
    </row>
    <row r="3" spans="1:17" x14ac:dyDescent="0.3">
      <c r="A3" s="12">
        <v>258032</v>
      </c>
      <c r="B3" s="13" t="s">
        <v>19</v>
      </c>
      <c r="C3" s="14" t="s">
        <v>14</v>
      </c>
      <c r="D3" s="15">
        <v>0.15</v>
      </c>
      <c r="E3" s="14">
        <v>100</v>
      </c>
      <c r="F3" s="14">
        <v>1</v>
      </c>
      <c r="G3" s="14">
        <v>1</v>
      </c>
      <c r="H3" s="14">
        <v>1</v>
      </c>
      <c r="I3" s="14">
        <f t="shared" si="0"/>
        <v>100</v>
      </c>
      <c r="J3" s="14">
        <f t="shared" si="1"/>
        <v>100</v>
      </c>
      <c r="K3" s="14">
        <f t="shared" si="2"/>
        <v>200</v>
      </c>
      <c r="L3" s="14">
        <f t="shared" si="3"/>
        <v>300</v>
      </c>
      <c r="M3" s="14">
        <v>158</v>
      </c>
      <c r="N3" s="14">
        <v>0</v>
      </c>
      <c r="O3" s="16">
        <f t="shared" ref="O3:O66" si="4">IF(IF(M3&lt;=K3,L3-M3-N3,0)&lt;0,0,IF(M3&lt;=K3,L3-M3-N3,0))</f>
        <v>142</v>
      </c>
    </row>
    <row r="4" spans="1:17" x14ac:dyDescent="0.3">
      <c r="A4" s="8">
        <v>258306</v>
      </c>
      <c r="B4" s="9" t="s">
        <v>21</v>
      </c>
      <c r="C4" s="10" t="s">
        <v>14</v>
      </c>
      <c r="D4" s="11">
        <v>0.2</v>
      </c>
      <c r="E4" s="10">
        <v>50</v>
      </c>
      <c r="F4" s="10">
        <v>1</v>
      </c>
      <c r="G4" s="10">
        <v>1</v>
      </c>
      <c r="H4" s="10">
        <v>1</v>
      </c>
      <c r="I4" s="10">
        <f t="shared" si="0"/>
        <v>50</v>
      </c>
      <c r="J4" s="10">
        <f t="shared" si="1"/>
        <v>50</v>
      </c>
      <c r="K4" s="10">
        <f t="shared" si="2"/>
        <v>100</v>
      </c>
      <c r="L4" s="10">
        <f t="shared" si="3"/>
        <v>150</v>
      </c>
      <c r="M4" s="10">
        <v>443</v>
      </c>
      <c r="N4" s="10">
        <v>0</v>
      </c>
      <c r="O4" s="16">
        <f t="shared" si="4"/>
        <v>0</v>
      </c>
    </row>
    <row r="5" spans="1:17" x14ac:dyDescent="0.3">
      <c r="A5" s="12" t="s">
        <v>68</v>
      </c>
      <c r="B5" s="13" t="s">
        <v>69</v>
      </c>
      <c r="C5" s="14" t="s">
        <v>14</v>
      </c>
      <c r="D5" s="15">
        <v>0.4</v>
      </c>
      <c r="E5" s="14">
        <v>50</v>
      </c>
      <c r="F5" s="14">
        <v>1</v>
      </c>
      <c r="G5" s="14">
        <v>1</v>
      </c>
      <c r="H5" s="14">
        <v>1</v>
      </c>
      <c r="I5" s="14">
        <f t="shared" si="0"/>
        <v>50</v>
      </c>
      <c r="J5" s="14">
        <f t="shared" si="1"/>
        <v>50</v>
      </c>
      <c r="K5" s="14">
        <f t="shared" si="2"/>
        <v>100</v>
      </c>
      <c r="L5" s="14">
        <f t="shared" si="3"/>
        <v>150</v>
      </c>
      <c r="M5" s="14">
        <v>41</v>
      </c>
      <c r="N5" s="14">
        <v>0</v>
      </c>
      <c r="O5" s="16">
        <f t="shared" si="4"/>
        <v>109</v>
      </c>
      <c r="Q5" s="3"/>
    </row>
    <row r="6" spans="1:17" x14ac:dyDescent="0.3">
      <c r="A6" s="8" t="s">
        <v>70</v>
      </c>
      <c r="B6" s="9" t="s">
        <v>71</v>
      </c>
      <c r="C6" s="10" t="s">
        <v>14</v>
      </c>
      <c r="D6" s="11">
        <v>1</v>
      </c>
      <c r="E6" s="10">
        <v>50</v>
      </c>
      <c r="F6" s="10">
        <v>1</v>
      </c>
      <c r="G6" s="10">
        <v>1</v>
      </c>
      <c r="H6" s="10">
        <v>1</v>
      </c>
      <c r="I6" s="10">
        <f t="shared" si="0"/>
        <v>50</v>
      </c>
      <c r="J6" s="10">
        <f t="shared" si="1"/>
        <v>50</v>
      </c>
      <c r="K6" s="10">
        <f t="shared" si="2"/>
        <v>100</v>
      </c>
      <c r="L6" s="10">
        <f t="shared" si="3"/>
        <v>150</v>
      </c>
      <c r="M6" s="10">
        <v>150</v>
      </c>
      <c r="N6" s="10">
        <v>0</v>
      </c>
      <c r="O6" s="16">
        <f t="shared" si="4"/>
        <v>0</v>
      </c>
      <c r="Q6" s="3"/>
    </row>
    <row r="7" spans="1:17" x14ac:dyDescent="0.3">
      <c r="A7" s="12" t="s">
        <v>74</v>
      </c>
      <c r="B7" s="13" t="s">
        <v>75</v>
      </c>
      <c r="C7" s="14" t="s">
        <v>14</v>
      </c>
      <c r="D7" s="15">
        <v>0.08</v>
      </c>
      <c r="E7" s="14">
        <v>260</v>
      </c>
      <c r="F7" s="14">
        <v>1</v>
      </c>
      <c r="G7" s="14">
        <v>1</v>
      </c>
      <c r="H7" s="14">
        <v>1</v>
      </c>
      <c r="I7" s="14">
        <f t="shared" si="0"/>
        <v>260</v>
      </c>
      <c r="J7" s="14">
        <f t="shared" si="1"/>
        <v>260</v>
      </c>
      <c r="K7" s="14">
        <f t="shared" si="2"/>
        <v>520</v>
      </c>
      <c r="L7" s="14">
        <f t="shared" si="3"/>
        <v>780</v>
      </c>
      <c r="M7" s="14">
        <v>192</v>
      </c>
      <c r="N7" s="14">
        <v>0</v>
      </c>
      <c r="O7" s="16">
        <f t="shared" si="4"/>
        <v>588</v>
      </c>
    </row>
    <row r="8" spans="1:17" x14ac:dyDescent="0.3">
      <c r="A8" s="8" t="s">
        <v>76</v>
      </c>
      <c r="B8" s="9" t="s">
        <v>77</v>
      </c>
      <c r="C8" s="10" t="s">
        <v>14</v>
      </c>
      <c r="D8" s="11">
        <v>0.12</v>
      </c>
      <c r="E8" s="10">
        <v>50</v>
      </c>
      <c r="F8" s="10">
        <v>1</v>
      </c>
      <c r="G8" s="10">
        <v>1</v>
      </c>
      <c r="H8" s="10">
        <v>1</v>
      </c>
      <c r="I8" s="10">
        <f t="shared" si="0"/>
        <v>50</v>
      </c>
      <c r="J8" s="10">
        <f t="shared" si="1"/>
        <v>50</v>
      </c>
      <c r="K8" s="10">
        <f t="shared" si="2"/>
        <v>100</v>
      </c>
      <c r="L8" s="10">
        <f t="shared" si="3"/>
        <v>150</v>
      </c>
      <c r="M8" s="10">
        <v>360</v>
      </c>
      <c r="N8" s="10">
        <v>0</v>
      </c>
      <c r="O8" s="16">
        <f t="shared" si="4"/>
        <v>0</v>
      </c>
    </row>
    <row r="9" spans="1:17" x14ac:dyDescent="0.3">
      <c r="A9" s="12" t="s">
        <v>78</v>
      </c>
      <c r="B9" s="13" t="s">
        <v>79</v>
      </c>
      <c r="C9" s="14" t="s">
        <v>14</v>
      </c>
      <c r="D9" s="15">
        <v>0.6</v>
      </c>
      <c r="E9" s="14">
        <v>50</v>
      </c>
      <c r="F9" s="14">
        <v>1</v>
      </c>
      <c r="G9" s="14">
        <v>1</v>
      </c>
      <c r="H9" s="14">
        <v>1</v>
      </c>
      <c r="I9" s="14">
        <f t="shared" si="0"/>
        <v>50</v>
      </c>
      <c r="J9" s="14">
        <f t="shared" si="1"/>
        <v>50</v>
      </c>
      <c r="K9" s="14">
        <f t="shared" si="2"/>
        <v>100</v>
      </c>
      <c r="L9" s="14">
        <f t="shared" si="3"/>
        <v>150</v>
      </c>
      <c r="M9" s="14">
        <v>1234</v>
      </c>
      <c r="N9" s="14">
        <v>0</v>
      </c>
      <c r="O9" s="16">
        <f t="shared" si="4"/>
        <v>0</v>
      </c>
    </row>
    <row r="10" spans="1:17" x14ac:dyDescent="0.3">
      <c r="A10" s="8" t="s">
        <v>460</v>
      </c>
      <c r="B10" s="9" t="s">
        <v>461</v>
      </c>
      <c r="C10" s="10" t="s">
        <v>14</v>
      </c>
      <c r="D10" s="11">
        <v>0.65</v>
      </c>
      <c r="E10" s="10">
        <v>155</v>
      </c>
      <c r="F10" s="10">
        <v>1</v>
      </c>
      <c r="G10" s="10">
        <v>1</v>
      </c>
      <c r="H10" s="10">
        <v>1</v>
      </c>
      <c r="I10" s="10">
        <f t="shared" si="0"/>
        <v>155</v>
      </c>
      <c r="J10" s="10">
        <f t="shared" si="1"/>
        <v>155</v>
      </c>
      <c r="K10" s="10">
        <f t="shared" si="2"/>
        <v>310</v>
      </c>
      <c r="L10" s="10">
        <f t="shared" si="3"/>
        <v>465</v>
      </c>
      <c r="M10" s="10">
        <v>450</v>
      </c>
      <c r="N10" s="10">
        <v>0</v>
      </c>
      <c r="O10" s="16">
        <f t="shared" si="4"/>
        <v>0</v>
      </c>
    </row>
    <row r="11" spans="1:17" x14ac:dyDescent="0.3">
      <c r="A11" s="12" t="s">
        <v>80</v>
      </c>
      <c r="B11" s="13" t="s">
        <v>81</v>
      </c>
      <c r="C11" s="14" t="s">
        <v>14</v>
      </c>
      <c r="D11" s="15">
        <v>3</v>
      </c>
      <c r="E11" s="14">
        <v>50</v>
      </c>
      <c r="F11" s="14">
        <v>1</v>
      </c>
      <c r="G11" s="14">
        <v>1</v>
      </c>
      <c r="H11" s="14">
        <v>1</v>
      </c>
      <c r="I11" s="14">
        <f t="shared" si="0"/>
        <v>50</v>
      </c>
      <c r="J11" s="14">
        <f t="shared" si="1"/>
        <v>50</v>
      </c>
      <c r="K11" s="14">
        <f t="shared" si="2"/>
        <v>100</v>
      </c>
      <c r="L11" s="14">
        <f t="shared" si="3"/>
        <v>150</v>
      </c>
      <c r="M11" s="14">
        <v>293</v>
      </c>
      <c r="N11" s="14">
        <v>0</v>
      </c>
      <c r="O11" s="16">
        <f t="shared" si="4"/>
        <v>0</v>
      </c>
    </row>
    <row r="12" spans="1:17" x14ac:dyDescent="0.3">
      <c r="A12" s="8" t="s">
        <v>82</v>
      </c>
      <c r="B12" s="9" t="s">
        <v>83</v>
      </c>
      <c r="C12" s="10" t="s">
        <v>14</v>
      </c>
      <c r="D12" s="11">
        <v>0.8</v>
      </c>
      <c r="E12" s="10">
        <v>50</v>
      </c>
      <c r="F12" s="10">
        <v>1</v>
      </c>
      <c r="G12" s="10">
        <v>1</v>
      </c>
      <c r="H12" s="10">
        <v>1</v>
      </c>
      <c r="I12" s="10">
        <f t="shared" si="0"/>
        <v>50</v>
      </c>
      <c r="J12" s="10">
        <f t="shared" si="1"/>
        <v>50</v>
      </c>
      <c r="K12" s="10">
        <f t="shared" si="2"/>
        <v>100</v>
      </c>
      <c r="L12" s="10">
        <f t="shared" si="3"/>
        <v>150</v>
      </c>
      <c r="M12" s="10">
        <v>40</v>
      </c>
      <c r="N12" s="10">
        <v>0</v>
      </c>
      <c r="O12" s="16">
        <f t="shared" si="4"/>
        <v>110</v>
      </c>
    </row>
    <row r="13" spans="1:17" x14ac:dyDescent="0.3">
      <c r="A13" s="12" t="s">
        <v>84</v>
      </c>
      <c r="B13" s="13" t="s">
        <v>85</v>
      </c>
      <c r="C13" s="14" t="s">
        <v>14</v>
      </c>
      <c r="D13" s="15">
        <v>0.3</v>
      </c>
      <c r="E13" s="14">
        <v>80</v>
      </c>
      <c r="F13" s="14">
        <v>1</v>
      </c>
      <c r="G13" s="14">
        <v>1</v>
      </c>
      <c r="H13" s="14">
        <v>1</v>
      </c>
      <c r="I13" s="14">
        <f t="shared" si="0"/>
        <v>80</v>
      </c>
      <c r="J13" s="14">
        <f t="shared" si="1"/>
        <v>80</v>
      </c>
      <c r="K13" s="14">
        <f t="shared" si="2"/>
        <v>160</v>
      </c>
      <c r="L13" s="14">
        <f t="shared" si="3"/>
        <v>240</v>
      </c>
      <c r="M13" s="14">
        <v>500</v>
      </c>
      <c r="N13" s="14">
        <v>0</v>
      </c>
      <c r="O13" s="16">
        <f t="shared" si="4"/>
        <v>0</v>
      </c>
    </row>
    <row r="14" spans="1:17" x14ac:dyDescent="0.3">
      <c r="A14" s="8" t="s">
        <v>86</v>
      </c>
      <c r="B14" s="9" t="s">
        <v>87</v>
      </c>
      <c r="C14" s="10" t="s">
        <v>14</v>
      </c>
      <c r="D14" s="11">
        <v>1.8</v>
      </c>
      <c r="E14" s="10">
        <v>50</v>
      </c>
      <c r="F14" s="10">
        <v>1</v>
      </c>
      <c r="G14" s="10">
        <v>1</v>
      </c>
      <c r="H14" s="10">
        <v>1</v>
      </c>
      <c r="I14" s="10">
        <f t="shared" si="0"/>
        <v>50</v>
      </c>
      <c r="J14" s="10">
        <f t="shared" si="1"/>
        <v>50</v>
      </c>
      <c r="K14" s="10">
        <f t="shared" si="2"/>
        <v>100</v>
      </c>
      <c r="L14" s="10">
        <f t="shared" si="3"/>
        <v>150</v>
      </c>
      <c r="M14" s="10">
        <v>450</v>
      </c>
      <c r="N14" s="10">
        <v>0</v>
      </c>
      <c r="O14" s="16">
        <f t="shared" si="4"/>
        <v>0</v>
      </c>
    </row>
    <row r="15" spans="1:17" ht="28.8" x14ac:dyDescent="0.3">
      <c r="A15" s="12" t="s">
        <v>88</v>
      </c>
      <c r="B15" s="13" t="s">
        <v>89</v>
      </c>
      <c r="C15" s="14" t="s">
        <v>14</v>
      </c>
      <c r="D15" s="15">
        <v>0.12</v>
      </c>
      <c r="E15" s="14">
        <v>115</v>
      </c>
      <c r="F15" s="14">
        <v>1</v>
      </c>
      <c r="G15" s="14">
        <v>1</v>
      </c>
      <c r="H15" s="14">
        <v>1</v>
      </c>
      <c r="I15" s="14">
        <f t="shared" si="0"/>
        <v>115</v>
      </c>
      <c r="J15" s="14">
        <f t="shared" si="1"/>
        <v>115</v>
      </c>
      <c r="K15" s="14">
        <f t="shared" si="2"/>
        <v>230</v>
      </c>
      <c r="L15" s="14">
        <f t="shared" si="3"/>
        <v>345</v>
      </c>
      <c r="M15" s="14">
        <v>1196</v>
      </c>
      <c r="N15" s="14">
        <v>0</v>
      </c>
      <c r="O15" s="16">
        <f t="shared" si="4"/>
        <v>0</v>
      </c>
    </row>
    <row r="16" spans="1:17" x14ac:dyDescent="0.3">
      <c r="A16" s="8" t="s">
        <v>90</v>
      </c>
      <c r="B16" s="9" t="s">
        <v>91</v>
      </c>
      <c r="C16" s="10" t="s">
        <v>14</v>
      </c>
      <c r="D16" s="11">
        <v>0.4</v>
      </c>
      <c r="E16" s="10">
        <v>50</v>
      </c>
      <c r="F16" s="10">
        <v>1</v>
      </c>
      <c r="G16" s="10">
        <v>1</v>
      </c>
      <c r="H16" s="10">
        <v>1</v>
      </c>
      <c r="I16" s="10">
        <f t="shared" si="0"/>
        <v>50</v>
      </c>
      <c r="J16" s="10">
        <f t="shared" si="1"/>
        <v>50</v>
      </c>
      <c r="K16" s="10">
        <f t="shared" si="2"/>
        <v>100</v>
      </c>
      <c r="L16" s="10">
        <f t="shared" si="3"/>
        <v>150</v>
      </c>
      <c r="M16" s="10">
        <v>130</v>
      </c>
      <c r="N16" s="10">
        <v>0</v>
      </c>
      <c r="O16" s="16">
        <f t="shared" si="4"/>
        <v>0</v>
      </c>
    </row>
    <row r="17" spans="1:15" x14ac:dyDescent="0.3">
      <c r="A17" s="12" t="s">
        <v>92</v>
      </c>
      <c r="B17" s="13" t="s">
        <v>93</v>
      </c>
      <c r="C17" s="14" t="s">
        <v>14</v>
      </c>
      <c r="D17" s="15">
        <v>0.3</v>
      </c>
      <c r="E17" s="14">
        <v>100</v>
      </c>
      <c r="F17" s="14">
        <v>1</v>
      </c>
      <c r="G17" s="14">
        <v>1</v>
      </c>
      <c r="H17" s="14">
        <v>1</v>
      </c>
      <c r="I17" s="14">
        <f t="shared" si="0"/>
        <v>100</v>
      </c>
      <c r="J17" s="14">
        <f t="shared" si="1"/>
        <v>100</v>
      </c>
      <c r="K17" s="14">
        <f t="shared" si="2"/>
        <v>200</v>
      </c>
      <c r="L17" s="14">
        <f t="shared" si="3"/>
        <v>300</v>
      </c>
      <c r="M17" s="14">
        <v>854</v>
      </c>
      <c r="N17" s="14">
        <v>0</v>
      </c>
      <c r="O17" s="16">
        <f t="shared" si="4"/>
        <v>0</v>
      </c>
    </row>
    <row r="18" spans="1:15" x14ac:dyDescent="0.3">
      <c r="A18" s="8" t="s">
        <v>94</v>
      </c>
      <c r="B18" s="9" t="s">
        <v>94</v>
      </c>
      <c r="C18" s="10" t="s">
        <v>14</v>
      </c>
      <c r="D18" s="11">
        <v>0.9</v>
      </c>
      <c r="E18" s="10">
        <v>100</v>
      </c>
      <c r="F18" s="10">
        <v>1</v>
      </c>
      <c r="G18" s="10">
        <v>1</v>
      </c>
      <c r="H18" s="10">
        <v>1</v>
      </c>
      <c r="I18" s="10">
        <f t="shared" si="0"/>
        <v>100</v>
      </c>
      <c r="J18" s="10">
        <f t="shared" si="1"/>
        <v>100</v>
      </c>
      <c r="K18" s="10">
        <f t="shared" si="2"/>
        <v>200</v>
      </c>
      <c r="L18" s="10">
        <f t="shared" si="3"/>
        <v>300</v>
      </c>
      <c r="M18" s="10">
        <v>580</v>
      </c>
      <c r="N18" s="10">
        <v>0</v>
      </c>
      <c r="O18" s="16">
        <f t="shared" si="4"/>
        <v>0</v>
      </c>
    </row>
    <row r="19" spans="1:15" x14ac:dyDescent="0.3">
      <c r="A19" s="12" t="s">
        <v>95</v>
      </c>
      <c r="B19" s="13" t="s">
        <v>96</v>
      </c>
      <c r="C19" s="14" t="s">
        <v>14</v>
      </c>
      <c r="D19" s="15">
        <v>1</v>
      </c>
      <c r="E19" s="14">
        <v>50</v>
      </c>
      <c r="F19" s="14">
        <v>1</v>
      </c>
      <c r="G19" s="14">
        <v>1</v>
      </c>
      <c r="H19" s="14">
        <v>1</v>
      </c>
      <c r="I19" s="14">
        <f t="shared" si="0"/>
        <v>50</v>
      </c>
      <c r="J19" s="14">
        <f t="shared" si="1"/>
        <v>50</v>
      </c>
      <c r="K19" s="14">
        <f t="shared" si="2"/>
        <v>100</v>
      </c>
      <c r="L19" s="14">
        <f t="shared" si="3"/>
        <v>150</v>
      </c>
      <c r="M19" s="14">
        <v>107</v>
      </c>
      <c r="N19" s="14">
        <v>0</v>
      </c>
      <c r="O19" s="16">
        <f t="shared" si="4"/>
        <v>0</v>
      </c>
    </row>
    <row r="20" spans="1:15" x14ac:dyDescent="0.3">
      <c r="A20" s="8" t="s">
        <v>97</v>
      </c>
      <c r="B20" s="9" t="s">
        <v>98</v>
      </c>
      <c r="C20" s="10" t="s">
        <v>14</v>
      </c>
      <c r="D20" s="11">
        <v>2</v>
      </c>
      <c r="E20" s="10">
        <v>50</v>
      </c>
      <c r="F20" s="10">
        <v>1</v>
      </c>
      <c r="G20" s="10">
        <v>1</v>
      </c>
      <c r="H20" s="10">
        <v>1</v>
      </c>
      <c r="I20" s="10">
        <f t="shared" si="0"/>
        <v>50</v>
      </c>
      <c r="J20" s="10">
        <f t="shared" si="1"/>
        <v>50</v>
      </c>
      <c r="K20" s="10">
        <f t="shared" si="2"/>
        <v>100</v>
      </c>
      <c r="L20" s="10">
        <f t="shared" si="3"/>
        <v>150</v>
      </c>
      <c r="M20" s="10">
        <v>400</v>
      </c>
      <c r="N20" s="10">
        <v>0</v>
      </c>
      <c r="O20" s="16">
        <f t="shared" si="4"/>
        <v>0</v>
      </c>
    </row>
    <row r="21" spans="1:15" x14ac:dyDescent="0.3">
      <c r="A21" s="12" t="s">
        <v>99</v>
      </c>
      <c r="B21" s="13" t="s">
        <v>100</v>
      </c>
      <c r="C21" s="14" t="s">
        <v>14</v>
      </c>
      <c r="D21" s="15">
        <v>2</v>
      </c>
      <c r="E21" s="14">
        <v>10</v>
      </c>
      <c r="F21" s="14">
        <v>1</v>
      </c>
      <c r="G21" s="14">
        <v>1</v>
      </c>
      <c r="H21" s="14">
        <v>1</v>
      </c>
      <c r="I21" s="14">
        <f t="shared" si="0"/>
        <v>10</v>
      </c>
      <c r="J21" s="14">
        <f t="shared" si="1"/>
        <v>10</v>
      </c>
      <c r="K21" s="14">
        <f t="shared" si="2"/>
        <v>20</v>
      </c>
      <c r="L21" s="14">
        <f t="shared" si="3"/>
        <v>30</v>
      </c>
      <c r="M21" s="14">
        <v>19</v>
      </c>
      <c r="N21" s="14">
        <v>0</v>
      </c>
      <c r="O21" s="16">
        <f t="shared" si="4"/>
        <v>11</v>
      </c>
    </row>
    <row r="22" spans="1:15" x14ac:dyDescent="0.3">
      <c r="A22" s="8">
        <v>237756</v>
      </c>
      <c r="B22" s="9" t="s">
        <v>13</v>
      </c>
      <c r="C22" s="16" t="s">
        <v>14</v>
      </c>
      <c r="D22" s="11">
        <v>1.8</v>
      </c>
      <c r="E22" s="10">
        <v>100</v>
      </c>
      <c r="F22" s="10">
        <v>1</v>
      </c>
      <c r="G22" s="10">
        <v>1</v>
      </c>
      <c r="H22" s="10">
        <v>1</v>
      </c>
      <c r="I22" s="10">
        <f t="shared" si="0"/>
        <v>100</v>
      </c>
      <c r="J22" s="10">
        <f t="shared" si="1"/>
        <v>100</v>
      </c>
      <c r="K22" s="10">
        <f t="shared" si="2"/>
        <v>200</v>
      </c>
      <c r="L22" s="10">
        <f t="shared" si="3"/>
        <v>300</v>
      </c>
      <c r="M22" s="10">
        <v>200</v>
      </c>
      <c r="N22" s="10">
        <v>0</v>
      </c>
      <c r="O22" s="16">
        <f t="shared" si="4"/>
        <v>100</v>
      </c>
    </row>
    <row r="23" spans="1:15" ht="28.8" x14ac:dyDescent="0.3">
      <c r="A23" s="12" t="s">
        <v>23</v>
      </c>
      <c r="B23" s="13" t="s">
        <v>24</v>
      </c>
      <c r="C23" s="14" t="s">
        <v>14</v>
      </c>
      <c r="D23" s="15">
        <v>0.2</v>
      </c>
      <c r="E23" s="14">
        <v>200</v>
      </c>
      <c r="F23" s="14">
        <v>1</v>
      </c>
      <c r="G23" s="14">
        <v>1</v>
      </c>
      <c r="H23" s="14">
        <v>1</v>
      </c>
      <c r="I23" s="14">
        <f t="shared" si="0"/>
        <v>200</v>
      </c>
      <c r="J23" s="14">
        <f t="shared" si="1"/>
        <v>200</v>
      </c>
      <c r="K23" s="14">
        <f t="shared" si="2"/>
        <v>400</v>
      </c>
      <c r="L23" s="14">
        <f t="shared" si="3"/>
        <v>600</v>
      </c>
      <c r="M23" s="14">
        <v>2118</v>
      </c>
      <c r="N23" s="14">
        <v>0</v>
      </c>
      <c r="O23" s="16">
        <f t="shared" si="4"/>
        <v>0</v>
      </c>
    </row>
    <row r="24" spans="1:15" x14ac:dyDescent="0.3">
      <c r="A24" s="8" t="s">
        <v>25</v>
      </c>
      <c r="B24" s="9" t="s">
        <v>26</v>
      </c>
      <c r="C24" s="10" t="s">
        <v>14</v>
      </c>
      <c r="D24" s="11">
        <v>0.65</v>
      </c>
      <c r="E24" s="10">
        <v>100</v>
      </c>
      <c r="F24" s="10">
        <v>1</v>
      </c>
      <c r="G24" s="10">
        <v>1</v>
      </c>
      <c r="H24" s="10">
        <v>1</v>
      </c>
      <c r="I24" s="10">
        <f t="shared" si="0"/>
        <v>100</v>
      </c>
      <c r="J24" s="10">
        <f t="shared" si="1"/>
        <v>100</v>
      </c>
      <c r="K24" s="10">
        <f t="shared" si="2"/>
        <v>200</v>
      </c>
      <c r="L24" s="10">
        <f t="shared" si="3"/>
        <v>300</v>
      </c>
      <c r="M24" s="10">
        <v>1986</v>
      </c>
      <c r="N24" s="10">
        <v>0</v>
      </c>
      <c r="O24" s="16">
        <f t="shared" si="4"/>
        <v>0</v>
      </c>
    </row>
    <row r="25" spans="1:15" x14ac:dyDescent="0.3">
      <c r="A25" s="12" t="s">
        <v>27</v>
      </c>
      <c r="B25" s="13" t="s">
        <v>28</v>
      </c>
      <c r="C25" s="14" t="s">
        <v>14</v>
      </c>
      <c r="D25" s="15">
        <v>1.8</v>
      </c>
      <c r="E25" s="14">
        <v>50</v>
      </c>
      <c r="F25" s="14">
        <v>1</v>
      </c>
      <c r="G25" s="14">
        <v>1</v>
      </c>
      <c r="H25" s="14">
        <v>1</v>
      </c>
      <c r="I25" s="14">
        <f t="shared" si="0"/>
        <v>50</v>
      </c>
      <c r="J25" s="14">
        <f t="shared" si="1"/>
        <v>50</v>
      </c>
      <c r="K25" s="14">
        <f t="shared" si="2"/>
        <v>100</v>
      </c>
      <c r="L25" s="14">
        <f t="shared" si="3"/>
        <v>150</v>
      </c>
      <c r="M25" s="14">
        <v>242</v>
      </c>
      <c r="N25" s="14">
        <v>0</v>
      </c>
      <c r="O25" s="16">
        <f t="shared" si="4"/>
        <v>0</v>
      </c>
    </row>
    <row r="26" spans="1:15" x14ac:dyDescent="0.3">
      <c r="A26" s="8" t="s">
        <v>29</v>
      </c>
      <c r="B26" s="9" t="s">
        <v>30</v>
      </c>
      <c r="C26" s="10" t="s">
        <v>14</v>
      </c>
      <c r="D26" s="11">
        <v>1.8</v>
      </c>
      <c r="E26" s="10">
        <v>100</v>
      </c>
      <c r="F26" s="10">
        <v>1</v>
      </c>
      <c r="G26" s="10">
        <v>1</v>
      </c>
      <c r="H26" s="10">
        <v>1</v>
      </c>
      <c r="I26" s="10">
        <f t="shared" si="0"/>
        <v>100</v>
      </c>
      <c r="J26" s="10">
        <f t="shared" si="1"/>
        <v>100</v>
      </c>
      <c r="K26" s="10">
        <f t="shared" si="2"/>
        <v>200</v>
      </c>
      <c r="L26" s="10">
        <f t="shared" si="3"/>
        <v>300</v>
      </c>
      <c r="M26" s="10">
        <v>800</v>
      </c>
      <c r="N26" s="10">
        <v>0</v>
      </c>
      <c r="O26" s="16">
        <f t="shared" si="4"/>
        <v>0</v>
      </c>
    </row>
    <row r="27" spans="1:15" x14ac:dyDescent="0.3">
      <c r="A27" s="12" t="s">
        <v>31</v>
      </c>
      <c r="B27" s="13" t="s">
        <v>32</v>
      </c>
      <c r="C27" s="14" t="s">
        <v>14</v>
      </c>
      <c r="D27" s="15">
        <v>0.5</v>
      </c>
      <c r="E27" s="14">
        <v>200</v>
      </c>
      <c r="F27" s="14">
        <v>1</v>
      </c>
      <c r="G27" s="14">
        <v>1</v>
      </c>
      <c r="H27" s="14">
        <v>1</v>
      </c>
      <c r="I27" s="14">
        <f t="shared" si="0"/>
        <v>200</v>
      </c>
      <c r="J27" s="14">
        <f t="shared" si="1"/>
        <v>200</v>
      </c>
      <c r="K27" s="14">
        <f t="shared" si="2"/>
        <v>400</v>
      </c>
      <c r="L27" s="14">
        <f t="shared" si="3"/>
        <v>600</v>
      </c>
      <c r="M27" s="14">
        <v>921</v>
      </c>
      <c r="N27" s="14">
        <v>0</v>
      </c>
      <c r="O27" s="16">
        <f t="shared" si="4"/>
        <v>0</v>
      </c>
    </row>
    <row r="28" spans="1:15" x14ac:dyDescent="0.3">
      <c r="A28" s="8" t="s">
        <v>33</v>
      </c>
      <c r="B28" s="9" t="s">
        <v>34</v>
      </c>
      <c r="C28" s="10" t="s">
        <v>14</v>
      </c>
      <c r="D28" s="11">
        <v>1.8</v>
      </c>
      <c r="E28" s="10">
        <v>50</v>
      </c>
      <c r="F28" s="10">
        <v>1</v>
      </c>
      <c r="G28" s="10">
        <v>1</v>
      </c>
      <c r="H28" s="10">
        <v>1</v>
      </c>
      <c r="I28" s="10">
        <f t="shared" si="0"/>
        <v>50</v>
      </c>
      <c r="J28" s="10">
        <f t="shared" si="1"/>
        <v>50</v>
      </c>
      <c r="K28" s="10">
        <f t="shared" si="2"/>
        <v>100</v>
      </c>
      <c r="L28" s="10">
        <f t="shared" si="3"/>
        <v>150</v>
      </c>
      <c r="M28" s="10">
        <v>99</v>
      </c>
      <c r="N28" s="10">
        <v>0</v>
      </c>
      <c r="O28" s="16">
        <f t="shared" si="4"/>
        <v>51</v>
      </c>
    </row>
    <row r="29" spans="1:15" x14ac:dyDescent="0.3">
      <c r="A29" s="12" t="s">
        <v>35</v>
      </c>
      <c r="B29" s="13" t="s">
        <v>36</v>
      </c>
      <c r="C29" s="14" t="s">
        <v>14</v>
      </c>
      <c r="D29" s="15">
        <v>4</v>
      </c>
      <c r="E29" s="14">
        <v>50</v>
      </c>
      <c r="F29" s="14">
        <v>1</v>
      </c>
      <c r="G29" s="14">
        <v>1</v>
      </c>
      <c r="H29" s="14">
        <v>1</v>
      </c>
      <c r="I29" s="14">
        <f t="shared" si="0"/>
        <v>50</v>
      </c>
      <c r="J29" s="14">
        <f t="shared" si="1"/>
        <v>50</v>
      </c>
      <c r="K29" s="14">
        <f t="shared" si="2"/>
        <v>100</v>
      </c>
      <c r="L29" s="14">
        <f t="shared" si="3"/>
        <v>150</v>
      </c>
      <c r="M29" s="14">
        <v>300</v>
      </c>
      <c r="N29" s="14">
        <v>0</v>
      </c>
      <c r="O29" s="16">
        <f t="shared" si="4"/>
        <v>0</v>
      </c>
    </row>
    <row r="30" spans="1:15" x14ac:dyDescent="0.3">
      <c r="A30" s="8" t="s">
        <v>37</v>
      </c>
      <c r="B30" s="9" t="s">
        <v>38</v>
      </c>
      <c r="C30" s="10" t="s">
        <v>14</v>
      </c>
      <c r="D30" s="11">
        <v>2.6</v>
      </c>
      <c r="E30" s="10">
        <v>50</v>
      </c>
      <c r="F30" s="10">
        <v>1</v>
      </c>
      <c r="G30" s="10">
        <v>1</v>
      </c>
      <c r="H30" s="10">
        <v>1</v>
      </c>
      <c r="I30" s="10">
        <f t="shared" si="0"/>
        <v>50</v>
      </c>
      <c r="J30" s="10">
        <f t="shared" si="1"/>
        <v>50</v>
      </c>
      <c r="K30" s="10">
        <f t="shared" si="2"/>
        <v>100</v>
      </c>
      <c r="L30" s="10">
        <f t="shared" si="3"/>
        <v>150</v>
      </c>
      <c r="M30" s="10">
        <v>5</v>
      </c>
      <c r="N30" s="10">
        <v>0</v>
      </c>
      <c r="O30" s="16">
        <f t="shared" si="4"/>
        <v>145</v>
      </c>
    </row>
    <row r="31" spans="1:15" x14ac:dyDescent="0.3">
      <c r="A31" s="12" t="s">
        <v>39</v>
      </c>
      <c r="B31" s="13" t="s">
        <v>40</v>
      </c>
      <c r="C31" s="14" t="s">
        <v>14</v>
      </c>
      <c r="D31" s="15">
        <v>4</v>
      </c>
      <c r="E31" s="14">
        <v>50</v>
      </c>
      <c r="F31" s="14">
        <v>1</v>
      </c>
      <c r="G31" s="14">
        <v>1</v>
      </c>
      <c r="H31" s="14">
        <v>1</v>
      </c>
      <c r="I31" s="14">
        <f t="shared" si="0"/>
        <v>50</v>
      </c>
      <c r="J31" s="14">
        <f t="shared" si="1"/>
        <v>50</v>
      </c>
      <c r="K31" s="14">
        <f t="shared" si="2"/>
        <v>100</v>
      </c>
      <c r="L31" s="14">
        <f t="shared" si="3"/>
        <v>150</v>
      </c>
      <c r="M31" s="14">
        <v>22</v>
      </c>
      <c r="N31" s="14">
        <v>0</v>
      </c>
      <c r="O31" s="16">
        <f t="shared" si="4"/>
        <v>128</v>
      </c>
    </row>
    <row r="32" spans="1:15" x14ac:dyDescent="0.3">
      <c r="A32" s="8">
        <v>237993</v>
      </c>
      <c r="B32" s="9" t="s">
        <v>15</v>
      </c>
      <c r="C32" s="16" t="s">
        <v>14</v>
      </c>
      <c r="D32" s="11">
        <v>4</v>
      </c>
      <c r="E32" s="10">
        <v>50</v>
      </c>
      <c r="F32" s="10">
        <v>1</v>
      </c>
      <c r="G32" s="10">
        <v>1</v>
      </c>
      <c r="H32" s="10">
        <v>1</v>
      </c>
      <c r="I32" s="10">
        <f t="shared" si="0"/>
        <v>50</v>
      </c>
      <c r="J32" s="10">
        <f t="shared" si="1"/>
        <v>50</v>
      </c>
      <c r="K32" s="10">
        <f t="shared" si="2"/>
        <v>100</v>
      </c>
      <c r="L32" s="10">
        <f t="shared" si="3"/>
        <v>150</v>
      </c>
      <c r="M32" s="10">
        <v>489</v>
      </c>
      <c r="N32" s="10">
        <v>0</v>
      </c>
      <c r="O32" s="16">
        <f t="shared" si="4"/>
        <v>0</v>
      </c>
    </row>
    <row r="33" spans="1:15" x14ac:dyDescent="0.3">
      <c r="A33" s="12">
        <v>238028</v>
      </c>
      <c r="B33" s="13" t="s">
        <v>16</v>
      </c>
      <c r="C33" s="17" t="s">
        <v>14</v>
      </c>
      <c r="D33" s="15">
        <v>4.4000000000000004</v>
      </c>
      <c r="E33" s="14">
        <v>50</v>
      </c>
      <c r="F33" s="14">
        <v>1</v>
      </c>
      <c r="G33" s="14">
        <v>1</v>
      </c>
      <c r="H33" s="14">
        <v>1</v>
      </c>
      <c r="I33" s="14">
        <f t="shared" si="0"/>
        <v>50</v>
      </c>
      <c r="J33" s="14">
        <f t="shared" si="1"/>
        <v>50</v>
      </c>
      <c r="K33" s="14">
        <f t="shared" si="2"/>
        <v>100</v>
      </c>
      <c r="L33" s="14">
        <f t="shared" si="3"/>
        <v>150</v>
      </c>
      <c r="M33" s="14">
        <v>198</v>
      </c>
      <c r="N33" s="14">
        <v>0</v>
      </c>
      <c r="O33" s="16">
        <f t="shared" si="4"/>
        <v>0</v>
      </c>
    </row>
    <row r="34" spans="1:15" x14ac:dyDescent="0.3">
      <c r="A34" s="8">
        <v>238062</v>
      </c>
      <c r="B34" s="9" t="s">
        <v>17</v>
      </c>
      <c r="C34" s="16" t="s">
        <v>14</v>
      </c>
      <c r="D34" s="11">
        <v>5.9</v>
      </c>
      <c r="E34" s="10">
        <v>50</v>
      </c>
      <c r="F34" s="10">
        <v>1</v>
      </c>
      <c r="G34" s="10">
        <v>1</v>
      </c>
      <c r="H34" s="10">
        <v>1</v>
      </c>
      <c r="I34" s="10">
        <f t="shared" ref="I34:I52" si="5">MROUND(E34*G34,1)</f>
        <v>50</v>
      </c>
      <c r="J34" s="10">
        <f t="shared" ref="J34:J52" si="6">MROUND(E34*F34,1)</f>
        <v>50</v>
      </c>
      <c r="K34" s="10">
        <f t="shared" ref="K34:K52" si="7">MROUND(I34+J34,1)</f>
        <v>100</v>
      </c>
      <c r="L34" s="10">
        <f t="shared" ref="L34:L52" si="8">MROUND(E34*(F34+G34+H34),1)</f>
        <v>150</v>
      </c>
      <c r="M34" s="10">
        <v>603</v>
      </c>
      <c r="N34" s="10">
        <v>0</v>
      </c>
      <c r="O34" s="16">
        <f t="shared" si="4"/>
        <v>0</v>
      </c>
    </row>
    <row r="35" spans="1:15" x14ac:dyDescent="0.3">
      <c r="A35" s="12">
        <v>258205</v>
      </c>
      <c r="B35" s="13" t="s">
        <v>20</v>
      </c>
      <c r="C35" s="14" t="s">
        <v>14</v>
      </c>
      <c r="D35" s="15">
        <v>0.9</v>
      </c>
      <c r="E35" s="14">
        <v>50</v>
      </c>
      <c r="F35" s="14">
        <v>1</v>
      </c>
      <c r="G35" s="14">
        <v>1</v>
      </c>
      <c r="H35" s="14">
        <v>1</v>
      </c>
      <c r="I35" s="14">
        <f t="shared" si="5"/>
        <v>50</v>
      </c>
      <c r="J35" s="14">
        <f t="shared" si="6"/>
        <v>50</v>
      </c>
      <c r="K35" s="14">
        <f t="shared" si="7"/>
        <v>100</v>
      </c>
      <c r="L35" s="14">
        <f t="shared" si="8"/>
        <v>150</v>
      </c>
      <c r="M35" s="14">
        <v>242</v>
      </c>
      <c r="N35" s="14">
        <v>0</v>
      </c>
      <c r="O35" s="16">
        <f t="shared" si="4"/>
        <v>0</v>
      </c>
    </row>
    <row r="36" spans="1:15" x14ac:dyDescent="0.3">
      <c r="A36" s="8">
        <v>267215</v>
      </c>
      <c r="B36" s="9" t="s">
        <v>22</v>
      </c>
      <c r="C36" s="10" t="s">
        <v>14</v>
      </c>
      <c r="D36" s="11">
        <v>1</v>
      </c>
      <c r="E36" s="10">
        <v>200</v>
      </c>
      <c r="F36" s="10">
        <v>1</v>
      </c>
      <c r="G36" s="10">
        <v>1</v>
      </c>
      <c r="H36" s="10">
        <v>1</v>
      </c>
      <c r="I36" s="10">
        <f t="shared" si="5"/>
        <v>200</v>
      </c>
      <c r="J36" s="10">
        <f t="shared" si="6"/>
        <v>200</v>
      </c>
      <c r="K36" s="10">
        <f t="shared" si="7"/>
        <v>400</v>
      </c>
      <c r="L36" s="10">
        <f t="shared" si="8"/>
        <v>600</v>
      </c>
      <c r="M36" s="10">
        <v>483</v>
      </c>
      <c r="N36" s="10">
        <v>0</v>
      </c>
      <c r="O36" s="16">
        <f t="shared" si="4"/>
        <v>0</v>
      </c>
    </row>
    <row r="37" spans="1:15" x14ac:dyDescent="0.3">
      <c r="A37" s="12" t="s">
        <v>41</v>
      </c>
      <c r="B37" s="13" t="s">
        <v>42</v>
      </c>
      <c r="C37" s="14" t="s">
        <v>14</v>
      </c>
      <c r="D37" s="15">
        <v>3</v>
      </c>
      <c r="E37" s="14">
        <v>50</v>
      </c>
      <c r="F37" s="14">
        <v>1</v>
      </c>
      <c r="G37" s="14">
        <v>1</v>
      </c>
      <c r="H37" s="14">
        <v>1</v>
      </c>
      <c r="I37" s="14">
        <f t="shared" si="5"/>
        <v>50</v>
      </c>
      <c r="J37" s="14">
        <f t="shared" si="6"/>
        <v>50</v>
      </c>
      <c r="K37" s="14">
        <f t="shared" si="7"/>
        <v>100</v>
      </c>
      <c r="L37" s="14">
        <f t="shared" si="8"/>
        <v>150</v>
      </c>
      <c r="M37" s="14">
        <v>93</v>
      </c>
      <c r="N37" s="14">
        <v>0</v>
      </c>
      <c r="O37" s="16">
        <f t="shared" si="4"/>
        <v>57</v>
      </c>
    </row>
    <row r="38" spans="1:15" x14ac:dyDescent="0.3">
      <c r="A38" s="8" t="s">
        <v>43</v>
      </c>
      <c r="B38" s="9" t="s">
        <v>44</v>
      </c>
      <c r="C38" s="10" t="s">
        <v>14</v>
      </c>
      <c r="D38" s="11">
        <v>0.3</v>
      </c>
      <c r="E38" s="10">
        <v>50</v>
      </c>
      <c r="F38" s="10">
        <v>1</v>
      </c>
      <c r="G38" s="10">
        <v>1</v>
      </c>
      <c r="H38" s="10">
        <v>1</v>
      </c>
      <c r="I38" s="10">
        <f t="shared" si="5"/>
        <v>50</v>
      </c>
      <c r="J38" s="10">
        <f t="shared" si="6"/>
        <v>50</v>
      </c>
      <c r="K38" s="10">
        <f t="shared" si="7"/>
        <v>100</v>
      </c>
      <c r="L38" s="10">
        <f t="shared" si="8"/>
        <v>150</v>
      </c>
      <c r="M38" s="10">
        <v>434</v>
      </c>
      <c r="N38" s="10">
        <v>0</v>
      </c>
      <c r="O38" s="16">
        <f t="shared" si="4"/>
        <v>0</v>
      </c>
    </row>
    <row r="39" spans="1:15" x14ac:dyDescent="0.3">
      <c r="A39" s="12" t="s">
        <v>45</v>
      </c>
      <c r="B39" s="13" t="s">
        <v>46</v>
      </c>
      <c r="C39" s="14" t="s">
        <v>14</v>
      </c>
      <c r="D39" s="15">
        <v>3</v>
      </c>
      <c r="E39" s="14">
        <v>50</v>
      </c>
      <c r="F39" s="14">
        <v>1</v>
      </c>
      <c r="G39" s="14">
        <v>1</v>
      </c>
      <c r="H39" s="14">
        <v>1</v>
      </c>
      <c r="I39" s="14">
        <f t="shared" si="5"/>
        <v>50</v>
      </c>
      <c r="J39" s="14">
        <f t="shared" si="6"/>
        <v>50</v>
      </c>
      <c r="K39" s="14">
        <f t="shared" si="7"/>
        <v>100</v>
      </c>
      <c r="L39" s="14">
        <f t="shared" si="8"/>
        <v>150</v>
      </c>
      <c r="M39" s="14">
        <v>725</v>
      </c>
      <c r="N39" s="14">
        <v>0</v>
      </c>
      <c r="O39" s="16">
        <f t="shared" si="4"/>
        <v>0</v>
      </c>
    </row>
    <row r="40" spans="1:15" x14ac:dyDescent="0.3">
      <c r="A40" s="8" t="s">
        <v>47</v>
      </c>
      <c r="B40" s="9" t="s">
        <v>48</v>
      </c>
      <c r="C40" s="10" t="s">
        <v>14</v>
      </c>
      <c r="D40" s="11">
        <v>0.8</v>
      </c>
      <c r="E40" s="10">
        <v>200</v>
      </c>
      <c r="F40" s="10">
        <v>1</v>
      </c>
      <c r="G40" s="10">
        <v>1</v>
      </c>
      <c r="H40" s="10">
        <v>1</v>
      </c>
      <c r="I40" s="10">
        <f t="shared" si="5"/>
        <v>200</v>
      </c>
      <c r="J40" s="10">
        <f t="shared" si="6"/>
        <v>200</v>
      </c>
      <c r="K40" s="10">
        <f t="shared" si="7"/>
        <v>400</v>
      </c>
      <c r="L40" s="10">
        <f t="shared" si="8"/>
        <v>600</v>
      </c>
      <c r="M40" s="10">
        <v>223</v>
      </c>
      <c r="N40" s="10">
        <v>0</v>
      </c>
      <c r="O40" s="16">
        <f t="shared" si="4"/>
        <v>377</v>
      </c>
    </row>
    <row r="41" spans="1:15" x14ac:dyDescent="0.3">
      <c r="A41" s="12" t="s">
        <v>49</v>
      </c>
      <c r="B41" s="13" t="s">
        <v>50</v>
      </c>
      <c r="C41" s="14" t="s">
        <v>14</v>
      </c>
      <c r="D41" s="15">
        <v>3</v>
      </c>
      <c r="E41" s="14">
        <v>50</v>
      </c>
      <c r="F41" s="14">
        <v>1</v>
      </c>
      <c r="G41" s="14">
        <v>1</v>
      </c>
      <c r="H41" s="14">
        <v>1</v>
      </c>
      <c r="I41" s="14">
        <f t="shared" si="5"/>
        <v>50</v>
      </c>
      <c r="J41" s="14">
        <f t="shared" si="6"/>
        <v>50</v>
      </c>
      <c r="K41" s="14">
        <f t="shared" si="7"/>
        <v>100</v>
      </c>
      <c r="L41" s="14">
        <f t="shared" si="8"/>
        <v>150</v>
      </c>
      <c r="M41" s="14">
        <v>188</v>
      </c>
      <c r="N41" s="14">
        <v>0</v>
      </c>
      <c r="O41" s="16">
        <f t="shared" si="4"/>
        <v>0</v>
      </c>
    </row>
    <row r="42" spans="1:15" x14ac:dyDescent="0.3">
      <c r="A42" s="8" t="s">
        <v>51</v>
      </c>
      <c r="B42" s="9" t="s">
        <v>52</v>
      </c>
      <c r="C42" s="10" t="s">
        <v>14</v>
      </c>
      <c r="D42" s="11">
        <v>1.3</v>
      </c>
      <c r="E42" s="10">
        <v>50</v>
      </c>
      <c r="F42" s="10">
        <v>1</v>
      </c>
      <c r="G42" s="10">
        <v>1</v>
      </c>
      <c r="H42" s="10">
        <v>1</v>
      </c>
      <c r="I42" s="10">
        <f t="shared" si="5"/>
        <v>50</v>
      </c>
      <c r="J42" s="10">
        <f t="shared" si="6"/>
        <v>50</v>
      </c>
      <c r="K42" s="10">
        <f t="shared" si="7"/>
        <v>100</v>
      </c>
      <c r="L42" s="10">
        <f t="shared" si="8"/>
        <v>150</v>
      </c>
      <c r="M42" s="10">
        <v>0</v>
      </c>
      <c r="N42" s="10">
        <v>0</v>
      </c>
      <c r="O42" s="16">
        <f t="shared" si="4"/>
        <v>150</v>
      </c>
    </row>
    <row r="43" spans="1:15" x14ac:dyDescent="0.3">
      <c r="A43" s="12" t="s">
        <v>62</v>
      </c>
      <c r="B43" s="13" t="s">
        <v>63</v>
      </c>
      <c r="C43" s="14" t="s">
        <v>14</v>
      </c>
      <c r="D43" s="15">
        <v>0.65</v>
      </c>
      <c r="E43" s="14">
        <v>50</v>
      </c>
      <c r="F43" s="14">
        <v>1</v>
      </c>
      <c r="G43" s="14">
        <v>1</v>
      </c>
      <c r="H43" s="14">
        <v>1</v>
      </c>
      <c r="I43" s="14">
        <f t="shared" si="5"/>
        <v>50</v>
      </c>
      <c r="J43" s="14">
        <f t="shared" si="6"/>
        <v>50</v>
      </c>
      <c r="K43" s="14">
        <f t="shared" si="7"/>
        <v>100</v>
      </c>
      <c r="L43" s="14">
        <f t="shared" si="8"/>
        <v>150</v>
      </c>
      <c r="M43" s="14">
        <v>129</v>
      </c>
      <c r="N43" s="14">
        <v>0</v>
      </c>
      <c r="O43" s="16">
        <f t="shared" si="4"/>
        <v>0</v>
      </c>
    </row>
    <row r="44" spans="1:15" x14ac:dyDescent="0.3">
      <c r="A44" s="8">
        <v>238152</v>
      </c>
      <c r="B44" s="9" t="s">
        <v>18</v>
      </c>
      <c r="C44" s="16" t="s">
        <v>14</v>
      </c>
      <c r="D44" s="11">
        <v>12.5</v>
      </c>
      <c r="E44" s="10">
        <v>50</v>
      </c>
      <c r="F44" s="10">
        <v>1</v>
      </c>
      <c r="G44" s="10">
        <v>1</v>
      </c>
      <c r="H44" s="10">
        <v>1</v>
      </c>
      <c r="I44" s="10">
        <f t="shared" si="5"/>
        <v>50</v>
      </c>
      <c r="J44" s="10">
        <f t="shared" si="6"/>
        <v>50</v>
      </c>
      <c r="K44" s="10">
        <f t="shared" si="7"/>
        <v>100</v>
      </c>
      <c r="L44" s="10">
        <f t="shared" si="8"/>
        <v>150</v>
      </c>
      <c r="M44" s="10">
        <v>43</v>
      </c>
      <c r="N44" s="10">
        <v>0</v>
      </c>
      <c r="O44" s="16">
        <f t="shared" si="4"/>
        <v>107</v>
      </c>
    </row>
    <row r="45" spans="1:15" ht="28.8" x14ac:dyDescent="0.3">
      <c r="A45" s="12" t="s">
        <v>53</v>
      </c>
      <c r="B45" s="13" t="s">
        <v>54</v>
      </c>
      <c r="C45" s="14" t="s">
        <v>14</v>
      </c>
      <c r="D45" s="15">
        <v>0.8</v>
      </c>
      <c r="E45" s="14">
        <v>300</v>
      </c>
      <c r="F45" s="14">
        <v>1</v>
      </c>
      <c r="G45" s="14">
        <v>1</v>
      </c>
      <c r="H45" s="14">
        <v>1</v>
      </c>
      <c r="I45" s="14">
        <f t="shared" si="5"/>
        <v>300</v>
      </c>
      <c r="J45" s="14">
        <f t="shared" si="6"/>
        <v>300</v>
      </c>
      <c r="K45" s="14">
        <f t="shared" si="7"/>
        <v>600</v>
      </c>
      <c r="L45" s="14">
        <f t="shared" si="8"/>
        <v>900</v>
      </c>
      <c r="M45" s="14">
        <v>535</v>
      </c>
      <c r="N45" s="14">
        <v>0</v>
      </c>
      <c r="O45" s="16">
        <f t="shared" si="4"/>
        <v>365</v>
      </c>
    </row>
    <row r="46" spans="1:15" x14ac:dyDescent="0.3">
      <c r="A46" s="8" t="s">
        <v>55</v>
      </c>
      <c r="B46" s="9" t="s">
        <v>56</v>
      </c>
      <c r="C46" s="10" t="s">
        <v>14</v>
      </c>
      <c r="D46" s="11">
        <v>1.8</v>
      </c>
      <c r="E46" s="10">
        <v>250</v>
      </c>
      <c r="F46" s="10">
        <v>1</v>
      </c>
      <c r="G46" s="10">
        <v>1</v>
      </c>
      <c r="H46" s="10">
        <v>1</v>
      </c>
      <c r="I46" s="10">
        <f t="shared" si="5"/>
        <v>250</v>
      </c>
      <c r="J46" s="10">
        <f t="shared" si="6"/>
        <v>250</v>
      </c>
      <c r="K46" s="10">
        <f t="shared" si="7"/>
        <v>500</v>
      </c>
      <c r="L46" s="10">
        <f t="shared" si="8"/>
        <v>750</v>
      </c>
      <c r="M46" s="10">
        <v>163</v>
      </c>
      <c r="N46" s="10">
        <v>0</v>
      </c>
      <c r="O46" s="16">
        <f t="shared" si="4"/>
        <v>587</v>
      </c>
    </row>
    <row r="47" spans="1:15" x14ac:dyDescent="0.3">
      <c r="A47" s="12" t="s">
        <v>57</v>
      </c>
      <c r="B47" s="13" t="s">
        <v>57</v>
      </c>
      <c r="C47" s="14" t="s">
        <v>14</v>
      </c>
      <c r="D47" s="15">
        <v>1.8</v>
      </c>
      <c r="E47" s="14">
        <v>50</v>
      </c>
      <c r="F47" s="14">
        <v>1</v>
      </c>
      <c r="G47" s="14">
        <v>1</v>
      </c>
      <c r="H47" s="14">
        <v>1</v>
      </c>
      <c r="I47" s="14">
        <f t="shared" si="5"/>
        <v>50</v>
      </c>
      <c r="J47" s="14">
        <f t="shared" si="6"/>
        <v>50</v>
      </c>
      <c r="K47" s="14">
        <f t="shared" si="7"/>
        <v>100</v>
      </c>
      <c r="L47" s="14">
        <f t="shared" si="8"/>
        <v>150</v>
      </c>
      <c r="M47" s="14">
        <v>317</v>
      </c>
      <c r="N47" s="14">
        <v>0</v>
      </c>
      <c r="O47" s="16">
        <f t="shared" si="4"/>
        <v>0</v>
      </c>
    </row>
    <row r="48" spans="1:15" x14ac:dyDescent="0.3">
      <c r="A48" s="8" t="s">
        <v>58</v>
      </c>
      <c r="B48" s="9" t="s">
        <v>59</v>
      </c>
      <c r="C48" s="10" t="s">
        <v>14</v>
      </c>
      <c r="D48" s="11">
        <v>18</v>
      </c>
      <c r="E48" s="10">
        <v>100</v>
      </c>
      <c r="F48" s="10">
        <v>1</v>
      </c>
      <c r="G48" s="10">
        <v>1</v>
      </c>
      <c r="H48" s="10">
        <v>1</v>
      </c>
      <c r="I48" s="10">
        <f t="shared" si="5"/>
        <v>100</v>
      </c>
      <c r="J48" s="10">
        <f t="shared" si="6"/>
        <v>100</v>
      </c>
      <c r="K48" s="10">
        <f t="shared" si="7"/>
        <v>200</v>
      </c>
      <c r="L48" s="10">
        <f t="shared" si="8"/>
        <v>300</v>
      </c>
      <c r="M48" s="10">
        <v>197</v>
      </c>
      <c r="N48" s="10">
        <v>0</v>
      </c>
      <c r="O48" s="16">
        <f t="shared" si="4"/>
        <v>103</v>
      </c>
    </row>
    <row r="49" spans="1:15" x14ac:dyDescent="0.3">
      <c r="A49" s="12" t="s">
        <v>60</v>
      </c>
      <c r="B49" s="13" t="s">
        <v>61</v>
      </c>
      <c r="C49" s="14" t="s">
        <v>14</v>
      </c>
      <c r="D49" s="15">
        <v>5.8</v>
      </c>
      <c r="E49" s="14">
        <v>100</v>
      </c>
      <c r="F49" s="14">
        <v>1</v>
      </c>
      <c r="G49" s="14">
        <v>1</v>
      </c>
      <c r="H49" s="14">
        <v>1</v>
      </c>
      <c r="I49" s="14">
        <f t="shared" si="5"/>
        <v>100</v>
      </c>
      <c r="J49" s="14">
        <f t="shared" si="6"/>
        <v>100</v>
      </c>
      <c r="K49" s="14">
        <f t="shared" si="7"/>
        <v>200</v>
      </c>
      <c r="L49" s="14">
        <f t="shared" si="8"/>
        <v>300</v>
      </c>
      <c r="M49" s="14">
        <v>157</v>
      </c>
      <c r="N49" s="14">
        <v>0</v>
      </c>
      <c r="O49" s="16">
        <f t="shared" si="4"/>
        <v>143</v>
      </c>
    </row>
    <row r="50" spans="1:15" x14ac:dyDescent="0.3">
      <c r="A50" s="8" t="s">
        <v>64</v>
      </c>
      <c r="B50" s="9" t="s">
        <v>65</v>
      </c>
      <c r="C50" s="16" t="s">
        <v>14</v>
      </c>
      <c r="D50" s="11">
        <v>75</v>
      </c>
      <c r="E50" s="10">
        <v>2</v>
      </c>
      <c r="F50" s="10">
        <v>1</v>
      </c>
      <c r="G50" s="10">
        <v>1</v>
      </c>
      <c r="H50" s="10">
        <v>1</v>
      </c>
      <c r="I50" s="10">
        <f t="shared" si="5"/>
        <v>2</v>
      </c>
      <c r="J50" s="10">
        <f t="shared" si="6"/>
        <v>2</v>
      </c>
      <c r="K50" s="10">
        <f t="shared" si="7"/>
        <v>4</v>
      </c>
      <c r="L50" s="10">
        <f t="shared" si="8"/>
        <v>6</v>
      </c>
      <c r="M50" s="10">
        <v>4</v>
      </c>
      <c r="N50" s="10">
        <v>0</v>
      </c>
      <c r="O50" s="16">
        <f t="shared" si="4"/>
        <v>2</v>
      </c>
    </row>
    <row r="51" spans="1:15" x14ac:dyDescent="0.3">
      <c r="A51" s="12" t="s">
        <v>66</v>
      </c>
      <c r="B51" s="13" t="s">
        <v>67</v>
      </c>
      <c r="C51" s="14" t="s">
        <v>14</v>
      </c>
      <c r="D51" s="15">
        <v>12</v>
      </c>
      <c r="E51" s="14">
        <v>50</v>
      </c>
      <c r="F51" s="14">
        <v>1</v>
      </c>
      <c r="G51" s="14">
        <v>1</v>
      </c>
      <c r="H51" s="14">
        <v>1</v>
      </c>
      <c r="I51" s="14">
        <f t="shared" si="5"/>
        <v>50</v>
      </c>
      <c r="J51" s="14">
        <f t="shared" si="6"/>
        <v>50</v>
      </c>
      <c r="K51" s="14">
        <f t="shared" si="7"/>
        <v>100</v>
      </c>
      <c r="L51" s="14">
        <f t="shared" si="8"/>
        <v>150</v>
      </c>
      <c r="M51" s="14">
        <v>255</v>
      </c>
      <c r="N51" s="14">
        <v>0</v>
      </c>
      <c r="O51" s="16">
        <f t="shared" si="4"/>
        <v>0</v>
      </c>
    </row>
    <row r="52" spans="1:15" x14ac:dyDescent="0.3">
      <c r="A52" s="8" t="s">
        <v>101</v>
      </c>
      <c r="B52" s="9" t="s">
        <v>102</v>
      </c>
      <c r="C52" s="10" t="s">
        <v>14</v>
      </c>
      <c r="D52" s="11">
        <v>0.3</v>
      </c>
      <c r="E52" s="10">
        <v>150</v>
      </c>
      <c r="F52" s="10">
        <v>1</v>
      </c>
      <c r="G52" s="10">
        <v>1</v>
      </c>
      <c r="H52" s="10">
        <v>1</v>
      </c>
      <c r="I52" s="10">
        <f t="shared" si="5"/>
        <v>150</v>
      </c>
      <c r="J52" s="10">
        <f t="shared" si="6"/>
        <v>150</v>
      </c>
      <c r="K52" s="10">
        <f t="shared" si="7"/>
        <v>300</v>
      </c>
      <c r="L52" s="10">
        <f t="shared" si="8"/>
        <v>450</v>
      </c>
      <c r="M52" s="10">
        <v>500</v>
      </c>
      <c r="N52" s="10">
        <v>0</v>
      </c>
      <c r="O52" s="16">
        <f t="shared" si="4"/>
        <v>0</v>
      </c>
    </row>
    <row r="53" spans="1:15" x14ac:dyDescent="0.3">
      <c r="A53" s="12" t="s">
        <v>103</v>
      </c>
      <c r="B53" s="13" t="s">
        <v>104</v>
      </c>
      <c r="C53" s="14" t="s">
        <v>105</v>
      </c>
      <c r="D53" s="15">
        <v>936</v>
      </c>
      <c r="E53" s="14">
        <v>4</v>
      </c>
      <c r="F53" s="14">
        <v>1</v>
      </c>
      <c r="G53" s="14">
        <v>0.5</v>
      </c>
      <c r="H53" s="14">
        <v>1</v>
      </c>
      <c r="I53" s="14">
        <f t="shared" ref="I53" si="9">MROUND(E53*G53,1)</f>
        <v>2</v>
      </c>
      <c r="J53" s="14">
        <f t="shared" ref="J53" si="10">MROUND(E53*F53,1)</f>
        <v>4</v>
      </c>
      <c r="K53" s="14">
        <f t="shared" ref="K53" si="11">MROUND(I53+J53,1)</f>
        <v>6</v>
      </c>
      <c r="L53" s="14">
        <f t="shared" ref="L53" si="12">MROUND(E53*(F53+G53+H53),1)</f>
        <v>10</v>
      </c>
      <c r="M53" s="14">
        <v>10</v>
      </c>
      <c r="N53" s="14">
        <v>0</v>
      </c>
      <c r="O53" s="17">
        <f t="shared" si="4"/>
        <v>0</v>
      </c>
    </row>
    <row r="54" spans="1:15" x14ac:dyDescent="0.3">
      <c r="A54" s="12" t="s">
        <v>108</v>
      </c>
      <c r="B54" s="13" t="s">
        <v>109</v>
      </c>
      <c r="C54" s="14" t="s">
        <v>105</v>
      </c>
      <c r="D54" s="15">
        <v>1241</v>
      </c>
      <c r="E54" s="14">
        <v>4</v>
      </c>
      <c r="F54" s="14">
        <v>1</v>
      </c>
      <c r="G54" s="14">
        <v>0.5</v>
      </c>
      <c r="H54" s="14">
        <v>1</v>
      </c>
      <c r="I54" s="14">
        <f t="shared" ref="I54:I79" si="13">MROUND(E54*G54,1)</f>
        <v>2</v>
      </c>
      <c r="J54" s="14">
        <f t="shared" ref="J54:J79" si="14">MROUND(E54*F54,1)</f>
        <v>4</v>
      </c>
      <c r="K54" s="14">
        <f t="shared" ref="K54:K79" si="15">MROUND(I54+J54,1)</f>
        <v>6</v>
      </c>
      <c r="L54" s="14">
        <f t="shared" ref="L54:L79" si="16">MROUND(E54*(F54+G54+H54),1)</f>
        <v>10</v>
      </c>
      <c r="M54" s="14">
        <v>4</v>
      </c>
      <c r="N54" s="14">
        <v>0</v>
      </c>
      <c r="O54" s="17">
        <f t="shared" si="4"/>
        <v>6</v>
      </c>
    </row>
    <row r="55" spans="1:15" x14ac:dyDescent="0.3">
      <c r="A55" s="12" t="s">
        <v>112</v>
      </c>
      <c r="B55" s="13" t="s">
        <v>113</v>
      </c>
      <c r="C55" s="14" t="s">
        <v>105</v>
      </c>
      <c r="D55" s="15">
        <v>1344.6</v>
      </c>
      <c r="E55" s="14">
        <v>4</v>
      </c>
      <c r="F55" s="14">
        <v>1</v>
      </c>
      <c r="G55" s="14">
        <v>0.5</v>
      </c>
      <c r="H55" s="14">
        <v>1</v>
      </c>
      <c r="I55" s="14">
        <f t="shared" si="13"/>
        <v>2</v>
      </c>
      <c r="J55" s="14">
        <f t="shared" si="14"/>
        <v>4</v>
      </c>
      <c r="K55" s="14">
        <f t="shared" si="15"/>
        <v>6</v>
      </c>
      <c r="L55" s="14">
        <f t="shared" si="16"/>
        <v>10</v>
      </c>
      <c r="M55" s="14">
        <v>1</v>
      </c>
      <c r="N55" s="14">
        <v>3</v>
      </c>
      <c r="O55" s="17">
        <f t="shared" si="4"/>
        <v>6</v>
      </c>
    </row>
    <row r="56" spans="1:15" x14ac:dyDescent="0.3">
      <c r="A56" s="12" t="s">
        <v>116</v>
      </c>
      <c r="B56" s="13" t="s">
        <v>117</v>
      </c>
      <c r="C56" s="14" t="s">
        <v>105</v>
      </c>
      <c r="D56" s="15">
        <v>1494</v>
      </c>
      <c r="E56" s="14">
        <v>2</v>
      </c>
      <c r="F56" s="14">
        <v>1</v>
      </c>
      <c r="G56" s="14">
        <v>0.5</v>
      </c>
      <c r="H56" s="14">
        <v>1</v>
      </c>
      <c r="I56" s="14">
        <f t="shared" si="13"/>
        <v>1</v>
      </c>
      <c r="J56" s="14">
        <f t="shared" si="14"/>
        <v>2</v>
      </c>
      <c r="K56" s="14">
        <f t="shared" si="15"/>
        <v>3</v>
      </c>
      <c r="L56" s="14">
        <f t="shared" si="16"/>
        <v>5</v>
      </c>
      <c r="M56" s="14">
        <v>3</v>
      </c>
      <c r="N56" s="14">
        <v>0</v>
      </c>
      <c r="O56" s="17">
        <f t="shared" si="4"/>
        <v>2</v>
      </c>
    </row>
    <row r="57" spans="1:15" x14ac:dyDescent="0.3">
      <c r="A57" s="12" t="s">
        <v>120</v>
      </c>
      <c r="B57" s="13" t="s">
        <v>121</v>
      </c>
      <c r="C57" s="14" t="s">
        <v>105</v>
      </c>
      <c r="D57" s="15">
        <v>1702</v>
      </c>
      <c r="E57" s="14">
        <v>3</v>
      </c>
      <c r="F57" s="14">
        <v>1</v>
      </c>
      <c r="G57" s="14">
        <v>0.5</v>
      </c>
      <c r="H57" s="14">
        <v>1</v>
      </c>
      <c r="I57" s="14">
        <f t="shared" si="13"/>
        <v>2</v>
      </c>
      <c r="J57" s="14">
        <f t="shared" si="14"/>
        <v>3</v>
      </c>
      <c r="K57" s="14">
        <f t="shared" si="15"/>
        <v>5</v>
      </c>
      <c r="L57" s="14">
        <f t="shared" si="16"/>
        <v>8</v>
      </c>
      <c r="M57" s="14">
        <v>4</v>
      </c>
      <c r="N57" s="14">
        <v>3</v>
      </c>
      <c r="O57" s="17">
        <f t="shared" si="4"/>
        <v>1</v>
      </c>
    </row>
    <row r="58" spans="1:15" x14ac:dyDescent="0.3">
      <c r="A58" s="12" t="s">
        <v>124</v>
      </c>
      <c r="B58" s="13" t="s">
        <v>125</v>
      </c>
      <c r="C58" s="14" t="s">
        <v>105</v>
      </c>
      <c r="D58" s="15">
        <v>1792</v>
      </c>
      <c r="E58" s="14">
        <v>3</v>
      </c>
      <c r="F58" s="14">
        <v>1</v>
      </c>
      <c r="G58" s="14">
        <v>0.5</v>
      </c>
      <c r="H58" s="14">
        <v>1</v>
      </c>
      <c r="I58" s="14">
        <f t="shared" si="13"/>
        <v>2</v>
      </c>
      <c r="J58" s="14">
        <f t="shared" si="14"/>
        <v>3</v>
      </c>
      <c r="K58" s="14">
        <f t="shared" si="15"/>
        <v>5</v>
      </c>
      <c r="L58" s="14">
        <f t="shared" si="16"/>
        <v>8</v>
      </c>
      <c r="M58" s="14">
        <v>2</v>
      </c>
      <c r="N58" s="14">
        <v>0</v>
      </c>
      <c r="O58" s="17">
        <f t="shared" si="4"/>
        <v>6</v>
      </c>
    </row>
    <row r="59" spans="1:15" x14ac:dyDescent="0.3">
      <c r="A59" s="12" t="s">
        <v>128</v>
      </c>
      <c r="B59" s="13" t="s">
        <v>129</v>
      </c>
      <c r="C59" s="14" t="s">
        <v>105</v>
      </c>
      <c r="D59" s="15">
        <v>1971</v>
      </c>
      <c r="E59" s="14">
        <v>2</v>
      </c>
      <c r="F59" s="14">
        <v>1</v>
      </c>
      <c r="G59" s="14">
        <v>0.5</v>
      </c>
      <c r="H59" s="14">
        <v>1</v>
      </c>
      <c r="I59" s="14">
        <f t="shared" si="13"/>
        <v>1</v>
      </c>
      <c r="J59" s="14">
        <f t="shared" si="14"/>
        <v>2</v>
      </c>
      <c r="K59" s="14">
        <f t="shared" si="15"/>
        <v>3</v>
      </c>
      <c r="L59" s="14">
        <f t="shared" si="16"/>
        <v>5</v>
      </c>
      <c r="M59" s="14">
        <v>5</v>
      </c>
      <c r="N59" s="14">
        <v>2</v>
      </c>
      <c r="O59" s="17">
        <f t="shared" si="4"/>
        <v>0</v>
      </c>
    </row>
    <row r="60" spans="1:15" x14ac:dyDescent="0.3">
      <c r="A60" s="12" t="s">
        <v>132</v>
      </c>
      <c r="B60" s="13" t="s">
        <v>133</v>
      </c>
      <c r="C60" s="14" t="s">
        <v>105</v>
      </c>
      <c r="D60" s="15">
        <v>2298</v>
      </c>
      <c r="E60" s="14">
        <v>2</v>
      </c>
      <c r="F60" s="14">
        <v>1</v>
      </c>
      <c r="G60" s="14">
        <v>0.5</v>
      </c>
      <c r="H60" s="14">
        <v>1</v>
      </c>
      <c r="I60" s="14">
        <f t="shared" si="13"/>
        <v>1</v>
      </c>
      <c r="J60" s="14">
        <f t="shared" si="14"/>
        <v>2</v>
      </c>
      <c r="K60" s="14">
        <f t="shared" si="15"/>
        <v>3</v>
      </c>
      <c r="L60" s="14">
        <f t="shared" si="16"/>
        <v>5</v>
      </c>
      <c r="M60" s="14">
        <v>3</v>
      </c>
      <c r="N60" s="14">
        <v>0</v>
      </c>
      <c r="O60" s="17">
        <f t="shared" si="4"/>
        <v>2</v>
      </c>
    </row>
    <row r="61" spans="1:15" x14ac:dyDescent="0.3">
      <c r="A61" s="12" t="s">
        <v>136</v>
      </c>
      <c r="B61" s="13" t="s">
        <v>137</v>
      </c>
      <c r="C61" s="14" t="s">
        <v>105</v>
      </c>
      <c r="D61" s="15">
        <v>2158</v>
      </c>
      <c r="E61" s="14">
        <v>2</v>
      </c>
      <c r="F61" s="14">
        <v>1</v>
      </c>
      <c r="G61" s="14">
        <v>0.5</v>
      </c>
      <c r="H61" s="14">
        <v>1</v>
      </c>
      <c r="I61" s="14">
        <f t="shared" si="13"/>
        <v>1</v>
      </c>
      <c r="J61" s="14">
        <f t="shared" si="14"/>
        <v>2</v>
      </c>
      <c r="K61" s="14">
        <f t="shared" si="15"/>
        <v>3</v>
      </c>
      <c r="L61" s="14">
        <f t="shared" si="16"/>
        <v>5</v>
      </c>
      <c r="M61" s="14">
        <v>9</v>
      </c>
      <c r="N61" s="14">
        <v>0</v>
      </c>
      <c r="O61" s="17">
        <f t="shared" si="4"/>
        <v>0</v>
      </c>
    </row>
    <row r="62" spans="1:15" x14ac:dyDescent="0.3">
      <c r="A62" s="12" t="s">
        <v>140</v>
      </c>
      <c r="B62" s="13" t="s">
        <v>141</v>
      </c>
      <c r="C62" s="14" t="s">
        <v>105</v>
      </c>
      <c r="D62" s="15">
        <v>2516</v>
      </c>
      <c r="E62" s="14">
        <v>2</v>
      </c>
      <c r="F62" s="14">
        <v>1</v>
      </c>
      <c r="G62" s="14">
        <v>0.5</v>
      </c>
      <c r="H62" s="14">
        <v>1</v>
      </c>
      <c r="I62" s="14">
        <f t="shared" si="13"/>
        <v>1</v>
      </c>
      <c r="J62" s="14">
        <f t="shared" si="14"/>
        <v>2</v>
      </c>
      <c r="K62" s="14">
        <f t="shared" si="15"/>
        <v>3</v>
      </c>
      <c r="L62" s="14">
        <f t="shared" si="16"/>
        <v>5</v>
      </c>
      <c r="M62" s="14">
        <v>3</v>
      </c>
      <c r="N62" s="14">
        <v>0</v>
      </c>
      <c r="O62" s="17">
        <f t="shared" si="4"/>
        <v>2</v>
      </c>
    </row>
    <row r="63" spans="1:15" x14ac:dyDescent="0.3">
      <c r="A63" s="12" t="s">
        <v>144</v>
      </c>
      <c r="B63" s="13" t="s">
        <v>145</v>
      </c>
      <c r="C63" s="14" t="s">
        <v>105</v>
      </c>
      <c r="D63" s="15">
        <v>2817</v>
      </c>
      <c r="E63" s="14">
        <v>2</v>
      </c>
      <c r="F63" s="14">
        <v>1</v>
      </c>
      <c r="G63" s="14">
        <v>0.5</v>
      </c>
      <c r="H63" s="14">
        <v>1</v>
      </c>
      <c r="I63" s="14">
        <f t="shared" si="13"/>
        <v>1</v>
      </c>
      <c r="J63" s="14">
        <f t="shared" si="14"/>
        <v>2</v>
      </c>
      <c r="K63" s="14">
        <f t="shared" si="15"/>
        <v>3</v>
      </c>
      <c r="L63" s="14">
        <f t="shared" si="16"/>
        <v>5</v>
      </c>
      <c r="M63" s="14">
        <v>7</v>
      </c>
      <c r="N63" s="14">
        <v>0</v>
      </c>
      <c r="O63" s="17">
        <f t="shared" si="4"/>
        <v>0</v>
      </c>
    </row>
    <row r="64" spans="1:15" x14ac:dyDescent="0.3">
      <c r="A64" s="12" t="s">
        <v>148</v>
      </c>
      <c r="B64" s="13" t="s">
        <v>149</v>
      </c>
      <c r="C64" s="14" t="s">
        <v>105</v>
      </c>
      <c r="D64" s="15">
        <v>3285</v>
      </c>
      <c r="E64" s="14">
        <v>2</v>
      </c>
      <c r="F64" s="14">
        <v>1</v>
      </c>
      <c r="G64" s="14">
        <v>0.5</v>
      </c>
      <c r="H64" s="14">
        <v>1</v>
      </c>
      <c r="I64" s="14">
        <f t="shared" si="13"/>
        <v>1</v>
      </c>
      <c r="J64" s="14">
        <f t="shared" si="14"/>
        <v>2</v>
      </c>
      <c r="K64" s="14">
        <f t="shared" si="15"/>
        <v>3</v>
      </c>
      <c r="L64" s="14">
        <f t="shared" si="16"/>
        <v>5</v>
      </c>
      <c r="M64" s="14">
        <v>1</v>
      </c>
      <c r="N64" s="14">
        <v>0</v>
      </c>
      <c r="O64" s="17">
        <f t="shared" si="4"/>
        <v>4</v>
      </c>
    </row>
    <row r="65" spans="1:15" x14ac:dyDescent="0.3">
      <c r="A65" s="18" t="s">
        <v>150</v>
      </c>
      <c r="B65" s="13" t="s">
        <v>152</v>
      </c>
      <c r="C65" s="14" t="s">
        <v>105</v>
      </c>
      <c r="D65" s="15">
        <v>3285</v>
      </c>
      <c r="E65" s="14">
        <v>0</v>
      </c>
      <c r="F65" s="14">
        <v>1</v>
      </c>
      <c r="G65" s="14">
        <v>0.5</v>
      </c>
      <c r="H65" s="14">
        <v>1</v>
      </c>
      <c r="I65" s="14">
        <f t="shared" si="13"/>
        <v>0</v>
      </c>
      <c r="J65" s="14">
        <f t="shared" si="14"/>
        <v>0</v>
      </c>
      <c r="K65" s="14">
        <f t="shared" si="15"/>
        <v>0</v>
      </c>
      <c r="L65" s="14">
        <f t="shared" si="16"/>
        <v>0</v>
      </c>
      <c r="M65" s="14">
        <v>0</v>
      </c>
      <c r="N65" s="14">
        <v>0</v>
      </c>
      <c r="O65" s="17">
        <f t="shared" si="4"/>
        <v>0</v>
      </c>
    </row>
    <row r="66" spans="1:15" x14ac:dyDescent="0.3">
      <c r="A66" s="18" t="s">
        <v>466</v>
      </c>
      <c r="B66" s="13" t="s">
        <v>467</v>
      </c>
      <c r="C66" s="14" t="s">
        <v>105</v>
      </c>
      <c r="D66" s="15">
        <v>4386</v>
      </c>
      <c r="E66" s="14">
        <v>1</v>
      </c>
      <c r="F66" s="14">
        <v>1</v>
      </c>
      <c r="G66" s="14">
        <v>0.5</v>
      </c>
      <c r="H66" s="14">
        <v>1</v>
      </c>
      <c r="I66" s="14">
        <f t="shared" si="13"/>
        <v>1</v>
      </c>
      <c r="J66" s="14">
        <f t="shared" si="14"/>
        <v>1</v>
      </c>
      <c r="K66" s="14">
        <f t="shared" si="15"/>
        <v>2</v>
      </c>
      <c r="L66" s="14">
        <f t="shared" si="16"/>
        <v>3</v>
      </c>
      <c r="M66" s="14">
        <v>1</v>
      </c>
      <c r="N66" s="14">
        <v>0</v>
      </c>
      <c r="O66" s="17">
        <f t="shared" si="4"/>
        <v>2</v>
      </c>
    </row>
    <row r="67" spans="1:15" x14ac:dyDescent="0.3">
      <c r="A67" s="18" t="s">
        <v>155</v>
      </c>
      <c r="B67" s="13" t="s">
        <v>156</v>
      </c>
      <c r="C67" s="14" t="s">
        <v>105</v>
      </c>
      <c r="D67" s="15">
        <v>0</v>
      </c>
      <c r="E67" s="14">
        <v>33</v>
      </c>
      <c r="F67" s="14">
        <v>1</v>
      </c>
      <c r="G67" s="14">
        <v>0.5</v>
      </c>
      <c r="H67" s="14">
        <v>1</v>
      </c>
      <c r="I67" s="14">
        <f t="shared" si="13"/>
        <v>17</v>
      </c>
      <c r="J67" s="14">
        <f t="shared" si="14"/>
        <v>33</v>
      </c>
      <c r="K67" s="14">
        <f t="shared" si="15"/>
        <v>50</v>
      </c>
      <c r="L67" s="14">
        <f t="shared" si="16"/>
        <v>83</v>
      </c>
      <c r="M67" s="14">
        <v>28</v>
      </c>
      <c r="N67" s="14">
        <v>19</v>
      </c>
      <c r="O67" s="17">
        <f t="shared" ref="O67:O130" si="17">IF(IF(M67&lt;=K67,L67-M67-N67,0)&lt;0,0,IF(M67&lt;=K67,L67-M67-N67,0))</f>
        <v>36</v>
      </c>
    </row>
    <row r="68" spans="1:15" x14ac:dyDescent="0.3">
      <c r="A68" s="12" t="s">
        <v>106</v>
      </c>
      <c r="B68" s="13" t="s">
        <v>107</v>
      </c>
      <c r="C68" s="14" t="s">
        <v>105</v>
      </c>
      <c r="D68" s="15">
        <v>794.72249999999997</v>
      </c>
      <c r="E68" s="14">
        <v>0</v>
      </c>
      <c r="F68" s="14">
        <v>1</v>
      </c>
      <c r="G68" s="14">
        <v>0.5</v>
      </c>
      <c r="H68" s="14">
        <v>1</v>
      </c>
      <c r="I68" s="14">
        <f t="shared" si="13"/>
        <v>0</v>
      </c>
      <c r="J68" s="14">
        <f t="shared" si="14"/>
        <v>0</v>
      </c>
      <c r="K68" s="14">
        <f t="shared" si="15"/>
        <v>0</v>
      </c>
      <c r="L68" s="14">
        <f t="shared" si="16"/>
        <v>0</v>
      </c>
      <c r="M68" s="14">
        <v>0</v>
      </c>
      <c r="N68" s="14">
        <v>0</v>
      </c>
      <c r="O68" s="17">
        <f t="shared" si="17"/>
        <v>0</v>
      </c>
    </row>
    <row r="69" spans="1:15" x14ac:dyDescent="0.3">
      <c r="A69" s="12" t="s">
        <v>110</v>
      </c>
      <c r="B69" s="13" t="s">
        <v>111</v>
      </c>
      <c r="C69" s="14" t="s">
        <v>105</v>
      </c>
      <c r="D69" s="15">
        <v>1061.5999999999999</v>
      </c>
      <c r="E69" s="14">
        <v>0</v>
      </c>
      <c r="F69" s="14">
        <v>1</v>
      </c>
      <c r="G69" s="14">
        <v>0.5</v>
      </c>
      <c r="H69" s="14">
        <v>1</v>
      </c>
      <c r="I69" s="14">
        <f t="shared" si="13"/>
        <v>0</v>
      </c>
      <c r="J69" s="14">
        <f t="shared" si="14"/>
        <v>0</v>
      </c>
      <c r="K69" s="14">
        <f t="shared" si="15"/>
        <v>0</v>
      </c>
      <c r="L69" s="14">
        <f t="shared" si="16"/>
        <v>0</v>
      </c>
      <c r="M69" s="14">
        <v>0</v>
      </c>
      <c r="N69" s="14">
        <v>0</v>
      </c>
      <c r="O69" s="17">
        <f t="shared" si="17"/>
        <v>0</v>
      </c>
    </row>
    <row r="70" spans="1:15" x14ac:dyDescent="0.3">
      <c r="A70" s="12" t="s">
        <v>114</v>
      </c>
      <c r="B70" s="13" t="s">
        <v>115</v>
      </c>
      <c r="C70" s="14" t="s">
        <v>105</v>
      </c>
      <c r="D70" s="15">
        <v>1120.3500000000001</v>
      </c>
      <c r="E70" s="14">
        <v>0</v>
      </c>
      <c r="F70" s="14">
        <v>1</v>
      </c>
      <c r="G70" s="14">
        <v>0.5</v>
      </c>
      <c r="H70" s="14">
        <v>1</v>
      </c>
      <c r="I70" s="14">
        <f t="shared" si="13"/>
        <v>0</v>
      </c>
      <c r="J70" s="14">
        <f t="shared" si="14"/>
        <v>0</v>
      </c>
      <c r="K70" s="14">
        <f t="shared" si="15"/>
        <v>0</v>
      </c>
      <c r="L70" s="14">
        <f t="shared" si="16"/>
        <v>0</v>
      </c>
      <c r="M70" s="14">
        <v>0</v>
      </c>
      <c r="N70" s="14">
        <v>0</v>
      </c>
      <c r="O70" s="17">
        <f t="shared" si="17"/>
        <v>0</v>
      </c>
    </row>
    <row r="71" spans="1:15" x14ac:dyDescent="0.3">
      <c r="A71" s="12" t="s">
        <v>118</v>
      </c>
      <c r="B71" s="13" t="s">
        <v>119</v>
      </c>
      <c r="C71" s="14" t="s">
        <v>105</v>
      </c>
      <c r="D71" s="15">
        <v>1269.75</v>
      </c>
      <c r="E71" s="14">
        <v>0</v>
      </c>
      <c r="F71" s="14">
        <v>1</v>
      </c>
      <c r="G71" s="14">
        <v>0.5</v>
      </c>
      <c r="H71" s="14">
        <v>1</v>
      </c>
      <c r="I71" s="14">
        <f t="shared" si="13"/>
        <v>0</v>
      </c>
      <c r="J71" s="14">
        <f t="shared" si="14"/>
        <v>0</v>
      </c>
      <c r="K71" s="14">
        <f t="shared" si="15"/>
        <v>0</v>
      </c>
      <c r="L71" s="14">
        <f t="shared" si="16"/>
        <v>0</v>
      </c>
      <c r="M71" s="14">
        <v>0</v>
      </c>
      <c r="N71" s="14">
        <v>0</v>
      </c>
      <c r="O71" s="17">
        <f t="shared" si="17"/>
        <v>0</v>
      </c>
    </row>
    <row r="72" spans="1:15" x14ac:dyDescent="0.3">
      <c r="A72" s="12" t="s">
        <v>122</v>
      </c>
      <c r="B72" s="13" t="s">
        <v>123</v>
      </c>
      <c r="C72" s="14" t="s">
        <v>105</v>
      </c>
      <c r="D72" s="15">
        <v>1450.84</v>
      </c>
      <c r="E72" s="14">
        <v>0</v>
      </c>
      <c r="F72" s="14">
        <v>1</v>
      </c>
      <c r="G72" s="14">
        <v>0.5</v>
      </c>
      <c r="H72" s="14">
        <v>1</v>
      </c>
      <c r="I72" s="14">
        <f t="shared" si="13"/>
        <v>0</v>
      </c>
      <c r="J72" s="14">
        <f t="shared" si="14"/>
        <v>0</v>
      </c>
      <c r="K72" s="14">
        <f t="shared" si="15"/>
        <v>0</v>
      </c>
      <c r="L72" s="14">
        <f t="shared" si="16"/>
        <v>0</v>
      </c>
      <c r="M72" s="14">
        <v>0</v>
      </c>
      <c r="N72" s="14">
        <v>0</v>
      </c>
      <c r="O72" s="17">
        <f t="shared" si="17"/>
        <v>0</v>
      </c>
    </row>
    <row r="73" spans="1:15" x14ac:dyDescent="0.3">
      <c r="A73" s="12" t="s">
        <v>126</v>
      </c>
      <c r="B73" s="13" t="s">
        <v>127</v>
      </c>
      <c r="C73" s="14" t="s">
        <v>105</v>
      </c>
      <c r="D73" s="15">
        <v>1515.7239999999999</v>
      </c>
      <c r="E73" s="14">
        <v>0</v>
      </c>
      <c r="F73" s="14">
        <v>1</v>
      </c>
      <c r="G73" s="14">
        <v>0.5</v>
      </c>
      <c r="H73" s="14">
        <v>1</v>
      </c>
      <c r="I73" s="14">
        <f t="shared" si="13"/>
        <v>0</v>
      </c>
      <c r="J73" s="14">
        <f t="shared" si="14"/>
        <v>0</v>
      </c>
      <c r="K73" s="14">
        <f t="shared" si="15"/>
        <v>0</v>
      </c>
      <c r="L73" s="14">
        <f t="shared" si="16"/>
        <v>0</v>
      </c>
      <c r="M73" s="14">
        <v>0</v>
      </c>
      <c r="N73" s="14">
        <v>0</v>
      </c>
      <c r="O73" s="17">
        <f t="shared" si="17"/>
        <v>0</v>
      </c>
    </row>
    <row r="74" spans="1:15" x14ac:dyDescent="0.3">
      <c r="A74" s="12" t="s">
        <v>130</v>
      </c>
      <c r="B74" s="13" t="s">
        <v>131</v>
      </c>
      <c r="C74" s="14" t="s">
        <v>105</v>
      </c>
      <c r="D74" s="15">
        <v>1688.4449999999999</v>
      </c>
      <c r="E74" s="14">
        <v>0</v>
      </c>
      <c r="F74" s="14">
        <v>1</v>
      </c>
      <c r="G74" s="14">
        <v>0.5</v>
      </c>
      <c r="H74" s="14">
        <v>1</v>
      </c>
      <c r="I74" s="14">
        <f t="shared" si="13"/>
        <v>0</v>
      </c>
      <c r="J74" s="14">
        <f t="shared" si="14"/>
        <v>0</v>
      </c>
      <c r="K74" s="14">
        <f t="shared" si="15"/>
        <v>0</v>
      </c>
      <c r="L74" s="14">
        <f t="shared" si="16"/>
        <v>0</v>
      </c>
      <c r="M74" s="14">
        <v>0</v>
      </c>
      <c r="N74" s="14">
        <v>0</v>
      </c>
      <c r="O74" s="17">
        <f t="shared" si="17"/>
        <v>0</v>
      </c>
    </row>
    <row r="75" spans="1:15" x14ac:dyDescent="0.3">
      <c r="A75" s="12" t="s">
        <v>134</v>
      </c>
      <c r="B75" s="13" t="s">
        <v>135</v>
      </c>
      <c r="C75" s="14" t="s">
        <v>105</v>
      </c>
      <c r="D75" s="15">
        <v>1987.1895</v>
      </c>
      <c r="E75" s="14">
        <v>0</v>
      </c>
      <c r="F75" s="14">
        <v>1</v>
      </c>
      <c r="G75" s="14">
        <v>0.5</v>
      </c>
      <c r="H75" s="14">
        <v>1</v>
      </c>
      <c r="I75" s="14">
        <f t="shared" si="13"/>
        <v>0</v>
      </c>
      <c r="J75" s="14">
        <f t="shared" si="14"/>
        <v>0</v>
      </c>
      <c r="K75" s="14">
        <f t="shared" si="15"/>
        <v>0</v>
      </c>
      <c r="L75" s="14">
        <f t="shared" si="16"/>
        <v>0</v>
      </c>
      <c r="M75" s="14">
        <v>0</v>
      </c>
      <c r="N75" s="14">
        <v>0</v>
      </c>
      <c r="O75" s="17">
        <f t="shared" si="17"/>
        <v>0</v>
      </c>
    </row>
    <row r="76" spans="1:15" x14ac:dyDescent="0.3">
      <c r="A76" s="12" t="s">
        <v>138</v>
      </c>
      <c r="B76" s="13" t="s">
        <v>139</v>
      </c>
      <c r="C76" s="14" t="s">
        <v>105</v>
      </c>
      <c r="D76" s="15">
        <v>1839.5650000000001</v>
      </c>
      <c r="E76" s="14">
        <v>0</v>
      </c>
      <c r="F76" s="14">
        <v>1</v>
      </c>
      <c r="G76" s="14">
        <v>0.5</v>
      </c>
      <c r="H76" s="14">
        <v>1</v>
      </c>
      <c r="I76" s="14">
        <f t="shared" si="13"/>
        <v>0</v>
      </c>
      <c r="J76" s="14">
        <f t="shared" si="14"/>
        <v>0</v>
      </c>
      <c r="K76" s="14">
        <f t="shared" si="15"/>
        <v>0</v>
      </c>
      <c r="L76" s="14">
        <f t="shared" si="16"/>
        <v>0</v>
      </c>
      <c r="M76" s="14">
        <v>0</v>
      </c>
      <c r="N76" s="14">
        <v>0</v>
      </c>
      <c r="O76" s="17">
        <f t="shared" si="17"/>
        <v>0</v>
      </c>
    </row>
    <row r="77" spans="1:15" x14ac:dyDescent="0.3">
      <c r="A77" s="12" t="s">
        <v>142</v>
      </c>
      <c r="B77" s="13" t="s">
        <v>143</v>
      </c>
      <c r="C77" s="14" t="s">
        <v>105</v>
      </c>
      <c r="D77" s="15">
        <v>2165.7215000000001</v>
      </c>
      <c r="E77" s="14">
        <v>0</v>
      </c>
      <c r="F77" s="14">
        <v>1</v>
      </c>
      <c r="G77" s="14">
        <v>0.5</v>
      </c>
      <c r="H77" s="14">
        <v>1</v>
      </c>
      <c r="I77" s="14">
        <f t="shared" si="13"/>
        <v>0</v>
      </c>
      <c r="J77" s="14">
        <f t="shared" si="14"/>
        <v>0</v>
      </c>
      <c r="K77" s="14">
        <f t="shared" si="15"/>
        <v>0</v>
      </c>
      <c r="L77" s="14">
        <f t="shared" si="16"/>
        <v>0</v>
      </c>
      <c r="M77" s="14">
        <v>0</v>
      </c>
      <c r="N77" s="14">
        <v>0</v>
      </c>
      <c r="O77" s="17">
        <f t="shared" si="17"/>
        <v>0</v>
      </c>
    </row>
    <row r="78" spans="1:15" x14ac:dyDescent="0.3">
      <c r="A78" s="12" t="s">
        <v>146</v>
      </c>
      <c r="B78" s="13" t="s">
        <v>147</v>
      </c>
      <c r="C78" s="14" t="s">
        <v>105</v>
      </c>
      <c r="D78" s="15">
        <v>2458.1999999999998</v>
      </c>
      <c r="E78" s="14">
        <v>0</v>
      </c>
      <c r="F78" s="14">
        <v>1</v>
      </c>
      <c r="G78" s="14">
        <v>0.5</v>
      </c>
      <c r="H78" s="14">
        <v>1</v>
      </c>
      <c r="I78" s="14">
        <f t="shared" si="13"/>
        <v>0</v>
      </c>
      <c r="J78" s="14">
        <f t="shared" si="14"/>
        <v>0</v>
      </c>
      <c r="K78" s="14">
        <f t="shared" si="15"/>
        <v>0</v>
      </c>
      <c r="L78" s="14">
        <f t="shared" si="16"/>
        <v>0</v>
      </c>
      <c r="M78" s="14">
        <v>0</v>
      </c>
      <c r="N78" s="14">
        <v>0</v>
      </c>
      <c r="O78" s="17">
        <f t="shared" si="17"/>
        <v>0</v>
      </c>
    </row>
    <row r="79" spans="1:15" x14ac:dyDescent="0.3">
      <c r="A79" s="12" t="s">
        <v>153</v>
      </c>
      <c r="B79" s="13" t="s">
        <v>154</v>
      </c>
      <c r="C79" s="14" t="s">
        <v>105</v>
      </c>
      <c r="D79" s="15">
        <v>2890.3199999999997</v>
      </c>
      <c r="E79" s="14">
        <v>0</v>
      </c>
      <c r="F79" s="14">
        <v>1</v>
      </c>
      <c r="G79" s="14">
        <v>0.5</v>
      </c>
      <c r="H79" s="14">
        <v>1</v>
      </c>
      <c r="I79" s="14">
        <f t="shared" si="13"/>
        <v>0</v>
      </c>
      <c r="J79" s="14">
        <f t="shared" si="14"/>
        <v>0</v>
      </c>
      <c r="K79" s="14">
        <f t="shared" si="15"/>
        <v>0</v>
      </c>
      <c r="L79" s="14">
        <f t="shared" si="16"/>
        <v>0</v>
      </c>
      <c r="M79" s="14">
        <v>0</v>
      </c>
      <c r="N79" s="14">
        <v>0</v>
      </c>
      <c r="O79" s="17">
        <f t="shared" si="17"/>
        <v>0</v>
      </c>
    </row>
    <row r="80" spans="1:15" x14ac:dyDescent="0.3">
      <c r="A80" s="18" t="s">
        <v>150</v>
      </c>
      <c r="B80" s="13" t="s">
        <v>151</v>
      </c>
      <c r="C80" s="14" t="s">
        <v>105</v>
      </c>
      <c r="D80" s="15">
        <v>2890.3199999999997</v>
      </c>
      <c r="E80" s="14">
        <v>0</v>
      </c>
      <c r="F80" s="14">
        <v>1</v>
      </c>
      <c r="G80" s="14">
        <v>0.5</v>
      </c>
      <c r="H80" s="14">
        <v>1</v>
      </c>
      <c r="I80" s="14">
        <f t="shared" ref="I80:I117" si="18">MROUND(E80*G80,1)</f>
        <v>0</v>
      </c>
      <c r="J80" s="14">
        <f t="shared" ref="J80:J117" si="19">MROUND(E80*F80,1)</f>
        <v>0</v>
      </c>
      <c r="K80" s="14">
        <f t="shared" ref="K80:K117" si="20">MROUND(I80+J80,1)</f>
        <v>0</v>
      </c>
      <c r="L80" s="14">
        <f t="shared" ref="L80:L117" si="21">MROUND(E80*(F80+G80+H80),1)</f>
        <v>0</v>
      </c>
      <c r="M80" s="14">
        <v>0</v>
      </c>
      <c r="N80" s="14">
        <v>0</v>
      </c>
      <c r="O80" s="17">
        <f t="shared" si="17"/>
        <v>0</v>
      </c>
    </row>
    <row r="81" spans="1:15" x14ac:dyDescent="0.3">
      <c r="A81" s="18" t="s">
        <v>468</v>
      </c>
      <c r="B81" s="13" t="s">
        <v>469</v>
      </c>
      <c r="C81" s="14" t="s">
        <v>105</v>
      </c>
      <c r="D81" s="15">
        <v>3357.35</v>
      </c>
      <c r="E81" s="14">
        <v>0</v>
      </c>
      <c r="F81" s="14">
        <v>1</v>
      </c>
      <c r="G81" s="14">
        <v>0.5</v>
      </c>
      <c r="H81" s="14">
        <v>1</v>
      </c>
      <c r="I81" s="14">
        <f t="shared" si="18"/>
        <v>0</v>
      </c>
      <c r="J81" s="14">
        <f t="shared" si="19"/>
        <v>0</v>
      </c>
      <c r="K81" s="14">
        <f t="shared" si="20"/>
        <v>0</v>
      </c>
      <c r="L81" s="14">
        <f t="shared" si="21"/>
        <v>0</v>
      </c>
      <c r="M81" s="14">
        <v>0</v>
      </c>
      <c r="N81" s="14">
        <v>0</v>
      </c>
      <c r="O81" s="17">
        <f t="shared" si="17"/>
        <v>0</v>
      </c>
    </row>
    <row r="82" spans="1:15" x14ac:dyDescent="0.3">
      <c r="A82" s="8" t="s">
        <v>157</v>
      </c>
      <c r="B82" s="9" t="s">
        <v>158</v>
      </c>
      <c r="C82" s="10" t="s">
        <v>159</v>
      </c>
      <c r="D82" s="11">
        <v>80</v>
      </c>
      <c r="E82" s="10">
        <v>24</v>
      </c>
      <c r="F82" s="10">
        <v>1</v>
      </c>
      <c r="G82" s="10">
        <v>0.5</v>
      </c>
      <c r="H82" s="10">
        <v>1</v>
      </c>
      <c r="I82" s="10">
        <f t="shared" si="18"/>
        <v>12</v>
      </c>
      <c r="J82" s="10">
        <f t="shared" si="19"/>
        <v>24</v>
      </c>
      <c r="K82" s="10">
        <f t="shared" si="20"/>
        <v>36</v>
      </c>
      <c r="L82" s="10">
        <f t="shared" si="21"/>
        <v>60</v>
      </c>
      <c r="M82" s="10">
        <v>32</v>
      </c>
      <c r="N82" s="10">
        <v>0</v>
      </c>
      <c r="O82" s="16">
        <f t="shared" si="17"/>
        <v>28</v>
      </c>
    </row>
    <row r="83" spans="1:15" x14ac:dyDescent="0.3">
      <c r="A83" s="12" t="s">
        <v>162</v>
      </c>
      <c r="B83" s="13" t="s">
        <v>163</v>
      </c>
      <c r="C83" s="14" t="s">
        <v>159</v>
      </c>
      <c r="D83" s="15">
        <v>85</v>
      </c>
      <c r="E83" s="14">
        <v>8</v>
      </c>
      <c r="F83" s="14">
        <v>1</v>
      </c>
      <c r="G83" s="14">
        <v>0.5</v>
      </c>
      <c r="H83" s="14">
        <v>1</v>
      </c>
      <c r="I83" s="14">
        <f t="shared" ref="I83:I89" si="22">MROUND(E83*G83,1)</f>
        <v>4</v>
      </c>
      <c r="J83" s="14">
        <f t="shared" ref="J83:J89" si="23">MROUND(E83*F83,1)</f>
        <v>8</v>
      </c>
      <c r="K83" s="14">
        <f t="shared" ref="K83:K89" si="24">MROUND(I83+J83,1)</f>
        <v>12</v>
      </c>
      <c r="L83" s="14">
        <f t="shared" ref="L83:L89" si="25">MROUND(E83*(F83+G83+H83),1)</f>
        <v>20</v>
      </c>
      <c r="M83" s="14">
        <v>26</v>
      </c>
      <c r="N83" s="14">
        <v>0</v>
      </c>
      <c r="O83" s="16">
        <f t="shared" si="17"/>
        <v>0</v>
      </c>
    </row>
    <row r="84" spans="1:15" x14ac:dyDescent="0.3">
      <c r="A84" s="8" t="s">
        <v>166</v>
      </c>
      <c r="B84" s="9" t="s">
        <v>167</v>
      </c>
      <c r="C84" s="10" t="s">
        <v>159</v>
      </c>
      <c r="D84" s="11">
        <v>100</v>
      </c>
      <c r="E84" s="10">
        <v>16</v>
      </c>
      <c r="F84" s="10">
        <v>1</v>
      </c>
      <c r="G84" s="10">
        <v>0.5</v>
      </c>
      <c r="H84" s="10">
        <v>1</v>
      </c>
      <c r="I84" s="10">
        <f t="shared" si="22"/>
        <v>8</v>
      </c>
      <c r="J84" s="10">
        <f t="shared" si="23"/>
        <v>16</v>
      </c>
      <c r="K84" s="10">
        <f t="shared" si="24"/>
        <v>24</v>
      </c>
      <c r="L84" s="10">
        <f t="shared" si="25"/>
        <v>40</v>
      </c>
      <c r="M84" s="10">
        <v>3</v>
      </c>
      <c r="N84" s="10">
        <v>6</v>
      </c>
      <c r="O84" s="16">
        <f t="shared" si="17"/>
        <v>31</v>
      </c>
    </row>
    <row r="85" spans="1:15" x14ac:dyDescent="0.3">
      <c r="A85" s="12" t="s">
        <v>172</v>
      </c>
      <c r="B85" s="13" t="s">
        <v>173</v>
      </c>
      <c r="C85" s="14" t="s">
        <v>159</v>
      </c>
      <c r="D85" s="15">
        <v>108</v>
      </c>
      <c r="E85" s="14">
        <v>10</v>
      </c>
      <c r="F85" s="14">
        <v>1</v>
      </c>
      <c r="G85" s="14">
        <v>0.5</v>
      </c>
      <c r="H85" s="14">
        <v>1</v>
      </c>
      <c r="I85" s="14">
        <f t="shared" si="22"/>
        <v>5</v>
      </c>
      <c r="J85" s="14">
        <f t="shared" si="23"/>
        <v>10</v>
      </c>
      <c r="K85" s="14">
        <f t="shared" si="24"/>
        <v>15</v>
      </c>
      <c r="L85" s="14">
        <f t="shared" si="25"/>
        <v>25</v>
      </c>
      <c r="M85" s="14">
        <v>2</v>
      </c>
      <c r="N85" s="14">
        <v>2</v>
      </c>
      <c r="O85" s="16">
        <f t="shared" si="17"/>
        <v>21</v>
      </c>
    </row>
    <row r="86" spans="1:15" x14ac:dyDescent="0.3">
      <c r="A86" s="8" t="s">
        <v>176</v>
      </c>
      <c r="B86" s="9" t="s">
        <v>177</v>
      </c>
      <c r="C86" s="10" t="s">
        <v>159</v>
      </c>
      <c r="D86" s="11">
        <v>114</v>
      </c>
      <c r="E86" s="10">
        <v>12</v>
      </c>
      <c r="F86" s="10">
        <v>1</v>
      </c>
      <c r="G86" s="10">
        <v>0.5</v>
      </c>
      <c r="H86" s="10">
        <v>1</v>
      </c>
      <c r="I86" s="10">
        <f t="shared" si="22"/>
        <v>6</v>
      </c>
      <c r="J86" s="10">
        <f t="shared" si="23"/>
        <v>12</v>
      </c>
      <c r="K86" s="10">
        <f t="shared" si="24"/>
        <v>18</v>
      </c>
      <c r="L86" s="10">
        <f t="shared" si="25"/>
        <v>30</v>
      </c>
      <c r="M86" s="10">
        <v>0</v>
      </c>
      <c r="N86" s="10">
        <v>8</v>
      </c>
      <c r="O86" s="16">
        <f t="shared" si="17"/>
        <v>22</v>
      </c>
    </row>
    <row r="87" spans="1:15" x14ac:dyDescent="0.3">
      <c r="A87" s="12" t="s">
        <v>180</v>
      </c>
      <c r="B87" s="13" t="s">
        <v>181</v>
      </c>
      <c r="C87" s="14" t="s">
        <v>159</v>
      </c>
      <c r="D87" s="15">
        <v>128</v>
      </c>
      <c r="E87" s="14">
        <v>6</v>
      </c>
      <c r="F87" s="14">
        <v>1</v>
      </c>
      <c r="G87" s="14">
        <v>0.5</v>
      </c>
      <c r="H87" s="14">
        <v>1</v>
      </c>
      <c r="I87" s="14">
        <f t="shared" si="22"/>
        <v>3</v>
      </c>
      <c r="J87" s="14">
        <f t="shared" si="23"/>
        <v>6</v>
      </c>
      <c r="K87" s="14">
        <f t="shared" si="24"/>
        <v>9</v>
      </c>
      <c r="L87" s="14">
        <f t="shared" si="25"/>
        <v>15</v>
      </c>
      <c r="M87" s="14">
        <v>27</v>
      </c>
      <c r="N87" s="14">
        <v>0</v>
      </c>
      <c r="O87" s="16">
        <f t="shared" si="17"/>
        <v>0</v>
      </c>
    </row>
    <row r="88" spans="1:15" x14ac:dyDescent="0.3">
      <c r="A88" s="8" t="s">
        <v>184</v>
      </c>
      <c r="B88" s="9" t="s">
        <v>185</v>
      </c>
      <c r="C88" s="10" t="s">
        <v>159</v>
      </c>
      <c r="D88" s="11">
        <v>165.5</v>
      </c>
      <c r="E88" s="10">
        <v>4</v>
      </c>
      <c r="F88" s="10">
        <v>1</v>
      </c>
      <c r="G88" s="10">
        <v>0.5</v>
      </c>
      <c r="H88" s="10">
        <v>1</v>
      </c>
      <c r="I88" s="10">
        <f t="shared" si="22"/>
        <v>2</v>
      </c>
      <c r="J88" s="10">
        <f t="shared" si="23"/>
        <v>4</v>
      </c>
      <c r="K88" s="10">
        <f t="shared" si="24"/>
        <v>6</v>
      </c>
      <c r="L88" s="10">
        <f t="shared" si="25"/>
        <v>10</v>
      </c>
      <c r="M88" s="10">
        <v>1</v>
      </c>
      <c r="N88" s="10">
        <v>0</v>
      </c>
      <c r="O88" s="16">
        <f t="shared" si="17"/>
        <v>9</v>
      </c>
    </row>
    <row r="89" spans="1:15" x14ac:dyDescent="0.3">
      <c r="A89" s="12" t="s">
        <v>188</v>
      </c>
      <c r="B89" s="13" t="s">
        <v>189</v>
      </c>
      <c r="C89" s="14" t="s">
        <v>159</v>
      </c>
      <c r="D89" s="15">
        <v>403.65000000000003</v>
      </c>
      <c r="E89" s="14">
        <v>2</v>
      </c>
      <c r="F89" s="14">
        <v>1</v>
      </c>
      <c r="G89" s="14">
        <v>0.5</v>
      </c>
      <c r="H89" s="14">
        <v>1</v>
      </c>
      <c r="I89" s="14">
        <f t="shared" si="22"/>
        <v>1</v>
      </c>
      <c r="J89" s="14">
        <f t="shared" si="23"/>
        <v>2</v>
      </c>
      <c r="K89" s="14">
        <f t="shared" si="24"/>
        <v>3</v>
      </c>
      <c r="L89" s="14">
        <f t="shared" si="25"/>
        <v>5</v>
      </c>
      <c r="M89" s="14">
        <v>0</v>
      </c>
      <c r="N89" s="14">
        <v>0</v>
      </c>
      <c r="O89" s="16">
        <f t="shared" si="17"/>
        <v>5</v>
      </c>
    </row>
    <row r="90" spans="1:15" x14ac:dyDescent="0.3">
      <c r="A90" s="8" t="s">
        <v>160</v>
      </c>
      <c r="B90" s="9" t="s">
        <v>161</v>
      </c>
      <c r="C90" s="10" t="s">
        <v>159</v>
      </c>
      <c r="D90" s="11">
        <v>80</v>
      </c>
      <c r="E90" s="10">
        <v>24</v>
      </c>
      <c r="F90" s="10">
        <v>1</v>
      </c>
      <c r="G90" s="10">
        <v>0.5</v>
      </c>
      <c r="H90" s="10">
        <v>1</v>
      </c>
      <c r="I90" s="10">
        <f t="shared" si="18"/>
        <v>12</v>
      </c>
      <c r="J90" s="10">
        <f t="shared" si="19"/>
        <v>24</v>
      </c>
      <c r="K90" s="10">
        <f t="shared" si="20"/>
        <v>36</v>
      </c>
      <c r="L90" s="10">
        <f t="shared" si="21"/>
        <v>60</v>
      </c>
      <c r="M90" s="10">
        <v>52</v>
      </c>
      <c r="N90" s="10">
        <v>0</v>
      </c>
      <c r="O90" s="16">
        <f t="shared" si="17"/>
        <v>0</v>
      </c>
    </row>
    <row r="91" spans="1:15" x14ac:dyDescent="0.3">
      <c r="A91" s="12" t="s">
        <v>164</v>
      </c>
      <c r="B91" s="13" t="s">
        <v>165</v>
      </c>
      <c r="C91" s="14" t="s">
        <v>159</v>
      </c>
      <c r="D91" s="15">
        <v>85</v>
      </c>
      <c r="E91" s="14">
        <v>8</v>
      </c>
      <c r="F91" s="14">
        <v>1</v>
      </c>
      <c r="G91" s="14">
        <v>0.5</v>
      </c>
      <c r="H91" s="14">
        <v>1</v>
      </c>
      <c r="I91" s="14">
        <f t="shared" si="18"/>
        <v>4</v>
      </c>
      <c r="J91" s="14">
        <f t="shared" si="19"/>
        <v>8</v>
      </c>
      <c r="K91" s="14">
        <f t="shared" si="20"/>
        <v>12</v>
      </c>
      <c r="L91" s="14">
        <f t="shared" si="21"/>
        <v>20</v>
      </c>
      <c r="M91" s="14">
        <v>66</v>
      </c>
      <c r="N91" s="14">
        <v>0</v>
      </c>
      <c r="O91" s="16">
        <f t="shared" si="17"/>
        <v>0</v>
      </c>
    </row>
    <row r="92" spans="1:15" x14ac:dyDescent="0.3">
      <c r="A92" s="8" t="s">
        <v>168</v>
      </c>
      <c r="B92" s="9" t="s">
        <v>169</v>
      </c>
      <c r="C92" s="10" t="s">
        <v>159</v>
      </c>
      <c r="D92" s="11">
        <v>100</v>
      </c>
      <c r="E92" s="10">
        <v>16</v>
      </c>
      <c r="F92" s="10">
        <v>1</v>
      </c>
      <c r="G92" s="10">
        <v>0.5</v>
      </c>
      <c r="H92" s="10">
        <v>1</v>
      </c>
      <c r="I92" s="10">
        <f t="shared" si="18"/>
        <v>8</v>
      </c>
      <c r="J92" s="10">
        <f t="shared" si="19"/>
        <v>16</v>
      </c>
      <c r="K92" s="10">
        <f t="shared" si="20"/>
        <v>24</v>
      </c>
      <c r="L92" s="10">
        <f t="shared" si="21"/>
        <v>40</v>
      </c>
      <c r="M92" s="10">
        <v>0</v>
      </c>
      <c r="N92" s="10">
        <v>0</v>
      </c>
      <c r="O92" s="16">
        <f t="shared" si="17"/>
        <v>40</v>
      </c>
    </row>
    <row r="93" spans="1:15" x14ac:dyDescent="0.3">
      <c r="A93" s="12" t="s">
        <v>170</v>
      </c>
      <c r="B93" s="13" t="s">
        <v>171</v>
      </c>
      <c r="C93" s="14" t="s">
        <v>159</v>
      </c>
      <c r="D93" s="15">
        <v>108</v>
      </c>
      <c r="E93" s="14">
        <v>0</v>
      </c>
      <c r="F93" s="14">
        <v>1</v>
      </c>
      <c r="G93" s="14">
        <v>0.5</v>
      </c>
      <c r="H93" s="14">
        <v>1</v>
      </c>
      <c r="I93" s="14">
        <f t="shared" si="18"/>
        <v>0</v>
      </c>
      <c r="J93" s="14">
        <f t="shared" si="19"/>
        <v>0</v>
      </c>
      <c r="K93" s="14">
        <f t="shared" si="20"/>
        <v>0</v>
      </c>
      <c r="L93" s="14">
        <f t="shared" si="21"/>
        <v>0</v>
      </c>
      <c r="M93" s="14">
        <v>0</v>
      </c>
      <c r="N93" s="14">
        <v>0</v>
      </c>
      <c r="O93" s="16">
        <f t="shared" si="17"/>
        <v>0</v>
      </c>
    </row>
    <row r="94" spans="1:15" x14ac:dyDescent="0.3">
      <c r="A94" s="8" t="s">
        <v>174</v>
      </c>
      <c r="B94" s="9" t="s">
        <v>175</v>
      </c>
      <c r="C94" s="10" t="s">
        <v>159</v>
      </c>
      <c r="D94" s="11">
        <v>108</v>
      </c>
      <c r="E94" s="10">
        <v>10</v>
      </c>
      <c r="F94" s="10">
        <v>1</v>
      </c>
      <c r="G94" s="10">
        <v>0.5</v>
      </c>
      <c r="H94" s="10">
        <v>1</v>
      </c>
      <c r="I94" s="10">
        <f t="shared" si="18"/>
        <v>5</v>
      </c>
      <c r="J94" s="10">
        <f t="shared" si="19"/>
        <v>10</v>
      </c>
      <c r="K94" s="10">
        <f t="shared" si="20"/>
        <v>15</v>
      </c>
      <c r="L94" s="10">
        <f t="shared" si="21"/>
        <v>25</v>
      </c>
      <c r="M94" s="10">
        <v>0</v>
      </c>
      <c r="N94" s="10">
        <v>0</v>
      </c>
      <c r="O94" s="16">
        <f t="shared" si="17"/>
        <v>25</v>
      </c>
    </row>
    <row r="95" spans="1:15" x14ac:dyDescent="0.3">
      <c r="A95" s="12" t="s">
        <v>178</v>
      </c>
      <c r="B95" s="13" t="s">
        <v>179</v>
      </c>
      <c r="C95" s="14" t="s">
        <v>159</v>
      </c>
      <c r="D95" s="15">
        <v>114</v>
      </c>
      <c r="E95" s="14">
        <v>12</v>
      </c>
      <c r="F95" s="14">
        <v>1</v>
      </c>
      <c r="G95" s="14">
        <v>0.5</v>
      </c>
      <c r="H95" s="14">
        <v>1</v>
      </c>
      <c r="I95" s="14">
        <f t="shared" si="18"/>
        <v>6</v>
      </c>
      <c r="J95" s="14">
        <f t="shared" si="19"/>
        <v>12</v>
      </c>
      <c r="K95" s="14">
        <f t="shared" si="20"/>
        <v>18</v>
      </c>
      <c r="L95" s="14">
        <f t="shared" si="21"/>
        <v>30</v>
      </c>
      <c r="M95" s="14">
        <v>0</v>
      </c>
      <c r="N95" s="14">
        <v>0</v>
      </c>
      <c r="O95" s="16">
        <f t="shared" si="17"/>
        <v>30</v>
      </c>
    </row>
    <row r="96" spans="1:15" x14ac:dyDescent="0.3">
      <c r="A96" s="8" t="s">
        <v>182</v>
      </c>
      <c r="B96" s="9" t="s">
        <v>183</v>
      </c>
      <c r="C96" s="10" t="s">
        <v>159</v>
      </c>
      <c r="D96" s="11">
        <v>128</v>
      </c>
      <c r="E96" s="10">
        <v>6</v>
      </c>
      <c r="F96" s="10">
        <v>1</v>
      </c>
      <c r="G96" s="10">
        <v>0.5</v>
      </c>
      <c r="H96" s="10">
        <v>1</v>
      </c>
      <c r="I96" s="10">
        <f t="shared" si="18"/>
        <v>3</v>
      </c>
      <c r="J96" s="10">
        <f t="shared" si="19"/>
        <v>6</v>
      </c>
      <c r="K96" s="10">
        <f t="shared" si="20"/>
        <v>9</v>
      </c>
      <c r="L96" s="10">
        <f t="shared" si="21"/>
        <v>15</v>
      </c>
      <c r="M96" s="10">
        <v>19</v>
      </c>
      <c r="N96" s="10">
        <v>0</v>
      </c>
      <c r="O96" s="16">
        <f t="shared" si="17"/>
        <v>0</v>
      </c>
    </row>
    <row r="97" spans="1:15" x14ac:dyDescent="0.3">
      <c r="A97" s="12" t="s">
        <v>186</v>
      </c>
      <c r="B97" s="13" t="s">
        <v>187</v>
      </c>
      <c r="C97" s="14" t="s">
        <v>159</v>
      </c>
      <c r="D97" s="15">
        <v>165.5</v>
      </c>
      <c r="E97" s="14">
        <v>4</v>
      </c>
      <c r="F97" s="14">
        <v>1</v>
      </c>
      <c r="G97" s="14">
        <v>0.5</v>
      </c>
      <c r="H97" s="14">
        <v>1</v>
      </c>
      <c r="I97" s="14">
        <f t="shared" si="18"/>
        <v>2</v>
      </c>
      <c r="J97" s="14">
        <f t="shared" si="19"/>
        <v>4</v>
      </c>
      <c r="K97" s="14">
        <f t="shared" si="20"/>
        <v>6</v>
      </c>
      <c r="L97" s="14">
        <f t="shared" si="21"/>
        <v>10</v>
      </c>
      <c r="M97" s="14">
        <v>6</v>
      </c>
      <c r="N97" s="14">
        <v>0</v>
      </c>
      <c r="O97" s="16">
        <f t="shared" si="17"/>
        <v>4</v>
      </c>
    </row>
    <row r="98" spans="1:15" x14ac:dyDescent="0.3">
      <c r="A98" s="8" t="s">
        <v>470</v>
      </c>
      <c r="B98" s="9" t="s">
        <v>471</v>
      </c>
      <c r="C98" s="10" t="s">
        <v>159</v>
      </c>
      <c r="D98" s="11">
        <v>403.65000000000003</v>
      </c>
      <c r="E98" s="10">
        <v>2</v>
      </c>
      <c r="F98" s="10">
        <v>1</v>
      </c>
      <c r="G98" s="10">
        <v>0.5</v>
      </c>
      <c r="H98" s="10">
        <v>1</v>
      </c>
      <c r="I98" s="10">
        <f t="shared" si="18"/>
        <v>1</v>
      </c>
      <c r="J98" s="10">
        <f t="shared" si="19"/>
        <v>2</v>
      </c>
      <c r="K98" s="10">
        <f t="shared" si="20"/>
        <v>3</v>
      </c>
      <c r="L98" s="10">
        <f t="shared" si="21"/>
        <v>5</v>
      </c>
      <c r="M98" s="10">
        <v>0</v>
      </c>
      <c r="N98" s="10">
        <v>0</v>
      </c>
      <c r="O98" s="16">
        <f t="shared" si="17"/>
        <v>5</v>
      </c>
    </row>
    <row r="99" spans="1:15" x14ac:dyDescent="0.3">
      <c r="A99" s="12" t="s">
        <v>190</v>
      </c>
      <c r="B99" s="13" t="s">
        <v>191</v>
      </c>
      <c r="C99" s="14" t="s">
        <v>192</v>
      </c>
      <c r="D99" s="15">
        <v>44.29</v>
      </c>
      <c r="E99" s="14">
        <v>75</v>
      </c>
      <c r="F99" s="14">
        <v>1</v>
      </c>
      <c r="G99" s="14">
        <v>0.5</v>
      </c>
      <c r="H99" s="14">
        <v>1</v>
      </c>
      <c r="I99" s="14">
        <f t="shared" si="18"/>
        <v>38</v>
      </c>
      <c r="J99" s="14">
        <f t="shared" si="19"/>
        <v>75</v>
      </c>
      <c r="K99" s="14">
        <f t="shared" si="20"/>
        <v>113</v>
      </c>
      <c r="L99" s="14">
        <f t="shared" si="21"/>
        <v>188</v>
      </c>
      <c r="M99" s="14">
        <v>52</v>
      </c>
      <c r="N99" s="14">
        <v>0</v>
      </c>
      <c r="O99" s="16">
        <f t="shared" si="17"/>
        <v>136</v>
      </c>
    </row>
    <row r="100" spans="1:15" x14ac:dyDescent="0.3">
      <c r="A100" s="8" t="s">
        <v>193</v>
      </c>
      <c r="B100" s="9" t="s">
        <v>194</v>
      </c>
      <c r="C100" s="10" t="s">
        <v>192</v>
      </c>
      <c r="D100" s="11">
        <v>58.37</v>
      </c>
      <c r="E100" s="10">
        <v>65</v>
      </c>
      <c r="F100" s="10">
        <v>1</v>
      </c>
      <c r="G100" s="10">
        <v>0.5</v>
      </c>
      <c r="H100" s="10">
        <v>1</v>
      </c>
      <c r="I100" s="10">
        <f t="shared" si="18"/>
        <v>33</v>
      </c>
      <c r="J100" s="10">
        <f t="shared" si="19"/>
        <v>65</v>
      </c>
      <c r="K100" s="10">
        <f t="shared" si="20"/>
        <v>98</v>
      </c>
      <c r="L100" s="10">
        <f t="shared" si="21"/>
        <v>163</v>
      </c>
      <c r="M100" s="10">
        <v>15</v>
      </c>
      <c r="N100" s="10">
        <v>0</v>
      </c>
      <c r="O100" s="16">
        <f t="shared" si="17"/>
        <v>148</v>
      </c>
    </row>
    <row r="101" spans="1:15" ht="28.8" x14ac:dyDescent="0.3">
      <c r="A101" s="12" t="s">
        <v>195</v>
      </c>
      <c r="B101" s="13" t="s">
        <v>196</v>
      </c>
      <c r="C101" s="14" t="s">
        <v>197</v>
      </c>
      <c r="D101" s="15">
        <v>235</v>
      </c>
      <c r="E101" s="14">
        <v>20</v>
      </c>
      <c r="F101" s="14">
        <v>1</v>
      </c>
      <c r="G101" s="14">
        <v>0.5</v>
      </c>
      <c r="H101" s="14">
        <v>1</v>
      </c>
      <c r="I101" s="14">
        <f t="shared" si="18"/>
        <v>10</v>
      </c>
      <c r="J101" s="14">
        <f t="shared" si="19"/>
        <v>20</v>
      </c>
      <c r="K101" s="14">
        <f t="shared" si="20"/>
        <v>30</v>
      </c>
      <c r="L101" s="14">
        <f t="shared" si="21"/>
        <v>50</v>
      </c>
      <c r="M101" s="14">
        <v>35</v>
      </c>
      <c r="N101" s="14">
        <v>0</v>
      </c>
      <c r="O101" s="16">
        <f t="shared" si="17"/>
        <v>0</v>
      </c>
    </row>
    <row r="102" spans="1:15" x14ac:dyDescent="0.3">
      <c r="A102" s="8" t="s">
        <v>198</v>
      </c>
      <c r="B102" s="9" t="s">
        <v>199</v>
      </c>
      <c r="C102" s="10" t="s">
        <v>197</v>
      </c>
      <c r="D102" s="11">
        <v>270</v>
      </c>
      <c r="E102" s="10">
        <v>10</v>
      </c>
      <c r="F102" s="10">
        <v>1</v>
      </c>
      <c r="G102" s="10">
        <v>0.5</v>
      </c>
      <c r="H102" s="10">
        <v>1</v>
      </c>
      <c r="I102" s="10">
        <f t="shared" si="18"/>
        <v>5</v>
      </c>
      <c r="J102" s="10">
        <f t="shared" si="19"/>
        <v>10</v>
      </c>
      <c r="K102" s="10">
        <f t="shared" si="20"/>
        <v>15</v>
      </c>
      <c r="L102" s="10">
        <f t="shared" si="21"/>
        <v>25</v>
      </c>
      <c r="M102" s="10">
        <v>9</v>
      </c>
      <c r="N102" s="10">
        <v>0</v>
      </c>
      <c r="O102" s="16">
        <f t="shared" si="17"/>
        <v>16</v>
      </c>
    </row>
    <row r="103" spans="1:15" x14ac:dyDescent="0.3">
      <c r="A103" s="12" t="s">
        <v>200</v>
      </c>
      <c r="B103" s="13" t="s">
        <v>201</v>
      </c>
      <c r="C103" s="14" t="s">
        <v>197</v>
      </c>
      <c r="D103" s="15">
        <v>270</v>
      </c>
      <c r="E103" s="14">
        <v>6</v>
      </c>
      <c r="F103" s="14">
        <v>1</v>
      </c>
      <c r="G103" s="14">
        <v>0.5</v>
      </c>
      <c r="H103" s="14">
        <v>1</v>
      </c>
      <c r="I103" s="14">
        <f t="shared" si="18"/>
        <v>3</v>
      </c>
      <c r="J103" s="14">
        <f t="shared" si="19"/>
        <v>6</v>
      </c>
      <c r="K103" s="14">
        <f t="shared" si="20"/>
        <v>9</v>
      </c>
      <c r="L103" s="14">
        <f t="shared" si="21"/>
        <v>15</v>
      </c>
      <c r="M103" s="14">
        <v>5</v>
      </c>
      <c r="N103" s="14">
        <v>0</v>
      </c>
      <c r="O103" s="16">
        <f t="shared" si="17"/>
        <v>10</v>
      </c>
    </row>
    <row r="104" spans="1:15" x14ac:dyDescent="0.3">
      <c r="A104" s="8" t="s">
        <v>202</v>
      </c>
      <c r="B104" s="9" t="s">
        <v>203</v>
      </c>
      <c r="C104" s="10" t="s">
        <v>197</v>
      </c>
      <c r="D104" s="11">
        <v>270</v>
      </c>
      <c r="E104" s="10">
        <v>6</v>
      </c>
      <c r="F104" s="10">
        <v>1</v>
      </c>
      <c r="G104" s="10">
        <v>0.5</v>
      </c>
      <c r="H104" s="10">
        <v>1</v>
      </c>
      <c r="I104" s="10">
        <f t="shared" si="18"/>
        <v>3</v>
      </c>
      <c r="J104" s="10">
        <f t="shared" si="19"/>
        <v>6</v>
      </c>
      <c r="K104" s="10">
        <f t="shared" si="20"/>
        <v>9</v>
      </c>
      <c r="L104" s="10">
        <f t="shared" si="21"/>
        <v>15</v>
      </c>
      <c r="M104" s="10">
        <v>1</v>
      </c>
      <c r="N104" s="10">
        <v>0</v>
      </c>
      <c r="O104" s="16">
        <f t="shared" si="17"/>
        <v>14</v>
      </c>
    </row>
    <row r="105" spans="1:15" x14ac:dyDescent="0.3">
      <c r="A105" s="12" t="s">
        <v>204</v>
      </c>
      <c r="B105" s="13" t="s">
        <v>205</v>
      </c>
      <c r="C105" s="14" t="s">
        <v>197</v>
      </c>
      <c r="D105" s="15">
        <v>270</v>
      </c>
      <c r="E105" s="14">
        <v>6</v>
      </c>
      <c r="F105" s="14">
        <v>1</v>
      </c>
      <c r="G105" s="14">
        <v>0.5</v>
      </c>
      <c r="H105" s="14">
        <v>1</v>
      </c>
      <c r="I105" s="14">
        <f t="shared" si="18"/>
        <v>3</v>
      </c>
      <c r="J105" s="14">
        <f t="shared" si="19"/>
        <v>6</v>
      </c>
      <c r="K105" s="14">
        <f t="shared" si="20"/>
        <v>9</v>
      </c>
      <c r="L105" s="14">
        <f t="shared" si="21"/>
        <v>15</v>
      </c>
      <c r="M105" s="14">
        <v>12</v>
      </c>
      <c r="N105" s="14">
        <v>0</v>
      </c>
      <c r="O105" s="16">
        <f t="shared" si="17"/>
        <v>0</v>
      </c>
    </row>
    <row r="106" spans="1:15" x14ac:dyDescent="0.3">
      <c r="A106" s="8" t="s">
        <v>206</v>
      </c>
      <c r="B106" s="9" t="s">
        <v>207</v>
      </c>
      <c r="C106" s="10" t="s">
        <v>197</v>
      </c>
      <c r="D106" s="11">
        <v>297</v>
      </c>
      <c r="E106" s="10">
        <v>4</v>
      </c>
      <c r="F106" s="10">
        <v>1</v>
      </c>
      <c r="G106" s="10">
        <v>0.5</v>
      </c>
      <c r="H106" s="10">
        <v>1</v>
      </c>
      <c r="I106" s="10">
        <f t="shared" si="18"/>
        <v>2</v>
      </c>
      <c r="J106" s="10">
        <f t="shared" si="19"/>
        <v>4</v>
      </c>
      <c r="K106" s="10">
        <f t="shared" si="20"/>
        <v>6</v>
      </c>
      <c r="L106" s="10">
        <f t="shared" si="21"/>
        <v>10</v>
      </c>
      <c r="M106" s="10">
        <v>30</v>
      </c>
      <c r="N106" s="10">
        <v>0</v>
      </c>
      <c r="O106" s="16">
        <f t="shared" si="17"/>
        <v>0</v>
      </c>
    </row>
    <row r="107" spans="1:15" x14ac:dyDescent="0.3">
      <c r="A107" s="12" t="s">
        <v>208</v>
      </c>
      <c r="B107" s="13" t="s">
        <v>209</v>
      </c>
      <c r="C107" s="14" t="s">
        <v>197</v>
      </c>
      <c r="D107" s="15">
        <v>384</v>
      </c>
      <c r="E107" s="14">
        <v>0.2</v>
      </c>
      <c r="F107" s="14">
        <v>1</v>
      </c>
      <c r="G107" s="14">
        <v>0.5</v>
      </c>
      <c r="H107" s="14">
        <v>1</v>
      </c>
      <c r="I107" s="14">
        <f t="shared" si="18"/>
        <v>0</v>
      </c>
      <c r="J107" s="14">
        <f t="shared" si="19"/>
        <v>0</v>
      </c>
      <c r="K107" s="14">
        <f t="shared" si="20"/>
        <v>0</v>
      </c>
      <c r="L107" s="14">
        <f t="shared" si="21"/>
        <v>1</v>
      </c>
      <c r="M107" s="14">
        <v>0</v>
      </c>
      <c r="N107" s="14">
        <v>0</v>
      </c>
      <c r="O107" s="16">
        <f t="shared" si="17"/>
        <v>1</v>
      </c>
    </row>
    <row r="108" spans="1:15" x14ac:dyDescent="0.3">
      <c r="A108" s="8" t="s">
        <v>210</v>
      </c>
      <c r="B108" s="9" t="s">
        <v>211</v>
      </c>
      <c r="C108" s="10" t="s">
        <v>197</v>
      </c>
      <c r="D108" s="11">
        <v>384</v>
      </c>
      <c r="E108" s="10">
        <v>2</v>
      </c>
      <c r="F108" s="10">
        <v>1</v>
      </c>
      <c r="G108" s="10">
        <v>0.5</v>
      </c>
      <c r="H108" s="10">
        <v>1</v>
      </c>
      <c r="I108" s="10">
        <f t="shared" si="18"/>
        <v>1</v>
      </c>
      <c r="J108" s="10">
        <f t="shared" si="19"/>
        <v>2</v>
      </c>
      <c r="K108" s="10">
        <f t="shared" si="20"/>
        <v>3</v>
      </c>
      <c r="L108" s="10">
        <f t="shared" si="21"/>
        <v>5</v>
      </c>
      <c r="M108" s="10">
        <v>15</v>
      </c>
      <c r="N108" s="10">
        <v>0</v>
      </c>
      <c r="O108" s="16">
        <f t="shared" si="17"/>
        <v>0</v>
      </c>
    </row>
    <row r="109" spans="1:15" x14ac:dyDescent="0.3">
      <c r="A109" s="12" t="s">
        <v>212</v>
      </c>
      <c r="B109" s="13" t="s">
        <v>213</v>
      </c>
      <c r="C109" s="14" t="s">
        <v>197</v>
      </c>
      <c r="D109" s="15">
        <v>384</v>
      </c>
      <c r="E109" s="14">
        <v>1</v>
      </c>
      <c r="F109" s="14">
        <v>1</v>
      </c>
      <c r="G109" s="14">
        <v>0.5</v>
      </c>
      <c r="H109" s="14">
        <v>1</v>
      </c>
      <c r="I109" s="14">
        <f t="shared" si="18"/>
        <v>1</v>
      </c>
      <c r="J109" s="14">
        <f t="shared" si="19"/>
        <v>1</v>
      </c>
      <c r="K109" s="14">
        <f t="shared" si="20"/>
        <v>2</v>
      </c>
      <c r="L109" s="14">
        <f t="shared" si="21"/>
        <v>3</v>
      </c>
      <c r="M109" s="14">
        <v>0</v>
      </c>
      <c r="N109" s="14">
        <v>0</v>
      </c>
      <c r="O109" s="16">
        <f t="shared" si="17"/>
        <v>3</v>
      </c>
    </row>
    <row r="110" spans="1:15" x14ac:dyDescent="0.3">
      <c r="A110" s="8" t="s">
        <v>214</v>
      </c>
      <c r="B110" s="9" t="s">
        <v>215</v>
      </c>
      <c r="C110" s="10" t="s">
        <v>197</v>
      </c>
      <c r="D110" s="11">
        <v>384</v>
      </c>
      <c r="E110" s="10">
        <v>0.3</v>
      </c>
      <c r="F110" s="10">
        <v>1</v>
      </c>
      <c r="G110" s="10">
        <v>0.5</v>
      </c>
      <c r="H110" s="10">
        <v>1</v>
      </c>
      <c r="I110" s="10">
        <f t="shared" si="18"/>
        <v>0</v>
      </c>
      <c r="J110" s="10">
        <f t="shared" si="19"/>
        <v>0</v>
      </c>
      <c r="K110" s="10">
        <f t="shared" si="20"/>
        <v>0</v>
      </c>
      <c r="L110" s="10">
        <f t="shared" si="21"/>
        <v>1</v>
      </c>
      <c r="M110" s="10">
        <v>3</v>
      </c>
      <c r="N110" s="10">
        <v>0</v>
      </c>
      <c r="O110" s="16">
        <f t="shared" si="17"/>
        <v>0</v>
      </c>
    </row>
    <row r="111" spans="1:15" x14ac:dyDescent="0.3">
      <c r="A111" s="12" t="s">
        <v>216</v>
      </c>
      <c r="B111" s="13" t="s">
        <v>217</v>
      </c>
      <c r="C111" s="14" t="s">
        <v>197</v>
      </c>
      <c r="D111" s="15">
        <v>384</v>
      </c>
      <c r="E111" s="14">
        <v>0.3</v>
      </c>
      <c r="F111" s="14">
        <v>1</v>
      </c>
      <c r="G111" s="14">
        <v>0.5</v>
      </c>
      <c r="H111" s="14">
        <v>1</v>
      </c>
      <c r="I111" s="14">
        <f t="shared" si="18"/>
        <v>0</v>
      </c>
      <c r="J111" s="14">
        <f t="shared" si="19"/>
        <v>0</v>
      </c>
      <c r="K111" s="14">
        <f t="shared" si="20"/>
        <v>0</v>
      </c>
      <c r="L111" s="14">
        <f t="shared" si="21"/>
        <v>1</v>
      </c>
      <c r="M111" s="14">
        <v>6</v>
      </c>
      <c r="N111" s="14">
        <v>0</v>
      </c>
      <c r="O111" s="16">
        <f t="shared" si="17"/>
        <v>0</v>
      </c>
    </row>
    <row r="112" spans="1:15" x14ac:dyDescent="0.3">
      <c r="A112" s="8" t="s">
        <v>218</v>
      </c>
      <c r="B112" s="9" t="s">
        <v>219</v>
      </c>
      <c r="C112" s="10" t="s">
        <v>197</v>
      </c>
      <c r="D112" s="11">
        <v>85</v>
      </c>
      <c r="E112" s="10">
        <v>90</v>
      </c>
      <c r="F112" s="10">
        <v>1</v>
      </c>
      <c r="G112" s="10">
        <v>0.5</v>
      </c>
      <c r="H112" s="10">
        <v>1</v>
      </c>
      <c r="I112" s="10">
        <f t="shared" si="18"/>
        <v>45</v>
      </c>
      <c r="J112" s="10">
        <f t="shared" si="19"/>
        <v>90</v>
      </c>
      <c r="K112" s="10">
        <f t="shared" si="20"/>
        <v>135</v>
      </c>
      <c r="L112" s="10">
        <f t="shared" si="21"/>
        <v>225</v>
      </c>
      <c r="M112" s="10">
        <v>122</v>
      </c>
      <c r="N112" s="10">
        <v>0</v>
      </c>
      <c r="O112" s="16">
        <f t="shared" si="17"/>
        <v>103</v>
      </c>
    </row>
    <row r="113" spans="1:15" x14ac:dyDescent="0.3">
      <c r="A113" s="12" t="s">
        <v>220</v>
      </c>
      <c r="B113" s="13" t="s">
        <v>221</v>
      </c>
      <c r="C113" s="14" t="s">
        <v>197</v>
      </c>
      <c r="D113" s="15">
        <v>11</v>
      </c>
      <c r="E113" s="14">
        <v>16</v>
      </c>
      <c r="F113" s="14">
        <v>1</v>
      </c>
      <c r="G113" s="14">
        <v>0.5</v>
      </c>
      <c r="H113" s="14">
        <v>1</v>
      </c>
      <c r="I113" s="14">
        <f t="shared" si="18"/>
        <v>8</v>
      </c>
      <c r="J113" s="14">
        <f t="shared" si="19"/>
        <v>16</v>
      </c>
      <c r="K113" s="14">
        <f t="shared" si="20"/>
        <v>24</v>
      </c>
      <c r="L113" s="14">
        <f t="shared" si="21"/>
        <v>40</v>
      </c>
      <c r="M113" s="14">
        <v>62</v>
      </c>
      <c r="N113" s="14">
        <v>0</v>
      </c>
      <c r="O113" s="16">
        <f t="shared" si="17"/>
        <v>0</v>
      </c>
    </row>
    <row r="114" spans="1:15" x14ac:dyDescent="0.3">
      <c r="A114" s="20" t="s">
        <v>222</v>
      </c>
      <c r="B114" s="9" t="s">
        <v>223</v>
      </c>
      <c r="C114" s="10" t="s">
        <v>197</v>
      </c>
      <c r="D114" s="11">
        <v>4.5999999999999996</v>
      </c>
      <c r="E114" s="10">
        <v>30</v>
      </c>
      <c r="F114" s="10">
        <v>1</v>
      </c>
      <c r="G114" s="10">
        <v>0.5</v>
      </c>
      <c r="H114" s="10">
        <v>1</v>
      </c>
      <c r="I114" s="10">
        <f t="shared" si="18"/>
        <v>15</v>
      </c>
      <c r="J114" s="10">
        <f t="shared" si="19"/>
        <v>30</v>
      </c>
      <c r="K114" s="10">
        <f t="shared" si="20"/>
        <v>45</v>
      </c>
      <c r="L114" s="10">
        <f t="shared" si="21"/>
        <v>75</v>
      </c>
      <c r="M114" s="10">
        <v>54</v>
      </c>
      <c r="N114" s="10">
        <v>0</v>
      </c>
      <c r="O114" s="16">
        <f t="shared" si="17"/>
        <v>0</v>
      </c>
    </row>
    <row r="115" spans="1:15" x14ac:dyDescent="0.3">
      <c r="A115" s="21" t="s">
        <v>224</v>
      </c>
      <c r="B115" s="13" t="s">
        <v>225</v>
      </c>
      <c r="C115" s="14" t="s">
        <v>197</v>
      </c>
      <c r="D115" s="15">
        <v>4.8499999999999996</v>
      </c>
      <c r="E115" s="14">
        <v>20</v>
      </c>
      <c r="F115" s="14">
        <v>1</v>
      </c>
      <c r="G115" s="14">
        <v>0.5</v>
      </c>
      <c r="H115" s="14">
        <v>1</v>
      </c>
      <c r="I115" s="14">
        <f t="shared" si="18"/>
        <v>10</v>
      </c>
      <c r="J115" s="14">
        <f t="shared" si="19"/>
        <v>20</v>
      </c>
      <c r="K115" s="14">
        <f t="shared" si="20"/>
        <v>30</v>
      </c>
      <c r="L115" s="14">
        <f t="shared" si="21"/>
        <v>50</v>
      </c>
      <c r="M115" s="14">
        <v>92</v>
      </c>
      <c r="N115" s="14">
        <v>0</v>
      </c>
      <c r="O115" s="16">
        <f t="shared" si="17"/>
        <v>0</v>
      </c>
    </row>
    <row r="116" spans="1:15" x14ac:dyDescent="0.3">
      <c r="A116" s="8" t="s">
        <v>226</v>
      </c>
      <c r="B116" s="9" t="s">
        <v>227</v>
      </c>
      <c r="C116" s="10" t="s">
        <v>197</v>
      </c>
      <c r="D116" s="11">
        <v>42</v>
      </c>
      <c r="E116" s="10">
        <v>60</v>
      </c>
      <c r="F116" s="10">
        <v>1</v>
      </c>
      <c r="G116" s="10">
        <v>0.5</v>
      </c>
      <c r="H116" s="10">
        <v>1</v>
      </c>
      <c r="I116" s="10">
        <f t="shared" si="18"/>
        <v>30</v>
      </c>
      <c r="J116" s="10">
        <f t="shared" si="19"/>
        <v>60</v>
      </c>
      <c r="K116" s="10">
        <f t="shared" si="20"/>
        <v>90</v>
      </c>
      <c r="L116" s="10">
        <f t="shared" si="21"/>
        <v>150</v>
      </c>
      <c r="M116" s="10">
        <v>100</v>
      </c>
      <c r="N116" s="10">
        <v>0</v>
      </c>
      <c r="O116" s="16">
        <f t="shared" si="17"/>
        <v>0</v>
      </c>
    </row>
    <row r="117" spans="1:15" x14ac:dyDescent="0.3">
      <c r="A117" s="12" t="s">
        <v>228</v>
      </c>
      <c r="B117" s="13" t="s">
        <v>229</v>
      </c>
      <c r="C117" s="14" t="s">
        <v>197</v>
      </c>
      <c r="D117" s="15">
        <v>11</v>
      </c>
      <c r="E117" s="14">
        <v>16</v>
      </c>
      <c r="F117" s="14">
        <v>1</v>
      </c>
      <c r="G117" s="14">
        <v>0.5</v>
      </c>
      <c r="H117" s="14">
        <v>1</v>
      </c>
      <c r="I117" s="14">
        <f t="shared" si="18"/>
        <v>8</v>
      </c>
      <c r="J117" s="14">
        <f t="shared" si="19"/>
        <v>16</v>
      </c>
      <c r="K117" s="14">
        <f t="shared" si="20"/>
        <v>24</v>
      </c>
      <c r="L117" s="14">
        <f t="shared" si="21"/>
        <v>40</v>
      </c>
      <c r="M117" s="14">
        <v>83</v>
      </c>
      <c r="N117" s="14">
        <v>0</v>
      </c>
      <c r="O117" s="16">
        <f t="shared" si="17"/>
        <v>0</v>
      </c>
    </row>
    <row r="118" spans="1:15" x14ac:dyDescent="0.3">
      <c r="A118" s="8" t="s">
        <v>235</v>
      </c>
      <c r="B118" s="9" t="s">
        <v>236</v>
      </c>
      <c r="C118" s="10" t="s">
        <v>232</v>
      </c>
      <c r="D118" s="11">
        <v>141.608115942029</v>
      </c>
      <c r="E118" s="10">
        <v>3</v>
      </c>
      <c r="F118" s="10">
        <v>1</v>
      </c>
      <c r="G118" s="10">
        <v>0.5</v>
      </c>
      <c r="H118" s="10">
        <v>1</v>
      </c>
      <c r="I118" s="10">
        <f t="shared" ref="I118:I136" si="26">MROUND(E118*G118,1)</f>
        <v>2</v>
      </c>
      <c r="J118" s="10">
        <f t="shared" ref="J118:J136" si="27">MROUND(E118*F118,1)</f>
        <v>3</v>
      </c>
      <c r="K118" s="10">
        <f t="shared" ref="K118:K136" si="28">MROUND(I118+J118,1)</f>
        <v>5</v>
      </c>
      <c r="L118" s="10">
        <f t="shared" ref="L118:L136" si="29">MROUND(E118*(F118+G118+H118),1)</f>
        <v>8</v>
      </c>
      <c r="M118" s="10">
        <v>12</v>
      </c>
      <c r="N118" s="10">
        <v>37</v>
      </c>
      <c r="O118" s="16">
        <f t="shared" si="17"/>
        <v>0</v>
      </c>
    </row>
    <row r="119" spans="1:15" x14ac:dyDescent="0.3">
      <c r="A119" s="12" t="s">
        <v>239</v>
      </c>
      <c r="B119" s="13" t="s">
        <v>240</v>
      </c>
      <c r="C119" s="14" t="s">
        <v>232</v>
      </c>
      <c r="D119" s="15">
        <v>144.44811594202901</v>
      </c>
      <c r="E119" s="14">
        <v>3</v>
      </c>
      <c r="F119" s="14">
        <v>1</v>
      </c>
      <c r="G119" s="14">
        <v>0.5</v>
      </c>
      <c r="H119" s="14">
        <v>1</v>
      </c>
      <c r="I119" s="14">
        <f t="shared" si="26"/>
        <v>2</v>
      </c>
      <c r="J119" s="14">
        <f t="shared" si="27"/>
        <v>3</v>
      </c>
      <c r="K119" s="14">
        <f t="shared" si="28"/>
        <v>5</v>
      </c>
      <c r="L119" s="14">
        <f t="shared" si="29"/>
        <v>8</v>
      </c>
      <c r="M119" s="14">
        <v>6</v>
      </c>
      <c r="N119" s="14">
        <v>36</v>
      </c>
      <c r="O119" s="16">
        <f t="shared" si="17"/>
        <v>0</v>
      </c>
    </row>
    <row r="120" spans="1:15" x14ac:dyDescent="0.3">
      <c r="A120" s="8" t="s">
        <v>243</v>
      </c>
      <c r="B120" s="9" t="s">
        <v>244</v>
      </c>
      <c r="C120" s="10" t="s">
        <v>232</v>
      </c>
      <c r="D120" s="11">
        <v>159.84811594202901</v>
      </c>
      <c r="E120" s="10">
        <v>2</v>
      </c>
      <c r="F120" s="10">
        <v>1</v>
      </c>
      <c r="G120" s="10">
        <v>0.5</v>
      </c>
      <c r="H120" s="10">
        <v>1</v>
      </c>
      <c r="I120" s="10">
        <f t="shared" si="26"/>
        <v>1</v>
      </c>
      <c r="J120" s="10">
        <f t="shared" si="27"/>
        <v>2</v>
      </c>
      <c r="K120" s="10">
        <f t="shared" si="28"/>
        <v>3</v>
      </c>
      <c r="L120" s="10">
        <f t="shared" si="29"/>
        <v>5</v>
      </c>
      <c r="M120" s="10">
        <v>5</v>
      </c>
      <c r="N120" s="10">
        <v>40</v>
      </c>
      <c r="O120" s="16">
        <f t="shared" si="17"/>
        <v>0</v>
      </c>
    </row>
    <row r="121" spans="1:15" x14ac:dyDescent="0.3">
      <c r="A121" s="12" t="s">
        <v>247</v>
      </c>
      <c r="B121" s="13" t="s">
        <v>248</v>
      </c>
      <c r="C121" s="14" t="s">
        <v>232</v>
      </c>
      <c r="D121" s="15">
        <v>169.40811594202899</v>
      </c>
      <c r="E121" s="14">
        <f>40*0.05</f>
        <v>2</v>
      </c>
      <c r="F121" s="14">
        <v>1</v>
      </c>
      <c r="G121" s="14">
        <v>0.5</v>
      </c>
      <c r="H121" s="14">
        <v>1</v>
      </c>
      <c r="I121" s="14">
        <f t="shared" si="26"/>
        <v>1</v>
      </c>
      <c r="J121" s="14">
        <f t="shared" si="27"/>
        <v>2</v>
      </c>
      <c r="K121" s="14">
        <f t="shared" si="28"/>
        <v>3</v>
      </c>
      <c r="L121" s="14">
        <f t="shared" si="29"/>
        <v>5</v>
      </c>
      <c r="M121" s="14">
        <v>17</v>
      </c>
      <c r="N121" s="14">
        <v>32</v>
      </c>
      <c r="O121" s="16">
        <f t="shared" si="17"/>
        <v>0</v>
      </c>
    </row>
    <row r="122" spans="1:15" x14ac:dyDescent="0.3">
      <c r="A122" s="8" t="s">
        <v>251</v>
      </c>
      <c r="B122" s="9" t="s">
        <v>252</v>
      </c>
      <c r="C122" s="10" t="s">
        <v>232</v>
      </c>
      <c r="D122" s="11">
        <v>181.12811594202901</v>
      </c>
      <c r="E122" s="10">
        <v>2</v>
      </c>
      <c r="F122" s="10">
        <v>1</v>
      </c>
      <c r="G122" s="10">
        <v>0.5</v>
      </c>
      <c r="H122" s="10">
        <v>1</v>
      </c>
      <c r="I122" s="10">
        <f t="shared" si="26"/>
        <v>1</v>
      </c>
      <c r="J122" s="10">
        <f t="shared" si="27"/>
        <v>2</v>
      </c>
      <c r="K122" s="10">
        <f t="shared" si="28"/>
        <v>3</v>
      </c>
      <c r="L122" s="10">
        <f t="shared" si="29"/>
        <v>5</v>
      </c>
      <c r="M122" s="10">
        <v>42</v>
      </c>
      <c r="N122" s="10">
        <v>24</v>
      </c>
      <c r="O122" s="16">
        <f t="shared" si="17"/>
        <v>0</v>
      </c>
    </row>
    <row r="123" spans="1:15" x14ac:dyDescent="0.3">
      <c r="A123" s="12" t="s">
        <v>255</v>
      </c>
      <c r="B123" s="13" t="s">
        <v>256</v>
      </c>
      <c r="C123" s="14" t="s">
        <v>232</v>
      </c>
      <c r="D123" s="15">
        <v>212.608115942029</v>
      </c>
      <c r="E123" s="14">
        <v>2</v>
      </c>
      <c r="F123" s="14">
        <v>1</v>
      </c>
      <c r="G123" s="14">
        <v>0.5</v>
      </c>
      <c r="H123" s="14">
        <v>1</v>
      </c>
      <c r="I123" s="14">
        <f t="shared" si="26"/>
        <v>1</v>
      </c>
      <c r="J123" s="14">
        <f t="shared" si="27"/>
        <v>2</v>
      </c>
      <c r="K123" s="14">
        <f t="shared" si="28"/>
        <v>3</v>
      </c>
      <c r="L123" s="14">
        <f t="shared" si="29"/>
        <v>5</v>
      </c>
      <c r="M123" s="14">
        <v>46</v>
      </c>
      <c r="N123" s="14">
        <v>29</v>
      </c>
      <c r="O123" s="16">
        <f t="shared" si="17"/>
        <v>0</v>
      </c>
    </row>
    <row r="124" spans="1:15" x14ac:dyDescent="0.3">
      <c r="A124" s="8" t="s">
        <v>259</v>
      </c>
      <c r="B124" s="9" t="s">
        <v>260</v>
      </c>
      <c r="C124" s="10" t="s">
        <v>232</v>
      </c>
      <c r="D124" s="11">
        <v>228.84811594202901</v>
      </c>
      <c r="E124" s="10">
        <v>1</v>
      </c>
      <c r="F124" s="10">
        <v>1</v>
      </c>
      <c r="G124" s="10">
        <v>0.5</v>
      </c>
      <c r="H124" s="10">
        <v>1</v>
      </c>
      <c r="I124" s="10">
        <f t="shared" si="26"/>
        <v>1</v>
      </c>
      <c r="J124" s="10">
        <f t="shared" si="27"/>
        <v>1</v>
      </c>
      <c r="K124" s="10">
        <f t="shared" si="28"/>
        <v>2</v>
      </c>
      <c r="L124" s="10">
        <f t="shared" si="29"/>
        <v>3</v>
      </c>
      <c r="M124" s="10">
        <v>36</v>
      </c>
      <c r="N124" s="10">
        <v>25</v>
      </c>
      <c r="O124" s="16">
        <f t="shared" si="17"/>
        <v>0</v>
      </c>
    </row>
    <row r="125" spans="1:15" x14ac:dyDescent="0.3">
      <c r="A125" s="12" t="s">
        <v>263</v>
      </c>
      <c r="B125" s="13" t="s">
        <v>264</v>
      </c>
      <c r="C125" s="14" t="s">
        <v>232</v>
      </c>
      <c r="D125" s="15">
        <v>247.00811594202901</v>
      </c>
      <c r="E125" s="14">
        <v>1</v>
      </c>
      <c r="F125" s="14">
        <v>1</v>
      </c>
      <c r="G125" s="14">
        <v>0.5</v>
      </c>
      <c r="H125" s="14">
        <v>1</v>
      </c>
      <c r="I125" s="14">
        <f t="shared" si="26"/>
        <v>1</v>
      </c>
      <c r="J125" s="14">
        <f t="shared" si="27"/>
        <v>1</v>
      </c>
      <c r="K125" s="14">
        <f t="shared" si="28"/>
        <v>2</v>
      </c>
      <c r="L125" s="14">
        <f t="shared" si="29"/>
        <v>3</v>
      </c>
      <c r="M125" s="14">
        <v>2</v>
      </c>
      <c r="N125" s="14">
        <v>0</v>
      </c>
      <c r="O125" s="16">
        <f t="shared" si="17"/>
        <v>1</v>
      </c>
    </row>
    <row r="126" spans="1:15" x14ac:dyDescent="0.3">
      <c r="A126" s="8" t="s">
        <v>230</v>
      </c>
      <c r="B126" s="9" t="s">
        <v>231</v>
      </c>
      <c r="C126" s="10" t="s">
        <v>232</v>
      </c>
      <c r="D126" s="11">
        <v>264.68811594202896</v>
      </c>
      <c r="E126" s="10">
        <v>1</v>
      </c>
      <c r="F126" s="10">
        <v>1</v>
      </c>
      <c r="G126" s="10">
        <v>0.5</v>
      </c>
      <c r="H126" s="10">
        <v>1</v>
      </c>
      <c r="I126" s="10">
        <f t="shared" si="26"/>
        <v>1</v>
      </c>
      <c r="J126" s="10">
        <f t="shared" si="27"/>
        <v>1</v>
      </c>
      <c r="K126" s="10">
        <f t="shared" si="28"/>
        <v>2</v>
      </c>
      <c r="L126" s="10">
        <f t="shared" si="29"/>
        <v>3</v>
      </c>
      <c r="M126" s="10">
        <v>3</v>
      </c>
      <c r="N126" s="10">
        <v>0</v>
      </c>
      <c r="O126" s="16">
        <f t="shared" si="17"/>
        <v>0</v>
      </c>
    </row>
    <row r="127" spans="1:15" x14ac:dyDescent="0.3">
      <c r="A127" s="12" t="s">
        <v>472</v>
      </c>
      <c r="B127" s="13" t="s">
        <v>473</v>
      </c>
      <c r="C127" s="14" t="s">
        <v>232</v>
      </c>
      <c r="D127" s="15">
        <v>228.84811594202901</v>
      </c>
      <c r="E127" s="14">
        <v>1</v>
      </c>
      <c r="F127" s="14">
        <v>1</v>
      </c>
      <c r="G127" s="14">
        <v>0.5</v>
      </c>
      <c r="H127" s="14">
        <v>1</v>
      </c>
      <c r="I127" s="14">
        <f t="shared" ref="I127" si="30">MROUND(E127*G127,1)</f>
        <v>1</v>
      </c>
      <c r="J127" s="14">
        <f t="shared" ref="J127" si="31">MROUND(E127*F127,1)</f>
        <v>1</v>
      </c>
      <c r="K127" s="14">
        <f t="shared" ref="K127" si="32">MROUND(I127+J127,1)</f>
        <v>2</v>
      </c>
      <c r="L127" s="14">
        <f t="shared" ref="L127" si="33">MROUND(E127*(F127+G127+H127),1)</f>
        <v>3</v>
      </c>
      <c r="M127" s="14">
        <v>7</v>
      </c>
      <c r="N127" s="14">
        <v>14</v>
      </c>
      <c r="O127" s="16">
        <f t="shared" si="17"/>
        <v>0</v>
      </c>
    </row>
    <row r="128" spans="1:15" x14ac:dyDescent="0.3">
      <c r="A128" s="8" t="s">
        <v>265</v>
      </c>
      <c r="B128" s="9" t="s">
        <v>266</v>
      </c>
      <c r="C128" s="10" t="s">
        <v>232</v>
      </c>
      <c r="D128" s="11">
        <v>300</v>
      </c>
      <c r="E128" s="10">
        <v>0</v>
      </c>
      <c r="F128" s="10">
        <v>1</v>
      </c>
      <c r="G128" s="10">
        <v>0.5</v>
      </c>
      <c r="H128" s="10">
        <v>1</v>
      </c>
      <c r="I128" s="10">
        <f t="shared" si="26"/>
        <v>0</v>
      </c>
      <c r="J128" s="10">
        <f t="shared" si="27"/>
        <v>0</v>
      </c>
      <c r="K128" s="10">
        <f t="shared" si="28"/>
        <v>0</v>
      </c>
      <c r="L128" s="10">
        <f t="shared" si="29"/>
        <v>0</v>
      </c>
      <c r="M128" s="10">
        <v>4</v>
      </c>
      <c r="N128" s="10">
        <v>8</v>
      </c>
      <c r="O128" s="16">
        <f t="shared" si="17"/>
        <v>0</v>
      </c>
    </row>
    <row r="129" spans="1:15" x14ac:dyDescent="0.3">
      <c r="A129" s="12" t="s">
        <v>233</v>
      </c>
      <c r="B129" s="13" t="s">
        <v>234</v>
      </c>
      <c r="C129" s="14" t="s">
        <v>232</v>
      </c>
      <c r="D129" s="15">
        <v>311</v>
      </c>
      <c r="E129" s="14">
        <v>0</v>
      </c>
      <c r="F129" s="14">
        <v>1</v>
      </c>
      <c r="G129" s="14">
        <v>0.5</v>
      </c>
      <c r="H129" s="14">
        <v>1</v>
      </c>
      <c r="I129" s="14">
        <f t="shared" si="26"/>
        <v>0</v>
      </c>
      <c r="J129" s="14">
        <f t="shared" si="27"/>
        <v>0</v>
      </c>
      <c r="K129" s="14">
        <f t="shared" si="28"/>
        <v>0</v>
      </c>
      <c r="L129" s="14">
        <f t="shared" si="29"/>
        <v>0</v>
      </c>
      <c r="M129" s="14">
        <v>4</v>
      </c>
      <c r="N129" s="14">
        <v>4</v>
      </c>
      <c r="O129" s="16">
        <f t="shared" si="17"/>
        <v>0</v>
      </c>
    </row>
    <row r="130" spans="1:15" x14ac:dyDescent="0.3">
      <c r="A130" s="8" t="s">
        <v>237</v>
      </c>
      <c r="B130" s="9" t="s">
        <v>238</v>
      </c>
      <c r="C130" s="10" t="s">
        <v>232</v>
      </c>
      <c r="D130" s="11">
        <v>31.96</v>
      </c>
      <c r="E130" s="10">
        <v>0</v>
      </c>
      <c r="F130" s="10">
        <v>1</v>
      </c>
      <c r="G130" s="10">
        <v>0.5</v>
      </c>
      <c r="H130" s="10">
        <v>1</v>
      </c>
      <c r="I130" s="10">
        <f t="shared" si="26"/>
        <v>0</v>
      </c>
      <c r="J130" s="10">
        <f t="shared" si="27"/>
        <v>0</v>
      </c>
      <c r="K130" s="10">
        <f t="shared" si="28"/>
        <v>0</v>
      </c>
      <c r="L130" s="10">
        <f t="shared" si="29"/>
        <v>0</v>
      </c>
      <c r="M130" s="10">
        <v>0</v>
      </c>
      <c r="N130" s="10">
        <v>0</v>
      </c>
      <c r="O130" s="16">
        <f t="shared" si="17"/>
        <v>0</v>
      </c>
    </row>
    <row r="131" spans="1:15" x14ac:dyDescent="0.3">
      <c r="A131" s="12" t="s">
        <v>241</v>
      </c>
      <c r="B131" s="13" t="s">
        <v>242</v>
      </c>
      <c r="C131" s="14" t="s">
        <v>232</v>
      </c>
      <c r="D131" s="15">
        <v>32.67</v>
      </c>
      <c r="E131" s="14">
        <v>0</v>
      </c>
      <c r="F131" s="14">
        <v>1</v>
      </c>
      <c r="G131" s="14">
        <v>0.5</v>
      </c>
      <c r="H131" s="14">
        <v>1</v>
      </c>
      <c r="I131" s="14">
        <f t="shared" si="26"/>
        <v>0</v>
      </c>
      <c r="J131" s="14">
        <f t="shared" si="27"/>
        <v>0</v>
      </c>
      <c r="K131" s="14">
        <f t="shared" si="28"/>
        <v>0</v>
      </c>
      <c r="L131" s="14">
        <f t="shared" si="29"/>
        <v>0</v>
      </c>
      <c r="M131" s="14">
        <v>0</v>
      </c>
      <c r="N131" s="14">
        <v>0</v>
      </c>
      <c r="O131" s="16">
        <f t="shared" ref="O131:O194" si="34">IF(IF(M131&lt;=K131,L131-M131-N131,0)&lt;0,0,IF(M131&lt;=K131,L131-M131-N131,0))</f>
        <v>0</v>
      </c>
    </row>
    <row r="132" spans="1:15" x14ac:dyDescent="0.3">
      <c r="A132" s="8" t="s">
        <v>245</v>
      </c>
      <c r="B132" s="9" t="s">
        <v>246</v>
      </c>
      <c r="C132" s="10" t="s">
        <v>232</v>
      </c>
      <c r="D132" s="11">
        <v>36.520000000000003</v>
      </c>
      <c r="E132" s="10">
        <v>0</v>
      </c>
      <c r="F132" s="10">
        <v>1</v>
      </c>
      <c r="G132" s="10">
        <v>0.5</v>
      </c>
      <c r="H132" s="10">
        <v>1</v>
      </c>
      <c r="I132" s="10">
        <f t="shared" si="26"/>
        <v>0</v>
      </c>
      <c r="J132" s="10">
        <f t="shared" si="27"/>
        <v>0</v>
      </c>
      <c r="K132" s="10">
        <f t="shared" si="28"/>
        <v>0</v>
      </c>
      <c r="L132" s="10">
        <f t="shared" si="29"/>
        <v>0</v>
      </c>
      <c r="M132" s="10">
        <v>0</v>
      </c>
      <c r="N132" s="10">
        <v>0</v>
      </c>
      <c r="O132" s="16">
        <f t="shared" si="34"/>
        <v>0</v>
      </c>
    </row>
    <row r="133" spans="1:15" x14ac:dyDescent="0.3">
      <c r="A133" s="12" t="s">
        <v>249</v>
      </c>
      <c r="B133" s="13" t="s">
        <v>250</v>
      </c>
      <c r="C133" s="14" t="s">
        <v>232</v>
      </c>
      <c r="D133" s="15">
        <v>38.909999999999997</v>
      </c>
      <c r="E133" s="14">
        <v>0</v>
      </c>
      <c r="F133" s="14">
        <v>1</v>
      </c>
      <c r="G133" s="14">
        <v>0.5</v>
      </c>
      <c r="H133" s="14">
        <v>1</v>
      </c>
      <c r="I133" s="14">
        <f t="shared" si="26"/>
        <v>0</v>
      </c>
      <c r="J133" s="14">
        <f t="shared" si="27"/>
        <v>0</v>
      </c>
      <c r="K133" s="14">
        <f t="shared" si="28"/>
        <v>0</v>
      </c>
      <c r="L133" s="14">
        <f t="shared" si="29"/>
        <v>0</v>
      </c>
      <c r="M133" s="14">
        <v>0</v>
      </c>
      <c r="N133" s="14">
        <v>0</v>
      </c>
      <c r="O133" s="16">
        <f t="shared" si="34"/>
        <v>0</v>
      </c>
    </row>
    <row r="134" spans="1:15" x14ac:dyDescent="0.3">
      <c r="A134" s="8" t="s">
        <v>253</v>
      </c>
      <c r="B134" s="9" t="s">
        <v>254</v>
      </c>
      <c r="C134" s="10" t="s">
        <v>232</v>
      </c>
      <c r="D134" s="11">
        <v>41.84</v>
      </c>
      <c r="E134" s="10">
        <v>0</v>
      </c>
      <c r="F134" s="10">
        <v>1</v>
      </c>
      <c r="G134" s="10">
        <v>0.5</v>
      </c>
      <c r="H134" s="10">
        <v>1</v>
      </c>
      <c r="I134" s="10">
        <f t="shared" si="26"/>
        <v>0</v>
      </c>
      <c r="J134" s="10">
        <f t="shared" si="27"/>
        <v>0</v>
      </c>
      <c r="K134" s="10">
        <f t="shared" si="28"/>
        <v>0</v>
      </c>
      <c r="L134" s="10">
        <f t="shared" si="29"/>
        <v>0</v>
      </c>
      <c r="M134" s="10">
        <v>0</v>
      </c>
      <c r="N134" s="10">
        <v>0</v>
      </c>
      <c r="O134" s="16">
        <f t="shared" si="34"/>
        <v>0</v>
      </c>
    </row>
    <row r="135" spans="1:15" x14ac:dyDescent="0.3">
      <c r="A135" s="12" t="s">
        <v>257</v>
      </c>
      <c r="B135" s="13" t="s">
        <v>258</v>
      </c>
      <c r="C135" s="14" t="s">
        <v>232</v>
      </c>
      <c r="D135" s="15">
        <v>49.71</v>
      </c>
      <c r="E135" s="14">
        <v>0</v>
      </c>
      <c r="F135" s="14">
        <v>1</v>
      </c>
      <c r="G135" s="14">
        <v>0.5</v>
      </c>
      <c r="H135" s="14">
        <v>1</v>
      </c>
      <c r="I135" s="14">
        <f t="shared" si="26"/>
        <v>0</v>
      </c>
      <c r="J135" s="14">
        <f t="shared" si="27"/>
        <v>0</v>
      </c>
      <c r="K135" s="14">
        <f t="shared" si="28"/>
        <v>0</v>
      </c>
      <c r="L135" s="14">
        <f t="shared" si="29"/>
        <v>0</v>
      </c>
      <c r="M135" s="14">
        <v>0</v>
      </c>
      <c r="N135" s="14">
        <v>0</v>
      </c>
      <c r="O135" s="16">
        <f t="shared" si="34"/>
        <v>0</v>
      </c>
    </row>
    <row r="136" spans="1:15" x14ac:dyDescent="0.3">
      <c r="A136" s="8" t="s">
        <v>261</v>
      </c>
      <c r="B136" s="9" t="s">
        <v>262</v>
      </c>
      <c r="C136" s="10" t="s">
        <v>232</v>
      </c>
      <c r="D136" s="11">
        <v>53.77</v>
      </c>
      <c r="E136" s="10">
        <v>0</v>
      </c>
      <c r="F136" s="10">
        <v>1</v>
      </c>
      <c r="G136" s="10">
        <v>0.5</v>
      </c>
      <c r="H136" s="10">
        <v>1</v>
      </c>
      <c r="I136" s="10">
        <f t="shared" si="26"/>
        <v>0</v>
      </c>
      <c r="J136" s="10">
        <f t="shared" si="27"/>
        <v>0</v>
      </c>
      <c r="K136" s="10">
        <f t="shared" si="28"/>
        <v>0</v>
      </c>
      <c r="L136" s="10">
        <f t="shared" si="29"/>
        <v>0</v>
      </c>
      <c r="M136" s="10">
        <v>0</v>
      </c>
      <c r="N136" s="10">
        <v>0</v>
      </c>
      <c r="O136" s="16">
        <f t="shared" si="34"/>
        <v>0</v>
      </c>
    </row>
    <row r="137" spans="1:15" x14ac:dyDescent="0.3">
      <c r="A137" s="12" t="s">
        <v>267</v>
      </c>
      <c r="B137" s="13" t="s">
        <v>268</v>
      </c>
      <c r="C137" s="14" t="s">
        <v>232</v>
      </c>
      <c r="D137" s="15">
        <v>58.31</v>
      </c>
      <c r="E137" s="14">
        <v>0</v>
      </c>
      <c r="F137" s="14">
        <v>1</v>
      </c>
      <c r="G137" s="14">
        <v>0.5</v>
      </c>
      <c r="H137" s="14">
        <v>1</v>
      </c>
      <c r="I137" s="14">
        <f t="shared" ref="I137:I197" si="35">MROUND(E137*G137,1)</f>
        <v>0</v>
      </c>
      <c r="J137" s="14">
        <f t="shared" ref="J137:J197" si="36">MROUND(E137*F137,1)</f>
        <v>0</v>
      </c>
      <c r="K137" s="14">
        <f t="shared" ref="K137:K197" si="37">MROUND(I137+J137,1)</f>
        <v>0</v>
      </c>
      <c r="L137" s="14">
        <f t="shared" ref="L137:L197" si="38">MROUND(E137*(F137+G137+H137),1)</f>
        <v>0</v>
      </c>
      <c r="M137" s="14">
        <v>0</v>
      </c>
      <c r="N137" s="14">
        <v>0</v>
      </c>
      <c r="O137" s="16">
        <f t="shared" si="34"/>
        <v>0</v>
      </c>
    </row>
    <row r="138" spans="1:15" x14ac:dyDescent="0.3">
      <c r="A138" s="8" t="s">
        <v>272</v>
      </c>
      <c r="B138" s="9" t="s">
        <v>273</v>
      </c>
      <c r="C138" s="10" t="s">
        <v>271</v>
      </c>
      <c r="D138" s="11">
        <v>36.718115942028987</v>
      </c>
      <c r="E138" s="10">
        <v>18</v>
      </c>
      <c r="F138" s="10">
        <v>1</v>
      </c>
      <c r="G138" s="10">
        <v>0.5</v>
      </c>
      <c r="H138" s="10">
        <v>1</v>
      </c>
      <c r="I138" s="10">
        <f t="shared" ref="I138:I154" si="39">MROUND(E138*G138,1)</f>
        <v>9</v>
      </c>
      <c r="J138" s="10">
        <f t="shared" ref="J138:J154" si="40">MROUND(E138*F138,1)</f>
        <v>18</v>
      </c>
      <c r="K138" s="10">
        <f t="shared" ref="K138:K154" si="41">MROUND(I138+J138,1)</f>
        <v>27</v>
      </c>
      <c r="L138" s="10">
        <f t="shared" ref="L138:L154" si="42">MROUND(E138*(F138+G138+H138),1)</f>
        <v>45</v>
      </c>
      <c r="M138" s="10">
        <v>30</v>
      </c>
      <c r="N138" s="10">
        <v>6</v>
      </c>
      <c r="O138" s="16">
        <f t="shared" si="34"/>
        <v>0</v>
      </c>
    </row>
    <row r="139" spans="1:15" x14ac:dyDescent="0.3">
      <c r="A139" s="12" t="s">
        <v>276</v>
      </c>
      <c r="B139" s="13" t="s">
        <v>277</v>
      </c>
      <c r="C139" s="14" t="s">
        <v>271</v>
      </c>
      <c r="D139" s="15">
        <v>51.068115942028982</v>
      </c>
      <c r="E139" s="14">
        <v>18</v>
      </c>
      <c r="F139" s="14">
        <v>1</v>
      </c>
      <c r="G139" s="14">
        <v>0.5</v>
      </c>
      <c r="H139" s="14">
        <v>1</v>
      </c>
      <c r="I139" s="14">
        <f t="shared" si="39"/>
        <v>9</v>
      </c>
      <c r="J139" s="14">
        <f t="shared" si="40"/>
        <v>18</v>
      </c>
      <c r="K139" s="14">
        <f t="shared" si="41"/>
        <v>27</v>
      </c>
      <c r="L139" s="14">
        <f t="shared" si="42"/>
        <v>45</v>
      </c>
      <c r="M139" s="14">
        <v>8</v>
      </c>
      <c r="N139" s="14">
        <v>1</v>
      </c>
      <c r="O139" s="16">
        <f t="shared" si="34"/>
        <v>36</v>
      </c>
    </row>
    <row r="140" spans="1:15" x14ac:dyDescent="0.3">
      <c r="A140" s="8" t="s">
        <v>280</v>
      </c>
      <c r="B140" s="9" t="s">
        <v>281</v>
      </c>
      <c r="C140" s="10" t="s">
        <v>271</v>
      </c>
      <c r="D140" s="11">
        <v>75.318115942028982</v>
      </c>
      <c r="E140" s="10">
        <v>14</v>
      </c>
      <c r="F140" s="10">
        <v>1</v>
      </c>
      <c r="G140" s="10">
        <v>0.5</v>
      </c>
      <c r="H140" s="10">
        <v>1</v>
      </c>
      <c r="I140" s="10">
        <f t="shared" si="39"/>
        <v>7</v>
      </c>
      <c r="J140" s="10">
        <f t="shared" si="40"/>
        <v>14</v>
      </c>
      <c r="K140" s="10">
        <f t="shared" si="41"/>
        <v>21</v>
      </c>
      <c r="L140" s="10">
        <f t="shared" si="42"/>
        <v>35</v>
      </c>
      <c r="M140" s="10">
        <v>70</v>
      </c>
      <c r="N140" s="10">
        <v>25</v>
      </c>
      <c r="O140" s="16">
        <f t="shared" si="34"/>
        <v>0</v>
      </c>
    </row>
    <row r="141" spans="1:15" x14ac:dyDescent="0.3">
      <c r="A141" s="12" t="s">
        <v>284</v>
      </c>
      <c r="B141" s="13" t="s">
        <v>285</v>
      </c>
      <c r="C141" s="14" t="s">
        <v>271</v>
      </c>
      <c r="D141" s="15">
        <v>117.24811594202899</v>
      </c>
      <c r="E141" s="14">
        <v>21</v>
      </c>
      <c r="F141" s="14">
        <v>1</v>
      </c>
      <c r="G141" s="14">
        <v>0.5</v>
      </c>
      <c r="H141" s="14">
        <v>1</v>
      </c>
      <c r="I141" s="14">
        <f t="shared" si="39"/>
        <v>11</v>
      </c>
      <c r="J141" s="14">
        <f t="shared" si="40"/>
        <v>21</v>
      </c>
      <c r="K141" s="14">
        <f t="shared" si="41"/>
        <v>32</v>
      </c>
      <c r="L141" s="14">
        <f t="shared" si="42"/>
        <v>53</v>
      </c>
      <c r="M141" s="14">
        <v>69</v>
      </c>
      <c r="N141" s="14">
        <v>0</v>
      </c>
      <c r="O141" s="16">
        <f t="shared" si="34"/>
        <v>0</v>
      </c>
    </row>
    <row r="142" spans="1:15" x14ac:dyDescent="0.3">
      <c r="A142" s="8" t="s">
        <v>286</v>
      </c>
      <c r="B142" s="9" t="s">
        <v>287</v>
      </c>
      <c r="C142" s="10" t="s">
        <v>271</v>
      </c>
      <c r="D142" s="11">
        <v>132.918115942029</v>
      </c>
      <c r="E142" s="10">
        <v>22</v>
      </c>
      <c r="F142" s="10">
        <v>1</v>
      </c>
      <c r="G142" s="10">
        <v>0.5</v>
      </c>
      <c r="H142" s="10">
        <v>1</v>
      </c>
      <c r="I142" s="10">
        <f t="shared" si="39"/>
        <v>11</v>
      </c>
      <c r="J142" s="10">
        <f t="shared" si="40"/>
        <v>22</v>
      </c>
      <c r="K142" s="10">
        <f t="shared" si="41"/>
        <v>33</v>
      </c>
      <c r="L142" s="10">
        <f t="shared" si="42"/>
        <v>55</v>
      </c>
      <c r="M142" s="10">
        <v>52</v>
      </c>
      <c r="N142" s="10">
        <v>7</v>
      </c>
      <c r="O142" s="16">
        <f t="shared" si="34"/>
        <v>0</v>
      </c>
    </row>
    <row r="143" spans="1:15" x14ac:dyDescent="0.3">
      <c r="A143" s="12" t="s">
        <v>290</v>
      </c>
      <c r="B143" s="13" t="s">
        <v>291</v>
      </c>
      <c r="C143" s="14" t="s">
        <v>271</v>
      </c>
      <c r="D143" s="15">
        <v>124.85811594202899</v>
      </c>
      <c r="E143" s="14">
        <v>14</v>
      </c>
      <c r="F143" s="14">
        <v>1</v>
      </c>
      <c r="G143" s="14">
        <v>0.5</v>
      </c>
      <c r="H143" s="14">
        <v>1</v>
      </c>
      <c r="I143" s="14">
        <f t="shared" si="39"/>
        <v>7</v>
      </c>
      <c r="J143" s="14">
        <f t="shared" si="40"/>
        <v>14</v>
      </c>
      <c r="K143" s="14">
        <f t="shared" si="41"/>
        <v>21</v>
      </c>
      <c r="L143" s="14">
        <f t="shared" si="42"/>
        <v>35</v>
      </c>
      <c r="M143" s="14">
        <v>45</v>
      </c>
      <c r="N143" s="14">
        <v>14</v>
      </c>
      <c r="O143" s="16">
        <f t="shared" si="34"/>
        <v>0</v>
      </c>
    </row>
    <row r="144" spans="1:15" x14ac:dyDescent="0.3">
      <c r="A144" s="8" t="s">
        <v>294</v>
      </c>
      <c r="B144" s="9" t="s">
        <v>295</v>
      </c>
      <c r="C144" s="10" t="s">
        <v>271</v>
      </c>
      <c r="D144" s="11">
        <v>154.11811594202899</v>
      </c>
      <c r="E144" s="10">
        <v>10</v>
      </c>
      <c r="F144" s="10">
        <v>1</v>
      </c>
      <c r="G144" s="10">
        <v>0.5</v>
      </c>
      <c r="H144" s="10">
        <v>1</v>
      </c>
      <c r="I144" s="10">
        <f t="shared" si="39"/>
        <v>5</v>
      </c>
      <c r="J144" s="10">
        <f t="shared" si="40"/>
        <v>10</v>
      </c>
      <c r="K144" s="10">
        <f t="shared" si="41"/>
        <v>15</v>
      </c>
      <c r="L144" s="10">
        <f t="shared" si="42"/>
        <v>25</v>
      </c>
      <c r="M144" s="10">
        <v>41</v>
      </c>
      <c r="N144" s="10">
        <v>20</v>
      </c>
      <c r="O144" s="16">
        <f t="shared" si="34"/>
        <v>0</v>
      </c>
    </row>
    <row r="145" spans="1:15" x14ac:dyDescent="0.3">
      <c r="A145" s="12" t="s">
        <v>298</v>
      </c>
      <c r="B145" s="13" t="s">
        <v>299</v>
      </c>
      <c r="C145" s="14" t="s">
        <v>271</v>
      </c>
      <c r="D145" s="15">
        <v>178.768115942029</v>
      </c>
      <c r="E145" s="14">
        <v>5</v>
      </c>
      <c r="F145" s="14">
        <v>1</v>
      </c>
      <c r="G145" s="14">
        <v>0.5</v>
      </c>
      <c r="H145" s="14">
        <v>1</v>
      </c>
      <c r="I145" s="14">
        <f t="shared" si="39"/>
        <v>3</v>
      </c>
      <c r="J145" s="14">
        <f t="shared" si="40"/>
        <v>5</v>
      </c>
      <c r="K145" s="14">
        <f t="shared" si="41"/>
        <v>8</v>
      </c>
      <c r="L145" s="14">
        <f t="shared" si="42"/>
        <v>13</v>
      </c>
      <c r="M145" s="14">
        <v>12</v>
      </c>
      <c r="N145" s="14">
        <v>4</v>
      </c>
      <c r="O145" s="16">
        <f t="shared" si="34"/>
        <v>0</v>
      </c>
    </row>
    <row r="146" spans="1:15" x14ac:dyDescent="0.3">
      <c r="A146" s="19" t="s">
        <v>269</v>
      </c>
      <c r="B146" s="9" t="s">
        <v>270</v>
      </c>
      <c r="C146" s="10" t="s">
        <v>271</v>
      </c>
      <c r="D146" s="11">
        <v>197</v>
      </c>
      <c r="E146" s="10">
        <v>4</v>
      </c>
      <c r="F146" s="10">
        <v>1</v>
      </c>
      <c r="G146" s="10">
        <v>0.5</v>
      </c>
      <c r="H146" s="10">
        <v>1</v>
      </c>
      <c r="I146" s="10">
        <f t="shared" si="39"/>
        <v>2</v>
      </c>
      <c r="J146" s="10">
        <f t="shared" si="40"/>
        <v>4</v>
      </c>
      <c r="K146" s="10">
        <f t="shared" si="41"/>
        <v>6</v>
      </c>
      <c r="L146" s="10">
        <f t="shared" si="42"/>
        <v>10</v>
      </c>
      <c r="M146" s="10">
        <v>8</v>
      </c>
      <c r="N146" s="10">
        <v>0</v>
      </c>
      <c r="O146" s="16">
        <f t="shared" si="34"/>
        <v>0</v>
      </c>
    </row>
    <row r="147" spans="1:15" x14ac:dyDescent="0.3">
      <c r="A147" s="18" t="s">
        <v>274</v>
      </c>
      <c r="B147" s="13" t="s">
        <v>275</v>
      </c>
      <c r="C147" s="14" t="s">
        <v>271</v>
      </c>
      <c r="D147" s="15">
        <v>22.95</v>
      </c>
      <c r="E147" s="14">
        <v>0</v>
      </c>
      <c r="F147" s="14">
        <v>1</v>
      </c>
      <c r="G147" s="14">
        <v>0.5</v>
      </c>
      <c r="H147" s="14">
        <v>1</v>
      </c>
      <c r="I147" s="14">
        <f t="shared" si="39"/>
        <v>0</v>
      </c>
      <c r="J147" s="14">
        <f t="shared" si="40"/>
        <v>0</v>
      </c>
      <c r="K147" s="14">
        <f t="shared" si="41"/>
        <v>0</v>
      </c>
      <c r="L147" s="14">
        <f t="shared" si="42"/>
        <v>0</v>
      </c>
      <c r="M147" s="14">
        <v>0</v>
      </c>
      <c r="N147" s="14">
        <v>0</v>
      </c>
      <c r="O147" s="16">
        <f t="shared" si="34"/>
        <v>0</v>
      </c>
    </row>
    <row r="148" spans="1:15" x14ac:dyDescent="0.3">
      <c r="A148" s="19" t="s">
        <v>278</v>
      </c>
      <c r="B148" s="9" t="s">
        <v>279</v>
      </c>
      <c r="C148" s="10" t="s">
        <v>271</v>
      </c>
      <c r="D148" s="11">
        <v>37.299999999999997</v>
      </c>
      <c r="E148" s="10">
        <v>0</v>
      </c>
      <c r="F148" s="10">
        <v>1</v>
      </c>
      <c r="G148" s="10">
        <v>0.5</v>
      </c>
      <c r="H148" s="10">
        <v>1</v>
      </c>
      <c r="I148" s="10">
        <f t="shared" si="39"/>
        <v>0</v>
      </c>
      <c r="J148" s="10">
        <f t="shared" si="40"/>
        <v>0</v>
      </c>
      <c r="K148" s="10">
        <f t="shared" si="41"/>
        <v>0</v>
      </c>
      <c r="L148" s="10">
        <f t="shared" si="42"/>
        <v>0</v>
      </c>
      <c r="M148" s="10">
        <v>0</v>
      </c>
      <c r="N148" s="10">
        <v>0</v>
      </c>
      <c r="O148" s="16">
        <f t="shared" si="34"/>
        <v>0</v>
      </c>
    </row>
    <row r="149" spans="1:15" x14ac:dyDescent="0.3">
      <c r="A149" s="22" t="s">
        <v>282</v>
      </c>
      <c r="B149" s="13" t="s">
        <v>283</v>
      </c>
      <c r="C149" s="14" t="s">
        <v>271</v>
      </c>
      <c r="D149" s="15">
        <v>61.55</v>
      </c>
      <c r="E149" s="14">
        <v>0</v>
      </c>
      <c r="F149" s="14">
        <v>1</v>
      </c>
      <c r="G149" s="14">
        <v>0.5</v>
      </c>
      <c r="H149" s="14">
        <v>1</v>
      </c>
      <c r="I149" s="14">
        <f t="shared" si="39"/>
        <v>0</v>
      </c>
      <c r="J149" s="14">
        <f t="shared" si="40"/>
        <v>0</v>
      </c>
      <c r="K149" s="14">
        <f t="shared" si="41"/>
        <v>0</v>
      </c>
      <c r="L149" s="14">
        <f t="shared" si="42"/>
        <v>0</v>
      </c>
      <c r="M149" s="14">
        <v>0</v>
      </c>
      <c r="N149" s="14">
        <v>0</v>
      </c>
      <c r="O149" s="16">
        <f t="shared" si="34"/>
        <v>0</v>
      </c>
    </row>
    <row r="150" spans="1:15" x14ac:dyDescent="0.3">
      <c r="A150" s="8" t="s">
        <v>462</v>
      </c>
      <c r="B150" s="9" t="s">
        <v>463</v>
      </c>
      <c r="C150" s="10" t="s">
        <v>271</v>
      </c>
      <c r="D150" s="11">
        <v>103.48</v>
      </c>
      <c r="E150" s="10">
        <v>0</v>
      </c>
      <c r="F150" s="10">
        <v>1</v>
      </c>
      <c r="G150" s="10">
        <v>0.5</v>
      </c>
      <c r="H150" s="10">
        <v>1</v>
      </c>
      <c r="I150" s="10">
        <f t="shared" si="39"/>
        <v>0</v>
      </c>
      <c r="J150" s="10">
        <f t="shared" si="40"/>
        <v>0</v>
      </c>
      <c r="K150" s="10">
        <f t="shared" si="41"/>
        <v>0</v>
      </c>
      <c r="L150" s="10">
        <f t="shared" si="42"/>
        <v>0</v>
      </c>
      <c r="M150" s="10">
        <v>0</v>
      </c>
      <c r="N150" s="10">
        <v>0</v>
      </c>
      <c r="O150" s="16">
        <f t="shared" si="34"/>
        <v>0</v>
      </c>
    </row>
    <row r="151" spans="1:15" x14ac:dyDescent="0.3">
      <c r="A151" s="18" t="s">
        <v>288</v>
      </c>
      <c r="B151" s="13" t="s">
        <v>289</v>
      </c>
      <c r="C151" s="14" t="s">
        <v>271</v>
      </c>
      <c r="D151" s="15">
        <v>121.15</v>
      </c>
      <c r="E151" s="14">
        <v>0</v>
      </c>
      <c r="F151" s="14">
        <v>1</v>
      </c>
      <c r="G151" s="14">
        <v>0.5</v>
      </c>
      <c r="H151" s="14">
        <v>1</v>
      </c>
      <c r="I151" s="14">
        <f t="shared" si="39"/>
        <v>0</v>
      </c>
      <c r="J151" s="14">
        <f t="shared" si="40"/>
        <v>0</v>
      </c>
      <c r="K151" s="14">
        <f t="shared" si="41"/>
        <v>0</v>
      </c>
      <c r="L151" s="14">
        <f t="shared" si="42"/>
        <v>0</v>
      </c>
      <c r="M151" s="14">
        <v>0</v>
      </c>
      <c r="N151" s="14">
        <v>0</v>
      </c>
      <c r="O151" s="16">
        <f t="shared" si="34"/>
        <v>0</v>
      </c>
    </row>
    <row r="152" spans="1:15" x14ac:dyDescent="0.3">
      <c r="A152" s="23" t="s">
        <v>292</v>
      </c>
      <c r="B152" s="9" t="s">
        <v>293</v>
      </c>
      <c r="C152" s="10" t="s">
        <v>271</v>
      </c>
      <c r="D152" s="11">
        <v>111.09</v>
      </c>
      <c r="E152" s="10">
        <v>0</v>
      </c>
      <c r="F152" s="10">
        <v>1</v>
      </c>
      <c r="G152" s="10">
        <v>0.5</v>
      </c>
      <c r="H152" s="10">
        <v>1</v>
      </c>
      <c r="I152" s="10">
        <f t="shared" si="39"/>
        <v>0</v>
      </c>
      <c r="J152" s="10">
        <f t="shared" si="40"/>
        <v>0</v>
      </c>
      <c r="K152" s="10">
        <f t="shared" si="41"/>
        <v>0</v>
      </c>
      <c r="L152" s="10">
        <f t="shared" si="42"/>
        <v>0</v>
      </c>
      <c r="M152" s="10">
        <v>0</v>
      </c>
      <c r="N152" s="10">
        <v>0</v>
      </c>
      <c r="O152" s="16">
        <f t="shared" si="34"/>
        <v>0</v>
      </c>
    </row>
    <row r="153" spans="1:15" x14ac:dyDescent="0.3">
      <c r="A153" s="18" t="s">
        <v>296</v>
      </c>
      <c r="B153" s="13" t="s">
        <v>297</v>
      </c>
      <c r="C153" s="14" t="s">
        <v>271</v>
      </c>
      <c r="D153" s="15">
        <v>148.35</v>
      </c>
      <c r="E153" s="14">
        <v>0</v>
      </c>
      <c r="F153" s="14">
        <v>1</v>
      </c>
      <c r="G153" s="14">
        <v>0.5</v>
      </c>
      <c r="H153" s="14">
        <v>1</v>
      </c>
      <c r="I153" s="14">
        <f t="shared" si="39"/>
        <v>0</v>
      </c>
      <c r="J153" s="14">
        <f t="shared" si="40"/>
        <v>0</v>
      </c>
      <c r="K153" s="14">
        <f t="shared" si="41"/>
        <v>0</v>
      </c>
      <c r="L153" s="14">
        <f t="shared" si="42"/>
        <v>0</v>
      </c>
      <c r="M153" s="14">
        <v>0</v>
      </c>
      <c r="N153" s="14">
        <v>0</v>
      </c>
      <c r="O153" s="16">
        <f t="shared" si="34"/>
        <v>0</v>
      </c>
    </row>
    <row r="154" spans="1:15" x14ac:dyDescent="0.3">
      <c r="A154" s="19" t="s">
        <v>300</v>
      </c>
      <c r="B154" s="9" t="s">
        <v>301</v>
      </c>
      <c r="C154" s="10" t="s">
        <v>271</v>
      </c>
      <c r="D154" s="11">
        <v>165.66</v>
      </c>
      <c r="E154" s="10">
        <v>0</v>
      </c>
      <c r="F154" s="10">
        <v>1</v>
      </c>
      <c r="G154" s="10">
        <v>0.5</v>
      </c>
      <c r="H154" s="10">
        <v>1</v>
      </c>
      <c r="I154" s="10">
        <f t="shared" si="39"/>
        <v>0</v>
      </c>
      <c r="J154" s="10">
        <f t="shared" si="40"/>
        <v>0</v>
      </c>
      <c r="K154" s="10">
        <f t="shared" si="41"/>
        <v>0</v>
      </c>
      <c r="L154" s="10">
        <f t="shared" si="42"/>
        <v>0</v>
      </c>
      <c r="M154" s="10">
        <v>0</v>
      </c>
      <c r="N154" s="10">
        <v>0</v>
      </c>
      <c r="O154" s="16">
        <f t="shared" si="34"/>
        <v>0</v>
      </c>
    </row>
    <row r="155" spans="1:15" x14ac:dyDescent="0.3">
      <c r="A155" s="12" t="s">
        <v>302</v>
      </c>
      <c r="B155" s="13" t="s">
        <v>303</v>
      </c>
      <c r="C155" s="14" t="s">
        <v>304</v>
      </c>
      <c r="D155" s="15">
        <v>1138</v>
      </c>
      <c r="E155" s="14">
        <v>2</v>
      </c>
      <c r="F155" s="14">
        <v>2</v>
      </c>
      <c r="G155" s="14">
        <v>1</v>
      </c>
      <c r="H155" s="14">
        <v>1</v>
      </c>
      <c r="I155" s="14">
        <f t="shared" si="35"/>
        <v>2</v>
      </c>
      <c r="J155" s="14">
        <f t="shared" si="36"/>
        <v>4</v>
      </c>
      <c r="K155" s="14">
        <f t="shared" si="37"/>
        <v>6</v>
      </c>
      <c r="L155" s="14">
        <f t="shared" si="38"/>
        <v>8</v>
      </c>
      <c r="M155" s="14">
        <v>7</v>
      </c>
      <c r="N155" s="14">
        <v>0</v>
      </c>
      <c r="O155" s="16">
        <f t="shared" si="34"/>
        <v>0</v>
      </c>
    </row>
    <row r="156" spans="1:15" x14ac:dyDescent="0.3">
      <c r="A156" s="8" t="s">
        <v>305</v>
      </c>
      <c r="B156" s="9" t="s">
        <v>306</v>
      </c>
      <c r="C156" s="10" t="s">
        <v>304</v>
      </c>
      <c r="D156" s="11">
        <v>1193</v>
      </c>
      <c r="E156" s="10">
        <v>3</v>
      </c>
      <c r="F156" s="10">
        <v>2</v>
      </c>
      <c r="G156" s="10">
        <v>1</v>
      </c>
      <c r="H156" s="10">
        <v>1</v>
      </c>
      <c r="I156" s="10">
        <f t="shared" si="35"/>
        <v>3</v>
      </c>
      <c r="J156" s="10">
        <f t="shared" si="36"/>
        <v>6</v>
      </c>
      <c r="K156" s="10">
        <f t="shared" si="37"/>
        <v>9</v>
      </c>
      <c r="L156" s="10">
        <f t="shared" si="38"/>
        <v>12</v>
      </c>
      <c r="M156" s="10">
        <v>12</v>
      </c>
      <c r="N156" s="10">
        <v>0</v>
      </c>
      <c r="O156" s="16">
        <f t="shared" si="34"/>
        <v>0</v>
      </c>
    </row>
    <row r="157" spans="1:15" x14ac:dyDescent="0.3">
      <c r="A157" s="12" t="s">
        <v>307</v>
      </c>
      <c r="B157" s="13" t="s">
        <v>308</v>
      </c>
      <c r="C157" s="14" t="s">
        <v>304</v>
      </c>
      <c r="D157" s="15">
        <v>1226</v>
      </c>
      <c r="E157" s="14">
        <v>3</v>
      </c>
      <c r="F157" s="14">
        <v>2</v>
      </c>
      <c r="G157" s="14">
        <v>1</v>
      </c>
      <c r="H157" s="14">
        <v>1</v>
      </c>
      <c r="I157" s="14">
        <f t="shared" si="35"/>
        <v>3</v>
      </c>
      <c r="J157" s="14">
        <f t="shared" si="36"/>
        <v>6</v>
      </c>
      <c r="K157" s="14">
        <f t="shared" si="37"/>
        <v>9</v>
      </c>
      <c r="L157" s="14">
        <f t="shared" si="38"/>
        <v>12</v>
      </c>
      <c r="M157" s="14">
        <v>0</v>
      </c>
      <c r="N157" s="14">
        <v>11</v>
      </c>
      <c r="O157" s="16">
        <f t="shared" si="34"/>
        <v>1</v>
      </c>
    </row>
    <row r="158" spans="1:15" x14ac:dyDescent="0.3">
      <c r="A158" s="8" t="s">
        <v>309</v>
      </c>
      <c r="B158" s="9" t="s">
        <v>310</v>
      </c>
      <c r="C158" s="10" t="s">
        <v>304</v>
      </c>
      <c r="D158" s="11">
        <v>1277</v>
      </c>
      <c r="E158" s="10">
        <v>3</v>
      </c>
      <c r="F158" s="10">
        <v>2</v>
      </c>
      <c r="G158" s="10">
        <v>1</v>
      </c>
      <c r="H158" s="10">
        <v>1</v>
      </c>
      <c r="I158" s="10">
        <f t="shared" si="35"/>
        <v>3</v>
      </c>
      <c r="J158" s="10">
        <f t="shared" si="36"/>
        <v>6</v>
      </c>
      <c r="K158" s="10">
        <f t="shared" si="37"/>
        <v>9</v>
      </c>
      <c r="L158" s="10">
        <f t="shared" si="38"/>
        <v>12</v>
      </c>
      <c r="M158" s="10">
        <v>8</v>
      </c>
      <c r="N158" s="10">
        <v>0</v>
      </c>
      <c r="O158" s="16">
        <f t="shared" si="34"/>
        <v>4</v>
      </c>
    </row>
    <row r="159" spans="1:15" x14ac:dyDescent="0.3">
      <c r="A159" s="12" t="s">
        <v>311</v>
      </c>
      <c r="B159" s="13" t="s">
        <v>312</v>
      </c>
      <c r="C159" s="14" t="s">
        <v>304</v>
      </c>
      <c r="D159" s="15">
        <v>1535</v>
      </c>
      <c r="E159" s="14">
        <f>60*0.05</f>
        <v>3</v>
      </c>
      <c r="F159" s="14">
        <v>2</v>
      </c>
      <c r="G159" s="14">
        <v>1</v>
      </c>
      <c r="H159" s="14">
        <v>1</v>
      </c>
      <c r="I159" s="14">
        <f t="shared" si="35"/>
        <v>3</v>
      </c>
      <c r="J159" s="14">
        <f t="shared" si="36"/>
        <v>6</v>
      </c>
      <c r="K159" s="14">
        <f t="shared" si="37"/>
        <v>9</v>
      </c>
      <c r="L159" s="14">
        <f t="shared" si="38"/>
        <v>12</v>
      </c>
      <c r="M159" s="14">
        <v>16</v>
      </c>
      <c r="N159" s="14">
        <v>0</v>
      </c>
      <c r="O159" s="16">
        <f t="shared" si="34"/>
        <v>0</v>
      </c>
    </row>
    <row r="160" spans="1:15" x14ac:dyDescent="0.3">
      <c r="A160" s="8" t="s">
        <v>313</v>
      </c>
      <c r="B160" s="9" t="s">
        <v>314</v>
      </c>
      <c r="C160" s="10" t="s">
        <v>304</v>
      </c>
      <c r="D160" s="11">
        <v>1641</v>
      </c>
      <c r="E160" s="10">
        <v>1</v>
      </c>
      <c r="F160" s="10">
        <v>2</v>
      </c>
      <c r="G160" s="10">
        <v>1</v>
      </c>
      <c r="H160" s="10">
        <v>1</v>
      </c>
      <c r="I160" s="10">
        <f t="shared" si="35"/>
        <v>1</v>
      </c>
      <c r="J160" s="10">
        <f t="shared" si="36"/>
        <v>2</v>
      </c>
      <c r="K160" s="10">
        <f t="shared" si="37"/>
        <v>3</v>
      </c>
      <c r="L160" s="10">
        <f t="shared" si="38"/>
        <v>4</v>
      </c>
      <c r="M160" s="10">
        <v>1</v>
      </c>
      <c r="N160" s="10">
        <v>1</v>
      </c>
      <c r="O160" s="16">
        <f t="shared" si="34"/>
        <v>2</v>
      </c>
    </row>
    <row r="161" spans="1:15" x14ac:dyDescent="0.3">
      <c r="A161" s="12" t="s">
        <v>315</v>
      </c>
      <c r="B161" s="13" t="s">
        <v>316</v>
      </c>
      <c r="C161" s="14" t="s">
        <v>304</v>
      </c>
      <c r="D161" s="15">
        <v>1768</v>
      </c>
      <c r="E161" s="14">
        <v>2</v>
      </c>
      <c r="F161" s="14">
        <v>2</v>
      </c>
      <c r="G161" s="14">
        <v>1</v>
      </c>
      <c r="H161" s="14">
        <v>1</v>
      </c>
      <c r="I161" s="14">
        <f t="shared" si="35"/>
        <v>2</v>
      </c>
      <c r="J161" s="14">
        <f t="shared" si="36"/>
        <v>4</v>
      </c>
      <c r="K161" s="14">
        <f t="shared" si="37"/>
        <v>6</v>
      </c>
      <c r="L161" s="14">
        <f t="shared" si="38"/>
        <v>8</v>
      </c>
      <c r="M161" s="14">
        <v>3</v>
      </c>
      <c r="N161" s="14">
        <v>1</v>
      </c>
      <c r="O161" s="16">
        <f t="shared" si="34"/>
        <v>4</v>
      </c>
    </row>
    <row r="162" spans="1:15" x14ac:dyDescent="0.3">
      <c r="A162" s="8" t="s">
        <v>317</v>
      </c>
      <c r="B162" s="9" t="s">
        <v>318</v>
      </c>
      <c r="C162" s="10" t="s">
        <v>304</v>
      </c>
      <c r="D162" s="11">
        <v>1874</v>
      </c>
      <c r="E162" s="10">
        <v>1</v>
      </c>
      <c r="F162" s="10">
        <v>2</v>
      </c>
      <c r="G162" s="10">
        <v>1</v>
      </c>
      <c r="H162" s="10">
        <v>1</v>
      </c>
      <c r="I162" s="10">
        <f t="shared" si="35"/>
        <v>1</v>
      </c>
      <c r="J162" s="10">
        <f t="shared" si="36"/>
        <v>2</v>
      </c>
      <c r="K162" s="10">
        <f t="shared" si="37"/>
        <v>3</v>
      </c>
      <c r="L162" s="10">
        <f t="shared" si="38"/>
        <v>4</v>
      </c>
      <c r="M162" s="10">
        <v>2</v>
      </c>
      <c r="N162" s="10">
        <v>0</v>
      </c>
      <c r="O162" s="16">
        <f t="shared" si="34"/>
        <v>2</v>
      </c>
    </row>
    <row r="163" spans="1:15" x14ac:dyDescent="0.3">
      <c r="A163" s="12" t="s">
        <v>319</v>
      </c>
      <c r="B163" s="13" t="s">
        <v>320</v>
      </c>
      <c r="C163" s="14" t="s">
        <v>304</v>
      </c>
      <c r="D163" s="15">
        <v>1805</v>
      </c>
      <c r="E163" s="14">
        <v>4</v>
      </c>
      <c r="F163" s="14">
        <v>2</v>
      </c>
      <c r="G163" s="14">
        <v>1</v>
      </c>
      <c r="H163" s="14">
        <v>1</v>
      </c>
      <c r="I163" s="14">
        <f t="shared" si="35"/>
        <v>4</v>
      </c>
      <c r="J163" s="14">
        <f t="shared" si="36"/>
        <v>8</v>
      </c>
      <c r="K163" s="14">
        <f t="shared" si="37"/>
        <v>12</v>
      </c>
      <c r="L163" s="14">
        <f t="shared" si="38"/>
        <v>16</v>
      </c>
      <c r="M163" s="14">
        <v>4</v>
      </c>
      <c r="N163" s="14">
        <v>17</v>
      </c>
      <c r="O163" s="16">
        <f t="shared" si="34"/>
        <v>0</v>
      </c>
    </row>
    <row r="164" spans="1:15" x14ac:dyDescent="0.3">
      <c r="A164" s="8" t="s">
        <v>321</v>
      </c>
      <c r="B164" s="9" t="s">
        <v>322</v>
      </c>
      <c r="C164" s="10" t="s">
        <v>304</v>
      </c>
      <c r="D164" s="11">
        <v>1829</v>
      </c>
      <c r="E164" s="10">
        <v>1</v>
      </c>
      <c r="F164" s="10">
        <v>2</v>
      </c>
      <c r="G164" s="10">
        <v>1</v>
      </c>
      <c r="H164" s="10">
        <v>1</v>
      </c>
      <c r="I164" s="10">
        <f t="shared" si="35"/>
        <v>1</v>
      </c>
      <c r="J164" s="10">
        <f t="shared" si="36"/>
        <v>2</v>
      </c>
      <c r="K164" s="10">
        <f t="shared" si="37"/>
        <v>3</v>
      </c>
      <c r="L164" s="10">
        <f t="shared" si="38"/>
        <v>4</v>
      </c>
      <c r="M164" s="10">
        <v>1</v>
      </c>
      <c r="N164" s="10">
        <v>0</v>
      </c>
      <c r="O164" s="16">
        <f t="shared" si="34"/>
        <v>3</v>
      </c>
    </row>
    <row r="165" spans="1:15" x14ac:dyDescent="0.3">
      <c r="A165" s="12" t="s">
        <v>323</v>
      </c>
      <c r="B165" s="13" t="s">
        <v>324</v>
      </c>
      <c r="C165" s="14" t="s">
        <v>304</v>
      </c>
      <c r="D165" s="15">
        <v>2182</v>
      </c>
      <c r="E165" s="14">
        <v>3</v>
      </c>
      <c r="F165" s="14">
        <v>2</v>
      </c>
      <c r="G165" s="14">
        <v>1</v>
      </c>
      <c r="H165" s="14">
        <v>1</v>
      </c>
      <c r="I165" s="14">
        <f t="shared" si="35"/>
        <v>3</v>
      </c>
      <c r="J165" s="14">
        <f t="shared" si="36"/>
        <v>6</v>
      </c>
      <c r="K165" s="14">
        <f t="shared" si="37"/>
        <v>9</v>
      </c>
      <c r="L165" s="14">
        <f t="shared" si="38"/>
        <v>12</v>
      </c>
      <c r="M165" s="14">
        <v>0</v>
      </c>
      <c r="N165" s="14">
        <v>15</v>
      </c>
      <c r="O165" s="16">
        <f t="shared" si="34"/>
        <v>0</v>
      </c>
    </row>
    <row r="166" spans="1:15" x14ac:dyDescent="0.3">
      <c r="A166" s="8" t="s">
        <v>327</v>
      </c>
      <c r="B166" s="9" t="s">
        <v>328</v>
      </c>
      <c r="C166" s="10" t="s">
        <v>304</v>
      </c>
      <c r="D166" s="11">
        <v>2304</v>
      </c>
      <c r="E166" s="10">
        <v>1</v>
      </c>
      <c r="F166" s="10">
        <v>2</v>
      </c>
      <c r="G166" s="10">
        <v>1</v>
      </c>
      <c r="H166" s="10">
        <v>1</v>
      </c>
      <c r="I166" s="10">
        <f t="shared" si="35"/>
        <v>1</v>
      </c>
      <c r="J166" s="10">
        <f t="shared" si="36"/>
        <v>2</v>
      </c>
      <c r="K166" s="10">
        <f t="shared" si="37"/>
        <v>3</v>
      </c>
      <c r="L166" s="10">
        <f t="shared" si="38"/>
        <v>4</v>
      </c>
      <c r="M166" s="10">
        <v>0</v>
      </c>
      <c r="N166" s="10">
        <v>0</v>
      </c>
      <c r="O166" s="16">
        <f t="shared" si="34"/>
        <v>4</v>
      </c>
    </row>
    <row r="167" spans="1:15" x14ac:dyDescent="0.3">
      <c r="A167" s="12" t="s">
        <v>329</v>
      </c>
      <c r="B167" s="13" t="s">
        <v>330</v>
      </c>
      <c r="C167" s="14" t="s">
        <v>304</v>
      </c>
      <c r="D167" s="15">
        <v>2892</v>
      </c>
      <c r="E167" s="14">
        <v>3</v>
      </c>
      <c r="F167" s="14">
        <v>2</v>
      </c>
      <c r="G167" s="14">
        <v>1</v>
      </c>
      <c r="H167" s="14">
        <v>1</v>
      </c>
      <c r="I167" s="14">
        <f t="shared" si="35"/>
        <v>3</v>
      </c>
      <c r="J167" s="14">
        <f t="shared" si="36"/>
        <v>6</v>
      </c>
      <c r="K167" s="14">
        <f t="shared" si="37"/>
        <v>9</v>
      </c>
      <c r="L167" s="14">
        <f t="shared" si="38"/>
        <v>12</v>
      </c>
      <c r="M167" s="14">
        <v>0</v>
      </c>
      <c r="N167" s="14">
        <v>11</v>
      </c>
      <c r="O167" s="16">
        <f t="shared" si="34"/>
        <v>1</v>
      </c>
    </row>
    <row r="168" spans="1:15" x14ac:dyDescent="0.3">
      <c r="A168" s="8" t="s">
        <v>331</v>
      </c>
      <c r="B168" s="9" t="s">
        <v>332</v>
      </c>
      <c r="C168" s="10" t="s">
        <v>304</v>
      </c>
      <c r="D168" s="11">
        <v>3150</v>
      </c>
      <c r="E168" s="10">
        <v>1</v>
      </c>
      <c r="F168" s="10">
        <v>2</v>
      </c>
      <c r="G168" s="10">
        <v>1</v>
      </c>
      <c r="H168" s="10">
        <v>1</v>
      </c>
      <c r="I168" s="10">
        <f t="shared" si="35"/>
        <v>1</v>
      </c>
      <c r="J168" s="10">
        <f t="shared" si="36"/>
        <v>2</v>
      </c>
      <c r="K168" s="10">
        <f t="shared" si="37"/>
        <v>3</v>
      </c>
      <c r="L168" s="10">
        <f t="shared" si="38"/>
        <v>4</v>
      </c>
      <c r="M168" s="10">
        <v>2</v>
      </c>
      <c r="N168" s="10">
        <v>0</v>
      </c>
      <c r="O168" s="16">
        <f t="shared" si="34"/>
        <v>2</v>
      </c>
    </row>
    <row r="169" spans="1:15" x14ac:dyDescent="0.3">
      <c r="A169" s="12" t="s">
        <v>333</v>
      </c>
      <c r="B169" s="13" t="s">
        <v>334</v>
      </c>
      <c r="C169" s="14" t="s">
        <v>304</v>
      </c>
      <c r="D169" s="15">
        <v>2808</v>
      </c>
      <c r="E169" s="14">
        <v>3</v>
      </c>
      <c r="F169" s="14">
        <v>2</v>
      </c>
      <c r="G169" s="14">
        <v>1</v>
      </c>
      <c r="H169" s="14">
        <v>1</v>
      </c>
      <c r="I169" s="14">
        <f t="shared" si="35"/>
        <v>3</v>
      </c>
      <c r="J169" s="14">
        <f t="shared" si="36"/>
        <v>6</v>
      </c>
      <c r="K169" s="14">
        <f t="shared" si="37"/>
        <v>9</v>
      </c>
      <c r="L169" s="14">
        <f t="shared" si="38"/>
        <v>12</v>
      </c>
      <c r="M169" s="14">
        <v>1</v>
      </c>
      <c r="N169" s="14">
        <v>12</v>
      </c>
      <c r="O169" s="16">
        <f t="shared" si="34"/>
        <v>0</v>
      </c>
    </row>
    <row r="170" spans="1:15" x14ac:dyDescent="0.3">
      <c r="A170" s="8" t="s">
        <v>335</v>
      </c>
      <c r="B170" s="9" t="s">
        <v>336</v>
      </c>
      <c r="C170" s="10" t="s">
        <v>304</v>
      </c>
      <c r="D170" s="11">
        <v>3630</v>
      </c>
      <c r="E170" s="10">
        <v>2</v>
      </c>
      <c r="F170" s="10">
        <v>2</v>
      </c>
      <c r="G170" s="10">
        <v>1</v>
      </c>
      <c r="H170" s="10">
        <v>1</v>
      </c>
      <c r="I170" s="10">
        <f t="shared" si="35"/>
        <v>2</v>
      </c>
      <c r="J170" s="10">
        <f t="shared" si="36"/>
        <v>4</v>
      </c>
      <c r="K170" s="10">
        <f t="shared" si="37"/>
        <v>6</v>
      </c>
      <c r="L170" s="10">
        <f t="shared" si="38"/>
        <v>8</v>
      </c>
      <c r="M170" s="10">
        <v>3</v>
      </c>
      <c r="N170" s="10">
        <v>0</v>
      </c>
      <c r="O170" s="16">
        <f t="shared" si="34"/>
        <v>5</v>
      </c>
    </row>
    <row r="171" spans="1:15" x14ac:dyDescent="0.3">
      <c r="A171" s="12" t="s">
        <v>337</v>
      </c>
      <c r="B171" s="13" t="s">
        <v>338</v>
      </c>
      <c r="C171" s="14" t="s">
        <v>304</v>
      </c>
      <c r="D171" s="15">
        <v>3630</v>
      </c>
      <c r="E171" s="14">
        <v>2</v>
      </c>
      <c r="F171" s="14">
        <v>2</v>
      </c>
      <c r="G171" s="14">
        <v>1</v>
      </c>
      <c r="H171" s="14">
        <v>1</v>
      </c>
      <c r="I171" s="14">
        <f t="shared" si="35"/>
        <v>2</v>
      </c>
      <c r="J171" s="14">
        <f t="shared" si="36"/>
        <v>4</v>
      </c>
      <c r="K171" s="14">
        <f t="shared" si="37"/>
        <v>6</v>
      </c>
      <c r="L171" s="14">
        <f t="shared" si="38"/>
        <v>8</v>
      </c>
      <c r="M171" s="14">
        <v>5</v>
      </c>
      <c r="N171" s="14">
        <v>0</v>
      </c>
      <c r="O171" s="16">
        <f t="shared" si="34"/>
        <v>3</v>
      </c>
    </row>
    <row r="172" spans="1:15" x14ac:dyDescent="0.3">
      <c r="A172" s="8" t="s">
        <v>339</v>
      </c>
      <c r="B172" s="9" t="s">
        <v>340</v>
      </c>
      <c r="C172" s="10" t="s">
        <v>304</v>
      </c>
      <c r="D172" s="11">
        <v>5744</v>
      </c>
      <c r="E172" s="10">
        <v>1</v>
      </c>
      <c r="F172" s="10">
        <v>1</v>
      </c>
      <c r="G172" s="10">
        <v>1</v>
      </c>
      <c r="H172" s="10">
        <v>1</v>
      </c>
      <c r="I172" s="10">
        <f t="shared" si="35"/>
        <v>1</v>
      </c>
      <c r="J172" s="10">
        <f t="shared" si="36"/>
        <v>1</v>
      </c>
      <c r="K172" s="10">
        <f t="shared" si="37"/>
        <v>2</v>
      </c>
      <c r="L172" s="10">
        <f t="shared" si="38"/>
        <v>3</v>
      </c>
      <c r="M172" s="10">
        <v>0</v>
      </c>
      <c r="N172" s="10">
        <v>0</v>
      </c>
      <c r="O172" s="16">
        <f t="shared" si="34"/>
        <v>3</v>
      </c>
    </row>
    <row r="173" spans="1:15" x14ac:dyDescent="0.3">
      <c r="A173" s="12" t="s">
        <v>341</v>
      </c>
      <c r="B173" s="13" t="s">
        <v>342</v>
      </c>
      <c r="C173" s="14" t="s">
        <v>304</v>
      </c>
      <c r="D173" s="15">
        <v>4869</v>
      </c>
      <c r="E173" s="14">
        <v>1</v>
      </c>
      <c r="F173" s="14">
        <v>1</v>
      </c>
      <c r="G173" s="14">
        <v>1</v>
      </c>
      <c r="H173" s="14">
        <v>1</v>
      </c>
      <c r="I173" s="14">
        <f t="shared" si="35"/>
        <v>1</v>
      </c>
      <c r="J173" s="14">
        <f t="shared" si="36"/>
        <v>1</v>
      </c>
      <c r="K173" s="14">
        <f t="shared" si="37"/>
        <v>2</v>
      </c>
      <c r="L173" s="14">
        <f t="shared" si="38"/>
        <v>3</v>
      </c>
      <c r="M173" s="14">
        <v>0</v>
      </c>
      <c r="N173" s="14">
        <v>2</v>
      </c>
      <c r="O173" s="16">
        <f t="shared" si="34"/>
        <v>1</v>
      </c>
    </row>
    <row r="174" spans="1:15" x14ac:dyDescent="0.3">
      <c r="A174" s="8" t="s">
        <v>343</v>
      </c>
      <c r="B174" s="9" t="s">
        <v>344</v>
      </c>
      <c r="C174" s="10" t="s">
        <v>304</v>
      </c>
      <c r="D174" s="11">
        <v>1200</v>
      </c>
      <c r="E174" s="10">
        <v>0.25</v>
      </c>
      <c r="F174" s="10">
        <v>1</v>
      </c>
      <c r="G174" s="10">
        <v>1</v>
      </c>
      <c r="H174" s="10">
        <v>1</v>
      </c>
      <c r="I174" s="10">
        <f t="shared" si="35"/>
        <v>0</v>
      </c>
      <c r="J174" s="10">
        <f t="shared" si="36"/>
        <v>0</v>
      </c>
      <c r="K174" s="10">
        <f t="shared" si="37"/>
        <v>0</v>
      </c>
      <c r="L174" s="10">
        <f t="shared" si="38"/>
        <v>1</v>
      </c>
      <c r="M174" s="10">
        <v>0</v>
      </c>
      <c r="N174" s="10">
        <v>0</v>
      </c>
      <c r="O174" s="16">
        <f t="shared" si="34"/>
        <v>1</v>
      </c>
    </row>
    <row r="175" spans="1:15" x14ac:dyDescent="0.3">
      <c r="A175" s="12" t="s">
        <v>345</v>
      </c>
      <c r="B175" s="13" t="s">
        <v>346</v>
      </c>
      <c r="C175" s="14" t="s">
        <v>304</v>
      </c>
      <c r="D175" s="15">
        <v>5225</v>
      </c>
      <c r="E175" s="14">
        <f>10*0.05</f>
        <v>0.5</v>
      </c>
      <c r="F175" s="14">
        <v>1</v>
      </c>
      <c r="G175" s="14">
        <v>1</v>
      </c>
      <c r="H175" s="14">
        <v>1</v>
      </c>
      <c r="I175" s="14">
        <f t="shared" si="35"/>
        <v>1</v>
      </c>
      <c r="J175" s="14">
        <f t="shared" si="36"/>
        <v>1</v>
      </c>
      <c r="K175" s="14">
        <f t="shared" si="37"/>
        <v>2</v>
      </c>
      <c r="L175" s="14">
        <f t="shared" si="38"/>
        <v>2</v>
      </c>
      <c r="M175" s="14">
        <v>1</v>
      </c>
      <c r="N175" s="14">
        <v>0</v>
      </c>
      <c r="O175" s="16">
        <f t="shared" si="34"/>
        <v>1</v>
      </c>
    </row>
    <row r="176" spans="1:15" x14ac:dyDescent="0.3">
      <c r="A176" s="8" t="s">
        <v>347</v>
      </c>
      <c r="B176" s="9" t="s">
        <v>348</v>
      </c>
      <c r="C176" s="10" t="s">
        <v>304</v>
      </c>
      <c r="D176" s="11">
        <v>0</v>
      </c>
      <c r="E176" s="10">
        <v>0</v>
      </c>
      <c r="F176" s="10">
        <v>1</v>
      </c>
      <c r="G176" s="10">
        <v>1</v>
      </c>
      <c r="H176" s="10">
        <v>1</v>
      </c>
      <c r="I176" s="10">
        <f t="shared" si="35"/>
        <v>0</v>
      </c>
      <c r="J176" s="10">
        <f t="shared" si="36"/>
        <v>0</v>
      </c>
      <c r="K176" s="10">
        <f t="shared" si="37"/>
        <v>0</v>
      </c>
      <c r="L176" s="10">
        <f t="shared" si="38"/>
        <v>0</v>
      </c>
      <c r="M176" s="10">
        <v>0</v>
      </c>
      <c r="N176" s="10">
        <v>0</v>
      </c>
      <c r="O176" s="16">
        <f t="shared" si="34"/>
        <v>0</v>
      </c>
    </row>
    <row r="177" spans="1:15" x14ac:dyDescent="0.3">
      <c r="A177" s="12" t="s">
        <v>349</v>
      </c>
      <c r="B177" s="13" t="s">
        <v>350</v>
      </c>
      <c r="C177" s="14" t="s">
        <v>304</v>
      </c>
      <c r="D177" s="15">
        <v>7076</v>
      </c>
      <c r="E177" s="14">
        <v>0</v>
      </c>
      <c r="F177" s="14">
        <v>1</v>
      </c>
      <c r="G177" s="14">
        <v>1</v>
      </c>
      <c r="H177" s="14">
        <v>1</v>
      </c>
      <c r="I177" s="14">
        <f t="shared" si="35"/>
        <v>0</v>
      </c>
      <c r="J177" s="14">
        <f t="shared" si="36"/>
        <v>0</v>
      </c>
      <c r="K177" s="14">
        <f t="shared" si="37"/>
        <v>0</v>
      </c>
      <c r="L177" s="14">
        <f t="shared" si="38"/>
        <v>0</v>
      </c>
      <c r="M177" s="14">
        <v>0</v>
      </c>
      <c r="N177" s="14">
        <v>0</v>
      </c>
      <c r="O177" s="16">
        <f t="shared" si="34"/>
        <v>0</v>
      </c>
    </row>
    <row r="178" spans="1:15" x14ac:dyDescent="0.3">
      <c r="A178" s="8" t="s">
        <v>325</v>
      </c>
      <c r="B178" s="9" t="s">
        <v>326</v>
      </c>
      <c r="C178" s="10" t="s">
        <v>304</v>
      </c>
      <c r="D178" s="11">
        <v>7897.17</v>
      </c>
      <c r="E178" s="10">
        <f>3*0.05</f>
        <v>0.15000000000000002</v>
      </c>
      <c r="F178" s="10">
        <v>2</v>
      </c>
      <c r="G178" s="10">
        <v>1</v>
      </c>
      <c r="H178" s="10">
        <v>1</v>
      </c>
      <c r="I178" s="10">
        <f>MROUND(E178*G178,1)</f>
        <v>0</v>
      </c>
      <c r="J178" s="10">
        <f>MROUND(E178*F178,1)</f>
        <v>0</v>
      </c>
      <c r="K178" s="10">
        <f>MROUND(I178+J178,1)</f>
        <v>0</v>
      </c>
      <c r="L178" s="10">
        <f>MROUND(E178*(F178+G178+H178),1)</f>
        <v>1</v>
      </c>
      <c r="M178" s="10">
        <v>0</v>
      </c>
      <c r="N178" s="10">
        <v>0</v>
      </c>
      <c r="O178" s="16">
        <f t="shared" si="34"/>
        <v>1</v>
      </c>
    </row>
    <row r="179" spans="1:15" x14ac:dyDescent="0.3">
      <c r="A179" s="12" t="s">
        <v>351</v>
      </c>
      <c r="B179" s="13" t="s">
        <v>352</v>
      </c>
      <c r="C179" s="14" t="s">
        <v>353</v>
      </c>
      <c r="D179" s="15">
        <v>1340</v>
      </c>
      <c r="E179" s="14">
        <v>2</v>
      </c>
      <c r="F179" s="14">
        <v>1</v>
      </c>
      <c r="G179" s="14">
        <v>1</v>
      </c>
      <c r="H179" s="14">
        <v>1</v>
      </c>
      <c r="I179" s="14">
        <f t="shared" si="35"/>
        <v>2</v>
      </c>
      <c r="J179" s="14">
        <f t="shared" si="36"/>
        <v>2</v>
      </c>
      <c r="K179" s="14">
        <f t="shared" si="37"/>
        <v>4</v>
      </c>
      <c r="L179" s="14">
        <f t="shared" si="38"/>
        <v>6</v>
      </c>
      <c r="M179" s="14">
        <v>6</v>
      </c>
      <c r="N179" s="14">
        <v>0</v>
      </c>
      <c r="O179" s="16">
        <f t="shared" si="34"/>
        <v>0</v>
      </c>
    </row>
    <row r="180" spans="1:15" x14ac:dyDescent="0.3">
      <c r="A180" s="8" t="s">
        <v>356</v>
      </c>
      <c r="B180" s="9" t="s">
        <v>357</v>
      </c>
      <c r="C180" s="10" t="s">
        <v>353</v>
      </c>
      <c r="D180" s="11">
        <v>1632</v>
      </c>
      <c r="E180" s="10">
        <v>2</v>
      </c>
      <c r="F180" s="10">
        <v>1</v>
      </c>
      <c r="G180" s="10">
        <v>1</v>
      </c>
      <c r="H180" s="10">
        <v>1</v>
      </c>
      <c r="I180" s="10">
        <f t="shared" si="35"/>
        <v>2</v>
      </c>
      <c r="J180" s="10">
        <f t="shared" si="36"/>
        <v>2</v>
      </c>
      <c r="K180" s="10">
        <f t="shared" si="37"/>
        <v>4</v>
      </c>
      <c r="L180" s="10">
        <f t="shared" si="38"/>
        <v>6</v>
      </c>
      <c r="M180" s="10">
        <v>0</v>
      </c>
      <c r="N180" s="10">
        <v>0</v>
      </c>
      <c r="O180" s="16">
        <f t="shared" si="34"/>
        <v>6</v>
      </c>
    </row>
    <row r="181" spans="1:15" x14ac:dyDescent="0.3">
      <c r="A181" s="12" t="s">
        <v>360</v>
      </c>
      <c r="B181" s="13" t="s">
        <v>361</v>
      </c>
      <c r="C181" s="14" t="s">
        <v>353</v>
      </c>
      <c r="D181" s="15">
        <v>2025</v>
      </c>
      <c r="E181" s="14">
        <v>2</v>
      </c>
      <c r="F181" s="14">
        <v>1</v>
      </c>
      <c r="G181" s="14">
        <v>1</v>
      </c>
      <c r="H181" s="14">
        <v>1</v>
      </c>
      <c r="I181" s="14">
        <f t="shared" si="35"/>
        <v>2</v>
      </c>
      <c r="J181" s="14">
        <f t="shared" si="36"/>
        <v>2</v>
      </c>
      <c r="K181" s="14">
        <f t="shared" si="37"/>
        <v>4</v>
      </c>
      <c r="L181" s="14">
        <f t="shared" si="38"/>
        <v>6</v>
      </c>
      <c r="M181" s="14">
        <v>2</v>
      </c>
      <c r="N181" s="14">
        <v>0</v>
      </c>
      <c r="O181" s="16">
        <f t="shared" si="34"/>
        <v>4</v>
      </c>
    </row>
    <row r="182" spans="1:15" x14ac:dyDescent="0.3">
      <c r="A182" s="8" t="s">
        <v>364</v>
      </c>
      <c r="B182" s="9" t="s">
        <v>365</v>
      </c>
      <c r="C182" s="10" t="s">
        <v>353</v>
      </c>
      <c r="D182" s="11">
        <v>2617</v>
      </c>
      <c r="E182" s="10">
        <v>2</v>
      </c>
      <c r="F182" s="10">
        <v>1</v>
      </c>
      <c r="G182" s="10">
        <v>1</v>
      </c>
      <c r="H182" s="10">
        <v>1</v>
      </c>
      <c r="I182" s="10">
        <f t="shared" si="35"/>
        <v>2</v>
      </c>
      <c r="J182" s="10">
        <f t="shared" si="36"/>
        <v>2</v>
      </c>
      <c r="K182" s="10">
        <f t="shared" si="37"/>
        <v>4</v>
      </c>
      <c r="L182" s="10">
        <f t="shared" si="38"/>
        <v>6</v>
      </c>
      <c r="M182" s="10">
        <v>4</v>
      </c>
      <c r="N182" s="10">
        <v>0</v>
      </c>
      <c r="O182" s="16">
        <f t="shared" si="34"/>
        <v>2</v>
      </c>
    </row>
    <row r="183" spans="1:15" x14ac:dyDescent="0.3">
      <c r="A183" s="12" t="s">
        <v>368</v>
      </c>
      <c r="B183" s="13" t="s">
        <v>369</v>
      </c>
      <c r="C183" s="14" t="s">
        <v>353</v>
      </c>
      <c r="D183" s="15">
        <v>3010</v>
      </c>
      <c r="E183" s="14">
        <v>2</v>
      </c>
      <c r="F183" s="14">
        <v>1</v>
      </c>
      <c r="G183" s="14">
        <v>1</v>
      </c>
      <c r="H183" s="14">
        <v>1</v>
      </c>
      <c r="I183" s="14">
        <f t="shared" si="35"/>
        <v>2</v>
      </c>
      <c r="J183" s="14">
        <f t="shared" si="36"/>
        <v>2</v>
      </c>
      <c r="K183" s="14">
        <f t="shared" si="37"/>
        <v>4</v>
      </c>
      <c r="L183" s="14">
        <f t="shared" si="38"/>
        <v>6</v>
      </c>
      <c r="M183" s="14">
        <v>1</v>
      </c>
      <c r="N183" s="14">
        <v>0</v>
      </c>
      <c r="O183" s="16">
        <f t="shared" si="34"/>
        <v>5</v>
      </c>
    </row>
    <row r="184" spans="1:15" x14ac:dyDescent="0.3">
      <c r="A184" s="8" t="s">
        <v>370</v>
      </c>
      <c r="B184" s="9" t="s">
        <v>371</v>
      </c>
      <c r="C184" s="10" t="s">
        <v>353</v>
      </c>
      <c r="D184" s="11">
        <v>3685</v>
      </c>
      <c r="E184" s="10">
        <v>2</v>
      </c>
      <c r="F184" s="10">
        <v>1</v>
      </c>
      <c r="G184" s="10">
        <v>1</v>
      </c>
      <c r="H184" s="10">
        <v>1</v>
      </c>
      <c r="I184" s="10">
        <f>MROUND(E184*G184,1)</f>
        <v>2</v>
      </c>
      <c r="J184" s="10">
        <f>MROUND(E184*F184,1)</f>
        <v>2</v>
      </c>
      <c r="K184" s="10">
        <f>MROUND(I184+J184,1)</f>
        <v>4</v>
      </c>
      <c r="L184" s="10">
        <f>MROUND(E184*(F184+G184+H184),1)</f>
        <v>6</v>
      </c>
      <c r="M184" s="10">
        <v>6</v>
      </c>
      <c r="N184" s="10">
        <v>0</v>
      </c>
      <c r="O184" s="16">
        <f t="shared" si="34"/>
        <v>0</v>
      </c>
    </row>
    <row r="185" spans="1:15" x14ac:dyDescent="0.3">
      <c r="A185" s="12" t="s">
        <v>354</v>
      </c>
      <c r="B185" s="13" t="s">
        <v>355</v>
      </c>
      <c r="C185" s="14" t="s">
        <v>353</v>
      </c>
      <c r="D185" s="15">
        <v>0</v>
      </c>
      <c r="E185" s="14">
        <v>0</v>
      </c>
      <c r="F185" s="14">
        <v>1</v>
      </c>
      <c r="G185" s="14">
        <v>1</v>
      </c>
      <c r="H185" s="14">
        <v>1</v>
      </c>
      <c r="I185" s="14">
        <f>MROUND(E185*G185,1)</f>
        <v>0</v>
      </c>
      <c r="J185" s="14">
        <f>MROUND(E185*F185,1)</f>
        <v>0</v>
      </c>
      <c r="K185" s="14">
        <f>MROUND(I185+J185,1)</f>
        <v>0</v>
      </c>
      <c r="L185" s="14">
        <f>MROUND(E185*(F185+G185+H185),1)</f>
        <v>0</v>
      </c>
      <c r="M185" s="14">
        <v>1</v>
      </c>
      <c r="N185" s="14">
        <v>0</v>
      </c>
      <c r="O185" s="16">
        <f t="shared" si="34"/>
        <v>0</v>
      </c>
    </row>
    <row r="186" spans="1:15" x14ac:dyDescent="0.3">
      <c r="A186" s="8" t="s">
        <v>358</v>
      </c>
      <c r="B186" s="9" t="s">
        <v>359</v>
      </c>
      <c r="C186" s="10" t="s">
        <v>353</v>
      </c>
      <c r="D186" s="11">
        <v>2077</v>
      </c>
      <c r="E186" s="10">
        <v>0</v>
      </c>
      <c r="F186" s="10">
        <v>1</v>
      </c>
      <c r="G186" s="10">
        <v>1</v>
      </c>
      <c r="H186" s="10">
        <v>1</v>
      </c>
      <c r="I186" s="10">
        <f>MROUND(E186*G186,1)</f>
        <v>0</v>
      </c>
      <c r="J186" s="10">
        <f>MROUND(E186*F186,1)</f>
        <v>0</v>
      </c>
      <c r="K186" s="10">
        <f>MROUND(I186+J186,1)</f>
        <v>0</v>
      </c>
      <c r="L186" s="10">
        <f>MROUND(E186*(F186+G186+H186),1)</f>
        <v>0</v>
      </c>
      <c r="M186" s="10">
        <v>3</v>
      </c>
      <c r="N186" s="10">
        <v>0</v>
      </c>
      <c r="O186" s="16">
        <f t="shared" si="34"/>
        <v>0</v>
      </c>
    </row>
    <row r="187" spans="1:15" x14ac:dyDescent="0.3">
      <c r="A187" s="12" t="s">
        <v>362</v>
      </c>
      <c r="B187" s="13" t="s">
        <v>363</v>
      </c>
      <c r="C187" s="14" t="s">
        <v>353</v>
      </c>
      <c r="D187" s="15">
        <v>2608</v>
      </c>
      <c r="E187" s="14">
        <v>0</v>
      </c>
      <c r="F187" s="14">
        <v>1</v>
      </c>
      <c r="G187" s="14">
        <v>1</v>
      </c>
      <c r="H187" s="14">
        <v>1</v>
      </c>
      <c r="I187" s="14">
        <f>MROUND(E187*G187,1)</f>
        <v>0</v>
      </c>
      <c r="J187" s="14">
        <f>MROUND(E187*F187,1)</f>
        <v>0</v>
      </c>
      <c r="K187" s="14">
        <f>MROUND(I187+J187,1)</f>
        <v>0</v>
      </c>
      <c r="L187" s="14">
        <f>MROUND(E187*(F187+G187+H187),1)</f>
        <v>0</v>
      </c>
      <c r="M187" s="14">
        <v>2</v>
      </c>
      <c r="N187" s="14">
        <v>0</v>
      </c>
      <c r="O187" s="16">
        <f t="shared" si="34"/>
        <v>0</v>
      </c>
    </row>
    <row r="188" spans="1:15" x14ac:dyDescent="0.3">
      <c r="A188" s="8" t="s">
        <v>366</v>
      </c>
      <c r="B188" s="9" t="s">
        <v>367</v>
      </c>
      <c r="C188" s="10" t="s">
        <v>353</v>
      </c>
      <c r="D188" s="11">
        <v>3435</v>
      </c>
      <c r="E188" s="10">
        <v>0</v>
      </c>
      <c r="F188" s="10">
        <v>1</v>
      </c>
      <c r="G188" s="10">
        <v>1</v>
      </c>
      <c r="H188" s="10">
        <v>1</v>
      </c>
      <c r="I188" s="10">
        <f>MROUND(E188*G188,1)</f>
        <v>0</v>
      </c>
      <c r="J188" s="10">
        <f>MROUND(E188*F188,1)</f>
        <v>0</v>
      </c>
      <c r="K188" s="10">
        <f>MROUND(I188+J188,1)</f>
        <v>0</v>
      </c>
      <c r="L188" s="10">
        <f>MROUND(E188*(F188+G188+H188),1)</f>
        <v>0</v>
      </c>
      <c r="M188" s="10">
        <v>0</v>
      </c>
      <c r="N188" s="10">
        <v>0</v>
      </c>
      <c r="O188" s="16">
        <f t="shared" si="34"/>
        <v>0</v>
      </c>
    </row>
    <row r="189" spans="1:15" x14ac:dyDescent="0.3">
      <c r="A189" s="12" t="s">
        <v>372</v>
      </c>
      <c r="B189" s="13" t="s">
        <v>373</v>
      </c>
      <c r="C189" s="14" t="s">
        <v>353</v>
      </c>
      <c r="D189" s="15">
        <v>3500.75</v>
      </c>
      <c r="E189" s="14">
        <v>0</v>
      </c>
      <c r="F189" s="14">
        <v>1</v>
      </c>
      <c r="G189" s="14">
        <v>1</v>
      </c>
      <c r="H189" s="14">
        <v>1</v>
      </c>
      <c r="I189" s="14">
        <f t="shared" si="35"/>
        <v>0</v>
      </c>
      <c r="J189" s="14">
        <f t="shared" si="36"/>
        <v>0</v>
      </c>
      <c r="K189" s="14">
        <f t="shared" si="37"/>
        <v>0</v>
      </c>
      <c r="L189" s="14">
        <f t="shared" si="38"/>
        <v>0</v>
      </c>
      <c r="M189" s="14">
        <v>0</v>
      </c>
      <c r="N189" s="14">
        <v>0</v>
      </c>
      <c r="O189" s="16">
        <f t="shared" si="34"/>
        <v>0</v>
      </c>
    </row>
    <row r="190" spans="1:15" x14ac:dyDescent="0.3">
      <c r="A190" s="8" t="s">
        <v>374</v>
      </c>
      <c r="B190" s="9" t="s">
        <v>375</v>
      </c>
      <c r="C190" s="10" t="s">
        <v>353</v>
      </c>
      <c r="D190" s="11">
        <v>4804</v>
      </c>
      <c r="E190" s="10">
        <v>0</v>
      </c>
      <c r="F190" s="10">
        <v>1</v>
      </c>
      <c r="G190" s="10">
        <v>1</v>
      </c>
      <c r="H190" s="10">
        <v>1</v>
      </c>
      <c r="I190" s="10">
        <f t="shared" si="35"/>
        <v>0</v>
      </c>
      <c r="J190" s="10">
        <f t="shared" si="36"/>
        <v>0</v>
      </c>
      <c r="K190" s="10">
        <f t="shared" si="37"/>
        <v>0</v>
      </c>
      <c r="L190" s="10">
        <f t="shared" si="38"/>
        <v>0</v>
      </c>
      <c r="M190" s="10">
        <v>0</v>
      </c>
      <c r="N190" s="10">
        <v>0</v>
      </c>
      <c r="O190" s="16">
        <f t="shared" si="34"/>
        <v>0</v>
      </c>
    </row>
    <row r="191" spans="1:15" x14ac:dyDescent="0.3">
      <c r="A191" s="12" t="s">
        <v>376</v>
      </c>
      <c r="B191" s="13" t="s">
        <v>377</v>
      </c>
      <c r="C191" s="14" t="s">
        <v>378</v>
      </c>
      <c r="D191" s="15">
        <v>341</v>
      </c>
      <c r="E191" s="14">
        <v>2</v>
      </c>
      <c r="F191" s="14">
        <v>1</v>
      </c>
      <c r="G191" s="14">
        <v>1</v>
      </c>
      <c r="H191" s="14">
        <v>1</v>
      </c>
      <c r="I191" s="14">
        <f t="shared" si="35"/>
        <v>2</v>
      </c>
      <c r="J191" s="14">
        <f t="shared" si="36"/>
        <v>2</v>
      </c>
      <c r="K191" s="14">
        <f t="shared" si="37"/>
        <v>4</v>
      </c>
      <c r="L191" s="14">
        <f t="shared" si="38"/>
        <v>6</v>
      </c>
      <c r="M191" s="14">
        <v>16</v>
      </c>
      <c r="N191" s="14">
        <v>0</v>
      </c>
      <c r="O191" s="16">
        <f t="shared" si="34"/>
        <v>0</v>
      </c>
    </row>
    <row r="192" spans="1:15" x14ac:dyDescent="0.3">
      <c r="A192" s="8" t="s">
        <v>379</v>
      </c>
      <c r="B192" s="9" t="s">
        <v>380</v>
      </c>
      <c r="C192" s="10" t="s">
        <v>378</v>
      </c>
      <c r="D192" s="11">
        <v>448</v>
      </c>
      <c r="E192" s="10">
        <v>2</v>
      </c>
      <c r="F192" s="10">
        <v>1</v>
      </c>
      <c r="G192" s="10">
        <v>1</v>
      </c>
      <c r="H192" s="10">
        <v>1</v>
      </c>
      <c r="I192" s="10">
        <f t="shared" si="35"/>
        <v>2</v>
      </c>
      <c r="J192" s="10">
        <f t="shared" si="36"/>
        <v>2</v>
      </c>
      <c r="K192" s="10">
        <f t="shared" si="37"/>
        <v>4</v>
      </c>
      <c r="L192" s="10">
        <f t="shared" si="38"/>
        <v>6</v>
      </c>
      <c r="M192" s="10">
        <v>4</v>
      </c>
      <c r="N192" s="10">
        <v>0</v>
      </c>
      <c r="O192" s="16">
        <f t="shared" si="34"/>
        <v>2</v>
      </c>
    </row>
    <row r="193" spans="1:15" x14ac:dyDescent="0.3">
      <c r="A193" s="12" t="s">
        <v>381</v>
      </c>
      <c r="B193" s="13" t="s">
        <v>382</v>
      </c>
      <c r="C193" s="14" t="s">
        <v>378</v>
      </c>
      <c r="D193" s="15">
        <v>478</v>
      </c>
      <c r="E193" s="14">
        <v>2</v>
      </c>
      <c r="F193" s="14">
        <v>1</v>
      </c>
      <c r="G193" s="14">
        <v>1</v>
      </c>
      <c r="H193" s="14">
        <v>1</v>
      </c>
      <c r="I193" s="14">
        <f t="shared" si="35"/>
        <v>2</v>
      </c>
      <c r="J193" s="14">
        <f t="shared" si="36"/>
        <v>2</v>
      </c>
      <c r="K193" s="14">
        <f t="shared" si="37"/>
        <v>4</v>
      </c>
      <c r="L193" s="14">
        <f t="shared" si="38"/>
        <v>6</v>
      </c>
      <c r="M193" s="14">
        <v>11</v>
      </c>
      <c r="N193" s="14">
        <v>0</v>
      </c>
      <c r="O193" s="16">
        <f t="shared" si="34"/>
        <v>0</v>
      </c>
    </row>
    <row r="194" spans="1:15" x14ac:dyDescent="0.3">
      <c r="A194" s="8" t="s">
        <v>383</v>
      </c>
      <c r="B194" s="9" t="s">
        <v>384</v>
      </c>
      <c r="C194" s="10" t="s">
        <v>378</v>
      </c>
      <c r="D194" s="11">
        <v>250</v>
      </c>
      <c r="E194" s="10">
        <v>2.5</v>
      </c>
      <c r="F194" s="10">
        <v>1</v>
      </c>
      <c r="G194" s="10">
        <v>1</v>
      </c>
      <c r="H194" s="10">
        <v>1</v>
      </c>
      <c r="I194" s="10">
        <f t="shared" si="35"/>
        <v>3</v>
      </c>
      <c r="J194" s="10">
        <f t="shared" si="36"/>
        <v>3</v>
      </c>
      <c r="K194" s="10">
        <f t="shared" si="37"/>
        <v>6</v>
      </c>
      <c r="L194" s="10">
        <f t="shared" si="38"/>
        <v>8</v>
      </c>
      <c r="M194" s="10">
        <v>16</v>
      </c>
      <c r="N194" s="10">
        <v>0</v>
      </c>
      <c r="O194" s="16">
        <f t="shared" si="34"/>
        <v>0</v>
      </c>
    </row>
    <row r="195" spans="1:15" x14ac:dyDescent="0.3">
      <c r="A195" s="12" t="s">
        <v>385</v>
      </c>
      <c r="B195" s="13" t="s">
        <v>386</v>
      </c>
      <c r="C195" s="14" t="s">
        <v>378</v>
      </c>
      <c r="D195" s="15">
        <v>595</v>
      </c>
      <c r="E195" s="14">
        <v>2</v>
      </c>
      <c r="F195" s="14">
        <v>1</v>
      </c>
      <c r="G195" s="14">
        <v>1</v>
      </c>
      <c r="H195" s="14">
        <v>1</v>
      </c>
      <c r="I195" s="14">
        <f t="shared" si="35"/>
        <v>2</v>
      </c>
      <c r="J195" s="14">
        <f t="shared" si="36"/>
        <v>2</v>
      </c>
      <c r="K195" s="14">
        <f t="shared" si="37"/>
        <v>4</v>
      </c>
      <c r="L195" s="14">
        <f t="shared" si="38"/>
        <v>6</v>
      </c>
      <c r="M195" s="14">
        <v>10</v>
      </c>
      <c r="N195" s="14">
        <v>0</v>
      </c>
      <c r="O195" s="16">
        <f t="shared" ref="O195:O251" si="43">IF(IF(M195&lt;=K195,L195-M195-N195,0)&lt;0,0,IF(M195&lt;=K195,L195-M195-N195,0))</f>
        <v>0</v>
      </c>
    </row>
    <row r="196" spans="1:15" x14ac:dyDescent="0.3">
      <c r="A196" s="8" t="s">
        <v>387</v>
      </c>
      <c r="B196" s="9" t="s">
        <v>388</v>
      </c>
      <c r="C196" s="10" t="s">
        <v>378</v>
      </c>
      <c r="D196" s="11">
        <v>679</v>
      </c>
      <c r="E196" s="10">
        <v>2</v>
      </c>
      <c r="F196" s="10">
        <v>1</v>
      </c>
      <c r="G196" s="10">
        <v>1</v>
      </c>
      <c r="H196" s="10">
        <v>1</v>
      </c>
      <c r="I196" s="10">
        <f t="shared" si="35"/>
        <v>2</v>
      </c>
      <c r="J196" s="10">
        <f t="shared" si="36"/>
        <v>2</v>
      </c>
      <c r="K196" s="10">
        <f t="shared" si="37"/>
        <v>4</v>
      </c>
      <c r="L196" s="10">
        <f t="shared" si="38"/>
        <v>6</v>
      </c>
      <c r="M196" s="10">
        <v>13</v>
      </c>
      <c r="N196" s="10">
        <v>0</v>
      </c>
      <c r="O196" s="16">
        <f t="shared" si="43"/>
        <v>0</v>
      </c>
    </row>
    <row r="197" spans="1:15" x14ac:dyDescent="0.3">
      <c r="A197" s="12" t="s">
        <v>389</v>
      </c>
      <c r="B197" s="13" t="s">
        <v>390</v>
      </c>
      <c r="C197" s="14" t="s">
        <v>378</v>
      </c>
      <c r="D197" s="15">
        <v>731</v>
      </c>
      <c r="E197" s="14">
        <v>2.5</v>
      </c>
      <c r="F197" s="14">
        <v>1</v>
      </c>
      <c r="G197" s="14">
        <v>1</v>
      </c>
      <c r="H197" s="14">
        <v>1</v>
      </c>
      <c r="I197" s="14">
        <f t="shared" si="35"/>
        <v>3</v>
      </c>
      <c r="J197" s="14">
        <f t="shared" si="36"/>
        <v>3</v>
      </c>
      <c r="K197" s="14">
        <f t="shared" si="37"/>
        <v>6</v>
      </c>
      <c r="L197" s="14">
        <f t="shared" si="38"/>
        <v>8</v>
      </c>
      <c r="M197" s="14">
        <v>2</v>
      </c>
      <c r="N197" s="14">
        <v>0</v>
      </c>
      <c r="O197" s="16">
        <f t="shared" si="43"/>
        <v>6</v>
      </c>
    </row>
    <row r="198" spans="1:15" x14ac:dyDescent="0.3">
      <c r="A198" s="8" t="s">
        <v>391</v>
      </c>
      <c r="B198" s="9" t="s">
        <v>392</v>
      </c>
      <c r="C198" s="10" t="s">
        <v>393</v>
      </c>
      <c r="D198" s="11">
        <v>30</v>
      </c>
      <c r="E198" s="10">
        <v>2</v>
      </c>
      <c r="F198" s="10">
        <v>1</v>
      </c>
      <c r="G198" s="10">
        <v>0.5</v>
      </c>
      <c r="H198" s="10">
        <v>1</v>
      </c>
      <c r="I198" s="10">
        <f t="shared" ref="I198:I230" si="44">MROUND(E198*G198,1)</f>
        <v>1</v>
      </c>
      <c r="J198" s="10">
        <f t="shared" ref="J198:J230" si="45">MROUND(E198*F198,1)</f>
        <v>2</v>
      </c>
      <c r="K198" s="10">
        <f t="shared" ref="K198:K230" si="46">MROUND(I198+J198,1)</f>
        <v>3</v>
      </c>
      <c r="L198" s="10">
        <f t="shared" ref="L198:L230" si="47">MROUND(E198*(F198+G198+H198),1)</f>
        <v>5</v>
      </c>
      <c r="M198" s="10">
        <v>16</v>
      </c>
      <c r="N198" s="10">
        <v>0</v>
      </c>
      <c r="O198" s="16">
        <f t="shared" si="43"/>
        <v>0</v>
      </c>
    </row>
    <row r="199" spans="1:15" x14ac:dyDescent="0.3">
      <c r="A199" s="24" t="s">
        <v>394</v>
      </c>
      <c r="B199" s="13" t="s">
        <v>395</v>
      </c>
      <c r="C199" s="14" t="s">
        <v>393</v>
      </c>
      <c r="D199" s="15">
        <v>0.24</v>
      </c>
      <c r="E199" s="14">
        <v>50</v>
      </c>
      <c r="F199" s="14">
        <v>1</v>
      </c>
      <c r="G199" s="14">
        <v>1</v>
      </c>
      <c r="H199" s="14">
        <v>1</v>
      </c>
      <c r="I199" s="14">
        <f t="shared" si="44"/>
        <v>50</v>
      </c>
      <c r="J199" s="14">
        <f t="shared" si="45"/>
        <v>50</v>
      </c>
      <c r="K199" s="14">
        <f t="shared" si="46"/>
        <v>100</v>
      </c>
      <c r="L199" s="14">
        <f t="shared" si="47"/>
        <v>150</v>
      </c>
      <c r="M199" s="14">
        <v>200</v>
      </c>
      <c r="N199" s="14">
        <v>0</v>
      </c>
      <c r="O199" s="16">
        <f t="shared" si="43"/>
        <v>0</v>
      </c>
    </row>
    <row r="200" spans="1:15" x14ac:dyDescent="0.3">
      <c r="A200" s="8" t="s">
        <v>396</v>
      </c>
      <c r="B200" s="9" t="s">
        <v>397</v>
      </c>
      <c r="C200" s="10" t="s">
        <v>393</v>
      </c>
      <c r="D200" s="11">
        <v>0.24</v>
      </c>
      <c r="E200" s="10">
        <v>50</v>
      </c>
      <c r="F200" s="10">
        <v>1</v>
      </c>
      <c r="G200" s="10">
        <v>1</v>
      </c>
      <c r="H200" s="10">
        <v>1</v>
      </c>
      <c r="I200" s="10">
        <f t="shared" si="44"/>
        <v>50</v>
      </c>
      <c r="J200" s="10">
        <f t="shared" si="45"/>
        <v>50</v>
      </c>
      <c r="K200" s="10">
        <f t="shared" si="46"/>
        <v>100</v>
      </c>
      <c r="L200" s="10">
        <f t="shared" si="47"/>
        <v>150</v>
      </c>
      <c r="M200" s="10">
        <v>800</v>
      </c>
      <c r="N200" s="10">
        <v>0</v>
      </c>
      <c r="O200" s="16">
        <f t="shared" si="43"/>
        <v>0</v>
      </c>
    </row>
    <row r="201" spans="1:15" x14ac:dyDescent="0.3">
      <c r="A201" s="12" t="s">
        <v>398</v>
      </c>
      <c r="B201" s="13" t="s">
        <v>399</v>
      </c>
      <c r="C201" s="14" t="s">
        <v>393</v>
      </c>
      <c r="D201" s="15">
        <v>30</v>
      </c>
      <c r="E201" s="14">
        <v>10</v>
      </c>
      <c r="F201" s="14">
        <v>1</v>
      </c>
      <c r="G201" s="14">
        <v>0.5</v>
      </c>
      <c r="H201" s="14">
        <v>1</v>
      </c>
      <c r="I201" s="14">
        <f t="shared" si="44"/>
        <v>5</v>
      </c>
      <c r="J201" s="14">
        <f t="shared" si="45"/>
        <v>10</v>
      </c>
      <c r="K201" s="14">
        <f t="shared" si="46"/>
        <v>15</v>
      </c>
      <c r="L201" s="14">
        <f t="shared" si="47"/>
        <v>25</v>
      </c>
      <c r="M201" s="14">
        <v>21</v>
      </c>
      <c r="N201" s="14">
        <v>0</v>
      </c>
      <c r="O201" s="16">
        <f t="shared" si="43"/>
        <v>0</v>
      </c>
    </row>
    <row r="202" spans="1:15" x14ac:dyDescent="0.3">
      <c r="A202" s="8" t="s">
        <v>400</v>
      </c>
      <c r="B202" s="9" t="s">
        <v>401</v>
      </c>
      <c r="C202" s="10" t="s">
        <v>393</v>
      </c>
      <c r="D202" s="11">
        <v>30</v>
      </c>
      <c r="E202" s="10">
        <v>10</v>
      </c>
      <c r="F202" s="10">
        <v>1</v>
      </c>
      <c r="G202" s="10">
        <v>0.5</v>
      </c>
      <c r="H202" s="10">
        <v>1</v>
      </c>
      <c r="I202" s="10">
        <f t="shared" si="44"/>
        <v>5</v>
      </c>
      <c r="J202" s="10">
        <f t="shared" si="45"/>
        <v>10</v>
      </c>
      <c r="K202" s="10">
        <f t="shared" si="46"/>
        <v>15</v>
      </c>
      <c r="L202" s="10">
        <f t="shared" si="47"/>
        <v>25</v>
      </c>
      <c r="M202" s="10">
        <v>32</v>
      </c>
      <c r="N202" s="10">
        <v>0</v>
      </c>
      <c r="O202" s="16">
        <f t="shared" si="43"/>
        <v>0</v>
      </c>
    </row>
    <row r="203" spans="1:15" x14ac:dyDescent="0.3">
      <c r="A203" s="12" t="s">
        <v>402</v>
      </c>
      <c r="B203" s="13" t="s">
        <v>403</v>
      </c>
      <c r="C203" s="14" t="s">
        <v>393</v>
      </c>
      <c r="D203" s="15">
        <v>30</v>
      </c>
      <c r="E203" s="14">
        <v>10</v>
      </c>
      <c r="F203" s="14">
        <v>1</v>
      </c>
      <c r="G203" s="14">
        <v>0.5</v>
      </c>
      <c r="H203" s="14">
        <v>1</v>
      </c>
      <c r="I203" s="14">
        <f t="shared" si="44"/>
        <v>5</v>
      </c>
      <c r="J203" s="14">
        <f t="shared" si="45"/>
        <v>10</v>
      </c>
      <c r="K203" s="14">
        <f t="shared" si="46"/>
        <v>15</v>
      </c>
      <c r="L203" s="14">
        <f t="shared" si="47"/>
        <v>25</v>
      </c>
      <c r="M203" s="14">
        <v>44</v>
      </c>
      <c r="N203" s="14">
        <v>0</v>
      </c>
      <c r="O203" s="16">
        <f t="shared" si="43"/>
        <v>0</v>
      </c>
    </row>
    <row r="204" spans="1:15" x14ac:dyDescent="0.3">
      <c r="A204" s="8" t="s">
        <v>404</v>
      </c>
      <c r="B204" s="9" t="s">
        <v>405</v>
      </c>
      <c r="C204" s="10" t="s">
        <v>393</v>
      </c>
      <c r="D204" s="11">
        <v>210</v>
      </c>
      <c r="E204" s="10">
        <v>2</v>
      </c>
      <c r="F204" s="10">
        <v>1</v>
      </c>
      <c r="G204" s="10">
        <v>0.5</v>
      </c>
      <c r="H204" s="10">
        <v>1</v>
      </c>
      <c r="I204" s="10">
        <f t="shared" si="44"/>
        <v>1</v>
      </c>
      <c r="J204" s="10">
        <f t="shared" si="45"/>
        <v>2</v>
      </c>
      <c r="K204" s="10">
        <f t="shared" si="46"/>
        <v>3</v>
      </c>
      <c r="L204" s="10">
        <f t="shared" si="47"/>
        <v>5</v>
      </c>
      <c r="M204" s="10">
        <v>0</v>
      </c>
      <c r="N204" s="10">
        <v>0</v>
      </c>
      <c r="O204" s="16">
        <f t="shared" si="43"/>
        <v>5</v>
      </c>
    </row>
    <row r="205" spans="1:15" x14ac:dyDescent="0.3">
      <c r="A205" s="12" t="s">
        <v>406</v>
      </c>
      <c r="B205" s="13" t="s">
        <v>407</v>
      </c>
      <c r="C205" s="14" t="s">
        <v>393</v>
      </c>
      <c r="D205" s="15">
        <v>4</v>
      </c>
      <c r="E205" s="14">
        <v>10</v>
      </c>
      <c r="F205" s="14">
        <v>1</v>
      </c>
      <c r="G205" s="14">
        <v>0.5</v>
      </c>
      <c r="H205" s="14">
        <v>1</v>
      </c>
      <c r="I205" s="14">
        <f t="shared" si="44"/>
        <v>5</v>
      </c>
      <c r="J205" s="14">
        <f t="shared" si="45"/>
        <v>10</v>
      </c>
      <c r="K205" s="14">
        <f t="shared" si="46"/>
        <v>15</v>
      </c>
      <c r="L205" s="14">
        <f t="shared" si="47"/>
        <v>25</v>
      </c>
      <c r="M205" s="14">
        <v>50</v>
      </c>
      <c r="N205" s="14">
        <v>0</v>
      </c>
      <c r="O205" s="16">
        <f t="shared" si="43"/>
        <v>0</v>
      </c>
    </row>
    <row r="206" spans="1:15" x14ac:dyDescent="0.3">
      <c r="A206" s="8" t="s">
        <v>408</v>
      </c>
      <c r="B206" s="9" t="s">
        <v>409</v>
      </c>
      <c r="C206" s="10" t="s">
        <v>393</v>
      </c>
      <c r="D206" s="11">
        <v>12</v>
      </c>
      <c r="E206" s="10">
        <v>10</v>
      </c>
      <c r="F206" s="10">
        <v>1</v>
      </c>
      <c r="G206" s="10">
        <v>0.5</v>
      </c>
      <c r="H206" s="10">
        <v>1</v>
      </c>
      <c r="I206" s="10">
        <f t="shared" si="44"/>
        <v>5</v>
      </c>
      <c r="J206" s="10">
        <f t="shared" si="45"/>
        <v>10</v>
      </c>
      <c r="K206" s="10">
        <f t="shared" si="46"/>
        <v>15</v>
      </c>
      <c r="L206" s="10">
        <f t="shared" si="47"/>
        <v>25</v>
      </c>
      <c r="M206" s="10">
        <v>24</v>
      </c>
      <c r="N206" s="10">
        <v>0</v>
      </c>
      <c r="O206" s="16">
        <f t="shared" si="43"/>
        <v>0</v>
      </c>
    </row>
    <row r="207" spans="1:15" x14ac:dyDescent="0.3">
      <c r="A207" s="12" t="s">
        <v>410</v>
      </c>
      <c r="B207" s="13" t="s">
        <v>411</v>
      </c>
      <c r="C207" s="14" t="s">
        <v>393</v>
      </c>
      <c r="D207" s="15">
        <v>18</v>
      </c>
      <c r="E207" s="14">
        <v>8</v>
      </c>
      <c r="F207" s="14">
        <v>1</v>
      </c>
      <c r="G207" s="14">
        <v>0.5</v>
      </c>
      <c r="H207" s="14">
        <v>1</v>
      </c>
      <c r="I207" s="14">
        <f t="shared" si="44"/>
        <v>4</v>
      </c>
      <c r="J207" s="14">
        <f t="shared" si="45"/>
        <v>8</v>
      </c>
      <c r="K207" s="14">
        <f t="shared" si="46"/>
        <v>12</v>
      </c>
      <c r="L207" s="14">
        <f t="shared" si="47"/>
        <v>20</v>
      </c>
      <c r="M207" s="14">
        <v>15</v>
      </c>
      <c r="N207" s="14">
        <v>0</v>
      </c>
      <c r="O207" s="16">
        <f t="shared" si="43"/>
        <v>0</v>
      </c>
    </row>
    <row r="208" spans="1:15" x14ac:dyDescent="0.3">
      <c r="A208" s="8" t="s">
        <v>412</v>
      </c>
      <c r="B208" s="9" t="s">
        <v>413</v>
      </c>
      <c r="C208" s="10" t="s">
        <v>393</v>
      </c>
      <c r="D208" s="11">
        <v>32</v>
      </c>
      <c r="E208" s="10">
        <v>10</v>
      </c>
      <c r="F208" s="10">
        <v>1</v>
      </c>
      <c r="G208" s="10">
        <v>0.5</v>
      </c>
      <c r="H208" s="10">
        <v>1</v>
      </c>
      <c r="I208" s="10">
        <f t="shared" si="44"/>
        <v>5</v>
      </c>
      <c r="J208" s="10">
        <f t="shared" si="45"/>
        <v>10</v>
      </c>
      <c r="K208" s="10">
        <f t="shared" si="46"/>
        <v>15</v>
      </c>
      <c r="L208" s="10">
        <f t="shared" si="47"/>
        <v>25</v>
      </c>
      <c r="M208" s="10">
        <v>20</v>
      </c>
      <c r="N208" s="10">
        <v>0</v>
      </c>
      <c r="O208" s="16">
        <f t="shared" si="43"/>
        <v>0</v>
      </c>
    </row>
    <row r="209" spans="1:15" x14ac:dyDescent="0.3">
      <c r="A209" s="12" t="s">
        <v>414</v>
      </c>
      <c r="B209" s="13" t="s">
        <v>415</v>
      </c>
      <c r="C209" s="14" t="s">
        <v>393</v>
      </c>
      <c r="D209" s="15">
        <v>12</v>
      </c>
      <c r="E209" s="14">
        <v>1</v>
      </c>
      <c r="F209" s="14">
        <v>1</v>
      </c>
      <c r="G209" s="14">
        <v>0.5</v>
      </c>
      <c r="H209" s="14">
        <v>1</v>
      </c>
      <c r="I209" s="14">
        <f t="shared" si="44"/>
        <v>1</v>
      </c>
      <c r="J209" s="14">
        <f t="shared" si="45"/>
        <v>1</v>
      </c>
      <c r="K209" s="14">
        <f t="shared" si="46"/>
        <v>2</v>
      </c>
      <c r="L209" s="14">
        <f t="shared" si="47"/>
        <v>3</v>
      </c>
      <c r="M209" s="14">
        <v>0</v>
      </c>
      <c r="N209" s="14">
        <v>0</v>
      </c>
      <c r="O209" s="16">
        <f t="shared" si="43"/>
        <v>3</v>
      </c>
    </row>
    <row r="210" spans="1:15" x14ac:dyDescent="0.3">
      <c r="A210" s="8" t="s">
        <v>416</v>
      </c>
      <c r="B210" s="9" t="s">
        <v>417</v>
      </c>
      <c r="C210" s="10" t="s">
        <v>393</v>
      </c>
      <c r="D210" s="11">
        <v>4.3</v>
      </c>
      <c r="E210" s="10">
        <v>4</v>
      </c>
      <c r="F210" s="10">
        <v>1</v>
      </c>
      <c r="G210" s="10">
        <v>0.5</v>
      </c>
      <c r="H210" s="10">
        <v>1</v>
      </c>
      <c r="I210" s="10">
        <f t="shared" si="44"/>
        <v>2</v>
      </c>
      <c r="J210" s="10">
        <f t="shared" si="45"/>
        <v>4</v>
      </c>
      <c r="K210" s="10">
        <f t="shared" si="46"/>
        <v>6</v>
      </c>
      <c r="L210" s="10">
        <f t="shared" si="47"/>
        <v>10</v>
      </c>
      <c r="M210" s="10">
        <v>1</v>
      </c>
      <c r="N210" s="10">
        <v>0</v>
      </c>
      <c r="O210" s="16">
        <f t="shared" si="43"/>
        <v>9</v>
      </c>
    </row>
    <row r="211" spans="1:15" x14ac:dyDescent="0.3">
      <c r="A211" s="12" t="s">
        <v>418</v>
      </c>
      <c r="B211" s="13" t="s">
        <v>419</v>
      </c>
      <c r="C211" s="14" t="s">
        <v>393</v>
      </c>
      <c r="D211" s="15">
        <v>15</v>
      </c>
      <c r="E211" s="14">
        <v>4</v>
      </c>
      <c r="F211" s="14">
        <v>1</v>
      </c>
      <c r="G211" s="14">
        <v>0.5</v>
      </c>
      <c r="H211" s="14">
        <v>1</v>
      </c>
      <c r="I211" s="14">
        <f t="shared" si="44"/>
        <v>2</v>
      </c>
      <c r="J211" s="14">
        <f t="shared" si="45"/>
        <v>4</v>
      </c>
      <c r="K211" s="14">
        <f t="shared" si="46"/>
        <v>6</v>
      </c>
      <c r="L211" s="14">
        <f t="shared" si="47"/>
        <v>10</v>
      </c>
      <c r="M211" s="14">
        <v>1</v>
      </c>
      <c r="N211" s="14">
        <v>0</v>
      </c>
      <c r="O211" s="16">
        <f t="shared" si="43"/>
        <v>9</v>
      </c>
    </row>
    <row r="212" spans="1:15" x14ac:dyDescent="0.3">
      <c r="A212" s="8" t="s">
        <v>420</v>
      </c>
      <c r="B212" s="9" t="s">
        <v>421</v>
      </c>
      <c r="C212" s="10" t="s">
        <v>393</v>
      </c>
      <c r="D212" s="11">
        <v>18</v>
      </c>
      <c r="E212" s="10">
        <v>4</v>
      </c>
      <c r="F212" s="10">
        <v>1</v>
      </c>
      <c r="G212" s="10">
        <v>0.5</v>
      </c>
      <c r="H212" s="10">
        <v>1</v>
      </c>
      <c r="I212" s="10">
        <f t="shared" si="44"/>
        <v>2</v>
      </c>
      <c r="J212" s="10">
        <f t="shared" si="45"/>
        <v>4</v>
      </c>
      <c r="K212" s="10">
        <f t="shared" si="46"/>
        <v>6</v>
      </c>
      <c r="L212" s="10">
        <f t="shared" si="47"/>
        <v>10</v>
      </c>
      <c r="M212" s="10">
        <v>1</v>
      </c>
      <c r="N212" s="10">
        <v>0</v>
      </c>
      <c r="O212" s="16">
        <f t="shared" si="43"/>
        <v>9</v>
      </c>
    </row>
    <row r="213" spans="1:15" x14ac:dyDescent="0.3">
      <c r="A213" s="12" t="s">
        <v>422</v>
      </c>
      <c r="B213" s="13" t="s">
        <v>423</v>
      </c>
      <c r="C213" s="14" t="s">
        <v>393</v>
      </c>
      <c r="D213" s="15">
        <v>20</v>
      </c>
      <c r="E213" s="14">
        <v>4</v>
      </c>
      <c r="F213" s="14">
        <v>1</v>
      </c>
      <c r="G213" s="14">
        <v>0.5</v>
      </c>
      <c r="H213" s="14">
        <v>1</v>
      </c>
      <c r="I213" s="14">
        <f t="shared" si="44"/>
        <v>2</v>
      </c>
      <c r="J213" s="14">
        <f t="shared" si="45"/>
        <v>4</v>
      </c>
      <c r="K213" s="14">
        <f t="shared" si="46"/>
        <v>6</v>
      </c>
      <c r="L213" s="14">
        <f t="shared" si="47"/>
        <v>10</v>
      </c>
      <c r="M213" s="14">
        <v>1</v>
      </c>
      <c r="N213" s="14">
        <v>0</v>
      </c>
      <c r="O213" s="16">
        <f t="shared" si="43"/>
        <v>9</v>
      </c>
    </row>
    <row r="214" spans="1:15" x14ac:dyDescent="0.3">
      <c r="A214" s="8" t="s">
        <v>424</v>
      </c>
      <c r="B214" s="9" t="s">
        <v>425</v>
      </c>
      <c r="C214" s="10" t="s">
        <v>393</v>
      </c>
      <c r="D214" s="11">
        <v>291.06</v>
      </c>
      <c r="E214" s="10">
        <v>2</v>
      </c>
      <c r="F214" s="10">
        <v>1</v>
      </c>
      <c r="G214" s="10">
        <v>0.5</v>
      </c>
      <c r="H214" s="10">
        <v>1</v>
      </c>
      <c r="I214" s="10">
        <f t="shared" si="44"/>
        <v>1</v>
      </c>
      <c r="J214" s="10">
        <f t="shared" si="45"/>
        <v>2</v>
      </c>
      <c r="K214" s="10">
        <f t="shared" si="46"/>
        <v>3</v>
      </c>
      <c r="L214" s="10">
        <f t="shared" si="47"/>
        <v>5</v>
      </c>
      <c r="M214" s="10">
        <v>6</v>
      </c>
      <c r="N214" s="10">
        <v>0</v>
      </c>
      <c r="O214" s="16">
        <f t="shared" si="43"/>
        <v>0</v>
      </c>
    </row>
    <row r="215" spans="1:15" x14ac:dyDescent="0.3">
      <c r="A215" s="12" t="s">
        <v>426</v>
      </c>
      <c r="B215" s="13" t="s">
        <v>427</v>
      </c>
      <c r="C215" s="14" t="s">
        <v>393</v>
      </c>
      <c r="D215" s="15">
        <v>31.55</v>
      </c>
      <c r="E215" s="14">
        <v>25</v>
      </c>
      <c r="F215" s="14">
        <v>1</v>
      </c>
      <c r="G215" s="14">
        <v>0.5</v>
      </c>
      <c r="H215" s="14">
        <v>1</v>
      </c>
      <c r="I215" s="14">
        <f t="shared" si="44"/>
        <v>13</v>
      </c>
      <c r="J215" s="14">
        <f t="shared" si="45"/>
        <v>25</v>
      </c>
      <c r="K215" s="14">
        <f t="shared" si="46"/>
        <v>38</v>
      </c>
      <c r="L215" s="14">
        <f t="shared" si="47"/>
        <v>63</v>
      </c>
      <c r="M215" s="14">
        <v>150</v>
      </c>
      <c r="N215" s="14">
        <v>0</v>
      </c>
      <c r="O215" s="16">
        <f t="shared" si="43"/>
        <v>0</v>
      </c>
    </row>
    <row r="216" spans="1:15" x14ac:dyDescent="0.3">
      <c r="A216" s="8" t="s">
        <v>428</v>
      </c>
      <c r="B216" s="9" t="s">
        <v>429</v>
      </c>
      <c r="C216" s="10" t="s">
        <v>393</v>
      </c>
      <c r="D216" s="11">
        <v>85</v>
      </c>
      <c r="E216" s="10">
        <v>4</v>
      </c>
      <c r="F216" s="10">
        <v>1</v>
      </c>
      <c r="G216" s="10">
        <v>0.5</v>
      </c>
      <c r="H216" s="10">
        <v>1</v>
      </c>
      <c r="I216" s="10">
        <f t="shared" si="44"/>
        <v>2</v>
      </c>
      <c r="J216" s="10">
        <f t="shared" si="45"/>
        <v>4</v>
      </c>
      <c r="K216" s="10">
        <f t="shared" si="46"/>
        <v>6</v>
      </c>
      <c r="L216" s="10">
        <f t="shared" si="47"/>
        <v>10</v>
      </c>
      <c r="M216" s="10">
        <v>6</v>
      </c>
      <c r="N216" s="10">
        <v>0</v>
      </c>
      <c r="O216" s="16">
        <f t="shared" si="43"/>
        <v>4</v>
      </c>
    </row>
    <row r="217" spans="1:15" x14ac:dyDescent="0.3">
      <c r="A217" s="12" t="s">
        <v>430</v>
      </c>
      <c r="B217" s="13" t="s">
        <v>431</v>
      </c>
      <c r="C217" s="14" t="s">
        <v>393</v>
      </c>
      <c r="D217" s="15">
        <v>6.48</v>
      </c>
      <c r="E217" s="14">
        <f>300*0.05</f>
        <v>15</v>
      </c>
      <c r="F217" s="14">
        <v>1</v>
      </c>
      <c r="G217" s="14">
        <v>0.5</v>
      </c>
      <c r="H217" s="14">
        <v>1</v>
      </c>
      <c r="I217" s="14">
        <f t="shared" si="44"/>
        <v>8</v>
      </c>
      <c r="J217" s="14">
        <f t="shared" si="45"/>
        <v>15</v>
      </c>
      <c r="K217" s="14">
        <f t="shared" si="46"/>
        <v>23</v>
      </c>
      <c r="L217" s="14">
        <f t="shared" si="47"/>
        <v>38</v>
      </c>
      <c r="M217" s="14">
        <v>200</v>
      </c>
      <c r="N217" s="14">
        <v>0</v>
      </c>
      <c r="O217" s="16">
        <f t="shared" si="43"/>
        <v>0</v>
      </c>
    </row>
    <row r="218" spans="1:15" x14ac:dyDescent="0.3">
      <c r="A218" s="8" t="s">
        <v>432</v>
      </c>
      <c r="B218" s="9" t="s">
        <v>433</v>
      </c>
      <c r="C218" s="10" t="s">
        <v>393</v>
      </c>
      <c r="D218" s="11">
        <v>6.48</v>
      </c>
      <c r="E218" s="10">
        <f>300*0.05</f>
        <v>15</v>
      </c>
      <c r="F218" s="10">
        <v>1</v>
      </c>
      <c r="G218" s="10">
        <v>0.5</v>
      </c>
      <c r="H218" s="10">
        <v>1</v>
      </c>
      <c r="I218" s="10">
        <f t="shared" si="44"/>
        <v>8</v>
      </c>
      <c r="J218" s="10">
        <f t="shared" si="45"/>
        <v>15</v>
      </c>
      <c r="K218" s="10">
        <f t="shared" si="46"/>
        <v>23</v>
      </c>
      <c r="L218" s="10">
        <f t="shared" si="47"/>
        <v>38</v>
      </c>
      <c r="M218" s="10">
        <v>30</v>
      </c>
      <c r="N218" s="10">
        <v>0</v>
      </c>
      <c r="O218" s="16">
        <f t="shared" si="43"/>
        <v>0</v>
      </c>
    </row>
    <row r="219" spans="1:15" x14ac:dyDescent="0.3">
      <c r="A219" s="12" t="s">
        <v>434</v>
      </c>
      <c r="B219" s="13" t="s">
        <v>435</v>
      </c>
      <c r="C219" s="14" t="s">
        <v>393</v>
      </c>
      <c r="D219" s="15">
        <v>5.22</v>
      </c>
      <c r="E219" s="14">
        <f>300*0.05</f>
        <v>15</v>
      </c>
      <c r="F219" s="14">
        <v>1</v>
      </c>
      <c r="G219" s="14">
        <v>0.5</v>
      </c>
      <c r="H219" s="14">
        <v>1</v>
      </c>
      <c r="I219" s="14">
        <f t="shared" si="44"/>
        <v>8</v>
      </c>
      <c r="J219" s="14">
        <f t="shared" si="45"/>
        <v>15</v>
      </c>
      <c r="K219" s="14">
        <f t="shared" si="46"/>
        <v>23</v>
      </c>
      <c r="L219" s="14">
        <f t="shared" si="47"/>
        <v>38</v>
      </c>
      <c r="M219" s="14">
        <v>500</v>
      </c>
      <c r="N219" s="14">
        <v>0</v>
      </c>
      <c r="O219" s="16">
        <f t="shared" si="43"/>
        <v>0</v>
      </c>
    </row>
    <row r="220" spans="1:15" x14ac:dyDescent="0.3">
      <c r="A220" s="8" t="s">
        <v>436</v>
      </c>
      <c r="B220" s="9" t="s">
        <v>437</v>
      </c>
      <c r="C220" s="10" t="s">
        <v>393</v>
      </c>
      <c r="D220" s="11">
        <v>7.11</v>
      </c>
      <c r="E220" s="10">
        <v>5</v>
      </c>
      <c r="F220" s="10">
        <v>1</v>
      </c>
      <c r="G220" s="10">
        <v>0.5</v>
      </c>
      <c r="H220" s="10">
        <v>1</v>
      </c>
      <c r="I220" s="10">
        <f t="shared" si="44"/>
        <v>3</v>
      </c>
      <c r="J220" s="10">
        <f t="shared" si="45"/>
        <v>5</v>
      </c>
      <c r="K220" s="10">
        <f t="shared" si="46"/>
        <v>8</v>
      </c>
      <c r="L220" s="10">
        <f t="shared" si="47"/>
        <v>13</v>
      </c>
      <c r="M220" s="10">
        <v>300</v>
      </c>
      <c r="N220" s="10">
        <v>0</v>
      </c>
      <c r="O220" s="16">
        <f t="shared" si="43"/>
        <v>0</v>
      </c>
    </row>
    <row r="221" spans="1:15" x14ac:dyDescent="0.3">
      <c r="A221" s="12" t="s">
        <v>438</v>
      </c>
      <c r="B221" s="13" t="s">
        <v>439</v>
      </c>
      <c r="C221" s="14" t="s">
        <v>393</v>
      </c>
      <c r="D221" s="15">
        <v>243.48</v>
      </c>
      <c r="E221" s="14">
        <v>2</v>
      </c>
      <c r="F221" s="14">
        <v>1</v>
      </c>
      <c r="G221" s="14">
        <v>0.5</v>
      </c>
      <c r="H221" s="14">
        <v>1</v>
      </c>
      <c r="I221" s="14">
        <f t="shared" si="44"/>
        <v>1</v>
      </c>
      <c r="J221" s="14">
        <f t="shared" si="45"/>
        <v>2</v>
      </c>
      <c r="K221" s="14">
        <f t="shared" si="46"/>
        <v>3</v>
      </c>
      <c r="L221" s="14">
        <f t="shared" si="47"/>
        <v>5</v>
      </c>
      <c r="M221" s="14">
        <v>2</v>
      </c>
      <c r="N221" s="14">
        <v>0</v>
      </c>
      <c r="O221" s="16">
        <f t="shared" si="43"/>
        <v>3</v>
      </c>
    </row>
    <row r="222" spans="1:15" x14ac:dyDescent="0.3">
      <c r="A222" s="9" t="s">
        <v>440</v>
      </c>
      <c r="B222" s="9" t="s">
        <v>441</v>
      </c>
      <c r="C222" s="10" t="s">
        <v>393</v>
      </c>
      <c r="D222" s="11">
        <v>0.63</v>
      </c>
      <c r="E222" s="10">
        <v>80</v>
      </c>
      <c r="F222" s="10">
        <v>1</v>
      </c>
      <c r="G222" s="10">
        <v>0.5</v>
      </c>
      <c r="H222" s="10">
        <v>1</v>
      </c>
      <c r="I222" s="10">
        <f t="shared" si="44"/>
        <v>40</v>
      </c>
      <c r="J222" s="10">
        <f t="shared" si="45"/>
        <v>80</v>
      </c>
      <c r="K222" s="10">
        <f t="shared" si="46"/>
        <v>120</v>
      </c>
      <c r="L222" s="10">
        <f t="shared" si="47"/>
        <v>200</v>
      </c>
      <c r="M222" s="10">
        <v>1000</v>
      </c>
      <c r="N222" s="10">
        <v>0</v>
      </c>
      <c r="O222" s="16">
        <f t="shared" si="43"/>
        <v>0</v>
      </c>
    </row>
    <row r="223" spans="1:15" x14ac:dyDescent="0.3">
      <c r="A223" s="12" t="s">
        <v>442</v>
      </c>
      <c r="B223" s="13" t="s">
        <v>443</v>
      </c>
      <c r="C223" s="14" t="s">
        <v>393</v>
      </c>
      <c r="D223" s="15">
        <v>0.7</v>
      </c>
      <c r="E223" s="14">
        <v>80</v>
      </c>
      <c r="F223" s="14">
        <v>1</v>
      </c>
      <c r="G223" s="14">
        <v>0.5</v>
      </c>
      <c r="H223" s="14">
        <v>1</v>
      </c>
      <c r="I223" s="14">
        <f t="shared" si="44"/>
        <v>40</v>
      </c>
      <c r="J223" s="14">
        <f t="shared" si="45"/>
        <v>80</v>
      </c>
      <c r="K223" s="14">
        <f t="shared" si="46"/>
        <v>120</v>
      </c>
      <c r="L223" s="14">
        <f t="shared" si="47"/>
        <v>200</v>
      </c>
      <c r="M223" s="14">
        <v>800</v>
      </c>
      <c r="N223" s="14">
        <v>0</v>
      </c>
      <c r="O223" s="16">
        <f t="shared" si="43"/>
        <v>0</v>
      </c>
    </row>
    <row r="224" spans="1:15" x14ac:dyDescent="0.3">
      <c r="A224" s="9" t="s">
        <v>444</v>
      </c>
      <c r="B224" s="9" t="s">
        <v>445</v>
      </c>
      <c r="C224" s="10" t="s">
        <v>393</v>
      </c>
      <c r="D224" s="11">
        <v>0.91</v>
      </c>
      <c r="E224" s="10">
        <v>20</v>
      </c>
      <c r="F224" s="10">
        <v>1</v>
      </c>
      <c r="G224" s="10">
        <v>0.5</v>
      </c>
      <c r="H224" s="10">
        <v>1</v>
      </c>
      <c r="I224" s="10">
        <f t="shared" si="44"/>
        <v>10</v>
      </c>
      <c r="J224" s="10">
        <f t="shared" si="45"/>
        <v>20</v>
      </c>
      <c r="K224" s="10">
        <f t="shared" si="46"/>
        <v>30</v>
      </c>
      <c r="L224" s="10">
        <f t="shared" si="47"/>
        <v>50</v>
      </c>
      <c r="M224" s="10">
        <v>300</v>
      </c>
      <c r="N224" s="10">
        <v>0</v>
      </c>
      <c r="O224" s="16">
        <f t="shared" si="43"/>
        <v>0</v>
      </c>
    </row>
    <row r="225" spans="1:15" ht="28.8" x14ac:dyDescent="0.3">
      <c r="A225" s="18" t="s">
        <v>446</v>
      </c>
      <c r="B225" s="13" t="s">
        <v>447</v>
      </c>
      <c r="C225" s="14" t="s">
        <v>393</v>
      </c>
      <c r="D225" s="15">
        <v>1.69</v>
      </c>
      <c r="E225" s="14">
        <v>25</v>
      </c>
      <c r="F225" s="14">
        <v>1</v>
      </c>
      <c r="G225" s="14">
        <v>0.5</v>
      </c>
      <c r="H225" s="14">
        <v>1</v>
      </c>
      <c r="I225" s="14">
        <f t="shared" si="44"/>
        <v>13</v>
      </c>
      <c r="J225" s="14">
        <f t="shared" si="45"/>
        <v>25</v>
      </c>
      <c r="K225" s="14">
        <f t="shared" si="46"/>
        <v>38</v>
      </c>
      <c r="L225" s="14">
        <f t="shared" si="47"/>
        <v>63</v>
      </c>
      <c r="M225" s="14">
        <v>150</v>
      </c>
      <c r="N225" s="14">
        <v>0</v>
      </c>
      <c r="O225" s="16">
        <f t="shared" si="43"/>
        <v>0</v>
      </c>
    </row>
    <row r="226" spans="1:15" x14ac:dyDescent="0.3">
      <c r="A226" s="8" t="s">
        <v>448</v>
      </c>
      <c r="B226" s="9" t="s">
        <v>449</v>
      </c>
      <c r="C226" s="10" t="s">
        <v>393</v>
      </c>
      <c r="D226" s="11">
        <v>496.99</v>
      </c>
      <c r="E226" s="10">
        <v>50</v>
      </c>
      <c r="F226" s="10">
        <v>1</v>
      </c>
      <c r="G226" s="10">
        <v>0.5</v>
      </c>
      <c r="H226" s="10">
        <v>1</v>
      </c>
      <c r="I226" s="10">
        <f t="shared" si="44"/>
        <v>25</v>
      </c>
      <c r="J226" s="10">
        <f t="shared" si="45"/>
        <v>50</v>
      </c>
      <c r="K226" s="10">
        <f t="shared" si="46"/>
        <v>75</v>
      </c>
      <c r="L226" s="10">
        <f t="shared" si="47"/>
        <v>125</v>
      </c>
      <c r="M226" s="10">
        <v>1100</v>
      </c>
      <c r="N226" s="10">
        <v>0</v>
      </c>
      <c r="O226" s="16">
        <f t="shared" si="43"/>
        <v>0</v>
      </c>
    </row>
    <row r="227" spans="1:15" x14ac:dyDescent="0.3">
      <c r="A227" s="12" t="s">
        <v>450</v>
      </c>
      <c r="B227" s="13" t="s">
        <v>451</v>
      </c>
      <c r="C227" s="14" t="s">
        <v>393</v>
      </c>
      <c r="D227" s="15">
        <v>77.05</v>
      </c>
      <c r="E227" s="14">
        <v>30</v>
      </c>
      <c r="F227" s="14">
        <v>1</v>
      </c>
      <c r="G227" s="14">
        <v>0.5</v>
      </c>
      <c r="H227" s="14">
        <v>1</v>
      </c>
      <c r="I227" s="14">
        <f t="shared" si="44"/>
        <v>15</v>
      </c>
      <c r="J227" s="14">
        <f t="shared" si="45"/>
        <v>30</v>
      </c>
      <c r="K227" s="14">
        <f t="shared" si="46"/>
        <v>45</v>
      </c>
      <c r="L227" s="14">
        <f t="shared" si="47"/>
        <v>75</v>
      </c>
      <c r="M227" s="14">
        <v>131</v>
      </c>
      <c r="N227" s="14">
        <v>0</v>
      </c>
      <c r="O227" s="16">
        <f t="shared" si="43"/>
        <v>0</v>
      </c>
    </row>
    <row r="228" spans="1:15" x14ac:dyDescent="0.3">
      <c r="A228" s="8" t="s">
        <v>452</v>
      </c>
      <c r="B228" s="9" t="s">
        <v>453</v>
      </c>
      <c r="C228" s="10" t="s">
        <v>393</v>
      </c>
      <c r="D228" s="11">
        <v>169.6</v>
      </c>
      <c r="E228" s="10">
        <v>12</v>
      </c>
      <c r="F228" s="10">
        <v>1</v>
      </c>
      <c r="G228" s="10">
        <v>0.5</v>
      </c>
      <c r="H228" s="10">
        <v>1</v>
      </c>
      <c r="I228" s="10">
        <f t="shared" si="44"/>
        <v>6</v>
      </c>
      <c r="J228" s="10">
        <f t="shared" si="45"/>
        <v>12</v>
      </c>
      <c r="K228" s="10">
        <f t="shared" si="46"/>
        <v>18</v>
      </c>
      <c r="L228" s="10">
        <f t="shared" si="47"/>
        <v>30</v>
      </c>
      <c r="M228" s="10">
        <v>11</v>
      </c>
      <c r="N228" s="10">
        <v>0</v>
      </c>
      <c r="O228" s="16">
        <f t="shared" si="43"/>
        <v>19</v>
      </c>
    </row>
    <row r="229" spans="1:15" x14ac:dyDescent="0.3">
      <c r="A229" s="12" t="s">
        <v>454</v>
      </c>
      <c r="B229" s="13" t="s">
        <v>455</v>
      </c>
      <c r="C229" s="14" t="s">
        <v>393</v>
      </c>
      <c r="D229" s="15">
        <v>670.43</v>
      </c>
      <c r="E229" s="14">
        <v>10</v>
      </c>
      <c r="F229" s="14">
        <v>1</v>
      </c>
      <c r="G229" s="14">
        <v>0.5</v>
      </c>
      <c r="H229" s="14">
        <v>1</v>
      </c>
      <c r="I229" s="14">
        <f t="shared" si="44"/>
        <v>5</v>
      </c>
      <c r="J229" s="14">
        <f t="shared" si="45"/>
        <v>10</v>
      </c>
      <c r="K229" s="14">
        <f t="shared" si="46"/>
        <v>15</v>
      </c>
      <c r="L229" s="14">
        <f t="shared" si="47"/>
        <v>25</v>
      </c>
      <c r="M229" s="14">
        <v>10</v>
      </c>
      <c r="N229" s="14">
        <v>0</v>
      </c>
      <c r="O229" s="16">
        <f t="shared" si="43"/>
        <v>15</v>
      </c>
    </row>
    <row r="230" spans="1:15" x14ac:dyDescent="0.3">
      <c r="A230" s="8" t="s">
        <v>456</v>
      </c>
      <c r="B230" s="9" t="s">
        <v>457</v>
      </c>
      <c r="C230" s="10" t="s">
        <v>393</v>
      </c>
      <c r="D230" s="11">
        <v>0</v>
      </c>
      <c r="E230" s="10">
        <v>10</v>
      </c>
      <c r="F230" s="10">
        <v>1</v>
      </c>
      <c r="G230" s="10">
        <v>0.5</v>
      </c>
      <c r="H230" s="10">
        <v>1</v>
      </c>
      <c r="I230" s="10">
        <f t="shared" si="44"/>
        <v>5</v>
      </c>
      <c r="J230" s="10">
        <f t="shared" si="45"/>
        <v>10</v>
      </c>
      <c r="K230" s="10">
        <f t="shared" si="46"/>
        <v>15</v>
      </c>
      <c r="L230" s="10">
        <f t="shared" si="47"/>
        <v>25</v>
      </c>
      <c r="M230" s="10">
        <v>0</v>
      </c>
      <c r="N230" s="10">
        <v>0</v>
      </c>
      <c r="O230" s="16">
        <f t="shared" si="43"/>
        <v>25</v>
      </c>
    </row>
    <row r="231" spans="1:15" x14ac:dyDescent="0.3">
      <c r="A231" s="12" t="s">
        <v>464</v>
      </c>
      <c r="B231" s="13" t="s">
        <v>465</v>
      </c>
      <c r="C231" s="14" t="s">
        <v>393</v>
      </c>
      <c r="D231" s="15">
        <v>279.60000000000002</v>
      </c>
      <c r="E231" s="14">
        <f>100*0.05</f>
        <v>5</v>
      </c>
      <c r="F231" s="14">
        <v>1</v>
      </c>
      <c r="G231" s="14">
        <v>0.5</v>
      </c>
      <c r="H231" s="14">
        <v>1</v>
      </c>
      <c r="I231" s="14">
        <f>MROUND(E231*G231,1)</f>
        <v>3</v>
      </c>
      <c r="J231" s="14">
        <f>MROUND(E231*F231,1)</f>
        <v>5</v>
      </c>
      <c r="K231" s="14">
        <f>MROUND(I231+J231,1)</f>
        <v>8</v>
      </c>
      <c r="L231" s="14">
        <f>MROUND(E231*(F231+G231+H231),1)</f>
        <v>13</v>
      </c>
      <c r="M231" s="14">
        <v>12</v>
      </c>
      <c r="N231" s="14">
        <v>0</v>
      </c>
      <c r="O231" s="16">
        <f t="shared" si="43"/>
        <v>0</v>
      </c>
    </row>
    <row r="232" spans="1:15" s="1" customFormat="1" x14ac:dyDescent="0.3">
      <c r="A232" s="8" t="s">
        <v>474</v>
      </c>
      <c r="B232" s="9" t="s">
        <v>475</v>
      </c>
      <c r="C232" s="10" t="s">
        <v>476</v>
      </c>
      <c r="D232" s="11">
        <v>133</v>
      </c>
      <c r="E232" s="10">
        <v>0</v>
      </c>
      <c r="F232" s="10">
        <v>1</v>
      </c>
      <c r="G232" s="10">
        <v>0.5</v>
      </c>
      <c r="H232" s="10">
        <v>1</v>
      </c>
      <c r="I232" s="10">
        <f t="shared" ref="I232:I250" si="48">MROUND(E232*G232,1)</f>
        <v>0</v>
      </c>
      <c r="J232" s="10">
        <f t="shared" ref="J232:J250" si="49">MROUND(E232*F232,1)</f>
        <v>0</v>
      </c>
      <c r="K232" s="10">
        <f t="shared" ref="K232:K250" si="50">MROUND(I232+J232,1)</f>
        <v>0</v>
      </c>
      <c r="L232" s="10">
        <f t="shared" ref="L232:L250" si="51">MROUND(E232*(F232+G232+H232),1)</f>
        <v>0</v>
      </c>
      <c r="M232" s="10">
        <v>10</v>
      </c>
      <c r="N232" s="10">
        <v>0</v>
      </c>
      <c r="O232" s="16">
        <f t="shared" si="43"/>
        <v>0</v>
      </c>
    </row>
    <row r="233" spans="1:15" s="1" customFormat="1" x14ac:dyDescent="0.3">
      <c r="A233" s="12" t="s">
        <v>477</v>
      </c>
      <c r="B233" s="13" t="s">
        <v>478</v>
      </c>
      <c r="C233" s="14" t="s">
        <v>476</v>
      </c>
      <c r="D233" s="15">
        <v>213</v>
      </c>
      <c r="E233" s="14">
        <v>0</v>
      </c>
      <c r="F233" s="14">
        <v>1</v>
      </c>
      <c r="G233" s="14">
        <v>0.5</v>
      </c>
      <c r="H233" s="14">
        <v>1</v>
      </c>
      <c r="I233" s="14">
        <f t="shared" si="48"/>
        <v>0</v>
      </c>
      <c r="J233" s="14">
        <f t="shared" si="49"/>
        <v>0</v>
      </c>
      <c r="K233" s="14">
        <f t="shared" si="50"/>
        <v>0</v>
      </c>
      <c r="L233" s="14">
        <f t="shared" si="51"/>
        <v>0</v>
      </c>
      <c r="M233" s="14">
        <v>6</v>
      </c>
      <c r="N233" s="14">
        <v>0</v>
      </c>
      <c r="O233" s="16">
        <f t="shared" si="43"/>
        <v>0</v>
      </c>
    </row>
    <row r="234" spans="1:15" s="1" customFormat="1" x14ac:dyDescent="0.3">
      <c r="A234" s="8" t="s">
        <v>479</v>
      </c>
      <c r="B234" s="9" t="s">
        <v>480</v>
      </c>
      <c r="C234" s="10" t="s">
        <v>476</v>
      </c>
      <c r="D234" s="11">
        <v>400</v>
      </c>
      <c r="E234" s="10">
        <v>0</v>
      </c>
      <c r="F234" s="10">
        <v>1</v>
      </c>
      <c r="G234" s="10">
        <v>0.5</v>
      </c>
      <c r="H234" s="10">
        <v>1</v>
      </c>
      <c r="I234" s="10">
        <f t="shared" si="48"/>
        <v>0</v>
      </c>
      <c r="J234" s="10">
        <f t="shared" si="49"/>
        <v>0</v>
      </c>
      <c r="K234" s="10">
        <f t="shared" si="50"/>
        <v>0</v>
      </c>
      <c r="L234" s="10">
        <f t="shared" si="51"/>
        <v>0</v>
      </c>
      <c r="M234" s="10">
        <v>6</v>
      </c>
      <c r="N234" s="10">
        <v>0</v>
      </c>
      <c r="O234" s="16">
        <f t="shared" si="43"/>
        <v>0</v>
      </c>
    </row>
    <row r="235" spans="1:15" s="1" customFormat="1" x14ac:dyDescent="0.3">
      <c r="A235" s="12" t="s">
        <v>481</v>
      </c>
      <c r="B235" s="13" t="s">
        <v>482</v>
      </c>
      <c r="C235" s="14" t="s">
        <v>476</v>
      </c>
      <c r="D235" s="15">
        <v>400</v>
      </c>
      <c r="E235" s="14">
        <v>0</v>
      </c>
      <c r="F235" s="14">
        <v>1</v>
      </c>
      <c r="G235" s="14">
        <v>0.5</v>
      </c>
      <c r="H235" s="14">
        <v>1</v>
      </c>
      <c r="I235" s="14">
        <f t="shared" si="48"/>
        <v>0</v>
      </c>
      <c r="J235" s="14">
        <f t="shared" si="49"/>
        <v>0</v>
      </c>
      <c r="K235" s="14">
        <f t="shared" si="50"/>
        <v>0</v>
      </c>
      <c r="L235" s="14">
        <f t="shared" si="51"/>
        <v>0</v>
      </c>
      <c r="M235" s="14">
        <v>1</v>
      </c>
      <c r="N235" s="14">
        <v>0</v>
      </c>
      <c r="O235" s="16">
        <f t="shared" si="43"/>
        <v>0</v>
      </c>
    </row>
    <row r="236" spans="1:15" s="1" customFormat="1" x14ac:dyDescent="0.3">
      <c r="A236" s="8" t="s">
        <v>483</v>
      </c>
      <c r="B236" s="9" t="s">
        <v>484</v>
      </c>
      <c r="C236" s="10" t="s">
        <v>476</v>
      </c>
      <c r="D236" s="11">
        <v>400</v>
      </c>
      <c r="E236" s="10">
        <v>0</v>
      </c>
      <c r="F236" s="10">
        <v>1</v>
      </c>
      <c r="G236" s="10">
        <v>0.5</v>
      </c>
      <c r="H236" s="10">
        <v>1</v>
      </c>
      <c r="I236" s="10">
        <f t="shared" si="48"/>
        <v>0</v>
      </c>
      <c r="J236" s="10">
        <f t="shared" si="49"/>
        <v>0</v>
      </c>
      <c r="K236" s="10">
        <f t="shared" si="50"/>
        <v>0</v>
      </c>
      <c r="L236" s="10">
        <f t="shared" si="51"/>
        <v>0</v>
      </c>
      <c r="M236" s="10">
        <v>1</v>
      </c>
      <c r="N236" s="10">
        <v>0</v>
      </c>
      <c r="O236" s="16">
        <f t="shared" si="43"/>
        <v>0</v>
      </c>
    </row>
    <row r="237" spans="1:15" s="1" customFormat="1" x14ac:dyDescent="0.3">
      <c r="A237" s="12" t="s">
        <v>485</v>
      </c>
      <c r="B237" s="13" t="s">
        <v>486</v>
      </c>
      <c r="C237" s="14" t="s">
        <v>476</v>
      </c>
      <c r="D237" s="15">
        <v>447</v>
      </c>
      <c r="E237" s="14">
        <v>0</v>
      </c>
      <c r="F237" s="14">
        <v>1</v>
      </c>
      <c r="G237" s="14">
        <v>0.5</v>
      </c>
      <c r="H237" s="14">
        <v>1</v>
      </c>
      <c r="I237" s="14">
        <f t="shared" si="48"/>
        <v>0</v>
      </c>
      <c r="J237" s="14">
        <f t="shared" si="49"/>
        <v>0</v>
      </c>
      <c r="K237" s="14">
        <f t="shared" si="50"/>
        <v>0</v>
      </c>
      <c r="L237" s="14">
        <f t="shared" si="51"/>
        <v>0</v>
      </c>
      <c r="M237" s="14">
        <v>5</v>
      </c>
      <c r="N237" s="14">
        <v>0</v>
      </c>
      <c r="O237" s="16">
        <f t="shared" si="43"/>
        <v>0</v>
      </c>
    </row>
    <row r="238" spans="1:15" s="1" customFormat="1" x14ac:dyDescent="0.3">
      <c r="A238" s="8" t="s">
        <v>487</v>
      </c>
      <c r="B238" s="9" t="s">
        <v>488</v>
      </c>
      <c r="C238" s="10" t="s">
        <v>476</v>
      </c>
      <c r="D238" s="11">
        <v>447</v>
      </c>
      <c r="E238" s="10">
        <v>0</v>
      </c>
      <c r="F238" s="10">
        <v>1</v>
      </c>
      <c r="G238" s="10">
        <v>0.5</v>
      </c>
      <c r="H238" s="10">
        <v>1</v>
      </c>
      <c r="I238" s="10">
        <f t="shared" si="48"/>
        <v>0</v>
      </c>
      <c r="J238" s="10">
        <f t="shared" si="49"/>
        <v>0</v>
      </c>
      <c r="K238" s="10">
        <f t="shared" si="50"/>
        <v>0</v>
      </c>
      <c r="L238" s="10">
        <f t="shared" si="51"/>
        <v>0</v>
      </c>
      <c r="M238" s="10">
        <v>2</v>
      </c>
      <c r="N238" s="10">
        <v>0</v>
      </c>
      <c r="O238" s="16">
        <f t="shared" si="43"/>
        <v>0</v>
      </c>
    </row>
    <row r="239" spans="1:15" s="1" customFormat="1" x14ac:dyDescent="0.3">
      <c r="A239" s="12" t="s">
        <v>489</v>
      </c>
      <c r="B239" s="13" t="s">
        <v>490</v>
      </c>
      <c r="C239" s="14" t="s">
        <v>476</v>
      </c>
      <c r="D239" s="15">
        <v>559</v>
      </c>
      <c r="E239" s="14">
        <v>0</v>
      </c>
      <c r="F239" s="14">
        <v>1</v>
      </c>
      <c r="G239" s="14">
        <v>0.5</v>
      </c>
      <c r="H239" s="14">
        <v>1</v>
      </c>
      <c r="I239" s="14">
        <f t="shared" si="48"/>
        <v>0</v>
      </c>
      <c r="J239" s="14">
        <f t="shared" si="49"/>
        <v>0</v>
      </c>
      <c r="K239" s="14">
        <f t="shared" si="50"/>
        <v>0</v>
      </c>
      <c r="L239" s="14">
        <f t="shared" si="51"/>
        <v>0</v>
      </c>
      <c r="M239" s="14">
        <v>0</v>
      </c>
      <c r="N239" s="14">
        <v>0</v>
      </c>
      <c r="O239" s="16">
        <f t="shared" si="43"/>
        <v>0</v>
      </c>
    </row>
    <row r="240" spans="1:15" s="1" customFormat="1" x14ac:dyDescent="0.3">
      <c r="A240" s="8" t="s">
        <v>491</v>
      </c>
      <c r="B240" s="9" t="s">
        <v>492</v>
      </c>
      <c r="C240" s="10" t="s">
        <v>476</v>
      </c>
      <c r="D240" s="11">
        <v>503</v>
      </c>
      <c r="E240" s="10">
        <v>0</v>
      </c>
      <c r="F240" s="10">
        <v>1</v>
      </c>
      <c r="G240" s="10">
        <v>0.5</v>
      </c>
      <c r="H240" s="10">
        <v>1</v>
      </c>
      <c r="I240" s="10">
        <f t="shared" si="48"/>
        <v>0</v>
      </c>
      <c r="J240" s="10">
        <f t="shared" si="49"/>
        <v>0</v>
      </c>
      <c r="K240" s="10">
        <f t="shared" si="50"/>
        <v>0</v>
      </c>
      <c r="L240" s="10">
        <f t="shared" si="51"/>
        <v>0</v>
      </c>
      <c r="M240" s="10">
        <v>2</v>
      </c>
      <c r="N240" s="10">
        <v>0</v>
      </c>
      <c r="O240" s="16">
        <f t="shared" si="43"/>
        <v>0</v>
      </c>
    </row>
    <row r="241" spans="1:15" s="1" customFormat="1" x14ac:dyDescent="0.3">
      <c r="A241" s="12" t="s">
        <v>493</v>
      </c>
      <c r="B241" s="13" t="s">
        <v>494</v>
      </c>
      <c r="C241" s="14" t="s">
        <v>476</v>
      </c>
      <c r="D241" s="15">
        <v>503</v>
      </c>
      <c r="E241" s="14">
        <v>0</v>
      </c>
      <c r="F241" s="14">
        <v>1</v>
      </c>
      <c r="G241" s="14">
        <v>0.5</v>
      </c>
      <c r="H241" s="14">
        <v>1</v>
      </c>
      <c r="I241" s="14">
        <f t="shared" si="48"/>
        <v>0</v>
      </c>
      <c r="J241" s="14">
        <f t="shared" si="49"/>
        <v>0</v>
      </c>
      <c r="K241" s="14">
        <f t="shared" si="50"/>
        <v>0</v>
      </c>
      <c r="L241" s="14">
        <f t="shared" si="51"/>
        <v>0</v>
      </c>
      <c r="M241" s="14">
        <v>5</v>
      </c>
      <c r="N241" s="14">
        <v>0</v>
      </c>
      <c r="O241" s="16">
        <f t="shared" si="43"/>
        <v>0</v>
      </c>
    </row>
    <row r="242" spans="1:15" s="1" customFormat="1" x14ac:dyDescent="0.3">
      <c r="A242" s="8" t="s">
        <v>495</v>
      </c>
      <c r="B242" s="9" t="s">
        <v>496</v>
      </c>
      <c r="C242" s="10" t="s">
        <v>476</v>
      </c>
      <c r="D242" s="11">
        <v>628</v>
      </c>
      <c r="E242" s="10">
        <v>0</v>
      </c>
      <c r="F242" s="10">
        <v>1</v>
      </c>
      <c r="G242" s="10">
        <v>0.5</v>
      </c>
      <c r="H242" s="10">
        <v>1</v>
      </c>
      <c r="I242" s="10">
        <f t="shared" si="48"/>
        <v>0</v>
      </c>
      <c r="J242" s="10">
        <f t="shared" si="49"/>
        <v>0</v>
      </c>
      <c r="K242" s="10">
        <f t="shared" si="50"/>
        <v>0</v>
      </c>
      <c r="L242" s="10">
        <f t="shared" si="51"/>
        <v>0</v>
      </c>
      <c r="M242" s="10">
        <v>0</v>
      </c>
      <c r="N242" s="10">
        <v>0</v>
      </c>
      <c r="O242" s="16">
        <f t="shared" si="43"/>
        <v>0</v>
      </c>
    </row>
    <row r="243" spans="1:15" s="1" customFormat="1" x14ac:dyDescent="0.3">
      <c r="A243" s="12" t="s">
        <v>497</v>
      </c>
      <c r="B243" s="13" t="s">
        <v>508</v>
      </c>
      <c r="C243" s="14" t="s">
        <v>476</v>
      </c>
      <c r="D243" s="15">
        <v>566</v>
      </c>
      <c r="E243" s="14">
        <v>0</v>
      </c>
      <c r="F243" s="14">
        <v>1</v>
      </c>
      <c r="G243" s="14">
        <v>0.5</v>
      </c>
      <c r="H243" s="14">
        <v>1</v>
      </c>
      <c r="I243" s="14">
        <f t="shared" si="48"/>
        <v>0</v>
      </c>
      <c r="J243" s="14">
        <f t="shared" si="49"/>
        <v>0</v>
      </c>
      <c r="K243" s="14">
        <f t="shared" si="50"/>
        <v>0</v>
      </c>
      <c r="L243" s="14">
        <f t="shared" si="51"/>
        <v>0</v>
      </c>
      <c r="M243" s="14">
        <v>3</v>
      </c>
      <c r="N243" s="14">
        <v>0</v>
      </c>
      <c r="O243" s="16">
        <f t="shared" si="43"/>
        <v>0</v>
      </c>
    </row>
    <row r="244" spans="1:15" s="1" customFormat="1" x14ac:dyDescent="0.3">
      <c r="A244" s="8" t="s">
        <v>498</v>
      </c>
      <c r="B244" s="9" t="s">
        <v>509</v>
      </c>
      <c r="C244" s="10" t="s">
        <v>476</v>
      </c>
      <c r="D244" s="11">
        <v>566</v>
      </c>
      <c r="E244" s="10">
        <v>0</v>
      </c>
      <c r="F244" s="10">
        <v>1</v>
      </c>
      <c r="G244" s="10">
        <v>0.5</v>
      </c>
      <c r="H244" s="10">
        <v>1</v>
      </c>
      <c r="I244" s="10">
        <f t="shared" si="48"/>
        <v>0</v>
      </c>
      <c r="J244" s="10">
        <f t="shared" si="49"/>
        <v>0</v>
      </c>
      <c r="K244" s="10">
        <f t="shared" si="50"/>
        <v>0</v>
      </c>
      <c r="L244" s="10">
        <f t="shared" si="51"/>
        <v>0</v>
      </c>
      <c r="M244" s="10">
        <v>6</v>
      </c>
      <c r="N244" s="10">
        <v>0</v>
      </c>
      <c r="O244" s="16">
        <f t="shared" si="43"/>
        <v>0</v>
      </c>
    </row>
    <row r="245" spans="1:15" s="1" customFormat="1" x14ac:dyDescent="0.3">
      <c r="A245" s="12" t="s">
        <v>499</v>
      </c>
      <c r="B245" s="13" t="s">
        <v>510</v>
      </c>
      <c r="C245" s="14" t="s">
        <v>476</v>
      </c>
      <c r="D245" s="15">
        <v>703</v>
      </c>
      <c r="E245" s="14">
        <v>0</v>
      </c>
      <c r="F245" s="14">
        <v>1</v>
      </c>
      <c r="G245" s="14">
        <v>0.5</v>
      </c>
      <c r="H245" s="14">
        <v>1</v>
      </c>
      <c r="I245" s="14">
        <f t="shared" si="48"/>
        <v>0</v>
      </c>
      <c r="J245" s="14">
        <f t="shared" si="49"/>
        <v>0</v>
      </c>
      <c r="K245" s="14">
        <f t="shared" si="50"/>
        <v>0</v>
      </c>
      <c r="L245" s="14">
        <f t="shared" si="51"/>
        <v>0</v>
      </c>
      <c r="M245" s="14">
        <v>0</v>
      </c>
      <c r="N245" s="14">
        <v>0</v>
      </c>
      <c r="O245" s="16">
        <f t="shared" si="43"/>
        <v>0</v>
      </c>
    </row>
    <row r="246" spans="1:15" s="1" customFormat="1" x14ac:dyDescent="0.3">
      <c r="A246" s="8" t="s">
        <v>500</v>
      </c>
      <c r="B246" s="9" t="s">
        <v>511</v>
      </c>
      <c r="C246" s="10" t="s">
        <v>476</v>
      </c>
      <c r="D246" s="11">
        <v>637</v>
      </c>
      <c r="E246" s="10">
        <v>0</v>
      </c>
      <c r="F246" s="10">
        <v>1</v>
      </c>
      <c r="G246" s="10">
        <v>0.5</v>
      </c>
      <c r="H246" s="10">
        <v>1</v>
      </c>
      <c r="I246" s="10">
        <f t="shared" si="48"/>
        <v>0</v>
      </c>
      <c r="J246" s="10">
        <f t="shared" si="49"/>
        <v>0</v>
      </c>
      <c r="K246" s="10">
        <f t="shared" si="50"/>
        <v>0</v>
      </c>
      <c r="L246" s="10">
        <f t="shared" si="51"/>
        <v>0</v>
      </c>
      <c r="M246" s="10">
        <v>3</v>
      </c>
      <c r="N246" s="10">
        <v>0</v>
      </c>
      <c r="O246" s="16">
        <f t="shared" si="43"/>
        <v>0</v>
      </c>
    </row>
    <row r="247" spans="1:15" s="1" customFormat="1" x14ac:dyDescent="0.3">
      <c r="A247" s="12" t="s">
        <v>501</v>
      </c>
      <c r="B247" s="13" t="s">
        <v>512</v>
      </c>
      <c r="C247" s="14" t="s">
        <v>476</v>
      </c>
      <c r="D247" s="15">
        <v>637</v>
      </c>
      <c r="E247" s="14">
        <v>0</v>
      </c>
      <c r="F247" s="14">
        <v>1</v>
      </c>
      <c r="G247" s="14">
        <v>0.5</v>
      </c>
      <c r="H247" s="14">
        <v>1</v>
      </c>
      <c r="I247" s="14">
        <f t="shared" si="48"/>
        <v>0</v>
      </c>
      <c r="J247" s="14">
        <f t="shared" si="49"/>
        <v>0</v>
      </c>
      <c r="K247" s="14">
        <f t="shared" si="50"/>
        <v>0</v>
      </c>
      <c r="L247" s="14">
        <f t="shared" si="51"/>
        <v>0</v>
      </c>
      <c r="M247" s="14">
        <v>12</v>
      </c>
      <c r="N247" s="14">
        <v>0</v>
      </c>
      <c r="O247" s="16">
        <f t="shared" si="43"/>
        <v>0</v>
      </c>
    </row>
    <row r="248" spans="1:15" s="1" customFormat="1" x14ac:dyDescent="0.3">
      <c r="A248" s="8" t="s">
        <v>502</v>
      </c>
      <c r="B248" s="9" t="s">
        <v>513</v>
      </c>
      <c r="C248" s="10" t="s">
        <v>476</v>
      </c>
      <c r="D248" s="11">
        <v>797</v>
      </c>
      <c r="E248" s="10">
        <v>0</v>
      </c>
      <c r="F248" s="10">
        <v>1</v>
      </c>
      <c r="G248" s="10">
        <v>0.5</v>
      </c>
      <c r="H248" s="10">
        <v>1</v>
      </c>
      <c r="I248" s="10">
        <f t="shared" si="48"/>
        <v>0</v>
      </c>
      <c r="J248" s="10">
        <f t="shared" si="49"/>
        <v>0</v>
      </c>
      <c r="K248" s="10">
        <f t="shared" si="50"/>
        <v>0</v>
      </c>
      <c r="L248" s="10">
        <f t="shared" si="51"/>
        <v>0</v>
      </c>
      <c r="M248" s="10">
        <v>1</v>
      </c>
      <c r="N248" s="10">
        <v>0</v>
      </c>
      <c r="O248" s="16">
        <f t="shared" si="43"/>
        <v>0</v>
      </c>
    </row>
    <row r="249" spans="1:15" s="1" customFormat="1" x14ac:dyDescent="0.3">
      <c r="A249" s="12" t="s">
        <v>503</v>
      </c>
      <c r="B249" s="13" t="s">
        <v>514</v>
      </c>
      <c r="C249" s="14" t="s">
        <v>476</v>
      </c>
      <c r="D249" s="15">
        <v>797</v>
      </c>
      <c r="E249" s="14">
        <v>0</v>
      </c>
      <c r="F249" s="14">
        <v>1</v>
      </c>
      <c r="G249" s="14">
        <v>0.5</v>
      </c>
      <c r="H249" s="14">
        <v>1</v>
      </c>
      <c r="I249" s="14">
        <f t="shared" si="48"/>
        <v>0</v>
      </c>
      <c r="J249" s="14">
        <f t="shared" si="49"/>
        <v>0</v>
      </c>
      <c r="K249" s="14">
        <f t="shared" si="50"/>
        <v>0</v>
      </c>
      <c r="L249" s="14">
        <f t="shared" si="51"/>
        <v>0</v>
      </c>
      <c r="M249" s="14">
        <v>0</v>
      </c>
      <c r="N249" s="14">
        <v>0</v>
      </c>
      <c r="O249" s="16">
        <f t="shared" si="43"/>
        <v>0</v>
      </c>
    </row>
    <row r="250" spans="1:15" s="1" customFormat="1" x14ac:dyDescent="0.3">
      <c r="A250" s="8" t="s">
        <v>504</v>
      </c>
      <c r="B250" s="9" t="s">
        <v>505</v>
      </c>
      <c r="C250" s="10" t="s">
        <v>476</v>
      </c>
      <c r="D250" s="11">
        <v>897</v>
      </c>
      <c r="E250" s="10">
        <v>0</v>
      </c>
      <c r="F250" s="10">
        <v>1</v>
      </c>
      <c r="G250" s="10">
        <v>0.5</v>
      </c>
      <c r="H250" s="10">
        <v>1</v>
      </c>
      <c r="I250" s="10">
        <f t="shared" si="48"/>
        <v>0</v>
      </c>
      <c r="J250" s="10">
        <f t="shared" si="49"/>
        <v>0</v>
      </c>
      <c r="K250" s="10">
        <f t="shared" si="50"/>
        <v>0</v>
      </c>
      <c r="L250" s="10">
        <f t="shared" si="51"/>
        <v>0</v>
      </c>
      <c r="M250" s="10">
        <v>2</v>
      </c>
      <c r="N250" s="10">
        <v>0</v>
      </c>
      <c r="O250" s="16">
        <f t="shared" si="43"/>
        <v>0</v>
      </c>
    </row>
    <row r="251" spans="1:15" s="1" customFormat="1" x14ac:dyDescent="0.3">
      <c r="A251" s="8" t="s">
        <v>506</v>
      </c>
      <c r="B251" s="9" t="s">
        <v>507</v>
      </c>
      <c r="C251" s="10" t="s">
        <v>476</v>
      </c>
      <c r="D251" s="11">
        <v>997</v>
      </c>
      <c r="E251" s="10">
        <v>0</v>
      </c>
      <c r="F251" s="10">
        <v>1</v>
      </c>
      <c r="G251" s="10">
        <v>0.5</v>
      </c>
      <c r="H251" s="10">
        <v>1</v>
      </c>
      <c r="I251" s="10">
        <f>MROUND(E251*G251,1)</f>
        <v>0</v>
      </c>
      <c r="J251" s="10">
        <f>MROUND(E251*F251,1)</f>
        <v>0</v>
      </c>
      <c r="K251" s="10">
        <f>MROUND(I251+J251,1)</f>
        <v>0</v>
      </c>
      <c r="L251" s="10">
        <f>MROUND(E251*(F251+G251+H251),1)</f>
        <v>0</v>
      </c>
      <c r="M251" s="10">
        <v>0</v>
      </c>
      <c r="N251" s="10">
        <v>0</v>
      </c>
      <c r="O251" s="16">
        <f t="shared" si="43"/>
        <v>0</v>
      </c>
    </row>
  </sheetData>
  <pageMargins left="0.23622047244094491" right="0.23622047244094491" top="0.74803149606299213" bottom="0.74803149606299213" header="0.31496062992125984" footer="0.31496062992125984"/>
  <pageSetup paperSize="9" scale="58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43F3F-D9D4-4BF4-B7C3-4D706F772614}">
  <sheetPr>
    <pageSetUpPr fitToPage="1"/>
  </sheetPr>
  <dimension ref="A1:G134"/>
  <sheetViews>
    <sheetView zoomScale="80" zoomScaleNormal="80" zoomScaleSheetLayoutView="130" workbookViewId="0"/>
  </sheetViews>
  <sheetFormatPr defaultRowHeight="14.4" x14ac:dyDescent="0.3"/>
  <cols>
    <col min="1" max="1" width="18.88671875" style="34" customWidth="1"/>
    <col min="2" max="2" width="45.44140625" style="34" customWidth="1"/>
    <col min="3" max="3" width="7.33203125" style="4" bestFit="1" customWidth="1"/>
    <col min="4" max="4" width="3.77734375" style="4" customWidth="1"/>
    <col min="5" max="5" width="17.21875" style="4" customWidth="1"/>
    <col min="6" max="6" width="48" style="4" customWidth="1"/>
    <col min="7" max="7" width="6.33203125" style="4" customWidth="1"/>
    <col min="8" max="16384" width="8.88671875" style="4"/>
  </cols>
  <sheetData>
    <row r="1" spans="1:7" x14ac:dyDescent="0.3">
      <c r="A1" s="35">
        <v>46146</v>
      </c>
    </row>
    <row r="2" spans="1:7" s="28" customFormat="1" x14ac:dyDescent="0.3">
      <c r="A2" s="29" t="s">
        <v>516</v>
      </c>
      <c r="B2" s="29"/>
      <c r="E2" s="28" t="s">
        <v>528</v>
      </c>
      <c r="F2" s="29"/>
    </row>
    <row r="3" spans="1:7" s="28" customFormat="1" x14ac:dyDescent="0.3">
      <c r="A3" s="31" t="s">
        <v>0</v>
      </c>
      <c r="B3" s="31" t="s">
        <v>1</v>
      </c>
      <c r="C3" s="30" t="s">
        <v>515</v>
      </c>
      <c r="E3" s="30" t="s">
        <v>0</v>
      </c>
      <c r="F3" s="31" t="s">
        <v>1</v>
      </c>
      <c r="G3" s="30" t="s">
        <v>526</v>
      </c>
    </row>
    <row r="4" spans="1:7" x14ac:dyDescent="0.3">
      <c r="A4" s="33" t="s">
        <v>103</v>
      </c>
      <c r="B4" s="33" t="s">
        <v>104</v>
      </c>
      <c r="C4" s="32"/>
      <c r="E4" s="32" t="s">
        <v>474</v>
      </c>
      <c r="F4" s="32" t="s">
        <v>475</v>
      </c>
      <c r="G4" s="32"/>
    </row>
    <row r="5" spans="1:7" x14ac:dyDescent="0.3">
      <c r="A5" s="33" t="s">
        <v>108</v>
      </c>
      <c r="B5" s="33" t="s">
        <v>109</v>
      </c>
      <c r="C5" s="32"/>
      <c r="E5" s="32" t="s">
        <v>477</v>
      </c>
      <c r="F5" s="32" t="s">
        <v>478</v>
      </c>
      <c r="G5" s="32"/>
    </row>
    <row r="6" spans="1:7" x14ac:dyDescent="0.3">
      <c r="A6" s="33" t="s">
        <v>112</v>
      </c>
      <c r="B6" s="33" t="s">
        <v>113</v>
      </c>
      <c r="C6" s="32"/>
      <c r="E6" s="32" t="s">
        <v>479</v>
      </c>
      <c r="F6" s="32" t="s">
        <v>480</v>
      </c>
      <c r="G6" s="32"/>
    </row>
    <row r="7" spans="1:7" x14ac:dyDescent="0.3">
      <c r="A7" s="33" t="s">
        <v>116</v>
      </c>
      <c r="B7" s="33" t="s">
        <v>117</v>
      </c>
      <c r="C7" s="32"/>
      <c r="E7" s="32" t="s">
        <v>481</v>
      </c>
      <c r="F7" s="32" t="s">
        <v>482</v>
      </c>
      <c r="G7" s="32"/>
    </row>
    <row r="8" spans="1:7" x14ac:dyDescent="0.3">
      <c r="A8" s="33" t="s">
        <v>120</v>
      </c>
      <c r="B8" s="33" t="s">
        <v>121</v>
      </c>
      <c r="C8" s="32"/>
      <c r="E8" s="32" t="s">
        <v>483</v>
      </c>
      <c r="F8" s="32" t="s">
        <v>484</v>
      </c>
      <c r="G8" s="32"/>
    </row>
    <row r="9" spans="1:7" x14ac:dyDescent="0.3">
      <c r="A9" s="33" t="s">
        <v>124</v>
      </c>
      <c r="B9" s="33" t="s">
        <v>125</v>
      </c>
      <c r="C9" s="32"/>
      <c r="E9" s="32" t="s">
        <v>485</v>
      </c>
      <c r="F9" s="32" t="s">
        <v>486</v>
      </c>
      <c r="G9" s="32"/>
    </row>
    <row r="10" spans="1:7" x14ac:dyDescent="0.3">
      <c r="A10" s="33" t="s">
        <v>128</v>
      </c>
      <c r="B10" s="33" t="s">
        <v>129</v>
      </c>
      <c r="C10" s="32"/>
      <c r="E10" s="32" t="s">
        <v>487</v>
      </c>
      <c r="F10" s="32" t="s">
        <v>488</v>
      </c>
      <c r="G10" s="32"/>
    </row>
    <row r="11" spans="1:7" x14ac:dyDescent="0.3">
      <c r="A11" s="33" t="s">
        <v>132</v>
      </c>
      <c r="B11" s="33" t="s">
        <v>133</v>
      </c>
      <c r="C11" s="32"/>
      <c r="E11" s="32" t="s">
        <v>489</v>
      </c>
      <c r="F11" s="32" t="s">
        <v>490</v>
      </c>
      <c r="G11" s="32"/>
    </row>
    <row r="12" spans="1:7" x14ac:dyDescent="0.3">
      <c r="A12" s="33" t="s">
        <v>136</v>
      </c>
      <c r="B12" s="33" t="s">
        <v>137</v>
      </c>
      <c r="C12" s="32"/>
      <c r="E12" s="32" t="s">
        <v>491</v>
      </c>
      <c r="F12" s="32" t="s">
        <v>492</v>
      </c>
      <c r="G12" s="32"/>
    </row>
    <row r="13" spans="1:7" x14ac:dyDescent="0.3">
      <c r="A13" s="33" t="s">
        <v>140</v>
      </c>
      <c r="B13" s="33" t="s">
        <v>141</v>
      </c>
      <c r="C13" s="32"/>
      <c r="E13" s="32" t="s">
        <v>493</v>
      </c>
      <c r="F13" s="32" t="s">
        <v>494</v>
      </c>
      <c r="G13" s="32"/>
    </row>
    <row r="14" spans="1:7" x14ac:dyDescent="0.3">
      <c r="A14" s="33" t="s">
        <v>144</v>
      </c>
      <c r="B14" s="33" t="s">
        <v>145</v>
      </c>
      <c r="C14" s="32"/>
      <c r="E14" s="32" t="s">
        <v>495</v>
      </c>
      <c r="F14" s="32" t="s">
        <v>496</v>
      </c>
      <c r="G14" s="32"/>
    </row>
    <row r="15" spans="1:7" x14ac:dyDescent="0.3">
      <c r="A15" s="33" t="s">
        <v>148</v>
      </c>
      <c r="B15" s="33" t="s">
        <v>149</v>
      </c>
      <c r="C15" s="32"/>
      <c r="E15" s="32" t="s">
        <v>497</v>
      </c>
      <c r="F15" s="32" t="s">
        <v>508</v>
      </c>
      <c r="G15" s="32"/>
    </row>
    <row r="16" spans="1:7" x14ac:dyDescent="0.3">
      <c r="A16" s="33" t="s">
        <v>466</v>
      </c>
      <c r="B16" s="33" t="s">
        <v>467</v>
      </c>
      <c r="C16" s="32"/>
      <c r="E16" s="32" t="s">
        <v>498</v>
      </c>
      <c r="F16" s="32" t="s">
        <v>509</v>
      </c>
      <c r="G16" s="32"/>
    </row>
    <row r="17" spans="1:7" x14ac:dyDescent="0.3">
      <c r="A17" s="33" t="s">
        <v>155</v>
      </c>
      <c r="B17" s="33" t="s">
        <v>156</v>
      </c>
      <c r="C17" s="32"/>
      <c r="E17" s="32" t="s">
        <v>499</v>
      </c>
      <c r="F17" s="32" t="s">
        <v>510</v>
      </c>
      <c r="G17" s="32"/>
    </row>
    <row r="18" spans="1:7" s="28" customFormat="1" x14ac:dyDescent="0.3">
      <c r="A18" s="34"/>
      <c r="B18" s="34"/>
      <c r="C18" s="4"/>
      <c r="E18" s="32" t="s">
        <v>500</v>
      </c>
      <c r="F18" s="32" t="s">
        <v>511</v>
      </c>
      <c r="G18" s="32"/>
    </row>
    <row r="19" spans="1:7" s="28" customFormat="1" x14ac:dyDescent="0.3">
      <c r="A19" s="34"/>
      <c r="B19" s="34"/>
      <c r="C19" s="4"/>
      <c r="E19" s="32" t="s">
        <v>501</v>
      </c>
      <c r="F19" s="32" t="s">
        <v>512</v>
      </c>
      <c r="G19" s="32"/>
    </row>
    <row r="20" spans="1:7" x14ac:dyDescent="0.3">
      <c r="E20" s="32" t="s">
        <v>502</v>
      </c>
      <c r="F20" s="32" t="s">
        <v>513</v>
      </c>
      <c r="G20" s="32"/>
    </row>
    <row r="21" spans="1:7" x14ac:dyDescent="0.3">
      <c r="E21" s="32" t="s">
        <v>503</v>
      </c>
      <c r="F21" s="32" t="s">
        <v>514</v>
      </c>
      <c r="G21" s="32"/>
    </row>
    <row r="22" spans="1:7" x14ac:dyDescent="0.3">
      <c r="A22" s="28" t="s">
        <v>517</v>
      </c>
      <c r="B22" s="29"/>
      <c r="C22" s="28"/>
      <c r="E22" s="32" t="s">
        <v>504</v>
      </c>
      <c r="F22" s="32" t="s">
        <v>505</v>
      </c>
      <c r="G22" s="32"/>
    </row>
    <row r="23" spans="1:7" x14ac:dyDescent="0.3">
      <c r="A23" s="31" t="s">
        <v>0</v>
      </c>
      <c r="B23" s="31" t="s">
        <v>1</v>
      </c>
      <c r="C23" s="30" t="s">
        <v>515</v>
      </c>
      <c r="E23" s="32" t="s">
        <v>506</v>
      </c>
      <c r="F23" s="32" t="s">
        <v>507</v>
      </c>
      <c r="G23" s="32"/>
    </row>
    <row r="24" spans="1:7" x14ac:dyDescent="0.3">
      <c r="A24" s="33" t="s">
        <v>157</v>
      </c>
      <c r="B24" s="33" t="s">
        <v>158</v>
      </c>
      <c r="C24" s="32"/>
      <c r="E24" s="28" t="s">
        <v>521</v>
      </c>
      <c r="F24" s="29"/>
      <c r="G24" s="28"/>
    </row>
    <row r="25" spans="1:7" x14ac:dyDescent="0.3">
      <c r="A25" s="33" t="s">
        <v>162</v>
      </c>
      <c r="B25" s="33" t="s">
        <v>163</v>
      </c>
      <c r="C25" s="32"/>
      <c r="E25" s="30" t="s">
        <v>0</v>
      </c>
      <c r="F25" s="31" t="s">
        <v>1</v>
      </c>
      <c r="G25" s="30" t="s">
        <v>515</v>
      </c>
    </row>
    <row r="26" spans="1:7" x14ac:dyDescent="0.3">
      <c r="A26" s="33" t="s">
        <v>166</v>
      </c>
      <c r="B26" s="33" t="s">
        <v>167</v>
      </c>
      <c r="C26" s="32"/>
      <c r="E26" s="32" t="s">
        <v>235</v>
      </c>
      <c r="F26" s="33" t="s">
        <v>236</v>
      </c>
      <c r="G26" s="32"/>
    </row>
    <row r="27" spans="1:7" x14ac:dyDescent="0.3">
      <c r="A27" s="33" t="s">
        <v>172</v>
      </c>
      <c r="B27" s="33" t="s">
        <v>173</v>
      </c>
      <c r="C27" s="32"/>
      <c r="E27" s="32" t="s">
        <v>239</v>
      </c>
      <c r="F27" s="33" t="s">
        <v>240</v>
      </c>
      <c r="G27" s="32"/>
    </row>
    <row r="28" spans="1:7" x14ac:dyDescent="0.3">
      <c r="A28" s="33" t="s">
        <v>176</v>
      </c>
      <c r="B28" s="33" t="s">
        <v>177</v>
      </c>
      <c r="C28" s="32"/>
      <c r="E28" s="32" t="s">
        <v>243</v>
      </c>
      <c r="F28" s="33" t="s">
        <v>244</v>
      </c>
      <c r="G28" s="32"/>
    </row>
    <row r="29" spans="1:7" x14ac:dyDescent="0.3">
      <c r="A29" s="33" t="s">
        <v>180</v>
      </c>
      <c r="B29" s="33" t="s">
        <v>181</v>
      </c>
      <c r="C29" s="32"/>
      <c r="E29" s="32" t="s">
        <v>247</v>
      </c>
      <c r="F29" s="33" t="s">
        <v>248</v>
      </c>
      <c r="G29" s="32"/>
    </row>
    <row r="30" spans="1:7" x14ac:dyDescent="0.3">
      <c r="A30" s="33" t="s">
        <v>184</v>
      </c>
      <c r="B30" s="33" t="s">
        <v>185</v>
      </c>
      <c r="C30" s="32"/>
      <c r="E30" s="32" t="s">
        <v>251</v>
      </c>
      <c r="F30" s="33" t="s">
        <v>252</v>
      </c>
      <c r="G30" s="32"/>
    </row>
    <row r="31" spans="1:7" x14ac:dyDescent="0.3">
      <c r="A31" s="33" t="s">
        <v>188</v>
      </c>
      <c r="B31" s="33" t="s">
        <v>189</v>
      </c>
      <c r="C31" s="32"/>
      <c r="E31" s="32" t="s">
        <v>255</v>
      </c>
      <c r="F31" s="33" t="s">
        <v>256</v>
      </c>
      <c r="G31" s="32"/>
    </row>
    <row r="32" spans="1:7" x14ac:dyDescent="0.3">
      <c r="A32" s="33" t="s">
        <v>160</v>
      </c>
      <c r="B32" s="33" t="s">
        <v>161</v>
      </c>
      <c r="C32" s="32"/>
      <c r="E32" s="32" t="s">
        <v>259</v>
      </c>
      <c r="F32" s="33" t="s">
        <v>260</v>
      </c>
      <c r="G32" s="32"/>
    </row>
    <row r="33" spans="1:7" x14ac:dyDescent="0.3">
      <c r="A33" s="33" t="s">
        <v>164</v>
      </c>
      <c r="B33" s="33" t="s">
        <v>165</v>
      </c>
      <c r="C33" s="32"/>
      <c r="E33" s="32" t="s">
        <v>263</v>
      </c>
      <c r="F33" s="33" t="s">
        <v>264</v>
      </c>
      <c r="G33" s="32"/>
    </row>
    <row r="34" spans="1:7" x14ac:dyDescent="0.3">
      <c r="A34" s="33" t="s">
        <v>168</v>
      </c>
      <c r="B34" s="33" t="s">
        <v>169</v>
      </c>
      <c r="C34" s="32"/>
      <c r="E34" s="32" t="s">
        <v>230</v>
      </c>
      <c r="F34" s="33" t="s">
        <v>231</v>
      </c>
      <c r="G34" s="32"/>
    </row>
    <row r="35" spans="1:7" x14ac:dyDescent="0.3">
      <c r="A35" s="33" t="s">
        <v>170</v>
      </c>
      <c r="B35" s="33" t="s">
        <v>171</v>
      </c>
      <c r="C35" s="32"/>
      <c r="E35" s="32" t="s">
        <v>472</v>
      </c>
      <c r="F35" s="33" t="s">
        <v>473</v>
      </c>
      <c r="G35" s="32"/>
    </row>
    <row r="36" spans="1:7" x14ac:dyDescent="0.3">
      <c r="A36" s="33" t="s">
        <v>174</v>
      </c>
      <c r="B36" s="33" t="s">
        <v>175</v>
      </c>
      <c r="C36" s="32"/>
      <c r="E36" s="32" t="s">
        <v>265</v>
      </c>
      <c r="F36" s="33" t="s">
        <v>266</v>
      </c>
      <c r="G36" s="32"/>
    </row>
    <row r="37" spans="1:7" x14ac:dyDescent="0.3">
      <c r="A37" s="33" t="s">
        <v>178</v>
      </c>
      <c r="B37" s="33" t="s">
        <v>179</v>
      </c>
      <c r="C37" s="32"/>
      <c r="E37" s="32" t="s">
        <v>233</v>
      </c>
      <c r="F37" s="33" t="s">
        <v>234</v>
      </c>
      <c r="G37" s="32"/>
    </row>
    <row r="38" spans="1:7" x14ac:dyDescent="0.3">
      <c r="A38" s="33" t="s">
        <v>182</v>
      </c>
      <c r="B38" s="33" t="s">
        <v>183</v>
      </c>
      <c r="C38" s="32"/>
      <c r="E38" s="28" t="s">
        <v>524</v>
      </c>
      <c r="F38" s="29"/>
      <c r="G38" s="28"/>
    </row>
    <row r="39" spans="1:7" x14ac:dyDescent="0.3">
      <c r="A39" s="33" t="s">
        <v>186</v>
      </c>
      <c r="B39" s="33" t="s">
        <v>187</v>
      </c>
      <c r="C39" s="32"/>
      <c r="E39" s="30" t="s">
        <v>0</v>
      </c>
      <c r="F39" s="31" t="s">
        <v>1</v>
      </c>
      <c r="G39" s="30" t="s">
        <v>515</v>
      </c>
    </row>
    <row r="40" spans="1:7" x14ac:dyDescent="0.3">
      <c r="A40" s="33" t="s">
        <v>470</v>
      </c>
      <c r="B40" s="33" t="s">
        <v>471</v>
      </c>
      <c r="C40" s="32"/>
      <c r="E40" s="32" t="s">
        <v>351</v>
      </c>
      <c r="F40" s="32" t="s">
        <v>352</v>
      </c>
      <c r="G40" s="32"/>
    </row>
    <row r="41" spans="1:7" x14ac:dyDescent="0.3">
      <c r="A41" s="29" t="s">
        <v>525</v>
      </c>
      <c r="B41" s="29"/>
      <c r="C41" s="28"/>
      <c r="E41" s="32" t="s">
        <v>356</v>
      </c>
      <c r="F41" s="32" t="s">
        <v>357</v>
      </c>
      <c r="G41" s="32"/>
    </row>
    <row r="42" spans="1:7" x14ac:dyDescent="0.3">
      <c r="A42" s="31" t="s">
        <v>0</v>
      </c>
      <c r="B42" s="31" t="s">
        <v>1</v>
      </c>
      <c r="C42" s="30" t="s">
        <v>515</v>
      </c>
      <c r="E42" s="32" t="s">
        <v>360</v>
      </c>
      <c r="F42" s="32" t="s">
        <v>361</v>
      </c>
      <c r="G42" s="32"/>
    </row>
    <row r="43" spans="1:7" x14ac:dyDescent="0.3">
      <c r="A43" s="33" t="s">
        <v>376</v>
      </c>
      <c r="B43" s="32" t="s">
        <v>377</v>
      </c>
      <c r="C43" s="32"/>
      <c r="E43" s="32" t="s">
        <v>364</v>
      </c>
      <c r="F43" s="32" t="s">
        <v>365</v>
      </c>
      <c r="G43" s="32"/>
    </row>
    <row r="44" spans="1:7" x14ac:dyDescent="0.3">
      <c r="A44" s="33" t="s">
        <v>379</v>
      </c>
      <c r="B44" s="32" t="s">
        <v>380</v>
      </c>
      <c r="C44" s="32"/>
      <c r="E44" s="32" t="s">
        <v>368</v>
      </c>
      <c r="F44" s="32" t="s">
        <v>369</v>
      </c>
      <c r="G44" s="32"/>
    </row>
    <row r="45" spans="1:7" x14ac:dyDescent="0.3">
      <c r="A45" s="33" t="s">
        <v>381</v>
      </c>
      <c r="B45" s="32" t="s">
        <v>382</v>
      </c>
      <c r="C45" s="32"/>
      <c r="E45" s="32" t="s">
        <v>370</v>
      </c>
      <c r="F45" s="32" t="s">
        <v>371</v>
      </c>
      <c r="G45" s="32"/>
    </row>
    <row r="46" spans="1:7" x14ac:dyDescent="0.3">
      <c r="A46" s="33" t="s">
        <v>383</v>
      </c>
      <c r="B46" s="32" t="s">
        <v>384</v>
      </c>
      <c r="C46" s="32"/>
      <c r="E46" s="32" t="s">
        <v>354</v>
      </c>
      <c r="F46" s="32" t="s">
        <v>355</v>
      </c>
      <c r="G46" s="32"/>
    </row>
    <row r="47" spans="1:7" x14ac:dyDescent="0.3">
      <c r="A47" s="33" t="s">
        <v>385</v>
      </c>
      <c r="B47" s="32" t="s">
        <v>386</v>
      </c>
      <c r="C47" s="32"/>
      <c r="E47" s="32" t="s">
        <v>358</v>
      </c>
      <c r="F47" s="32" t="s">
        <v>359</v>
      </c>
      <c r="G47" s="32"/>
    </row>
    <row r="48" spans="1:7" x14ac:dyDescent="0.3">
      <c r="A48" s="33" t="s">
        <v>387</v>
      </c>
      <c r="B48" s="32" t="s">
        <v>388</v>
      </c>
      <c r="C48" s="32"/>
      <c r="E48" s="32" t="s">
        <v>362</v>
      </c>
      <c r="F48" s="32" t="s">
        <v>363</v>
      </c>
      <c r="G48" s="32"/>
    </row>
    <row r="49" spans="1:7" x14ac:dyDescent="0.3">
      <c r="A49" s="33" t="s">
        <v>389</v>
      </c>
      <c r="B49" s="32" t="s">
        <v>390</v>
      </c>
      <c r="C49" s="32"/>
      <c r="E49" s="32" t="s">
        <v>366</v>
      </c>
      <c r="F49" s="32" t="s">
        <v>367</v>
      </c>
      <c r="G49" s="32"/>
    </row>
    <row r="50" spans="1:7" x14ac:dyDescent="0.3">
      <c r="A50" s="29" t="s">
        <v>519</v>
      </c>
      <c r="B50" s="29"/>
      <c r="C50" s="28"/>
      <c r="E50" s="32" t="s">
        <v>372</v>
      </c>
      <c r="F50" s="32" t="s">
        <v>373</v>
      </c>
      <c r="G50" s="32"/>
    </row>
    <row r="51" spans="1:7" x14ac:dyDescent="0.3">
      <c r="A51" s="31" t="s">
        <v>0</v>
      </c>
      <c r="B51" s="31" t="s">
        <v>1</v>
      </c>
      <c r="C51" s="30" t="s">
        <v>518</v>
      </c>
      <c r="E51" s="32" t="s">
        <v>374</v>
      </c>
      <c r="F51" s="32" t="s">
        <v>375</v>
      </c>
      <c r="G51" s="32"/>
    </row>
    <row r="52" spans="1:7" x14ac:dyDescent="0.3">
      <c r="A52" s="33" t="s">
        <v>190</v>
      </c>
      <c r="B52" s="33" t="s">
        <v>191</v>
      </c>
      <c r="C52" s="32"/>
      <c r="E52" s="28" t="s">
        <v>520</v>
      </c>
      <c r="F52" s="29"/>
      <c r="G52" s="28"/>
    </row>
    <row r="53" spans="1:7" x14ac:dyDescent="0.3">
      <c r="A53" s="33" t="s">
        <v>193</v>
      </c>
      <c r="B53" s="33" t="s">
        <v>194</v>
      </c>
      <c r="C53" s="32"/>
      <c r="E53" s="30" t="s">
        <v>0</v>
      </c>
      <c r="F53" s="31" t="s">
        <v>1</v>
      </c>
      <c r="G53" s="30" t="s">
        <v>515</v>
      </c>
    </row>
    <row r="54" spans="1:7" x14ac:dyDescent="0.3">
      <c r="A54" s="29" t="s">
        <v>523</v>
      </c>
      <c r="B54" s="29"/>
      <c r="C54" s="28"/>
      <c r="E54" s="32" t="s">
        <v>195</v>
      </c>
      <c r="F54" s="33" t="s">
        <v>529</v>
      </c>
      <c r="G54" s="32"/>
    </row>
    <row r="55" spans="1:7" x14ac:dyDescent="0.3">
      <c r="A55" s="31" t="s">
        <v>0</v>
      </c>
      <c r="B55" s="31" t="s">
        <v>1</v>
      </c>
      <c r="C55" s="30" t="s">
        <v>515</v>
      </c>
      <c r="E55" s="32" t="s">
        <v>198</v>
      </c>
      <c r="F55" s="33" t="s">
        <v>199</v>
      </c>
      <c r="G55" s="32"/>
    </row>
    <row r="56" spans="1:7" x14ac:dyDescent="0.3">
      <c r="A56" s="33" t="s">
        <v>302</v>
      </c>
      <c r="B56" s="32" t="s">
        <v>303</v>
      </c>
      <c r="C56" s="32"/>
      <c r="E56" s="32" t="s">
        <v>200</v>
      </c>
      <c r="F56" s="33" t="s">
        <v>201</v>
      </c>
      <c r="G56" s="32"/>
    </row>
    <row r="57" spans="1:7" x14ac:dyDescent="0.3">
      <c r="A57" s="33" t="s">
        <v>305</v>
      </c>
      <c r="B57" s="32" t="s">
        <v>306</v>
      </c>
      <c r="C57" s="32"/>
      <c r="E57" s="32" t="s">
        <v>202</v>
      </c>
      <c r="F57" s="33" t="s">
        <v>203</v>
      </c>
      <c r="G57" s="32"/>
    </row>
    <row r="58" spans="1:7" x14ac:dyDescent="0.3">
      <c r="A58" s="33" t="s">
        <v>307</v>
      </c>
      <c r="B58" s="32" t="s">
        <v>308</v>
      </c>
      <c r="C58" s="32"/>
      <c r="E58" s="32" t="s">
        <v>204</v>
      </c>
      <c r="F58" s="33" t="s">
        <v>205</v>
      </c>
      <c r="G58" s="32"/>
    </row>
    <row r="59" spans="1:7" x14ac:dyDescent="0.3">
      <c r="A59" s="33" t="s">
        <v>309</v>
      </c>
      <c r="B59" s="32" t="s">
        <v>310</v>
      </c>
      <c r="C59" s="32"/>
      <c r="E59" s="32" t="s">
        <v>206</v>
      </c>
      <c r="F59" s="33" t="s">
        <v>207</v>
      </c>
      <c r="G59" s="32"/>
    </row>
    <row r="60" spans="1:7" x14ac:dyDescent="0.3">
      <c r="A60" s="33" t="s">
        <v>311</v>
      </c>
      <c r="B60" s="32" t="s">
        <v>312</v>
      </c>
      <c r="C60" s="30"/>
      <c r="E60" s="32" t="s">
        <v>208</v>
      </c>
      <c r="F60" s="33" t="s">
        <v>209</v>
      </c>
      <c r="G60" s="32"/>
    </row>
    <row r="61" spans="1:7" x14ac:dyDescent="0.3">
      <c r="A61" s="33" t="s">
        <v>313</v>
      </c>
      <c r="B61" s="32" t="s">
        <v>314</v>
      </c>
      <c r="C61" s="30"/>
      <c r="E61" s="32" t="s">
        <v>210</v>
      </c>
      <c r="F61" s="33" t="s">
        <v>211</v>
      </c>
      <c r="G61" s="32"/>
    </row>
    <row r="62" spans="1:7" x14ac:dyDescent="0.3">
      <c r="A62" s="33" t="s">
        <v>315</v>
      </c>
      <c r="B62" s="32" t="s">
        <v>316</v>
      </c>
      <c r="C62" s="32"/>
      <c r="E62" s="32" t="s">
        <v>212</v>
      </c>
      <c r="F62" s="33" t="s">
        <v>213</v>
      </c>
      <c r="G62" s="32"/>
    </row>
    <row r="63" spans="1:7" x14ac:dyDescent="0.3">
      <c r="A63" s="33" t="s">
        <v>317</v>
      </c>
      <c r="B63" s="32" t="s">
        <v>318</v>
      </c>
      <c r="C63" s="32"/>
      <c r="E63" s="32" t="s">
        <v>214</v>
      </c>
      <c r="F63" s="33" t="s">
        <v>215</v>
      </c>
      <c r="G63" s="32"/>
    </row>
    <row r="64" spans="1:7" x14ac:dyDescent="0.3">
      <c r="A64" s="33" t="s">
        <v>319</v>
      </c>
      <c r="B64" s="32" t="s">
        <v>320</v>
      </c>
      <c r="C64" s="32"/>
      <c r="E64" s="32" t="s">
        <v>216</v>
      </c>
      <c r="F64" s="33" t="s">
        <v>217</v>
      </c>
      <c r="G64" s="32"/>
    </row>
    <row r="65" spans="1:7" x14ac:dyDescent="0.3">
      <c r="A65" s="33" t="s">
        <v>321</v>
      </c>
      <c r="B65" s="32" t="s">
        <v>322</v>
      </c>
      <c r="C65" s="32"/>
      <c r="E65" s="32" t="s">
        <v>218</v>
      </c>
      <c r="F65" s="33" t="s">
        <v>219</v>
      </c>
      <c r="G65" s="32"/>
    </row>
    <row r="66" spans="1:7" x14ac:dyDescent="0.3">
      <c r="A66" s="33" t="s">
        <v>323</v>
      </c>
      <c r="B66" s="32" t="s">
        <v>324</v>
      </c>
      <c r="C66" s="32"/>
      <c r="E66" s="32" t="s">
        <v>220</v>
      </c>
      <c r="F66" s="33" t="s">
        <v>221</v>
      </c>
      <c r="G66" s="32"/>
    </row>
    <row r="67" spans="1:7" x14ac:dyDescent="0.3">
      <c r="A67" s="33" t="s">
        <v>327</v>
      </c>
      <c r="B67" s="32" t="s">
        <v>328</v>
      </c>
      <c r="C67" s="32"/>
      <c r="E67" s="32" t="s">
        <v>222</v>
      </c>
      <c r="F67" s="33" t="s">
        <v>223</v>
      </c>
      <c r="G67" s="32"/>
    </row>
    <row r="68" spans="1:7" x14ac:dyDescent="0.3">
      <c r="A68" s="33" t="s">
        <v>329</v>
      </c>
      <c r="B68" s="32" t="s">
        <v>330</v>
      </c>
      <c r="C68" s="32"/>
      <c r="E68" s="32" t="s">
        <v>224</v>
      </c>
      <c r="F68" s="33" t="s">
        <v>225</v>
      </c>
      <c r="G68" s="30"/>
    </row>
    <row r="69" spans="1:7" x14ac:dyDescent="0.3">
      <c r="A69" s="33" t="s">
        <v>331</v>
      </c>
      <c r="B69" s="32" t="s">
        <v>332</v>
      </c>
      <c r="C69" s="32"/>
      <c r="E69" s="32" t="s">
        <v>226</v>
      </c>
      <c r="F69" s="33" t="s">
        <v>227</v>
      </c>
      <c r="G69" s="30"/>
    </row>
    <row r="70" spans="1:7" x14ac:dyDescent="0.3">
      <c r="A70" s="33" t="s">
        <v>333</v>
      </c>
      <c r="B70" s="32" t="s">
        <v>334</v>
      </c>
      <c r="C70" s="32"/>
      <c r="E70" s="32" t="s">
        <v>228</v>
      </c>
      <c r="F70" s="33" t="s">
        <v>229</v>
      </c>
      <c r="G70" s="32"/>
    </row>
    <row r="71" spans="1:7" x14ac:dyDescent="0.3">
      <c r="A71" s="33" t="s">
        <v>335</v>
      </c>
      <c r="B71" s="32" t="s">
        <v>336</v>
      </c>
      <c r="C71" s="32"/>
      <c r="E71" s="28" t="s">
        <v>522</v>
      </c>
      <c r="F71" s="29"/>
      <c r="G71" s="28"/>
    </row>
    <row r="72" spans="1:7" x14ac:dyDescent="0.3">
      <c r="A72" s="33" t="s">
        <v>337</v>
      </c>
      <c r="B72" s="32" t="s">
        <v>338</v>
      </c>
      <c r="C72" s="32"/>
      <c r="E72" s="30" t="s">
        <v>0</v>
      </c>
      <c r="F72" s="31" t="s">
        <v>1</v>
      </c>
      <c r="G72" s="30" t="s">
        <v>515</v>
      </c>
    </row>
    <row r="73" spans="1:7" x14ac:dyDescent="0.3">
      <c r="A73" s="33" t="s">
        <v>339</v>
      </c>
      <c r="B73" s="32" t="s">
        <v>340</v>
      </c>
      <c r="C73" s="32"/>
      <c r="E73" s="32" t="s">
        <v>272</v>
      </c>
      <c r="F73" s="33" t="s">
        <v>273</v>
      </c>
      <c r="G73" s="32"/>
    </row>
    <row r="74" spans="1:7" x14ac:dyDescent="0.3">
      <c r="A74" s="33" t="s">
        <v>341</v>
      </c>
      <c r="B74" s="32" t="s">
        <v>342</v>
      </c>
      <c r="C74" s="32"/>
      <c r="E74" s="32" t="s">
        <v>276</v>
      </c>
      <c r="F74" s="33" t="s">
        <v>277</v>
      </c>
      <c r="G74" s="32"/>
    </row>
    <row r="75" spans="1:7" x14ac:dyDescent="0.3">
      <c r="A75" s="33" t="s">
        <v>343</v>
      </c>
      <c r="B75" s="32" t="s">
        <v>344</v>
      </c>
      <c r="C75" s="32"/>
      <c r="E75" s="32" t="s">
        <v>280</v>
      </c>
      <c r="F75" s="33" t="s">
        <v>281</v>
      </c>
      <c r="G75" s="32"/>
    </row>
    <row r="76" spans="1:7" x14ac:dyDescent="0.3">
      <c r="A76" s="33" t="s">
        <v>345</v>
      </c>
      <c r="B76" s="32" t="s">
        <v>346</v>
      </c>
      <c r="C76" s="32"/>
      <c r="E76" s="32" t="s">
        <v>284</v>
      </c>
      <c r="F76" s="33" t="s">
        <v>285</v>
      </c>
      <c r="G76" s="32"/>
    </row>
    <row r="77" spans="1:7" x14ac:dyDescent="0.3">
      <c r="A77" s="33" t="s">
        <v>347</v>
      </c>
      <c r="B77" s="32" t="s">
        <v>348</v>
      </c>
      <c r="C77" s="32"/>
      <c r="E77" s="32" t="s">
        <v>286</v>
      </c>
      <c r="F77" s="33" t="s">
        <v>287</v>
      </c>
      <c r="G77" s="32"/>
    </row>
    <row r="78" spans="1:7" x14ac:dyDescent="0.3">
      <c r="A78" s="33" t="s">
        <v>349</v>
      </c>
      <c r="B78" s="32" t="s">
        <v>350</v>
      </c>
      <c r="C78" s="32"/>
      <c r="E78" s="32" t="s">
        <v>290</v>
      </c>
      <c r="F78" s="33" t="s">
        <v>291</v>
      </c>
      <c r="G78" s="32"/>
    </row>
    <row r="79" spans="1:7" x14ac:dyDescent="0.3">
      <c r="A79" s="33" t="s">
        <v>325</v>
      </c>
      <c r="B79" s="32" t="s">
        <v>326</v>
      </c>
      <c r="C79" s="32"/>
      <c r="E79" s="32" t="s">
        <v>294</v>
      </c>
      <c r="F79" s="33" t="s">
        <v>295</v>
      </c>
      <c r="G79" s="32"/>
    </row>
    <row r="80" spans="1:7" x14ac:dyDescent="0.3">
      <c r="E80" s="32" t="s">
        <v>298</v>
      </c>
      <c r="F80" s="33" t="s">
        <v>299</v>
      </c>
      <c r="G80" s="32"/>
    </row>
    <row r="81" spans="1:7" x14ac:dyDescent="0.3">
      <c r="F81" s="34"/>
    </row>
    <row r="82" spans="1:7" x14ac:dyDescent="0.3">
      <c r="A82" s="29" t="s">
        <v>14</v>
      </c>
      <c r="B82" s="29"/>
      <c r="C82" s="28"/>
      <c r="E82" s="28" t="s">
        <v>527</v>
      </c>
      <c r="F82" s="29"/>
      <c r="G82" s="28"/>
    </row>
    <row r="83" spans="1:7" x14ac:dyDescent="0.3">
      <c r="A83" s="31" t="s">
        <v>0</v>
      </c>
      <c r="B83" s="31" t="s">
        <v>1</v>
      </c>
      <c r="C83" s="30" t="s">
        <v>515</v>
      </c>
      <c r="E83" s="30" t="s">
        <v>0</v>
      </c>
      <c r="F83" s="31" t="s">
        <v>1</v>
      </c>
      <c r="G83" s="30" t="s">
        <v>515</v>
      </c>
    </row>
    <row r="84" spans="1:7" ht="28.8" x14ac:dyDescent="0.3">
      <c r="A84" s="33" t="s">
        <v>72</v>
      </c>
      <c r="B84" s="33" t="s">
        <v>73</v>
      </c>
      <c r="C84" s="33"/>
      <c r="E84" s="32" t="s">
        <v>391</v>
      </c>
      <c r="F84" s="33" t="s">
        <v>392</v>
      </c>
      <c r="G84" s="32"/>
    </row>
    <row r="85" spans="1:7" x14ac:dyDescent="0.3">
      <c r="A85" s="33">
        <v>258032</v>
      </c>
      <c r="B85" s="33" t="s">
        <v>19</v>
      </c>
      <c r="C85" s="33"/>
      <c r="E85" s="32" t="s">
        <v>394</v>
      </c>
      <c r="F85" s="33" t="s">
        <v>395</v>
      </c>
      <c r="G85" s="32"/>
    </row>
    <row r="86" spans="1:7" x14ac:dyDescent="0.3">
      <c r="A86" s="33">
        <v>258306</v>
      </c>
      <c r="B86" s="33" t="s">
        <v>21</v>
      </c>
      <c r="C86" s="33"/>
      <c r="E86" s="32" t="s">
        <v>396</v>
      </c>
      <c r="F86" s="33" t="s">
        <v>397</v>
      </c>
      <c r="G86" s="32"/>
    </row>
    <row r="87" spans="1:7" ht="28.8" x14ac:dyDescent="0.3">
      <c r="A87" s="33" t="s">
        <v>68</v>
      </c>
      <c r="B87" s="33" t="s">
        <v>69</v>
      </c>
      <c r="C87" s="33"/>
      <c r="E87" s="32" t="s">
        <v>398</v>
      </c>
      <c r="F87" s="33" t="s">
        <v>399</v>
      </c>
      <c r="G87" s="32"/>
    </row>
    <row r="88" spans="1:7" ht="28.8" x14ac:dyDescent="0.3">
      <c r="A88" s="33" t="s">
        <v>70</v>
      </c>
      <c r="B88" s="33" t="s">
        <v>71</v>
      </c>
      <c r="C88" s="33"/>
      <c r="E88" s="32" t="s">
        <v>400</v>
      </c>
      <c r="F88" s="33" t="s">
        <v>401</v>
      </c>
      <c r="G88" s="32"/>
    </row>
    <row r="89" spans="1:7" x14ac:dyDescent="0.3">
      <c r="A89" s="33" t="s">
        <v>74</v>
      </c>
      <c r="B89" s="33" t="s">
        <v>75</v>
      </c>
      <c r="C89" s="33"/>
      <c r="E89" s="32" t="s">
        <v>402</v>
      </c>
      <c r="F89" s="33" t="s">
        <v>403</v>
      </c>
      <c r="G89" s="32"/>
    </row>
    <row r="90" spans="1:7" x14ac:dyDescent="0.3">
      <c r="A90" s="33" t="s">
        <v>76</v>
      </c>
      <c r="B90" s="33" t="s">
        <v>77</v>
      </c>
      <c r="C90" s="33"/>
      <c r="E90" s="32" t="s">
        <v>404</v>
      </c>
      <c r="F90" s="33" t="s">
        <v>405</v>
      </c>
      <c r="G90" s="32"/>
    </row>
    <row r="91" spans="1:7" ht="28.8" x14ac:dyDescent="0.3">
      <c r="A91" s="33" t="s">
        <v>78</v>
      </c>
      <c r="B91" s="33" t="s">
        <v>79</v>
      </c>
      <c r="C91" s="33"/>
      <c r="E91" s="32" t="s">
        <v>406</v>
      </c>
      <c r="F91" s="33" t="s">
        <v>407</v>
      </c>
      <c r="G91" s="32"/>
    </row>
    <row r="92" spans="1:7" ht="28.8" x14ac:dyDescent="0.3">
      <c r="A92" s="33" t="s">
        <v>460</v>
      </c>
      <c r="B92" s="33" t="s">
        <v>461</v>
      </c>
      <c r="C92" s="33"/>
      <c r="E92" s="32" t="s">
        <v>408</v>
      </c>
      <c r="F92" s="33" t="s">
        <v>409</v>
      </c>
      <c r="G92" s="32"/>
    </row>
    <row r="93" spans="1:7" x14ac:dyDescent="0.3">
      <c r="A93" s="33" t="s">
        <v>80</v>
      </c>
      <c r="B93" s="33" t="s">
        <v>81</v>
      </c>
      <c r="C93" s="33"/>
      <c r="E93" s="32" t="s">
        <v>410</v>
      </c>
      <c r="F93" s="33" t="s">
        <v>411</v>
      </c>
      <c r="G93" s="32"/>
    </row>
    <row r="94" spans="1:7" ht="28.8" x14ac:dyDescent="0.3">
      <c r="A94" s="33" t="s">
        <v>82</v>
      </c>
      <c r="B94" s="33" t="s">
        <v>83</v>
      </c>
      <c r="C94" s="33"/>
      <c r="E94" s="32" t="s">
        <v>412</v>
      </c>
      <c r="F94" s="33" t="s">
        <v>413</v>
      </c>
      <c r="G94" s="32"/>
    </row>
    <row r="95" spans="1:7" ht="28.8" x14ac:dyDescent="0.3">
      <c r="A95" s="33" t="s">
        <v>84</v>
      </c>
      <c r="B95" s="33" t="s">
        <v>85</v>
      </c>
      <c r="C95" s="33"/>
      <c r="E95" s="32" t="s">
        <v>414</v>
      </c>
      <c r="F95" s="33" t="s">
        <v>415</v>
      </c>
      <c r="G95" s="32"/>
    </row>
    <row r="96" spans="1:7" ht="28.8" x14ac:dyDescent="0.3">
      <c r="A96" s="33" t="s">
        <v>86</v>
      </c>
      <c r="B96" s="33" t="s">
        <v>87</v>
      </c>
      <c r="C96" s="33"/>
      <c r="E96" s="32" t="s">
        <v>416</v>
      </c>
      <c r="F96" s="33" t="s">
        <v>417</v>
      </c>
      <c r="G96" s="32"/>
    </row>
    <row r="97" spans="1:7" ht="28.8" x14ac:dyDescent="0.3">
      <c r="A97" s="33" t="s">
        <v>88</v>
      </c>
      <c r="B97" s="33" t="s">
        <v>89</v>
      </c>
      <c r="C97" s="33"/>
      <c r="E97" s="32" t="s">
        <v>418</v>
      </c>
      <c r="F97" s="33" t="s">
        <v>419</v>
      </c>
      <c r="G97" s="32"/>
    </row>
    <row r="98" spans="1:7" x14ac:dyDescent="0.3">
      <c r="A98" s="33" t="s">
        <v>90</v>
      </c>
      <c r="B98" s="33" t="s">
        <v>91</v>
      </c>
      <c r="C98" s="33"/>
      <c r="E98" s="32" t="s">
        <v>420</v>
      </c>
      <c r="F98" s="33" t="s">
        <v>421</v>
      </c>
      <c r="G98" s="32"/>
    </row>
    <row r="99" spans="1:7" x14ac:dyDescent="0.3">
      <c r="A99" s="33" t="s">
        <v>92</v>
      </c>
      <c r="B99" s="33" t="s">
        <v>93</v>
      </c>
      <c r="C99" s="33"/>
      <c r="E99" s="32" t="s">
        <v>422</v>
      </c>
      <c r="F99" s="33" t="s">
        <v>423</v>
      </c>
      <c r="G99" s="32"/>
    </row>
    <row r="100" spans="1:7" ht="28.8" x14ac:dyDescent="0.3">
      <c r="A100" s="33" t="s">
        <v>94</v>
      </c>
      <c r="B100" s="33" t="s">
        <v>94</v>
      </c>
      <c r="C100" s="33"/>
      <c r="E100" s="32" t="s">
        <v>424</v>
      </c>
      <c r="F100" s="33" t="s">
        <v>425</v>
      </c>
      <c r="G100" s="32"/>
    </row>
    <row r="101" spans="1:7" ht="28.8" x14ac:dyDescent="0.3">
      <c r="A101" s="33" t="s">
        <v>95</v>
      </c>
      <c r="B101" s="33" t="s">
        <v>96</v>
      </c>
      <c r="C101" s="33"/>
      <c r="E101" s="32" t="s">
        <v>426</v>
      </c>
      <c r="F101" s="33" t="s">
        <v>427</v>
      </c>
      <c r="G101" s="32"/>
    </row>
    <row r="102" spans="1:7" x14ac:dyDescent="0.3">
      <c r="A102" s="33" t="s">
        <v>97</v>
      </c>
      <c r="B102" s="33" t="s">
        <v>98</v>
      </c>
      <c r="C102" s="33"/>
      <c r="E102" s="32" t="s">
        <v>428</v>
      </c>
      <c r="F102" s="33" t="s">
        <v>429</v>
      </c>
      <c r="G102" s="32"/>
    </row>
    <row r="103" spans="1:7" x14ac:dyDescent="0.3">
      <c r="A103" s="33" t="s">
        <v>99</v>
      </c>
      <c r="B103" s="33" t="s">
        <v>100</v>
      </c>
      <c r="C103" s="33"/>
      <c r="E103" s="32" t="s">
        <v>430</v>
      </c>
      <c r="F103" s="33" t="s">
        <v>431</v>
      </c>
      <c r="G103" s="32"/>
    </row>
    <row r="104" spans="1:7" x14ac:dyDescent="0.3">
      <c r="A104" s="33">
        <v>237756</v>
      </c>
      <c r="B104" s="33" t="s">
        <v>13</v>
      </c>
      <c r="C104" s="33"/>
      <c r="E104" s="32" t="s">
        <v>432</v>
      </c>
      <c r="F104" s="33" t="s">
        <v>433</v>
      </c>
      <c r="G104" s="32"/>
    </row>
    <row r="105" spans="1:7" ht="28.8" x14ac:dyDescent="0.3">
      <c r="A105" s="33" t="s">
        <v>23</v>
      </c>
      <c r="B105" s="33" t="s">
        <v>24</v>
      </c>
      <c r="C105" s="33"/>
      <c r="E105" s="32" t="s">
        <v>434</v>
      </c>
      <c r="F105" s="33" t="s">
        <v>435</v>
      </c>
      <c r="G105" s="32"/>
    </row>
    <row r="106" spans="1:7" ht="28.8" x14ac:dyDescent="0.3">
      <c r="A106" s="33" t="s">
        <v>25</v>
      </c>
      <c r="B106" s="33" t="s">
        <v>26</v>
      </c>
      <c r="C106" s="33"/>
      <c r="E106" s="32" t="s">
        <v>436</v>
      </c>
      <c r="F106" s="33" t="s">
        <v>437</v>
      </c>
      <c r="G106" s="32"/>
    </row>
    <row r="107" spans="1:7" x14ac:dyDescent="0.3">
      <c r="A107" s="33" t="s">
        <v>27</v>
      </c>
      <c r="B107" s="33" t="s">
        <v>28</v>
      </c>
      <c r="C107" s="33"/>
      <c r="E107" s="32" t="s">
        <v>438</v>
      </c>
      <c r="F107" s="33" t="s">
        <v>439</v>
      </c>
      <c r="G107" s="32"/>
    </row>
    <row r="108" spans="1:7" ht="28.8" x14ac:dyDescent="0.3">
      <c r="A108" s="33" t="s">
        <v>29</v>
      </c>
      <c r="B108" s="33" t="s">
        <v>30</v>
      </c>
      <c r="C108" s="33"/>
      <c r="E108" s="32" t="s">
        <v>440</v>
      </c>
      <c r="F108" s="33" t="s">
        <v>441</v>
      </c>
      <c r="G108" s="32"/>
    </row>
    <row r="109" spans="1:7" ht="28.8" x14ac:dyDescent="0.3">
      <c r="A109" s="33" t="s">
        <v>31</v>
      </c>
      <c r="B109" s="33" t="s">
        <v>32</v>
      </c>
      <c r="C109" s="33"/>
      <c r="E109" s="32" t="s">
        <v>442</v>
      </c>
      <c r="F109" s="33" t="s">
        <v>443</v>
      </c>
      <c r="G109" s="32"/>
    </row>
    <row r="110" spans="1:7" x14ac:dyDescent="0.3">
      <c r="A110" s="33" t="s">
        <v>33</v>
      </c>
      <c r="B110" s="33" t="s">
        <v>34</v>
      </c>
      <c r="C110" s="33"/>
      <c r="E110" s="32" t="s">
        <v>444</v>
      </c>
      <c r="F110" s="33" t="s">
        <v>445</v>
      </c>
      <c r="G110" s="32"/>
    </row>
    <row r="111" spans="1:7" ht="28.8" x14ac:dyDescent="0.3">
      <c r="A111" s="33" t="s">
        <v>35</v>
      </c>
      <c r="B111" s="33" t="s">
        <v>36</v>
      </c>
      <c r="C111" s="33"/>
      <c r="E111" s="32" t="s">
        <v>446</v>
      </c>
      <c r="F111" s="33" t="s">
        <v>447</v>
      </c>
      <c r="G111" s="32"/>
    </row>
    <row r="112" spans="1:7" x14ac:dyDescent="0.3">
      <c r="A112" s="33" t="s">
        <v>37</v>
      </c>
      <c r="B112" s="33" t="s">
        <v>38</v>
      </c>
      <c r="C112" s="33"/>
      <c r="E112" s="32" t="s">
        <v>448</v>
      </c>
      <c r="F112" s="33" t="s">
        <v>449</v>
      </c>
      <c r="G112" s="32"/>
    </row>
    <row r="113" spans="1:7" x14ac:dyDescent="0.3">
      <c r="A113" s="33" t="s">
        <v>39</v>
      </c>
      <c r="B113" s="33" t="s">
        <v>40</v>
      </c>
      <c r="C113" s="33"/>
      <c r="E113" s="32" t="s">
        <v>450</v>
      </c>
      <c r="F113" s="33" t="s">
        <v>451</v>
      </c>
      <c r="G113" s="32"/>
    </row>
    <row r="114" spans="1:7" x14ac:dyDescent="0.3">
      <c r="A114" s="33">
        <v>237993</v>
      </c>
      <c r="B114" s="33" t="s">
        <v>15</v>
      </c>
      <c r="C114" s="33"/>
      <c r="E114" s="32" t="s">
        <v>452</v>
      </c>
      <c r="F114" s="33" t="s">
        <v>453</v>
      </c>
      <c r="G114" s="32"/>
    </row>
    <row r="115" spans="1:7" x14ac:dyDescent="0.3">
      <c r="A115" s="33">
        <v>238028</v>
      </c>
      <c r="B115" s="33" t="s">
        <v>16</v>
      </c>
      <c r="C115" s="33"/>
      <c r="E115" s="32" t="s">
        <v>454</v>
      </c>
      <c r="F115" s="33" t="s">
        <v>455</v>
      </c>
      <c r="G115" s="32"/>
    </row>
    <row r="116" spans="1:7" x14ac:dyDescent="0.3">
      <c r="A116" s="33">
        <v>238062</v>
      </c>
      <c r="B116" s="33" t="s">
        <v>17</v>
      </c>
      <c r="C116" s="33"/>
      <c r="E116" s="32" t="s">
        <v>456</v>
      </c>
      <c r="F116" s="33" t="s">
        <v>457</v>
      </c>
      <c r="G116" s="32"/>
    </row>
    <row r="117" spans="1:7" x14ac:dyDescent="0.3">
      <c r="A117" s="33">
        <v>258205</v>
      </c>
      <c r="B117" s="33" t="s">
        <v>20</v>
      </c>
      <c r="C117" s="33"/>
      <c r="E117" s="32" t="s">
        <v>464</v>
      </c>
      <c r="F117" s="33" t="s">
        <v>465</v>
      </c>
      <c r="G117" s="32"/>
    </row>
    <row r="118" spans="1:7" x14ac:dyDescent="0.3">
      <c r="A118" s="33">
        <v>267215</v>
      </c>
      <c r="B118" s="33" t="s">
        <v>22</v>
      </c>
      <c r="C118" s="33"/>
    </row>
    <row r="119" spans="1:7" ht="28.8" x14ac:dyDescent="0.3">
      <c r="A119" s="33" t="s">
        <v>41</v>
      </c>
      <c r="B119" s="33" t="s">
        <v>42</v>
      </c>
      <c r="C119" s="33"/>
    </row>
    <row r="120" spans="1:7" x14ac:dyDescent="0.3">
      <c r="A120" s="33" t="s">
        <v>43</v>
      </c>
      <c r="B120" s="33" t="s">
        <v>44</v>
      </c>
      <c r="C120" s="33"/>
    </row>
    <row r="121" spans="1:7" x14ac:dyDescent="0.3">
      <c r="A121" s="33" t="s">
        <v>45</v>
      </c>
      <c r="B121" s="33" t="s">
        <v>46</v>
      </c>
      <c r="C121" s="33"/>
    </row>
    <row r="122" spans="1:7" ht="28.8" x14ac:dyDescent="0.3">
      <c r="A122" s="33" t="s">
        <v>47</v>
      </c>
      <c r="B122" s="33" t="s">
        <v>48</v>
      </c>
      <c r="C122" s="33"/>
    </row>
    <row r="123" spans="1:7" x14ac:dyDescent="0.3">
      <c r="A123" s="33" t="s">
        <v>49</v>
      </c>
      <c r="B123" s="33" t="s">
        <v>50</v>
      </c>
      <c r="C123" s="33"/>
    </row>
    <row r="124" spans="1:7" x14ac:dyDescent="0.3">
      <c r="A124" s="33" t="s">
        <v>51</v>
      </c>
      <c r="B124" s="33" t="s">
        <v>52</v>
      </c>
      <c r="C124" s="33"/>
    </row>
    <row r="125" spans="1:7" x14ac:dyDescent="0.3">
      <c r="A125" s="33" t="s">
        <v>62</v>
      </c>
      <c r="B125" s="33" t="s">
        <v>63</v>
      </c>
      <c r="C125" s="33"/>
    </row>
    <row r="126" spans="1:7" x14ac:dyDescent="0.3">
      <c r="A126" s="33">
        <v>238152</v>
      </c>
      <c r="B126" s="33" t="s">
        <v>18</v>
      </c>
      <c r="C126" s="33"/>
    </row>
    <row r="127" spans="1:7" ht="28.8" x14ac:dyDescent="0.3">
      <c r="A127" s="33" t="s">
        <v>53</v>
      </c>
      <c r="B127" s="33" t="s">
        <v>54</v>
      </c>
      <c r="C127" s="33"/>
    </row>
    <row r="128" spans="1:7" x14ac:dyDescent="0.3">
      <c r="A128" s="33" t="s">
        <v>55</v>
      </c>
      <c r="B128" s="33" t="s">
        <v>56</v>
      </c>
      <c r="C128" s="33"/>
    </row>
    <row r="129" spans="1:3" x14ac:dyDescent="0.3">
      <c r="A129" s="33" t="s">
        <v>57</v>
      </c>
      <c r="B129" s="33" t="s">
        <v>57</v>
      </c>
      <c r="C129" s="33"/>
    </row>
    <row r="130" spans="1:3" ht="28.8" x14ac:dyDescent="0.3">
      <c r="A130" s="33" t="s">
        <v>58</v>
      </c>
      <c r="B130" s="33" t="s">
        <v>59</v>
      </c>
      <c r="C130" s="33"/>
    </row>
    <row r="131" spans="1:3" x14ac:dyDescent="0.3">
      <c r="A131" s="33" t="s">
        <v>60</v>
      </c>
      <c r="B131" s="33" t="s">
        <v>61</v>
      </c>
      <c r="C131" s="33"/>
    </row>
    <row r="132" spans="1:3" ht="28.8" x14ac:dyDescent="0.3">
      <c r="A132" s="33" t="s">
        <v>64</v>
      </c>
      <c r="B132" s="33" t="s">
        <v>65</v>
      </c>
      <c r="C132" s="33"/>
    </row>
    <row r="133" spans="1:3" x14ac:dyDescent="0.3">
      <c r="A133" s="33" t="s">
        <v>66</v>
      </c>
      <c r="B133" s="33" t="s">
        <v>67</v>
      </c>
      <c r="C133" s="33"/>
    </row>
    <row r="134" spans="1:3" ht="28.8" x14ac:dyDescent="0.3">
      <c r="A134" s="33" t="s">
        <v>101</v>
      </c>
      <c r="B134" s="33" t="s">
        <v>102</v>
      </c>
      <c r="C134" s="33"/>
    </row>
  </sheetData>
  <printOptions horizontalCentered="1"/>
  <pageMargins left="0.23622047244094491" right="0.23622047244094491" top="0.15748031496062992" bottom="0.15748031496062992" header="0.31496062992125984" footer="0.31496062992125984"/>
  <pageSetup paperSize="9" scale="67" fitToHeight="0" orientation="portrait" r:id="rId1"/>
  <rowBreaks count="1" manualBreakCount="1">
    <brk id="8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W-shop Calc</vt:lpstr>
      <vt:lpstr>W.SHOP COUNT</vt:lpstr>
      <vt:lpstr>'W.SHOP COUNT'!Print_Titles</vt:lpstr>
      <vt:lpstr>'W-shop Calc'!Print_Titles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Tebello Lelosa</dc:creator>
  <cp:lastModifiedBy>Tebello Lelosa</cp:lastModifiedBy>
  <cp:lastPrinted>2026-05-04T07:03:24Z</cp:lastPrinted>
  <dcterms:created xsi:type="dcterms:W3CDTF">2026-02-09T03:34:08Z</dcterms:created>
  <dcterms:modified xsi:type="dcterms:W3CDTF">2026-05-05T06:56:25Z</dcterms:modified>
</cp:coreProperties>
</file>