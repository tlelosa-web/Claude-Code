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anmovement-my.sharepoint.com/personal/operations_fanmovement_co_za/Documents/Desktop/Operations/7. DELIVERY NOTE/"/>
    </mc:Choice>
  </mc:AlternateContent>
  <xr:revisionPtr revIDLastSave="1648" documentId="11_71FE54D0A5ABBFDD87C3505F9D01A8A3F5A33D00" xr6:coauthVersionLast="47" xr6:coauthVersionMax="47" xr10:uidLastSave="{A84246D2-307F-4DC8-B420-9A7A74B07747}"/>
  <bookViews>
    <workbookView xWindow="-108" yWindow="-108" windowWidth="23256" windowHeight="12456" activeTab="4" xr2:uid="{00000000-000D-0000-FFFF-FFFF00000000}"/>
  </bookViews>
  <sheets>
    <sheet name="DN_register" sheetId="2" r:id="rId1"/>
    <sheet name="Delivery Note P1" sheetId="3" r:id="rId2"/>
    <sheet name="Delivery Note P2" sheetId="4" r:id="rId3"/>
    <sheet name="Delivery Note P3" sheetId="5" r:id="rId4"/>
    <sheet name="Sheet1" sheetId="6" r:id="rId5"/>
  </sheets>
  <definedNames>
    <definedName name="_xlnm.Print_Area" localSheetId="3">'Delivery Note P3'!$A$1:$U$42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4" l="1"/>
  <c r="N30" i="4"/>
  <c r="N27" i="4"/>
  <c r="P4" i="5"/>
  <c r="D19" i="5" s="1"/>
  <c r="D19" i="4"/>
  <c r="D19" i="3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<sst xmlns="http://schemas.openxmlformats.org/spreadsheetml/2006/main" count="433" uniqueCount="237">
  <si>
    <t>Date</t>
  </si>
  <si>
    <t>Delivery note#</t>
  </si>
  <si>
    <t>Job Number</t>
  </si>
  <si>
    <t>Customer/Supplier</t>
  </si>
  <si>
    <t>ITEM DESCRIPTION</t>
  </si>
  <si>
    <t>To Return (Yes/No)</t>
  </si>
  <si>
    <t>Expected Date</t>
  </si>
  <si>
    <t>Comments</t>
  </si>
  <si>
    <t>FM3654</t>
  </si>
  <si>
    <t>CHABO&amp;JOUBERT/ VENT SYSTEM</t>
  </si>
  <si>
    <t>2 x 560 FLANGE, 1 x 0.37 MOTOR</t>
  </si>
  <si>
    <t>Y</t>
  </si>
  <si>
    <t>STOCK</t>
  </si>
  <si>
    <t>GALVAGLOW</t>
  </si>
  <si>
    <t>CASINGS, FLANGES, M/FEET, BRACKETS</t>
  </si>
  <si>
    <t>FM3760</t>
  </si>
  <si>
    <t>BUTEC/ATTENUTEC</t>
  </si>
  <si>
    <t>9 x CROSS TALK ATTENUATORS</t>
  </si>
  <si>
    <t>FM3756</t>
  </si>
  <si>
    <t>ISO BALANCING/PREXOZ</t>
  </si>
  <si>
    <t>560 IMPELLER FOR BALANCING</t>
  </si>
  <si>
    <t>FM3765</t>
  </si>
  <si>
    <t>AIR MOVEMENT SUPPLIES</t>
  </si>
  <si>
    <t>BDB-710 CM BCC DIDW CENTRIFUGAL FAN</t>
  </si>
  <si>
    <t>N</t>
  </si>
  <si>
    <t>N/A</t>
  </si>
  <si>
    <t>AIRTECH</t>
  </si>
  <si>
    <t>HOWDEN PRESSURISATION UNIT</t>
  </si>
  <si>
    <t>TBC</t>
  </si>
  <si>
    <t>FM3780</t>
  </si>
  <si>
    <t>VENT SYSTEM/ DUELTRON</t>
  </si>
  <si>
    <t>DUELTRON B/D AT 12/9 &amp; COMP. FLANGES FOR CASINGS</t>
  </si>
  <si>
    <t>INVESTOR AMALGAM</t>
  </si>
  <si>
    <t>REPAIRED - 15001 - Tiracamino Chimney Fan for Chimney Tops</t>
  </si>
  <si>
    <t>DUELTRON/VENT SYSTEM</t>
  </si>
  <si>
    <t>FASTENERS</t>
  </si>
  <si>
    <t>CASING Sheets</t>
  </si>
  <si>
    <t>Airtec FANS</t>
  </si>
  <si>
    <t>Sheet cutting</t>
  </si>
  <si>
    <t>Airtec fans</t>
  </si>
  <si>
    <t>Ultimateng</t>
  </si>
  <si>
    <t>Sheet cutting 2839x500mm</t>
  </si>
  <si>
    <t>Copper Sheets</t>
  </si>
  <si>
    <t>Sheet cutting - to 5 x 115mm Strips</t>
  </si>
  <si>
    <t>Stock</t>
  </si>
  <si>
    <t>Casings, Brackets, Feet, Caps</t>
  </si>
  <si>
    <t>FM3857</t>
  </si>
  <si>
    <t>Luck &amp; King</t>
  </si>
  <si>
    <t>4x 4kW 4P 380V Motor - SANS60079-31</t>
  </si>
  <si>
    <t>Laser Machine</t>
  </si>
  <si>
    <t>Lime Laser</t>
  </si>
  <si>
    <t>Sheet Steel</t>
  </si>
  <si>
    <t>Airtec Fans &amp; Engineering</t>
  </si>
  <si>
    <t xml:space="preserve">Cutting 2450x1225x4mm </t>
  </si>
  <si>
    <t>2x800 Casing</t>
  </si>
  <si>
    <t xml:space="preserve">Cutting 2521x500x2mm </t>
  </si>
  <si>
    <t>Casings, Brackets, Caps</t>
  </si>
  <si>
    <t>TBA</t>
  </si>
  <si>
    <t>B&amp;D Airconditioning</t>
  </si>
  <si>
    <t>315 Tube Silencer</t>
  </si>
  <si>
    <t>n</t>
  </si>
  <si>
    <t>Casings, Brackets, Caps, M/Feet</t>
  </si>
  <si>
    <t>4x1000 Casing</t>
  </si>
  <si>
    <t xml:space="preserve">Cutting 1532x740x4mm </t>
  </si>
  <si>
    <t>Delivery Note</t>
  </si>
  <si>
    <t>DATE:</t>
  </si>
  <si>
    <t>CHARGE TO</t>
  </si>
  <si>
    <t>Our Banking Details</t>
  </si>
  <si>
    <t>INT. O/N</t>
  </si>
  <si>
    <t>Sales Order Number</t>
  </si>
  <si>
    <t xml:space="preserve">Name of Bank: </t>
  </si>
  <si>
    <t>First National Bank (FNB)</t>
  </si>
  <si>
    <t>Branch:</t>
  </si>
  <si>
    <t>Mall of the South</t>
  </si>
  <si>
    <t>N/A </t>
  </si>
  <si>
    <t>ATT:</t>
  </si>
  <si>
    <t>Account Number:</t>
  </si>
  <si>
    <t>Account Type:</t>
  </si>
  <si>
    <t>Business Cheque</t>
  </si>
  <si>
    <t>REP.</t>
  </si>
  <si>
    <t>Branch Code:</t>
  </si>
  <si>
    <t>Swift Code:</t>
  </si>
  <si>
    <t>FIRNZAJJ</t>
  </si>
  <si>
    <t> N/A</t>
  </si>
  <si>
    <t>CUSTOMER ORDER NUMBER</t>
  </si>
  <si>
    <t>DATE OF ORDER</t>
  </si>
  <si>
    <t>DELIVERY METHOD</t>
  </si>
  <si>
    <t>REFERENCE NUMBER(S)</t>
  </si>
  <si>
    <t>Road</t>
  </si>
  <si>
    <t>REFERENCE NUMBER</t>
  </si>
  <si>
    <t>DESCRIPTION</t>
  </si>
  <si>
    <t>Quantity</t>
  </si>
  <si>
    <t>Confirmation</t>
  </si>
  <si>
    <t>Received by: (Print Name)</t>
  </si>
  <si>
    <t>Date:</t>
  </si>
  <si>
    <t>Signature:</t>
  </si>
  <si>
    <t>IMPELLER</t>
  </si>
  <si>
    <t>Casings, Caps</t>
  </si>
  <si>
    <t>HR Sheet - 2450 x 1225 x 3</t>
  </si>
  <si>
    <t>y</t>
  </si>
  <si>
    <t>630 Diam</t>
  </si>
  <si>
    <t>315 Diam</t>
  </si>
  <si>
    <t>400 Diam</t>
  </si>
  <si>
    <t>GULVAGLOW</t>
  </si>
  <si>
    <t>JACOB MABEO</t>
  </si>
  <si>
    <t xml:space="preserve">PAGE </t>
  </si>
  <si>
    <t>ACTOM</t>
  </si>
  <si>
    <t>PO3772</t>
  </si>
  <si>
    <t>5.5kW MOTORS</t>
  </si>
  <si>
    <t>FM3937-FM3950</t>
  </si>
  <si>
    <t>AM System</t>
  </si>
  <si>
    <t>VSD for enclosures</t>
  </si>
  <si>
    <t>Attenu-tec</t>
  </si>
  <si>
    <t>FM-DN0065</t>
  </si>
  <si>
    <t>FM-DN0066</t>
  </si>
  <si>
    <t>FM-DN0067</t>
  </si>
  <si>
    <t>FM-DN0068</t>
  </si>
  <si>
    <t>FM-DN0069</t>
  </si>
  <si>
    <t>FM-DN0070</t>
  </si>
  <si>
    <t>FM-DN0071</t>
  </si>
  <si>
    <t>FM-DN0072</t>
  </si>
  <si>
    <t>FM-DN0073</t>
  </si>
  <si>
    <t>FM-DN0074</t>
  </si>
  <si>
    <t>FM-DN0075</t>
  </si>
  <si>
    <t>FM-DN0076</t>
  </si>
  <si>
    <t>FM-DN0077</t>
  </si>
  <si>
    <t>FM-DN0078</t>
  </si>
  <si>
    <t>FM-DN0079</t>
  </si>
  <si>
    <t>FM-DN0080</t>
  </si>
  <si>
    <t>FM-DN0081</t>
  </si>
  <si>
    <t>FM-DN0082</t>
  </si>
  <si>
    <t>FM-DN0083</t>
  </si>
  <si>
    <t>FM-DN0084</t>
  </si>
  <si>
    <t>FM-DN0085</t>
  </si>
  <si>
    <t>FM-DN0086</t>
  </si>
  <si>
    <t>FM-DN0087</t>
  </si>
  <si>
    <t>FM-DN0088</t>
  </si>
  <si>
    <t>FM-DN0089</t>
  </si>
  <si>
    <t>FM-DN0090</t>
  </si>
  <si>
    <t>FM-DN0091</t>
  </si>
  <si>
    <t>FM-DN0092</t>
  </si>
  <si>
    <t>FM-DN0093</t>
  </si>
  <si>
    <t>FM-DN0094</t>
  </si>
  <si>
    <t>FM-DN0095</t>
  </si>
  <si>
    <t>FM-DN0096</t>
  </si>
  <si>
    <t>ALL BEND</t>
  </si>
  <si>
    <t>FM-DN0033</t>
  </si>
  <si>
    <t>FM-DN0034</t>
  </si>
  <si>
    <t>FM-DN0035</t>
  </si>
  <si>
    <t>FM-DN0036</t>
  </si>
  <si>
    <t>FM-DN0037</t>
  </si>
  <si>
    <t>FM-DN0038</t>
  </si>
  <si>
    <t>FM-DN0039</t>
  </si>
  <si>
    <t>FM-DN0040</t>
  </si>
  <si>
    <t>FM-DN0041</t>
  </si>
  <si>
    <t>FM-DN0042</t>
  </si>
  <si>
    <t>FM-DN0043</t>
  </si>
  <si>
    <t>FM-DN0044</t>
  </si>
  <si>
    <t>FM-DN0045</t>
  </si>
  <si>
    <t>FM-DN0046</t>
  </si>
  <si>
    <t>FM-DN0047</t>
  </si>
  <si>
    <t>FM-DN0048</t>
  </si>
  <si>
    <t>FM-DN0049</t>
  </si>
  <si>
    <t>FM-DN0050</t>
  </si>
  <si>
    <t>FM-DN0051</t>
  </si>
  <si>
    <t>FM-DN0052</t>
  </si>
  <si>
    <t>FM-DN0053</t>
  </si>
  <si>
    <t>FM-DN0054</t>
  </si>
  <si>
    <t>FM-DN0055</t>
  </si>
  <si>
    <t>FM-DN0056</t>
  </si>
  <si>
    <t>FM-DN0057</t>
  </si>
  <si>
    <t>FM-DN0058</t>
  </si>
  <si>
    <t>FM-DN0059</t>
  </si>
  <si>
    <t>FM-DN0060</t>
  </si>
  <si>
    <t>FM-DN0061</t>
  </si>
  <si>
    <t>FM-DN0062</t>
  </si>
  <si>
    <t>FM-DN0063</t>
  </si>
  <si>
    <t>FM-DN0064</t>
  </si>
  <si>
    <t>32mm Tube</t>
  </si>
  <si>
    <t>Casings, Brackets,  M/Feet, C/Flange</t>
  </si>
  <si>
    <t>Plates for BIF motor mount &amp; Lifting Lugs</t>
  </si>
  <si>
    <t>EXCHANGE</t>
  </si>
  <si>
    <t>Attenu-tec HVAC Parts</t>
  </si>
  <si>
    <t>1000 Diam Mounting feet 3mm</t>
  </si>
  <si>
    <t>Bifurcated Fan Tunnel Plates</t>
  </si>
  <si>
    <t>ULTIMATE ENG.</t>
  </si>
  <si>
    <t>WAYLAND</t>
  </si>
  <si>
    <t>Casings, M/Feet, Terminal Caps, Plates</t>
  </si>
  <si>
    <t>Terminal Box Cap Sample</t>
  </si>
  <si>
    <r>
      <t xml:space="preserve">Instruction: </t>
    </r>
    <r>
      <rPr>
        <b/>
        <sz val="10"/>
        <color rgb="FF000000"/>
        <rFont val="Arial"/>
        <family val="2"/>
      </rPr>
      <t>MAKE 58 - OFF CAPS AS PER SAMPLE</t>
    </r>
  </si>
  <si>
    <t>Terminal Cap</t>
  </si>
  <si>
    <t>FM4035-4036</t>
  </si>
  <si>
    <t>1220fan (980 x 1936) x 6-off</t>
  </si>
  <si>
    <t>Thiru</t>
  </si>
  <si>
    <t>Casings, M/Feet, Brackets</t>
  </si>
  <si>
    <t>CASINGS</t>
  </si>
  <si>
    <t>560 Diam</t>
  </si>
  <si>
    <t xml:space="preserve">Brackets </t>
  </si>
  <si>
    <t>MOUNTING FEET</t>
  </si>
  <si>
    <t>315MF</t>
  </si>
  <si>
    <t>400MF</t>
  </si>
  <si>
    <t>Plate 2450x1225x4mm</t>
  </si>
  <si>
    <t>Instructions</t>
  </si>
  <si>
    <t xml:space="preserve">Cut sheets to 2 off - 1982 x 800mm </t>
  </si>
  <si>
    <t>NOTE: Driver to return with off-cuts to Fan Movement</t>
  </si>
  <si>
    <t>FM4070</t>
  </si>
  <si>
    <t>2 x 2450x1225x4mm</t>
  </si>
  <si>
    <t>Ultimate Laser Cutting</t>
  </si>
  <si>
    <t xml:space="preserve">Collection </t>
  </si>
  <si>
    <t>Item #</t>
  </si>
  <si>
    <t>Description</t>
  </si>
  <si>
    <t>Laser Cutting</t>
  </si>
  <si>
    <t>QTY</t>
  </si>
  <si>
    <t>Stainless Steel</t>
  </si>
  <si>
    <t>- 500 Flanges</t>
  </si>
  <si>
    <t>- 50 x 50 Bracket</t>
  </si>
  <si>
    <t>Mild Steel</t>
  </si>
  <si>
    <t>- 900 Mounting Feet</t>
  </si>
  <si>
    <t xml:space="preserve">- 800 Mounting Feet </t>
  </si>
  <si>
    <t>- 1250 Flanges</t>
  </si>
  <si>
    <t>- 1000 Flanges</t>
  </si>
  <si>
    <t>- 800 Flanges</t>
  </si>
  <si>
    <t>8mm Plate</t>
  </si>
  <si>
    <t>8mm Lifting Lug</t>
  </si>
  <si>
    <t>1250 Mounting Feet</t>
  </si>
  <si>
    <t>Invoice: INV0000152</t>
  </si>
  <si>
    <t>Status</t>
  </si>
  <si>
    <t>Ready</t>
  </si>
  <si>
    <t>Not Ready</t>
  </si>
  <si>
    <t>-Plate 1579 x 570 (Casing)</t>
  </si>
  <si>
    <t>- Bifurcated Tunnel</t>
  </si>
  <si>
    <t>- 4mm Stainless Motor Plate</t>
  </si>
  <si>
    <t>- Lifting Lug 4.5mm</t>
  </si>
  <si>
    <t>- PO9 Brackets - 1000</t>
  </si>
  <si>
    <t>- PO8 Brackets - 900</t>
  </si>
  <si>
    <t>1250 Motor Plate</t>
  </si>
  <si>
    <t>1250 Vertical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</si>
</sst>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rgb="FF0000FF"/>
      <name val="Arial"/>
      <family val="2"/>
    </font>
    <font>
      <b/>
      <sz val="8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ptos Narrow"/>
      <family val="2"/>
      <scheme val="minor"/>
    </font>
    <font>
      <b/>
      <sz val="11"/>
      <color rgb="FF000000"/>
      <name val="Arial"/>
      <family val="2"/>
    </font>
    <font>
      <sz val="48"/>
      <color rgb="FF000000"/>
      <name val="Calibri"/>
      <family val="2"/>
    </font>
    <font>
      <sz val="8"/>
      <name val="Aptos Narrow"/>
      <family val="2"/>
      <scheme val="minor"/>
    </font>
    <font>
      <sz val="10"/>
      <color theme="1"/>
      <name val="Calibri"/>
      <family val="2"/>
    </font>
    <font>
      <sz val="10"/>
      <color rgb="FF000000"/>
      <name val="Aptos Narrow"/>
      <family val="2"/>
    </font>
    <font>
      <sz val="9"/>
      <color rgb="FF000000"/>
      <name val="Arial"/>
      <family val="2"/>
    </font>
    <font>
      <b/>
      <u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72">
    <xf numFmtId="0" fontId="0" fillId="0" borderId="0" xfId="0"/>
    <xf numFmtId="14" fontId="1" fillId="0" borderId="2" xfId="0" applyNumberFormat="1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3" xfId="0" applyFont="1" applyBorder="1" applyAlignment="1">
      <alignment horizontal="center" vertical="top" wrapText="1"/>
    </xf>
    <xf numFmtId="14" fontId="0" fillId="0" borderId="5" xfId="0" applyNumberForma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14" fontId="0" fillId="0" borderId="6" xfId="0" applyNumberFormat="1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1" xfId="0" applyBorder="1" applyAlignment="1">
      <alignment horizontal="left" vertical="top" wrapText="1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center" vertical="top" wrapText="1"/>
    </xf>
    <xf numFmtId="0" fontId="1" fillId="0" borderId="3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4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9" fillId="0" borderId="0" xfId="0" applyFont="1"/>
    <xf numFmtId="14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14" fontId="10" fillId="0" borderId="14" xfId="0" applyNumberFormat="1" applyFont="1" applyBorder="1" applyAlignment="1">
      <alignment horizontal="center" vertical="center" wrapText="1"/>
    </xf>
    <xf numFmtId="14" fontId="1" fillId="0" borderId="4" xfId="0" applyNumberFormat="1" applyFont="1" applyBorder="1" applyAlignment="1">
      <alignment horizontal="center" vertical="top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quotePrefix="1" applyFont="1"/>
    <xf numFmtId="14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1" xfId="0" quotePrefix="1" applyBorder="1"/>
    <xf numFmtId="0" fontId="0" fillId="0" borderId="1" xfId="0" applyBorder="1" applyAlignment="1">
      <alignment horizontal="center"/>
    </xf>
    <xf numFmtId="0" fontId="7" fillId="0" borderId="3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33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34" xfId="0" applyFont="1" applyBorder="1" applyAlignment="1">
      <alignment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7" fillId="0" borderId="17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16" xfId="0" applyFont="1" applyBorder="1" applyAlignment="1">
      <alignment vertical="center" wrapText="1"/>
    </xf>
    <xf numFmtId="0" fontId="7" fillId="0" borderId="21" xfId="0" applyFont="1" applyBorder="1" applyAlignment="1">
      <alignment vertical="center" wrapText="1"/>
    </xf>
    <xf numFmtId="0" fontId="7" fillId="0" borderId="22" xfId="0" applyFont="1" applyBorder="1" applyAlignment="1">
      <alignment vertical="center" wrapText="1"/>
    </xf>
    <xf numFmtId="0" fontId="7" fillId="0" borderId="23" xfId="0" applyFont="1" applyBorder="1" applyAlignment="1">
      <alignment vertical="center" wrapText="1"/>
    </xf>
    <xf numFmtId="0" fontId="7" fillId="0" borderId="27" xfId="0" applyFont="1" applyBorder="1" applyAlignment="1">
      <alignment vertical="center" wrapText="1"/>
    </xf>
    <xf numFmtId="0" fontId="7" fillId="0" borderId="29" xfId="0" applyFont="1" applyBorder="1" applyAlignment="1">
      <alignment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14" fontId="8" fillId="0" borderId="33" xfId="0" applyNumberFormat="1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15" fillId="0" borderId="34" xfId="0" applyFont="1" applyBorder="1" applyAlignment="1">
      <alignment horizontal="center" vertical="center" wrapText="1"/>
    </xf>
    <xf numFmtId="0" fontId="8" fillId="0" borderId="46" xfId="0" applyFont="1" applyBorder="1" applyAlignment="1">
      <alignment vertical="center" wrapText="1"/>
    </xf>
    <xf numFmtId="0" fontId="8" fillId="0" borderId="45" xfId="0" applyFont="1" applyBorder="1" applyAlignment="1">
      <alignment vertical="center" wrapText="1"/>
    </xf>
    <xf numFmtId="0" fontId="8" fillId="0" borderId="47" xfId="0" applyFont="1" applyBorder="1" applyAlignment="1">
      <alignment vertical="center" wrapText="1"/>
    </xf>
    <xf numFmtId="0" fontId="6" fillId="0" borderId="46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47" xfId="0" applyFont="1" applyBorder="1" applyAlignment="1">
      <alignment vertical="center" wrapText="1"/>
    </xf>
    <xf numFmtId="0" fontId="5" fillId="2" borderId="20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38" xfId="0" applyFont="1" applyBorder="1" applyAlignment="1">
      <alignment horizontal="center" vertical="center" wrapText="1"/>
    </xf>
    <xf numFmtId="0" fontId="6" fillId="0" borderId="13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4" fontId="5" fillId="2" borderId="24" xfId="0" applyNumberFormat="1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25" xfId="0" applyFont="1" applyFill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3" fillId="0" borderId="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1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6" fillId="2" borderId="2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10" fillId="0" borderId="20" xfId="0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14" fontId="10" fillId="0" borderId="20" xfId="0" applyNumberFormat="1" applyFont="1" applyBorder="1" applyAlignment="1">
      <alignment horizontal="center" vertical="center" wrapText="1"/>
    </xf>
    <xf numFmtId="14" fontId="10" fillId="0" borderId="9" xfId="0" applyNumberFormat="1" applyFont="1" applyBorder="1" applyAlignment="1">
      <alignment horizontal="center" vertical="center" wrapText="1"/>
    </xf>
    <xf numFmtId="14" fontId="10" fillId="0" borderId="12" xfId="0" applyNumberFormat="1" applyFont="1" applyBorder="1" applyAlignment="1">
      <alignment horizontal="center" vertical="center" wrapText="1"/>
    </xf>
    <xf numFmtId="0" fontId="16" fillId="0" borderId="33" xfId="0" applyFont="1" applyBorder="1" applyAlignment="1">
      <alignment vertical="center" wrapText="1"/>
    </xf>
    <xf numFmtId="0" fontId="16" fillId="0" borderId="1" xfId="0" applyFont="1" applyBorder="1" applyAlignment="1">
      <alignment vertical="center" wrapText="1"/>
    </xf>
    <xf numFmtId="0" fontId="16" fillId="0" borderId="34" xfId="0" applyFont="1" applyBorder="1" applyAlignment="1">
      <alignment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8" fillId="0" borderId="35" xfId="0" applyFont="1" applyBorder="1" applyAlignment="1">
      <alignment vertical="center" wrapText="1"/>
    </xf>
    <xf numFmtId="0" fontId="8" fillId="0" borderId="36" xfId="0" applyFont="1" applyBorder="1" applyAlignment="1">
      <alignment vertical="center" wrapText="1"/>
    </xf>
    <xf numFmtId="0" fontId="8" fillId="0" borderId="37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32" xfId="0" applyFont="1" applyBorder="1" applyAlignment="1">
      <alignment vertical="center" wrapText="1"/>
    </xf>
    <xf numFmtId="0" fontId="7" fillId="0" borderId="38" xfId="0" applyFont="1" applyBorder="1" applyAlignment="1">
      <alignment horizontal="center" vertical="center" wrapText="1"/>
    </xf>
    <xf numFmtId="0" fontId="8" fillId="0" borderId="30" xfId="0" applyFont="1" applyBorder="1" applyAlignment="1">
      <alignment vertical="center" wrapText="1"/>
    </xf>
    <xf numFmtId="0" fontId="8" fillId="0" borderId="31" xfId="0" applyFont="1" applyBorder="1" applyAlignment="1">
      <alignment vertical="center" wrapText="1"/>
    </xf>
    <xf numFmtId="0" fontId="8" fillId="0" borderId="32" xfId="0" applyFont="1" applyBorder="1" applyAlignment="1">
      <alignment vertical="center" wrapText="1"/>
    </xf>
    <xf numFmtId="0" fontId="8" fillId="0" borderId="40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8" fillId="0" borderId="42" xfId="0" applyFont="1" applyBorder="1" applyAlignment="1">
      <alignment vertical="center" wrapText="1"/>
    </xf>
    <xf numFmtId="0" fontId="8" fillId="0" borderId="44" xfId="0" applyFont="1" applyBorder="1" applyAlignment="1">
      <alignment vertical="center" wrapText="1"/>
    </xf>
    <xf numFmtId="0" fontId="8" fillId="0" borderId="43" xfId="0" applyFont="1" applyBorder="1" applyAlignment="1">
      <alignment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 wrapText="1"/>
    </xf>
    <xf numFmtId="0" fontId="6" fillId="0" borderId="33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34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3">
    <dxf>
      <alignment horizontal="center" vertical="top" wrapText="1"/>
      <border outline="0">
        <left/>
        <right/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top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top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top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top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top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/>
    </dxf>
    <dxf>
      <border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top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13</xdr:col>
      <xdr:colOff>0</xdr:colOff>
      <xdr:row>7</xdr:row>
      <xdr:rowOff>182880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F9F334-03A2-345A-064C-AF21332B01CA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'Delivery Note P1'!A2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90500"/>
          <a:ext cx="7924799" cy="1478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13</xdr:col>
      <xdr:colOff>0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847A9A-3051-4779-8882-BAC4A8A76479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'Delivery Note P2'!A2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90500"/>
          <a:ext cx="7924799" cy="1478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13</xdr:col>
      <xdr:colOff>0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4DE5B3-16AF-484A-9CEF-94983725E15A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'Delivery Note P3'!A2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90500"/>
          <a:ext cx="7924799" cy="147828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65" totalsRowShown="0" headerRowDxfId="12" dataDxfId="10" headerRowBorderDxfId="11" tableBorderDxfId="9" totalsRowBorderDxfId="8">
  <autoFilter ref="A1:H65" xr:uid="{00000000-0009-0000-0100-000001000000}"/>
  <tableColumns count="8">
    <tableColumn id="1" xr3:uid="{00000000-0010-0000-0000-000001000000}" name="Date" dataDxfId="7"/>
    <tableColumn id="2" xr3:uid="{00000000-0010-0000-0000-000002000000}" name="Delivery note#" dataDxfId="6"/>
    <tableColumn id="3" xr3:uid="{00000000-0010-0000-0000-000003000000}" name="Job Number" dataDxfId="5"/>
    <tableColumn id="4" xr3:uid="{00000000-0010-0000-0000-000004000000}" name="Customer/Supplier" dataDxfId="4"/>
    <tableColumn id="7" xr3:uid="{00000000-0010-0000-0000-000007000000}" name="ITEM DESCRIPTION" dataDxfId="3"/>
    <tableColumn id="5" xr3:uid="{00000000-0010-0000-0000-000005000000}" name="To Return (Yes/No)" dataDxfId="2"/>
    <tableColumn id="6" xr3:uid="{00000000-0010-0000-0000-000006000000}" name="Expected Date" dataDxfId="1"/>
    <tableColumn id="8" xr3:uid="{00000000-0010-0000-0000-000008000000}" name="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65"/>
  <sheetViews>
    <sheetView zoomScale="70" zoomScaleNormal="70" workbookViewId="0">
      <selection activeCell="D55" sqref="D55"/>
    </sheetView>
  </sheetViews>
  <sheetFormatPr defaultColWidth="8.88671875" defaultRowHeight="14.4" x14ac:dyDescent="0.3"/>
  <cols>
    <col min="1" max="1" width="11.33203125" style="12" bestFit="1" customWidth="1"/>
    <col min="2" max="2" width="19.77734375" style="13" customWidth="1"/>
    <col min="3" max="3" width="17.44140625" style="13" bestFit="1" customWidth="1"/>
    <col min="4" max="4" width="30.109375" style="14" bestFit="1" customWidth="1"/>
    <col min="5" max="5" width="37.21875" style="17" customWidth="1"/>
    <col min="6" max="6" width="15.5546875" style="13" bestFit="1" customWidth="1"/>
    <col min="7" max="7" width="19.77734375" style="12" bestFit="1" customWidth="1"/>
    <col min="8" max="8" width="24.88671875" style="19" bestFit="1" customWidth="1"/>
    <col min="9" max="9" width="8.88671875" style="10" customWidth="1"/>
    <col min="10" max="11" width="11.21875" style="10" bestFit="1" customWidth="1"/>
    <col min="12" max="12" width="8.88671875" style="10" customWidth="1"/>
    <col min="13" max="16384" width="8.88671875" style="10"/>
  </cols>
  <sheetData>
    <row r="1" spans="1:8" s="4" customFormat="1" ht="28.8" customHeight="1" x14ac:dyDescent="0.3">
      <c r="A1" s="1" t="s">
        <v>0</v>
      </c>
      <c r="B1" s="2" t="s">
        <v>1</v>
      </c>
      <c r="C1" s="2" t="s">
        <v>2</v>
      </c>
      <c r="D1" s="3" t="s">
        <v>3</v>
      </c>
      <c r="E1" s="16" t="s">
        <v>4</v>
      </c>
      <c r="F1" s="5" t="s">
        <v>5</v>
      </c>
      <c r="G1" s="30" t="s">
        <v>6</v>
      </c>
      <c r="H1" s="18" t="s">
        <v>7</v>
      </c>
    </row>
    <row r="2" spans="1:8" x14ac:dyDescent="0.3">
      <c r="A2" s="6">
        <v>46031</v>
      </c>
      <c r="B2" s="7" t="s">
        <v>146</v>
      </c>
      <c r="C2" s="20" t="s">
        <v>8</v>
      </c>
      <c r="D2" s="8" t="s">
        <v>9</v>
      </c>
      <c r="E2" s="11" t="s">
        <v>10</v>
      </c>
      <c r="F2" s="7" t="s">
        <v>11</v>
      </c>
      <c r="G2" s="9">
        <v>46034</v>
      </c>
      <c r="H2" s="15"/>
    </row>
    <row r="3" spans="1:8" x14ac:dyDescent="0.3">
      <c r="A3" s="6">
        <v>46034</v>
      </c>
      <c r="B3" s="7" t="s">
        <v>147</v>
      </c>
      <c r="C3" s="20" t="s">
        <v>12</v>
      </c>
      <c r="D3" s="8" t="s">
        <v>13</v>
      </c>
      <c r="E3" s="11" t="s">
        <v>14</v>
      </c>
      <c r="F3" s="7" t="s">
        <v>11</v>
      </c>
      <c r="G3" s="9">
        <v>46041</v>
      </c>
      <c r="H3" s="15"/>
    </row>
    <row r="4" spans="1:8" x14ac:dyDescent="0.3">
      <c r="A4" s="6">
        <v>46038</v>
      </c>
      <c r="B4" s="7" t="s">
        <v>148</v>
      </c>
      <c r="C4" s="20" t="s">
        <v>15</v>
      </c>
      <c r="D4" s="8" t="s">
        <v>16</v>
      </c>
      <c r="E4" s="11" t="s">
        <v>17</v>
      </c>
      <c r="F4" s="7" t="s">
        <v>11</v>
      </c>
      <c r="G4" s="9">
        <v>46045</v>
      </c>
      <c r="H4" s="15"/>
    </row>
    <row r="5" spans="1:8" x14ac:dyDescent="0.3">
      <c r="A5" s="6">
        <v>46041</v>
      </c>
      <c r="B5" s="7" t="s">
        <v>149</v>
      </c>
      <c r="C5" s="20" t="s">
        <v>18</v>
      </c>
      <c r="D5" s="8" t="s">
        <v>19</v>
      </c>
      <c r="E5" s="11" t="s">
        <v>20</v>
      </c>
      <c r="F5" s="7" t="s">
        <v>11</v>
      </c>
      <c r="G5" s="9">
        <v>46041</v>
      </c>
      <c r="H5" s="15"/>
    </row>
    <row r="6" spans="1:8" x14ac:dyDescent="0.3">
      <c r="A6" s="6">
        <v>46045</v>
      </c>
      <c r="B6" s="7" t="s">
        <v>150</v>
      </c>
      <c r="C6" s="20" t="s">
        <v>21</v>
      </c>
      <c r="D6" s="8" t="s">
        <v>22</v>
      </c>
      <c r="E6" s="11" t="s">
        <v>23</v>
      </c>
      <c r="F6" s="7" t="s">
        <v>24</v>
      </c>
      <c r="G6" s="9" t="s">
        <v>25</v>
      </c>
      <c r="H6" s="15"/>
    </row>
    <row r="7" spans="1:8" x14ac:dyDescent="0.3">
      <c r="A7" s="6">
        <v>46048</v>
      </c>
      <c r="B7" s="7" t="s">
        <v>151</v>
      </c>
      <c r="C7" s="20" t="s">
        <v>25</v>
      </c>
      <c r="D7" s="8" t="s">
        <v>26</v>
      </c>
      <c r="E7" s="11" t="s">
        <v>27</v>
      </c>
      <c r="F7" s="7" t="s">
        <v>11</v>
      </c>
      <c r="G7" s="9" t="s">
        <v>28</v>
      </c>
      <c r="H7" s="15"/>
    </row>
    <row r="8" spans="1:8" ht="28.8" customHeight="1" x14ac:dyDescent="0.3">
      <c r="A8" s="6">
        <v>46050</v>
      </c>
      <c r="B8" s="7" t="s">
        <v>152</v>
      </c>
      <c r="C8" s="20" t="s">
        <v>29</v>
      </c>
      <c r="D8" s="8" t="s">
        <v>30</v>
      </c>
      <c r="E8" s="11" t="s">
        <v>31</v>
      </c>
      <c r="F8" s="7" t="s">
        <v>11</v>
      </c>
      <c r="G8" s="9" t="s">
        <v>28</v>
      </c>
      <c r="H8" s="15"/>
    </row>
    <row r="9" spans="1:8" ht="28.8" customHeight="1" x14ac:dyDescent="0.3">
      <c r="A9" s="6">
        <v>46052</v>
      </c>
      <c r="B9" s="7" t="s">
        <v>153</v>
      </c>
      <c r="C9" s="20" t="s">
        <v>25</v>
      </c>
      <c r="D9" s="8" t="s">
        <v>32</v>
      </c>
      <c r="E9" s="11" t="s">
        <v>33</v>
      </c>
      <c r="F9" s="7" t="s">
        <v>24</v>
      </c>
      <c r="G9" s="9" t="s">
        <v>25</v>
      </c>
      <c r="H9" s="15"/>
    </row>
    <row r="10" spans="1:8" x14ac:dyDescent="0.3">
      <c r="A10" s="6">
        <v>46056</v>
      </c>
      <c r="B10" s="7" t="s">
        <v>154</v>
      </c>
      <c r="C10" s="20" t="s">
        <v>29</v>
      </c>
      <c r="D10" s="8" t="s">
        <v>34</v>
      </c>
      <c r="E10" s="11" t="s">
        <v>35</v>
      </c>
      <c r="F10" s="7" t="s">
        <v>11</v>
      </c>
      <c r="G10" s="9">
        <v>46056</v>
      </c>
      <c r="H10" s="15"/>
    </row>
    <row r="11" spans="1:8" x14ac:dyDescent="0.3">
      <c r="A11" s="6">
        <v>46058</v>
      </c>
      <c r="B11" s="7" t="s">
        <v>155</v>
      </c>
      <c r="C11" s="20" t="s">
        <v>12</v>
      </c>
      <c r="D11" s="8" t="s">
        <v>13</v>
      </c>
      <c r="E11" s="11" t="s">
        <v>14</v>
      </c>
      <c r="F11" s="7" t="s">
        <v>11</v>
      </c>
      <c r="G11" s="9">
        <v>46065</v>
      </c>
      <c r="H11" s="15"/>
    </row>
    <row r="12" spans="1:8" x14ac:dyDescent="0.3">
      <c r="A12" s="6">
        <v>46062</v>
      </c>
      <c r="B12" s="7" t="s">
        <v>156</v>
      </c>
      <c r="C12" s="20" t="s">
        <v>36</v>
      </c>
      <c r="D12" s="8" t="s">
        <v>37</v>
      </c>
      <c r="E12" s="11" t="s">
        <v>38</v>
      </c>
      <c r="F12" s="7" t="s">
        <v>11</v>
      </c>
      <c r="G12" s="9">
        <v>46063</v>
      </c>
      <c r="H12" s="15"/>
    </row>
    <row r="13" spans="1:8" x14ac:dyDescent="0.3">
      <c r="A13" s="6">
        <v>46073</v>
      </c>
      <c r="B13" s="7" t="s">
        <v>157</v>
      </c>
      <c r="C13" s="20" t="s">
        <v>36</v>
      </c>
      <c r="D13" s="8" t="s">
        <v>39</v>
      </c>
      <c r="E13" s="11" t="s">
        <v>38</v>
      </c>
      <c r="F13" s="7" t="s">
        <v>11</v>
      </c>
      <c r="G13" s="9">
        <v>46076</v>
      </c>
      <c r="H13" s="15"/>
    </row>
    <row r="14" spans="1:8" x14ac:dyDescent="0.3">
      <c r="A14" s="6">
        <v>46073</v>
      </c>
      <c r="B14" s="7" t="s">
        <v>158</v>
      </c>
      <c r="C14" s="20" t="s">
        <v>36</v>
      </c>
      <c r="D14" s="8" t="s">
        <v>40</v>
      </c>
      <c r="E14" s="11" t="s">
        <v>41</v>
      </c>
      <c r="F14" s="7" t="s">
        <v>11</v>
      </c>
      <c r="G14" s="9">
        <v>46076</v>
      </c>
      <c r="H14" s="15"/>
    </row>
    <row r="15" spans="1:8" x14ac:dyDescent="0.3">
      <c r="A15" s="6">
        <v>46077</v>
      </c>
      <c r="B15" s="7" t="s">
        <v>159</v>
      </c>
      <c r="C15" s="20" t="s">
        <v>42</v>
      </c>
      <c r="D15" s="8" t="s">
        <v>39</v>
      </c>
      <c r="E15" s="11" t="s">
        <v>43</v>
      </c>
      <c r="F15" s="7" t="s">
        <v>11</v>
      </c>
      <c r="G15" s="9">
        <v>46078</v>
      </c>
      <c r="H15" s="15"/>
    </row>
    <row r="16" spans="1:8" x14ac:dyDescent="0.3">
      <c r="A16" s="6">
        <v>46077</v>
      </c>
      <c r="B16" s="7" t="s">
        <v>160</v>
      </c>
      <c r="C16" s="20" t="s">
        <v>44</v>
      </c>
      <c r="D16" s="8" t="s">
        <v>13</v>
      </c>
      <c r="E16" s="8" t="s">
        <v>45</v>
      </c>
      <c r="F16" s="7" t="s">
        <v>11</v>
      </c>
      <c r="G16" s="9">
        <v>46084</v>
      </c>
      <c r="H16" s="15"/>
    </row>
    <row r="17" spans="1:8" x14ac:dyDescent="0.3">
      <c r="A17" s="6">
        <v>46077</v>
      </c>
      <c r="B17" s="7" t="s">
        <v>161</v>
      </c>
      <c r="C17" s="20" t="s">
        <v>46</v>
      </c>
      <c r="D17" s="8" t="s">
        <v>47</v>
      </c>
      <c r="E17" s="11" t="s">
        <v>48</v>
      </c>
      <c r="F17" s="7" t="s">
        <v>11</v>
      </c>
      <c r="G17" s="9">
        <v>46086</v>
      </c>
      <c r="H17" s="15"/>
    </row>
    <row r="18" spans="1:8" x14ac:dyDescent="0.3">
      <c r="A18" s="6">
        <v>46077</v>
      </c>
      <c r="B18" s="7" t="s">
        <v>162</v>
      </c>
      <c r="C18" s="20" t="s">
        <v>49</v>
      </c>
      <c r="D18" s="8" t="s">
        <v>50</v>
      </c>
      <c r="E18" s="11" t="s">
        <v>49</v>
      </c>
      <c r="F18" s="7" t="s">
        <v>11</v>
      </c>
      <c r="G18" s="9">
        <v>46083</v>
      </c>
      <c r="H18" s="15"/>
    </row>
    <row r="19" spans="1:8" x14ac:dyDescent="0.3">
      <c r="A19" s="6">
        <v>46078</v>
      </c>
      <c r="B19" s="7" t="s">
        <v>163</v>
      </c>
      <c r="C19" s="20" t="s">
        <v>51</v>
      </c>
      <c r="D19" s="8" t="s">
        <v>52</v>
      </c>
      <c r="E19" s="11" t="s">
        <v>53</v>
      </c>
      <c r="F19" s="7" t="s">
        <v>11</v>
      </c>
      <c r="G19" s="9">
        <v>46079</v>
      </c>
      <c r="H19" s="15"/>
    </row>
    <row r="20" spans="1:8" x14ac:dyDescent="0.3">
      <c r="A20" s="6">
        <v>46084</v>
      </c>
      <c r="B20" s="7" t="s">
        <v>164</v>
      </c>
      <c r="C20" s="20" t="s">
        <v>54</v>
      </c>
      <c r="D20" s="8" t="s">
        <v>40</v>
      </c>
      <c r="E20" s="11" t="s">
        <v>55</v>
      </c>
      <c r="F20" s="7" t="s">
        <v>11</v>
      </c>
      <c r="G20" s="9">
        <v>46084</v>
      </c>
      <c r="H20" s="15"/>
    </row>
    <row r="21" spans="1:8" x14ac:dyDescent="0.3">
      <c r="A21" s="6">
        <v>46085</v>
      </c>
      <c r="B21" s="7" t="s">
        <v>165</v>
      </c>
      <c r="C21" s="20" t="s">
        <v>44</v>
      </c>
      <c r="D21" s="8" t="s">
        <v>13</v>
      </c>
      <c r="E21" s="11" t="s">
        <v>56</v>
      </c>
      <c r="F21" s="7" t="s">
        <v>11</v>
      </c>
      <c r="G21" s="9">
        <v>46085</v>
      </c>
      <c r="H21" s="15"/>
    </row>
    <row r="22" spans="1:8" x14ac:dyDescent="0.3">
      <c r="A22" s="6">
        <v>46085</v>
      </c>
      <c r="B22" s="7" t="s">
        <v>166</v>
      </c>
      <c r="C22" s="20" t="s">
        <v>57</v>
      </c>
      <c r="D22" s="8" t="s">
        <v>58</v>
      </c>
      <c r="E22" s="11" t="s">
        <v>59</v>
      </c>
      <c r="F22" s="7" t="s">
        <v>60</v>
      </c>
      <c r="G22" s="9" t="s">
        <v>25</v>
      </c>
      <c r="H22" s="15"/>
    </row>
    <row r="23" spans="1:8" x14ac:dyDescent="0.3">
      <c r="A23" s="6">
        <v>46090</v>
      </c>
      <c r="B23" s="7" t="s">
        <v>167</v>
      </c>
      <c r="C23" s="20" t="s">
        <v>44</v>
      </c>
      <c r="D23" s="8" t="s">
        <v>13</v>
      </c>
      <c r="E23" s="11" t="s">
        <v>61</v>
      </c>
      <c r="F23" s="7" t="s">
        <v>11</v>
      </c>
      <c r="G23" s="9">
        <v>46097</v>
      </c>
      <c r="H23" s="15"/>
    </row>
    <row r="24" spans="1:8" x14ac:dyDescent="0.3">
      <c r="A24" s="6">
        <v>46092</v>
      </c>
      <c r="B24" s="7" t="s">
        <v>168</v>
      </c>
      <c r="C24" s="20" t="s">
        <v>62</v>
      </c>
      <c r="D24" s="8" t="s">
        <v>40</v>
      </c>
      <c r="E24" s="11" t="s">
        <v>63</v>
      </c>
      <c r="F24" s="7" t="s">
        <v>11</v>
      </c>
      <c r="G24" s="9">
        <v>46093</v>
      </c>
      <c r="H24" s="15"/>
    </row>
    <row r="25" spans="1:8" x14ac:dyDescent="0.3">
      <c r="A25" s="6">
        <v>46094</v>
      </c>
      <c r="B25" s="7" t="s">
        <v>169</v>
      </c>
      <c r="C25" s="20" t="s">
        <v>25</v>
      </c>
      <c r="D25" s="8" t="s">
        <v>26</v>
      </c>
      <c r="E25" s="11" t="s">
        <v>96</v>
      </c>
      <c r="F25" s="7" t="s">
        <v>11</v>
      </c>
      <c r="G25" s="9" t="s">
        <v>28</v>
      </c>
      <c r="H25" s="15"/>
    </row>
    <row r="26" spans="1:8" x14ac:dyDescent="0.3">
      <c r="A26" s="6">
        <v>46099</v>
      </c>
      <c r="B26" s="7" t="s">
        <v>170</v>
      </c>
      <c r="C26" s="20" t="s">
        <v>44</v>
      </c>
      <c r="D26" s="8" t="s">
        <v>13</v>
      </c>
      <c r="E26" s="11" t="s">
        <v>97</v>
      </c>
      <c r="F26" s="7" t="s">
        <v>11</v>
      </c>
      <c r="G26" s="9">
        <v>46104</v>
      </c>
      <c r="H26" s="15"/>
    </row>
    <row r="27" spans="1:8" x14ac:dyDescent="0.3">
      <c r="A27" s="6">
        <v>46101</v>
      </c>
      <c r="B27" s="7" t="s">
        <v>171</v>
      </c>
      <c r="C27" s="20" t="s">
        <v>44</v>
      </c>
      <c r="D27" s="8" t="s">
        <v>40</v>
      </c>
      <c r="E27" s="11" t="s">
        <v>98</v>
      </c>
      <c r="F27" s="7" t="s">
        <v>99</v>
      </c>
      <c r="G27" s="9">
        <v>46104</v>
      </c>
      <c r="H27" s="15"/>
    </row>
    <row r="28" spans="1:8" x14ac:dyDescent="0.3">
      <c r="A28" s="6">
        <v>46104</v>
      </c>
      <c r="B28" s="7" t="s">
        <v>172</v>
      </c>
      <c r="C28" s="20" t="s">
        <v>44</v>
      </c>
      <c r="D28" s="8" t="s">
        <v>40</v>
      </c>
      <c r="E28" s="11" t="s">
        <v>98</v>
      </c>
      <c r="F28" s="7" t="s">
        <v>99</v>
      </c>
      <c r="G28" s="9">
        <v>46107</v>
      </c>
      <c r="H28" s="15"/>
    </row>
    <row r="29" spans="1:8" x14ac:dyDescent="0.3">
      <c r="A29" s="6">
        <v>46107</v>
      </c>
      <c r="B29" s="7" t="s">
        <v>173</v>
      </c>
      <c r="C29" s="20" t="s">
        <v>12</v>
      </c>
      <c r="D29" s="8" t="s">
        <v>13</v>
      </c>
      <c r="E29" s="11" t="s">
        <v>61</v>
      </c>
      <c r="F29" s="7" t="s">
        <v>11</v>
      </c>
      <c r="G29" s="9">
        <v>46114</v>
      </c>
      <c r="H29" s="15"/>
    </row>
    <row r="30" spans="1:8" x14ac:dyDescent="0.3">
      <c r="A30" s="6">
        <v>46108</v>
      </c>
      <c r="B30" s="7" t="s">
        <v>174</v>
      </c>
      <c r="C30" s="20" t="s">
        <v>107</v>
      </c>
      <c r="D30" s="8" t="s">
        <v>106</v>
      </c>
      <c r="E30" s="11" t="s">
        <v>108</v>
      </c>
      <c r="F30" s="7" t="s">
        <v>24</v>
      </c>
      <c r="G30" s="9" t="s">
        <v>25</v>
      </c>
      <c r="H30" s="15"/>
    </row>
    <row r="31" spans="1:8" x14ac:dyDescent="0.3">
      <c r="A31" s="6">
        <v>46119</v>
      </c>
      <c r="B31" s="7" t="s">
        <v>175</v>
      </c>
      <c r="C31" s="20" t="s">
        <v>109</v>
      </c>
      <c r="D31" s="8" t="s">
        <v>110</v>
      </c>
      <c r="E31" s="11" t="s">
        <v>111</v>
      </c>
      <c r="F31" s="7" t="s">
        <v>99</v>
      </c>
      <c r="G31" s="9">
        <v>46129</v>
      </c>
      <c r="H31" s="15"/>
    </row>
    <row r="32" spans="1:8" x14ac:dyDescent="0.3">
      <c r="A32" s="6"/>
      <c r="B32" s="7" t="s">
        <v>176</v>
      </c>
      <c r="C32" s="20"/>
      <c r="D32" s="8" t="s">
        <v>13</v>
      </c>
      <c r="E32" s="11"/>
      <c r="F32" s="7"/>
      <c r="G32" s="9"/>
      <c r="H32" s="15"/>
    </row>
    <row r="33" spans="1:8" x14ac:dyDescent="0.3">
      <c r="A33" s="6"/>
      <c r="B33" s="7" t="s">
        <v>177</v>
      </c>
      <c r="C33" s="20"/>
      <c r="D33" s="8" t="s">
        <v>112</v>
      </c>
      <c r="E33" s="11"/>
      <c r="F33" s="7"/>
      <c r="G33" s="9"/>
      <c r="H33" s="15"/>
    </row>
    <row r="34" spans="1:8" x14ac:dyDescent="0.3">
      <c r="A34" s="6">
        <v>46132</v>
      </c>
      <c r="B34" s="7" t="s">
        <v>113</v>
      </c>
      <c r="C34" s="20" t="s">
        <v>12</v>
      </c>
      <c r="D34" s="8" t="s">
        <v>13</v>
      </c>
      <c r="E34" s="11" t="s">
        <v>179</v>
      </c>
      <c r="F34" s="7" t="s">
        <v>99</v>
      </c>
      <c r="G34" s="9">
        <v>46135</v>
      </c>
      <c r="H34" s="15"/>
    </row>
    <row r="35" spans="1:8" x14ac:dyDescent="0.3">
      <c r="A35" s="6">
        <v>46133</v>
      </c>
      <c r="B35" s="7" t="s">
        <v>114</v>
      </c>
      <c r="C35" s="20" t="s">
        <v>12</v>
      </c>
      <c r="D35" s="8" t="s">
        <v>145</v>
      </c>
      <c r="E35" s="11" t="s">
        <v>178</v>
      </c>
      <c r="F35" s="7" t="s">
        <v>99</v>
      </c>
      <c r="G35" s="9">
        <v>46134</v>
      </c>
      <c r="H35" s="15"/>
    </row>
    <row r="36" spans="1:8" x14ac:dyDescent="0.3">
      <c r="A36" s="6">
        <v>46135</v>
      </c>
      <c r="B36" s="7" t="s">
        <v>115</v>
      </c>
      <c r="C36" s="20" t="s">
        <v>12</v>
      </c>
      <c r="D36" s="8" t="s">
        <v>13</v>
      </c>
      <c r="E36" s="11" t="s">
        <v>97</v>
      </c>
      <c r="F36" s="7" t="s">
        <v>99</v>
      </c>
      <c r="G36" s="9">
        <v>46142</v>
      </c>
      <c r="H36" s="15"/>
    </row>
    <row r="37" spans="1:8" x14ac:dyDescent="0.3">
      <c r="A37" s="6">
        <v>46136</v>
      </c>
      <c r="B37" s="7" t="s">
        <v>116</v>
      </c>
      <c r="C37" s="20" t="s">
        <v>12</v>
      </c>
      <c r="D37" s="8" t="s">
        <v>40</v>
      </c>
      <c r="E37" s="11" t="s">
        <v>180</v>
      </c>
      <c r="F37" s="7" t="s">
        <v>11</v>
      </c>
      <c r="G37" s="9">
        <v>46140</v>
      </c>
      <c r="H37" s="15"/>
    </row>
    <row r="38" spans="1:8" x14ac:dyDescent="0.3">
      <c r="A38" s="6">
        <v>46140</v>
      </c>
      <c r="B38" s="7" t="s">
        <v>117</v>
      </c>
      <c r="C38" s="20" t="s">
        <v>181</v>
      </c>
      <c r="D38" s="8" t="s">
        <v>182</v>
      </c>
      <c r="E38" s="11" t="s">
        <v>183</v>
      </c>
      <c r="F38" s="7" t="s">
        <v>11</v>
      </c>
      <c r="G38" s="9">
        <v>46141</v>
      </c>
      <c r="H38" s="15"/>
    </row>
    <row r="39" spans="1:8" x14ac:dyDescent="0.3">
      <c r="A39" s="6">
        <v>46179</v>
      </c>
      <c r="B39" s="7" t="s">
        <v>118</v>
      </c>
      <c r="C39" s="20" t="s">
        <v>12</v>
      </c>
      <c r="D39" s="8" t="s">
        <v>13</v>
      </c>
      <c r="E39" s="11" t="s">
        <v>187</v>
      </c>
      <c r="F39" s="7" t="s">
        <v>11</v>
      </c>
      <c r="G39" s="9">
        <v>46125</v>
      </c>
      <c r="H39" s="15"/>
    </row>
    <row r="40" spans="1:8" x14ac:dyDescent="0.3">
      <c r="A40" s="6">
        <v>46148</v>
      </c>
      <c r="B40" s="7" t="s">
        <v>119</v>
      </c>
      <c r="C40" s="20" t="s">
        <v>12</v>
      </c>
      <c r="D40" s="8" t="s">
        <v>40</v>
      </c>
      <c r="E40" s="11" t="s">
        <v>184</v>
      </c>
      <c r="F40" s="7" t="s">
        <v>11</v>
      </c>
      <c r="G40" s="9">
        <v>46125</v>
      </c>
      <c r="H40" s="15"/>
    </row>
    <row r="41" spans="1:8" x14ac:dyDescent="0.3">
      <c r="A41" s="6">
        <v>46149</v>
      </c>
      <c r="B41" s="7" t="s">
        <v>120</v>
      </c>
      <c r="C41" s="20" t="s">
        <v>12</v>
      </c>
      <c r="D41" s="8" t="s">
        <v>40</v>
      </c>
      <c r="E41" s="11" t="s">
        <v>190</v>
      </c>
      <c r="F41" s="7" t="s">
        <v>11</v>
      </c>
      <c r="G41" s="9">
        <v>46125</v>
      </c>
      <c r="H41" s="15"/>
    </row>
    <row r="42" spans="1:8" x14ac:dyDescent="0.3">
      <c r="A42" s="6">
        <v>46149</v>
      </c>
      <c r="B42" s="7" t="s">
        <v>121</v>
      </c>
      <c r="C42" s="20" t="s">
        <v>191</v>
      </c>
      <c r="D42" s="8" t="s">
        <v>52</v>
      </c>
      <c r="E42" s="11" t="s">
        <v>192</v>
      </c>
      <c r="F42" s="7" t="s">
        <v>11</v>
      </c>
      <c r="G42" s="9">
        <v>46157</v>
      </c>
      <c r="H42" s="15"/>
    </row>
    <row r="43" spans="1:8" x14ac:dyDescent="0.3">
      <c r="A43" s="6">
        <v>46156</v>
      </c>
      <c r="B43" s="7" t="s">
        <v>122</v>
      </c>
      <c r="C43" s="20" t="s">
        <v>12</v>
      </c>
      <c r="D43" s="8" t="s">
        <v>13</v>
      </c>
      <c r="E43" s="11" t="s">
        <v>194</v>
      </c>
      <c r="F43" s="7" t="s">
        <v>11</v>
      </c>
      <c r="G43" s="9">
        <v>46163</v>
      </c>
      <c r="H43" s="15"/>
    </row>
    <row r="44" spans="1:8" x14ac:dyDescent="0.3">
      <c r="A44" s="6">
        <v>46156</v>
      </c>
      <c r="B44" s="7" t="s">
        <v>123</v>
      </c>
      <c r="C44" s="20" t="s">
        <v>205</v>
      </c>
      <c r="D44" s="8" t="s">
        <v>52</v>
      </c>
      <c r="E44" s="11" t="s">
        <v>206</v>
      </c>
      <c r="F44" s="7" t="s">
        <v>11</v>
      </c>
      <c r="G44" s="9">
        <v>46157</v>
      </c>
      <c r="H44" s="15"/>
    </row>
    <row r="45" spans="1:8" x14ac:dyDescent="0.3">
      <c r="A45" s="6"/>
      <c r="B45" s="7" t="s">
        <v>124</v>
      </c>
      <c r="C45" s="20"/>
      <c r="D45" s="8"/>
      <c r="E45" s="11"/>
      <c r="F45" s="7"/>
      <c r="G45" s="9"/>
      <c r="H45" s="15"/>
    </row>
    <row r="46" spans="1:8" x14ac:dyDescent="0.3">
      <c r="A46" s="6"/>
      <c r="B46" s="7" t="s">
        <v>125</v>
      </c>
      <c r="C46" s="20"/>
      <c r="D46" s="8"/>
      <c r="E46" s="11"/>
      <c r="F46" s="7"/>
      <c r="G46" s="9"/>
      <c r="H46" s="15"/>
    </row>
    <row r="47" spans="1:8" x14ac:dyDescent="0.3">
      <c r="A47" s="6"/>
      <c r="B47" s="7" t="s">
        <v>126</v>
      </c>
      <c r="C47" s="20"/>
      <c r="D47" s="8"/>
      <c r="E47" s="11"/>
      <c r="F47" s="7"/>
      <c r="G47" s="9"/>
      <c r="H47" s="15"/>
    </row>
    <row r="48" spans="1:8" x14ac:dyDescent="0.3">
      <c r="A48" s="6"/>
      <c r="B48" s="7" t="s">
        <v>127</v>
      </c>
      <c r="C48" s="20"/>
      <c r="D48" s="8"/>
      <c r="E48" s="11"/>
      <c r="F48" s="7"/>
      <c r="G48" s="9"/>
      <c r="H48" s="15"/>
    </row>
    <row r="49" spans="1:8" x14ac:dyDescent="0.3">
      <c r="A49" s="6"/>
      <c r="B49" s="7" t="s">
        <v>128</v>
      </c>
      <c r="C49" s="20"/>
      <c r="D49" s="8"/>
      <c r="E49" s="11"/>
      <c r="F49" s="7"/>
      <c r="G49" s="9"/>
      <c r="H49" s="15"/>
    </row>
    <row r="50" spans="1:8" x14ac:dyDescent="0.3">
      <c r="A50" s="6"/>
      <c r="B50" s="7" t="s">
        <v>129</v>
      </c>
      <c r="C50" s="20"/>
      <c r="D50" s="8"/>
      <c r="E50" s="11"/>
      <c r="F50" s="7"/>
      <c r="G50" s="9"/>
      <c r="H50" s="15"/>
    </row>
    <row r="51" spans="1:8" x14ac:dyDescent="0.3">
      <c r="A51" s="6"/>
      <c r="B51" s="7" t="s">
        <v>130</v>
      </c>
      <c r="C51" s="20"/>
      <c r="D51" s="8"/>
      <c r="E51" s="11"/>
      <c r="F51" s="7"/>
      <c r="G51" s="9"/>
      <c r="H51" s="15"/>
    </row>
    <row r="52" spans="1:8" x14ac:dyDescent="0.3">
      <c r="A52" s="6"/>
      <c r="B52" s="7" t="s">
        <v>131</v>
      </c>
      <c r="C52" s="20"/>
      <c r="D52" s="8"/>
      <c r="E52" s="11"/>
      <c r="F52" s="7"/>
      <c r="G52" s="9"/>
      <c r="H52" s="15"/>
    </row>
    <row r="53" spans="1:8" x14ac:dyDescent="0.3">
      <c r="A53" s="6"/>
      <c r="B53" s="7" t="s">
        <v>132</v>
      </c>
      <c r="C53" s="20"/>
      <c r="D53" s="8"/>
      <c r="E53" s="11"/>
      <c r="F53" s="7"/>
      <c r="G53" s="9"/>
      <c r="H53" s="15"/>
    </row>
    <row r="54" spans="1:8" x14ac:dyDescent="0.3">
      <c r="A54" s="6"/>
      <c r="B54" s="7" t="s">
        <v>133</v>
      </c>
      <c r="C54" s="20"/>
      <c r="D54" s="8"/>
      <c r="E54" s="11"/>
      <c r="F54" s="7"/>
      <c r="G54" s="9"/>
      <c r="H54" s="15"/>
    </row>
    <row r="55" spans="1:8" x14ac:dyDescent="0.3">
      <c r="A55" s="6"/>
      <c r="B55" s="7" t="s">
        <v>134</v>
      </c>
      <c r="C55" s="20"/>
      <c r="D55" s="8"/>
      <c r="E55" s="11"/>
      <c r="F55" s="7"/>
      <c r="G55" s="9"/>
      <c r="H55" s="15"/>
    </row>
    <row r="56" spans="1:8" x14ac:dyDescent="0.3">
      <c r="A56" s="6"/>
      <c r="B56" s="7" t="s">
        <v>135</v>
      </c>
      <c r="C56" s="20"/>
      <c r="D56" s="8"/>
      <c r="E56" s="11"/>
      <c r="F56" s="7"/>
      <c r="G56" s="9"/>
      <c r="H56" s="15"/>
    </row>
    <row r="57" spans="1:8" x14ac:dyDescent="0.3">
      <c r="A57" s="6"/>
      <c r="B57" s="7" t="s">
        <v>136</v>
      </c>
      <c r="C57" s="20"/>
      <c r="D57" s="8"/>
      <c r="E57" s="11"/>
      <c r="F57" s="7"/>
      <c r="G57" s="9"/>
      <c r="H57" s="15"/>
    </row>
    <row r="58" spans="1:8" x14ac:dyDescent="0.3">
      <c r="A58" s="6"/>
      <c r="B58" s="7" t="s">
        <v>137</v>
      </c>
      <c r="C58" s="20"/>
      <c r="D58" s="8"/>
      <c r="E58" s="11"/>
      <c r="F58" s="7"/>
      <c r="G58" s="9"/>
      <c r="H58" s="15"/>
    </row>
    <row r="59" spans="1:8" x14ac:dyDescent="0.3">
      <c r="A59" s="6"/>
      <c r="B59" s="7" t="s">
        <v>138</v>
      </c>
      <c r="C59" s="20"/>
      <c r="D59" s="8"/>
      <c r="E59" s="11"/>
      <c r="F59" s="7"/>
      <c r="G59" s="9"/>
      <c r="H59" s="15"/>
    </row>
    <row r="60" spans="1:8" x14ac:dyDescent="0.3">
      <c r="A60" s="6"/>
      <c r="B60" s="7" t="s">
        <v>139</v>
      </c>
      <c r="C60" s="20"/>
      <c r="D60" s="8"/>
      <c r="E60" s="11"/>
      <c r="F60" s="7"/>
      <c r="G60" s="9"/>
      <c r="H60" s="15"/>
    </row>
    <row r="61" spans="1:8" x14ac:dyDescent="0.3">
      <c r="A61" s="6"/>
      <c r="B61" s="7" t="s">
        <v>140</v>
      </c>
      <c r="C61" s="20"/>
      <c r="D61" s="8"/>
      <c r="E61" s="11"/>
      <c r="F61" s="7"/>
      <c r="G61" s="9"/>
      <c r="H61" s="15"/>
    </row>
    <row r="62" spans="1:8" x14ac:dyDescent="0.3">
      <c r="A62" s="6"/>
      <c r="B62" s="7" t="s">
        <v>141</v>
      </c>
      <c r="C62" s="20"/>
      <c r="D62" s="8"/>
      <c r="E62" s="11"/>
      <c r="F62" s="7"/>
      <c r="G62" s="9"/>
      <c r="H62" s="15"/>
    </row>
    <row r="63" spans="1:8" x14ac:dyDescent="0.3">
      <c r="A63" s="6"/>
      <c r="B63" s="7" t="s">
        <v>142</v>
      </c>
      <c r="C63" s="20"/>
      <c r="D63" s="8"/>
      <c r="E63" s="11"/>
      <c r="F63" s="7"/>
      <c r="G63" s="9"/>
      <c r="H63" s="15"/>
    </row>
    <row r="64" spans="1:8" x14ac:dyDescent="0.3">
      <c r="A64" s="6"/>
      <c r="B64" s="7" t="s">
        <v>143</v>
      </c>
      <c r="C64" s="20"/>
      <c r="D64" s="8"/>
      <c r="E64" s="11"/>
      <c r="F64" s="7"/>
      <c r="G64" s="9"/>
      <c r="H64" s="15"/>
    </row>
    <row r="65" spans="1:8" x14ac:dyDescent="0.3">
      <c r="A65" s="6"/>
      <c r="B65" s="7" t="s">
        <v>144</v>
      </c>
      <c r="C65" s="20"/>
      <c r="D65" s="8"/>
      <c r="E65" s="11"/>
      <c r="F65" s="7"/>
      <c r="G65" s="9"/>
      <c r="H65" s="15"/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28377-3201-46BE-8B45-622C07BA9BE8}">
  <sheetPr>
    <pageSetUpPr fitToPage="1"/>
  </sheetPr>
  <dimension ref="A1:V44"/>
  <sheetViews>
    <sheetView zoomScaleNormal="100" workbookViewId="0">
      <selection activeCell="Q6" sqref="Q6"/>
    </sheetView>
  </sheetViews>
  <sheetFormatPr defaultRowHeight="14.4" x14ac:dyDescent="0.3"/>
  <cols>
    <col min="14" max="21" width="6.88671875" customWidth="1"/>
  </cols>
  <sheetData>
    <row r="1" spans="1:22" ht="15" thickBot="1" x14ac:dyDescent="0.35">
      <c r="A1" s="22"/>
      <c r="T1" s="31" t="s">
        <v>105</v>
      </c>
      <c r="U1" s="31">
        <v>1</v>
      </c>
    </row>
    <row r="2" spans="1:22" ht="21.6" thickBot="1" x14ac:dyDescent="0.35">
      <c r="A2" s="52" t="e" vm="1">
        <v>#VALUE!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129"/>
      <c r="N2" s="130" t="s">
        <v>64</v>
      </c>
      <c r="O2" s="131"/>
      <c r="P2" s="131"/>
      <c r="Q2" s="131"/>
      <c r="R2" s="131"/>
      <c r="S2" s="131"/>
      <c r="T2" s="131"/>
      <c r="U2" s="132"/>
      <c r="V2" s="23"/>
    </row>
    <row r="3" spans="1:22" ht="21.6" customHeight="1" thickBot="1" x14ac:dyDescent="0.3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129"/>
      <c r="N3" s="130" t="s">
        <v>123</v>
      </c>
      <c r="O3" s="131"/>
      <c r="P3" s="131"/>
      <c r="Q3" s="131"/>
      <c r="R3" s="131"/>
      <c r="S3" s="131"/>
      <c r="T3" s="131"/>
      <c r="U3" s="132"/>
      <c r="V3" s="23"/>
    </row>
    <row r="4" spans="1:22" ht="15" thickBot="1" x14ac:dyDescent="0.35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129"/>
      <c r="N4" s="133" t="s">
        <v>65</v>
      </c>
      <c r="O4" s="134"/>
      <c r="P4" s="135">
        <v>46157</v>
      </c>
      <c r="Q4" s="136"/>
      <c r="R4" s="136"/>
      <c r="S4" s="136"/>
      <c r="T4" s="136"/>
      <c r="U4" s="137"/>
      <c r="V4" s="23"/>
    </row>
    <row r="5" spans="1:22" x14ac:dyDescent="0.3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28"/>
      <c r="O5" s="28"/>
      <c r="P5" s="29"/>
      <c r="Q5" s="29"/>
      <c r="R5" s="29"/>
      <c r="S5" s="27"/>
      <c r="T5" s="27"/>
      <c r="U5" s="27"/>
      <c r="V5" s="23"/>
    </row>
    <row r="6" spans="1:22" x14ac:dyDescent="0.3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28"/>
      <c r="O6" s="28"/>
      <c r="P6" s="27"/>
      <c r="Q6" s="27"/>
      <c r="R6" s="27"/>
      <c r="S6" s="27"/>
      <c r="T6" s="27"/>
      <c r="U6" s="27"/>
      <c r="V6" s="23"/>
    </row>
    <row r="7" spans="1:22" ht="15" thickBot="1" x14ac:dyDescent="0.3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28"/>
      <c r="O7" s="28"/>
      <c r="P7" s="27"/>
      <c r="Q7" s="27"/>
      <c r="R7" s="27"/>
      <c r="S7" s="27"/>
      <c r="T7" s="27"/>
      <c r="U7" s="27"/>
      <c r="V7" s="23"/>
    </row>
    <row r="8" spans="1:22" ht="15" customHeight="1" thickBot="1" x14ac:dyDescent="0.3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8"/>
      <c r="O8" s="28"/>
      <c r="P8" s="27"/>
      <c r="Q8" s="27"/>
      <c r="R8" s="27"/>
      <c r="S8" s="27"/>
      <c r="T8" s="27"/>
      <c r="U8" s="27"/>
      <c r="V8" s="23"/>
    </row>
    <row r="9" spans="1:22" ht="15" thickBot="1" x14ac:dyDescent="0.35">
      <c r="A9" s="80" t="s">
        <v>66</v>
      </c>
      <c r="B9" s="81"/>
      <c r="C9" s="81"/>
      <c r="D9" s="82"/>
      <c r="E9" s="83" t="s">
        <v>67</v>
      </c>
      <c r="F9" s="81"/>
      <c r="G9" s="81"/>
      <c r="H9" s="81"/>
      <c r="I9" s="81"/>
      <c r="J9" s="81"/>
      <c r="K9" s="82"/>
      <c r="L9" s="83" t="s">
        <v>68</v>
      </c>
      <c r="M9" s="81"/>
      <c r="N9" s="81"/>
      <c r="O9" s="81"/>
      <c r="P9" s="81"/>
      <c r="Q9" s="82"/>
      <c r="R9" s="83" t="s">
        <v>69</v>
      </c>
      <c r="S9" s="81"/>
      <c r="T9" s="81"/>
      <c r="U9" s="141"/>
      <c r="V9" s="23"/>
    </row>
    <row r="10" spans="1:22" s="26" customFormat="1" ht="13.8" x14ac:dyDescent="0.3">
      <c r="A10" s="87"/>
      <c r="B10" s="88"/>
      <c r="C10" s="88"/>
      <c r="D10" s="142"/>
      <c r="E10" s="143" t="s">
        <v>70</v>
      </c>
      <c r="F10" s="144"/>
      <c r="G10" s="144" t="s">
        <v>71</v>
      </c>
      <c r="H10" s="144"/>
      <c r="I10" s="144"/>
      <c r="J10" s="144"/>
      <c r="K10" s="145"/>
      <c r="L10" s="118"/>
      <c r="M10" s="119"/>
      <c r="N10" s="119"/>
      <c r="O10" s="119"/>
      <c r="P10" s="119"/>
      <c r="Q10" s="120"/>
      <c r="R10" s="146"/>
      <c r="S10" s="119"/>
      <c r="T10" s="119"/>
      <c r="U10" s="120"/>
      <c r="V10" s="25"/>
    </row>
    <row r="11" spans="1:22" s="26" customFormat="1" ht="13.8" customHeight="1" x14ac:dyDescent="0.3">
      <c r="A11" s="112" t="s">
        <v>52</v>
      </c>
      <c r="B11" s="113"/>
      <c r="C11" s="113"/>
      <c r="D11" s="114"/>
      <c r="E11" s="115" t="s">
        <v>72</v>
      </c>
      <c r="F11" s="116"/>
      <c r="G11" s="116" t="s">
        <v>73</v>
      </c>
      <c r="H11" s="116"/>
      <c r="I11" s="116"/>
      <c r="J11" s="116"/>
      <c r="K11" s="117"/>
      <c r="L11" s="124" t="s">
        <v>74</v>
      </c>
      <c r="M11" s="122"/>
      <c r="N11" s="122"/>
      <c r="O11" s="122"/>
      <c r="P11" s="122"/>
      <c r="Q11" s="123"/>
      <c r="R11" s="121"/>
      <c r="S11" s="122"/>
      <c r="T11" s="122"/>
      <c r="U11" s="123"/>
      <c r="V11" s="25"/>
    </row>
    <row r="12" spans="1:22" s="26" customFormat="1" thickBot="1" x14ac:dyDescent="0.35">
      <c r="A12" s="112" t="s">
        <v>75</v>
      </c>
      <c r="B12" s="113"/>
      <c r="C12" s="113"/>
      <c r="D12" s="114"/>
      <c r="E12" s="115" t="s">
        <v>76</v>
      </c>
      <c r="F12" s="116"/>
      <c r="G12" s="116">
        <v>62550053723</v>
      </c>
      <c r="H12" s="116"/>
      <c r="I12" s="116"/>
      <c r="J12" s="116"/>
      <c r="K12" s="117"/>
      <c r="L12" s="106"/>
      <c r="M12" s="107"/>
      <c r="N12" s="107"/>
      <c r="O12" s="107"/>
      <c r="P12" s="107"/>
      <c r="Q12" s="108"/>
      <c r="R12" s="121"/>
      <c r="S12" s="122"/>
      <c r="T12" s="122"/>
      <c r="U12" s="123"/>
      <c r="V12" s="25"/>
    </row>
    <row r="13" spans="1:22" s="26" customFormat="1" ht="14.4" customHeight="1" thickBot="1" x14ac:dyDescent="0.35">
      <c r="A13" s="112" t="s">
        <v>193</v>
      </c>
      <c r="B13" s="113"/>
      <c r="C13" s="113"/>
      <c r="D13" s="114"/>
      <c r="E13" s="115" t="s">
        <v>77</v>
      </c>
      <c r="F13" s="116"/>
      <c r="G13" s="116" t="s">
        <v>78</v>
      </c>
      <c r="H13" s="116"/>
      <c r="I13" s="116"/>
      <c r="J13" s="116"/>
      <c r="K13" s="125"/>
      <c r="L13" s="126" t="s">
        <v>79</v>
      </c>
      <c r="M13" s="127"/>
      <c r="N13" s="127"/>
      <c r="O13" s="127"/>
      <c r="P13" s="127"/>
      <c r="Q13" s="128"/>
      <c r="R13" s="121" t="s">
        <v>205</v>
      </c>
      <c r="S13" s="122"/>
      <c r="T13" s="122"/>
      <c r="U13" s="123"/>
      <c r="V13" s="25"/>
    </row>
    <row r="14" spans="1:22" s="26" customFormat="1" ht="13.8" x14ac:dyDescent="0.3">
      <c r="A14" s="112"/>
      <c r="B14" s="113"/>
      <c r="C14" s="113"/>
      <c r="D14" s="114"/>
      <c r="E14" s="115" t="s">
        <v>80</v>
      </c>
      <c r="F14" s="116"/>
      <c r="G14" s="116">
        <v>250655</v>
      </c>
      <c r="H14" s="116"/>
      <c r="I14" s="116"/>
      <c r="J14" s="116"/>
      <c r="K14" s="117"/>
      <c r="L14" s="118"/>
      <c r="M14" s="119"/>
      <c r="N14" s="119"/>
      <c r="O14" s="119"/>
      <c r="P14" s="119"/>
      <c r="Q14" s="120"/>
      <c r="R14" s="121"/>
      <c r="S14" s="122"/>
      <c r="T14" s="122"/>
      <c r="U14" s="123"/>
      <c r="V14" s="25"/>
    </row>
    <row r="15" spans="1:22" s="26" customFormat="1" ht="13.8" x14ac:dyDescent="0.3">
      <c r="A15" s="112"/>
      <c r="B15" s="113"/>
      <c r="C15" s="113"/>
      <c r="D15" s="114"/>
      <c r="E15" s="115" t="s">
        <v>81</v>
      </c>
      <c r="F15" s="116"/>
      <c r="G15" s="116" t="s">
        <v>82</v>
      </c>
      <c r="H15" s="116"/>
      <c r="I15" s="116"/>
      <c r="J15" s="116"/>
      <c r="K15" s="117"/>
      <c r="L15" s="124" t="s">
        <v>83</v>
      </c>
      <c r="M15" s="122"/>
      <c r="N15" s="122"/>
      <c r="O15" s="122"/>
      <c r="P15" s="122"/>
      <c r="Q15" s="123"/>
      <c r="R15" s="121"/>
      <c r="S15" s="122"/>
      <c r="T15" s="122"/>
      <c r="U15" s="123"/>
      <c r="V15" s="25"/>
    </row>
    <row r="16" spans="1:22" s="26" customFormat="1" thickBot="1" x14ac:dyDescent="0.35">
      <c r="A16" s="100"/>
      <c r="B16" s="101"/>
      <c r="C16" s="101"/>
      <c r="D16" s="102"/>
      <c r="E16" s="103"/>
      <c r="F16" s="104"/>
      <c r="G16" s="104"/>
      <c r="H16" s="104"/>
      <c r="I16" s="104"/>
      <c r="J16" s="104"/>
      <c r="K16" s="105"/>
      <c r="L16" s="106"/>
      <c r="M16" s="107"/>
      <c r="N16" s="107"/>
      <c r="O16" s="107"/>
      <c r="P16" s="107"/>
      <c r="Q16" s="108"/>
      <c r="R16" s="109"/>
      <c r="S16" s="107"/>
      <c r="T16" s="107"/>
      <c r="U16" s="108"/>
      <c r="V16" s="25"/>
    </row>
    <row r="17" spans="1:22" ht="15" thickBot="1" x14ac:dyDescent="0.35">
      <c r="A17" s="23"/>
      <c r="B17" s="23"/>
      <c r="C17" s="23"/>
      <c r="D17" s="23"/>
      <c r="E17" s="22"/>
      <c r="F17" s="23"/>
      <c r="G17" s="23"/>
      <c r="H17" s="23"/>
      <c r="I17" s="23"/>
      <c r="J17" s="23"/>
      <c r="K17" s="110"/>
      <c r="L17" s="110"/>
      <c r="M17" s="110"/>
      <c r="N17" s="110"/>
      <c r="O17" s="110"/>
      <c r="P17" s="110"/>
      <c r="Q17" s="110"/>
      <c r="R17" s="110"/>
      <c r="S17" s="23"/>
      <c r="T17" s="23"/>
      <c r="U17" s="111"/>
      <c r="V17" s="111"/>
    </row>
    <row r="18" spans="1:22" ht="15" thickBot="1" x14ac:dyDescent="0.35">
      <c r="A18" s="80" t="s">
        <v>84</v>
      </c>
      <c r="B18" s="81"/>
      <c r="C18" s="82"/>
      <c r="D18" s="83" t="s">
        <v>85</v>
      </c>
      <c r="E18" s="81"/>
      <c r="F18" s="82"/>
      <c r="G18" s="83" t="s">
        <v>86</v>
      </c>
      <c r="H18" s="81"/>
      <c r="I18" s="81"/>
      <c r="J18" s="81"/>
      <c r="K18" s="81"/>
      <c r="L18" s="81"/>
      <c r="M18" s="82"/>
      <c r="N18" s="83" t="s">
        <v>87</v>
      </c>
      <c r="O18" s="81"/>
      <c r="P18" s="81"/>
      <c r="Q18" s="81"/>
      <c r="R18" s="81"/>
      <c r="S18" s="81"/>
      <c r="T18" s="81"/>
      <c r="U18" s="82"/>
      <c r="V18" s="23"/>
    </row>
    <row r="19" spans="1:22" ht="15" thickBot="1" x14ac:dyDescent="0.35">
      <c r="A19" s="80"/>
      <c r="B19" s="81"/>
      <c r="C19" s="82"/>
      <c r="D19" s="95">
        <f>P4</f>
        <v>46157</v>
      </c>
      <c r="E19" s="81"/>
      <c r="F19" s="82"/>
      <c r="G19" s="83" t="s">
        <v>88</v>
      </c>
      <c r="H19" s="81"/>
      <c r="I19" s="81"/>
      <c r="J19" s="81"/>
      <c r="K19" s="81"/>
      <c r="L19" s="81"/>
      <c r="M19" s="82"/>
      <c r="N19" s="83"/>
      <c r="O19" s="81"/>
      <c r="P19" s="81"/>
      <c r="Q19" s="81"/>
      <c r="R19" s="81"/>
      <c r="S19" s="81"/>
      <c r="T19" s="81"/>
      <c r="U19" s="82"/>
      <c r="V19" s="23"/>
    </row>
    <row r="20" spans="1:22" ht="15" thickBot="1" x14ac:dyDescent="0.35">
      <c r="A20" s="96" t="s">
        <v>89</v>
      </c>
      <c r="B20" s="97"/>
      <c r="C20" s="98"/>
      <c r="D20" s="99" t="s">
        <v>90</v>
      </c>
      <c r="E20" s="97"/>
      <c r="F20" s="97"/>
      <c r="G20" s="97"/>
      <c r="H20" s="97"/>
      <c r="I20" s="97"/>
      <c r="J20" s="97"/>
      <c r="K20" s="97"/>
      <c r="L20" s="97"/>
      <c r="M20" s="98"/>
      <c r="N20" s="99" t="s">
        <v>91</v>
      </c>
      <c r="O20" s="98"/>
      <c r="P20" s="99" t="s">
        <v>92</v>
      </c>
      <c r="Q20" s="97"/>
      <c r="R20" s="97"/>
      <c r="S20" s="97"/>
      <c r="T20" s="97"/>
      <c r="U20" s="98"/>
      <c r="V20" s="23"/>
    </row>
    <row r="21" spans="1:22" ht="15" customHeight="1" x14ac:dyDescent="0.3">
      <c r="A21" s="84"/>
      <c r="B21" s="85"/>
      <c r="C21" s="86"/>
      <c r="D21" s="87" t="s">
        <v>201</v>
      </c>
      <c r="E21" s="88"/>
      <c r="F21" s="88"/>
      <c r="G21" s="88"/>
      <c r="H21" s="88"/>
      <c r="I21" s="88"/>
      <c r="J21" s="88"/>
      <c r="K21" s="88"/>
      <c r="L21" s="88"/>
      <c r="M21" s="89"/>
      <c r="N21" s="90">
        <v>2</v>
      </c>
      <c r="O21" s="91"/>
      <c r="P21" s="92"/>
      <c r="Q21" s="93"/>
      <c r="R21" s="93"/>
      <c r="S21" s="93"/>
      <c r="T21" s="93"/>
      <c r="U21" s="94"/>
      <c r="V21" s="23"/>
    </row>
    <row r="22" spans="1:22" ht="15" customHeight="1" x14ac:dyDescent="0.3">
      <c r="A22" s="67"/>
      <c r="B22" s="68"/>
      <c r="C22" s="69"/>
      <c r="D22" s="74"/>
      <c r="E22" s="75"/>
      <c r="F22" s="75"/>
      <c r="G22" s="75"/>
      <c r="H22" s="75"/>
      <c r="I22" s="75"/>
      <c r="J22" s="75"/>
      <c r="K22" s="75"/>
      <c r="L22" s="75"/>
      <c r="M22" s="76"/>
      <c r="N22" s="49"/>
      <c r="O22" s="50"/>
      <c r="P22" s="43"/>
      <c r="Q22" s="44"/>
      <c r="R22" s="44"/>
      <c r="S22" s="44"/>
      <c r="T22" s="44"/>
      <c r="U22" s="51"/>
      <c r="V22" s="23"/>
    </row>
    <row r="23" spans="1:22" ht="14.4" customHeight="1" x14ac:dyDescent="0.3">
      <c r="A23" s="67"/>
      <c r="B23" s="68"/>
      <c r="C23" s="69"/>
      <c r="D23" s="77" t="s">
        <v>202</v>
      </c>
      <c r="E23" s="78"/>
      <c r="F23" s="78"/>
      <c r="G23" s="78"/>
      <c r="H23" s="78"/>
      <c r="I23" s="78"/>
      <c r="J23" s="78"/>
      <c r="K23" s="78"/>
      <c r="L23" s="78"/>
      <c r="M23" s="79"/>
      <c r="N23" s="49"/>
      <c r="O23" s="50"/>
      <c r="P23" s="43"/>
      <c r="Q23" s="44"/>
      <c r="R23" s="44"/>
      <c r="S23" s="44"/>
      <c r="T23" s="44"/>
      <c r="U23" s="51"/>
      <c r="V23" s="23"/>
    </row>
    <row r="24" spans="1:22" ht="14.4" customHeight="1" x14ac:dyDescent="0.3">
      <c r="A24" s="67"/>
      <c r="B24" s="68"/>
      <c r="C24" s="69"/>
      <c r="D24" s="74"/>
      <c r="E24" s="75"/>
      <c r="F24" s="75"/>
      <c r="G24" s="75"/>
      <c r="H24" s="75"/>
      <c r="I24" s="75"/>
      <c r="J24" s="75"/>
      <c r="K24" s="75"/>
      <c r="L24" s="75"/>
      <c r="M24" s="76"/>
      <c r="N24" s="49"/>
      <c r="O24" s="50"/>
      <c r="P24" s="43"/>
      <c r="Q24" s="44"/>
      <c r="R24" s="44"/>
      <c r="S24" s="44"/>
      <c r="T24" s="44"/>
      <c r="U24" s="51"/>
      <c r="V24" s="23"/>
    </row>
    <row r="25" spans="1:22" ht="14.4" customHeight="1" x14ac:dyDescent="0.3">
      <c r="A25" s="43"/>
      <c r="B25" s="44"/>
      <c r="C25" s="45"/>
      <c r="D25" s="74" t="s">
        <v>203</v>
      </c>
      <c r="E25" s="75"/>
      <c r="F25" s="75"/>
      <c r="G25" s="75"/>
      <c r="H25" s="75"/>
      <c r="I25" s="75"/>
      <c r="J25" s="75"/>
      <c r="K25" s="75"/>
      <c r="L25" s="75"/>
      <c r="M25" s="76"/>
      <c r="N25" s="49"/>
      <c r="O25" s="50"/>
      <c r="P25" s="43"/>
      <c r="Q25" s="44"/>
      <c r="R25" s="44"/>
      <c r="S25" s="44"/>
      <c r="T25" s="44"/>
      <c r="U25" s="51"/>
      <c r="V25" s="23"/>
    </row>
    <row r="26" spans="1:22" ht="15" customHeight="1" x14ac:dyDescent="0.3">
      <c r="A26" s="43"/>
      <c r="B26" s="44"/>
      <c r="C26" s="45"/>
      <c r="D26" s="46"/>
      <c r="E26" s="47"/>
      <c r="F26" s="47"/>
      <c r="G26" s="47"/>
      <c r="H26" s="47"/>
      <c r="I26" s="47"/>
      <c r="J26" s="47"/>
      <c r="K26" s="47"/>
      <c r="L26" s="47"/>
      <c r="M26" s="48"/>
      <c r="N26" s="49"/>
      <c r="O26" s="50"/>
      <c r="P26" s="43"/>
      <c r="Q26" s="44"/>
      <c r="R26" s="44"/>
      <c r="S26" s="44"/>
      <c r="T26" s="44"/>
      <c r="U26" s="51"/>
      <c r="V26" s="23"/>
    </row>
    <row r="27" spans="1:22" x14ac:dyDescent="0.3">
      <c r="A27" s="43"/>
      <c r="B27" s="44"/>
      <c r="C27" s="45"/>
      <c r="D27" s="138" t="s">
        <v>204</v>
      </c>
      <c r="E27" s="139"/>
      <c r="F27" s="139"/>
      <c r="G27" s="139"/>
      <c r="H27" s="139"/>
      <c r="I27" s="139"/>
      <c r="J27" s="139"/>
      <c r="K27" s="139"/>
      <c r="L27" s="139"/>
      <c r="M27" s="140"/>
      <c r="N27" s="49"/>
      <c r="O27" s="50"/>
      <c r="P27" s="43"/>
      <c r="Q27" s="44"/>
      <c r="R27" s="44"/>
      <c r="S27" s="44"/>
      <c r="T27" s="44"/>
      <c r="U27" s="51"/>
      <c r="V27" s="23"/>
    </row>
    <row r="28" spans="1:22" x14ac:dyDescent="0.3">
      <c r="A28" s="67"/>
      <c r="B28" s="68"/>
      <c r="C28" s="69"/>
      <c r="D28" s="70"/>
      <c r="E28" s="71"/>
      <c r="F28" s="71"/>
      <c r="G28" s="71"/>
      <c r="H28" s="71"/>
      <c r="I28" s="71"/>
      <c r="J28" s="71"/>
      <c r="K28" s="71"/>
      <c r="L28" s="71"/>
      <c r="M28" s="72"/>
      <c r="N28" s="49"/>
      <c r="O28" s="50"/>
      <c r="P28" s="67"/>
      <c r="Q28" s="68"/>
      <c r="R28" s="68"/>
      <c r="S28" s="68"/>
      <c r="T28" s="68"/>
      <c r="U28" s="73"/>
      <c r="V28" s="23"/>
    </row>
    <row r="29" spans="1:22" x14ac:dyDescent="0.3">
      <c r="A29" s="43"/>
      <c r="B29" s="44"/>
      <c r="C29" s="45"/>
      <c r="D29" s="46"/>
      <c r="E29" s="47"/>
      <c r="F29" s="47"/>
      <c r="G29" s="47"/>
      <c r="H29" s="47"/>
      <c r="I29" s="47"/>
      <c r="J29" s="47"/>
      <c r="K29" s="47"/>
      <c r="L29" s="47"/>
      <c r="M29" s="48"/>
      <c r="N29" s="49"/>
      <c r="O29" s="50"/>
      <c r="P29" s="43"/>
      <c r="Q29" s="44"/>
      <c r="R29" s="44"/>
      <c r="S29" s="44"/>
      <c r="T29" s="44"/>
      <c r="U29" s="51"/>
      <c r="V29" s="23"/>
    </row>
    <row r="30" spans="1:22" x14ac:dyDescent="0.3">
      <c r="A30" s="43"/>
      <c r="B30" s="44"/>
      <c r="C30" s="45"/>
      <c r="D30" s="46"/>
      <c r="E30" s="47"/>
      <c r="F30" s="47"/>
      <c r="G30" s="47"/>
      <c r="H30" s="47"/>
      <c r="I30" s="47"/>
      <c r="J30" s="47"/>
      <c r="K30" s="47"/>
      <c r="L30" s="47"/>
      <c r="M30" s="48"/>
      <c r="N30" s="49"/>
      <c r="O30" s="50"/>
      <c r="P30" s="43"/>
      <c r="Q30" s="44"/>
      <c r="R30" s="44"/>
      <c r="S30" s="44"/>
      <c r="T30" s="44"/>
      <c r="U30" s="51"/>
      <c r="V30" s="23"/>
    </row>
    <row r="31" spans="1:22" x14ac:dyDescent="0.3">
      <c r="A31" s="43"/>
      <c r="B31" s="44"/>
      <c r="C31" s="45"/>
      <c r="D31" s="46"/>
      <c r="E31" s="47"/>
      <c r="F31" s="47"/>
      <c r="G31" s="47"/>
      <c r="H31" s="47"/>
      <c r="I31" s="47"/>
      <c r="J31" s="47"/>
      <c r="K31" s="47"/>
      <c r="L31" s="47"/>
      <c r="M31" s="48"/>
      <c r="N31" s="49"/>
      <c r="O31" s="50"/>
      <c r="P31" s="43"/>
      <c r="Q31" s="44"/>
      <c r="R31" s="44"/>
      <c r="S31" s="44"/>
      <c r="T31" s="44"/>
      <c r="U31" s="51"/>
      <c r="V31" s="23"/>
    </row>
    <row r="32" spans="1:22" x14ac:dyDescent="0.3">
      <c r="A32" s="43"/>
      <c r="B32" s="44"/>
      <c r="C32" s="45"/>
      <c r="D32" s="46"/>
      <c r="E32" s="47"/>
      <c r="F32" s="47"/>
      <c r="G32" s="47"/>
      <c r="H32" s="47"/>
      <c r="I32" s="47"/>
      <c r="J32" s="47"/>
      <c r="K32" s="47"/>
      <c r="L32" s="47"/>
      <c r="M32" s="48"/>
      <c r="N32" s="49"/>
      <c r="O32" s="50"/>
      <c r="P32" s="43"/>
      <c r="Q32" s="44"/>
      <c r="R32" s="44"/>
      <c r="S32" s="44"/>
      <c r="T32" s="44"/>
      <c r="U32" s="51"/>
      <c r="V32" s="23"/>
    </row>
    <row r="33" spans="1:22" x14ac:dyDescent="0.3">
      <c r="A33" s="43"/>
      <c r="B33" s="44"/>
      <c r="C33" s="45"/>
      <c r="D33" s="46"/>
      <c r="E33" s="47"/>
      <c r="F33" s="47"/>
      <c r="G33" s="47"/>
      <c r="H33" s="47"/>
      <c r="I33" s="47"/>
      <c r="J33" s="47"/>
      <c r="K33" s="47"/>
      <c r="L33" s="47"/>
      <c r="M33" s="48"/>
      <c r="N33" s="49"/>
      <c r="O33" s="50"/>
      <c r="P33" s="43"/>
      <c r="Q33" s="44"/>
      <c r="R33" s="44"/>
      <c r="S33" s="44"/>
      <c r="T33" s="44"/>
      <c r="U33" s="51"/>
      <c r="V33" s="23"/>
    </row>
    <row r="34" spans="1:22" x14ac:dyDescent="0.3">
      <c r="A34" s="43"/>
      <c r="B34" s="44"/>
      <c r="C34" s="45"/>
      <c r="D34" s="46"/>
      <c r="E34" s="47"/>
      <c r="F34" s="47"/>
      <c r="G34" s="47"/>
      <c r="H34" s="47"/>
      <c r="I34" s="47"/>
      <c r="J34" s="47"/>
      <c r="K34" s="47"/>
      <c r="L34" s="47"/>
      <c r="M34" s="48"/>
      <c r="N34" s="49"/>
      <c r="O34" s="50"/>
      <c r="P34" s="43"/>
      <c r="Q34" s="44"/>
      <c r="R34" s="44"/>
      <c r="S34" s="44"/>
      <c r="T34" s="44"/>
      <c r="U34" s="51"/>
      <c r="V34" s="23"/>
    </row>
    <row r="35" spans="1:22" x14ac:dyDescent="0.3">
      <c r="A35" s="43"/>
      <c r="B35" s="44"/>
      <c r="C35" s="45"/>
      <c r="D35" s="46"/>
      <c r="E35" s="47"/>
      <c r="F35" s="47"/>
      <c r="G35" s="47"/>
      <c r="H35" s="47"/>
      <c r="I35" s="47"/>
      <c r="J35" s="47"/>
      <c r="K35" s="47"/>
      <c r="L35" s="47"/>
      <c r="M35" s="48"/>
      <c r="N35" s="49"/>
      <c r="O35" s="50"/>
      <c r="P35" s="43"/>
      <c r="Q35" s="44"/>
      <c r="R35" s="44"/>
      <c r="S35" s="44"/>
      <c r="T35" s="44"/>
      <c r="U35" s="51"/>
      <c r="V35" s="23"/>
    </row>
    <row r="36" spans="1:22" x14ac:dyDescent="0.3">
      <c r="A36" s="43"/>
      <c r="B36" s="44"/>
      <c r="C36" s="45"/>
      <c r="D36" s="46"/>
      <c r="E36" s="47"/>
      <c r="F36" s="47"/>
      <c r="G36" s="47"/>
      <c r="H36" s="47"/>
      <c r="I36" s="47"/>
      <c r="J36" s="47"/>
      <c r="K36" s="47"/>
      <c r="L36" s="47"/>
      <c r="M36" s="48"/>
      <c r="N36" s="49"/>
      <c r="O36" s="50"/>
      <c r="P36" s="43"/>
      <c r="Q36" s="44"/>
      <c r="R36" s="44"/>
      <c r="S36" s="44"/>
      <c r="T36" s="44"/>
      <c r="U36" s="51"/>
      <c r="V36" s="23"/>
    </row>
    <row r="37" spans="1:22" x14ac:dyDescent="0.3">
      <c r="A37" s="43"/>
      <c r="B37" s="44"/>
      <c r="C37" s="45"/>
      <c r="D37" s="46"/>
      <c r="E37" s="47"/>
      <c r="F37" s="47"/>
      <c r="G37" s="47"/>
      <c r="H37" s="47"/>
      <c r="I37" s="47"/>
      <c r="J37" s="47"/>
      <c r="K37" s="47"/>
      <c r="L37" s="47"/>
      <c r="M37" s="48"/>
      <c r="N37" s="49"/>
      <c r="O37" s="50"/>
      <c r="P37" s="43"/>
      <c r="Q37" s="44"/>
      <c r="R37" s="44"/>
      <c r="S37" s="44"/>
      <c r="T37" s="44"/>
      <c r="U37" s="51"/>
      <c r="V37" s="23"/>
    </row>
    <row r="38" spans="1:22" x14ac:dyDescent="0.3">
      <c r="A38" s="43"/>
      <c r="B38" s="44"/>
      <c r="C38" s="45"/>
      <c r="D38" s="46"/>
      <c r="E38" s="47"/>
      <c r="F38" s="47"/>
      <c r="G38" s="47"/>
      <c r="H38" s="47"/>
      <c r="I38" s="47"/>
      <c r="J38" s="47"/>
      <c r="K38" s="47"/>
      <c r="L38" s="47"/>
      <c r="M38" s="48"/>
      <c r="N38" s="49"/>
      <c r="O38" s="50"/>
      <c r="P38" s="43"/>
      <c r="Q38" s="44"/>
      <c r="R38" s="44"/>
      <c r="S38" s="44"/>
      <c r="T38" s="44"/>
      <c r="U38" s="51"/>
      <c r="V38" s="23"/>
    </row>
    <row r="39" spans="1:22" ht="15" thickBot="1" x14ac:dyDescent="0.35">
      <c r="A39" s="61"/>
      <c r="B39" s="62"/>
      <c r="C39" s="63"/>
      <c r="D39" s="46"/>
      <c r="E39" s="47"/>
      <c r="F39" s="47"/>
      <c r="G39" s="47"/>
      <c r="H39" s="47"/>
      <c r="I39" s="47"/>
      <c r="J39" s="47"/>
      <c r="K39" s="47"/>
      <c r="L39" s="47"/>
      <c r="M39" s="48"/>
      <c r="N39" s="64"/>
      <c r="O39" s="65"/>
      <c r="P39" s="61"/>
      <c r="Q39" s="62"/>
      <c r="R39" s="62"/>
      <c r="S39" s="62"/>
      <c r="T39" s="62"/>
      <c r="U39" s="66"/>
      <c r="V39" s="23"/>
    </row>
    <row r="40" spans="1:22" x14ac:dyDescent="0.3">
      <c r="A40" s="53" t="s">
        <v>93</v>
      </c>
      <c r="B40" s="54"/>
      <c r="C40" s="54"/>
      <c r="D40" s="54"/>
      <c r="E40" s="54"/>
      <c r="F40" s="55"/>
      <c r="G40" s="59" t="s">
        <v>94</v>
      </c>
      <c r="H40" s="54"/>
      <c r="I40" s="54"/>
      <c r="J40" s="54"/>
      <c r="K40" s="54"/>
      <c r="L40" s="54"/>
      <c r="M40" s="55"/>
      <c r="N40" s="59" t="s">
        <v>95</v>
      </c>
      <c r="O40" s="54"/>
      <c r="P40" s="54"/>
      <c r="Q40" s="54"/>
      <c r="R40" s="54"/>
      <c r="S40" s="54"/>
      <c r="T40" s="54"/>
      <c r="U40" s="55"/>
      <c r="V40" s="23"/>
    </row>
    <row r="41" spans="1:22" x14ac:dyDescent="0.3">
      <c r="A41" s="53"/>
      <c r="B41" s="54"/>
      <c r="C41" s="54"/>
      <c r="D41" s="54"/>
      <c r="E41" s="54"/>
      <c r="F41" s="55"/>
      <c r="G41" s="59"/>
      <c r="H41" s="54"/>
      <c r="I41" s="54"/>
      <c r="J41" s="54"/>
      <c r="K41" s="54"/>
      <c r="L41" s="54"/>
      <c r="M41" s="55"/>
      <c r="N41" s="59"/>
      <c r="O41" s="54"/>
      <c r="P41" s="54"/>
      <c r="Q41" s="54"/>
      <c r="R41" s="54"/>
      <c r="S41" s="54"/>
      <c r="T41" s="54"/>
      <c r="U41" s="55"/>
      <c r="V41" s="21"/>
    </row>
    <row r="42" spans="1:22" ht="15" thickBot="1" x14ac:dyDescent="0.35">
      <c r="A42" s="56"/>
      <c r="B42" s="57"/>
      <c r="C42" s="57"/>
      <c r="D42" s="57"/>
      <c r="E42" s="57"/>
      <c r="F42" s="58"/>
      <c r="G42" s="60"/>
      <c r="H42" s="57"/>
      <c r="I42" s="57"/>
      <c r="J42" s="57"/>
      <c r="K42" s="57"/>
      <c r="L42" s="57"/>
      <c r="M42" s="58"/>
      <c r="N42" s="60"/>
      <c r="O42" s="57"/>
      <c r="P42" s="57"/>
      <c r="Q42" s="57"/>
      <c r="R42" s="57"/>
      <c r="S42" s="57"/>
      <c r="T42" s="57"/>
      <c r="U42" s="58"/>
      <c r="V42" s="21"/>
    </row>
    <row r="43" spans="1:22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</row>
    <row r="44" spans="1:22" x14ac:dyDescent="0.3">
      <c r="A44" s="22"/>
    </row>
  </sheetData>
  <mergeCells count="141">
    <mergeCell ref="A2:M4"/>
    <mergeCell ref="N2:U2"/>
    <mergeCell ref="N3:U3"/>
    <mergeCell ref="N4:O4"/>
    <mergeCell ref="P4:U4"/>
    <mergeCell ref="P27:U27"/>
    <mergeCell ref="N27:O27"/>
    <mergeCell ref="D27:M27"/>
    <mergeCell ref="A27:C27"/>
    <mergeCell ref="P26:U26"/>
    <mergeCell ref="N26:O26"/>
    <mergeCell ref="D26:M26"/>
    <mergeCell ref="A26:C26"/>
    <mergeCell ref="A9:D9"/>
    <mergeCell ref="E9:K9"/>
    <mergeCell ref="L9:Q9"/>
    <mergeCell ref="R9:U9"/>
    <mergeCell ref="A10:D10"/>
    <mergeCell ref="E10:F10"/>
    <mergeCell ref="G10:K10"/>
    <mergeCell ref="L10:Q10"/>
    <mergeCell ref="R10:U10"/>
    <mergeCell ref="A11:D11"/>
    <mergeCell ref="E11:F11"/>
    <mergeCell ref="G11:K11"/>
    <mergeCell ref="L11:Q11"/>
    <mergeCell ref="R11:U11"/>
    <mergeCell ref="A12:D12"/>
    <mergeCell ref="E12:F12"/>
    <mergeCell ref="G12:K12"/>
    <mergeCell ref="L12:Q12"/>
    <mergeCell ref="R12:U12"/>
    <mergeCell ref="A13:D13"/>
    <mergeCell ref="E13:F13"/>
    <mergeCell ref="G13:K13"/>
    <mergeCell ref="L13:Q13"/>
    <mergeCell ref="R13:U13"/>
    <mergeCell ref="A14:D14"/>
    <mergeCell ref="E14:F14"/>
    <mergeCell ref="G14:K14"/>
    <mergeCell ref="L14:Q14"/>
    <mergeCell ref="R14:U14"/>
    <mergeCell ref="A15:D15"/>
    <mergeCell ref="E15:F15"/>
    <mergeCell ref="G15:K15"/>
    <mergeCell ref="L15:Q15"/>
    <mergeCell ref="R15:U15"/>
    <mergeCell ref="A20:C20"/>
    <mergeCell ref="D20:M20"/>
    <mergeCell ref="N20:O20"/>
    <mergeCell ref="P20:U20"/>
    <mergeCell ref="A16:D16"/>
    <mergeCell ref="E16:F16"/>
    <mergeCell ref="G16:K16"/>
    <mergeCell ref="L16:Q16"/>
    <mergeCell ref="R16:U16"/>
    <mergeCell ref="K17:L17"/>
    <mergeCell ref="M17:N17"/>
    <mergeCell ref="O17:P17"/>
    <mergeCell ref="Q17:R17"/>
    <mergeCell ref="U17:V17"/>
    <mergeCell ref="A23:C23"/>
    <mergeCell ref="D23:M23"/>
    <mergeCell ref="N23:O23"/>
    <mergeCell ref="P23:U23"/>
    <mergeCell ref="A24:C24"/>
    <mergeCell ref="D24:M24"/>
    <mergeCell ref="N24:O24"/>
    <mergeCell ref="P24:U24"/>
    <mergeCell ref="A18:C18"/>
    <mergeCell ref="D18:F18"/>
    <mergeCell ref="G18:M18"/>
    <mergeCell ref="N18:U18"/>
    <mergeCell ref="A21:C21"/>
    <mergeCell ref="D21:M21"/>
    <mergeCell ref="N21:O21"/>
    <mergeCell ref="P21:U21"/>
    <mergeCell ref="A22:C22"/>
    <mergeCell ref="D22:M22"/>
    <mergeCell ref="N22:O22"/>
    <mergeCell ref="P22:U22"/>
    <mergeCell ref="A19:C19"/>
    <mergeCell ref="D19:F19"/>
    <mergeCell ref="G19:M19"/>
    <mergeCell ref="N19:U19"/>
    <mergeCell ref="A28:C28"/>
    <mergeCell ref="D28:M28"/>
    <mergeCell ref="N28:O28"/>
    <mergeCell ref="P28:U28"/>
    <mergeCell ref="A31:C31"/>
    <mergeCell ref="D31:M31"/>
    <mergeCell ref="N31:O31"/>
    <mergeCell ref="P31:U31"/>
    <mergeCell ref="A25:C25"/>
    <mergeCell ref="D25:M25"/>
    <mergeCell ref="N25:O25"/>
    <mergeCell ref="P25:U25"/>
    <mergeCell ref="A5:M7"/>
    <mergeCell ref="A40:F42"/>
    <mergeCell ref="G40:M42"/>
    <mergeCell ref="N40:U42"/>
    <mergeCell ref="A38:C38"/>
    <mergeCell ref="D38:M38"/>
    <mergeCell ref="N38:O38"/>
    <mergeCell ref="P38:U38"/>
    <mergeCell ref="A39:C39"/>
    <mergeCell ref="D39:M39"/>
    <mergeCell ref="N39:O39"/>
    <mergeCell ref="P39:U39"/>
    <mergeCell ref="A32:C32"/>
    <mergeCell ref="D32:M32"/>
    <mergeCell ref="N32:O32"/>
    <mergeCell ref="P32:U32"/>
    <mergeCell ref="A30:C30"/>
    <mergeCell ref="D30:M30"/>
    <mergeCell ref="N30:O30"/>
    <mergeCell ref="P30:U30"/>
    <mergeCell ref="A29:C29"/>
    <mergeCell ref="D29:M29"/>
    <mergeCell ref="N29:O29"/>
    <mergeCell ref="P29:U29"/>
    <mergeCell ref="A36:C36"/>
    <mergeCell ref="D36:M36"/>
    <mergeCell ref="N36:O36"/>
    <mergeCell ref="P36:U36"/>
    <mergeCell ref="A37:C37"/>
    <mergeCell ref="D37:M37"/>
    <mergeCell ref="N37:O37"/>
    <mergeCell ref="P37:U37"/>
    <mergeCell ref="A33:C33"/>
    <mergeCell ref="D33:M33"/>
    <mergeCell ref="N33:O33"/>
    <mergeCell ref="P33:U33"/>
    <mergeCell ref="A34:C34"/>
    <mergeCell ref="D34:M34"/>
    <mergeCell ref="N34:O34"/>
    <mergeCell ref="P34:U34"/>
    <mergeCell ref="A35:C35"/>
    <mergeCell ref="D35:M35"/>
    <mergeCell ref="N35:O35"/>
    <mergeCell ref="P35:U35"/>
  </mergeCells>
  <phoneticPr fontId="12" type="noConversion"/>
  <printOptions horizontalCentered="1"/>
  <pageMargins left="0.43307086614173229" right="0.23622047244094491" top="0.35433070866141736" bottom="0.74803149606299213" header="0.31496062992125984" footer="0.31496062992125984"/>
  <pageSetup paperSize="9" scale="7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6C6AD-1E0E-4766-8C33-5BCAE2B3CA78}">
  <sheetPr>
    <pageSetUpPr fitToPage="1"/>
  </sheetPr>
  <dimension ref="A1:V44"/>
  <sheetViews>
    <sheetView topLeftCell="A14" zoomScaleNormal="100" workbookViewId="0">
      <selection activeCell="N26" sqref="N26:O26"/>
    </sheetView>
  </sheetViews>
  <sheetFormatPr defaultRowHeight="14.4" x14ac:dyDescent="0.3"/>
  <cols>
    <col min="14" max="21" width="6.88671875" customWidth="1"/>
  </cols>
  <sheetData>
    <row r="1" spans="1:22" ht="15" thickBot="1" x14ac:dyDescent="0.35">
      <c r="A1" s="22"/>
      <c r="T1" s="31" t="s">
        <v>105</v>
      </c>
      <c r="U1" s="31">
        <v>1</v>
      </c>
    </row>
    <row r="2" spans="1:22" ht="21.6" thickBot="1" x14ac:dyDescent="0.35">
      <c r="A2" s="52" t="e" vm="1">
        <v>#VALUE!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129"/>
      <c r="N2" s="130" t="s">
        <v>64</v>
      </c>
      <c r="O2" s="131"/>
      <c r="P2" s="131"/>
      <c r="Q2" s="131"/>
      <c r="R2" s="131"/>
      <c r="S2" s="131"/>
      <c r="T2" s="131"/>
      <c r="U2" s="132"/>
      <c r="V2" s="23"/>
    </row>
    <row r="3" spans="1:22" ht="21.6" customHeight="1" thickBot="1" x14ac:dyDescent="0.3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129"/>
      <c r="N3" s="130" t="s">
        <v>122</v>
      </c>
      <c r="O3" s="131"/>
      <c r="P3" s="131"/>
      <c r="Q3" s="131"/>
      <c r="R3" s="131"/>
      <c r="S3" s="131"/>
      <c r="T3" s="131"/>
      <c r="U3" s="132"/>
      <c r="V3" s="23"/>
    </row>
    <row r="4" spans="1:22" ht="15" thickBot="1" x14ac:dyDescent="0.35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129"/>
      <c r="N4" s="133" t="s">
        <v>65</v>
      </c>
      <c r="O4" s="134"/>
      <c r="P4" s="135">
        <v>46156</v>
      </c>
      <c r="Q4" s="136"/>
      <c r="R4" s="136"/>
      <c r="S4" s="136"/>
      <c r="T4" s="136"/>
      <c r="U4" s="137"/>
      <c r="V4" s="23"/>
    </row>
    <row r="5" spans="1:22" x14ac:dyDescent="0.3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28"/>
      <c r="O5" s="28"/>
      <c r="P5" s="29"/>
      <c r="Q5" s="29"/>
      <c r="R5" s="29"/>
      <c r="S5" s="27"/>
      <c r="T5" s="27"/>
      <c r="U5" s="27"/>
      <c r="V5" s="23"/>
    </row>
    <row r="6" spans="1:22" x14ac:dyDescent="0.3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28"/>
      <c r="O6" s="28"/>
      <c r="P6" s="27"/>
      <c r="Q6" s="27"/>
      <c r="R6" s="27"/>
      <c r="S6" s="27"/>
      <c r="T6" s="27"/>
      <c r="U6" s="27"/>
      <c r="V6" s="23"/>
    </row>
    <row r="7" spans="1:22" x14ac:dyDescent="0.3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28"/>
      <c r="O7" s="28"/>
      <c r="P7" s="27"/>
      <c r="Q7" s="27"/>
      <c r="R7" s="27"/>
      <c r="S7" s="27"/>
      <c r="T7" s="27"/>
      <c r="U7" s="27"/>
      <c r="V7" s="23"/>
    </row>
    <row r="8" spans="1:22" ht="15" customHeight="1" thickBot="1" x14ac:dyDescent="0.3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8"/>
      <c r="O8" s="28"/>
      <c r="P8" s="27"/>
      <c r="Q8" s="27"/>
      <c r="R8" s="27"/>
      <c r="S8" s="27"/>
      <c r="T8" s="27"/>
      <c r="U8" s="27"/>
      <c r="V8" s="23"/>
    </row>
    <row r="9" spans="1:22" ht="15" thickBot="1" x14ac:dyDescent="0.35">
      <c r="A9" s="80" t="s">
        <v>66</v>
      </c>
      <c r="B9" s="81"/>
      <c r="C9" s="81"/>
      <c r="D9" s="82"/>
      <c r="E9" s="83" t="s">
        <v>67</v>
      </c>
      <c r="F9" s="81"/>
      <c r="G9" s="81"/>
      <c r="H9" s="81"/>
      <c r="I9" s="81"/>
      <c r="J9" s="81"/>
      <c r="K9" s="82"/>
      <c r="L9" s="83" t="s">
        <v>68</v>
      </c>
      <c r="M9" s="81"/>
      <c r="N9" s="81"/>
      <c r="O9" s="81"/>
      <c r="P9" s="81"/>
      <c r="Q9" s="82"/>
      <c r="R9" s="83" t="s">
        <v>69</v>
      </c>
      <c r="S9" s="81"/>
      <c r="T9" s="81"/>
      <c r="U9" s="141"/>
      <c r="V9" s="23"/>
    </row>
    <row r="10" spans="1:22" s="26" customFormat="1" ht="13.8" x14ac:dyDescent="0.3">
      <c r="A10" s="87"/>
      <c r="B10" s="88"/>
      <c r="C10" s="88"/>
      <c r="D10" s="142"/>
      <c r="E10" s="143" t="s">
        <v>70</v>
      </c>
      <c r="F10" s="144"/>
      <c r="G10" s="144" t="s">
        <v>71</v>
      </c>
      <c r="H10" s="144"/>
      <c r="I10" s="144"/>
      <c r="J10" s="144"/>
      <c r="K10" s="145"/>
      <c r="L10" s="118"/>
      <c r="M10" s="119"/>
      <c r="N10" s="119"/>
      <c r="O10" s="119"/>
      <c r="P10" s="119"/>
      <c r="Q10" s="120"/>
      <c r="R10" s="146"/>
      <c r="S10" s="119"/>
      <c r="T10" s="119"/>
      <c r="U10" s="120"/>
      <c r="V10" s="25"/>
    </row>
    <row r="11" spans="1:22" s="26" customFormat="1" ht="13.8" customHeight="1" x14ac:dyDescent="0.3">
      <c r="A11" s="112" t="s">
        <v>103</v>
      </c>
      <c r="B11" s="113"/>
      <c r="C11" s="113"/>
      <c r="D11" s="114"/>
      <c r="E11" s="115" t="s">
        <v>72</v>
      </c>
      <c r="F11" s="116"/>
      <c r="G11" s="116" t="s">
        <v>73</v>
      </c>
      <c r="H11" s="116"/>
      <c r="I11" s="116"/>
      <c r="J11" s="116"/>
      <c r="K11" s="117"/>
      <c r="L11" s="124" t="s">
        <v>74</v>
      </c>
      <c r="M11" s="122"/>
      <c r="N11" s="122"/>
      <c r="O11" s="122"/>
      <c r="P11" s="122"/>
      <c r="Q11" s="123"/>
      <c r="R11" s="121"/>
      <c r="S11" s="122"/>
      <c r="T11" s="122"/>
      <c r="U11" s="123"/>
      <c r="V11" s="25"/>
    </row>
    <row r="12" spans="1:22" s="26" customFormat="1" thickBot="1" x14ac:dyDescent="0.35">
      <c r="A12" s="112" t="s">
        <v>75</v>
      </c>
      <c r="B12" s="113"/>
      <c r="C12" s="113"/>
      <c r="D12" s="114"/>
      <c r="E12" s="115" t="s">
        <v>76</v>
      </c>
      <c r="F12" s="116"/>
      <c r="G12" s="116">
        <v>62550053723</v>
      </c>
      <c r="H12" s="116"/>
      <c r="I12" s="116"/>
      <c r="J12" s="116"/>
      <c r="K12" s="117"/>
      <c r="L12" s="106"/>
      <c r="M12" s="107"/>
      <c r="N12" s="107"/>
      <c r="O12" s="107"/>
      <c r="P12" s="107"/>
      <c r="Q12" s="108"/>
      <c r="R12" s="121"/>
      <c r="S12" s="122"/>
      <c r="T12" s="122"/>
      <c r="U12" s="123"/>
      <c r="V12" s="25"/>
    </row>
    <row r="13" spans="1:22" s="26" customFormat="1" ht="14.4" customHeight="1" thickBot="1" x14ac:dyDescent="0.35">
      <c r="A13" s="112" t="s">
        <v>104</v>
      </c>
      <c r="B13" s="113"/>
      <c r="C13" s="113"/>
      <c r="D13" s="114"/>
      <c r="E13" s="115" t="s">
        <v>77</v>
      </c>
      <c r="F13" s="116"/>
      <c r="G13" s="116" t="s">
        <v>78</v>
      </c>
      <c r="H13" s="116"/>
      <c r="I13" s="116"/>
      <c r="J13" s="116"/>
      <c r="K13" s="125"/>
      <c r="L13" s="126" t="s">
        <v>79</v>
      </c>
      <c r="M13" s="127"/>
      <c r="N13" s="127"/>
      <c r="O13" s="127"/>
      <c r="P13" s="127"/>
      <c r="Q13" s="128"/>
      <c r="R13" s="121" t="s">
        <v>12</v>
      </c>
      <c r="S13" s="122"/>
      <c r="T13" s="122"/>
      <c r="U13" s="123"/>
      <c r="V13" s="25"/>
    </row>
    <row r="14" spans="1:22" s="26" customFormat="1" ht="13.8" x14ac:dyDescent="0.3">
      <c r="A14" s="112"/>
      <c r="B14" s="113"/>
      <c r="C14" s="113"/>
      <c r="D14" s="114"/>
      <c r="E14" s="115" t="s">
        <v>80</v>
      </c>
      <c r="F14" s="116"/>
      <c r="G14" s="116">
        <v>250655</v>
      </c>
      <c r="H14" s="116"/>
      <c r="I14" s="116"/>
      <c r="J14" s="116"/>
      <c r="K14" s="117"/>
      <c r="L14" s="118"/>
      <c r="M14" s="119"/>
      <c r="N14" s="119"/>
      <c r="O14" s="119"/>
      <c r="P14" s="119"/>
      <c r="Q14" s="120"/>
      <c r="R14" s="121"/>
      <c r="S14" s="122"/>
      <c r="T14" s="122"/>
      <c r="U14" s="123"/>
      <c r="V14" s="25"/>
    </row>
    <row r="15" spans="1:22" s="26" customFormat="1" ht="13.8" x14ac:dyDescent="0.3">
      <c r="A15" s="112"/>
      <c r="B15" s="113"/>
      <c r="C15" s="113"/>
      <c r="D15" s="114"/>
      <c r="E15" s="115" t="s">
        <v>81</v>
      </c>
      <c r="F15" s="116"/>
      <c r="G15" s="116" t="s">
        <v>82</v>
      </c>
      <c r="H15" s="116"/>
      <c r="I15" s="116"/>
      <c r="J15" s="116"/>
      <c r="K15" s="117"/>
      <c r="L15" s="124" t="s">
        <v>83</v>
      </c>
      <c r="M15" s="122"/>
      <c r="N15" s="122"/>
      <c r="O15" s="122"/>
      <c r="P15" s="122"/>
      <c r="Q15" s="123"/>
      <c r="R15" s="121"/>
      <c r="S15" s="122"/>
      <c r="T15" s="122"/>
      <c r="U15" s="123"/>
      <c r="V15" s="25"/>
    </row>
    <row r="16" spans="1:22" s="26" customFormat="1" thickBot="1" x14ac:dyDescent="0.35">
      <c r="A16" s="100"/>
      <c r="B16" s="101"/>
      <c r="C16" s="101"/>
      <c r="D16" s="102"/>
      <c r="E16" s="103"/>
      <c r="F16" s="104"/>
      <c r="G16" s="104"/>
      <c r="H16" s="104"/>
      <c r="I16" s="104"/>
      <c r="J16" s="104"/>
      <c r="K16" s="105"/>
      <c r="L16" s="106"/>
      <c r="M16" s="107"/>
      <c r="N16" s="107"/>
      <c r="O16" s="107"/>
      <c r="P16" s="107"/>
      <c r="Q16" s="108"/>
      <c r="R16" s="109"/>
      <c r="S16" s="107"/>
      <c r="T16" s="107"/>
      <c r="U16" s="108"/>
      <c r="V16" s="25"/>
    </row>
    <row r="17" spans="1:22" ht="15" thickBot="1" x14ac:dyDescent="0.35">
      <c r="A17" s="23"/>
      <c r="B17" s="23"/>
      <c r="C17" s="23"/>
      <c r="D17" s="23"/>
      <c r="E17" s="22"/>
      <c r="F17" s="23"/>
      <c r="G17" s="23"/>
      <c r="H17" s="23"/>
      <c r="I17" s="23"/>
      <c r="J17" s="23"/>
      <c r="K17" s="110"/>
      <c r="L17" s="110"/>
      <c r="M17" s="110"/>
      <c r="N17" s="110"/>
      <c r="O17" s="110"/>
      <c r="P17" s="110"/>
      <c r="Q17" s="110"/>
      <c r="R17" s="110"/>
      <c r="S17" s="23"/>
      <c r="T17" s="23"/>
      <c r="U17" s="111"/>
      <c r="V17" s="111"/>
    </row>
    <row r="18" spans="1:22" ht="15" thickBot="1" x14ac:dyDescent="0.35">
      <c r="A18" s="80" t="s">
        <v>84</v>
      </c>
      <c r="B18" s="81"/>
      <c r="C18" s="82"/>
      <c r="D18" s="83" t="s">
        <v>85</v>
      </c>
      <c r="E18" s="81"/>
      <c r="F18" s="82"/>
      <c r="G18" s="83" t="s">
        <v>86</v>
      </c>
      <c r="H18" s="81"/>
      <c r="I18" s="81"/>
      <c r="J18" s="81"/>
      <c r="K18" s="81"/>
      <c r="L18" s="81"/>
      <c r="M18" s="82"/>
      <c r="N18" s="83" t="s">
        <v>87</v>
      </c>
      <c r="O18" s="81"/>
      <c r="P18" s="81"/>
      <c r="Q18" s="81"/>
      <c r="R18" s="81"/>
      <c r="S18" s="81"/>
      <c r="T18" s="81"/>
      <c r="U18" s="82"/>
      <c r="V18" s="23"/>
    </row>
    <row r="19" spans="1:22" ht="15" thickBot="1" x14ac:dyDescent="0.35">
      <c r="A19" s="80"/>
      <c r="B19" s="81"/>
      <c r="C19" s="82"/>
      <c r="D19" s="95">
        <f>P4</f>
        <v>46156</v>
      </c>
      <c r="E19" s="81"/>
      <c r="F19" s="82"/>
      <c r="G19" s="83" t="s">
        <v>88</v>
      </c>
      <c r="H19" s="81"/>
      <c r="I19" s="81"/>
      <c r="J19" s="81"/>
      <c r="K19" s="81"/>
      <c r="L19" s="81"/>
      <c r="M19" s="82"/>
      <c r="N19" s="83"/>
      <c r="O19" s="81"/>
      <c r="P19" s="81"/>
      <c r="Q19" s="81"/>
      <c r="R19" s="81"/>
      <c r="S19" s="81"/>
      <c r="T19" s="81"/>
      <c r="U19" s="82"/>
      <c r="V19" s="23"/>
    </row>
    <row r="20" spans="1:22" ht="15" thickBot="1" x14ac:dyDescent="0.35">
      <c r="A20" s="96" t="s">
        <v>89</v>
      </c>
      <c r="B20" s="97"/>
      <c r="C20" s="98"/>
      <c r="D20" s="99" t="s">
        <v>90</v>
      </c>
      <c r="E20" s="97"/>
      <c r="F20" s="97"/>
      <c r="G20" s="97"/>
      <c r="H20" s="97"/>
      <c r="I20" s="97"/>
      <c r="J20" s="97"/>
      <c r="K20" s="97"/>
      <c r="L20" s="97"/>
      <c r="M20" s="98"/>
      <c r="N20" s="99" t="s">
        <v>91</v>
      </c>
      <c r="O20" s="98"/>
      <c r="P20" s="99" t="s">
        <v>92</v>
      </c>
      <c r="Q20" s="97"/>
      <c r="R20" s="97"/>
      <c r="S20" s="97"/>
      <c r="T20" s="97"/>
      <c r="U20" s="98"/>
      <c r="V20" s="23"/>
    </row>
    <row r="21" spans="1:22" x14ac:dyDescent="0.3">
      <c r="A21" s="92"/>
      <c r="B21" s="93"/>
      <c r="C21" s="153"/>
      <c r="D21" s="150" t="s">
        <v>195</v>
      </c>
      <c r="E21" s="151"/>
      <c r="F21" s="151"/>
      <c r="G21" s="151"/>
      <c r="H21" s="151"/>
      <c r="I21" s="151"/>
      <c r="J21" s="151"/>
      <c r="K21" s="151"/>
      <c r="L21" s="151"/>
      <c r="M21" s="152"/>
      <c r="N21" s="90">
        <f>SUM(N22:O25)</f>
        <v>19</v>
      </c>
      <c r="O21" s="91"/>
      <c r="P21" s="92"/>
      <c r="Q21" s="93"/>
      <c r="R21" s="93"/>
      <c r="S21" s="93"/>
      <c r="T21" s="93"/>
      <c r="U21" s="94"/>
      <c r="V21" s="23"/>
    </row>
    <row r="22" spans="1:22" x14ac:dyDescent="0.3">
      <c r="A22" s="43"/>
      <c r="B22" s="44"/>
      <c r="C22" s="45"/>
      <c r="D22" s="46" t="s">
        <v>101</v>
      </c>
      <c r="E22" s="47"/>
      <c r="F22" s="47"/>
      <c r="G22" s="47"/>
      <c r="H22" s="47"/>
      <c r="I22" s="47"/>
      <c r="J22" s="47"/>
      <c r="K22" s="47"/>
      <c r="L22" s="47"/>
      <c r="M22" s="48"/>
      <c r="N22" s="49">
        <v>4</v>
      </c>
      <c r="O22" s="50"/>
      <c r="P22" s="43"/>
      <c r="Q22" s="44"/>
      <c r="R22" s="44"/>
      <c r="S22" s="44"/>
      <c r="T22" s="44"/>
      <c r="U22" s="51"/>
      <c r="V22" s="23"/>
    </row>
    <row r="23" spans="1:22" x14ac:dyDescent="0.3">
      <c r="A23" s="43"/>
      <c r="B23" s="44"/>
      <c r="C23" s="45"/>
      <c r="D23" s="46" t="s">
        <v>102</v>
      </c>
      <c r="E23" s="47"/>
      <c r="F23" s="47"/>
      <c r="G23" s="47"/>
      <c r="H23" s="47"/>
      <c r="I23" s="47"/>
      <c r="J23" s="47"/>
      <c r="K23" s="47"/>
      <c r="L23" s="47"/>
      <c r="M23" s="48"/>
      <c r="N23" s="49">
        <v>7</v>
      </c>
      <c r="O23" s="50"/>
      <c r="P23" s="43"/>
      <c r="Q23" s="44"/>
      <c r="R23" s="44"/>
      <c r="S23" s="44"/>
      <c r="T23" s="44"/>
      <c r="U23" s="51"/>
      <c r="V23" s="23"/>
    </row>
    <row r="24" spans="1:22" x14ac:dyDescent="0.3">
      <c r="A24" s="43"/>
      <c r="B24" s="44"/>
      <c r="C24" s="45"/>
      <c r="D24" s="70" t="s">
        <v>196</v>
      </c>
      <c r="E24" s="71"/>
      <c r="F24" s="71"/>
      <c r="G24" s="71"/>
      <c r="H24" s="71"/>
      <c r="I24" s="71"/>
      <c r="J24" s="71"/>
      <c r="K24" s="71"/>
      <c r="L24" s="71"/>
      <c r="M24" s="72"/>
      <c r="N24" s="49">
        <v>2</v>
      </c>
      <c r="O24" s="50"/>
      <c r="P24" s="43"/>
      <c r="Q24" s="44"/>
      <c r="R24" s="44"/>
      <c r="S24" s="44"/>
      <c r="T24" s="44"/>
      <c r="U24" s="51"/>
      <c r="V24" s="23"/>
    </row>
    <row r="25" spans="1:22" ht="14.4" customHeight="1" x14ac:dyDescent="0.3">
      <c r="A25" s="43"/>
      <c r="B25" s="44"/>
      <c r="C25" s="45"/>
      <c r="D25" s="46" t="s">
        <v>100</v>
      </c>
      <c r="E25" s="47"/>
      <c r="F25" s="47"/>
      <c r="G25" s="47"/>
      <c r="H25" s="47"/>
      <c r="I25" s="47"/>
      <c r="J25" s="47"/>
      <c r="K25" s="47"/>
      <c r="L25" s="47"/>
      <c r="M25" s="48"/>
      <c r="N25" s="49">
        <v>6</v>
      </c>
      <c r="O25" s="50"/>
      <c r="P25" s="43"/>
      <c r="Q25" s="44"/>
      <c r="R25" s="44"/>
      <c r="S25" s="44"/>
      <c r="T25" s="44"/>
      <c r="U25" s="51"/>
      <c r="V25" s="23"/>
    </row>
    <row r="26" spans="1:22" ht="15" thickBot="1" x14ac:dyDescent="0.35">
      <c r="A26" s="43"/>
      <c r="B26" s="44"/>
      <c r="C26" s="45"/>
      <c r="D26" s="46"/>
      <c r="E26" s="47"/>
      <c r="F26" s="47"/>
      <c r="G26" s="47"/>
      <c r="H26" s="47"/>
      <c r="I26" s="47"/>
      <c r="J26" s="47"/>
      <c r="K26" s="47"/>
      <c r="L26" s="47"/>
      <c r="M26" s="48"/>
      <c r="N26" s="49"/>
      <c r="O26" s="50"/>
      <c r="P26" s="43"/>
      <c r="Q26" s="44"/>
      <c r="R26" s="44"/>
      <c r="S26" s="44"/>
      <c r="T26" s="44"/>
      <c r="U26" s="51"/>
      <c r="V26" s="23"/>
    </row>
    <row r="27" spans="1:22" x14ac:dyDescent="0.3">
      <c r="A27" s="43"/>
      <c r="B27" s="44"/>
      <c r="C27" s="45"/>
      <c r="D27" s="150" t="s">
        <v>197</v>
      </c>
      <c r="E27" s="151"/>
      <c r="F27" s="151"/>
      <c r="G27" s="151"/>
      <c r="H27" s="151"/>
      <c r="I27" s="151"/>
      <c r="J27" s="151"/>
      <c r="K27" s="151"/>
      <c r="L27" s="151"/>
      <c r="M27" s="152"/>
      <c r="N27" s="90">
        <f>SUM(N28)</f>
        <v>86</v>
      </c>
      <c r="O27" s="91"/>
      <c r="P27" s="43"/>
      <c r="Q27" s="44"/>
      <c r="R27" s="44"/>
      <c r="S27" s="44"/>
      <c r="T27" s="44"/>
      <c r="U27" s="51"/>
      <c r="V27" s="23"/>
    </row>
    <row r="28" spans="1:22" x14ac:dyDescent="0.3">
      <c r="A28" s="43"/>
      <c r="B28" s="44"/>
      <c r="C28" s="45"/>
      <c r="D28" s="46" t="s">
        <v>197</v>
      </c>
      <c r="E28" s="47"/>
      <c r="F28" s="47"/>
      <c r="G28" s="47"/>
      <c r="H28" s="47"/>
      <c r="I28" s="47"/>
      <c r="J28" s="47"/>
      <c r="K28" s="47"/>
      <c r="L28" s="47"/>
      <c r="M28" s="48"/>
      <c r="N28" s="49">
        <v>86</v>
      </c>
      <c r="O28" s="50"/>
      <c r="P28" s="43"/>
      <c r="Q28" s="44"/>
      <c r="R28" s="44"/>
      <c r="S28" s="44"/>
      <c r="T28" s="44"/>
      <c r="U28" s="51"/>
      <c r="V28" s="23"/>
    </row>
    <row r="29" spans="1:22" ht="15" thickBot="1" x14ac:dyDescent="0.35">
      <c r="A29" s="67"/>
      <c r="B29" s="68"/>
      <c r="C29" s="69"/>
      <c r="D29" s="70"/>
      <c r="E29" s="71"/>
      <c r="F29" s="71"/>
      <c r="G29" s="71"/>
      <c r="H29" s="71"/>
      <c r="I29" s="71"/>
      <c r="J29" s="71"/>
      <c r="K29" s="71"/>
      <c r="L29" s="71"/>
      <c r="M29" s="72"/>
      <c r="N29" s="49"/>
      <c r="O29" s="50"/>
      <c r="P29" s="67"/>
      <c r="Q29" s="68"/>
      <c r="R29" s="68"/>
      <c r="S29" s="68"/>
      <c r="T29" s="68"/>
      <c r="U29" s="73"/>
      <c r="V29" s="23"/>
    </row>
    <row r="30" spans="1:22" x14ac:dyDescent="0.3">
      <c r="A30" s="43"/>
      <c r="B30" s="44"/>
      <c r="C30" s="45"/>
      <c r="D30" s="150" t="s">
        <v>198</v>
      </c>
      <c r="E30" s="151"/>
      <c r="F30" s="151"/>
      <c r="G30" s="151"/>
      <c r="H30" s="151"/>
      <c r="I30" s="151"/>
      <c r="J30" s="151"/>
      <c r="K30" s="151"/>
      <c r="L30" s="151"/>
      <c r="M30" s="152"/>
      <c r="N30" s="90">
        <f>SUM(N31:O32)</f>
        <v>126</v>
      </c>
      <c r="O30" s="91"/>
      <c r="P30" s="43"/>
      <c r="Q30" s="44"/>
      <c r="R30" s="44"/>
      <c r="S30" s="44"/>
      <c r="T30" s="44"/>
      <c r="U30" s="51"/>
      <c r="V30" s="23"/>
    </row>
    <row r="31" spans="1:22" x14ac:dyDescent="0.3">
      <c r="A31" s="43"/>
      <c r="B31" s="44"/>
      <c r="C31" s="45"/>
      <c r="D31" s="46" t="s">
        <v>199</v>
      </c>
      <c r="E31" s="47"/>
      <c r="F31" s="47"/>
      <c r="G31" s="47"/>
      <c r="H31" s="47"/>
      <c r="I31" s="47"/>
      <c r="J31" s="47"/>
      <c r="K31" s="47"/>
      <c r="L31" s="47"/>
      <c r="M31" s="48"/>
      <c r="N31" s="49">
        <v>52</v>
      </c>
      <c r="O31" s="50"/>
      <c r="P31" s="43"/>
      <c r="Q31" s="44"/>
      <c r="R31" s="44"/>
      <c r="S31" s="44"/>
      <c r="T31" s="44"/>
      <c r="U31" s="51"/>
      <c r="V31" s="23"/>
    </row>
    <row r="32" spans="1:22" x14ac:dyDescent="0.3">
      <c r="A32" s="43"/>
      <c r="B32" s="44"/>
      <c r="C32" s="45"/>
      <c r="D32" s="46" t="s">
        <v>200</v>
      </c>
      <c r="E32" s="47"/>
      <c r="F32" s="47"/>
      <c r="G32" s="47"/>
      <c r="H32" s="47"/>
      <c r="I32" s="47"/>
      <c r="J32" s="47"/>
      <c r="K32" s="47"/>
      <c r="L32" s="47"/>
      <c r="M32" s="48"/>
      <c r="N32" s="49">
        <v>74</v>
      </c>
      <c r="O32" s="50"/>
      <c r="P32" s="43"/>
      <c r="Q32" s="44"/>
      <c r="R32" s="44"/>
      <c r="S32" s="44"/>
      <c r="T32" s="44"/>
      <c r="U32" s="51"/>
      <c r="V32" s="23"/>
    </row>
    <row r="33" spans="1:22" x14ac:dyDescent="0.3">
      <c r="A33" s="43"/>
      <c r="B33" s="44"/>
      <c r="C33" s="45"/>
      <c r="D33" s="46"/>
      <c r="E33" s="47"/>
      <c r="F33" s="47"/>
      <c r="G33" s="47"/>
      <c r="H33" s="47"/>
      <c r="I33" s="47"/>
      <c r="J33" s="47"/>
      <c r="K33" s="47"/>
      <c r="L33" s="47"/>
      <c r="M33" s="48"/>
      <c r="N33" s="49"/>
      <c r="O33" s="50"/>
      <c r="P33" s="43"/>
      <c r="Q33" s="44"/>
      <c r="R33" s="44"/>
      <c r="S33" s="44"/>
      <c r="T33" s="44"/>
      <c r="U33" s="51"/>
      <c r="V33" s="23"/>
    </row>
    <row r="34" spans="1:22" x14ac:dyDescent="0.3">
      <c r="A34" s="43"/>
      <c r="B34" s="44"/>
      <c r="C34" s="45"/>
      <c r="D34" s="46"/>
      <c r="E34" s="47"/>
      <c r="F34" s="47"/>
      <c r="G34" s="47"/>
      <c r="H34" s="47"/>
      <c r="I34" s="47"/>
      <c r="J34" s="47"/>
      <c r="K34" s="47"/>
      <c r="L34" s="47"/>
      <c r="M34" s="48"/>
      <c r="N34" s="49"/>
      <c r="O34" s="50"/>
      <c r="P34" s="43"/>
      <c r="Q34" s="44"/>
      <c r="R34" s="44"/>
      <c r="S34" s="44"/>
      <c r="T34" s="44"/>
      <c r="U34" s="51"/>
      <c r="V34" s="23"/>
    </row>
    <row r="35" spans="1:22" x14ac:dyDescent="0.3">
      <c r="A35" s="43"/>
      <c r="B35" s="44"/>
      <c r="C35" s="45"/>
      <c r="D35" s="46"/>
      <c r="E35" s="47"/>
      <c r="F35" s="47"/>
      <c r="G35" s="47"/>
      <c r="H35" s="47"/>
      <c r="I35" s="47"/>
      <c r="J35" s="47"/>
      <c r="K35" s="47"/>
      <c r="L35" s="47"/>
      <c r="M35" s="48"/>
      <c r="N35" s="49"/>
      <c r="O35" s="50"/>
      <c r="P35" s="43"/>
      <c r="Q35" s="44"/>
      <c r="R35" s="44"/>
      <c r="S35" s="44"/>
      <c r="T35" s="44"/>
      <c r="U35" s="51"/>
      <c r="V35" s="23"/>
    </row>
    <row r="36" spans="1:22" x14ac:dyDescent="0.3">
      <c r="A36" s="43"/>
      <c r="B36" s="44"/>
      <c r="C36" s="45"/>
      <c r="D36" s="46"/>
      <c r="E36" s="47"/>
      <c r="F36" s="47"/>
      <c r="G36" s="47"/>
      <c r="H36" s="47"/>
      <c r="I36" s="47"/>
      <c r="J36" s="47"/>
      <c r="K36" s="47"/>
      <c r="L36" s="47"/>
      <c r="M36" s="48"/>
      <c r="N36" s="49"/>
      <c r="O36" s="50"/>
      <c r="P36" s="43"/>
      <c r="Q36" s="44"/>
      <c r="R36" s="44"/>
      <c r="S36" s="44"/>
      <c r="T36" s="44"/>
      <c r="U36" s="51"/>
      <c r="V36" s="23"/>
    </row>
    <row r="37" spans="1:22" x14ac:dyDescent="0.3">
      <c r="A37" s="43"/>
      <c r="B37" s="44"/>
      <c r="C37" s="45"/>
      <c r="D37" s="46"/>
      <c r="E37" s="47"/>
      <c r="F37" s="47"/>
      <c r="G37" s="47"/>
      <c r="H37" s="47"/>
      <c r="I37" s="47"/>
      <c r="J37" s="47"/>
      <c r="K37" s="47"/>
      <c r="L37" s="47"/>
      <c r="M37" s="48"/>
      <c r="N37" s="49"/>
      <c r="O37" s="50"/>
      <c r="P37" s="43"/>
      <c r="Q37" s="44"/>
      <c r="R37" s="44"/>
      <c r="S37" s="44"/>
      <c r="T37" s="44"/>
      <c r="U37" s="51"/>
      <c r="V37" s="23"/>
    </row>
    <row r="38" spans="1:22" x14ac:dyDescent="0.3">
      <c r="A38" s="43"/>
      <c r="B38" s="44"/>
      <c r="C38" s="45"/>
      <c r="D38" s="46"/>
      <c r="E38" s="47"/>
      <c r="F38" s="47"/>
      <c r="G38" s="47"/>
      <c r="H38" s="47"/>
      <c r="I38" s="47"/>
      <c r="J38" s="47"/>
      <c r="K38" s="47"/>
      <c r="L38" s="47"/>
      <c r="M38" s="48"/>
      <c r="N38" s="49"/>
      <c r="O38" s="50"/>
      <c r="P38" s="43"/>
      <c r="Q38" s="44"/>
      <c r="R38" s="44"/>
      <c r="S38" s="44"/>
      <c r="T38" s="44"/>
      <c r="U38" s="51"/>
      <c r="V38" s="23"/>
    </row>
    <row r="39" spans="1:22" ht="15" thickBot="1" x14ac:dyDescent="0.35">
      <c r="A39" s="61"/>
      <c r="B39" s="62"/>
      <c r="C39" s="63"/>
      <c r="D39" s="147"/>
      <c r="E39" s="148"/>
      <c r="F39" s="148"/>
      <c r="G39" s="148"/>
      <c r="H39" s="148"/>
      <c r="I39" s="148"/>
      <c r="J39" s="148"/>
      <c r="K39" s="148"/>
      <c r="L39" s="148"/>
      <c r="M39" s="149"/>
      <c r="N39" s="64"/>
      <c r="O39" s="65"/>
      <c r="P39" s="61"/>
      <c r="Q39" s="62"/>
      <c r="R39" s="62"/>
      <c r="S39" s="62"/>
      <c r="T39" s="62"/>
      <c r="U39" s="66"/>
      <c r="V39" s="23"/>
    </row>
    <row r="40" spans="1:22" x14ac:dyDescent="0.3">
      <c r="A40" s="53" t="s">
        <v>93</v>
      </c>
      <c r="B40" s="54"/>
      <c r="C40" s="54"/>
      <c r="D40" s="54"/>
      <c r="E40" s="54"/>
      <c r="F40" s="55"/>
      <c r="G40" s="59" t="s">
        <v>94</v>
      </c>
      <c r="H40" s="54"/>
      <c r="I40" s="54"/>
      <c r="J40" s="54"/>
      <c r="K40" s="54"/>
      <c r="L40" s="54"/>
      <c r="M40" s="55"/>
      <c r="N40" s="59" t="s">
        <v>95</v>
      </c>
      <c r="O40" s="54"/>
      <c r="P40" s="54"/>
      <c r="Q40" s="54"/>
      <c r="R40" s="54"/>
      <c r="S40" s="54"/>
      <c r="T40" s="54"/>
      <c r="U40" s="55"/>
      <c r="V40" s="23"/>
    </row>
    <row r="41" spans="1:22" x14ac:dyDescent="0.3">
      <c r="A41" s="53"/>
      <c r="B41" s="54"/>
      <c r="C41" s="54"/>
      <c r="D41" s="54"/>
      <c r="E41" s="54"/>
      <c r="F41" s="55"/>
      <c r="G41" s="59"/>
      <c r="H41" s="54"/>
      <c r="I41" s="54"/>
      <c r="J41" s="54"/>
      <c r="K41" s="54"/>
      <c r="L41" s="54"/>
      <c r="M41" s="55"/>
      <c r="N41" s="59"/>
      <c r="O41" s="54"/>
      <c r="P41" s="54"/>
      <c r="Q41" s="54"/>
      <c r="R41" s="54"/>
      <c r="S41" s="54"/>
      <c r="T41" s="54"/>
      <c r="U41" s="55"/>
      <c r="V41" s="21"/>
    </row>
    <row r="42" spans="1:22" ht="15" thickBot="1" x14ac:dyDescent="0.35">
      <c r="A42" s="56"/>
      <c r="B42" s="57"/>
      <c r="C42" s="57"/>
      <c r="D42" s="57"/>
      <c r="E42" s="57"/>
      <c r="F42" s="58"/>
      <c r="G42" s="60"/>
      <c r="H42" s="57"/>
      <c r="I42" s="57"/>
      <c r="J42" s="57"/>
      <c r="K42" s="57"/>
      <c r="L42" s="57"/>
      <c r="M42" s="58"/>
      <c r="N42" s="60"/>
      <c r="O42" s="57"/>
      <c r="P42" s="57"/>
      <c r="Q42" s="57"/>
      <c r="R42" s="57"/>
      <c r="S42" s="57"/>
      <c r="T42" s="57"/>
      <c r="U42" s="58"/>
      <c r="V42" s="21"/>
    </row>
    <row r="43" spans="1:22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</row>
    <row r="44" spans="1:22" x14ac:dyDescent="0.3">
      <c r="A44" s="22"/>
    </row>
  </sheetData>
  <mergeCells count="141">
    <mergeCell ref="A2:M4"/>
    <mergeCell ref="N2:U2"/>
    <mergeCell ref="N3:U3"/>
    <mergeCell ref="N4:O4"/>
    <mergeCell ref="P4:U4"/>
    <mergeCell ref="A5:M7"/>
    <mergeCell ref="A9:D9"/>
    <mergeCell ref="E9:K9"/>
    <mergeCell ref="L9:Q9"/>
    <mergeCell ref="R9:U9"/>
    <mergeCell ref="A10:D10"/>
    <mergeCell ref="E10:F10"/>
    <mergeCell ref="G10:K10"/>
    <mergeCell ref="L10:Q10"/>
    <mergeCell ref="R10:U10"/>
    <mergeCell ref="A11:D11"/>
    <mergeCell ref="E11:F11"/>
    <mergeCell ref="G11:K11"/>
    <mergeCell ref="L11:Q11"/>
    <mergeCell ref="R11:U11"/>
    <mergeCell ref="A12:D12"/>
    <mergeCell ref="E12:F12"/>
    <mergeCell ref="G12:K12"/>
    <mergeCell ref="L12:Q12"/>
    <mergeCell ref="R12:U12"/>
    <mergeCell ref="A13:D13"/>
    <mergeCell ref="E13:F13"/>
    <mergeCell ref="G13:K13"/>
    <mergeCell ref="L13:Q13"/>
    <mergeCell ref="R13:U13"/>
    <mergeCell ref="A14:D14"/>
    <mergeCell ref="E14:F14"/>
    <mergeCell ref="G14:K14"/>
    <mergeCell ref="L14:Q14"/>
    <mergeCell ref="R14:U14"/>
    <mergeCell ref="A15:D15"/>
    <mergeCell ref="E15:F15"/>
    <mergeCell ref="G15:K15"/>
    <mergeCell ref="L15:Q15"/>
    <mergeCell ref="R15:U15"/>
    <mergeCell ref="A16:D16"/>
    <mergeCell ref="E16:F16"/>
    <mergeCell ref="G16:K16"/>
    <mergeCell ref="L16:Q16"/>
    <mergeCell ref="R16:U16"/>
    <mergeCell ref="K17:L17"/>
    <mergeCell ref="M17:N17"/>
    <mergeCell ref="O17:P17"/>
    <mergeCell ref="Q17:R17"/>
    <mergeCell ref="U17:V17"/>
    <mergeCell ref="A18:C18"/>
    <mergeCell ref="D18:F18"/>
    <mergeCell ref="G18:M18"/>
    <mergeCell ref="N18:U18"/>
    <mergeCell ref="A21:C21"/>
    <mergeCell ref="D21:M21"/>
    <mergeCell ref="N21:O21"/>
    <mergeCell ref="P21:U21"/>
    <mergeCell ref="A22:C22"/>
    <mergeCell ref="D22:M22"/>
    <mergeCell ref="N22:O22"/>
    <mergeCell ref="P22:U22"/>
    <mergeCell ref="A19:C19"/>
    <mergeCell ref="D19:F19"/>
    <mergeCell ref="G19:M19"/>
    <mergeCell ref="N19:U19"/>
    <mergeCell ref="A20:C20"/>
    <mergeCell ref="D20:M20"/>
    <mergeCell ref="N20:O20"/>
    <mergeCell ref="P20:U20"/>
    <mergeCell ref="A23:C23"/>
    <mergeCell ref="D23:M23"/>
    <mergeCell ref="N23:O23"/>
    <mergeCell ref="P23:U23"/>
    <mergeCell ref="A24:C24"/>
    <mergeCell ref="D24:M24"/>
    <mergeCell ref="N24:O24"/>
    <mergeCell ref="P24:U24"/>
    <mergeCell ref="N26:O26"/>
    <mergeCell ref="P26:U26"/>
    <mergeCell ref="A28:C28"/>
    <mergeCell ref="D28:M28"/>
    <mergeCell ref="N28:O28"/>
    <mergeCell ref="P28:U28"/>
    <mergeCell ref="A29:C29"/>
    <mergeCell ref="D29:M29"/>
    <mergeCell ref="N29:O29"/>
    <mergeCell ref="P29:U29"/>
    <mergeCell ref="A25:C25"/>
    <mergeCell ref="D25:M25"/>
    <mergeCell ref="N25:O25"/>
    <mergeCell ref="P25:U25"/>
    <mergeCell ref="A26:C26"/>
    <mergeCell ref="D26:M26"/>
    <mergeCell ref="A27:C27"/>
    <mergeCell ref="D27:M27"/>
    <mergeCell ref="N27:O27"/>
    <mergeCell ref="P27:U27"/>
    <mergeCell ref="A31:C31"/>
    <mergeCell ref="D31:M31"/>
    <mergeCell ref="N31:O31"/>
    <mergeCell ref="P31:U31"/>
    <mergeCell ref="A32:C32"/>
    <mergeCell ref="D32:M32"/>
    <mergeCell ref="N32:O32"/>
    <mergeCell ref="P32:U32"/>
    <mergeCell ref="A30:C30"/>
    <mergeCell ref="D30:M30"/>
    <mergeCell ref="N30:O30"/>
    <mergeCell ref="P30:U30"/>
    <mergeCell ref="A40:F42"/>
    <mergeCell ref="G40:M42"/>
    <mergeCell ref="N40:U42"/>
    <mergeCell ref="A37:C37"/>
    <mergeCell ref="D37:M37"/>
    <mergeCell ref="N37:O37"/>
    <mergeCell ref="P37:U37"/>
    <mergeCell ref="A38:C38"/>
    <mergeCell ref="D38:M38"/>
    <mergeCell ref="N38:O38"/>
    <mergeCell ref="P38:U38"/>
    <mergeCell ref="A39:C39"/>
    <mergeCell ref="D39:M39"/>
    <mergeCell ref="N39:O39"/>
    <mergeCell ref="P39:U39"/>
    <mergeCell ref="A35:C35"/>
    <mergeCell ref="D35:M35"/>
    <mergeCell ref="N35:O35"/>
    <mergeCell ref="P35:U35"/>
    <mergeCell ref="A36:C36"/>
    <mergeCell ref="D36:M36"/>
    <mergeCell ref="N36:O36"/>
    <mergeCell ref="P36:U36"/>
    <mergeCell ref="A33:C33"/>
    <mergeCell ref="D33:M33"/>
    <mergeCell ref="N33:O33"/>
    <mergeCell ref="P33:U33"/>
    <mergeCell ref="A34:C34"/>
    <mergeCell ref="D34:M34"/>
    <mergeCell ref="N34:O34"/>
    <mergeCell ref="P34:U34"/>
  </mergeCells>
  <printOptions horizontalCentered="1"/>
  <pageMargins left="0.43307086614173229" right="0.23622047244094491" top="0.35433070866141736" bottom="0.74803149606299213" header="0.31496062992125984" footer="0.31496062992125984"/>
  <pageSetup paperSize="9" scale="78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C5A5-B2B4-4369-98F5-CECDC33F64FA}">
  <sheetPr>
    <pageSetUpPr fitToPage="1"/>
  </sheetPr>
  <dimension ref="A1:V44"/>
  <sheetViews>
    <sheetView zoomScaleNormal="100" workbookViewId="0">
      <selection activeCell="N2" sqref="N2:U2"/>
    </sheetView>
  </sheetViews>
  <sheetFormatPr defaultRowHeight="14.4" x14ac:dyDescent="0.3"/>
  <cols>
    <col min="14" max="21" width="6.88671875" customWidth="1"/>
  </cols>
  <sheetData>
    <row r="1" spans="1:22" ht="15" thickBot="1" x14ac:dyDescent="0.35">
      <c r="A1" s="22"/>
      <c r="T1" s="31" t="s">
        <v>105</v>
      </c>
      <c r="U1" s="31">
        <v>1</v>
      </c>
    </row>
    <row r="2" spans="1:22" ht="21.6" thickBot="1" x14ac:dyDescent="0.35">
      <c r="A2" s="52" t="e" vm="1">
        <v>#VALUE!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129"/>
      <c r="N2" s="130" t="s">
        <v>64</v>
      </c>
      <c r="O2" s="131"/>
      <c r="P2" s="131"/>
      <c r="Q2" s="131"/>
      <c r="R2" s="131"/>
      <c r="S2" s="131"/>
      <c r="T2" s="131"/>
      <c r="U2" s="132"/>
      <c r="V2" s="23"/>
    </row>
    <row r="3" spans="1:22" ht="21.6" customHeight="1" thickBot="1" x14ac:dyDescent="0.3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129"/>
      <c r="N3" s="130"/>
      <c r="O3" s="131"/>
      <c r="P3" s="131"/>
      <c r="Q3" s="131"/>
      <c r="R3" s="131"/>
      <c r="S3" s="131"/>
      <c r="T3" s="131"/>
      <c r="U3" s="132"/>
      <c r="V3" s="23"/>
    </row>
    <row r="4" spans="1:22" ht="15" thickBot="1" x14ac:dyDescent="0.35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129"/>
      <c r="N4" s="133" t="s">
        <v>65</v>
      </c>
      <c r="O4" s="134"/>
      <c r="P4" s="135">
        <f ca="1">TODAY()</f>
        <v>46161</v>
      </c>
      <c r="Q4" s="136"/>
      <c r="R4" s="136"/>
      <c r="S4" s="136"/>
      <c r="T4" s="136"/>
      <c r="U4" s="137"/>
      <c r="V4" s="23"/>
    </row>
    <row r="5" spans="1:22" x14ac:dyDescent="0.3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28"/>
      <c r="O5" s="28"/>
      <c r="P5" s="29"/>
      <c r="Q5" s="29"/>
      <c r="R5" s="29"/>
      <c r="S5" s="27"/>
      <c r="T5" s="27"/>
      <c r="U5" s="27"/>
      <c r="V5" s="23"/>
    </row>
    <row r="6" spans="1:22" x14ac:dyDescent="0.3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28"/>
      <c r="O6" s="28"/>
      <c r="P6" s="27"/>
      <c r="Q6" s="27"/>
      <c r="R6" s="27"/>
      <c r="S6" s="27"/>
      <c r="T6" s="27"/>
      <c r="U6" s="27"/>
      <c r="V6" s="23"/>
    </row>
    <row r="7" spans="1:22" x14ac:dyDescent="0.3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28"/>
      <c r="O7" s="28"/>
      <c r="P7" s="27"/>
      <c r="Q7" s="27"/>
      <c r="R7" s="27"/>
      <c r="S7" s="27"/>
      <c r="T7" s="27"/>
      <c r="U7" s="27"/>
      <c r="V7" s="23"/>
    </row>
    <row r="8" spans="1:22" ht="15" customHeight="1" thickBot="1" x14ac:dyDescent="0.3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8"/>
      <c r="O8" s="28"/>
      <c r="P8" s="27"/>
      <c r="Q8" s="27"/>
      <c r="R8" s="27"/>
      <c r="S8" s="27"/>
      <c r="T8" s="27"/>
      <c r="U8" s="27"/>
      <c r="V8" s="23"/>
    </row>
    <row r="9" spans="1:22" ht="15" thickBot="1" x14ac:dyDescent="0.35">
      <c r="A9" s="80" t="s">
        <v>66</v>
      </c>
      <c r="B9" s="81"/>
      <c r="C9" s="81"/>
      <c r="D9" s="82"/>
      <c r="E9" s="83" t="s">
        <v>67</v>
      </c>
      <c r="F9" s="81"/>
      <c r="G9" s="81"/>
      <c r="H9" s="81"/>
      <c r="I9" s="81"/>
      <c r="J9" s="81"/>
      <c r="K9" s="82"/>
      <c r="L9" s="83" t="s">
        <v>68</v>
      </c>
      <c r="M9" s="81"/>
      <c r="N9" s="81"/>
      <c r="O9" s="81"/>
      <c r="P9" s="81"/>
      <c r="Q9" s="82"/>
      <c r="R9" s="83" t="s">
        <v>69</v>
      </c>
      <c r="S9" s="81"/>
      <c r="T9" s="81"/>
      <c r="U9" s="141"/>
      <c r="V9" s="23"/>
    </row>
    <row r="10" spans="1:22" s="26" customFormat="1" ht="13.8" x14ac:dyDescent="0.3">
      <c r="A10" s="87"/>
      <c r="B10" s="88"/>
      <c r="C10" s="88"/>
      <c r="D10" s="142"/>
      <c r="E10" s="143" t="s">
        <v>70</v>
      </c>
      <c r="F10" s="144"/>
      <c r="G10" s="144" t="s">
        <v>71</v>
      </c>
      <c r="H10" s="144"/>
      <c r="I10" s="144"/>
      <c r="J10" s="144"/>
      <c r="K10" s="145"/>
      <c r="L10" s="118"/>
      <c r="M10" s="119"/>
      <c r="N10" s="119"/>
      <c r="O10" s="119"/>
      <c r="P10" s="119"/>
      <c r="Q10" s="120"/>
      <c r="R10" s="146"/>
      <c r="S10" s="119"/>
      <c r="T10" s="119"/>
      <c r="U10" s="120"/>
      <c r="V10" s="25"/>
    </row>
    <row r="11" spans="1:22" s="26" customFormat="1" ht="13.8" customHeight="1" x14ac:dyDescent="0.3">
      <c r="A11" s="112" t="s">
        <v>185</v>
      </c>
      <c r="B11" s="113"/>
      <c r="C11" s="113"/>
      <c r="D11" s="114"/>
      <c r="E11" s="115" t="s">
        <v>72</v>
      </c>
      <c r="F11" s="116"/>
      <c r="G11" s="116" t="s">
        <v>73</v>
      </c>
      <c r="H11" s="116"/>
      <c r="I11" s="116"/>
      <c r="J11" s="116"/>
      <c r="K11" s="117"/>
      <c r="L11" s="124" t="s">
        <v>74</v>
      </c>
      <c r="M11" s="122"/>
      <c r="N11" s="122"/>
      <c r="O11" s="122"/>
      <c r="P11" s="122"/>
      <c r="Q11" s="123"/>
      <c r="R11" s="121"/>
      <c r="S11" s="122"/>
      <c r="T11" s="122"/>
      <c r="U11" s="123"/>
      <c r="V11" s="25"/>
    </row>
    <row r="12" spans="1:22" s="26" customFormat="1" thickBot="1" x14ac:dyDescent="0.35">
      <c r="A12" s="112" t="s">
        <v>75</v>
      </c>
      <c r="B12" s="113"/>
      <c r="C12" s="113"/>
      <c r="D12" s="114"/>
      <c r="E12" s="115" t="s">
        <v>76</v>
      </c>
      <c r="F12" s="116"/>
      <c r="G12" s="116">
        <v>62550053723</v>
      </c>
      <c r="H12" s="116"/>
      <c r="I12" s="116"/>
      <c r="J12" s="116"/>
      <c r="K12" s="117"/>
      <c r="L12" s="106"/>
      <c r="M12" s="107"/>
      <c r="N12" s="107"/>
      <c r="O12" s="107"/>
      <c r="P12" s="107"/>
      <c r="Q12" s="108"/>
      <c r="R12" s="121"/>
      <c r="S12" s="122"/>
      <c r="T12" s="122"/>
      <c r="U12" s="123"/>
      <c r="V12" s="25"/>
    </row>
    <row r="13" spans="1:22" s="26" customFormat="1" ht="14.4" customHeight="1" thickBot="1" x14ac:dyDescent="0.35">
      <c r="A13" s="112" t="s">
        <v>186</v>
      </c>
      <c r="B13" s="113"/>
      <c r="C13" s="113"/>
      <c r="D13" s="114"/>
      <c r="E13" s="115" t="s">
        <v>77</v>
      </c>
      <c r="F13" s="116"/>
      <c r="G13" s="116" t="s">
        <v>78</v>
      </c>
      <c r="H13" s="116"/>
      <c r="I13" s="116"/>
      <c r="J13" s="116"/>
      <c r="K13" s="125"/>
      <c r="L13" s="126" t="s">
        <v>79</v>
      </c>
      <c r="M13" s="127"/>
      <c r="N13" s="127"/>
      <c r="O13" s="127"/>
      <c r="P13" s="127"/>
      <c r="Q13" s="128"/>
      <c r="R13" s="121" t="s">
        <v>12</v>
      </c>
      <c r="S13" s="122"/>
      <c r="T13" s="122"/>
      <c r="U13" s="123"/>
      <c r="V13" s="25"/>
    </row>
    <row r="14" spans="1:22" s="26" customFormat="1" ht="13.8" x14ac:dyDescent="0.3">
      <c r="A14" s="112"/>
      <c r="B14" s="113"/>
      <c r="C14" s="113"/>
      <c r="D14" s="114"/>
      <c r="E14" s="115" t="s">
        <v>80</v>
      </c>
      <c r="F14" s="116"/>
      <c r="G14" s="116">
        <v>250655</v>
      </c>
      <c r="H14" s="116"/>
      <c r="I14" s="116"/>
      <c r="J14" s="116"/>
      <c r="K14" s="117"/>
      <c r="L14" s="118"/>
      <c r="M14" s="119"/>
      <c r="N14" s="119"/>
      <c r="O14" s="119"/>
      <c r="P14" s="119"/>
      <c r="Q14" s="120"/>
      <c r="R14" s="121"/>
      <c r="S14" s="122"/>
      <c r="T14" s="122"/>
      <c r="U14" s="123"/>
      <c r="V14" s="25"/>
    </row>
    <row r="15" spans="1:22" s="26" customFormat="1" ht="13.8" x14ac:dyDescent="0.3">
      <c r="A15" s="112"/>
      <c r="B15" s="113"/>
      <c r="C15" s="113"/>
      <c r="D15" s="114"/>
      <c r="E15" s="115" t="s">
        <v>81</v>
      </c>
      <c r="F15" s="116"/>
      <c r="G15" s="116" t="s">
        <v>82</v>
      </c>
      <c r="H15" s="116"/>
      <c r="I15" s="116"/>
      <c r="J15" s="116"/>
      <c r="K15" s="117"/>
      <c r="L15" s="124" t="s">
        <v>83</v>
      </c>
      <c r="M15" s="122"/>
      <c r="N15" s="122"/>
      <c r="O15" s="122"/>
      <c r="P15" s="122"/>
      <c r="Q15" s="123"/>
      <c r="R15" s="121"/>
      <c r="S15" s="122"/>
      <c r="T15" s="122"/>
      <c r="U15" s="123"/>
      <c r="V15" s="25"/>
    </row>
    <row r="16" spans="1:22" s="26" customFormat="1" thickBot="1" x14ac:dyDescent="0.35">
      <c r="A16" s="100"/>
      <c r="B16" s="101"/>
      <c r="C16" s="101"/>
      <c r="D16" s="102"/>
      <c r="E16" s="103"/>
      <c r="F16" s="104"/>
      <c r="G16" s="104"/>
      <c r="H16" s="104"/>
      <c r="I16" s="104"/>
      <c r="J16" s="104"/>
      <c r="K16" s="105"/>
      <c r="L16" s="106"/>
      <c r="M16" s="107"/>
      <c r="N16" s="107"/>
      <c r="O16" s="107"/>
      <c r="P16" s="107"/>
      <c r="Q16" s="108"/>
      <c r="R16" s="109"/>
      <c r="S16" s="107"/>
      <c r="T16" s="107"/>
      <c r="U16" s="108"/>
      <c r="V16" s="25"/>
    </row>
    <row r="17" spans="1:22" ht="15" thickBot="1" x14ac:dyDescent="0.35">
      <c r="A17" s="23"/>
      <c r="B17" s="23"/>
      <c r="C17" s="23"/>
      <c r="D17" s="23"/>
      <c r="E17" s="22"/>
      <c r="F17" s="23"/>
      <c r="G17" s="23"/>
      <c r="H17" s="23"/>
      <c r="I17" s="23"/>
      <c r="J17" s="23"/>
      <c r="K17" s="110"/>
      <c r="L17" s="110"/>
      <c r="M17" s="110"/>
      <c r="N17" s="110"/>
      <c r="O17" s="110"/>
      <c r="P17" s="110"/>
      <c r="Q17" s="110"/>
      <c r="R17" s="110"/>
      <c r="S17" s="23"/>
      <c r="T17" s="23"/>
      <c r="U17" s="23"/>
      <c r="V17" s="23"/>
    </row>
    <row r="18" spans="1:22" ht="15" thickBot="1" x14ac:dyDescent="0.35">
      <c r="A18" s="80" t="s">
        <v>84</v>
      </c>
      <c r="B18" s="81"/>
      <c r="C18" s="82"/>
      <c r="D18" s="83" t="s">
        <v>85</v>
      </c>
      <c r="E18" s="81"/>
      <c r="F18" s="82"/>
      <c r="G18" s="83" t="s">
        <v>86</v>
      </c>
      <c r="H18" s="81"/>
      <c r="I18" s="81"/>
      <c r="J18" s="81"/>
      <c r="K18" s="81"/>
      <c r="L18" s="81"/>
      <c r="M18" s="82"/>
      <c r="N18" s="83" t="s">
        <v>87</v>
      </c>
      <c r="O18" s="81"/>
      <c r="P18" s="81"/>
      <c r="Q18" s="81"/>
      <c r="R18" s="81"/>
      <c r="S18" s="81"/>
      <c r="T18" s="81"/>
      <c r="U18" s="82"/>
      <c r="V18" s="23"/>
    </row>
    <row r="19" spans="1:22" ht="15" thickBot="1" x14ac:dyDescent="0.35">
      <c r="A19" s="80"/>
      <c r="B19" s="81"/>
      <c r="C19" s="82"/>
      <c r="D19" s="95">
        <f ca="1">P4</f>
        <v>46161</v>
      </c>
      <c r="E19" s="81"/>
      <c r="F19" s="82"/>
      <c r="G19" s="83" t="s">
        <v>88</v>
      </c>
      <c r="H19" s="81"/>
      <c r="I19" s="81"/>
      <c r="J19" s="81"/>
      <c r="K19" s="81"/>
      <c r="L19" s="81"/>
      <c r="M19" s="82"/>
      <c r="N19" s="83"/>
      <c r="O19" s="81"/>
      <c r="P19" s="81"/>
      <c r="Q19" s="81"/>
      <c r="R19" s="81"/>
      <c r="S19" s="81"/>
      <c r="T19" s="81"/>
      <c r="U19" s="82"/>
      <c r="V19" s="23"/>
    </row>
    <row r="20" spans="1:22" ht="15" thickBot="1" x14ac:dyDescent="0.35">
      <c r="A20" s="96" t="s">
        <v>89</v>
      </c>
      <c r="B20" s="97"/>
      <c r="C20" s="98"/>
      <c r="D20" s="99" t="s">
        <v>90</v>
      </c>
      <c r="E20" s="97"/>
      <c r="F20" s="97"/>
      <c r="G20" s="97"/>
      <c r="H20" s="97"/>
      <c r="I20" s="97"/>
      <c r="J20" s="97"/>
      <c r="K20" s="97"/>
      <c r="L20" s="97"/>
      <c r="M20" s="98"/>
      <c r="N20" s="99" t="s">
        <v>91</v>
      </c>
      <c r="O20" s="98"/>
      <c r="P20" s="99" t="s">
        <v>92</v>
      </c>
      <c r="Q20" s="97"/>
      <c r="R20" s="97"/>
      <c r="S20" s="97"/>
      <c r="T20" s="97"/>
      <c r="U20" s="98"/>
      <c r="V20" s="23"/>
    </row>
    <row r="21" spans="1:22" x14ac:dyDescent="0.3">
      <c r="A21" s="92"/>
      <c r="B21" s="93"/>
      <c r="C21" s="153"/>
      <c r="D21" s="154"/>
      <c r="E21" s="155"/>
      <c r="F21" s="155"/>
      <c r="G21" s="155"/>
      <c r="H21" s="155"/>
      <c r="I21" s="155"/>
      <c r="J21" s="155"/>
      <c r="K21" s="155"/>
      <c r="L21" s="155"/>
      <c r="M21" s="156"/>
      <c r="N21" s="157"/>
      <c r="O21" s="158"/>
      <c r="P21" s="92"/>
      <c r="Q21" s="93"/>
      <c r="R21" s="93"/>
      <c r="S21" s="93"/>
      <c r="T21" s="93"/>
      <c r="U21" s="94"/>
      <c r="V21" s="23"/>
    </row>
    <row r="22" spans="1:22" x14ac:dyDescent="0.3">
      <c r="A22" s="43"/>
      <c r="B22" s="44"/>
      <c r="C22" s="45"/>
      <c r="D22" s="46" t="s">
        <v>188</v>
      </c>
      <c r="E22" s="47"/>
      <c r="F22" s="47"/>
      <c r="G22" s="47"/>
      <c r="H22" s="47"/>
      <c r="I22" s="47"/>
      <c r="J22" s="47"/>
      <c r="K22" s="47"/>
      <c r="L22" s="47"/>
      <c r="M22" s="48"/>
      <c r="N22" s="49">
        <v>1</v>
      </c>
      <c r="O22" s="50"/>
      <c r="P22" s="43"/>
      <c r="Q22" s="44"/>
      <c r="R22" s="44"/>
      <c r="S22" s="44"/>
      <c r="T22" s="44"/>
      <c r="U22" s="51"/>
      <c r="V22" s="23"/>
    </row>
    <row r="23" spans="1:22" x14ac:dyDescent="0.3">
      <c r="A23" s="43"/>
      <c r="B23" s="44"/>
      <c r="C23" s="45"/>
      <c r="D23" s="46"/>
      <c r="E23" s="47"/>
      <c r="F23" s="47"/>
      <c r="G23" s="47"/>
      <c r="H23" s="47"/>
      <c r="I23" s="47"/>
      <c r="J23" s="47"/>
      <c r="K23" s="47"/>
      <c r="L23" s="47"/>
      <c r="M23" s="48"/>
      <c r="N23" s="49"/>
      <c r="O23" s="50"/>
      <c r="P23" s="43"/>
      <c r="Q23" s="44"/>
      <c r="R23" s="44"/>
      <c r="S23" s="44"/>
      <c r="T23" s="44"/>
      <c r="U23" s="51"/>
      <c r="V23" s="23"/>
    </row>
    <row r="24" spans="1:22" x14ac:dyDescent="0.3">
      <c r="A24" s="43"/>
      <c r="B24" s="44"/>
      <c r="C24" s="45"/>
      <c r="D24" s="70" t="s">
        <v>189</v>
      </c>
      <c r="E24" s="71"/>
      <c r="F24" s="71"/>
      <c r="G24" s="71"/>
      <c r="H24" s="71"/>
      <c r="I24" s="71"/>
      <c r="J24" s="71"/>
      <c r="K24" s="71"/>
      <c r="L24" s="71"/>
      <c r="M24" s="72"/>
      <c r="N24" s="49"/>
      <c r="O24" s="50"/>
      <c r="P24" s="43"/>
      <c r="Q24" s="44"/>
      <c r="R24" s="44"/>
      <c r="S24" s="44"/>
      <c r="T24" s="44"/>
      <c r="U24" s="51"/>
      <c r="V24" s="23"/>
    </row>
    <row r="25" spans="1:22" ht="14.4" customHeight="1" x14ac:dyDescent="0.3">
      <c r="A25" s="43"/>
      <c r="B25" s="44"/>
      <c r="C25" s="45"/>
      <c r="D25" s="46"/>
      <c r="E25" s="47"/>
      <c r="F25" s="47"/>
      <c r="G25" s="47"/>
      <c r="H25" s="47"/>
      <c r="I25" s="47"/>
      <c r="J25" s="47"/>
      <c r="K25" s="47"/>
      <c r="L25" s="47"/>
      <c r="M25" s="48"/>
      <c r="N25" s="49"/>
      <c r="O25" s="50"/>
      <c r="P25" s="43"/>
      <c r="Q25" s="44"/>
      <c r="R25" s="44"/>
      <c r="S25" s="44"/>
      <c r="T25" s="44"/>
      <c r="U25" s="51"/>
      <c r="V25" s="23"/>
    </row>
    <row r="26" spans="1:22" x14ac:dyDescent="0.3">
      <c r="A26" s="43"/>
      <c r="B26" s="44"/>
      <c r="C26" s="45"/>
      <c r="D26" s="46"/>
      <c r="E26" s="47"/>
      <c r="F26" s="47"/>
      <c r="G26" s="47"/>
      <c r="H26" s="47"/>
      <c r="I26" s="47"/>
      <c r="J26" s="47"/>
      <c r="K26" s="47"/>
      <c r="L26" s="47"/>
      <c r="M26" s="48"/>
      <c r="N26" s="49"/>
      <c r="O26" s="50"/>
      <c r="P26" s="43"/>
      <c r="Q26" s="44"/>
      <c r="R26" s="44"/>
      <c r="S26" s="44"/>
      <c r="T26" s="44"/>
      <c r="U26" s="51"/>
      <c r="V26" s="23"/>
    </row>
    <row r="27" spans="1:22" x14ac:dyDescent="0.3">
      <c r="A27" s="43"/>
      <c r="B27" s="44"/>
      <c r="C27" s="45"/>
      <c r="D27" s="46"/>
      <c r="E27" s="47"/>
      <c r="F27" s="47"/>
      <c r="G27" s="47"/>
      <c r="H27" s="47"/>
      <c r="I27" s="47"/>
      <c r="J27" s="47"/>
      <c r="K27" s="47"/>
      <c r="L27" s="47"/>
      <c r="M27" s="48"/>
      <c r="N27" s="49"/>
      <c r="O27" s="50"/>
      <c r="P27" s="43"/>
      <c r="Q27" s="44"/>
      <c r="R27" s="44"/>
      <c r="S27" s="44"/>
      <c r="T27" s="44"/>
      <c r="U27" s="51"/>
      <c r="V27" s="23"/>
    </row>
    <row r="28" spans="1:22" x14ac:dyDescent="0.3">
      <c r="A28" s="43"/>
      <c r="B28" s="44"/>
      <c r="C28" s="45"/>
      <c r="D28" s="159"/>
      <c r="E28" s="160"/>
      <c r="F28" s="160"/>
      <c r="G28" s="160"/>
      <c r="H28" s="160"/>
      <c r="I28" s="160"/>
      <c r="J28" s="160"/>
      <c r="K28" s="160"/>
      <c r="L28" s="160"/>
      <c r="M28" s="161"/>
      <c r="N28" s="162"/>
      <c r="O28" s="163"/>
      <c r="P28" s="43"/>
      <c r="Q28" s="44"/>
      <c r="R28" s="44"/>
      <c r="S28" s="44"/>
      <c r="T28" s="44"/>
      <c r="U28" s="51"/>
      <c r="V28" s="23"/>
    </row>
    <row r="29" spans="1:22" x14ac:dyDescent="0.3">
      <c r="A29" s="43"/>
      <c r="B29" s="44"/>
      <c r="C29" s="45"/>
      <c r="D29" s="167"/>
      <c r="E29" s="168"/>
      <c r="F29" s="168"/>
      <c r="G29" s="168"/>
      <c r="H29" s="168"/>
      <c r="I29" s="168"/>
      <c r="J29" s="168"/>
      <c r="K29" s="168"/>
      <c r="L29" s="168"/>
      <c r="M29" s="169"/>
      <c r="N29" s="170"/>
      <c r="O29" s="171"/>
      <c r="P29" s="43"/>
      <c r="Q29" s="44"/>
      <c r="R29" s="44"/>
      <c r="S29" s="44"/>
      <c r="T29" s="44"/>
      <c r="U29" s="51"/>
      <c r="V29" s="23"/>
    </row>
    <row r="30" spans="1:22" ht="14.4" customHeight="1" x14ac:dyDescent="0.3">
      <c r="A30" s="164"/>
      <c r="B30" s="165"/>
      <c r="C30" s="166"/>
      <c r="D30" s="159"/>
      <c r="E30" s="160"/>
      <c r="F30" s="160"/>
      <c r="G30" s="160"/>
      <c r="H30" s="160"/>
      <c r="I30" s="160"/>
      <c r="J30" s="160"/>
      <c r="K30" s="160"/>
      <c r="L30" s="160"/>
      <c r="M30" s="161"/>
      <c r="N30" s="162"/>
      <c r="O30" s="163"/>
      <c r="P30" s="164"/>
      <c r="Q30" s="165"/>
      <c r="R30" s="165"/>
      <c r="S30" s="165"/>
      <c r="T30" s="165"/>
      <c r="U30" s="166"/>
      <c r="V30" s="23"/>
    </row>
    <row r="31" spans="1:22" ht="14.4" customHeight="1" x14ac:dyDescent="0.3">
      <c r="A31" s="164"/>
      <c r="B31" s="165"/>
      <c r="C31" s="166"/>
      <c r="D31" s="159"/>
      <c r="E31" s="160"/>
      <c r="F31" s="160"/>
      <c r="G31" s="160"/>
      <c r="H31" s="160"/>
      <c r="I31" s="160"/>
      <c r="J31" s="160"/>
      <c r="K31" s="160"/>
      <c r="L31" s="160"/>
      <c r="M31" s="161"/>
      <c r="N31" s="162"/>
      <c r="O31" s="163"/>
      <c r="P31" s="164"/>
      <c r="Q31" s="165"/>
      <c r="R31" s="165"/>
      <c r="S31" s="165"/>
      <c r="T31" s="165"/>
      <c r="U31" s="166"/>
      <c r="V31" s="23"/>
    </row>
    <row r="32" spans="1:22" ht="14.4" customHeight="1" x14ac:dyDescent="0.3">
      <c r="A32" s="164"/>
      <c r="B32" s="165"/>
      <c r="C32" s="166"/>
      <c r="D32" s="159"/>
      <c r="E32" s="160"/>
      <c r="F32" s="160"/>
      <c r="G32" s="160"/>
      <c r="H32" s="160"/>
      <c r="I32" s="160"/>
      <c r="J32" s="160"/>
      <c r="K32" s="160"/>
      <c r="L32" s="160"/>
      <c r="M32" s="161"/>
      <c r="N32" s="162"/>
      <c r="O32" s="163"/>
      <c r="P32" s="164"/>
      <c r="Q32" s="165"/>
      <c r="R32" s="165"/>
      <c r="S32" s="165"/>
      <c r="T32" s="165"/>
      <c r="U32" s="166"/>
      <c r="V32" s="23"/>
    </row>
    <row r="33" spans="1:22" ht="14.4" customHeight="1" x14ac:dyDescent="0.3">
      <c r="A33" s="164"/>
      <c r="B33" s="165"/>
      <c r="C33" s="166"/>
      <c r="D33" s="159"/>
      <c r="E33" s="160"/>
      <c r="F33" s="160"/>
      <c r="G33" s="160"/>
      <c r="H33" s="160"/>
      <c r="I33" s="160"/>
      <c r="J33" s="160"/>
      <c r="K33" s="160"/>
      <c r="L33" s="160"/>
      <c r="M33" s="161"/>
      <c r="N33" s="162"/>
      <c r="O33" s="163"/>
      <c r="P33" s="164"/>
      <c r="Q33" s="165"/>
      <c r="R33" s="165"/>
      <c r="S33" s="165"/>
      <c r="T33" s="165"/>
      <c r="U33" s="166"/>
      <c r="V33" s="23"/>
    </row>
    <row r="34" spans="1:22" x14ac:dyDescent="0.3">
      <c r="A34" s="43"/>
      <c r="B34" s="44"/>
      <c r="C34" s="45"/>
      <c r="D34" s="46"/>
      <c r="E34" s="47"/>
      <c r="F34" s="47"/>
      <c r="G34" s="47"/>
      <c r="H34" s="47"/>
      <c r="I34" s="47"/>
      <c r="J34" s="47"/>
      <c r="K34" s="47"/>
      <c r="L34" s="47"/>
      <c r="M34" s="48"/>
      <c r="N34" s="49"/>
      <c r="O34" s="50"/>
      <c r="P34" s="43"/>
      <c r="Q34" s="44"/>
      <c r="R34" s="44"/>
      <c r="S34" s="44"/>
      <c r="T34" s="44"/>
      <c r="U34" s="51"/>
      <c r="V34" s="23"/>
    </row>
    <row r="35" spans="1:22" x14ac:dyDescent="0.3">
      <c r="A35" s="43"/>
      <c r="B35" s="44"/>
      <c r="C35" s="45"/>
      <c r="D35" s="46"/>
      <c r="E35" s="47"/>
      <c r="F35" s="47"/>
      <c r="G35" s="47"/>
      <c r="H35" s="47"/>
      <c r="I35" s="47"/>
      <c r="J35" s="47"/>
      <c r="K35" s="47"/>
      <c r="L35" s="47"/>
      <c r="M35" s="48"/>
      <c r="N35" s="49"/>
      <c r="O35" s="50"/>
      <c r="P35" s="43"/>
      <c r="Q35" s="44"/>
      <c r="R35" s="44"/>
      <c r="S35" s="44"/>
      <c r="T35" s="44"/>
      <c r="U35" s="51"/>
      <c r="V35" s="23"/>
    </row>
    <row r="36" spans="1:22" x14ac:dyDescent="0.3">
      <c r="A36" s="43"/>
      <c r="B36" s="44"/>
      <c r="C36" s="45"/>
      <c r="D36" s="46"/>
      <c r="E36" s="47"/>
      <c r="F36" s="47"/>
      <c r="G36" s="47"/>
      <c r="H36" s="47"/>
      <c r="I36" s="47"/>
      <c r="J36" s="47"/>
      <c r="K36" s="47"/>
      <c r="L36" s="47"/>
      <c r="M36" s="48"/>
      <c r="N36" s="49"/>
      <c r="O36" s="50"/>
      <c r="P36" s="43"/>
      <c r="Q36" s="44"/>
      <c r="R36" s="44"/>
      <c r="S36" s="44"/>
      <c r="T36" s="44"/>
      <c r="U36" s="51"/>
      <c r="V36" s="23"/>
    </row>
    <row r="37" spans="1:22" x14ac:dyDescent="0.3">
      <c r="A37" s="43"/>
      <c r="B37" s="44"/>
      <c r="C37" s="45"/>
      <c r="D37" s="46"/>
      <c r="E37" s="47"/>
      <c r="F37" s="47"/>
      <c r="G37" s="47"/>
      <c r="H37" s="47"/>
      <c r="I37" s="47"/>
      <c r="J37" s="47"/>
      <c r="K37" s="47"/>
      <c r="L37" s="47"/>
      <c r="M37" s="48"/>
      <c r="N37" s="49"/>
      <c r="O37" s="50"/>
      <c r="P37" s="43"/>
      <c r="Q37" s="44"/>
      <c r="R37" s="44"/>
      <c r="S37" s="44"/>
      <c r="T37" s="44"/>
      <c r="U37" s="51"/>
      <c r="V37" s="23"/>
    </row>
    <row r="38" spans="1:22" x14ac:dyDescent="0.3">
      <c r="A38" s="43"/>
      <c r="B38" s="44"/>
      <c r="C38" s="45"/>
      <c r="D38" s="46"/>
      <c r="E38" s="47"/>
      <c r="F38" s="47"/>
      <c r="G38" s="47"/>
      <c r="H38" s="47"/>
      <c r="I38" s="47"/>
      <c r="J38" s="47"/>
      <c r="K38" s="47"/>
      <c r="L38" s="47"/>
      <c r="M38" s="48"/>
      <c r="N38" s="49"/>
      <c r="O38" s="50"/>
      <c r="P38" s="43"/>
      <c r="Q38" s="44"/>
      <c r="R38" s="44"/>
      <c r="S38" s="44"/>
      <c r="T38" s="44"/>
      <c r="U38" s="51"/>
      <c r="V38" s="23"/>
    </row>
    <row r="39" spans="1:22" ht="15" thickBot="1" x14ac:dyDescent="0.35">
      <c r="A39" s="61"/>
      <c r="B39" s="62"/>
      <c r="C39" s="63"/>
      <c r="D39" s="147"/>
      <c r="E39" s="148"/>
      <c r="F39" s="148"/>
      <c r="G39" s="148"/>
      <c r="H39" s="148"/>
      <c r="I39" s="148"/>
      <c r="J39" s="148"/>
      <c r="K39" s="148"/>
      <c r="L39" s="148"/>
      <c r="M39" s="149"/>
      <c r="N39" s="64"/>
      <c r="O39" s="65"/>
      <c r="P39" s="61"/>
      <c r="Q39" s="62"/>
      <c r="R39" s="62"/>
      <c r="S39" s="62"/>
      <c r="T39" s="62"/>
      <c r="U39" s="66"/>
      <c r="V39" s="23"/>
    </row>
    <row r="40" spans="1:22" x14ac:dyDescent="0.3">
      <c r="A40" s="53" t="s">
        <v>93</v>
      </c>
      <c r="B40" s="54"/>
      <c r="C40" s="54"/>
      <c r="D40" s="54"/>
      <c r="E40" s="54"/>
      <c r="F40" s="55"/>
      <c r="G40" s="59" t="s">
        <v>94</v>
      </c>
      <c r="H40" s="54"/>
      <c r="I40" s="54"/>
      <c r="J40" s="54"/>
      <c r="K40" s="54"/>
      <c r="L40" s="54"/>
      <c r="M40" s="55"/>
      <c r="N40" s="59" t="s">
        <v>95</v>
      </c>
      <c r="O40" s="54"/>
      <c r="P40" s="54"/>
      <c r="Q40" s="54"/>
      <c r="R40" s="54"/>
      <c r="S40" s="54"/>
      <c r="T40" s="54"/>
      <c r="U40" s="55"/>
      <c r="V40" s="23"/>
    </row>
    <row r="41" spans="1:22" x14ac:dyDescent="0.3">
      <c r="A41" s="53"/>
      <c r="B41" s="54"/>
      <c r="C41" s="54"/>
      <c r="D41" s="54"/>
      <c r="E41" s="54"/>
      <c r="F41" s="55"/>
      <c r="G41" s="59"/>
      <c r="H41" s="54"/>
      <c r="I41" s="54"/>
      <c r="J41" s="54"/>
      <c r="K41" s="54"/>
      <c r="L41" s="54"/>
      <c r="M41" s="55"/>
      <c r="N41" s="59"/>
      <c r="O41" s="54"/>
      <c r="P41" s="54"/>
      <c r="Q41" s="54"/>
      <c r="R41" s="54"/>
      <c r="S41" s="54"/>
      <c r="T41" s="54"/>
      <c r="U41" s="55"/>
      <c r="V41" s="21"/>
    </row>
    <row r="42" spans="1:22" ht="15" thickBot="1" x14ac:dyDescent="0.35">
      <c r="A42" s="56"/>
      <c r="B42" s="57"/>
      <c r="C42" s="57"/>
      <c r="D42" s="57"/>
      <c r="E42" s="57"/>
      <c r="F42" s="58"/>
      <c r="G42" s="60"/>
      <c r="H42" s="57"/>
      <c r="I42" s="57"/>
      <c r="J42" s="57"/>
      <c r="K42" s="57"/>
      <c r="L42" s="57"/>
      <c r="M42" s="58"/>
      <c r="N42" s="60"/>
      <c r="O42" s="57"/>
      <c r="P42" s="57"/>
      <c r="Q42" s="57"/>
      <c r="R42" s="57"/>
      <c r="S42" s="57"/>
      <c r="T42" s="57"/>
      <c r="U42" s="58"/>
      <c r="V42" s="21"/>
    </row>
    <row r="43" spans="1:22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</row>
    <row r="44" spans="1:22" x14ac:dyDescent="0.3">
      <c r="A44" s="22"/>
    </row>
  </sheetData>
  <mergeCells count="140">
    <mergeCell ref="A39:C39"/>
    <mergeCell ref="D39:M39"/>
    <mergeCell ref="N39:O39"/>
    <mergeCell ref="P39:U39"/>
    <mergeCell ref="A40:F42"/>
    <mergeCell ref="G40:M42"/>
    <mergeCell ref="N40:U42"/>
    <mergeCell ref="A37:C37"/>
    <mergeCell ref="D37:M37"/>
    <mergeCell ref="N37:O37"/>
    <mergeCell ref="P37:U37"/>
    <mergeCell ref="A38:C38"/>
    <mergeCell ref="D38:M38"/>
    <mergeCell ref="N38:O38"/>
    <mergeCell ref="P38:U38"/>
    <mergeCell ref="A35:C35"/>
    <mergeCell ref="D35:M35"/>
    <mergeCell ref="N35:O35"/>
    <mergeCell ref="P35:U35"/>
    <mergeCell ref="A36:C36"/>
    <mergeCell ref="D36:M36"/>
    <mergeCell ref="N36:O36"/>
    <mergeCell ref="P36:U36"/>
    <mergeCell ref="A33:C33"/>
    <mergeCell ref="D33:M33"/>
    <mergeCell ref="N33:O33"/>
    <mergeCell ref="P33:U33"/>
    <mergeCell ref="A34:C34"/>
    <mergeCell ref="D34:M34"/>
    <mergeCell ref="N34:O34"/>
    <mergeCell ref="P34:U34"/>
    <mergeCell ref="A31:C31"/>
    <mergeCell ref="D31:M31"/>
    <mergeCell ref="N31:O31"/>
    <mergeCell ref="P31:U31"/>
    <mergeCell ref="A32:C32"/>
    <mergeCell ref="D32:M32"/>
    <mergeCell ref="N32:O32"/>
    <mergeCell ref="P32:U32"/>
    <mergeCell ref="A29:C29"/>
    <mergeCell ref="D29:M29"/>
    <mergeCell ref="N29:O29"/>
    <mergeCell ref="P29:U29"/>
    <mergeCell ref="A30:C30"/>
    <mergeCell ref="D30:M30"/>
    <mergeCell ref="N30:O30"/>
    <mergeCell ref="P30:U30"/>
    <mergeCell ref="A27:C27"/>
    <mergeCell ref="D27:M27"/>
    <mergeCell ref="N27:O27"/>
    <mergeCell ref="P27:U27"/>
    <mergeCell ref="A28:C28"/>
    <mergeCell ref="D28:M28"/>
    <mergeCell ref="N28:O28"/>
    <mergeCell ref="P28:U28"/>
    <mergeCell ref="A25:C25"/>
    <mergeCell ref="D25:M25"/>
    <mergeCell ref="N25:O25"/>
    <mergeCell ref="P25:U25"/>
    <mergeCell ref="A26:C26"/>
    <mergeCell ref="D26:M26"/>
    <mergeCell ref="N26:O26"/>
    <mergeCell ref="P26:U26"/>
    <mergeCell ref="A23:C23"/>
    <mergeCell ref="D23:M23"/>
    <mergeCell ref="N23:O23"/>
    <mergeCell ref="P23:U23"/>
    <mergeCell ref="A24:C24"/>
    <mergeCell ref="D24:M24"/>
    <mergeCell ref="N24:O24"/>
    <mergeCell ref="P24:U24"/>
    <mergeCell ref="A21:C21"/>
    <mergeCell ref="D21:M21"/>
    <mergeCell ref="N21:O21"/>
    <mergeCell ref="P21:U21"/>
    <mergeCell ref="A22:C22"/>
    <mergeCell ref="D22:M22"/>
    <mergeCell ref="N22:O22"/>
    <mergeCell ref="P22:U22"/>
    <mergeCell ref="A20:C20"/>
    <mergeCell ref="D20:M20"/>
    <mergeCell ref="N20:O20"/>
    <mergeCell ref="P20:U20"/>
    <mergeCell ref="K17:L17"/>
    <mergeCell ref="M17:N17"/>
    <mergeCell ref="O17:P17"/>
    <mergeCell ref="Q17:R17"/>
    <mergeCell ref="A18:C18"/>
    <mergeCell ref="D18:F18"/>
    <mergeCell ref="G18:M18"/>
    <mergeCell ref="N18:U18"/>
    <mergeCell ref="A16:D16"/>
    <mergeCell ref="E16:F16"/>
    <mergeCell ref="G16:K16"/>
    <mergeCell ref="L16:Q16"/>
    <mergeCell ref="R16:U16"/>
    <mergeCell ref="A19:C19"/>
    <mergeCell ref="D19:F19"/>
    <mergeCell ref="G19:M19"/>
    <mergeCell ref="N19:U19"/>
    <mergeCell ref="A14:D14"/>
    <mergeCell ref="E14:F14"/>
    <mergeCell ref="G14:K14"/>
    <mergeCell ref="L14:Q14"/>
    <mergeCell ref="R14:U14"/>
    <mergeCell ref="A15:D15"/>
    <mergeCell ref="E15:F15"/>
    <mergeCell ref="G15:K15"/>
    <mergeCell ref="L15:Q15"/>
    <mergeCell ref="R15:U15"/>
    <mergeCell ref="A12:D12"/>
    <mergeCell ref="E12:F12"/>
    <mergeCell ref="G12:K12"/>
    <mergeCell ref="L12:Q12"/>
    <mergeCell ref="R12:U12"/>
    <mergeCell ref="A13:D13"/>
    <mergeCell ref="E13:F13"/>
    <mergeCell ref="G13:K13"/>
    <mergeCell ref="L13:Q13"/>
    <mergeCell ref="R13:U13"/>
    <mergeCell ref="A10:D10"/>
    <mergeCell ref="E10:F10"/>
    <mergeCell ref="G10:K10"/>
    <mergeCell ref="L10:Q10"/>
    <mergeCell ref="R10:U10"/>
    <mergeCell ref="A11:D11"/>
    <mergeCell ref="E11:F11"/>
    <mergeCell ref="G11:K11"/>
    <mergeCell ref="L11:Q11"/>
    <mergeCell ref="R11:U11"/>
    <mergeCell ref="A2:M4"/>
    <mergeCell ref="N2:U2"/>
    <mergeCell ref="N3:U3"/>
    <mergeCell ref="N4:O4"/>
    <mergeCell ref="P4:U4"/>
    <mergeCell ref="A5:M7"/>
    <mergeCell ref="A9:D9"/>
    <mergeCell ref="E9:K9"/>
    <mergeCell ref="L9:Q9"/>
    <mergeCell ref="R9:U9"/>
  </mergeCells>
  <printOptions horizontalCentered="1"/>
  <pageMargins left="0.25" right="0.25" top="0.75" bottom="0.75" header="0.3" footer="0.3"/>
  <pageSetup paperSize="9" scale="7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DCEA1-00C2-45B5-A564-25FBBA9DFE51}">
  <dimension ref="A1:E24"/>
  <sheetViews>
    <sheetView tabSelected="1" workbookViewId="0">
      <selection activeCell="I18" sqref="I18"/>
    </sheetView>
  </sheetViews>
  <sheetFormatPr defaultRowHeight="14.4" x14ac:dyDescent="0.3"/>
  <cols>
    <col min="1" max="1" width="19.6640625" style="32" bestFit="1" customWidth="1"/>
    <col min="2" max="2" width="16.6640625" bestFit="1" customWidth="1"/>
    <col min="3" max="3" width="27.21875" bestFit="1" customWidth="1"/>
    <col min="4" max="4" width="9.88671875" style="34" bestFit="1" customWidth="1"/>
    <col min="5" max="5" width="10.33203125" style="34" bestFit="1" customWidth="1"/>
  </cols>
  <sheetData>
    <row r="1" spans="1:5" s="36" customFormat="1" x14ac:dyDescent="0.3">
      <c r="A1" s="35" t="s">
        <v>207</v>
      </c>
      <c r="D1" s="36" t="s">
        <v>208</v>
      </c>
      <c r="E1" s="38">
        <v>46161</v>
      </c>
    </row>
    <row r="2" spans="1:5" s="36" customFormat="1" x14ac:dyDescent="0.3">
      <c r="A2" s="35" t="s">
        <v>225</v>
      </c>
      <c r="D2" s="38"/>
      <c r="E2" s="38"/>
    </row>
    <row r="3" spans="1:5" s="36" customFormat="1" x14ac:dyDescent="0.3">
      <c r="A3" s="35" t="s">
        <v>213</v>
      </c>
      <c r="D3" s="31"/>
      <c r="E3" s="31"/>
    </row>
    <row r="4" spans="1:5" s="36" customFormat="1" x14ac:dyDescent="0.3">
      <c r="A4" s="35" t="s">
        <v>209</v>
      </c>
      <c r="B4" s="36" t="s">
        <v>210</v>
      </c>
      <c r="D4" s="31" t="s">
        <v>212</v>
      </c>
      <c r="E4" s="31" t="s">
        <v>226</v>
      </c>
    </row>
    <row r="5" spans="1:5" x14ac:dyDescent="0.3">
      <c r="A5" s="39">
        <v>1</v>
      </c>
      <c r="B5" s="40" t="s">
        <v>211</v>
      </c>
      <c r="C5" s="41" t="s">
        <v>229</v>
      </c>
      <c r="D5" s="42">
        <v>1</v>
      </c>
      <c r="E5" s="42" t="s">
        <v>227</v>
      </c>
    </row>
    <row r="6" spans="1:5" x14ac:dyDescent="0.3">
      <c r="A6" s="39">
        <v>2</v>
      </c>
      <c r="B6" s="40" t="s">
        <v>211</v>
      </c>
      <c r="C6" s="41" t="s">
        <v>214</v>
      </c>
      <c r="D6" s="42">
        <v>2</v>
      </c>
      <c r="E6" s="42" t="s">
        <v>227</v>
      </c>
    </row>
    <row r="7" spans="1:5" x14ac:dyDescent="0.3">
      <c r="A7" s="39">
        <v>3</v>
      </c>
      <c r="B7" s="40" t="s">
        <v>211</v>
      </c>
      <c r="C7" s="41" t="s">
        <v>230</v>
      </c>
      <c r="D7" s="42">
        <v>2</v>
      </c>
      <c r="E7" s="42" t="s">
        <v>227</v>
      </c>
    </row>
    <row r="8" spans="1:5" x14ac:dyDescent="0.3">
      <c r="A8" s="39">
        <v>4</v>
      </c>
      <c r="B8" s="40" t="s">
        <v>211</v>
      </c>
      <c r="C8" s="41" t="s">
        <v>215</v>
      </c>
      <c r="D8" s="42">
        <v>2</v>
      </c>
      <c r="E8" s="42" t="s">
        <v>227</v>
      </c>
    </row>
    <row r="9" spans="1:5" x14ac:dyDescent="0.3">
      <c r="A9" s="39">
        <v>5</v>
      </c>
      <c r="B9" s="40" t="s">
        <v>211</v>
      </c>
      <c r="C9" s="41" t="s">
        <v>231</v>
      </c>
      <c r="D9" s="42">
        <v>1</v>
      </c>
      <c r="E9" s="42" t="s">
        <v>227</v>
      </c>
    </row>
    <row r="10" spans="1:5" x14ac:dyDescent="0.3">
      <c r="A10" s="39">
        <v>6</v>
      </c>
      <c r="B10" s="40" t="s">
        <v>211</v>
      </c>
      <c r="C10" s="41" t="s">
        <v>232</v>
      </c>
      <c r="D10" s="42">
        <v>1</v>
      </c>
      <c r="E10" s="42" t="s">
        <v>227</v>
      </c>
    </row>
    <row r="11" spans="1:5" x14ac:dyDescent="0.3">
      <c r="C11" s="33"/>
    </row>
    <row r="12" spans="1:5" s="36" customFormat="1" x14ac:dyDescent="0.3">
      <c r="A12" s="35" t="s">
        <v>216</v>
      </c>
      <c r="C12" s="37"/>
      <c r="D12" s="31"/>
      <c r="E12" s="31"/>
    </row>
    <row r="13" spans="1:5" s="36" customFormat="1" x14ac:dyDescent="0.3">
      <c r="A13" s="35" t="s">
        <v>209</v>
      </c>
      <c r="B13" s="36" t="s">
        <v>210</v>
      </c>
      <c r="D13" s="31" t="s">
        <v>212</v>
      </c>
      <c r="E13" s="31" t="s">
        <v>226</v>
      </c>
    </row>
    <row r="14" spans="1:5" x14ac:dyDescent="0.3">
      <c r="A14" s="39">
        <v>7</v>
      </c>
      <c r="B14" s="40" t="s">
        <v>211</v>
      </c>
      <c r="C14" s="41" t="s">
        <v>233</v>
      </c>
      <c r="D14" s="42">
        <v>10</v>
      </c>
      <c r="E14" s="42" t="s">
        <v>228</v>
      </c>
    </row>
    <row r="15" spans="1:5" x14ac:dyDescent="0.3">
      <c r="A15" s="39">
        <v>8</v>
      </c>
      <c r="B15" s="40" t="s">
        <v>211</v>
      </c>
      <c r="C15" s="41" t="s">
        <v>234</v>
      </c>
      <c r="D15" s="42">
        <v>10</v>
      </c>
      <c r="E15" s="42" t="s">
        <v>228</v>
      </c>
    </row>
    <row r="16" spans="1:5" x14ac:dyDescent="0.3">
      <c r="A16" s="39">
        <v>9</v>
      </c>
      <c r="B16" s="40" t="s">
        <v>211</v>
      </c>
      <c r="C16" s="41" t="s">
        <v>217</v>
      </c>
      <c r="D16" s="42">
        <v>2</v>
      </c>
      <c r="E16" s="42" t="s">
        <v>228</v>
      </c>
    </row>
    <row r="17" spans="1:5" x14ac:dyDescent="0.3">
      <c r="A17" s="39">
        <v>10</v>
      </c>
      <c r="B17" s="40" t="s">
        <v>211</v>
      </c>
      <c r="C17" s="41" t="s">
        <v>218</v>
      </c>
      <c r="D17" s="42">
        <v>4</v>
      </c>
      <c r="E17" s="42" t="s">
        <v>228</v>
      </c>
    </row>
    <row r="18" spans="1:5" x14ac:dyDescent="0.3">
      <c r="A18" s="39">
        <v>11</v>
      </c>
      <c r="B18" s="40" t="s">
        <v>211</v>
      </c>
      <c r="C18" s="41" t="s">
        <v>219</v>
      </c>
      <c r="D18" s="42">
        <v>2</v>
      </c>
      <c r="E18" s="42" t="s">
        <v>227</v>
      </c>
    </row>
    <row r="19" spans="1:5" x14ac:dyDescent="0.3">
      <c r="A19" s="39">
        <v>12</v>
      </c>
      <c r="B19" s="40" t="s">
        <v>211</v>
      </c>
      <c r="C19" s="41" t="s">
        <v>220</v>
      </c>
      <c r="D19" s="42">
        <v>2</v>
      </c>
      <c r="E19" s="42" t="s">
        <v>227</v>
      </c>
    </row>
    <row r="20" spans="1:5" x14ac:dyDescent="0.3">
      <c r="A20" s="39">
        <v>13</v>
      </c>
      <c r="B20" s="40" t="s">
        <v>211</v>
      </c>
      <c r="C20" s="41" t="s">
        <v>221</v>
      </c>
      <c r="D20" s="42">
        <v>2</v>
      </c>
      <c r="E20" s="42" t="s">
        <v>227</v>
      </c>
    </row>
    <row r="21" spans="1:5" x14ac:dyDescent="0.3">
      <c r="A21" s="39">
        <v>14</v>
      </c>
      <c r="B21" s="40" t="s">
        <v>222</v>
      </c>
      <c r="C21" s="40" t="s">
        <v>235</v>
      </c>
      <c r="D21" s="42">
        <v>1</v>
      </c>
      <c r="E21" s="42" t="s">
        <v>227</v>
      </c>
    </row>
    <row r="22" spans="1:5" x14ac:dyDescent="0.3">
      <c r="A22" s="39">
        <v>15</v>
      </c>
      <c r="B22" s="40" t="s">
        <v>222</v>
      </c>
      <c r="C22" s="40" t="s">
        <v>236</v>
      </c>
      <c r="D22" s="42">
        <v>2</v>
      </c>
      <c r="E22" s="42" t="s">
        <v>227</v>
      </c>
    </row>
    <row r="23" spans="1:5" x14ac:dyDescent="0.3">
      <c r="A23" s="39">
        <v>16</v>
      </c>
      <c r="B23" s="40"/>
      <c r="C23" s="40" t="s">
        <v>223</v>
      </c>
      <c r="D23" s="42">
        <v>6</v>
      </c>
      <c r="E23" s="42" t="s">
        <v>227</v>
      </c>
    </row>
    <row r="24" spans="1:5" x14ac:dyDescent="0.3">
      <c r="A24" s="39">
        <v>17</v>
      </c>
      <c r="B24" s="40"/>
      <c r="C24" s="40" t="s">
        <v>224</v>
      </c>
      <c r="D24" s="42">
        <v>4</v>
      </c>
      <c r="E24" s="42" t="s">
        <v>228</v>
      </c>
    </row>
  </sheetData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DN_register</vt:lpstr>
      <vt:lpstr>Delivery Note P1</vt:lpstr>
      <vt:lpstr>Delivery Note P2</vt:lpstr>
      <vt:lpstr>Delivery Note P3</vt:lpstr>
      <vt:lpstr>Sheet1</vt:lpstr>
      <vt:lpstr>'Delivery Note P3'!Print_Area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Tebello Lelosa</dc:creator>
  <cp:lastModifiedBy>Tebello Lelosa</cp:lastModifiedBy>
  <cp:lastPrinted>2026-05-19T10:02:47Z</cp:lastPrinted>
  <dcterms:created xsi:type="dcterms:W3CDTF">2025-10-30T09:24:50Z</dcterms:created>
  <dcterms:modified xsi:type="dcterms:W3CDTF">2026-05-19T12:19:12Z</dcterms:modified>
</cp:coreProperties>
</file>