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1. Daily Sales Order Files/3_Live_Reports/"/>
    </mc:Choice>
  </mc:AlternateContent>
  <xr:revisionPtr revIDLastSave="40" documentId="11_3881204D83B31503DBFD81B9E4FA95223F1A51F1" xr6:coauthVersionLast="47" xr6:coauthVersionMax="47" xr10:uidLastSave="{37DFD561-6027-4955-B8ED-B632E6105E2D}"/>
  <bookViews>
    <workbookView xWindow="-108" yWindow="-108" windowWidth="23256" windowHeight="12456" firstSheet="10" activeTab="16" xr2:uid="{00000000-000D-0000-FFFF-FFFF00000000}"/>
  </bookViews>
  <sheets>
    <sheet name="04.05.2026" sheetId="1" r:id="rId1"/>
    <sheet name="05.05.2026" sheetId="2" r:id="rId2"/>
    <sheet name="06.05.2026" sheetId="3" r:id="rId3"/>
    <sheet name="07.05.2026" sheetId="4" r:id="rId4"/>
    <sheet name="08.05.2026" sheetId="5" r:id="rId5"/>
    <sheet name="11.05.2026" sheetId="6" r:id="rId6"/>
    <sheet name="12.05.2026" sheetId="7" r:id="rId7"/>
    <sheet name="13.05.2026" sheetId="8" r:id="rId8"/>
    <sheet name="14.05.2026" sheetId="9" r:id="rId9"/>
    <sheet name="15.05.2026" sheetId="10" r:id="rId10"/>
    <sheet name="18.05.2026" sheetId="11" r:id="rId11"/>
    <sheet name="19.05.2026" sheetId="12" r:id="rId12"/>
    <sheet name="20.05.2026" sheetId="13" r:id="rId13"/>
    <sheet name="21.05.2026" sheetId="14" r:id="rId14"/>
    <sheet name="25.05.2026" sheetId="15" r:id="rId15"/>
    <sheet name="28.05.2026" sheetId="16" r:id="rId16"/>
    <sheet name="29.05.2026" sheetId="17" r:id="rId17"/>
  </sheets>
  <definedNames>
    <definedName name="_xlnm.Print_Area" localSheetId="0">'04.05.2026'!$A$1:$L$39</definedName>
    <definedName name="_xlnm.Print_Area" localSheetId="1">'05.05.2026'!$A$1:$L$32</definedName>
    <definedName name="_xlnm.Print_Area" localSheetId="2">'06.05.2026'!$A$1:$L$30</definedName>
    <definedName name="_xlnm.Print_Area" localSheetId="3">'07.05.2026'!$A$1:$L$39</definedName>
    <definedName name="_xlnm.Print_Area" localSheetId="4">'08.05.2026'!$A$1:$L$29</definedName>
    <definedName name="_xlnm.Print_Area" localSheetId="5">'11.05.2026'!$A$1:$L$30</definedName>
    <definedName name="_xlnm.Print_Area" localSheetId="6">'12.05.2026'!$A$1:$L$41</definedName>
    <definedName name="_xlnm.Print_Area" localSheetId="7">'13.05.2026'!$A$1:$L$35</definedName>
    <definedName name="_xlnm.Print_Area" localSheetId="8">'14.05.2026'!$A$1:$L$33</definedName>
    <definedName name="_xlnm.Print_Area" localSheetId="9">'15.05.2026'!$A$1:$L$37</definedName>
    <definedName name="_xlnm.Print_Area" localSheetId="10">'18.05.2026'!$A$1:$L$37</definedName>
    <definedName name="_xlnm.Print_Area" localSheetId="11">'19.05.2026'!$A$1:$L$36</definedName>
    <definedName name="_xlnm.Print_Area" localSheetId="12">'20.05.2026'!$A$1:$L$37</definedName>
    <definedName name="_xlnm.Print_Area" localSheetId="13">'21.05.2026'!$A$1:$L$36</definedName>
    <definedName name="_xlnm.Print_Area" localSheetId="14">'25.05.2026'!$A$1:$L$35</definedName>
    <definedName name="_xlnm.Print_Area" localSheetId="15">'28.05.2026'!$A$1:$L$34</definedName>
    <definedName name="_xlnm.Print_Area" localSheetId="16">'29.05.2026'!$A$1:$L$38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7" l="1"/>
  <c r="G33" i="17"/>
  <c r="G23" i="17"/>
  <c r="L22" i="17"/>
  <c r="L21" i="17"/>
  <c r="L13" i="17"/>
  <c r="L12" i="17"/>
  <c r="L11" i="17"/>
  <c r="L10" i="17"/>
  <c r="L8" i="17"/>
  <c r="L7" i="17"/>
  <c r="L20" i="17"/>
  <c r="L19" i="17"/>
  <c r="L18" i="17"/>
  <c r="L17" i="17"/>
  <c r="L16" i="17"/>
  <c r="L15" i="17"/>
  <c r="L14" i="17"/>
  <c r="L5" i="17"/>
  <c r="L4" i="17"/>
  <c r="L6" i="17"/>
  <c r="L3" i="17"/>
  <c r="L9" i="17"/>
  <c r="K1" i="17"/>
  <c r="G30" i="15"/>
  <c r="G28" i="15"/>
  <c r="G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L3" i="15"/>
  <c r="K1" i="15"/>
  <c r="G35" i="14"/>
  <c r="G33" i="14"/>
  <c r="G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K1" i="14"/>
  <c r="G36" i="13"/>
  <c r="G34" i="13"/>
  <c r="G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K1" i="13"/>
  <c r="G35" i="12"/>
  <c r="G33" i="12"/>
  <c r="G24" i="12"/>
  <c r="L23" i="12"/>
  <c r="L22" i="12"/>
  <c r="L21" i="12"/>
  <c r="L20" i="12"/>
  <c r="L19" i="12"/>
  <c r="L18" i="12"/>
  <c r="L17" i="12"/>
  <c r="J17" i="12"/>
  <c r="J18" i="13" s="1"/>
  <c r="J17" i="14" s="1"/>
  <c r="J12" i="15" s="1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K1" i="12"/>
  <c r="G36" i="11"/>
  <c r="G34" i="11"/>
  <c r="G25" i="11"/>
  <c r="L24" i="11"/>
  <c r="J24" i="11"/>
  <c r="J23" i="12" s="1"/>
  <c r="J23" i="13" s="1"/>
  <c r="J22" i="14" s="1"/>
  <c r="L23" i="11"/>
  <c r="J23" i="11"/>
  <c r="J21" i="12" s="1"/>
  <c r="J22" i="13" s="1"/>
  <c r="J21" i="14" s="1"/>
  <c r="J16" i="15" s="1"/>
  <c r="L22" i="11"/>
  <c r="J22" i="11"/>
  <c r="J20" i="12" s="1"/>
  <c r="J21" i="13" s="1"/>
  <c r="J20" i="14" s="1"/>
  <c r="J15" i="15" s="1"/>
  <c r="L21" i="11"/>
  <c r="J21" i="11"/>
  <c r="J19" i="12" s="1"/>
  <c r="J20" i="13" s="1"/>
  <c r="J19" i="14" s="1"/>
  <c r="J14" i="15" s="1"/>
  <c r="L20" i="11"/>
  <c r="J20" i="11"/>
  <c r="L19" i="11"/>
  <c r="J19" i="11"/>
  <c r="J18" i="12" s="1"/>
  <c r="J19" i="13" s="1"/>
  <c r="J18" i="14" s="1"/>
  <c r="J13" i="15" s="1"/>
  <c r="L18" i="11"/>
  <c r="J18" i="11"/>
  <c r="L17" i="11"/>
  <c r="L16" i="11"/>
  <c r="J16" i="11"/>
  <c r="J15" i="12" s="1"/>
  <c r="J16" i="13" s="1"/>
  <c r="J15" i="14" s="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K1" i="11"/>
  <c r="G36" i="10"/>
  <c r="G34" i="10"/>
  <c r="G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K1" i="10"/>
  <c r="G32" i="9"/>
  <c r="G30" i="9"/>
  <c r="G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J25" i="9" s="1"/>
  <c r="L7" i="9"/>
  <c r="L6" i="9"/>
  <c r="L5" i="9"/>
  <c r="L4" i="9"/>
  <c r="J24" i="9" s="1"/>
  <c r="L3" i="9"/>
  <c r="K1" i="9"/>
  <c r="G33" i="8"/>
  <c r="G31" i="8"/>
  <c r="G22" i="8"/>
  <c r="L21" i="8"/>
  <c r="J21" i="8"/>
  <c r="J20" i="9" s="1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J25" i="8" s="1"/>
  <c r="L5" i="8"/>
  <c r="L4" i="8"/>
  <c r="L3" i="8"/>
  <c r="K1" i="8"/>
  <c r="G36" i="7"/>
  <c r="G34" i="7"/>
  <c r="G22" i="7"/>
  <c r="L21" i="7"/>
  <c r="J21" i="7"/>
  <c r="L20" i="7"/>
  <c r="J20" i="7"/>
  <c r="L19" i="7"/>
  <c r="J19" i="7"/>
  <c r="L18" i="7"/>
  <c r="J18" i="7"/>
  <c r="L17" i="7"/>
  <c r="J17" i="7"/>
  <c r="L16" i="7"/>
  <c r="J16" i="7"/>
  <c r="L15" i="7"/>
  <c r="J15" i="7"/>
  <c r="L14" i="7"/>
  <c r="J14" i="7"/>
  <c r="J13" i="8" s="1"/>
  <c r="J12" i="9" s="1"/>
  <c r="L13" i="7"/>
  <c r="J13" i="7"/>
  <c r="L12" i="7"/>
  <c r="J12" i="7"/>
  <c r="L11" i="7"/>
  <c r="L10" i="7"/>
  <c r="L9" i="7"/>
  <c r="L8" i="7"/>
  <c r="L7" i="7"/>
  <c r="L6" i="7"/>
  <c r="L5" i="7"/>
  <c r="L4" i="7"/>
  <c r="L3" i="7"/>
  <c r="J3" i="7"/>
  <c r="J26" i="7" s="1"/>
  <c r="K1" i="7"/>
  <c r="G29" i="6"/>
  <c r="G27" i="6"/>
  <c r="G22" i="6"/>
  <c r="G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J22" i="6" s="1"/>
  <c r="L3" i="6"/>
  <c r="G23" i="6" s="1"/>
  <c r="K1" i="6"/>
  <c r="G29" i="5"/>
  <c r="G27" i="5"/>
  <c r="G18" i="5"/>
  <c r="L17" i="5"/>
  <c r="L16" i="5"/>
  <c r="L15" i="5"/>
  <c r="L14" i="5"/>
  <c r="L13" i="5"/>
  <c r="L12" i="5"/>
  <c r="L11" i="5"/>
  <c r="L10" i="5"/>
  <c r="L9" i="5"/>
  <c r="L8" i="5"/>
  <c r="L7" i="5"/>
  <c r="L6" i="5"/>
  <c r="J22" i="5" s="1"/>
  <c r="L5" i="5"/>
  <c r="L4" i="5"/>
  <c r="J21" i="5" s="1"/>
  <c r="L3" i="5"/>
  <c r="G21" i="5" s="1"/>
  <c r="K1" i="5"/>
  <c r="G34" i="4"/>
  <c r="G32" i="4"/>
  <c r="G23" i="4"/>
  <c r="G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J23" i="4" s="1"/>
  <c r="L4" i="4"/>
  <c r="L3" i="4"/>
  <c r="G24" i="4" s="1"/>
  <c r="K1" i="4"/>
  <c r="G28" i="3"/>
  <c r="G26" i="3"/>
  <c r="G17" i="3"/>
  <c r="L16" i="3"/>
  <c r="L15" i="3"/>
  <c r="L14" i="3"/>
  <c r="J14" i="3"/>
  <c r="L13" i="3"/>
  <c r="L12" i="3"/>
  <c r="L11" i="3"/>
  <c r="L10" i="3"/>
  <c r="L9" i="3"/>
  <c r="J9" i="3"/>
  <c r="L8" i="3"/>
  <c r="J8" i="3"/>
  <c r="L7" i="3"/>
  <c r="L6" i="3"/>
  <c r="L5" i="3"/>
  <c r="L4" i="3"/>
  <c r="L3" i="3"/>
  <c r="K1" i="3"/>
  <c r="G32" i="2"/>
  <c r="G30" i="2"/>
  <c r="G19" i="2"/>
  <c r="L18" i="2"/>
  <c r="J18" i="2"/>
  <c r="L17" i="2"/>
  <c r="J17" i="2"/>
  <c r="J13" i="3" s="1"/>
  <c r="L16" i="2"/>
  <c r="J16" i="2"/>
  <c r="J12" i="3" s="1"/>
  <c r="L15" i="2"/>
  <c r="J15" i="2"/>
  <c r="J11" i="3" s="1"/>
  <c r="L14" i="2"/>
  <c r="J14" i="2"/>
  <c r="J10" i="3" s="1"/>
  <c r="L13" i="2"/>
  <c r="J13" i="2"/>
  <c r="J7" i="3" s="1"/>
  <c r="L12" i="2"/>
  <c r="J12" i="2"/>
  <c r="J22" i="2" s="1"/>
  <c r="L11" i="2"/>
  <c r="L10" i="2"/>
  <c r="L9" i="2"/>
  <c r="L8" i="2"/>
  <c r="L7" i="2"/>
  <c r="L6" i="2"/>
  <c r="L5" i="2"/>
  <c r="G22" i="2" s="1"/>
  <c r="L4" i="2"/>
  <c r="J23" i="2" s="1"/>
  <c r="L3" i="2"/>
  <c r="G23" i="2" s="1"/>
  <c r="K1" i="2"/>
  <c r="G34" i="1"/>
  <c r="G32" i="1"/>
  <c r="G19" i="1"/>
  <c r="G15" i="1"/>
  <c r="L14" i="1"/>
  <c r="L13" i="1"/>
  <c r="L12" i="1"/>
  <c r="L11" i="1"/>
  <c r="L10" i="1"/>
  <c r="L9" i="1"/>
  <c r="L8" i="1"/>
  <c r="L7" i="1"/>
  <c r="L6" i="1"/>
  <c r="L5" i="1"/>
  <c r="L4" i="1"/>
  <c r="J18" i="1" s="1"/>
  <c r="L3" i="1"/>
  <c r="J19" i="1" s="1"/>
  <c r="K1" i="1"/>
  <c r="G32" i="16"/>
  <c r="G30" i="16"/>
  <c r="G22" i="16"/>
  <c r="G19" i="16"/>
  <c r="L18" i="16"/>
  <c r="L17" i="16"/>
  <c r="L16" i="16"/>
  <c r="L15" i="16"/>
  <c r="L14" i="16"/>
  <c r="J23" i="16" s="1"/>
  <c r="L13" i="16"/>
  <c r="L12" i="16"/>
  <c r="L11" i="16"/>
  <c r="L10" i="16"/>
  <c r="L9" i="16"/>
  <c r="L8" i="16"/>
  <c r="L7" i="16"/>
  <c r="L6" i="16"/>
  <c r="L5" i="16"/>
  <c r="L4" i="16"/>
  <c r="J22" i="16" s="1"/>
  <c r="L3" i="16"/>
  <c r="K1" i="16"/>
  <c r="J26" i="17" l="1"/>
  <c r="J27" i="17"/>
  <c r="G26" i="17"/>
  <c r="G27" i="17"/>
  <c r="J20" i="3"/>
  <c r="J21" i="3"/>
  <c r="J14" i="10"/>
  <c r="J17" i="11" s="1"/>
  <c r="J16" i="12" s="1"/>
  <c r="J17" i="13" s="1"/>
  <c r="J16" i="14" s="1"/>
  <c r="J11" i="15" s="1"/>
  <c r="J22" i="15" s="1"/>
  <c r="G24" i="9"/>
  <c r="G26" i="14"/>
  <c r="G20" i="3"/>
  <c r="J28" i="11"/>
  <c r="J27" i="12"/>
  <c r="J27" i="10"/>
  <c r="J28" i="13"/>
  <c r="J10" i="15"/>
  <c r="J26" i="8"/>
  <c r="G25" i="8"/>
  <c r="J24" i="4"/>
  <c r="J23" i="6"/>
  <c r="G26" i="8"/>
  <c r="G25" i="7"/>
  <c r="J25" i="7"/>
  <c r="G26" i="7"/>
  <c r="G23" i="16"/>
  <c r="G27" i="12"/>
  <c r="G21" i="3"/>
  <c r="G22" i="5"/>
  <c r="G18" i="1"/>
  <c r="G25" i="9"/>
  <c r="G29" i="11" l="1"/>
  <c r="J28" i="10"/>
  <c r="G28" i="11"/>
  <c r="G22" i="15"/>
  <c r="G27" i="13"/>
  <c r="G27" i="10"/>
  <c r="J26" i="14"/>
  <c r="G27" i="14"/>
  <c r="G28" i="12"/>
  <c r="J23" i="15"/>
  <c r="G23" i="15"/>
  <c r="J29" i="11"/>
  <c r="G28" i="13"/>
  <c r="J27" i="14"/>
  <c r="G28" i="10"/>
  <c r="J28" i="12"/>
  <c r="J27" i="13"/>
</calcChain>
</file>

<file path=xl/sharedStrings.xml><?xml version="1.0" encoding="utf-8"?>
<sst xmlns="http://schemas.openxmlformats.org/spreadsheetml/2006/main" count="3183" uniqueCount="315">
  <si>
    <t>SALES ORDER REPORT</t>
  </si>
  <si>
    <t>Date</t>
  </si>
  <si>
    <t>Delivery Date</t>
  </si>
  <si>
    <t>Job Number</t>
  </si>
  <si>
    <t>SO Number</t>
  </si>
  <si>
    <t>Customer Ref.</t>
  </si>
  <si>
    <t>Customer</t>
  </si>
  <si>
    <t>Total</t>
  </si>
  <si>
    <t>Sales Rep</t>
  </si>
  <si>
    <t>Status</t>
  </si>
  <si>
    <t>Payment Status</t>
  </si>
  <si>
    <t>Details</t>
  </si>
  <si>
    <t>Planned Delivery Date</t>
  </si>
  <si>
    <t>FM3974</t>
  </si>
  <si>
    <t>SO4502</t>
  </si>
  <si>
    <t>210719</t>
  </si>
  <si>
    <t>Kenmare Moma Processing (Mauritius) Limited</t>
  </si>
  <si>
    <t>ST</t>
  </si>
  <si>
    <t>In Progress</t>
  </si>
  <si>
    <t>ACCOUNT - UP TO DATE</t>
  </si>
  <si>
    <t>SCL-K10 MS-11kW - Item no 28000234 (Qty: 1)</t>
  </si>
  <si>
    <t>FM4039</t>
  </si>
  <si>
    <t>SO4571</t>
  </si>
  <si>
    <t>Cash Sale</t>
  </si>
  <si>
    <t>Shonisani Rambau Construction</t>
  </si>
  <si>
    <t>CASH SALE - PAID</t>
  </si>
  <si>
    <t>UV 630-3-6 c/w 1.5 kW 6 Pole 380 V Motor w/ Bird Screen (Qty: 1)</t>
  </si>
  <si>
    <t>Pending</t>
  </si>
  <si>
    <t>SO4556</t>
  </si>
  <si>
    <t>Constitutional Hill</t>
  </si>
  <si>
    <t>LJ Trading &amp; Projects (Pty) Ltd</t>
  </si>
  <si>
    <t>SM</t>
  </si>
  <si>
    <t>Constitutional Hill (Qty: 1)</t>
  </si>
  <si>
    <t>FM4070</t>
  </si>
  <si>
    <t>SO4588</t>
  </si>
  <si>
    <t>ELEIP002400315 -08</t>
  </si>
  <si>
    <t>Elroi Trading Enterprise</t>
  </si>
  <si>
    <t>MAXFLO 500/150/10 A c/w 0.37KW 4P 380V 304SS (Qty: 1), 500 Diam Mounting Feet (Qty: 2), SAL 630 (Qty: 1), Majax-2 1250 20.D.8 c/w 18.5kW 4 Pole 380V (Qty: 1), 1250 Diam Silencer 1.5D Podded (Qty: 2), 1250 Diam Counter Flange (Qty: 2), 1250 Diam Mounting Feet (Qty: 4), PD3 RED - Anti Vibration Rubber Mounts (Qty: 8)</t>
  </si>
  <si>
    <t>FM3967</t>
  </si>
  <si>
    <t>SO4492</t>
  </si>
  <si>
    <t>PO260306</t>
  </si>
  <si>
    <t>Alpha Air Ventilation Services</t>
  </si>
  <si>
    <t>On Hold</t>
  </si>
  <si>
    <t>MAJAX-2 500 c/w 0,55KW 4P 380V (Qty: 1), 500 Diam Counter Flange (Qty: 2)</t>
  </si>
  <si>
    <t>FM3990</t>
  </si>
  <si>
    <t>SO4517</t>
  </si>
  <si>
    <t>PO:0000426</t>
  </si>
  <si>
    <t>Compu Cool (Pty) Ltd</t>
  </si>
  <si>
    <t>MT</t>
  </si>
  <si>
    <t>UV710/3/6 (Qty: 6)</t>
  </si>
  <si>
    <t>SO4554</t>
  </si>
  <si>
    <t>FMTA4599</t>
  </si>
  <si>
    <t>Matla Solution Group</t>
  </si>
  <si>
    <t>LINEO 315 QUIET - EF 1 (Qty: 1), LINEO 250 QUIET - EF 2 (Qty: 1), LINEO 200 QUIET - EF 3 (Qty: 1), KDAXIS 200 - EF 4 (Qty: 1), KDAXIS 200 - EF 5 (Qty: 1), MAXFLO 630/250/14 A c/w 1,10KW 4P 380V - FA 1 (Qty: 1), 630 Diam Silencer 1.5D Podded (Qty: 2), 630 Diam Counter Flange (Qty: 2), 630 Diam Mounting Feet (Qty: 4), 630 to 1000 NDB GREEN Neoprene Floor Mounts (Qty: 8), MAXFLO 710/250/14 A c/w 1,10KW 4P 380V - FA 2 (Qty: 1), 710 Diam Silencer 1.5D Podded (Qty: 2), 710 Diam Counter Flange (Qty: 2), 710 Diam Mounting Feet (Qty: 4), 630 to 1000 NDB GREEN Neoprene Floor Mounts (Qty: 8)</t>
  </si>
  <si>
    <t>SO4553</t>
  </si>
  <si>
    <t>FMTA4519</t>
  </si>
  <si>
    <t>ST AIR SERVICES AND MAINTENANCE (PTY) LTD</t>
  </si>
  <si>
    <t>Mimosa Mall Office Park (Qty: 1)</t>
  </si>
  <si>
    <t>FM4036</t>
  </si>
  <si>
    <t>SO4555</t>
  </si>
  <si>
    <t>FM4035-FM4036</t>
  </si>
  <si>
    <t>Michmat Projects</t>
  </si>
  <si>
    <t>M-R</t>
  </si>
  <si>
    <t>MFAJAX-3 1250 c/w 45,00KW 4P 380V (Qty: 3), 1250 Diam Counter Flange (Qty: 6), 1250 Diam Mounting Feet (Qty: 6), 630 to 1000 NDB GREEN Neoprene Floor Mounts (Qty: 12), MAJAX-3 560 c/w 5,50KW 2P 380V (Qty: 2), 560 Diam Counter Flange (Qty: 4), 560 Diam Mounting Feet (Qty: 4), 315 to 560 NDA RED ANeoprene Floor Mounts (Qty: 8)</t>
  </si>
  <si>
    <t>SO4557</t>
  </si>
  <si>
    <t>nan</t>
  </si>
  <si>
    <t>Vigeta Pty Ltd</t>
  </si>
  <si>
    <t>630 Diam Vertical Discharge BASE c/w 2.2kW 4P 380V (Qty: 10)</t>
  </si>
  <si>
    <t>SO4618</t>
  </si>
  <si>
    <t>P.O. NO. 11623</t>
  </si>
  <si>
    <t>Brasco Group</t>
  </si>
  <si>
    <t>FM4098</t>
  </si>
  <si>
    <t>SO4614</t>
  </si>
  <si>
    <t>14352</t>
  </si>
  <si>
    <t>Arta Masjinerie</t>
  </si>
  <si>
    <t>Majax-3 800 c/w 3kw 4P 380V (Qty: 5.0)</t>
  </si>
  <si>
    <t>FM4064</t>
  </si>
  <si>
    <t>SO4584</t>
  </si>
  <si>
    <t>211563</t>
  </si>
  <si>
    <t>S-R</t>
  </si>
  <si>
    <t>SCL-K11 TS-22kW - Item No 28000552 (Qty: 2)</t>
  </si>
  <si>
    <t>FM4097</t>
  </si>
  <si>
    <t>SO4613</t>
  </si>
  <si>
    <t>PO146777</t>
  </si>
  <si>
    <t>Howden Power a Div of Howden Africa (Pty) LTD</t>
  </si>
  <si>
    <t>Fumax 1000 c/w 22kW 4Pole (Qty: 2.0)</t>
  </si>
  <si>
    <t>FM4099</t>
  </si>
  <si>
    <t>SO4615</t>
  </si>
  <si>
    <t>62423</t>
  </si>
  <si>
    <t>Chabo &amp; Joubert Air Conditioning (Pty) Ltd</t>
  </si>
  <si>
    <t>K-TEX 50-30-4 (Qty: 1.0)</t>
  </si>
  <si>
    <t>SO4621</t>
  </si>
  <si>
    <t>LT69511</t>
  </si>
  <si>
    <t>Luft Technik (Pty) Ltd</t>
  </si>
  <si>
    <t>Total Value (All):</t>
  </si>
  <si>
    <t>BREAKDOWN</t>
  </si>
  <si>
    <t>Cash Sale (May):</t>
  </si>
  <si>
    <t>Cash Sale (June):</t>
  </si>
  <si>
    <t>Account (May):</t>
  </si>
  <si>
    <t>Account (June):</t>
  </si>
  <si>
    <t>Comments</t>
  </si>
  <si>
    <t>Due Today - Total:</t>
  </si>
  <si>
    <t>Ready-Dispatch:</t>
  </si>
  <si>
    <t>FM3985</t>
  </si>
  <si>
    <t>SO4510</t>
  </si>
  <si>
    <t>62048</t>
  </si>
  <si>
    <t>Sizwe Tshabalala</t>
  </si>
  <si>
    <t>Ready-Dispatch</t>
  </si>
  <si>
    <t>UV250/1/6 c/w 0.18kW 960rpm 6pole 220V Single Phase Motor incl Bird Screen (Qty: 2), UV400/3/6 c/w 0.55kW 960rpm 6Pole 380V Motor incl Bird Screen (Qty: 1)</t>
  </si>
  <si>
    <t>FM4008</t>
  </si>
  <si>
    <t>SO4537</t>
  </si>
  <si>
    <t>PO-0070</t>
  </si>
  <si>
    <t>Duty Point Pty Ltd</t>
  </si>
  <si>
    <t>Mashudu Tshifularo</t>
  </si>
  <si>
    <t>CASH SALE – PARTIAL</t>
  </si>
  <si>
    <t>MAXFLO 800/150/10 A c/w 4,00KW 4P 380V - PLATE AXIAL (Qty: 2)</t>
  </si>
  <si>
    <t>FM4017</t>
  </si>
  <si>
    <t>SO4546</t>
  </si>
  <si>
    <t>PO145956</t>
  </si>
  <si>
    <t>SCL-K03 MS-0.55kW-380V (Qty: 1)</t>
  </si>
  <si>
    <t>FM3997</t>
  </si>
  <si>
    <t>SO4525</t>
  </si>
  <si>
    <t>211035</t>
  </si>
  <si>
    <t>SCL-K08 MS-7.5kW (Qty: 1)</t>
  </si>
  <si>
    <t>FM3979</t>
  </si>
  <si>
    <t>SO4506</t>
  </si>
  <si>
    <t>14264</t>
  </si>
  <si>
    <t>Simon Mokgola</t>
  </si>
  <si>
    <t>800 c/w 3.0Kw 4Pole 380V (Qty: 4)</t>
  </si>
  <si>
    <t>FM4020</t>
  </si>
  <si>
    <t>SO4549</t>
  </si>
  <si>
    <t>Sulit Projects</t>
  </si>
  <si>
    <t>RAD 125 (Qty: 1)</t>
  </si>
  <si>
    <t>FM4016</t>
  </si>
  <si>
    <t>SO4545</t>
  </si>
  <si>
    <t>cash sale</t>
  </si>
  <si>
    <t>ZEFS More Vision</t>
  </si>
  <si>
    <t>MAXFLO 500/150/10 A c/w 1,10KW 4P 380V (Qty: 4), 500 Diam Mounting Feet (Qty: 12), MAXFLO 560/150/10 A c/w 1,10KW 4P 380V (Qty: 2), 560 Diam Mounting Feet (Qty: 6), 315 to 560 NDA RED ANeoprene Floor Mounts (Qty: 36)</t>
  </si>
  <si>
    <t>FM3841</t>
  </si>
  <si>
    <t>SO4372</t>
  </si>
  <si>
    <t>PO2213</t>
  </si>
  <si>
    <t>Hucra Fans</t>
  </si>
  <si>
    <t>Sales Agent Hucra Fans</t>
  </si>
  <si>
    <t>SCL K11 MS - 11.0kW - 525V (Qty: 3)</t>
  </si>
  <si>
    <t>FM3874</t>
  </si>
  <si>
    <t>SO4404</t>
  </si>
  <si>
    <t>PO2174</t>
  </si>
  <si>
    <t>ITD North Pty Ltd</t>
  </si>
  <si>
    <t>RDH 710 K2 - Nicotra Fan (Qty: 1)</t>
  </si>
  <si>
    <t>Balance payment required prior to delivery/collection</t>
  </si>
  <si>
    <t>Client to collect 28/04/2026 - Sizwe to advise</t>
  </si>
  <si>
    <t>Recommended Print Range: A1:L39</t>
  </si>
  <si>
    <t>Suggested Date for Next Update: 05.05.2026</t>
  </si>
  <si>
    <t>FM4025</t>
  </si>
  <si>
    <t>SO4559</t>
  </si>
  <si>
    <t>PO0000475</t>
  </si>
  <si>
    <t>MAXFLO 710/150/10 A c/w 2,20KW 4P 380V (Qty: 1)</t>
  </si>
  <si>
    <t>SO4558</t>
  </si>
  <si>
    <t>FMTA4398-Thabakgolo</t>
  </si>
  <si>
    <t>Oribi Air CC</t>
  </si>
  <si>
    <t>LINEO 250 QUIET-5.1.1 (Qty: 24), LINEO 315 QUIET-5.6.1 (Qty: 12)</t>
  </si>
  <si>
    <t>SO4552</t>
  </si>
  <si>
    <t>Neobionomics Services Pty Ltd</t>
  </si>
  <si>
    <t>MAJAX-2 630 c/w 0,75KW 4P 380V (Qty: 1)</t>
  </si>
  <si>
    <t>Ready for collection 30/04/2026 - ST to advise</t>
  </si>
  <si>
    <t>Invoiced - Ready for collection 04/05/2026 - MT to Advise</t>
  </si>
  <si>
    <t>Client to collect 28/04/2026 - ST to advise</t>
  </si>
  <si>
    <t>FM4031</t>
  </si>
  <si>
    <t>SO4565</t>
  </si>
  <si>
    <t>POAM26058144</t>
  </si>
  <si>
    <t>Allbro Industries (PTY) Ltd</t>
  </si>
  <si>
    <t>HV 7 c/w 0.45kw 6P 380v (Qty: 2), WEATHER LOUVRE 800(W)*800(H) HS NA (Qty: 2)</t>
  </si>
  <si>
    <t>FM4032</t>
  </si>
  <si>
    <t>SO4566</t>
  </si>
  <si>
    <t>FMTA4618</t>
  </si>
  <si>
    <t>Breezeair Technical Services</t>
  </si>
  <si>
    <t>MAXFLO 560/250/14 A c/w 1,10KW 4P 380V (Qty: 1), 560 Diam Counter Flange (Qty: 2), 560 Diam Mounting Feet (Qty: 4), 315 to 560 NDA RED ANeoprene Floor Mounts (Qty: 8)</t>
  </si>
  <si>
    <t>Mashudu - R.O.A</t>
  </si>
  <si>
    <t>Suggested Date for Next Update: 08.05.2026</t>
  </si>
  <si>
    <t>c/w 1.5 kW 6 Pole 380 V Motor w/ Bird Screen (Qty: 1)</t>
  </si>
  <si>
    <t>FM4041</t>
  </si>
  <si>
    <t>SO4573</t>
  </si>
  <si>
    <t>Airetronic Maintenance &amp; Sales (Pty) Ltd</t>
  </si>
  <si>
    <t>NEOLINEO-150/V (Qty: 3), Delivery to Durban (Qty: 1)</t>
  </si>
  <si>
    <t>UV c/w 1.5 kW 6 Pole 380 V Motor w/ Bird Screen (Qty: 1)</t>
  </si>
  <si>
    <t>Delivery via Courier 11/05/2026</t>
  </si>
  <si>
    <t>FM4043</t>
  </si>
  <si>
    <t>SO4575</t>
  </si>
  <si>
    <t>SAMPLE - BLOCK A</t>
  </si>
  <si>
    <t>MAXFLO 315/150/10 A c/w 0.37kW 2P 380V (Qty: 1)</t>
  </si>
  <si>
    <t>FM4044</t>
  </si>
  <si>
    <t>SO4576</t>
  </si>
  <si>
    <t>Systemair (Pty) Ltd</t>
  </si>
  <si>
    <t>Tiracamino Chimney Fan for Chimney Tops (Qty: 1)</t>
  </si>
  <si>
    <t>FM4055</t>
  </si>
  <si>
    <t>SO4577</t>
  </si>
  <si>
    <t>Vincent</t>
  </si>
  <si>
    <t>MAJAX-3 500 (BIFUCATED) c/w 0.55KW 4P 380V (Qty: 1)</t>
  </si>
  <si>
    <t>FM4056</t>
  </si>
  <si>
    <t>SO4578</t>
  </si>
  <si>
    <t>ADC Engineers</t>
  </si>
  <si>
    <t>RAD 150 (Qty: 1), RAD 250 (Qty: 1)</t>
  </si>
  <si>
    <t>Recommended Print Range: A1:L41</t>
  </si>
  <si>
    <t>Suggested Date for Next Update: 13.05.2026</t>
  </si>
  <si>
    <t>FM4026</t>
  </si>
  <si>
    <t>SO4582</t>
  </si>
  <si>
    <t>Carrons Corporate Maintenance</t>
  </si>
  <si>
    <t>Ready - Dispatch</t>
  </si>
  <si>
    <t>V 300/12 AR (Qty: 2), Door grill 300mm x 300mm neck size (Qty: 3)</t>
  </si>
  <si>
    <t>FM4060</t>
  </si>
  <si>
    <t>SO4580</t>
  </si>
  <si>
    <t>Roto Tank</t>
  </si>
  <si>
    <t>CMP 616 2M (Qty: 1)</t>
  </si>
  <si>
    <t>FM4059</t>
  </si>
  <si>
    <t>SO4579</t>
  </si>
  <si>
    <t>FM4057</t>
  </si>
  <si>
    <t>Aircontech Technologies</t>
  </si>
  <si>
    <t>MAXFLO 630/250/14 A c/w 0,75KW 4P 380V - EAF 04 (Qty: 1), 630 Diam Silencer 1.5D Podded (Qty: 2), 630 Diam Counter Flange (Qty: 2), 630 Diam Mounting Feet (Qty: 4), 630 to 1000 NDB GREEN Neoprene Floor Mounts (Qty: 8), CA/LINE-20 - EAF 01 (Qty: 1), 200 Diam Tube Silencer 600L (Qty: 2), CA/LINE-25 - EAF 02 (Qty: 1), 250 Diam Tube Silencer 600L (Qty: 2), MAXFLO 315/150/10 A c/w 0,55KW 2P 380V - EAF 03 (Qty: 1), 315 Diam Silencer 1.5D Podded (Qty: 2), 315 Diam Counter Flange (Qty: 2), 315 Diam Mounting Feet (Qty: 4), 315 to 560 NDA RED ANeoprene Floor Mounts (Qty: 8), KDAXIS 250 - WMF 01 (Qty: 1), KDAXIS 250 - WMF 02 (Qty: 1), KDAXIS 250 - WMF 03 (Qty: 1), KDAXIS 250 - WMF 04 (Qty: 1)</t>
  </si>
  <si>
    <t>Sizwe - R.O.A</t>
  </si>
  <si>
    <t>FM4072</t>
  </si>
  <si>
    <t>SO4590</t>
  </si>
  <si>
    <t>PO260025</t>
  </si>
  <si>
    <t>Minelog Supplies cc</t>
  </si>
  <si>
    <t>CF9 - 4' CARTRIDGE (2), FL 9 4 FILTER (2)</t>
  </si>
  <si>
    <t>CMP 616 2M (1)</t>
  </si>
  <si>
    <t>MAXFLO 630/250/14 A c/w 0,75KW 4P 380V - EAF 04 (1), 630 Diam Sil 1.5D Podded (2), 630 Diam C/Flange (2), 630 Diam M/Feet (4), 630 to 1000 NDB AVMs (8), CA/LINE-20 - EAF 01 (1), 200 Diam Tube Sil 600L (2), CA/LINE-25 - EAF 02 (1), 250 Diam Tube Sil 600L (2), MAXFLO 315/150/10 A c/w 0,55KW 2P 380V - EAF 03 (1), 315 Diam Sil 1.5D Podded (2), 315 Diam C/Flange (2), 315 Diam M/Feet (4), 315 to 560 NDA AVMs (8), KDAXIS 250 - WMF 01 (1), KDAXIS 250 - WMF 02 (1), KDAXIS 250 - WMF 03 (1), KDAXIS 250 - WMF 04 (1)</t>
  </si>
  <si>
    <t>FM4022</t>
  </si>
  <si>
    <t>KSB250 5.1.1 (8), KSB 315 5.6.1 (4)</t>
  </si>
  <si>
    <t>MAJAX-3 500 (BIFUCATED) c/w 0.55KW 4P 380V (1)</t>
  </si>
  <si>
    <t>UV c/w 1.5 kW 6 Pole 380 V Motor w/ Bird Screen (1)</t>
  </si>
  <si>
    <t>RDH 710 K2 - Nicotra Fan (1)</t>
  </si>
  <si>
    <t>SCL K11 MS - 11.0kW - 525V (3)</t>
  </si>
  <si>
    <t>SCL-K10 MS-11kW - Item no 28000234 (1)</t>
  </si>
  <si>
    <t>SCL-K08 MS-7.5kW (1)</t>
  </si>
  <si>
    <t>CASH SALE</t>
  </si>
  <si>
    <t>MAJAX-2 500 c/w 0,55KW 4P 380V (1), 500 Diam C/Flange (2)</t>
  </si>
  <si>
    <t>UV710/3/6 (6)</t>
  </si>
  <si>
    <t>LINEO 315 QUIET - EF 1 (1), LINEO 250 QUIET - EF 2 (1), LINEO 200 QUIET - EF 3 (1), KDAXIS 200 - EF 4 (1), KDAXIS 200 - EF 5 (1), MAXFLO 630/250/14 A c/w 1,10KW 4P 380V - FA 1 (1), 630 Diam Sil 1.5D Podded (2), 630 Diam C/Flange (2), 630 Diam M/Feet (4), 630 to 1000 NDB AVMs (8), MAXFLO 710/250/14 A c/w 1,10KW 4P 380V - FA 2 (1), 710 Diam Sil 1.5D Podded (2), 710 Diam C/Flange (2), 710 Diam M/Feet (4), 630 to 1000 NDB AVMs (8)</t>
  </si>
  <si>
    <t>Constitutional Hill (1)</t>
  </si>
  <si>
    <t>MAJAX-2 630 c/w 0,75KW 4P 380V (1)</t>
  </si>
  <si>
    <t>Mimosa Mall Office Park (1)</t>
  </si>
  <si>
    <t>MFAJAX-3 1250 c/w 45,00KW 4P 380V (3), 1250 Diam C/Flange (6), 1250 Diam M/Feet (6), 630 to 1000 NDB AVMs (12), MAJAX-3 560 c/w 5,50KW 2P 380V (2), 560 Diam C/Flange (4), 560 Diam M/Feet (4), 315 to 560 NDA AVMs (8)</t>
  </si>
  <si>
    <t>630 Diam Vertical Discharge BASE c/w 2.2kW 4P 380V (10)</t>
  </si>
  <si>
    <t>MAXFLO 500/150/10 A c/w 0.37KW 4P 380V 304SS (1), 500 Diam M/Feet (2), SAL 630 (1), Majax-2 1250 20.D.8 c/w 18.5kW 4 Pole 380V (1), 1250 Diam Sil 1.5D Podded (2), 1250 Diam C/Flange (2), 1250 Diam M/Feet (4), Anti-Vibration Rubber Mounts (8)</t>
  </si>
  <si>
    <t>SCL-K11 TS-22kW - Item No 28000552 (2)</t>
  </si>
  <si>
    <t>FM4071</t>
  </si>
  <si>
    <t>SO4589</t>
  </si>
  <si>
    <t>62179</t>
  </si>
  <si>
    <t>KAF 315 (2)</t>
  </si>
  <si>
    <t>KSB250 5.1.1 (Qty: 8), KSB 315 5.6.1 (Qty: 4)</t>
  </si>
  <si>
    <t>FM4077</t>
  </si>
  <si>
    <t>SO4595</t>
  </si>
  <si>
    <t>Duduzani</t>
  </si>
  <si>
    <t>MAJAX-3 630 c/w 1,10KW 4P 380V (Qty: 1), 630 Diam Silencer 1.5D Podded (Qty: 2), 630 Diam Counter Flange (Qty: 2), 630 Diam Mounting Feet (Qty: 4), 630 to 1000 NDB GREEN Neoprene Floor Mounts (Qty: 8)</t>
  </si>
  <si>
    <t>FM4075</t>
  </si>
  <si>
    <t>SO4593</t>
  </si>
  <si>
    <t>PO146488</t>
  </si>
  <si>
    <t>KDAXIS 300 (Qty: 3), 250/355 Wall Cowl Galvanized (Qty: 3), V 150/6 AR (Qty: 1), PIR Sensor (Qty: 1)</t>
  </si>
  <si>
    <t>FM4076</t>
  </si>
  <si>
    <t>SO4594</t>
  </si>
  <si>
    <t>PR 033836</t>
  </si>
  <si>
    <t>Butec</t>
  </si>
  <si>
    <t>CASH SALE - P.O.D.</t>
  </si>
  <si>
    <t>MAXFLO 630/250/14 A c/w 2,20KW 4P 380V (Qty: 1), 630 Diam Melinex Silencer 1.5D Podded (Qty: 1), 630 Diam Melinex Silencer 1.0D Podded (Qty: 1), 630 Diam Counter Flange (Qty: 1), 630 Diam Mounting Feet (Qty: 4), 630 to 1000 NDB GREEN Neoprene Floor Mounts (Qty: 8)</t>
  </si>
  <si>
    <t>S.A. HUCRA</t>
  </si>
  <si>
    <t>MT - R.O.A.</t>
  </si>
  <si>
    <t>ST - R.O.A.</t>
  </si>
  <si>
    <t>ACCOUNT - OUTSTANDING</t>
  </si>
  <si>
    <t>FM4080</t>
  </si>
  <si>
    <t>SO4597</t>
  </si>
  <si>
    <t>FM4078-4081 - REA VAYA - ROOF LEVEL</t>
  </si>
  <si>
    <t>TESLA COMMS</t>
  </si>
  <si>
    <t>MAXFLO 630/250/14 A c/w 1,50KW 4P 380V (EAF01 - Admin Roof Level Fan) (Qty: 1), 630 Diam Silencer 1.5D Podded (Qty: 2), 630 Diam Counter Flange (Qty: 2), 630 Diam Mounting Feet (Qty: 4), 630 to 1000 NDB GREEN Neoprene Floor Mounts (Qty: 8), MAXFLO 630/250/14 A c/w 0,75KW 4P 380V (FAF02 - Admin Roof Level Fan) (Qty: 1), 630 Diam Silencer 1.5D Podded (Qty: 2), 630 Diam Counter Flange (Qty: 2), 630 Diam Mounting Feet (Qty: 4), 630 to 1000 NDB GREEN Neoprene Floor Mounts (Qty: 8), LINEO 315 (EAF01 - Admin Mezzanine Fan) (Qty: 1), 315 Diam Tube Silencer 600L (Qty: 2), MAXFLO 315/150/10 A c/w 0,55KW 2P 380V (EAF02 - Admin Mezzanine Fan) (Qty: 1), 315 Diam Silencer 1.5D Podded (Qty: 2), 315 Diam Counter Flange (Qty: 2), 315 Diam Mounting Feet (Qty: 4), 315 to 560 NDA RED ANeoprene Floor Mounts (Qty: 8)</t>
  </si>
  <si>
    <t>CASH SALE - C.O.D.</t>
  </si>
  <si>
    <t>S.A - HUCRA</t>
  </si>
  <si>
    <t>MT-R.O.A</t>
  </si>
  <si>
    <t>ST-R.O.A.</t>
  </si>
  <si>
    <t xml:space="preserve">CLIENT TO COLLECT, </t>
  </si>
  <si>
    <t>CLIENT TO COLLECT 20/05/2026</t>
  </si>
  <si>
    <t>PARTIAL  DEL - MT 19/05/2026</t>
  </si>
  <si>
    <t>S.A.- HUCRA</t>
  </si>
  <si>
    <t>MT - R.O.A</t>
  </si>
  <si>
    <t>ST - R.O.A</t>
  </si>
  <si>
    <t>CLIENT TO COLLECT, WHEN AVAILABLE</t>
  </si>
  <si>
    <t>SAHF</t>
  </si>
  <si>
    <t>FM4092</t>
  </si>
  <si>
    <t>SO4610</t>
  </si>
  <si>
    <t>Gibela Trade and Invest 1247 CC t/a GTI AIR</t>
  </si>
  <si>
    <t>Spare Impeller (Qty: 2), 630 Diam Silencer 1.5D Podded (Qty: 2)</t>
  </si>
  <si>
    <t>Recommended Print Range: A1:L37</t>
  </si>
  <si>
    <t>Suggested Date for Next Update: 14.02.2026</t>
  </si>
  <si>
    <t>FM4106</t>
  </si>
  <si>
    <t>SO4622</t>
  </si>
  <si>
    <t>PO2267</t>
  </si>
  <si>
    <t>CMA-324-2T (Qty: 1)</t>
  </si>
  <si>
    <t>SO4625</t>
  </si>
  <si>
    <t>PO-000008707</t>
  </si>
  <si>
    <t>630 Diam Counter Flange (Qty: 3), 630 Diam Flexible Connection (Qty: 3)</t>
  </si>
  <si>
    <t>POE12858</t>
  </si>
  <si>
    <t>MAJAX-3 500 c/w 1,50KW 2P 380V - (OPTION) (Qty: 1)</t>
  </si>
  <si>
    <t>FM4107</t>
  </si>
  <si>
    <t>SO4623</t>
  </si>
  <si>
    <t>PO:01003747</t>
  </si>
  <si>
    <t>Cabmed PTY LTD</t>
  </si>
  <si>
    <t>LCH HOSPITAL (Qty: 1)</t>
  </si>
  <si>
    <t>FM4108</t>
  </si>
  <si>
    <t>SO4624</t>
  </si>
  <si>
    <t>PO:030544</t>
  </si>
  <si>
    <t>Atlas Air Conditioning (Pty) Ltd</t>
  </si>
  <si>
    <t>DDMP 10/10 230V (Qty: 1)</t>
  </si>
  <si>
    <t>Recommended Print Range: A1:L50</t>
  </si>
  <si>
    <t>Suggested Date for Next Update: 28.03.2026</t>
  </si>
  <si>
    <t>SCL 06R MS - 0.20KW 220V (Qty: 1)</t>
  </si>
  <si>
    <t>CASH SALE - C.OD.</t>
  </si>
  <si>
    <t>FM4100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</si>
</sst>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\ #,##0.00"/>
  </numFmts>
  <fonts count="51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u/>
      <sz val="11"/>
      <name val="Calibri"/>
    </font>
    <font>
      <i/>
      <sz val="10"/>
      <name val="Calibri"/>
    </font>
    <font>
      <b/>
      <sz val="11"/>
      <name val="Calibri"/>
    </font>
    <font>
      <b/>
      <sz val="11"/>
      <color rgb="FFFFFFFF"/>
      <name val="Calibri"/>
    </font>
    <font>
      <b/>
      <u/>
      <sz val="11"/>
      <name val="Calibri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u/>
      <sz val="11"/>
      <name val="Calibri"/>
    </font>
    <font>
      <b/>
      <sz val="14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u/>
      <sz val="11"/>
      <name val="Calibri"/>
    </font>
    <font>
      <i/>
      <sz val="10"/>
      <name val="Calibri"/>
    </font>
    <font>
      <b/>
      <sz val="11"/>
      <name val="Calibri"/>
    </font>
    <font>
      <b/>
      <sz val="11"/>
      <color rgb="FFFFFFFF"/>
      <name val="Calibri"/>
    </font>
    <font>
      <b/>
      <u/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u/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u/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u/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u/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u/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rgb="FFC6EFCE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2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164" fontId="0" fillId="3" borderId="1" xfId="0" applyNumberFormat="1" applyFill="1" applyBorder="1" applyAlignment="1">
      <alignment vertical="top" wrapText="1"/>
    </xf>
    <xf numFmtId="14" fontId="0" fillId="4" borderId="1" xfId="0" applyNumberForma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vertical="top" wrapText="1"/>
    </xf>
    <xf numFmtId="0" fontId="2" fillId="0" borderId="0" xfId="0" applyFont="1"/>
    <xf numFmtId="164" fontId="2" fillId="0" borderId="0" xfId="0" applyNumberFormat="1" applyFont="1"/>
    <xf numFmtId="0" fontId="4" fillId="0" borderId="0" xfId="0" applyFont="1"/>
    <xf numFmtId="164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4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/>
    <xf numFmtId="0" fontId="5" fillId="0" borderId="0" xfId="0" applyFont="1"/>
    <xf numFmtId="14" fontId="0" fillId="0" borderId="0" xfId="0" applyNumberFormat="1"/>
    <xf numFmtId="0" fontId="7" fillId="5" borderId="2" xfId="0" applyFont="1" applyFill="1" applyBorder="1" applyAlignment="1">
      <alignment horizontal="center" vertical="center" wrapText="1"/>
    </xf>
    <xf numFmtId="14" fontId="0" fillId="6" borderId="2" xfId="0" applyNumberFormat="1" applyFill="1" applyBorder="1" applyAlignment="1">
      <alignment horizontal="center" vertical="top" wrapText="1"/>
    </xf>
    <xf numFmtId="0" fontId="0" fillId="6" borderId="2" xfId="0" applyFill="1" applyBorder="1" applyAlignment="1">
      <alignment horizontal="center" vertical="top" wrapText="1"/>
    </xf>
    <xf numFmtId="0" fontId="0" fillId="6" borderId="2" xfId="0" applyFill="1" applyBorder="1" applyAlignment="1">
      <alignment horizontal="left" vertical="top" wrapText="1"/>
    </xf>
    <xf numFmtId="164" fontId="0" fillId="6" borderId="2" xfId="0" applyNumberFormat="1" applyFill="1" applyBorder="1" applyAlignment="1">
      <alignment vertical="top" wrapText="1"/>
    </xf>
    <xf numFmtId="14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164" fontId="0" fillId="0" borderId="2" xfId="0" applyNumberFormat="1" applyBorder="1" applyAlignment="1">
      <alignment vertical="top" wrapText="1"/>
    </xf>
    <xf numFmtId="0" fontId="6" fillId="0" borderId="0" xfId="0" applyFont="1"/>
    <xf numFmtId="164" fontId="6" fillId="0" borderId="0" xfId="0" applyNumberFormat="1" applyFont="1"/>
    <xf numFmtId="0" fontId="8" fillId="0" borderId="0" xfId="0" applyFont="1"/>
    <xf numFmtId="14" fontId="0" fillId="0" borderId="2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9" fillId="0" borderId="0" xfId="0" applyFont="1"/>
    <xf numFmtId="0" fontId="10" fillId="0" borderId="0" xfId="0" applyFont="1"/>
    <xf numFmtId="0" fontId="12" fillId="7" borderId="3" xfId="0" applyFont="1" applyFill="1" applyBorder="1" applyAlignment="1">
      <alignment horizontal="center" vertical="center" wrapText="1"/>
    </xf>
    <xf numFmtId="14" fontId="0" fillId="9" borderId="3" xfId="0" applyNumberFormat="1" applyFill="1" applyBorder="1" applyAlignment="1">
      <alignment horizontal="center" vertical="top" wrapText="1"/>
    </xf>
    <xf numFmtId="0" fontId="0" fillId="9" borderId="3" xfId="0" applyFill="1" applyBorder="1" applyAlignment="1">
      <alignment horizontal="center" vertical="top" wrapText="1"/>
    </xf>
    <xf numFmtId="0" fontId="0" fillId="9" borderId="3" xfId="0" applyFill="1" applyBorder="1" applyAlignment="1">
      <alignment horizontal="left" vertical="top" wrapText="1"/>
    </xf>
    <xf numFmtId="164" fontId="0" fillId="9" borderId="3" xfId="0" applyNumberFormat="1" applyFill="1" applyBorder="1" applyAlignment="1">
      <alignment vertical="top" wrapText="1"/>
    </xf>
    <xf numFmtId="0" fontId="0" fillId="8" borderId="3" xfId="0" applyFill="1" applyBorder="1" applyAlignment="1">
      <alignment horizontal="center" vertical="top" wrapText="1"/>
    </xf>
    <xf numFmtId="0" fontId="0" fillId="8" borderId="3" xfId="0" applyFill="1" applyBorder="1" applyAlignment="1">
      <alignment horizontal="left" vertical="top" wrapText="1"/>
    </xf>
    <xf numFmtId="14" fontId="0" fillId="8" borderId="3" xfId="0" applyNumberFormat="1" applyFill="1" applyBorder="1" applyAlignment="1">
      <alignment horizontal="center" vertical="top" wrapText="1"/>
    </xf>
    <xf numFmtId="164" fontId="0" fillId="8" borderId="3" xfId="0" applyNumberFormat="1" applyFill="1" applyBorder="1" applyAlignment="1">
      <alignment vertical="top" wrapText="1"/>
    </xf>
    <xf numFmtId="14" fontId="0" fillId="0" borderId="3" xfId="0" applyNumberForma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horizontal="left" vertical="top" wrapText="1"/>
    </xf>
    <xf numFmtId="164" fontId="0" fillId="0" borderId="3" xfId="0" applyNumberFormat="1" applyBorder="1" applyAlignment="1">
      <alignment vertical="top" wrapText="1"/>
    </xf>
    <xf numFmtId="0" fontId="11" fillId="0" borderId="0" xfId="0" applyFont="1"/>
    <xf numFmtId="164" fontId="11" fillId="0" borderId="0" xfId="0" applyNumberFormat="1" applyFont="1"/>
    <xf numFmtId="0" fontId="13" fillId="0" borderId="0" xfId="0" applyFont="1"/>
    <xf numFmtId="14" fontId="0" fillId="0" borderId="3" xfId="0" applyNumberFormat="1" applyBorder="1" applyAlignment="1">
      <alignment vertical="top" wrapText="1"/>
    </xf>
    <xf numFmtId="0" fontId="0" fillId="0" borderId="3" xfId="0" applyBorder="1" applyAlignment="1">
      <alignment vertical="top" wrapText="1"/>
    </xf>
    <xf numFmtId="14" fontId="0" fillId="10" borderId="3" xfId="0" applyNumberFormat="1" applyFill="1" applyBorder="1" applyAlignment="1">
      <alignment horizontal="center" vertical="top" wrapText="1"/>
    </xf>
    <xf numFmtId="0" fontId="0" fillId="10" borderId="3" xfId="0" applyFill="1" applyBorder="1" applyAlignment="1">
      <alignment horizontal="center" vertical="top" wrapText="1"/>
    </xf>
    <xf numFmtId="0" fontId="0" fillId="10" borderId="3" xfId="0" applyFill="1" applyBorder="1" applyAlignment="1">
      <alignment horizontal="left" vertical="top" wrapText="1"/>
    </xf>
    <xf numFmtId="164" fontId="0" fillId="10" borderId="3" xfId="0" applyNumberFormat="1" applyFill="1" applyBorder="1" applyAlignment="1">
      <alignment vertical="top" wrapText="1"/>
    </xf>
    <xf numFmtId="0" fontId="15" fillId="0" borderId="0" xfId="0" applyFont="1"/>
    <xf numFmtId="14" fontId="16" fillId="0" borderId="0" xfId="0" applyNumberFormat="1" applyFont="1"/>
    <xf numFmtId="0" fontId="17" fillId="11" borderId="4" xfId="0" applyFont="1" applyFill="1" applyBorder="1" applyAlignment="1">
      <alignment horizontal="center" vertical="center" wrapText="1"/>
    </xf>
    <xf numFmtId="14" fontId="0" fillId="13" borderId="4" xfId="0" applyNumberFormat="1" applyFill="1" applyBorder="1" applyAlignment="1">
      <alignment horizontal="center" vertical="top" wrapText="1"/>
    </xf>
    <xf numFmtId="0" fontId="0" fillId="13" borderId="4" xfId="0" applyFill="1" applyBorder="1" applyAlignment="1">
      <alignment horizontal="center" vertical="top" wrapText="1"/>
    </xf>
    <xf numFmtId="0" fontId="0" fillId="13" borderId="4" xfId="0" applyFill="1" applyBorder="1" applyAlignment="1">
      <alignment horizontal="left" vertical="top" wrapText="1"/>
    </xf>
    <xf numFmtId="164" fontId="0" fillId="13" borderId="4" xfId="0" applyNumberFormat="1" applyFill="1" applyBorder="1" applyAlignment="1">
      <alignment vertical="top" wrapText="1"/>
    </xf>
    <xf numFmtId="0" fontId="0" fillId="12" borderId="4" xfId="0" applyFill="1" applyBorder="1" applyAlignment="1">
      <alignment horizontal="center" vertical="top" wrapText="1"/>
    </xf>
    <xf numFmtId="0" fontId="0" fillId="12" borderId="4" xfId="0" applyFill="1" applyBorder="1" applyAlignment="1">
      <alignment horizontal="left" vertical="top" wrapText="1"/>
    </xf>
    <xf numFmtId="14" fontId="0" fillId="12" borderId="4" xfId="0" applyNumberFormat="1" applyFill="1" applyBorder="1" applyAlignment="1">
      <alignment horizontal="center" vertical="top" wrapText="1"/>
    </xf>
    <xf numFmtId="164" fontId="0" fillId="12" borderId="4" xfId="0" applyNumberFormat="1" applyFill="1" applyBorder="1" applyAlignment="1">
      <alignment vertical="top" wrapText="1"/>
    </xf>
    <xf numFmtId="14" fontId="0" fillId="0" borderId="4" xfId="0" applyNumberForma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164" fontId="0" fillId="0" borderId="4" xfId="0" applyNumberFormat="1" applyBorder="1" applyAlignment="1">
      <alignment vertical="top" wrapText="1"/>
    </xf>
    <xf numFmtId="0" fontId="16" fillId="0" borderId="0" xfId="0" applyFont="1"/>
    <xf numFmtId="164" fontId="16" fillId="0" borderId="0" xfId="0" applyNumberFormat="1" applyFont="1"/>
    <xf numFmtId="0" fontId="18" fillId="0" borderId="0" xfId="0" applyFont="1"/>
    <xf numFmtId="14" fontId="0" fillId="0" borderId="4" xfId="0" applyNumberFormat="1" applyBorder="1" applyAlignment="1">
      <alignment vertical="top" wrapText="1"/>
    </xf>
    <xf numFmtId="0" fontId="0" fillId="0" borderId="4" xfId="0" applyBorder="1" applyAlignment="1">
      <alignment vertical="top" wrapText="1"/>
    </xf>
    <xf numFmtId="14" fontId="0" fillId="13" borderId="4" xfId="0" applyNumberFormat="1" applyFill="1" applyBorder="1" applyAlignment="1">
      <alignment vertical="top" wrapText="1"/>
    </xf>
    <xf numFmtId="0" fontId="0" fillId="13" borderId="4" xfId="0" applyFill="1" applyBorder="1" applyAlignment="1">
      <alignment vertical="top" wrapText="1"/>
    </xf>
    <xf numFmtId="0" fontId="0" fillId="13" borderId="4" xfId="0" applyFill="1" applyBorder="1"/>
    <xf numFmtId="0" fontId="19" fillId="0" borderId="0" xfId="0" applyFont="1"/>
    <xf numFmtId="14" fontId="0" fillId="14" borderId="4" xfId="0" applyNumberFormat="1" applyFill="1" applyBorder="1" applyAlignment="1">
      <alignment horizontal="center" vertical="top" wrapText="1"/>
    </xf>
    <xf numFmtId="0" fontId="0" fillId="14" borderId="4" xfId="0" applyFill="1" applyBorder="1" applyAlignment="1">
      <alignment horizontal="center" vertical="top" wrapText="1"/>
    </xf>
    <xf numFmtId="0" fontId="0" fillId="14" borderId="4" xfId="0" applyFill="1" applyBorder="1" applyAlignment="1">
      <alignment horizontal="left" vertical="top" wrapText="1"/>
    </xf>
    <xf numFmtId="164" fontId="0" fillId="14" borderId="4" xfId="0" applyNumberFormat="1" applyFill="1" applyBorder="1" applyAlignment="1">
      <alignment vertical="top" wrapText="1"/>
    </xf>
    <xf numFmtId="14" fontId="0" fillId="15" borderId="4" xfId="0" applyNumberFormat="1" applyFill="1" applyBorder="1" applyAlignment="1">
      <alignment horizontal="center" vertical="top" wrapText="1"/>
    </xf>
    <xf numFmtId="0" fontId="0" fillId="15" borderId="4" xfId="0" applyFill="1" applyBorder="1" applyAlignment="1">
      <alignment horizontal="center" vertical="top" wrapText="1"/>
    </xf>
    <xf numFmtId="0" fontId="0" fillId="15" borderId="4" xfId="0" applyFill="1" applyBorder="1" applyAlignment="1">
      <alignment horizontal="left" vertical="top" wrapText="1"/>
    </xf>
    <xf numFmtId="164" fontId="0" fillId="15" borderId="4" xfId="0" applyNumberFormat="1" applyFill="1" applyBorder="1" applyAlignment="1">
      <alignment vertical="top" wrapText="1"/>
    </xf>
    <xf numFmtId="0" fontId="21" fillId="16" borderId="6" xfId="0" applyFont="1" applyFill="1" applyBorder="1" applyAlignment="1">
      <alignment horizontal="center" vertical="center" wrapText="1"/>
    </xf>
    <xf numFmtId="14" fontId="0" fillId="17" borderId="6" xfId="0" applyNumberFormat="1" applyFill="1" applyBorder="1" applyAlignment="1">
      <alignment horizontal="center" vertical="top" wrapText="1"/>
    </xf>
    <xf numFmtId="0" fontId="0" fillId="17" borderId="6" xfId="0" applyFill="1" applyBorder="1" applyAlignment="1">
      <alignment horizontal="center" vertical="top" wrapText="1"/>
    </xf>
    <xf numFmtId="0" fontId="0" fillId="17" borderId="6" xfId="0" applyFill="1" applyBorder="1" applyAlignment="1">
      <alignment horizontal="left" vertical="top" wrapText="1"/>
    </xf>
    <xf numFmtId="164" fontId="0" fillId="17" borderId="6" xfId="0" applyNumberFormat="1" applyFill="1" applyBorder="1" applyAlignment="1">
      <alignment vertical="top" wrapText="1"/>
    </xf>
    <xf numFmtId="14" fontId="0" fillId="18" borderId="6" xfId="0" applyNumberFormat="1" applyFill="1" applyBorder="1" applyAlignment="1">
      <alignment horizontal="center" vertical="top" wrapText="1"/>
    </xf>
    <xf numFmtId="0" fontId="0" fillId="18" borderId="6" xfId="0" applyFill="1" applyBorder="1" applyAlignment="1">
      <alignment horizontal="center" vertical="top" wrapText="1"/>
    </xf>
    <xf numFmtId="0" fontId="0" fillId="18" borderId="6" xfId="0" applyFill="1" applyBorder="1" applyAlignment="1">
      <alignment horizontal="left" vertical="top" wrapText="1"/>
    </xf>
    <xf numFmtId="164" fontId="0" fillId="18" borderId="6" xfId="0" applyNumberFormat="1" applyFill="1" applyBorder="1" applyAlignment="1">
      <alignment vertical="top" wrapText="1"/>
    </xf>
    <xf numFmtId="14" fontId="0" fillId="0" borderId="6" xfId="0" applyNumberForma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vertical="top" wrapText="1"/>
    </xf>
    <xf numFmtId="0" fontId="20" fillId="0" borderId="0" xfId="0" applyFont="1"/>
    <xf numFmtId="164" fontId="20" fillId="0" borderId="0" xfId="0" applyNumberFormat="1" applyFont="1"/>
    <xf numFmtId="0" fontId="22" fillId="0" borderId="0" xfId="0" applyFont="1"/>
    <xf numFmtId="14" fontId="0" fillId="0" borderId="6" xfId="0" applyNumberFormat="1" applyBorder="1" applyAlignment="1">
      <alignment vertical="top" wrapText="1"/>
    </xf>
    <xf numFmtId="0" fontId="0" fillId="0" borderId="6" xfId="0" applyBorder="1" applyAlignment="1">
      <alignment vertical="top" wrapText="1"/>
    </xf>
    <xf numFmtId="14" fontId="0" fillId="19" borderId="6" xfId="0" applyNumberFormat="1" applyFill="1" applyBorder="1" applyAlignment="1">
      <alignment horizontal="center" vertical="top" wrapText="1"/>
    </xf>
    <xf numFmtId="0" fontId="0" fillId="19" borderId="6" xfId="0" applyFill="1" applyBorder="1" applyAlignment="1">
      <alignment horizontal="center" vertical="top" wrapText="1"/>
    </xf>
    <xf numFmtId="0" fontId="0" fillId="19" borderId="6" xfId="0" applyFill="1" applyBorder="1" applyAlignment="1">
      <alignment horizontal="left" vertical="top" wrapText="1"/>
    </xf>
    <xf numFmtId="164" fontId="0" fillId="19" borderId="6" xfId="0" applyNumberFormat="1" applyFill="1" applyBorder="1" applyAlignment="1">
      <alignment vertical="top" wrapText="1"/>
    </xf>
    <xf numFmtId="14" fontId="9" fillId="0" borderId="0" xfId="0" applyNumberFormat="1" applyFont="1"/>
    <xf numFmtId="14" fontId="0" fillId="20" borderId="6" xfId="0" applyNumberFormat="1" applyFill="1" applyBorder="1" applyAlignment="1">
      <alignment horizontal="center" vertical="top" wrapText="1"/>
    </xf>
    <xf numFmtId="0" fontId="0" fillId="20" borderId="6" xfId="0" applyFill="1" applyBorder="1" applyAlignment="1">
      <alignment horizontal="center" vertical="top" wrapText="1"/>
    </xf>
    <xf numFmtId="0" fontId="0" fillId="20" borderId="6" xfId="0" applyFill="1" applyBorder="1" applyAlignment="1">
      <alignment horizontal="left" vertical="top" wrapText="1"/>
    </xf>
    <xf numFmtId="164" fontId="0" fillId="20" borderId="6" xfId="0" applyNumberFormat="1" applyFill="1" applyBorder="1" applyAlignment="1">
      <alignment vertical="top" wrapText="1"/>
    </xf>
    <xf numFmtId="0" fontId="24" fillId="21" borderId="7" xfId="0" applyFont="1" applyFill="1" applyBorder="1" applyAlignment="1">
      <alignment horizontal="center" vertical="center" wrapText="1"/>
    </xf>
    <xf numFmtId="14" fontId="0" fillId="22" borderId="7" xfId="0" applyNumberFormat="1" applyFill="1" applyBorder="1" applyAlignment="1">
      <alignment horizontal="center" vertical="top" wrapText="1"/>
    </xf>
    <xf numFmtId="0" fontId="0" fillId="22" borderId="7" xfId="0" applyFill="1" applyBorder="1" applyAlignment="1">
      <alignment horizontal="center" vertical="top" wrapText="1"/>
    </xf>
    <xf numFmtId="0" fontId="0" fillId="22" borderId="7" xfId="0" applyFill="1" applyBorder="1" applyAlignment="1">
      <alignment horizontal="left" vertical="top" wrapText="1"/>
    </xf>
    <xf numFmtId="164" fontId="0" fillId="22" borderId="7" xfId="0" applyNumberFormat="1" applyFill="1" applyBorder="1" applyAlignment="1">
      <alignment vertical="top" wrapText="1"/>
    </xf>
    <xf numFmtId="14" fontId="0" fillId="23" borderId="7" xfId="0" applyNumberFormat="1" applyFill="1" applyBorder="1" applyAlignment="1">
      <alignment horizontal="center" vertical="top" wrapText="1"/>
    </xf>
    <xf numFmtId="0" fontId="0" fillId="23" borderId="7" xfId="0" applyFill="1" applyBorder="1" applyAlignment="1">
      <alignment horizontal="center" vertical="top" wrapText="1"/>
    </xf>
    <xf numFmtId="0" fontId="0" fillId="23" borderId="7" xfId="0" applyFill="1" applyBorder="1" applyAlignment="1">
      <alignment horizontal="left" vertical="top" wrapText="1"/>
    </xf>
    <xf numFmtId="164" fontId="0" fillId="23" borderId="7" xfId="0" applyNumberFormat="1" applyFill="1" applyBorder="1" applyAlignment="1">
      <alignment vertical="top" wrapText="1"/>
    </xf>
    <xf numFmtId="14" fontId="0" fillId="0" borderId="7" xfId="0" applyNumberForma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7" xfId="0" applyBorder="1" applyAlignment="1">
      <alignment horizontal="left" vertical="top" wrapText="1"/>
    </xf>
    <xf numFmtId="164" fontId="0" fillId="0" borderId="7" xfId="0" applyNumberFormat="1" applyBorder="1" applyAlignment="1">
      <alignment vertical="top" wrapText="1"/>
    </xf>
    <xf numFmtId="0" fontId="23" fillId="0" borderId="0" xfId="0" applyFont="1"/>
    <xf numFmtId="164" fontId="23" fillId="0" borderId="0" xfId="0" applyNumberFormat="1" applyFont="1"/>
    <xf numFmtId="0" fontId="25" fillId="0" borderId="0" xfId="0" applyFont="1"/>
    <xf numFmtId="14" fontId="0" fillId="0" borderId="7" xfId="0" applyNumberForma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27" fillId="24" borderId="8" xfId="0" applyFont="1" applyFill="1" applyBorder="1" applyAlignment="1">
      <alignment horizontal="center" vertical="center" wrapText="1"/>
    </xf>
    <xf numFmtId="14" fontId="0" fillId="25" borderId="8" xfId="0" applyNumberFormat="1" applyFill="1" applyBorder="1" applyAlignment="1">
      <alignment horizontal="center" vertical="top" wrapText="1"/>
    </xf>
    <xf numFmtId="0" fontId="0" fillId="25" borderId="8" xfId="0" applyFill="1" applyBorder="1" applyAlignment="1">
      <alignment horizontal="center" vertical="top" wrapText="1"/>
    </xf>
    <xf numFmtId="0" fontId="0" fillId="25" borderId="8" xfId="0" applyFill="1" applyBorder="1" applyAlignment="1">
      <alignment horizontal="left" vertical="top" wrapText="1"/>
    </xf>
    <xf numFmtId="164" fontId="0" fillId="25" borderId="8" xfId="0" applyNumberFormat="1" applyFill="1" applyBorder="1" applyAlignment="1">
      <alignment vertical="top" wrapText="1"/>
    </xf>
    <xf numFmtId="14" fontId="0" fillId="0" borderId="8" xfId="0" applyNumberForma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164" fontId="0" fillId="0" borderId="8" xfId="0" applyNumberFormat="1" applyBorder="1" applyAlignment="1">
      <alignment vertical="top" wrapText="1"/>
    </xf>
    <xf numFmtId="14" fontId="0" fillId="26" borderId="8" xfId="0" applyNumberFormat="1" applyFill="1" applyBorder="1" applyAlignment="1">
      <alignment horizontal="center" vertical="top" wrapText="1"/>
    </xf>
    <xf numFmtId="0" fontId="0" fillId="26" borderId="8" xfId="0" applyFill="1" applyBorder="1" applyAlignment="1">
      <alignment horizontal="center" vertical="top" wrapText="1"/>
    </xf>
    <xf numFmtId="0" fontId="0" fillId="26" borderId="8" xfId="0" applyFill="1" applyBorder="1" applyAlignment="1">
      <alignment horizontal="left" vertical="top" wrapText="1"/>
    </xf>
    <xf numFmtId="164" fontId="0" fillId="26" borderId="8" xfId="0" applyNumberFormat="1" applyFill="1" applyBorder="1" applyAlignment="1">
      <alignment vertical="top" wrapText="1"/>
    </xf>
    <xf numFmtId="0" fontId="26" fillId="0" borderId="0" xfId="0" applyFont="1"/>
    <xf numFmtId="164" fontId="26" fillId="0" borderId="0" xfId="0" applyNumberFormat="1" applyFont="1"/>
    <xf numFmtId="0" fontId="28" fillId="0" borderId="0" xfId="0" applyFont="1"/>
    <xf numFmtId="14" fontId="0" fillId="0" borderId="8" xfId="0" applyNumberFormat="1" applyBorder="1" applyAlignment="1">
      <alignment vertical="top" wrapText="1"/>
    </xf>
    <xf numFmtId="0" fontId="0" fillId="0" borderId="8" xfId="0" applyBorder="1" applyAlignment="1">
      <alignment vertical="top" wrapText="1"/>
    </xf>
    <xf numFmtId="14" fontId="0" fillId="14" borderId="8" xfId="0" applyNumberFormat="1" applyFill="1" applyBorder="1" applyAlignment="1">
      <alignment horizontal="center" vertical="top" wrapText="1"/>
    </xf>
    <xf numFmtId="0" fontId="0" fillId="14" borderId="8" xfId="0" applyFill="1" applyBorder="1" applyAlignment="1">
      <alignment horizontal="center" vertical="top" wrapText="1"/>
    </xf>
    <xf numFmtId="0" fontId="0" fillId="14" borderId="8" xfId="0" applyFill="1" applyBorder="1" applyAlignment="1">
      <alignment horizontal="left" vertical="top" wrapText="1"/>
    </xf>
    <xf numFmtId="164" fontId="0" fillId="14" borderId="8" xfId="0" applyNumberFormat="1" applyFill="1" applyBorder="1" applyAlignment="1">
      <alignment vertical="top" wrapText="1"/>
    </xf>
    <xf numFmtId="14" fontId="0" fillId="15" borderId="8" xfId="0" applyNumberFormat="1" applyFill="1" applyBorder="1" applyAlignment="1">
      <alignment horizontal="center" vertical="top" wrapText="1"/>
    </xf>
    <xf numFmtId="0" fontId="0" fillId="15" borderId="8" xfId="0" applyFill="1" applyBorder="1" applyAlignment="1">
      <alignment horizontal="center" vertical="top" wrapText="1"/>
    </xf>
    <xf numFmtId="0" fontId="0" fillId="15" borderId="8" xfId="0" applyFill="1" applyBorder="1" applyAlignment="1">
      <alignment horizontal="left" vertical="top" wrapText="1"/>
    </xf>
    <xf numFmtId="164" fontId="0" fillId="15" borderId="8" xfId="0" applyNumberFormat="1" applyFill="1" applyBorder="1" applyAlignment="1">
      <alignment vertical="top" wrapText="1"/>
    </xf>
    <xf numFmtId="0" fontId="10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30" fillId="27" borderId="9" xfId="0" applyFont="1" applyFill="1" applyBorder="1" applyAlignment="1">
      <alignment horizontal="center" vertical="center" wrapText="1"/>
    </xf>
    <xf numFmtId="14" fontId="0" fillId="28" borderId="9" xfId="0" applyNumberFormat="1" applyFill="1" applyBorder="1" applyAlignment="1">
      <alignment horizontal="center" vertical="top" wrapText="1"/>
    </xf>
    <xf numFmtId="0" fontId="0" fillId="28" borderId="9" xfId="0" applyFill="1" applyBorder="1" applyAlignment="1">
      <alignment horizontal="center" vertical="top" wrapText="1"/>
    </xf>
    <xf numFmtId="0" fontId="0" fillId="28" borderId="9" xfId="0" applyFill="1" applyBorder="1" applyAlignment="1">
      <alignment horizontal="left" vertical="top" wrapText="1"/>
    </xf>
    <xf numFmtId="164" fontId="0" fillId="28" borderId="9" xfId="0" applyNumberFormat="1" applyFill="1" applyBorder="1" applyAlignment="1">
      <alignment vertical="top" wrapText="1"/>
    </xf>
    <xf numFmtId="14" fontId="0" fillId="29" borderId="9" xfId="0" applyNumberFormat="1" applyFill="1" applyBorder="1" applyAlignment="1">
      <alignment horizontal="center" vertical="top" wrapText="1"/>
    </xf>
    <xf numFmtId="0" fontId="0" fillId="29" borderId="9" xfId="0" applyFill="1" applyBorder="1" applyAlignment="1">
      <alignment horizontal="center" vertical="top" wrapText="1"/>
    </xf>
    <xf numFmtId="0" fontId="0" fillId="29" borderId="9" xfId="0" applyFill="1" applyBorder="1" applyAlignment="1">
      <alignment horizontal="left" vertical="top" wrapText="1"/>
    </xf>
    <xf numFmtId="164" fontId="0" fillId="29" borderId="9" xfId="0" applyNumberFormat="1" applyFill="1" applyBorder="1" applyAlignment="1">
      <alignment vertical="top" wrapText="1"/>
    </xf>
    <xf numFmtId="14" fontId="0" fillId="0" borderId="9" xfId="0" applyNumberForma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9" xfId="0" applyBorder="1" applyAlignment="1">
      <alignment horizontal="left" vertical="top" wrapText="1"/>
    </xf>
    <xf numFmtId="164" fontId="0" fillId="0" borderId="9" xfId="0" applyNumberFormat="1" applyBorder="1" applyAlignment="1">
      <alignment vertical="top" wrapText="1"/>
    </xf>
    <xf numFmtId="0" fontId="29" fillId="0" borderId="0" xfId="0" applyFont="1"/>
    <xf numFmtId="164" fontId="29" fillId="0" borderId="0" xfId="0" applyNumberFormat="1" applyFont="1"/>
    <xf numFmtId="0" fontId="31" fillId="0" borderId="0" xfId="0" applyFont="1"/>
    <xf numFmtId="14" fontId="0" fillId="0" borderId="9" xfId="0" applyNumberFormat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33" fillId="30" borderId="10" xfId="0" applyFont="1" applyFill="1" applyBorder="1" applyAlignment="1">
      <alignment horizontal="center" vertical="center" wrapText="1"/>
    </xf>
    <xf numFmtId="14" fontId="0" fillId="31" borderId="10" xfId="0" applyNumberFormat="1" applyFill="1" applyBorder="1" applyAlignment="1">
      <alignment horizontal="center" vertical="top" wrapText="1"/>
    </xf>
    <xf numFmtId="0" fontId="0" fillId="31" borderId="10" xfId="0" applyFill="1" applyBorder="1" applyAlignment="1">
      <alignment horizontal="center" vertical="top" wrapText="1"/>
    </xf>
    <xf numFmtId="0" fontId="0" fillId="31" borderId="10" xfId="0" applyFill="1" applyBorder="1" applyAlignment="1">
      <alignment horizontal="left" vertical="top" wrapText="1"/>
    </xf>
    <xf numFmtId="164" fontId="0" fillId="31" borderId="10" xfId="0" applyNumberFormat="1" applyFill="1" applyBorder="1" applyAlignment="1">
      <alignment vertical="top" wrapText="1"/>
    </xf>
    <xf numFmtId="14" fontId="0" fillId="32" borderId="10" xfId="0" applyNumberFormat="1" applyFill="1" applyBorder="1" applyAlignment="1">
      <alignment horizontal="center" vertical="top" wrapText="1"/>
    </xf>
    <xf numFmtId="0" fontId="0" fillId="32" borderId="10" xfId="0" applyFill="1" applyBorder="1" applyAlignment="1">
      <alignment horizontal="center" vertical="top" wrapText="1"/>
    </xf>
    <xf numFmtId="0" fontId="0" fillId="32" borderId="10" xfId="0" applyFill="1" applyBorder="1" applyAlignment="1">
      <alignment horizontal="left" vertical="top" wrapText="1"/>
    </xf>
    <xf numFmtId="164" fontId="0" fillId="32" borderId="10" xfId="0" applyNumberFormat="1" applyFill="1" applyBorder="1" applyAlignment="1">
      <alignment vertical="top" wrapText="1"/>
    </xf>
    <xf numFmtId="14" fontId="0" fillId="0" borderId="10" xfId="0" applyNumberForma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164" fontId="0" fillId="0" borderId="10" xfId="0" applyNumberFormat="1" applyBorder="1" applyAlignment="1">
      <alignment vertical="top" wrapText="1"/>
    </xf>
    <xf numFmtId="0" fontId="32" fillId="0" borderId="0" xfId="0" applyFont="1"/>
    <xf numFmtId="164" fontId="32" fillId="0" borderId="0" xfId="0" applyNumberFormat="1" applyFont="1"/>
    <xf numFmtId="0" fontId="34" fillId="0" borderId="0" xfId="0" applyFont="1"/>
    <xf numFmtId="14" fontId="0" fillId="15" borderId="10" xfId="0" applyNumberFormat="1" applyFill="1" applyBorder="1" applyAlignment="1">
      <alignment horizontal="center" vertical="top" wrapText="1"/>
    </xf>
    <xf numFmtId="0" fontId="0" fillId="15" borderId="10" xfId="0" applyFill="1" applyBorder="1" applyAlignment="1">
      <alignment horizontal="center" vertical="top" wrapText="1"/>
    </xf>
    <xf numFmtId="0" fontId="0" fillId="15" borderId="10" xfId="0" applyFill="1" applyBorder="1" applyAlignment="1">
      <alignment horizontal="left" vertical="top" wrapText="1"/>
    </xf>
    <xf numFmtId="164" fontId="0" fillId="15" borderId="10" xfId="0" applyNumberFormat="1" applyFill="1" applyBorder="1" applyAlignment="1">
      <alignment vertical="top" wrapText="1"/>
    </xf>
    <xf numFmtId="14" fontId="0" fillId="14" borderId="10" xfId="0" applyNumberFormat="1" applyFill="1" applyBorder="1" applyAlignment="1">
      <alignment horizontal="center" vertical="top" wrapText="1"/>
    </xf>
    <xf numFmtId="0" fontId="0" fillId="14" borderId="10" xfId="0" applyFill="1" applyBorder="1" applyAlignment="1">
      <alignment horizontal="center" vertical="top" wrapText="1"/>
    </xf>
    <xf numFmtId="0" fontId="0" fillId="14" borderId="10" xfId="0" applyFill="1" applyBorder="1" applyAlignment="1">
      <alignment horizontal="left" vertical="top" wrapText="1"/>
    </xf>
    <xf numFmtId="164" fontId="0" fillId="14" borderId="10" xfId="0" applyNumberFormat="1" applyFill="1" applyBorder="1" applyAlignment="1">
      <alignment vertical="top" wrapText="1"/>
    </xf>
    <xf numFmtId="0" fontId="36" fillId="33" borderId="11" xfId="0" applyFont="1" applyFill="1" applyBorder="1" applyAlignment="1">
      <alignment horizontal="center" vertical="center" wrapText="1"/>
    </xf>
    <xf numFmtId="14" fontId="0" fillId="34" borderId="11" xfId="0" applyNumberFormat="1" applyFill="1" applyBorder="1" applyAlignment="1">
      <alignment horizontal="center" vertical="top" wrapText="1"/>
    </xf>
    <xf numFmtId="0" fontId="0" fillId="34" borderId="11" xfId="0" applyFill="1" applyBorder="1" applyAlignment="1">
      <alignment horizontal="center" vertical="top" wrapText="1"/>
    </xf>
    <xf numFmtId="0" fontId="0" fillId="34" borderId="11" xfId="0" applyFill="1" applyBorder="1" applyAlignment="1">
      <alignment horizontal="left" vertical="top" wrapText="1"/>
    </xf>
    <xf numFmtId="164" fontId="0" fillId="34" borderId="11" xfId="0" applyNumberFormat="1" applyFill="1" applyBorder="1" applyAlignment="1">
      <alignment vertical="top" wrapText="1"/>
    </xf>
    <xf numFmtId="14" fontId="0" fillId="35" borderId="11" xfId="0" applyNumberFormat="1" applyFill="1" applyBorder="1" applyAlignment="1">
      <alignment horizontal="center" vertical="top" wrapText="1"/>
    </xf>
    <xf numFmtId="0" fontId="0" fillId="35" borderId="11" xfId="0" applyFill="1" applyBorder="1" applyAlignment="1">
      <alignment horizontal="center" vertical="top" wrapText="1"/>
    </xf>
    <xf numFmtId="0" fontId="0" fillId="35" borderId="11" xfId="0" applyFill="1" applyBorder="1" applyAlignment="1">
      <alignment horizontal="left" vertical="top" wrapText="1"/>
    </xf>
    <xf numFmtId="164" fontId="0" fillId="35" borderId="11" xfId="0" applyNumberFormat="1" applyFill="1" applyBorder="1" applyAlignment="1">
      <alignment vertical="top" wrapText="1"/>
    </xf>
    <xf numFmtId="14" fontId="0" fillId="0" borderId="11" xfId="0" applyNumberForma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/>
    </xf>
    <xf numFmtId="164" fontId="0" fillId="0" borderId="11" xfId="0" applyNumberFormat="1" applyBorder="1" applyAlignment="1">
      <alignment vertical="top" wrapText="1"/>
    </xf>
    <xf numFmtId="0" fontId="35" fillId="0" borderId="0" xfId="0" applyFont="1"/>
    <xf numFmtId="164" fontId="35" fillId="0" borderId="0" xfId="0" applyNumberFormat="1" applyFont="1"/>
    <xf numFmtId="0" fontId="37" fillId="0" borderId="0" xfId="0" applyFont="1"/>
    <xf numFmtId="14" fontId="0" fillId="0" borderId="11" xfId="0" applyNumberFormat="1" applyBorder="1" applyAlignment="1">
      <alignment vertical="top" wrapText="1"/>
    </xf>
    <xf numFmtId="0" fontId="0" fillId="0" borderId="11" xfId="0" applyBorder="1" applyAlignment="1">
      <alignment vertical="top" wrapText="1"/>
    </xf>
    <xf numFmtId="14" fontId="0" fillId="15" borderId="11" xfId="0" applyNumberFormat="1" applyFill="1" applyBorder="1" applyAlignment="1">
      <alignment horizontal="center" vertical="top" wrapText="1"/>
    </xf>
    <xf numFmtId="0" fontId="0" fillId="15" borderId="11" xfId="0" applyFill="1" applyBorder="1" applyAlignment="1">
      <alignment horizontal="center" vertical="top" wrapText="1"/>
    </xf>
    <xf numFmtId="0" fontId="0" fillId="15" borderId="11" xfId="0" applyFill="1" applyBorder="1" applyAlignment="1">
      <alignment horizontal="left" vertical="top" wrapText="1"/>
    </xf>
    <xf numFmtId="164" fontId="0" fillId="15" borderId="11" xfId="0" applyNumberFormat="1" applyFill="1" applyBorder="1" applyAlignment="1">
      <alignment vertical="top" wrapText="1"/>
    </xf>
    <xf numFmtId="14" fontId="0" fillId="14" borderId="11" xfId="0" applyNumberFormat="1" applyFill="1" applyBorder="1" applyAlignment="1">
      <alignment horizontal="center" vertical="top" wrapText="1"/>
    </xf>
    <xf numFmtId="0" fontId="0" fillId="14" borderId="11" xfId="0" applyFill="1" applyBorder="1" applyAlignment="1">
      <alignment horizontal="center" vertical="top" wrapText="1"/>
    </xf>
    <xf numFmtId="0" fontId="0" fillId="14" borderId="11" xfId="0" applyFill="1" applyBorder="1" applyAlignment="1">
      <alignment horizontal="left" vertical="top" wrapText="1"/>
    </xf>
    <xf numFmtId="164" fontId="0" fillId="14" borderId="11" xfId="0" applyNumberFormat="1" applyFill="1" applyBorder="1" applyAlignment="1">
      <alignment vertical="top" wrapText="1"/>
    </xf>
    <xf numFmtId="0" fontId="39" fillId="36" borderId="12" xfId="0" applyFont="1" applyFill="1" applyBorder="1" applyAlignment="1">
      <alignment horizontal="center" vertical="center" wrapText="1"/>
    </xf>
    <xf numFmtId="14" fontId="0" fillId="37" borderId="12" xfId="0" applyNumberFormat="1" applyFill="1" applyBorder="1" applyAlignment="1">
      <alignment horizontal="center" vertical="top" wrapText="1"/>
    </xf>
    <xf numFmtId="0" fontId="0" fillId="37" borderId="12" xfId="0" applyFill="1" applyBorder="1" applyAlignment="1">
      <alignment horizontal="center" vertical="top" wrapText="1"/>
    </xf>
    <xf numFmtId="0" fontId="0" fillId="37" borderId="12" xfId="0" applyFill="1" applyBorder="1" applyAlignment="1">
      <alignment horizontal="left" vertical="top" wrapText="1"/>
    </xf>
    <xf numFmtId="164" fontId="0" fillId="37" borderId="12" xfId="0" applyNumberFormat="1" applyFill="1" applyBorder="1" applyAlignment="1">
      <alignment vertical="top" wrapText="1"/>
    </xf>
    <xf numFmtId="14" fontId="0" fillId="38" borderId="12" xfId="0" applyNumberFormat="1" applyFill="1" applyBorder="1" applyAlignment="1">
      <alignment horizontal="center" vertical="top" wrapText="1"/>
    </xf>
    <xf numFmtId="0" fontId="0" fillId="38" borderId="12" xfId="0" applyFill="1" applyBorder="1" applyAlignment="1">
      <alignment horizontal="center" vertical="top" wrapText="1"/>
    </xf>
    <xf numFmtId="0" fontId="0" fillId="38" borderId="12" xfId="0" applyFill="1" applyBorder="1" applyAlignment="1">
      <alignment horizontal="left" vertical="top" wrapText="1"/>
    </xf>
    <xf numFmtId="164" fontId="0" fillId="38" borderId="12" xfId="0" applyNumberFormat="1" applyFill="1" applyBorder="1" applyAlignment="1">
      <alignment vertical="top" wrapText="1"/>
    </xf>
    <xf numFmtId="14" fontId="0" fillId="0" borderId="12" xfId="0" applyNumberForma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2" xfId="0" applyBorder="1" applyAlignment="1">
      <alignment horizontal="left" vertical="top" wrapText="1"/>
    </xf>
    <xf numFmtId="164" fontId="0" fillId="0" borderId="12" xfId="0" applyNumberFormat="1" applyBorder="1" applyAlignment="1">
      <alignment vertical="top" wrapText="1"/>
    </xf>
    <xf numFmtId="0" fontId="38" fillId="0" borderId="0" xfId="0" applyFont="1"/>
    <xf numFmtId="164" fontId="38" fillId="0" borderId="0" xfId="0" applyNumberFormat="1" applyFont="1"/>
    <xf numFmtId="0" fontId="40" fillId="0" borderId="0" xfId="0" applyFont="1"/>
    <xf numFmtId="14" fontId="0" fillId="0" borderId="12" xfId="0" applyNumberForma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41" fillId="0" borderId="0" xfId="0" applyFont="1"/>
    <xf numFmtId="14" fontId="0" fillId="14" borderId="12" xfId="0" applyNumberFormat="1" applyFill="1" applyBorder="1" applyAlignment="1">
      <alignment horizontal="center" vertical="top" wrapText="1"/>
    </xf>
    <xf numFmtId="0" fontId="0" fillId="14" borderId="12" xfId="0" applyFill="1" applyBorder="1" applyAlignment="1">
      <alignment horizontal="center" vertical="top" wrapText="1"/>
    </xf>
    <xf numFmtId="0" fontId="0" fillId="14" borderId="12" xfId="0" applyFill="1" applyBorder="1" applyAlignment="1">
      <alignment horizontal="left" vertical="top" wrapText="1"/>
    </xf>
    <xf numFmtId="164" fontId="0" fillId="14" borderId="12" xfId="0" applyNumberFormat="1" applyFill="1" applyBorder="1" applyAlignment="1">
      <alignment vertical="top" wrapText="1"/>
    </xf>
    <xf numFmtId="0" fontId="42" fillId="0" borderId="0" xfId="0" applyFont="1"/>
    <xf numFmtId="14" fontId="42" fillId="0" borderId="0" xfId="0" applyNumberFormat="1" applyFont="1"/>
    <xf numFmtId="0" fontId="43" fillId="39" borderId="13" xfId="0" applyFont="1" applyFill="1" applyBorder="1" applyAlignment="1">
      <alignment horizontal="center" vertical="center" wrapText="1"/>
    </xf>
    <xf numFmtId="14" fontId="0" fillId="40" borderId="13" xfId="0" applyNumberFormat="1" applyFill="1" applyBorder="1" applyAlignment="1">
      <alignment horizontal="center" vertical="top" wrapText="1"/>
    </xf>
    <xf numFmtId="0" fontId="0" fillId="40" borderId="13" xfId="0" applyFill="1" applyBorder="1" applyAlignment="1">
      <alignment horizontal="center" vertical="top" wrapText="1"/>
    </xf>
    <xf numFmtId="0" fontId="0" fillId="40" borderId="13" xfId="0" applyFill="1" applyBorder="1" applyAlignment="1">
      <alignment horizontal="left" vertical="top" wrapText="1"/>
    </xf>
    <xf numFmtId="164" fontId="0" fillId="40" borderId="13" xfId="0" applyNumberFormat="1" applyFill="1" applyBorder="1" applyAlignment="1">
      <alignment vertical="top" wrapText="1"/>
    </xf>
    <xf numFmtId="14" fontId="0" fillId="41" borderId="13" xfId="0" applyNumberFormat="1" applyFill="1" applyBorder="1" applyAlignment="1">
      <alignment horizontal="center" vertical="top" wrapText="1"/>
    </xf>
    <xf numFmtId="0" fontId="0" fillId="41" borderId="13" xfId="0" applyFill="1" applyBorder="1" applyAlignment="1">
      <alignment horizontal="center" vertical="top" wrapText="1"/>
    </xf>
    <xf numFmtId="0" fontId="0" fillId="41" borderId="13" xfId="0" applyFill="1" applyBorder="1" applyAlignment="1">
      <alignment horizontal="left" vertical="top" wrapText="1"/>
    </xf>
    <xf numFmtId="164" fontId="0" fillId="41" borderId="13" xfId="0" applyNumberFormat="1" applyFill="1" applyBorder="1" applyAlignment="1">
      <alignment vertical="top" wrapText="1"/>
    </xf>
    <xf numFmtId="14" fontId="0" fillId="0" borderId="13" xfId="0" applyNumberForma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left" vertical="top" wrapText="1"/>
    </xf>
    <xf numFmtId="164" fontId="0" fillId="0" borderId="13" xfId="0" applyNumberFormat="1" applyBorder="1" applyAlignment="1">
      <alignment vertical="top" wrapText="1"/>
    </xf>
    <xf numFmtId="0" fontId="44" fillId="0" borderId="0" xfId="0" applyFont="1"/>
    <xf numFmtId="164" fontId="44" fillId="0" borderId="0" xfId="0" applyNumberFormat="1" applyFont="1"/>
    <xf numFmtId="0" fontId="45" fillId="0" borderId="0" xfId="0" applyFont="1"/>
    <xf numFmtId="14" fontId="0" fillId="0" borderId="13" xfId="0" applyNumberFormat="1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46" fillId="0" borderId="0" xfId="0" applyFont="1"/>
    <xf numFmtId="14" fontId="46" fillId="0" borderId="0" xfId="0" applyNumberFormat="1" applyFont="1"/>
    <xf numFmtId="0" fontId="47" fillId="42" borderId="14" xfId="0" applyFont="1" applyFill="1" applyBorder="1" applyAlignment="1">
      <alignment horizontal="center" vertical="center" wrapText="1"/>
    </xf>
    <xf numFmtId="14" fontId="0" fillId="43" borderId="14" xfId="0" applyNumberFormat="1" applyFill="1" applyBorder="1" applyAlignment="1">
      <alignment horizontal="center" vertical="top" wrapText="1"/>
    </xf>
    <xf numFmtId="0" fontId="0" fillId="43" borderId="14" xfId="0" applyFill="1" applyBorder="1" applyAlignment="1">
      <alignment horizontal="center" vertical="top" wrapText="1"/>
    </xf>
    <xf numFmtId="0" fontId="0" fillId="43" borderId="14" xfId="0" applyFill="1" applyBorder="1" applyAlignment="1">
      <alignment horizontal="left" vertical="top" wrapText="1"/>
    </xf>
    <xf numFmtId="164" fontId="0" fillId="43" borderId="14" xfId="0" applyNumberFormat="1" applyFill="1" applyBorder="1" applyAlignment="1">
      <alignment vertical="top" wrapText="1"/>
    </xf>
    <xf numFmtId="14" fontId="0" fillId="44" borderId="14" xfId="0" applyNumberFormat="1" applyFill="1" applyBorder="1" applyAlignment="1">
      <alignment horizontal="center" vertical="top" wrapText="1"/>
    </xf>
    <xf numFmtId="0" fontId="0" fillId="44" borderId="14" xfId="0" applyFill="1" applyBorder="1" applyAlignment="1">
      <alignment horizontal="center" vertical="top" wrapText="1"/>
    </xf>
    <xf numFmtId="0" fontId="0" fillId="44" borderId="14" xfId="0" applyFill="1" applyBorder="1" applyAlignment="1">
      <alignment horizontal="left" vertical="top" wrapText="1"/>
    </xf>
    <xf numFmtId="164" fontId="0" fillId="44" borderId="14" xfId="0" applyNumberFormat="1" applyFill="1" applyBorder="1" applyAlignment="1">
      <alignment vertical="top" wrapText="1"/>
    </xf>
    <xf numFmtId="14" fontId="0" fillId="0" borderId="14" xfId="0" applyNumberForma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 wrapText="1"/>
    </xf>
    <xf numFmtId="164" fontId="0" fillId="0" borderId="14" xfId="0" applyNumberFormat="1" applyBorder="1" applyAlignment="1">
      <alignment vertical="top" wrapText="1"/>
    </xf>
    <xf numFmtId="0" fontId="48" fillId="0" borderId="0" xfId="0" applyFont="1"/>
    <xf numFmtId="164" fontId="48" fillId="0" borderId="0" xfId="0" applyNumberFormat="1" applyFont="1"/>
    <xf numFmtId="0" fontId="49" fillId="0" borderId="0" xfId="0" applyFont="1"/>
    <xf numFmtId="14" fontId="0" fillId="0" borderId="14" xfId="0" applyNumberFormat="1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50" fillId="0" borderId="0" xfId="0" applyFont="1"/>
    <xf numFmtId="14" fontId="14" fillId="0" borderId="0" xfId="0" applyNumberFormat="1" applyFont="1" applyAlignment="1">
      <alignment horizontal="right"/>
    </xf>
    <xf numFmtId="0" fontId="0" fillId="0" borderId="0" xfId="0"/>
    <xf numFmtId="0" fontId="10" fillId="0" borderId="0" xfId="0" applyFont="1"/>
    <xf numFmtId="14" fontId="9" fillId="0" borderId="5" xfId="0" applyNumberFormat="1" applyFont="1" applyBorder="1" applyAlignment="1">
      <alignment horizontal="right"/>
    </xf>
    <xf numFmtId="0" fontId="0" fillId="0" borderId="5" xfId="0" applyBorder="1"/>
    <xf numFmtId="0" fontId="9" fillId="0" borderId="5" xfId="0" applyFont="1" applyBorder="1" applyAlignment="1">
      <alignment horizontal="left"/>
    </xf>
    <xf numFmtId="14" fontId="0" fillId="45" borderId="14" xfId="0" applyNumberFormat="1" applyFill="1" applyBorder="1" applyAlignment="1">
      <alignment horizontal="center" vertical="top" wrapText="1"/>
    </xf>
    <xf numFmtId="0" fontId="0" fillId="45" borderId="14" xfId="0" applyFill="1" applyBorder="1" applyAlignment="1">
      <alignment horizontal="center" vertical="top" wrapText="1"/>
    </xf>
    <xf numFmtId="0" fontId="0" fillId="45" borderId="14" xfId="0" applyFill="1" applyBorder="1" applyAlignment="1">
      <alignment horizontal="left" vertical="top" wrapText="1"/>
    </xf>
    <xf numFmtId="164" fontId="0" fillId="45" borderId="14" xfId="0" applyNumberFormat="1" applyFill="1" applyBorder="1" applyAlignment="1">
      <alignment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workbookViewId="0">
      <pane xSplit="4" ySplit="2" topLeftCell="E2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t="s">
        <v>0</v>
      </c>
      <c r="K1" s="301">
        <f ca="1">TODAY()</f>
        <v>46171</v>
      </c>
      <c r="L1" s="302"/>
    </row>
    <row r="2" spans="1:12" ht="43.2" customHeight="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ht="43.2" customHeight="1" x14ac:dyDescent="0.3">
      <c r="A3" s="25">
        <v>46120</v>
      </c>
      <c r="B3" s="25">
        <v>46146.328277824083</v>
      </c>
      <c r="C3" t="s">
        <v>103</v>
      </c>
      <c r="D3" t="s">
        <v>104</v>
      </c>
      <c r="E3" t="s">
        <v>105</v>
      </c>
      <c r="F3" t="s">
        <v>89</v>
      </c>
      <c r="G3" s="18">
        <v>50593.1</v>
      </c>
      <c r="H3" t="s">
        <v>106</v>
      </c>
      <c r="I3" t="s">
        <v>107</v>
      </c>
      <c r="J3" t="s">
        <v>19</v>
      </c>
      <c r="K3" t="s">
        <v>108</v>
      </c>
      <c r="L3" s="25">
        <f t="shared" ref="L3:L14" si="0">B3</f>
        <v>46146.328277824083</v>
      </c>
    </row>
    <row r="4" spans="1:12" ht="28.8" customHeight="1" x14ac:dyDescent="0.3">
      <c r="A4" s="25">
        <v>46133</v>
      </c>
      <c r="B4" s="25">
        <v>46146.328277824083</v>
      </c>
      <c r="C4" t="s">
        <v>109</v>
      </c>
      <c r="D4" t="s">
        <v>110</v>
      </c>
      <c r="E4" t="s">
        <v>111</v>
      </c>
      <c r="F4" t="s">
        <v>112</v>
      </c>
      <c r="G4" s="18">
        <v>28418.48</v>
      </c>
      <c r="H4" t="s">
        <v>113</v>
      </c>
      <c r="I4" t="s">
        <v>107</v>
      </c>
      <c r="J4" t="s">
        <v>114</v>
      </c>
      <c r="K4" t="s">
        <v>115</v>
      </c>
      <c r="L4" s="25">
        <f t="shared" si="0"/>
        <v>46146.328277824083</v>
      </c>
    </row>
    <row r="5" spans="1:12" ht="28.8" customHeight="1" x14ac:dyDescent="0.3">
      <c r="A5" s="25">
        <v>46136</v>
      </c>
      <c r="B5" s="25">
        <v>46146.328277824083</v>
      </c>
      <c r="C5" t="s">
        <v>116</v>
      </c>
      <c r="D5" t="s">
        <v>117</v>
      </c>
      <c r="E5" t="s">
        <v>118</v>
      </c>
      <c r="F5" t="s">
        <v>84</v>
      </c>
      <c r="G5" s="18">
        <v>15437.6</v>
      </c>
      <c r="H5" t="s">
        <v>106</v>
      </c>
      <c r="I5" t="s">
        <v>107</v>
      </c>
      <c r="J5" t="s">
        <v>19</v>
      </c>
      <c r="K5" t="s">
        <v>119</v>
      </c>
      <c r="L5" s="25">
        <f t="shared" si="0"/>
        <v>46146.328277824083</v>
      </c>
    </row>
    <row r="6" spans="1:12" ht="28.8" customHeight="1" x14ac:dyDescent="0.3">
      <c r="A6" s="25">
        <v>46111</v>
      </c>
      <c r="B6" s="25">
        <v>46171</v>
      </c>
      <c r="C6" t="s">
        <v>38</v>
      </c>
      <c r="D6" t="s">
        <v>39</v>
      </c>
      <c r="E6" t="s">
        <v>40</v>
      </c>
      <c r="F6" t="s">
        <v>41</v>
      </c>
      <c r="G6" s="18">
        <v>9014.2099999999991</v>
      </c>
      <c r="H6" t="s">
        <v>106</v>
      </c>
      <c r="I6" t="s">
        <v>42</v>
      </c>
      <c r="K6" t="s">
        <v>43</v>
      </c>
      <c r="L6" s="25">
        <f t="shared" si="0"/>
        <v>46171</v>
      </c>
    </row>
    <row r="7" spans="1:12" ht="28.8" customHeight="1" x14ac:dyDescent="0.3">
      <c r="A7" s="25">
        <v>46112</v>
      </c>
      <c r="B7" s="25">
        <v>46146.328277824083</v>
      </c>
      <c r="C7" t="s">
        <v>13</v>
      </c>
      <c r="D7" t="s">
        <v>14</v>
      </c>
      <c r="E7" t="s">
        <v>15</v>
      </c>
      <c r="F7" t="s">
        <v>16</v>
      </c>
      <c r="G7" s="18">
        <v>103711</v>
      </c>
      <c r="H7" t="s">
        <v>106</v>
      </c>
      <c r="I7" t="s">
        <v>18</v>
      </c>
      <c r="J7" t="s">
        <v>19</v>
      </c>
      <c r="K7" t="s">
        <v>20</v>
      </c>
      <c r="L7" s="25">
        <f t="shared" si="0"/>
        <v>46146.328277824083</v>
      </c>
    </row>
    <row r="8" spans="1:12" ht="28.8" customHeight="1" x14ac:dyDescent="0.3">
      <c r="A8" s="25">
        <v>46112</v>
      </c>
      <c r="B8" s="25">
        <v>46146.328277824083</v>
      </c>
      <c r="C8" t="s">
        <v>120</v>
      </c>
      <c r="D8" t="s">
        <v>121</v>
      </c>
      <c r="E8" t="s">
        <v>122</v>
      </c>
      <c r="F8" t="s">
        <v>16</v>
      </c>
      <c r="G8" s="18">
        <v>83433</v>
      </c>
      <c r="H8" t="s">
        <v>106</v>
      </c>
      <c r="I8" t="s">
        <v>18</v>
      </c>
      <c r="J8" t="s">
        <v>19</v>
      </c>
      <c r="K8" t="s">
        <v>123</v>
      </c>
      <c r="L8" s="25">
        <f t="shared" si="0"/>
        <v>46146.328277824083</v>
      </c>
    </row>
    <row r="9" spans="1:12" x14ac:dyDescent="0.3">
      <c r="A9" s="25">
        <v>46119</v>
      </c>
      <c r="B9" s="25">
        <v>46146.328277824083</v>
      </c>
      <c r="C9" t="s">
        <v>124</v>
      </c>
      <c r="D9" t="s">
        <v>125</v>
      </c>
      <c r="E9" t="s">
        <v>126</v>
      </c>
      <c r="F9" t="s">
        <v>74</v>
      </c>
      <c r="G9" s="18">
        <v>58613.2</v>
      </c>
      <c r="H9" t="s">
        <v>127</v>
      </c>
      <c r="I9" t="s">
        <v>18</v>
      </c>
      <c r="J9" t="s">
        <v>19</v>
      </c>
      <c r="K9" t="s">
        <v>128</v>
      </c>
      <c r="L9" s="25">
        <f t="shared" si="0"/>
        <v>46146.328277824083</v>
      </c>
    </row>
    <row r="10" spans="1:12" x14ac:dyDescent="0.3">
      <c r="A10" s="25">
        <v>46133</v>
      </c>
      <c r="B10" s="25">
        <v>46146.328277824083</v>
      </c>
      <c r="C10" t="s">
        <v>129</v>
      </c>
      <c r="D10" t="s">
        <v>130</v>
      </c>
      <c r="E10" t="s">
        <v>65</v>
      </c>
      <c r="F10" t="s">
        <v>131</v>
      </c>
      <c r="G10" s="18">
        <v>1573.2</v>
      </c>
      <c r="H10" t="s">
        <v>113</v>
      </c>
      <c r="I10" t="s">
        <v>18</v>
      </c>
      <c r="J10" t="s">
        <v>25</v>
      </c>
      <c r="K10" t="s">
        <v>132</v>
      </c>
      <c r="L10" s="25">
        <f t="shared" si="0"/>
        <v>46146.328277824083</v>
      </c>
    </row>
    <row r="11" spans="1:12" ht="57.6" customHeight="1" x14ac:dyDescent="0.3">
      <c r="A11" s="25">
        <v>46136</v>
      </c>
      <c r="B11" s="25">
        <v>46146.328277824083</v>
      </c>
      <c r="C11" t="s">
        <v>133</v>
      </c>
      <c r="D11" t="s">
        <v>134</v>
      </c>
      <c r="E11" t="s">
        <v>135</v>
      </c>
      <c r="F11" t="s">
        <v>136</v>
      </c>
      <c r="G11" s="18">
        <v>57647.199999999997</v>
      </c>
      <c r="H11" t="s">
        <v>113</v>
      </c>
      <c r="I11" t="s">
        <v>18</v>
      </c>
      <c r="J11" t="s">
        <v>25</v>
      </c>
      <c r="K11" t="s">
        <v>137</v>
      </c>
      <c r="L11" s="25">
        <f t="shared" si="0"/>
        <v>46146.328277824083</v>
      </c>
    </row>
    <row r="12" spans="1:12" x14ac:dyDescent="0.3">
      <c r="A12" s="25">
        <v>46111</v>
      </c>
      <c r="B12" s="25">
        <v>46171</v>
      </c>
      <c r="C12" t="s">
        <v>44</v>
      </c>
      <c r="D12" t="s">
        <v>45</v>
      </c>
      <c r="E12" t="s">
        <v>46</v>
      </c>
      <c r="F12" t="s">
        <v>47</v>
      </c>
      <c r="G12" s="18">
        <v>169353.60000000001</v>
      </c>
      <c r="H12" t="s">
        <v>113</v>
      </c>
      <c r="I12" t="s">
        <v>42</v>
      </c>
      <c r="K12" t="s">
        <v>49</v>
      </c>
      <c r="L12" s="25">
        <f t="shared" si="0"/>
        <v>46171</v>
      </c>
    </row>
    <row r="13" spans="1:12" x14ac:dyDescent="0.3">
      <c r="A13" s="25">
        <v>46069</v>
      </c>
      <c r="B13" s="25">
        <v>46157</v>
      </c>
      <c r="C13" t="s">
        <v>138</v>
      </c>
      <c r="D13" t="s">
        <v>139</v>
      </c>
      <c r="E13" t="s">
        <v>140</v>
      </c>
      <c r="F13" t="s">
        <v>141</v>
      </c>
      <c r="G13" s="18">
        <v>379993.35</v>
      </c>
      <c r="H13" t="s">
        <v>142</v>
      </c>
      <c r="I13" t="s">
        <v>18</v>
      </c>
      <c r="J13" t="s">
        <v>19</v>
      </c>
      <c r="K13" t="s">
        <v>143</v>
      </c>
      <c r="L13" s="25">
        <f t="shared" si="0"/>
        <v>46157</v>
      </c>
    </row>
    <row r="14" spans="1:12" x14ac:dyDescent="0.3">
      <c r="A14" s="25">
        <v>46077</v>
      </c>
      <c r="B14" s="25">
        <v>46157</v>
      </c>
      <c r="C14" t="s">
        <v>144</v>
      </c>
      <c r="D14" t="s">
        <v>145</v>
      </c>
      <c r="E14" t="s">
        <v>146</v>
      </c>
      <c r="F14" t="s">
        <v>147</v>
      </c>
      <c r="G14" s="18">
        <v>94247.1</v>
      </c>
      <c r="H14" t="s">
        <v>113</v>
      </c>
      <c r="I14" t="s">
        <v>18</v>
      </c>
      <c r="J14" t="s">
        <v>114</v>
      </c>
      <c r="K14" t="s">
        <v>148</v>
      </c>
      <c r="L14" s="25">
        <f t="shared" si="0"/>
        <v>46157</v>
      </c>
    </row>
    <row r="15" spans="1:12" x14ac:dyDescent="0.3">
      <c r="F15" t="s">
        <v>94</v>
      </c>
      <c r="G15" s="18">
        <f>SUM(G3:G14)</f>
        <v>1052035.04</v>
      </c>
    </row>
    <row r="17" spans="1:11" x14ac:dyDescent="0.3">
      <c r="F17" t="s">
        <v>95</v>
      </c>
    </row>
    <row r="18" spans="1:11" x14ac:dyDescent="0.3">
      <c r="F18" t="s">
        <v>96</v>
      </c>
      <c r="G18" s="18">
        <f ca="1">SUMIFS(G3:G14, J3:J14, "*CASH SALE*", L3:L14, "&gt;="&amp;EOMONTH(TODAY(),-1)+1, L3:L14, "&lt;="&amp;EOMONTH(TODAY(),0))</f>
        <v>181885.98</v>
      </c>
      <c r="I18" t="s">
        <v>97</v>
      </c>
      <c r="J18" s="18">
        <f ca="1">SUMIFS(G3:G14, J3:J14, "*CASH SALE*", L3:L14, "&gt;="&amp;EOMONTH(TODAY(),0)+1, L3:L14, "&lt;="&amp;EOMONTH(TODAY(),1))</f>
        <v>0</v>
      </c>
    </row>
    <row r="19" spans="1:11" x14ac:dyDescent="0.3">
      <c r="F19" t="s">
        <v>98</v>
      </c>
      <c r="G19" s="18">
        <f ca="1">SUMIFS(G3:G14, J3:J14, "*ACCOUNT*", L3:L14, "&gt;="&amp;EOMONTH(TODAY(),-1)+1, L3:L14, "&lt;="&amp;EOMONTH(TODAY(),0))</f>
        <v>691781.25</v>
      </c>
      <c r="I19" t="s">
        <v>99</v>
      </c>
      <c r="J19" s="18">
        <f ca="1">SUMIFS(G3:G14, J3:J14, "*ACCOUNT*", L3:L14, "&gt;="&amp;EOMONTH(TODAY(),0)+1, L3:L14, "&lt;="&amp;EOMONTH(TODAY(),1))</f>
        <v>0</v>
      </c>
    </row>
    <row r="22" spans="1:11" ht="28.8" customHeight="1" x14ac:dyDescent="0.3">
      <c r="A22" t="s">
        <v>1</v>
      </c>
      <c r="B22" t="s">
        <v>2</v>
      </c>
      <c r="C22" t="s">
        <v>3</v>
      </c>
      <c r="D22" t="s">
        <v>4</v>
      </c>
      <c r="E22" t="s">
        <v>5</v>
      </c>
      <c r="F22" t="s">
        <v>6</v>
      </c>
      <c r="G22" t="s">
        <v>7</v>
      </c>
      <c r="H22" t="s">
        <v>8</v>
      </c>
      <c r="I22" t="s">
        <v>9</v>
      </c>
      <c r="J22" t="s">
        <v>10</v>
      </c>
      <c r="K22" t="s">
        <v>100</v>
      </c>
    </row>
    <row r="23" spans="1:11" ht="28.8" customHeight="1" x14ac:dyDescent="0.3">
      <c r="A23" s="25">
        <v>46120</v>
      </c>
      <c r="B23" s="25">
        <v>46146.328277824083</v>
      </c>
      <c r="C23" t="s">
        <v>103</v>
      </c>
      <c r="D23" t="s">
        <v>104</v>
      </c>
      <c r="E23" t="s">
        <v>105</v>
      </c>
      <c r="F23" t="s">
        <v>89</v>
      </c>
      <c r="G23" s="18">
        <v>50593.1</v>
      </c>
      <c r="H23" t="s">
        <v>106</v>
      </c>
      <c r="I23" t="s">
        <v>107</v>
      </c>
      <c r="J23" t="s">
        <v>19</v>
      </c>
    </row>
    <row r="24" spans="1:11" x14ac:dyDescent="0.3">
      <c r="A24" s="25">
        <v>46133</v>
      </c>
      <c r="B24" s="25">
        <v>46146.328277824083</v>
      </c>
      <c r="C24" t="s">
        <v>109</v>
      </c>
      <c r="D24" t="s">
        <v>110</v>
      </c>
      <c r="E24" t="s">
        <v>111</v>
      </c>
      <c r="F24" t="s">
        <v>112</v>
      </c>
      <c r="G24" s="18">
        <v>28418.48</v>
      </c>
      <c r="H24" t="s">
        <v>113</v>
      </c>
      <c r="I24" t="s">
        <v>107</v>
      </c>
      <c r="J24" t="s">
        <v>114</v>
      </c>
      <c r="K24" t="s">
        <v>149</v>
      </c>
    </row>
    <row r="25" spans="1:11" ht="28.8" customHeight="1" x14ac:dyDescent="0.3">
      <c r="A25" s="25">
        <v>46136</v>
      </c>
      <c r="B25" s="25">
        <v>46146.328277824083</v>
      </c>
      <c r="C25" t="s">
        <v>116</v>
      </c>
      <c r="D25" t="s">
        <v>117</v>
      </c>
      <c r="E25" t="s">
        <v>118</v>
      </c>
      <c r="F25" t="s">
        <v>84</v>
      </c>
      <c r="G25" s="18">
        <v>15437.6</v>
      </c>
      <c r="H25" t="s">
        <v>106</v>
      </c>
      <c r="I25" t="s">
        <v>107</v>
      </c>
      <c r="J25" t="s">
        <v>19</v>
      </c>
      <c r="K25" t="s">
        <v>150</v>
      </c>
    </row>
    <row r="26" spans="1:11" x14ac:dyDescent="0.3">
      <c r="A26" s="25">
        <v>46111</v>
      </c>
      <c r="B26" s="25">
        <v>46171</v>
      </c>
      <c r="C26" t="s">
        <v>38</v>
      </c>
      <c r="D26" t="s">
        <v>39</v>
      </c>
      <c r="E26" t="s">
        <v>40</v>
      </c>
      <c r="F26" t="s">
        <v>41</v>
      </c>
      <c r="G26" s="18">
        <v>9014.2099999999991</v>
      </c>
      <c r="H26" t="s">
        <v>106</v>
      </c>
      <c r="I26" t="s">
        <v>42</v>
      </c>
    </row>
    <row r="27" spans="1:11" ht="28.8" customHeight="1" x14ac:dyDescent="0.3">
      <c r="A27" s="25">
        <v>46112</v>
      </c>
      <c r="B27" s="25">
        <v>46146.328277824083</v>
      </c>
      <c r="C27" t="s">
        <v>13</v>
      </c>
      <c r="D27" t="s">
        <v>14</v>
      </c>
      <c r="E27" t="s">
        <v>15</v>
      </c>
      <c r="F27" t="s">
        <v>16</v>
      </c>
      <c r="G27" s="18">
        <v>103711</v>
      </c>
      <c r="H27" t="s">
        <v>106</v>
      </c>
      <c r="I27" t="s">
        <v>18</v>
      </c>
      <c r="J27" t="s">
        <v>19</v>
      </c>
    </row>
    <row r="28" spans="1:11" ht="28.8" customHeight="1" x14ac:dyDescent="0.3">
      <c r="A28" s="25">
        <v>46112</v>
      </c>
      <c r="B28" s="25">
        <v>46146.328277824083</v>
      </c>
      <c r="C28" t="s">
        <v>120</v>
      </c>
      <c r="D28" t="s">
        <v>121</v>
      </c>
      <c r="E28" t="s">
        <v>122</v>
      </c>
      <c r="F28" t="s">
        <v>16</v>
      </c>
      <c r="G28" s="18">
        <v>83433</v>
      </c>
      <c r="H28" t="s">
        <v>106</v>
      </c>
      <c r="I28" t="s">
        <v>18</v>
      </c>
      <c r="J28" t="s">
        <v>19</v>
      </c>
    </row>
    <row r="29" spans="1:11" x14ac:dyDescent="0.3">
      <c r="A29" s="25">
        <v>46119</v>
      </c>
      <c r="B29" s="25">
        <v>46146.328277824083</v>
      </c>
      <c r="C29" t="s">
        <v>124</v>
      </c>
      <c r="D29" t="s">
        <v>125</v>
      </c>
      <c r="E29" t="s">
        <v>126</v>
      </c>
      <c r="F29" t="s">
        <v>74</v>
      </c>
      <c r="G29" s="18">
        <v>58613.2</v>
      </c>
      <c r="H29" t="s">
        <v>127</v>
      </c>
      <c r="I29" t="s">
        <v>18</v>
      </c>
      <c r="J29" t="s">
        <v>19</v>
      </c>
    </row>
    <row r="30" spans="1:11" x14ac:dyDescent="0.3">
      <c r="A30" s="25">
        <v>46133</v>
      </c>
      <c r="B30" s="25">
        <v>46146.328277824083</v>
      </c>
      <c r="C30" t="s">
        <v>129</v>
      </c>
      <c r="D30" t="s">
        <v>130</v>
      </c>
      <c r="E30" t="s">
        <v>65</v>
      </c>
      <c r="F30" t="s">
        <v>131</v>
      </c>
      <c r="G30" s="18">
        <v>1573.2</v>
      </c>
      <c r="H30" t="s">
        <v>113</v>
      </c>
      <c r="I30" t="s">
        <v>18</v>
      </c>
      <c r="J30" t="s">
        <v>25</v>
      </c>
    </row>
    <row r="31" spans="1:11" x14ac:dyDescent="0.3">
      <c r="A31" s="25">
        <v>46136</v>
      </c>
      <c r="B31" s="25">
        <v>46146.328277824083</v>
      </c>
      <c r="C31" t="s">
        <v>133</v>
      </c>
      <c r="D31" t="s">
        <v>134</v>
      </c>
      <c r="E31" t="s">
        <v>135</v>
      </c>
      <c r="F31" t="s">
        <v>136</v>
      </c>
      <c r="G31" s="18">
        <v>57647.199999999997</v>
      </c>
      <c r="H31" t="s">
        <v>113</v>
      </c>
      <c r="I31" t="s">
        <v>18</v>
      </c>
      <c r="J31" t="s">
        <v>25</v>
      </c>
    </row>
    <row r="32" spans="1:11" x14ac:dyDescent="0.3">
      <c r="F32" t="s">
        <v>101</v>
      </c>
      <c r="G32" s="18">
        <f>SUM(G23:G31)</f>
        <v>408440.99000000005</v>
      </c>
    </row>
    <row r="34" spans="1:7" x14ac:dyDescent="0.3">
      <c r="F34" t="s">
        <v>102</v>
      </c>
      <c r="G34" s="18">
        <f>SUMIFS(G3:G14, I3:I14, "*Ready*Dispatch*")</f>
        <v>94449.180000000008</v>
      </c>
    </row>
    <row r="37" spans="1:7" x14ac:dyDescent="0.3">
      <c r="A37" t="s">
        <v>151</v>
      </c>
    </row>
    <row r="38" spans="1:7" x14ac:dyDescent="0.3">
      <c r="A38" t="s">
        <v>152</v>
      </c>
    </row>
  </sheetData>
  <mergeCells count="1">
    <mergeCell ref="K1:L1"/>
  </mergeCells>
  <pageMargins left="0.25" right="0.25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workbookViewId="0">
      <pane xSplit="4" ySplit="5" topLeftCell="E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t="s">
        <v>0</v>
      </c>
      <c r="K1" s="301">
        <f ca="1">TODAY()</f>
        <v>46171</v>
      </c>
      <c r="L1" s="302"/>
    </row>
    <row r="2" spans="1:12" ht="43.2" customHeight="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ht="43.2" customHeight="1" x14ac:dyDescent="0.3">
      <c r="A3" s="25">
        <v>46120</v>
      </c>
      <c r="B3" s="25">
        <v>46147.401755011582</v>
      </c>
      <c r="C3" t="s">
        <v>103</v>
      </c>
      <c r="D3" t="s">
        <v>104</v>
      </c>
      <c r="E3" t="s">
        <v>105</v>
      </c>
      <c r="F3" t="s">
        <v>89</v>
      </c>
      <c r="G3" s="18">
        <v>50593.1</v>
      </c>
      <c r="H3" t="s">
        <v>106</v>
      </c>
      <c r="I3" t="s">
        <v>107</v>
      </c>
      <c r="J3" t="s">
        <v>19</v>
      </c>
      <c r="K3" t="s">
        <v>108</v>
      </c>
      <c r="L3" s="25">
        <f t="shared" ref="L3:L18" si="0">B3</f>
        <v>46147.401755011582</v>
      </c>
    </row>
    <row r="4" spans="1:12" ht="28.8" customHeight="1" x14ac:dyDescent="0.3">
      <c r="A4" s="25">
        <v>46136</v>
      </c>
      <c r="B4" s="25">
        <v>46147.401755011582</v>
      </c>
      <c r="C4" t="s">
        <v>116</v>
      </c>
      <c r="D4" t="s">
        <v>117</v>
      </c>
      <c r="E4" t="s">
        <v>118</v>
      </c>
      <c r="F4" t="s">
        <v>84</v>
      </c>
      <c r="G4" s="18">
        <v>15437.6</v>
      </c>
      <c r="H4" t="s">
        <v>106</v>
      </c>
      <c r="I4" t="s">
        <v>107</v>
      </c>
      <c r="J4" t="s">
        <v>19</v>
      </c>
      <c r="K4" t="s">
        <v>119</v>
      </c>
      <c r="L4" s="25">
        <f t="shared" si="0"/>
        <v>46147.401755011582</v>
      </c>
    </row>
    <row r="5" spans="1:12" x14ac:dyDescent="0.3">
      <c r="A5" s="25">
        <v>46133</v>
      </c>
      <c r="B5" s="25">
        <v>46147.401755011582</v>
      </c>
      <c r="C5" t="s">
        <v>129</v>
      </c>
      <c r="D5" t="s">
        <v>130</v>
      </c>
      <c r="E5" t="s">
        <v>65</v>
      </c>
      <c r="F5" t="s">
        <v>131</v>
      </c>
      <c r="G5" s="18">
        <v>1573.2</v>
      </c>
      <c r="H5" t="s">
        <v>113</v>
      </c>
      <c r="I5" t="s">
        <v>107</v>
      </c>
      <c r="J5" t="s">
        <v>25</v>
      </c>
      <c r="K5" t="s">
        <v>132</v>
      </c>
      <c r="L5" s="25">
        <f t="shared" si="0"/>
        <v>46147.401755011582</v>
      </c>
    </row>
    <row r="6" spans="1:12" x14ac:dyDescent="0.3">
      <c r="A6" s="25">
        <v>46146</v>
      </c>
      <c r="B6" s="25">
        <v>46149</v>
      </c>
      <c r="C6" t="s">
        <v>153</v>
      </c>
      <c r="D6" t="s">
        <v>154</v>
      </c>
      <c r="E6" t="s">
        <v>155</v>
      </c>
      <c r="F6" t="s">
        <v>47</v>
      </c>
      <c r="G6" s="18">
        <v>11429.61</v>
      </c>
      <c r="H6" t="s">
        <v>113</v>
      </c>
      <c r="I6" t="s">
        <v>18</v>
      </c>
      <c r="J6" t="s">
        <v>19</v>
      </c>
      <c r="K6" t="s">
        <v>156</v>
      </c>
      <c r="L6" s="25">
        <f t="shared" si="0"/>
        <v>46149</v>
      </c>
    </row>
    <row r="7" spans="1:12" x14ac:dyDescent="0.3">
      <c r="A7" s="25">
        <v>46111</v>
      </c>
      <c r="B7" s="25">
        <v>46171</v>
      </c>
      <c r="C7" t="s">
        <v>44</v>
      </c>
      <c r="D7" t="s">
        <v>45</v>
      </c>
      <c r="E7" t="s">
        <v>46</v>
      </c>
      <c r="F7" t="s">
        <v>47</v>
      </c>
      <c r="G7" s="18">
        <v>169353.60000000001</v>
      </c>
      <c r="H7" t="s">
        <v>113</v>
      </c>
      <c r="I7" t="s">
        <v>42</v>
      </c>
      <c r="J7" t="s">
        <v>19</v>
      </c>
      <c r="K7" t="s">
        <v>49</v>
      </c>
      <c r="L7" s="25">
        <f t="shared" si="0"/>
        <v>46171</v>
      </c>
    </row>
    <row r="8" spans="1:12" ht="28.8" customHeight="1" x14ac:dyDescent="0.3">
      <c r="A8" s="25">
        <v>46112</v>
      </c>
      <c r="B8" s="25">
        <v>46150</v>
      </c>
      <c r="C8" t="s">
        <v>13</v>
      </c>
      <c r="D8" t="s">
        <v>14</v>
      </c>
      <c r="E8" t="s">
        <v>15</v>
      </c>
      <c r="F8" t="s">
        <v>16</v>
      </c>
      <c r="G8" s="18">
        <v>103711</v>
      </c>
      <c r="H8" t="s">
        <v>106</v>
      </c>
      <c r="I8" t="s">
        <v>18</v>
      </c>
      <c r="J8" t="s">
        <v>19</v>
      </c>
      <c r="K8" t="s">
        <v>20</v>
      </c>
      <c r="L8" s="25">
        <f t="shared" si="0"/>
        <v>46150</v>
      </c>
    </row>
    <row r="9" spans="1:12" ht="28.8" customHeight="1" x14ac:dyDescent="0.3">
      <c r="A9" s="25">
        <v>46112</v>
      </c>
      <c r="B9" s="25">
        <v>46150</v>
      </c>
      <c r="C9" t="s">
        <v>120</v>
      </c>
      <c r="D9" t="s">
        <v>121</v>
      </c>
      <c r="E9" t="s">
        <v>122</v>
      </c>
      <c r="F9" t="s">
        <v>16</v>
      </c>
      <c r="G9" s="18">
        <v>83433</v>
      </c>
      <c r="H9" t="s">
        <v>106</v>
      </c>
      <c r="I9" t="s">
        <v>18</v>
      </c>
      <c r="J9" t="s">
        <v>19</v>
      </c>
      <c r="K9" t="s">
        <v>123</v>
      </c>
      <c r="L9" s="25">
        <f t="shared" si="0"/>
        <v>46150</v>
      </c>
    </row>
    <row r="10" spans="1:12" x14ac:dyDescent="0.3">
      <c r="A10" s="25">
        <v>46069</v>
      </c>
      <c r="B10" s="25">
        <v>46157</v>
      </c>
      <c r="C10" t="s">
        <v>138</v>
      </c>
      <c r="D10" t="s">
        <v>139</v>
      </c>
      <c r="E10" t="s">
        <v>140</v>
      </c>
      <c r="F10" t="s">
        <v>141</v>
      </c>
      <c r="G10" s="18">
        <v>379993.35</v>
      </c>
      <c r="H10" t="s">
        <v>142</v>
      </c>
      <c r="I10" t="s">
        <v>18</v>
      </c>
      <c r="J10" t="s">
        <v>19</v>
      </c>
      <c r="K10" t="s">
        <v>143</v>
      </c>
      <c r="L10" s="25">
        <f t="shared" si="0"/>
        <v>46157</v>
      </c>
    </row>
    <row r="11" spans="1:12" x14ac:dyDescent="0.3">
      <c r="A11" s="25">
        <v>46077</v>
      </c>
      <c r="B11" s="25">
        <v>46157</v>
      </c>
      <c r="C11" t="s">
        <v>144</v>
      </c>
      <c r="D11" t="s">
        <v>145</v>
      </c>
      <c r="E11" t="s">
        <v>146</v>
      </c>
      <c r="F11" t="s">
        <v>147</v>
      </c>
      <c r="G11" s="18">
        <v>94247.1</v>
      </c>
      <c r="H11" t="s">
        <v>113</v>
      </c>
      <c r="I11" t="s">
        <v>18</v>
      </c>
      <c r="J11" t="s">
        <v>114</v>
      </c>
      <c r="K11" t="s">
        <v>148</v>
      </c>
      <c r="L11" s="25">
        <f t="shared" si="0"/>
        <v>46157</v>
      </c>
    </row>
    <row r="12" spans="1:12" ht="28.8" customHeight="1" x14ac:dyDescent="0.3">
      <c r="A12" s="25">
        <v>46111</v>
      </c>
      <c r="B12" s="25">
        <v>46171</v>
      </c>
      <c r="C12" t="s">
        <v>38</v>
      </c>
      <c r="D12" t="s">
        <v>39</v>
      </c>
      <c r="E12" t="s">
        <v>40</v>
      </c>
      <c r="F12" t="s">
        <v>41</v>
      </c>
      <c r="G12" s="18">
        <v>9014.2099999999991</v>
      </c>
      <c r="H12" t="s">
        <v>106</v>
      </c>
      <c r="I12" t="s">
        <v>42</v>
      </c>
      <c r="J12">
        <f>IFERROR(VLOOKUP(D12, '04.05.2026'!D:J, 7, FALSE), "")</f>
        <v>0</v>
      </c>
      <c r="K12" t="s">
        <v>43</v>
      </c>
      <c r="L12" s="25">
        <f t="shared" si="0"/>
        <v>46171</v>
      </c>
    </row>
    <row r="13" spans="1:12" ht="28.8" customHeight="1" x14ac:dyDescent="0.3">
      <c r="A13" s="25">
        <v>46057</v>
      </c>
      <c r="B13" s="25">
        <v>46171</v>
      </c>
      <c r="C13" t="s">
        <v>27</v>
      </c>
      <c r="D13" t="s">
        <v>157</v>
      </c>
      <c r="E13" t="s">
        <v>158</v>
      </c>
      <c r="F13" t="s">
        <v>159</v>
      </c>
      <c r="G13" s="18">
        <v>427841.4</v>
      </c>
      <c r="H13" t="s">
        <v>113</v>
      </c>
      <c r="I13" t="s">
        <v>27</v>
      </c>
      <c r="J13" t="str">
        <f>IFERROR(VLOOKUP(D13, '04.05.2026'!D:J, 7, FALSE), "")</f>
        <v/>
      </c>
      <c r="K13" t="s">
        <v>160</v>
      </c>
      <c r="L13" s="25">
        <f t="shared" si="0"/>
        <v>46171</v>
      </c>
    </row>
    <row r="14" spans="1:12" ht="158.4" customHeight="1" x14ac:dyDescent="0.3">
      <c r="A14" s="25">
        <v>46128</v>
      </c>
      <c r="B14" s="25">
        <v>46171</v>
      </c>
      <c r="C14" t="s">
        <v>27</v>
      </c>
      <c r="D14" t="s">
        <v>50</v>
      </c>
      <c r="E14" t="s">
        <v>51</v>
      </c>
      <c r="F14" t="s">
        <v>52</v>
      </c>
      <c r="G14" s="18">
        <v>82900.05</v>
      </c>
      <c r="H14" t="s">
        <v>113</v>
      </c>
      <c r="I14" t="s">
        <v>27</v>
      </c>
      <c r="J14" t="str">
        <f>IFERROR(VLOOKUP(D14, '04.05.2026'!D:J, 7, FALSE), "")</f>
        <v/>
      </c>
      <c r="K14" t="s">
        <v>53</v>
      </c>
      <c r="L14" s="25">
        <f t="shared" si="0"/>
        <v>46171</v>
      </c>
    </row>
    <row r="15" spans="1:12" x14ac:dyDescent="0.3">
      <c r="A15" s="25">
        <v>46142</v>
      </c>
      <c r="B15" s="25">
        <v>46171</v>
      </c>
      <c r="C15" t="s">
        <v>27</v>
      </c>
      <c r="D15" t="s">
        <v>161</v>
      </c>
      <c r="E15" t="s">
        <v>65</v>
      </c>
      <c r="F15" t="s">
        <v>162</v>
      </c>
      <c r="G15" s="18">
        <v>13711.09</v>
      </c>
      <c r="H15" t="s">
        <v>106</v>
      </c>
      <c r="I15" t="s">
        <v>27</v>
      </c>
      <c r="J15" t="str">
        <f>IFERROR(VLOOKUP(D15, '04.05.2026'!D:J, 7, FALSE), "")</f>
        <v/>
      </c>
      <c r="K15" t="s">
        <v>163</v>
      </c>
      <c r="L15" s="25">
        <f t="shared" si="0"/>
        <v>46171</v>
      </c>
    </row>
    <row r="16" spans="1:12" x14ac:dyDescent="0.3">
      <c r="A16" s="25">
        <v>46142</v>
      </c>
      <c r="B16" s="25">
        <v>46171</v>
      </c>
      <c r="C16" t="s">
        <v>27</v>
      </c>
      <c r="D16" t="s">
        <v>28</v>
      </c>
      <c r="E16" t="s">
        <v>29</v>
      </c>
      <c r="F16" t="s">
        <v>30</v>
      </c>
      <c r="G16" s="18">
        <v>554227.55000000005</v>
      </c>
      <c r="H16" t="s">
        <v>127</v>
      </c>
      <c r="I16" t="s">
        <v>27</v>
      </c>
      <c r="J16" t="str">
        <f>IFERROR(VLOOKUP(D16, '04.05.2026'!D:J, 7, FALSE), "")</f>
        <v/>
      </c>
      <c r="K16" t="s">
        <v>32</v>
      </c>
      <c r="L16" s="25">
        <f t="shared" si="0"/>
        <v>46171</v>
      </c>
    </row>
    <row r="17" spans="1:12" ht="28.8" customHeight="1" x14ac:dyDescent="0.3">
      <c r="A17" s="25">
        <v>46142</v>
      </c>
      <c r="B17" s="25">
        <v>46171</v>
      </c>
      <c r="C17" t="s">
        <v>27</v>
      </c>
      <c r="D17" t="s">
        <v>64</v>
      </c>
      <c r="E17" t="s">
        <v>65</v>
      </c>
      <c r="F17" t="s">
        <v>66</v>
      </c>
      <c r="G17" s="18">
        <v>204447</v>
      </c>
      <c r="H17" t="s">
        <v>127</v>
      </c>
      <c r="I17" t="s">
        <v>27</v>
      </c>
      <c r="J17" t="str">
        <f>IFERROR(VLOOKUP(D17, '04.05.2026'!D:J, 7, FALSE), "")</f>
        <v/>
      </c>
      <c r="K17" t="s">
        <v>67</v>
      </c>
      <c r="L17" s="25">
        <f t="shared" si="0"/>
        <v>46171</v>
      </c>
    </row>
    <row r="18" spans="1:12" ht="28.8" customHeight="1" x14ac:dyDescent="0.3">
      <c r="A18" s="25">
        <v>46142</v>
      </c>
      <c r="B18" s="25">
        <v>46171</v>
      </c>
      <c r="C18" t="s">
        <v>27</v>
      </c>
      <c r="D18" t="s">
        <v>54</v>
      </c>
      <c r="E18" t="s">
        <v>55</v>
      </c>
      <c r="F18" t="s">
        <v>56</v>
      </c>
      <c r="G18" s="18">
        <v>426010.6</v>
      </c>
      <c r="H18" t="s">
        <v>127</v>
      </c>
      <c r="I18" t="s">
        <v>27</v>
      </c>
      <c r="J18" t="str">
        <f>IFERROR(VLOOKUP(D18, '04.05.2026'!D:J, 7, FALSE), "")</f>
        <v/>
      </c>
      <c r="K18" t="s">
        <v>57</v>
      </c>
      <c r="L18" s="25">
        <f t="shared" si="0"/>
        <v>46171</v>
      </c>
    </row>
    <row r="19" spans="1:12" x14ac:dyDescent="0.3">
      <c r="F19" t="s">
        <v>94</v>
      </c>
      <c r="G19" s="18">
        <f>SUM(G3:G18)</f>
        <v>2627923.4600000004</v>
      </c>
    </row>
    <row r="21" spans="1:12" x14ac:dyDescent="0.3">
      <c r="F21" t="s">
        <v>95</v>
      </c>
    </row>
    <row r="22" spans="1:12" x14ac:dyDescent="0.3">
      <c r="F22" t="s">
        <v>96</v>
      </c>
      <c r="G22" s="18">
        <f ca="1">SUMIFS(G3:G18, J3:J18, "*CASH SALE*", L3:L18, "&gt;="&amp;EOMONTH(TODAY(),-1)+1, L3:L18, "&lt;="&amp;EOMONTH(TODAY(),0))</f>
        <v>95820.3</v>
      </c>
      <c r="I22" t="s">
        <v>97</v>
      </c>
      <c r="J22" s="18">
        <f ca="1">SUMIFS(G3:G18, J3:J18, "*CASH SALE*", L3:L18, "&gt;="&amp;EOMONTH(TODAY(),0)+1, L3:L18, "&lt;="&amp;EOMONTH(TODAY(),1))</f>
        <v>0</v>
      </c>
    </row>
    <row r="23" spans="1:12" x14ac:dyDescent="0.3">
      <c r="F23" t="s">
        <v>98</v>
      </c>
      <c r="G23" s="18">
        <f ca="1">SUMIFS(G3:G18, J3:J18, "*ACCOUNT*", L3:L18, "&gt;="&amp;EOMONTH(TODAY(),-1)+1, L3:L18, "&lt;="&amp;EOMONTH(TODAY(),0))</f>
        <v>813951.26</v>
      </c>
      <c r="I23" t="s">
        <v>99</v>
      </c>
      <c r="J23" s="18">
        <f ca="1">SUMIFS(G3:G18, J3:J18, "*ACCOUNT*", L3:L18, "&gt;="&amp;EOMONTH(TODAY(),0)+1, L3:L18, "&lt;="&amp;EOMONTH(TODAY(),1))</f>
        <v>0</v>
      </c>
    </row>
    <row r="26" spans="1:12" ht="28.8" customHeight="1" x14ac:dyDescent="0.3">
      <c r="A26" t="s">
        <v>1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  <c r="G26" t="s">
        <v>7</v>
      </c>
      <c r="H26" t="s">
        <v>8</v>
      </c>
      <c r="I26" t="s">
        <v>9</v>
      </c>
      <c r="J26" t="s">
        <v>10</v>
      </c>
      <c r="K26" t="s">
        <v>100</v>
      </c>
    </row>
    <row r="27" spans="1:12" ht="28.8" customHeight="1" x14ac:dyDescent="0.3">
      <c r="A27" s="25">
        <v>46120</v>
      </c>
      <c r="B27" s="25">
        <v>46147.401755011582</v>
      </c>
      <c r="C27" t="s">
        <v>103</v>
      </c>
      <c r="D27" t="s">
        <v>104</v>
      </c>
      <c r="E27" t="s">
        <v>105</v>
      </c>
      <c r="F27" t="s">
        <v>89</v>
      </c>
      <c r="G27" s="18">
        <v>50593.1</v>
      </c>
      <c r="H27" t="s">
        <v>106</v>
      </c>
      <c r="I27" t="s">
        <v>107</v>
      </c>
      <c r="J27" t="s">
        <v>19</v>
      </c>
      <c r="K27" t="s">
        <v>164</v>
      </c>
    </row>
    <row r="28" spans="1:12" x14ac:dyDescent="0.3">
      <c r="A28" s="25">
        <v>46133</v>
      </c>
      <c r="B28" s="25">
        <v>46147.401755011582</v>
      </c>
      <c r="C28" t="s">
        <v>129</v>
      </c>
      <c r="D28" t="s">
        <v>130</v>
      </c>
      <c r="E28" t="s">
        <v>65</v>
      </c>
      <c r="F28" t="s">
        <v>131</v>
      </c>
      <c r="G28" s="18">
        <v>1573.2</v>
      </c>
      <c r="H28" t="s">
        <v>113</v>
      </c>
      <c r="I28" t="s">
        <v>107</v>
      </c>
      <c r="J28" t="s">
        <v>25</v>
      </c>
      <c r="K28" t="s">
        <v>165</v>
      </c>
    </row>
    <row r="29" spans="1:12" ht="28.8" customHeight="1" x14ac:dyDescent="0.3">
      <c r="A29" s="25">
        <v>46136</v>
      </c>
      <c r="B29" s="25">
        <v>46147.401755011582</v>
      </c>
      <c r="C29" t="s">
        <v>116</v>
      </c>
      <c r="D29" t="s">
        <v>117</v>
      </c>
      <c r="E29" t="s">
        <v>118</v>
      </c>
      <c r="F29" t="s">
        <v>84</v>
      </c>
      <c r="G29" s="18">
        <v>15437.6</v>
      </c>
      <c r="H29" t="s">
        <v>106</v>
      </c>
      <c r="I29" t="s">
        <v>107</v>
      </c>
      <c r="J29" t="s">
        <v>19</v>
      </c>
      <c r="K29" t="s">
        <v>166</v>
      </c>
    </row>
    <row r="30" spans="1:12" x14ac:dyDescent="0.3">
      <c r="F30" t="s">
        <v>101</v>
      </c>
      <c r="G30" s="18">
        <f>SUM(G27:G29)</f>
        <v>67603.899999999994</v>
      </c>
    </row>
    <row r="32" spans="1:12" x14ac:dyDescent="0.3">
      <c r="F32" t="s">
        <v>102</v>
      </c>
      <c r="G32" s="18">
        <f>SUMIFS(G3:G18, I3:I18, "*Ready*Dispatch*")</f>
        <v>67603.899999999994</v>
      </c>
    </row>
  </sheetData>
  <mergeCells count="1">
    <mergeCell ref="K1:L1"/>
  </mergeCells>
  <pageMargins left="0.25" right="0.25" top="0.75" bottom="0.75" header="0.3" footer="0.3"/>
  <pageSetup scale="56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workbookViewId="0">
      <pane xSplit="4" ySplit="2" topLeftCell="E10" activePane="bottomRight" state="frozen"/>
      <selection pane="topRight"/>
      <selection pane="bottomLeft"/>
      <selection pane="bottomRight" activeCell="I3" sqref="I3"/>
    </sheetView>
  </sheetViews>
  <sheetFormatPr defaultRowHeight="14.4" x14ac:dyDescent="0.3"/>
  <cols>
    <col min="1" max="1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t="s">
        <v>0</v>
      </c>
      <c r="K1" s="301">
        <f ca="1">TODAY()</f>
        <v>46171</v>
      </c>
      <c r="L1" s="302"/>
    </row>
    <row r="2" spans="1:12" ht="43.2" customHeight="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ht="28.8" customHeight="1" x14ac:dyDescent="0.3">
      <c r="A3" s="25">
        <v>46136</v>
      </c>
      <c r="B3" s="25">
        <v>46148.399985879631</v>
      </c>
      <c r="C3" t="s">
        <v>116</v>
      </c>
      <c r="D3" t="s">
        <v>117</v>
      </c>
      <c r="E3" t="s">
        <v>118</v>
      </c>
      <c r="F3" t="s">
        <v>84</v>
      </c>
      <c r="G3" s="18">
        <v>15437.6</v>
      </c>
      <c r="H3" t="s">
        <v>106</v>
      </c>
      <c r="I3" t="s">
        <v>107</v>
      </c>
      <c r="J3" t="s">
        <v>19</v>
      </c>
      <c r="K3" t="s">
        <v>119</v>
      </c>
      <c r="L3" s="25">
        <f t="shared" ref="L3:L16" si="0">B3</f>
        <v>46148.399985879631</v>
      </c>
    </row>
    <row r="4" spans="1:12" x14ac:dyDescent="0.3">
      <c r="A4" s="25">
        <v>46146</v>
      </c>
      <c r="B4" s="25">
        <v>46149</v>
      </c>
      <c r="C4" t="s">
        <v>153</v>
      </c>
      <c r="D4" t="s">
        <v>154</v>
      </c>
      <c r="E4" t="s">
        <v>155</v>
      </c>
      <c r="F4" t="s">
        <v>47</v>
      </c>
      <c r="G4" s="18">
        <v>11429.61</v>
      </c>
      <c r="H4" t="s">
        <v>113</v>
      </c>
      <c r="I4" t="s">
        <v>18</v>
      </c>
      <c r="J4" t="s">
        <v>19</v>
      </c>
      <c r="K4" t="s">
        <v>156</v>
      </c>
      <c r="L4" s="25">
        <f t="shared" si="0"/>
        <v>46149</v>
      </c>
    </row>
    <row r="5" spans="1:12" x14ac:dyDescent="0.3">
      <c r="A5" s="25">
        <v>46069</v>
      </c>
      <c r="B5" s="25">
        <v>46170</v>
      </c>
      <c r="C5" t="s">
        <v>138</v>
      </c>
      <c r="D5" t="s">
        <v>139</v>
      </c>
      <c r="E5" t="s">
        <v>140</v>
      </c>
      <c r="F5" t="s">
        <v>141</v>
      </c>
      <c r="G5" s="18">
        <v>379993.35</v>
      </c>
      <c r="H5" t="s">
        <v>142</v>
      </c>
      <c r="I5" t="s">
        <v>18</v>
      </c>
      <c r="J5" t="s">
        <v>19</v>
      </c>
      <c r="K5" t="s">
        <v>143</v>
      </c>
      <c r="L5" s="25">
        <f t="shared" si="0"/>
        <v>46170</v>
      </c>
    </row>
    <row r="6" spans="1:12" x14ac:dyDescent="0.3">
      <c r="A6" s="25">
        <v>46077</v>
      </c>
      <c r="B6" s="25">
        <v>46170</v>
      </c>
      <c r="C6" t="s">
        <v>144</v>
      </c>
      <c r="D6" t="s">
        <v>145</v>
      </c>
      <c r="E6" t="s">
        <v>146</v>
      </c>
      <c r="F6" t="s">
        <v>147</v>
      </c>
      <c r="G6" s="18">
        <v>94247.1</v>
      </c>
      <c r="H6" t="s">
        <v>113</v>
      </c>
      <c r="I6" t="s">
        <v>18</v>
      </c>
      <c r="J6" t="s">
        <v>114</v>
      </c>
      <c r="K6" t="s">
        <v>148</v>
      </c>
      <c r="L6" s="25">
        <f t="shared" si="0"/>
        <v>46170</v>
      </c>
    </row>
    <row r="7" spans="1:12" ht="28.8" customHeight="1" x14ac:dyDescent="0.3">
      <c r="A7" s="25">
        <v>46057</v>
      </c>
      <c r="B7" s="25">
        <v>46171</v>
      </c>
      <c r="C7" t="s">
        <v>27</v>
      </c>
      <c r="D7" t="s">
        <v>157</v>
      </c>
      <c r="E7" t="s">
        <v>158</v>
      </c>
      <c r="F7" t="s">
        <v>159</v>
      </c>
      <c r="G7" s="18">
        <v>427841.4</v>
      </c>
      <c r="H7" t="s">
        <v>113</v>
      </c>
      <c r="I7" t="s">
        <v>27</v>
      </c>
      <c r="J7" t="str">
        <f>IFERROR(VLOOKUP(D7, '05.05.2026'!D:J, 7, FALSE), "")</f>
        <v/>
      </c>
      <c r="K7" t="s">
        <v>160</v>
      </c>
      <c r="L7" s="25">
        <f t="shared" si="0"/>
        <v>46171</v>
      </c>
    </row>
    <row r="8" spans="1:12" ht="28.8" customHeight="1" x14ac:dyDescent="0.3">
      <c r="A8" s="25">
        <v>46111</v>
      </c>
      <c r="B8" s="25">
        <v>46171</v>
      </c>
      <c r="C8" t="s">
        <v>38</v>
      </c>
      <c r="D8" t="s">
        <v>39</v>
      </c>
      <c r="E8" t="s">
        <v>40</v>
      </c>
      <c r="F8" t="s">
        <v>41</v>
      </c>
      <c r="G8" s="18">
        <v>9014.2099999999991</v>
      </c>
      <c r="H8" t="s">
        <v>106</v>
      </c>
      <c r="I8" t="s">
        <v>42</v>
      </c>
      <c r="J8">
        <f>IFERROR(VLOOKUP(D8, '05.05.2026'!D:J, 7, FALSE), "")</f>
        <v>0</v>
      </c>
      <c r="K8" t="s">
        <v>43</v>
      </c>
      <c r="L8" s="25">
        <f t="shared" si="0"/>
        <v>46171</v>
      </c>
    </row>
    <row r="9" spans="1:12" x14ac:dyDescent="0.3">
      <c r="A9" s="25">
        <v>46111</v>
      </c>
      <c r="B9" s="25">
        <v>46171</v>
      </c>
      <c r="C9" t="s">
        <v>44</v>
      </c>
      <c r="D9" t="s">
        <v>45</v>
      </c>
      <c r="E9" t="s">
        <v>46</v>
      </c>
      <c r="F9" t="s">
        <v>47</v>
      </c>
      <c r="G9" s="18">
        <v>169353.60000000001</v>
      </c>
      <c r="H9" t="s">
        <v>113</v>
      </c>
      <c r="I9" t="s">
        <v>42</v>
      </c>
      <c r="J9" t="str">
        <f>IFERROR(VLOOKUP(D9, '05.05.2026'!D:J, 7, FALSE), "")</f>
        <v>ACCOUNT - UP TO DATE</v>
      </c>
      <c r="K9" t="s">
        <v>49</v>
      </c>
      <c r="L9" s="25">
        <f t="shared" si="0"/>
        <v>46171</v>
      </c>
    </row>
    <row r="10" spans="1:12" ht="158.4" customHeight="1" x14ac:dyDescent="0.3">
      <c r="A10" s="25">
        <v>46128</v>
      </c>
      <c r="B10" s="25">
        <v>46171</v>
      </c>
      <c r="C10" t="s">
        <v>27</v>
      </c>
      <c r="D10" t="s">
        <v>50</v>
      </c>
      <c r="E10" t="s">
        <v>51</v>
      </c>
      <c r="F10" t="s">
        <v>52</v>
      </c>
      <c r="G10" s="18">
        <v>82900.05</v>
      </c>
      <c r="H10" t="s">
        <v>113</v>
      </c>
      <c r="I10" t="s">
        <v>27</v>
      </c>
      <c r="J10" t="str">
        <f>IFERROR(VLOOKUP(D10, '05.05.2026'!D:J, 7, FALSE), "")</f>
        <v/>
      </c>
      <c r="K10" t="s">
        <v>53</v>
      </c>
      <c r="L10" s="25">
        <f t="shared" si="0"/>
        <v>46171</v>
      </c>
    </row>
    <row r="11" spans="1:12" x14ac:dyDescent="0.3">
      <c r="A11" s="25">
        <v>46142</v>
      </c>
      <c r="B11" s="25">
        <v>46171</v>
      </c>
      <c r="C11" t="s">
        <v>27</v>
      </c>
      <c r="D11" t="s">
        <v>161</v>
      </c>
      <c r="E11" t="s">
        <v>65</v>
      </c>
      <c r="F11" t="s">
        <v>162</v>
      </c>
      <c r="G11" s="18">
        <v>13711.09</v>
      </c>
      <c r="H11" t="s">
        <v>106</v>
      </c>
      <c r="I11" t="s">
        <v>27</v>
      </c>
      <c r="J11" t="str">
        <f>IFERROR(VLOOKUP(D11, '05.05.2026'!D:J, 7, FALSE), "")</f>
        <v/>
      </c>
      <c r="K11" t="s">
        <v>163</v>
      </c>
      <c r="L11" s="25">
        <f t="shared" si="0"/>
        <v>46171</v>
      </c>
    </row>
    <row r="12" spans="1:12" x14ac:dyDescent="0.3">
      <c r="A12" s="25">
        <v>46142</v>
      </c>
      <c r="B12" s="25">
        <v>46171</v>
      </c>
      <c r="C12" t="s">
        <v>27</v>
      </c>
      <c r="D12" t="s">
        <v>28</v>
      </c>
      <c r="E12" t="s">
        <v>29</v>
      </c>
      <c r="F12" t="s">
        <v>30</v>
      </c>
      <c r="G12" s="18">
        <v>554227.55000000005</v>
      </c>
      <c r="H12" t="s">
        <v>127</v>
      </c>
      <c r="I12" t="s">
        <v>27</v>
      </c>
      <c r="J12" t="str">
        <f>IFERROR(VLOOKUP(D12, '05.05.2026'!D:J, 7, FALSE), "")</f>
        <v/>
      </c>
      <c r="K12" t="s">
        <v>32</v>
      </c>
      <c r="L12" s="25">
        <f t="shared" si="0"/>
        <v>46171</v>
      </c>
    </row>
    <row r="13" spans="1:12" ht="28.8" customHeight="1" x14ac:dyDescent="0.3">
      <c r="A13" s="25">
        <v>46142</v>
      </c>
      <c r="B13" s="25">
        <v>46171</v>
      </c>
      <c r="C13" t="s">
        <v>27</v>
      </c>
      <c r="D13" t="s">
        <v>64</v>
      </c>
      <c r="E13" t="s">
        <v>65</v>
      </c>
      <c r="F13" t="s">
        <v>66</v>
      </c>
      <c r="G13" s="18">
        <v>204447</v>
      </c>
      <c r="H13" t="s">
        <v>127</v>
      </c>
      <c r="I13" t="s">
        <v>27</v>
      </c>
      <c r="J13" t="str">
        <f>IFERROR(VLOOKUP(D13, '05.05.2026'!D:J, 7, FALSE), "")</f>
        <v/>
      </c>
      <c r="K13" t="s">
        <v>67</v>
      </c>
      <c r="L13" s="25">
        <f t="shared" si="0"/>
        <v>46171</v>
      </c>
    </row>
    <row r="14" spans="1:12" ht="28.8" customHeight="1" x14ac:dyDescent="0.3">
      <c r="A14" s="25">
        <v>46142</v>
      </c>
      <c r="B14" s="25">
        <v>46171</v>
      </c>
      <c r="C14" t="s">
        <v>27</v>
      </c>
      <c r="D14" t="s">
        <v>54</v>
      </c>
      <c r="E14" t="s">
        <v>55</v>
      </c>
      <c r="F14" t="s">
        <v>56</v>
      </c>
      <c r="G14" s="18">
        <v>426010.6</v>
      </c>
      <c r="H14" t="s">
        <v>127</v>
      </c>
      <c r="I14" t="s">
        <v>27</v>
      </c>
      <c r="J14" t="str">
        <f>IFERROR(VLOOKUP(D14, '05.05.2026'!D:J, 7, FALSE), "")</f>
        <v/>
      </c>
      <c r="K14" t="s">
        <v>57</v>
      </c>
      <c r="L14" s="25">
        <f t="shared" si="0"/>
        <v>46171</v>
      </c>
    </row>
    <row r="15" spans="1:12" ht="28.8" customHeight="1" x14ac:dyDescent="0.3">
      <c r="A15" s="25">
        <v>46112</v>
      </c>
      <c r="B15" s="25">
        <v>46293</v>
      </c>
      <c r="C15" t="s">
        <v>13</v>
      </c>
      <c r="D15" t="s">
        <v>14</v>
      </c>
      <c r="E15" t="s">
        <v>15</v>
      </c>
      <c r="F15" t="s">
        <v>16</v>
      </c>
      <c r="G15" s="18">
        <v>103711</v>
      </c>
      <c r="H15" t="s">
        <v>106</v>
      </c>
      <c r="I15" t="s">
        <v>18</v>
      </c>
      <c r="J15" t="s">
        <v>19</v>
      </c>
      <c r="K15" t="s">
        <v>20</v>
      </c>
      <c r="L15" s="25">
        <f t="shared" si="0"/>
        <v>46293</v>
      </c>
    </row>
    <row r="16" spans="1:12" ht="28.8" customHeight="1" x14ac:dyDescent="0.3">
      <c r="A16" s="25">
        <v>46112</v>
      </c>
      <c r="B16" s="25">
        <v>46293</v>
      </c>
      <c r="C16" t="s">
        <v>120</v>
      </c>
      <c r="D16" t="s">
        <v>121</v>
      </c>
      <c r="E16" t="s">
        <v>122</v>
      </c>
      <c r="F16" t="s">
        <v>16</v>
      </c>
      <c r="G16" s="18">
        <v>83433</v>
      </c>
      <c r="H16" t="s">
        <v>106</v>
      </c>
      <c r="I16" t="s">
        <v>18</v>
      </c>
      <c r="J16" t="s">
        <v>19</v>
      </c>
      <c r="K16" t="s">
        <v>123</v>
      </c>
      <c r="L16" s="25">
        <f t="shared" si="0"/>
        <v>46293</v>
      </c>
    </row>
    <row r="17" spans="1:11" x14ac:dyDescent="0.3">
      <c r="F17" t="s">
        <v>94</v>
      </c>
      <c r="G17" s="18">
        <f>SUM(G3:G16)</f>
        <v>2575757.16</v>
      </c>
    </row>
    <row r="19" spans="1:11" x14ac:dyDescent="0.3">
      <c r="F19" t="s">
        <v>95</v>
      </c>
    </row>
    <row r="20" spans="1:11" x14ac:dyDescent="0.3">
      <c r="F20" t="s">
        <v>96</v>
      </c>
      <c r="G20" s="18">
        <f ca="1">SUMIFS(G3:G16, J3:J16, "*CASH SALE*", L3:L16, "&gt;="&amp;EOMONTH(TODAY(),-1)+1, L3:L16, "&lt;="&amp;EOMONTH(TODAY(),0))</f>
        <v>94247.1</v>
      </c>
      <c r="I20" t="s">
        <v>97</v>
      </c>
      <c r="J20" s="18">
        <f ca="1">SUMIFS(G3:G16, J3:J16, "*CASH SALE*", L3:L16, "&gt;="&amp;EOMONTH(TODAY(),0)+1, L3:L16, "&lt;="&amp;EOMONTH(TODAY(),1))</f>
        <v>0</v>
      </c>
    </row>
    <row r="21" spans="1:11" x14ac:dyDescent="0.3">
      <c r="F21" t="s">
        <v>98</v>
      </c>
      <c r="G21" s="18">
        <f ca="1">SUMIFS(G3:G16, J3:J16, "*ACCOUNT*", L3:L16, "&gt;="&amp;EOMONTH(TODAY(),-1)+1, L3:L16, "&lt;="&amp;EOMONTH(TODAY(),0))</f>
        <v>576214.16</v>
      </c>
      <c r="I21" t="s">
        <v>99</v>
      </c>
      <c r="J21" s="18">
        <f ca="1">SUMIFS(G3:G16, J3:J16, "*ACCOUNT*", L3:L16, "&gt;="&amp;EOMONTH(TODAY(),0)+1, L3:L16, "&lt;="&amp;EOMONTH(TODAY(),1))</f>
        <v>0</v>
      </c>
    </row>
    <row r="24" spans="1:11" ht="28.8" customHeight="1" x14ac:dyDescent="0.3">
      <c r="A24" t="s">
        <v>1</v>
      </c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100</v>
      </c>
    </row>
    <row r="25" spans="1:11" ht="28.8" customHeight="1" x14ac:dyDescent="0.3">
      <c r="A25" s="25">
        <v>46136</v>
      </c>
      <c r="B25" s="25">
        <v>46148.399985879631</v>
      </c>
      <c r="C25" t="s">
        <v>116</v>
      </c>
      <c r="D25" t="s">
        <v>117</v>
      </c>
      <c r="E25" t="s">
        <v>118</v>
      </c>
      <c r="F25" t="s">
        <v>84</v>
      </c>
      <c r="G25" s="18">
        <v>15437.6</v>
      </c>
      <c r="H25" t="s">
        <v>106</v>
      </c>
      <c r="I25" t="s">
        <v>107</v>
      </c>
      <c r="J25" t="s">
        <v>19</v>
      </c>
      <c r="K25" t="s">
        <v>166</v>
      </c>
    </row>
    <row r="26" spans="1:11" x14ac:dyDescent="0.3">
      <c r="F26" t="s">
        <v>101</v>
      </c>
      <c r="G26" s="18">
        <f>SUM(G25:G25)</f>
        <v>15437.6</v>
      </c>
    </row>
    <row r="28" spans="1:11" x14ac:dyDescent="0.3">
      <c r="F28" t="s">
        <v>102</v>
      </c>
      <c r="G28" s="18">
        <f>SUMIFS(G3:G16, I3:I16, "*Ready*Dispatch*")</f>
        <v>15437.6</v>
      </c>
    </row>
  </sheetData>
  <mergeCells count="1">
    <mergeCell ref="K1:L1"/>
  </mergeCells>
  <pageMargins left="0.25" right="0.25" top="0.75" bottom="0.75" header="0.3" footer="0.3"/>
  <pageSetup scale="56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38"/>
  <sheetViews>
    <sheetView zoomScale="90" zoomScaleNormal="90" workbookViewId="0">
      <pane xSplit="4" ySplit="2" topLeftCell="F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s="1" t="s">
        <v>0</v>
      </c>
      <c r="K1" s="301">
        <f ca="1">TODAY()</f>
        <v>46171</v>
      </c>
      <c r="L1" s="302"/>
    </row>
    <row r="2" spans="1:12" ht="43.2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28.8" customHeight="1" x14ac:dyDescent="0.3">
      <c r="A3" s="3">
        <v>46136</v>
      </c>
      <c r="B3" s="3">
        <v>46149.521628182869</v>
      </c>
      <c r="C3" s="4" t="s">
        <v>116</v>
      </c>
      <c r="D3" s="4" t="s">
        <v>117</v>
      </c>
      <c r="E3" s="5" t="s">
        <v>118</v>
      </c>
      <c r="F3" s="5" t="s">
        <v>84</v>
      </c>
      <c r="G3" s="6">
        <v>15437.6</v>
      </c>
      <c r="H3" s="4" t="s">
        <v>106</v>
      </c>
      <c r="I3" s="4" t="s">
        <v>18</v>
      </c>
      <c r="J3" s="4" t="s">
        <v>19</v>
      </c>
      <c r="K3" s="5" t="s">
        <v>119</v>
      </c>
      <c r="L3" s="3">
        <f t="shared" ref="L3:L19" si="0">B3</f>
        <v>46149.521628182869</v>
      </c>
    </row>
    <row r="4" spans="1:12" x14ac:dyDescent="0.3">
      <c r="A4" s="7">
        <v>46142</v>
      </c>
      <c r="B4" s="7">
        <v>46171</v>
      </c>
      <c r="C4" s="8" t="s">
        <v>27</v>
      </c>
      <c r="D4" s="8" t="s">
        <v>28</v>
      </c>
      <c r="E4" s="9" t="s">
        <v>29</v>
      </c>
      <c r="F4" s="9" t="s">
        <v>30</v>
      </c>
      <c r="G4" s="10">
        <v>554227.55000000005</v>
      </c>
      <c r="H4" s="8" t="s">
        <v>127</v>
      </c>
      <c r="I4" s="8" t="s">
        <v>27</v>
      </c>
      <c r="J4" s="8"/>
      <c r="K4" s="9" t="s">
        <v>32</v>
      </c>
      <c r="L4" s="7">
        <f t="shared" si="0"/>
        <v>46171</v>
      </c>
    </row>
    <row r="5" spans="1:12" ht="28.8" customHeight="1" x14ac:dyDescent="0.3">
      <c r="A5" s="3">
        <v>46142</v>
      </c>
      <c r="B5" s="3">
        <v>46149.521628182869</v>
      </c>
      <c r="C5" s="4" t="s">
        <v>167</v>
      </c>
      <c r="D5" s="4" t="s">
        <v>168</v>
      </c>
      <c r="E5" s="5" t="s">
        <v>169</v>
      </c>
      <c r="F5" s="5" t="s">
        <v>170</v>
      </c>
      <c r="G5" s="6">
        <v>19154.400000000001</v>
      </c>
      <c r="H5" s="4" t="s">
        <v>106</v>
      </c>
      <c r="I5" s="4" t="s">
        <v>18</v>
      </c>
      <c r="J5" s="4" t="s">
        <v>25</v>
      </c>
      <c r="K5" s="5" t="s">
        <v>171</v>
      </c>
      <c r="L5" s="3">
        <f t="shared" si="0"/>
        <v>46149.521628182869</v>
      </c>
    </row>
    <row r="6" spans="1:12" x14ac:dyDescent="0.3">
      <c r="A6" s="3">
        <v>46146</v>
      </c>
      <c r="B6" s="3">
        <v>46149.521628182869</v>
      </c>
      <c r="C6" s="4" t="s">
        <v>153</v>
      </c>
      <c r="D6" s="4" t="s">
        <v>154</v>
      </c>
      <c r="E6" s="5" t="s">
        <v>155</v>
      </c>
      <c r="F6" s="5" t="s">
        <v>47</v>
      </c>
      <c r="G6" s="6">
        <v>11429.61</v>
      </c>
      <c r="H6" s="4" t="s">
        <v>113</v>
      </c>
      <c r="I6" s="4" t="s">
        <v>18</v>
      </c>
      <c r="J6" s="4" t="s">
        <v>19</v>
      </c>
      <c r="K6" s="5" t="s">
        <v>156</v>
      </c>
      <c r="L6" s="3">
        <f t="shared" si="0"/>
        <v>46149.521628182869</v>
      </c>
    </row>
    <row r="7" spans="1:12" ht="57.6" customHeight="1" x14ac:dyDescent="0.3">
      <c r="A7" s="11">
        <v>46148</v>
      </c>
      <c r="B7" s="11">
        <v>46157</v>
      </c>
      <c r="C7" s="12" t="s">
        <v>172</v>
      </c>
      <c r="D7" s="12" t="s">
        <v>173</v>
      </c>
      <c r="E7" s="13" t="s">
        <v>174</v>
      </c>
      <c r="F7" s="13" t="s">
        <v>175</v>
      </c>
      <c r="G7" s="14">
        <v>13174.4</v>
      </c>
      <c r="H7" s="12" t="s">
        <v>113</v>
      </c>
      <c r="I7" s="12" t="s">
        <v>18</v>
      </c>
      <c r="J7" s="12" t="s">
        <v>25</v>
      </c>
      <c r="K7" s="13" t="s">
        <v>176</v>
      </c>
      <c r="L7" s="11">
        <f t="shared" si="0"/>
        <v>46157</v>
      </c>
    </row>
    <row r="8" spans="1:12" x14ac:dyDescent="0.3">
      <c r="A8" s="11">
        <v>46077</v>
      </c>
      <c r="B8" s="11">
        <v>46169</v>
      </c>
      <c r="C8" s="12" t="s">
        <v>144</v>
      </c>
      <c r="D8" s="12" t="s">
        <v>145</v>
      </c>
      <c r="E8" s="13" t="s">
        <v>146</v>
      </c>
      <c r="F8" s="13" t="s">
        <v>147</v>
      </c>
      <c r="G8" s="14">
        <v>94247.1</v>
      </c>
      <c r="H8" s="12" t="s">
        <v>113</v>
      </c>
      <c r="I8" s="12" t="s">
        <v>18</v>
      </c>
      <c r="J8" s="12" t="s">
        <v>114</v>
      </c>
      <c r="K8" s="13" t="s">
        <v>148</v>
      </c>
      <c r="L8" s="11">
        <f t="shared" si="0"/>
        <v>46169</v>
      </c>
    </row>
    <row r="9" spans="1:12" x14ac:dyDescent="0.3">
      <c r="A9" s="11">
        <v>46069</v>
      </c>
      <c r="B9" s="11">
        <v>46170</v>
      </c>
      <c r="C9" s="12" t="s">
        <v>138</v>
      </c>
      <c r="D9" s="12" t="s">
        <v>139</v>
      </c>
      <c r="E9" s="13" t="s">
        <v>140</v>
      </c>
      <c r="F9" s="13" t="s">
        <v>141</v>
      </c>
      <c r="G9" s="14">
        <v>379993.35</v>
      </c>
      <c r="H9" s="12" t="s">
        <v>142</v>
      </c>
      <c r="I9" s="12" t="s">
        <v>18</v>
      </c>
      <c r="J9" s="12" t="s">
        <v>19</v>
      </c>
      <c r="K9" s="13" t="s">
        <v>143</v>
      </c>
      <c r="L9" s="11">
        <f t="shared" si="0"/>
        <v>46170</v>
      </c>
    </row>
    <row r="10" spans="1:12" ht="28.8" customHeight="1" x14ac:dyDescent="0.3">
      <c r="A10" s="11">
        <v>46112</v>
      </c>
      <c r="B10" s="11">
        <v>46170</v>
      </c>
      <c r="C10" s="12" t="s">
        <v>13</v>
      </c>
      <c r="D10" s="12" t="s">
        <v>14</v>
      </c>
      <c r="E10" s="13" t="s">
        <v>15</v>
      </c>
      <c r="F10" s="13" t="s">
        <v>16</v>
      </c>
      <c r="G10" s="14">
        <v>103711</v>
      </c>
      <c r="H10" s="12" t="s">
        <v>106</v>
      </c>
      <c r="I10" s="12" t="s">
        <v>18</v>
      </c>
      <c r="J10" s="12" t="s">
        <v>19</v>
      </c>
      <c r="K10" s="13" t="s">
        <v>20</v>
      </c>
      <c r="L10" s="11">
        <f t="shared" si="0"/>
        <v>46170</v>
      </c>
    </row>
    <row r="11" spans="1:12" ht="28.8" customHeight="1" x14ac:dyDescent="0.3">
      <c r="A11" s="11">
        <v>46112</v>
      </c>
      <c r="B11" s="11">
        <v>46170</v>
      </c>
      <c r="C11" s="12" t="s">
        <v>120</v>
      </c>
      <c r="D11" s="12" t="s">
        <v>121</v>
      </c>
      <c r="E11" s="13" t="s">
        <v>122</v>
      </c>
      <c r="F11" s="13" t="s">
        <v>16</v>
      </c>
      <c r="G11" s="14">
        <v>83433</v>
      </c>
      <c r="H11" s="12" t="s">
        <v>106</v>
      </c>
      <c r="I11" s="12" t="s">
        <v>18</v>
      </c>
      <c r="J11" s="12" t="s">
        <v>19</v>
      </c>
      <c r="K11" s="13" t="s">
        <v>123</v>
      </c>
      <c r="L11" s="11">
        <f t="shared" si="0"/>
        <v>46170</v>
      </c>
    </row>
    <row r="12" spans="1:12" ht="28.8" customHeight="1" x14ac:dyDescent="0.3">
      <c r="A12" s="7">
        <v>46057</v>
      </c>
      <c r="B12" s="7">
        <v>46171</v>
      </c>
      <c r="C12" s="8" t="s">
        <v>27</v>
      </c>
      <c r="D12" s="8" t="s">
        <v>157</v>
      </c>
      <c r="E12" s="9" t="s">
        <v>158</v>
      </c>
      <c r="F12" s="9" t="s">
        <v>159</v>
      </c>
      <c r="G12" s="10">
        <v>427841.4</v>
      </c>
      <c r="H12" s="8" t="s">
        <v>113</v>
      </c>
      <c r="I12" s="8" t="s">
        <v>27</v>
      </c>
      <c r="J12" s="8"/>
      <c r="K12" s="9" t="s">
        <v>160</v>
      </c>
      <c r="L12" s="7">
        <f t="shared" si="0"/>
        <v>46171</v>
      </c>
    </row>
    <row r="13" spans="1:12" ht="28.8" customHeight="1" x14ac:dyDescent="0.3">
      <c r="A13" s="7">
        <v>46111</v>
      </c>
      <c r="B13" s="7">
        <v>46171</v>
      </c>
      <c r="C13" s="8" t="s">
        <v>38</v>
      </c>
      <c r="D13" s="8" t="s">
        <v>39</v>
      </c>
      <c r="E13" s="9" t="s">
        <v>40</v>
      </c>
      <c r="F13" s="9" t="s">
        <v>41</v>
      </c>
      <c r="G13" s="10">
        <v>9014.2099999999991</v>
      </c>
      <c r="H13" s="8" t="s">
        <v>106</v>
      </c>
      <c r="I13" s="8" t="s">
        <v>27</v>
      </c>
      <c r="J13" s="8"/>
      <c r="K13" s="9" t="s">
        <v>43</v>
      </c>
      <c r="L13" s="7">
        <f t="shared" si="0"/>
        <v>46171</v>
      </c>
    </row>
    <row r="14" spans="1:12" x14ac:dyDescent="0.3">
      <c r="A14" s="7">
        <v>46111</v>
      </c>
      <c r="B14" s="7">
        <v>46171</v>
      </c>
      <c r="C14" s="8" t="s">
        <v>44</v>
      </c>
      <c r="D14" s="8" t="s">
        <v>45</v>
      </c>
      <c r="E14" s="9" t="s">
        <v>46</v>
      </c>
      <c r="F14" s="9" t="s">
        <v>47</v>
      </c>
      <c r="G14" s="10">
        <v>169353.60000000001</v>
      </c>
      <c r="H14" s="8" t="s">
        <v>113</v>
      </c>
      <c r="I14" s="8" t="s">
        <v>27</v>
      </c>
      <c r="J14" s="8"/>
      <c r="K14" s="9" t="s">
        <v>49</v>
      </c>
      <c r="L14" s="7">
        <f t="shared" si="0"/>
        <v>46171</v>
      </c>
    </row>
    <row r="15" spans="1:12" ht="158.4" customHeight="1" x14ac:dyDescent="0.3">
      <c r="A15" s="7">
        <v>46128</v>
      </c>
      <c r="B15" s="7">
        <v>46171</v>
      </c>
      <c r="C15" s="8" t="s">
        <v>27</v>
      </c>
      <c r="D15" s="8" t="s">
        <v>50</v>
      </c>
      <c r="E15" s="9" t="s">
        <v>51</v>
      </c>
      <c r="F15" s="9" t="s">
        <v>52</v>
      </c>
      <c r="G15" s="10">
        <v>82900.05</v>
      </c>
      <c r="H15" s="8" t="s">
        <v>113</v>
      </c>
      <c r="I15" s="8" t="s">
        <v>27</v>
      </c>
      <c r="J15" s="8"/>
      <c r="K15" s="9" t="s">
        <v>53</v>
      </c>
      <c r="L15" s="7">
        <f t="shared" si="0"/>
        <v>46171</v>
      </c>
    </row>
    <row r="16" spans="1:12" x14ac:dyDescent="0.3">
      <c r="A16" s="7">
        <v>46142</v>
      </c>
      <c r="B16" s="7">
        <v>46171</v>
      </c>
      <c r="C16" s="8" t="s">
        <v>27</v>
      </c>
      <c r="D16" s="8" t="s">
        <v>161</v>
      </c>
      <c r="E16" s="9" t="s">
        <v>65</v>
      </c>
      <c r="F16" s="9" t="s">
        <v>162</v>
      </c>
      <c r="G16" s="10">
        <v>13711.09</v>
      </c>
      <c r="H16" s="8" t="s">
        <v>106</v>
      </c>
      <c r="I16" s="8" t="s">
        <v>27</v>
      </c>
      <c r="J16" s="8"/>
      <c r="K16" s="9" t="s">
        <v>163</v>
      </c>
      <c r="L16" s="7">
        <f t="shared" si="0"/>
        <v>46171</v>
      </c>
    </row>
    <row r="17" spans="1:12" ht="28.8" customHeight="1" x14ac:dyDescent="0.3">
      <c r="A17" s="7">
        <v>46142</v>
      </c>
      <c r="B17" s="7">
        <v>46171</v>
      </c>
      <c r="C17" s="8" t="s">
        <v>27</v>
      </c>
      <c r="D17" s="8" t="s">
        <v>54</v>
      </c>
      <c r="E17" s="9" t="s">
        <v>55</v>
      </c>
      <c r="F17" s="9" t="s">
        <v>56</v>
      </c>
      <c r="G17" s="10">
        <v>426010.6</v>
      </c>
      <c r="H17" s="8" t="s">
        <v>127</v>
      </c>
      <c r="I17" s="8" t="s">
        <v>27</v>
      </c>
      <c r="J17" s="8"/>
      <c r="K17" s="9" t="s">
        <v>57</v>
      </c>
      <c r="L17" s="7">
        <f t="shared" si="0"/>
        <v>46171</v>
      </c>
    </row>
    <row r="18" spans="1:12" ht="86.4" customHeight="1" x14ac:dyDescent="0.3">
      <c r="A18" s="7">
        <v>46142</v>
      </c>
      <c r="B18" s="7">
        <v>46171</v>
      </c>
      <c r="C18" s="8" t="s">
        <v>58</v>
      </c>
      <c r="D18" s="8" t="s">
        <v>59</v>
      </c>
      <c r="E18" s="9" t="s">
        <v>60</v>
      </c>
      <c r="F18" s="9" t="s">
        <v>61</v>
      </c>
      <c r="G18" s="10">
        <v>310411</v>
      </c>
      <c r="H18" s="8" t="s">
        <v>177</v>
      </c>
      <c r="I18" s="8" t="s">
        <v>27</v>
      </c>
      <c r="J18" s="8"/>
      <c r="K18" s="9" t="s">
        <v>63</v>
      </c>
      <c r="L18" s="7">
        <f t="shared" si="0"/>
        <v>46171</v>
      </c>
    </row>
    <row r="19" spans="1:12" ht="28.8" customHeight="1" x14ac:dyDescent="0.3">
      <c r="A19" s="7">
        <v>46142</v>
      </c>
      <c r="B19" s="7">
        <v>46171</v>
      </c>
      <c r="C19" s="8" t="s">
        <v>27</v>
      </c>
      <c r="D19" s="8" t="s">
        <v>64</v>
      </c>
      <c r="E19" s="9" t="s">
        <v>65</v>
      </c>
      <c r="F19" s="9" t="s">
        <v>66</v>
      </c>
      <c r="G19" s="10">
        <v>204447</v>
      </c>
      <c r="H19" s="8" t="s">
        <v>127</v>
      </c>
      <c r="I19" s="8" t="s">
        <v>27</v>
      </c>
      <c r="J19" s="8"/>
      <c r="K19" s="9" t="s">
        <v>67</v>
      </c>
      <c r="L19" s="7">
        <f t="shared" si="0"/>
        <v>46171</v>
      </c>
    </row>
    <row r="20" spans="1:12" x14ac:dyDescent="0.3">
      <c r="F20" s="15" t="s">
        <v>94</v>
      </c>
      <c r="G20" s="16">
        <f>SUM(G3:G19)</f>
        <v>2918496.9600000004</v>
      </c>
    </row>
    <row r="22" spans="1:12" x14ac:dyDescent="0.3">
      <c r="F22" s="17" t="s">
        <v>95</v>
      </c>
    </row>
    <row r="23" spans="1:12" x14ac:dyDescent="0.3">
      <c r="F23" t="s">
        <v>96</v>
      </c>
      <c r="G23" s="18">
        <f ca="1">SUMIFS(G3:G19, J3:J19, "*CASH SALE*", L3:L19, "&gt;="&amp;EOMONTH(TODAY(),-1)+1, L3:L19, "&lt;="&amp;EOMONTH(TODAY(),0))</f>
        <v>126575.90000000001</v>
      </c>
      <c r="I23" t="s">
        <v>97</v>
      </c>
      <c r="J23" s="18">
        <f ca="1">SUMIFS(G3:G19, J3:J19, "*CASH SALE*", L3:L19, "&gt;="&amp;EOMONTH(TODAY(),0)+1, L3:L19, "&lt;="&amp;EOMONTH(TODAY(),1))</f>
        <v>0</v>
      </c>
    </row>
    <row r="24" spans="1:12" x14ac:dyDescent="0.3">
      <c r="F24" t="s">
        <v>98</v>
      </c>
      <c r="G24" s="18">
        <f ca="1">SUMIFS(G3:G19, J3:J19, "*ACCOUNT*", L3:L19, "&gt;="&amp;EOMONTH(TODAY(),-1)+1, L3:L19, "&lt;="&amp;EOMONTH(TODAY(),0))</f>
        <v>594004.56000000006</v>
      </c>
      <c r="I24" t="s">
        <v>99</v>
      </c>
      <c r="J24" s="18">
        <f ca="1">SUMIFS(G3:G19, J3:J19, "*ACCOUNT*", L3:L19, "&gt;="&amp;EOMONTH(TODAY(),0)+1, L3:L19, "&lt;="&amp;EOMONTH(TODAY(),1))</f>
        <v>0</v>
      </c>
    </row>
    <row r="27" spans="1:12" ht="28.8" customHeight="1" x14ac:dyDescent="0.3">
      <c r="A27" s="2" t="s">
        <v>1</v>
      </c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  <c r="G27" s="2" t="s">
        <v>7</v>
      </c>
      <c r="H27" s="2" t="s">
        <v>8</v>
      </c>
      <c r="I27" s="2" t="s">
        <v>9</v>
      </c>
      <c r="J27" s="2" t="s">
        <v>10</v>
      </c>
      <c r="K27" s="2" t="s">
        <v>100</v>
      </c>
    </row>
    <row r="28" spans="1:12" ht="28.8" customHeight="1" x14ac:dyDescent="0.3">
      <c r="A28" s="19">
        <v>46136</v>
      </c>
      <c r="B28" s="19">
        <v>46149.521628182869</v>
      </c>
      <c r="C28" s="20" t="s">
        <v>116</v>
      </c>
      <c r="D28" s="20" t="s">
        <v>117</v>
      </c>
      <c r="E28" s="20" t="s">
        <v>118</v>
      </c>
      <c r="F28" s="20" t="s">
        <v>84</v>
      </c>
      <c r="G28" s="14">
        <v>15437.6</v>
      </c>
      <c r="H28" s="20" t="s">
        <v>106</v>
      </c>
      <c r="I28" s="20" t="s">
        <v>18</v>
      </c>
      <c r="J28" s="20" t="s">
        <v>19</v>
      </c>
      <c r="K28" s="13"/>
    </row>
    <row r="29" spans="1:12" x14ac:dyDescent="0.3">
      <c r="A29" s="21">
        <v>46142</v>
      </c>
      <c r="B29" s="21">
        <v>46171</v>
      </c>
      <c r="C29" s="22" t="s">
        <v>27</v>
      </c>
      <c r="D29" s="22" t="s">
        <v>28</v>
      </c>
      <c r="E29" s="22" t="s">
        <v>29</v>
      </c>
      <c r="F29" s="22" t="s">
        <v>30</v>
      </c>
      <c r="G29" s="10">
        <v>554227.55000000005</v>
      </c>
      <c r="H29" s="22" t="s">
        <v>127</v>
      </c>
      <c r="I29" s="22" t="s">
        <v>27</v>
      </c>
      <c r="J29" s="22"/>
      <c r="K29" s="9"/>
      <c r="L29" s="23"/>
    </row>
    <row r="30" spans="1:12" x14ac:dyDescent="0.3">
      <c r="A30" s="19">
        <v>46142</v>
      </c>
      <c r="B30" s="19">
        <v>46149.521628182869</v>
      </c>
      <c r="C30" s="20" t="s">
        <v>167</v>
      </c>
      <c r="D30" s="20" t="s">
        <v>168</v>
      </c>
      <c r="E30" s="20" t="s">
        <v>169</v>
      </c>
      <c r="F30" s="20" t="s">
        <v>170</v>
      </c>
      <c r="G30" s="14">
        <v>19154.400000000001</v>
      </c>
      <c r="H30" s="20" t="s">
        <v>106</v>
      </c>
      <c r="I30" s="20" t="s">
        <v>18</v>
      </c>
      <c r="J30" s="20" t="s">
        <v>25</v>
      </c>
      <c r="K30" s="13"/>
    </row>
    <row r="31" spans="1:12" x14ac:dyDescent="0.3">
      <c r="A31" s="19">
        <v>46146</v>
      </c>
      <c r="B31" s="19">
        <v>46149.521628182869</v>
      </c>
      <c r="C31" s="20" t="s">
        <v>153</v>
      </c>
      <c r="D31" s="20" t="s">
        <v>154</v>
      </c>
      <c r="E31" s="20" t="s">
        <v>155</v>
      </c>
      <c r="F31" s="20" t="s">
        <v>47</v>
      </c>
      <c r="G31" s="14">
        <v>11429.61</v>
      </c>
      <c r="H31" s="20" t="s">
        <v>113</v>
      </c>
      <c r="I31" s="20" t="s">
        <v>18</v>
      </c>
      <c r="J31" s="20" t="s">
        <v>19</v>
      </c>
      <c r="K31" s="13"/>
    </row>
    <row r="32" spans="1:12" x14ac:dyDescent="0.3">
      <c r="F32" s="15" t="s">
        <v>101</v>
      </c>
      <c r="G32" s="16">
        <f>SUM(G28:G31)</f>
        <v>600249.16</v>
      </c>
    </row>
    <row r="34" spans="1:7" x14ac:dyDescent="0.3">
      <c r="F34" s="15" t="s">
        <v>102</v>
      </c>
      <c r="G34" s="16">
        <f>SUMIFS(G3:G19, I3:I19, "*Ready*Dispatch*")</f>
        <v>0</v>
      </c>
    </row>
    <row r="37" spans="1:7" x14ac:dyDescent="0.3">
      <c r="A37" s="24" t="s">
        <v>151</v>
      </c>
    </row>
    <row r="38" spans="1:7" x14ac:dyDescent="0.3">
      <c r="A38" s="24" t="s">
        <v>178</v>
      </c>
    </row>
  </sheetData>
  <mergeCells count="1">
    <mergeCell ref="K1:L1"/>
  </mergeCells>
  <pageMargins left="0.25" right="0.25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29"/>
  <sheetViews>
    <sheetView zoomScale="85" zoomScaleNormal="85" workbookViewId="0">
      <pane xSplit="4" ySplit="2" topLeftCell="E3" activePane="bottomRight" state="frozen"/>
      <selection pane="topRight"/>
      <selection pane="bottomLeft"/>
      <selection pane="bottomRight" activeCell="J4" sqref="J4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s="41" customFormat="1" ht="18" customHeight="1" x14ac:dyDescent="0.35">
      <c r="A1" s="40" t="s">
        <v>0</v>
      </c>
      <c r="K1" s="301">
        <f ca="1">TODAY()</f>
        <v>46171</v>
      </c>
      <c r="L1" s="303"/>
    </row>
    <row r="2" spans="1:12" ht="43.2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26" t="s">
        <v>8</v>
      </c>
      <c r="I2" s="26" t="s">
        <v>9</v>
      </c>
      <c r="J2" s="26" t="s">
        <v>10</v>
      </c>
      <c r="K2" s="26" t="s">
        <v>11</v>
      </c>
      <c r="L2" s="26" t="s">
        <v>12</v>
      </c>
    </row>
    <row r="3" spans="1:12" ht="28.8" customHeight="1" x14ac:dyDescent="0.3">
      <c r="A3" s="31">
        <v>46142</v>
      </c>
      <c r="B3" s="31">
        <v>46155</v>
      </c>
      <c r="C3" s="32" t="s">
        <v>167</v>
      </c>
      <c r="D3" s="32" t="s">
        <v>168</v>
      </c>
      <c r="E3" s="33" t="s">
        <v>169</v>
      </c>
      <c r="F3" s="33" t="s">
        <v>170</v>
      </c>
      <c r="G3" s="34">
        <v>19154.400000000001</v>
      </c>
      <c r="H3" s="32" t="s">
        <v>106</v>
      </c>
      <c r="I3" s="32" t="s">
        <v>18</v>
      </c>
      <c r="J3" s="32" t="s">
        <v>25</v>
      </c>
      <c r="K3" s="33" t="s">
        <v>171</v>
      </c>
      <c r="L3" s="31">
        <f t="shared" ref="L3:L17" si="0">B3</f>
        <v>46155</v>
      </c>
    </row>
    <row r="4" spans="1:12" x14ac:dyDescent="0.3">
      <c r="A4" s="31">
        <v>46149</v>
      </c>
      <c r="B4" s="31">
        <v>46163</v>
      </c>
      <c r="C4" s="32" t="s">
        <v>21</v>
      </c>
      <c r="D4" s="32" t="s">
        <v>22</v>
      </c>
      <c r="E4" s="33" t="s">
        <v>23</v>
      </c>
      <c r="F4" s="33" t="s">
        <v>24</v>
      </c>
      <c r="G4" s="34">
        <v>24910.15</v>
      </c>
      <c r="H4" s="32" t="s">
        <v>106</v>
      </c>
      <c r="I4" s="32" t="s">
        <v>18</v>
      </c>
      <c r="J4" s="32" t="s">
        <v>25</v>
      </c>
      <c r="K4" s="33" t="s">
        <v>179</v>
      </c>
      <c r="L4" s="31">
        <f t="shared" si="0"/>
        <v>46163</v>
      </c>
    </row>
    <row r="5" spans="1:12" x14ac:dyDescent="0.3">
      <c r="A5" s="31">
        <v>46077</v>
      </c>
      <c r="B5" s="31">
        <v>46169</v>
      </c>
      <c r="C5" s="32" t="s">
        <v>144</v>
      </c>
      <c r="D5" s="32" t="s">
        <v>145</v>
      </c>
      <c r="E5" s="33" t="s">
        <v>146</v>
      </c>
      <c r="F5" s="33" t="s">
        <v>147</v>
      </c>
      <c r="G5" s="34">
        <v>94247.1</v>
      </c>
      <c r="H5" s="32" t="s">
        <v>113</v>
      </c>
      <c r="I5" s="32" t="s">
        <v>18</v>
      </c>
      <c r="J5" s="32" t="s">
        <v>114</v>
      </c>
      <c r="K5" s="33" t="s">
        <v>148</v>
      </c>
      <c r="L5" s="31">
        <f t="shared" si="0"/>
        <v>46169</v>
      </c>
    </row>
    <row r="6" spans="1:12" x14ac:dyDescent="0.3">
      <c r="A6" s="31">
        <v>46069</v>
      </c>
      <c r="B6" s="31">
        <v>46170</v>
      </c>
      <c r="C6" s="32" t="s">
        <v>138</v>
      </c>
      <c r="D6" s="32" t="s">
        <v>139</v>
      </c>
      <c r="E6" s="33" t="s">
        <v>140</v>
      </c>
      <c r="F6" s="33" t="s">
        <v>141</v>
      </c>
      <c r="G6" s="34">
        <v>379993.35</v>
      </c>
      <c r="H6" s="32" t="s">
        <v>142</v>
      </c>
      <c r="I6" s="32" t="s">
        <v>18</v>
      </c>
      <c r="J6" s="32" t="s">
        <v>19</v>
      </c>
      <c r="K6" s="33" t="s">
        <v>143</v>
      </c>
      <c r="L6" s="31">
        <f t="shared" si="0"/>
        <v>46170</v>
      </c>
    </row>
    <row r="7" spans="1:12" ht="28.8" customHeight="1" x14ac:dyDescent="0.3">
      <c r="A7" s="31">
        <v>46112</v>
      </c>
      <c r="B7" s="31">
        <v>46170</v>
      </c>
      <c r="C7" s="32" t="s">
        <v>13</v>
      </c>
      <c r="D7" s="32" t="s">
        <v>14</v>
      </c>
      <c r="E7" s="33" t="s">
        <v>15</v>
      </c>
      <c r="F7" s="33" t="s">
        <v>16</v>
      </c>
      <c r="G7" s="34">
        <v>103711</v>
      </c>
      <c r="H7" s="32" t="s">
        <v>106</v>
      </c>
      <c r="I7" s="32" t="s">
        <v>18</v>
      </c>
      <c r="J7" s="32" t="s">
        <v>19</v>
      </c>
      <c r="K7" s="33" t="s">
        <v>20</v>
      </c>
      <c r="L7" s="31">
        <f t="shared" si="0"/>
        <v>46170</v>
      </c>
    </row>
    <row r="8" spans="1:12" ht="28.8" customHeight="1" x14ac:dyDescent="0.3">
      <c r="A8" s="31">
        <v>46112</v>
      </c>
      <c r="B8" s="31">
        <v>46170</v>
      </c>
      <c r="C8" s="32" t="s">
        <v>120</v>
      </c>
      <c r="D8" s="32" t="s">
        <v>121</v>
      </c>
      <c r="E8" s="33" t="s">
        <v>122</v>
      </c>
      <c r="F8" s="33" t="s">
        <v>16</v>
      </c>
      <c r="G8" s="34">
        <v>83433</v>
      </c>
      <c r="H8" s="32" t="s">
        <v>106</v>
      </c>
      <c r="I8" s="32" t="s">
        <v>18</v>
      </c>
      <c r="J8" s="32" t="s">
        <v>19</v>
      </c>
      <c r="K8" s="33" t="s">
        <v>123</v>
      </c>
      <c r="L8" s="31">
        <f t="shared" si="0"/>
        <v>46170</v>
      </c>
    </row>
    <row r="9" spans="1:12" ht="28.8" customHeight="1" x14ac:dyDescent="0.3">
      <c r="A9" s="27">
        <v>46057</v>
      </c>
      <c r="B9" s="27">
        <v>46171</v>
      </c>
      <c r="C9" s="28" t="s">
        <v>27</v>
      </c>
      <c r="D9" s="28" t="s">
        <v>157</v>
      </c>
      <c r="E9" s="29" t="s">
        <v>158</v>
      </c>
      <c r="F9" s="29" t="s">
        <v>159</v>
      </c>
      <c r="G9" s="30">
        <v>427841.4</v>
      </c>
      <c r="H9" s="28" t="s">
        <v>113</v>
      </c>
      <c r="I9" s="28" t="s">
        <v>27</v>
      </c>
      <c r="J9" s="28"/>
      <c r="K9" s="29" t="s">
        <v>160</v>
      </c>
      <c r="L9" s="27">
        <f t="shared" si="0"/>
        <v>46171</v>
      </c>
    </row>
    <row r="10" spans="1:12" ht="28.8" customHeight="1" x14ac:dyDescent="0.3">
      <c r="A10" s="27">
        <v>46111</v>
      </c>
      <c r="B10" s="27">
        <v>46171</v>
      </c>
      <c r="C10" s="28" t="s">
        <v>38</v>
      </c>
      <c r="D10" s="28" t="s">
        <v>39</v>
      </c>
      <c r="E10" s="29" t="s">
        <v>40</v>
      </c>
      <c r="F10" s="29" t="s">
        <v>41</v>
      </c>
      <c r="G10" s="30">
        <v>9014.2099999999991</v>
      </c>
      <c r="H10" s="28" t="s">
        <v>106</v>
      </c>
      <c r="I10" s="28" t="s">
        <v>27</v>
      </c>
      <c r="J10" s="28"/>
      <c r="K10" s="29" t="s">
        <v>43</v>
      </c>
      <c r="L10" s="27">
        <f t="shared" si="0"/>
        <v>46171</v>
      </c>
    </row>
    <row r="11" spans="1:12" x14ac:dyDescent="0.3">
      <c r="A11" s="27">
        <v>46111</v>
      </c>
      <c r="B11" s="27">
        <v>46171</v>
      </c>
      <c r="C11" s="28" t="s">
        <v>44</v>
      </c>
      <c r="D11" s="28" t="s">
        <v>45</v>
      </c>
      <c r="E11" s="29" t="s">
        <v>46</v>
      </c>
      <c r="F11" s="29" t="s">
        <v>47</v>
      </c>
      <c r="G11" s="30">
        <v>169353.60000000001</v>
      </c>
      <c r="H11" s="28" t="s">
        <v>113</v>
      </c>
      <c r="I11" s="28" t="s">
        <v>27</v>
      </c>
      <c r="J11" s="28"/>
      <c r="K11" s="29" t="s">
        <v>49</v>
      </c>
      <c r="L11" s="27">
        <f t="shared" si="0"/>
        <v>46171</v>
      </c>
    </row>
    <row r="12" spans="1:12" ht="158.4" customHeight="1" x14ac:dyDescent="0.3">
      <c r="A12" s="27">
        <v>46128</v>
      </c>
      <c r="B12" s="27">
        <v>46171</v>
      </c>
      <c r="C12" s="28" t="s">
        <v>27</v>
      </c>
      <c r="D12" s="28" t="s">
        <v>50</v>
      </c>
      <c r="E12" s="29" t="s">
        <v>51</v>
      </c>
      <c r="F12" s="29" t="s">
        <v>52</v>
      </c>
      <c r="G12" s="30">
        <v>82900.05</v>
      </c>
      <c r="H12" s="28" t="s">
        <v>113</v>
      </c>
      <c r="I12" s="28" t="s">
        <v>27</v>
      </c>
      <c r="J12" s="28"/>
      <c r="K12" s="29" t="s">
        <v>53</v>
      </c>
      <c r="L12" s="27">
        <f t="shared" si="0"/>
        <v>46171</v>
      </c>
    </row>
    <row r="13" spans="1:12" x14ac:dyDescent="0.3">
      <c r="A13" s="27">
        <v>46142</v>
      </c>
      <c r="B13" s="27">
        <v>46171</v>
      </c>
      <c r="C13" s="28" t="s">
        <v>27</v>
      </c>
      <c r="D13" s="28" t="s">
        <v>28</v>
      </c>
      <c r="E13" s="29" t="s">
        <v>29</v>
      </c>
      <c r="F13" s="29" t="s">
        <v>30</v>
      </c>
      <c r="G13" s="30">
        <v>554227.55000000005</v>
      </c>
      <c r="H13" s="28" t="s">
        <v>127</v>
      </c>
      <c r="I13" s="28" t="s">
        <v>27</v>
      </c>
      <c r="J13" s="28"/>
      <c r="K13" s="29" t="s">
        <v>32</v>
      </c>
      <c r="L13" s="27">
        <f t="shared" si="0"/>
        <v>46171</v>
      </c>
    </row>
    <row r="14" spans="1:12" x14ac:dyDescent="0.3">
      <c r="A14" s="27">
        <v>46142</v>
      </c>
      <c r="B14" s="27">
        <v>46171</v>
      </c>
      <c r="C14" s="28" t="s">
        <v>27</v>
      </c>
      <c r="D14" s="28" t="s">
        <v>161</v>
      </c>
      <c r="E14" s="29" t="s">
        <v>65</v>
      </c>
      <c r="F14" s="29" t="s">
        <v>162</v>
      </c>
      <c r="G14" s="30">
        <v>13711.09</v>
      </c>
      <c r="H14" s="28" t="s">
        <v>106</v>
      </c>
      <c r="I14" s="28" t="s">
        <v>27</v>
      </c>
      <c r="J14" s="28"/>
      <c r="K14" s="29" t="s">
        <v>163</v>
      </c>
      <c r="L14" s="27">
        <f t="shared" si="0"/>
        <v>46171</v>
      </c>
    </row>
    <row r="15" spans="1:12" ht="28.8" customHeight="1" x14ac:dyDescent="0.3">
      <c r="A15" s="27">
        <v>46142</v>
      </c>
      <c r="B15" s="27">
        <v>46171</v>
      </c>
      <c r="C15" s="28" t="s">
        <v>27</v>
      </c>
      <c r="D15" s="28" t="s">
        <v>54</v>
      </c>
      <c r="E15" s="29" t="s">
        <v>55</v>
      </c>
      <c r="F15" s="29" t="s">
        <v>56</v>
      </c>
      <c r="G15" s="30">
        <v>426010.6</v>
      </c>
      <c r="H15" s="28" t="s">
        <v>127</v>
      </c>
      <c r="I15" s="28" t="s">
        <v>27</v>
      </c>
      <c r="J15" s="28"/>
      <c r="K15" s="29" t="s">
        <v>57</v>
      </c>
      <c r="L15" s="27">
        <f t="shared" si="0"/>
        <v>46171</v>
      </c>
    </row>
    <row r="16" spans="1:12" ht="86.4" customHeight="1" x14ac:dyDescent="0.3">
      <c r="A16" s="27">
        <v>46142</v>
      </c>
      <c r="B16" s="27">
        <v>46171</v>
      </c>
      <c r="C16" s="28" t="s">
        <v>58</v>
      </c>
      <c r="D16" s="28" t="s">
        <v>59</v>
      </c>
      <c r="E16" s="29" t="s">
        <v>60</v>
      </c>
      <c r="F16" s="29" t="s">
        <v>61</v>
      </c>
      <c r="G16" s="30">
        <v>310411</v>
      </c>
      <c r="H16" s="28" t="s">
        <v>177</v>
      </c>
      <c r="I16" s="28" t="s">
        <v>27</v>
      </c>
      <c r="J16" s="28"/>
      <c r="K16" s="29" t="s">
        <v>63</v>
      </c>
      <c r="L16" s="27">
        <f t="shared" si="0"/>
        <v>46171</v>
      </c>
    </row>
    <row r="17" spans="1:12" ht="28.8" customHeight="1" x14ac:dyDescent="0.3">
      <c r="A17" s="27">
        <v>46142</v>
      </c>
      <c r="B17" s="27">
        <v>46171</v>
      </c>
      <c r="C17" s="28" t="s">
        <v>27</v>
      </c>
      <c r="D17" s="28" t="s">
        <v>64</v>
      </c>
      <c r="E17" s="29" t="s">
        <v>65</v>
      </c>
      <c r="F17" s="29" t="s">
        <v>66</v>
      </c>
      <c r="G17" s="30">
        <v>204447</v>
      </c>
      <c r="H17" s="28" t="s">
        <v>127</v>
      </c>
      <c r="I17" s="28" t="s">
        <v>27</v>
      </c>
      <c r="J17" s="28"/>
      <c r="K17" s="29" t="s">
        <v>67</v>
      </c>
      <c r="L17" s="27">
        <f t="shared" si="0"/>
        <v>46171</v>
      </c>
    </row>
    <row r="18" spans="1:12" x14ac:dyDescent="0.3">
      <c r="F18" s="35" t="s">
        <v>94</v>
      </c>
      <c r="G18" s="36">
        <f>SUM(G3:G17)</f>
        <v>2903365.5</v>
      </c>
    </row>
    <row r="20" spans="1:12" x14ac:dyDescent="0.3">
      <c r="F20" s="37" t="s">
        <v>95</v>
      </c>
    </row>
    <row r="21" spans="1:12" x14ac:dyDescent="0.3">
      <c r="F21" t="s">
        <v>96</v>
      </c>
      <c r="G21" s="18">
        <f ca="1">SUMIFS(G3:G17, J3:J17, "*CASH SALE*", L3:L17, "&gt;="&amp;EOMONTH(TODAY(),-1)+1, L3:L17, "&lt;="&amp;EOMONTH(TODAY(),0))</f>
        <v>138311.65000000002</v>
      </c>
      <c r="I21" t="s">
        <v>97</v>
      </c>
      <c r="J21" s="18">
        <f ca="1">SUMIFS(G3:G17, J3:J17, "*CASH SALE*", L3:L17, "&gt;="&amp;EOMONTH(TODAY(),0)+1, L3:L17, "&lt;="&amp;EOMONTH(TODAY(),1))</f>
        <v>0</v>
      </c>
    </row>
    <row r="22" spans="1:12" x14ac:dyDescent="0.3">
      <c r="F22" t="s">
        <v>98</v>
      </c>
      <c r="G22" s="18">
        <f ca="1">SUMIFS(G3:G17, J3:J17, "*ACCOUNT*", L3:L17, "&gt;="&amp;EOMONTH(TODAY(),-1)+1, L3:L17, "&lt;="&amp;EOMONTH(TODAY(),0))</f>
        <v>567137.35</v>
      </c>
      <c r="I22" t="s">
        <v>99</v>
      </c>
      <c r="J22" s="18">
        <f ca="1">SUMIFS(G3:G17, J3:J17, "*ACCOUNT*", L3:L17, "&gt;="&amp;EOMONTH(TODAY(),0)+1, L3:L17, "&lt;="&amp;EOMONTH(TODAY(),1))</f>
        <v>0</v>
      </c>
    </row>
    <row r="25" spans="1:12" ht="28.8" customHeight="1" x14ac:dyDescent="0.3">
      <c r="A25" s="26" t="s">
        <v>1</v>
      </c>
      <c r="B25" s="26" t="s">
        <v>2</v>
      </c>
      <c r="C25" s="26" t="s">
        <v>3</v>
      </c>
      <c r="D25" s="26" t="s">
        <v>4</v>
      </c>
      <c r="E25" s="26" t="s">
        <v>5</v>
      </c>
      <c r="F25" s="26" t="s">
        <v>6</v>
      </c>
      <c r="G25" s="26" t="s">
        <v>7</v>
      </c>
      <c r="H25" s="26" t="s">
        <v>8</v>
      </c>
      <c r="I25" s="26" t="s">
        <v>9</v>
      </c>
      <c r="J25" s="26" t="s">
        <v>10</v>
      </c>
      <c r="K25" s="26" t="s">
        <v>100</v>
      </c>
    </row>
    <row r="26" spans="1:12" x14ac:dyDescent="0.3">
      <c r="A26" s="38"/>
      <c r="B26" s="38"/>
      <c r="C26" s="39"/>
      <c r="D26" s="39"/>
      <c r="E26" s="39"/>
      <c r="F26" s="39"/>
      <c r="G26" s="34"/>
      <c r="H26" s="39"/>
      <c r="I26" s="39"/>
      <c r="J26" s="39"/>
      <c r="K26" s="33"/>
    </row>
    <row r="27" spans="1:12" x14ac:dyDescent="0.3">
      <c r="F27" s="35" t="s">
        <v>101</v>
      </c>
      <c r="G27" s="36">
        <f>SUM(G26:G26)</f>
        <v>0</v>
      </c>
    </row>
    <row r="29" spans="1:12" x14ac:dyDescent="0.3">
      <c r="F29" s="35" t="s">
        <v>102</v>
      </c>
      <c r="G29" s="36">
        <f>SUMIFS(G3:G17, I3:I17, "*Ready*Dispatch*")</f>
        <v>0</v>
      </c>
    </row>
  </sheetData>
  <mergeCells count="1">
    <mergeCell ref="K1:L1"/>
  </mergeCells>
  <pageMargins left="0.25" right="0.25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29"/>
  <sheetViews>
    <sheetView zoomScale="80" zoomScaleNormal="80" workbookViewId="0">
      <pane xSplit="4" ySplit="2" topLeftCell="E4" activePane="bottomRight" state="frozen"/>
      <selection pane="topRight"/>
      <selection pane="bottomLeft"/>
      <selection pane="bottomRight" activeCell="A12" sqref="A12:XFD12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s="41" customFormat="1" ht="18" customHeight="1" x14ac:dyDescent="0.35">
      <c r="A1" s="40" t="s">
        <v>0</v>
      </c>
      <c r="K1" s="301">
        <f ca="1">TODAY()</f>
        <v>46171</v>
      </c>
      <c r="L1" s="303"/>
    </row>
    <row r="2" spans="1:12" ht="43.2" customHeight="1" x14ac:dyDescent="0.3">
      <c r="A2" s="42" t="s">
        <v>1</v>
      </c>
      <c r="B2" s="42" t="s">
        <v>2</v>
      </c>
      <c r="C2" s="42" t="s">
        <v>3</v>
      </c>
      <c r="D2" s="42" t="s">
        <v>4</v>
      </c>
      <c r="E2" s="42" t="s">
        <v>5</v>
      </c>
      <c r="F2" s="42" t="s">
        <v>6</v>
      </c>
      <c r="G2" s="42" t="s">
        <v>7</v>
      </c>
      <c r="H2" s="42" t="s">
        <v>8</v>
      </c>
      <c r="I2" s="42" t="s">
        <v>9</v>
      </c>
      <c r="J2" s="42" t="s">
        <v>10</v>
      </c>
      <c r="K2" s="42" t="s">
        <v>11</v>
      </c>
      <c r="L2" s="42" t="s">
        <v>12</v>
      </c>
    </row>
    <row r="3" spans="1:12" ht="28.8" customHeight="1" x14ac:dyDescent="0.3">
      <c r="A3" s="49">
        <v>46150</v>
      </c>
      <c r="B3" s="49">
        <v>46153.314474907413</v>
      </c>
      <c r="C3" s="47" t="s">
        <v>180</v>
      </c>
      <c r="D3" s="47" t="s">
        <v>181</v>
      </c>
      <c r="E3" s="48" t="s">
        <v>180</v>
      </c>
      <c r="F3" s="48" t="s">
        <v>182</v>
      </c>
      <c r="G3" s="50">
        <v>8809</v>
      </c>
      <c r="H3" s="47" t="s">
        <v>127</v>
      </c>
      <c r="I3" s="47" t="s">
        <v>107</v>
      </c>
      <c r="J3" s="47" t="s">
        <v>19</v>
      </c>
      <c r="K3" s="48" t="s">
        <v>183</v>
      </c>
      <c r="L3" s="49">
        <f t="shared" ref="L3:L18" si="0">B3</f>
        <v>46153.314474907413</v>
      </c>
    </row>
    <row r="4" spans="1:12" ht="28.8" customHeight="1" x14ac:dyDescent="0.3">
      <c r="A4" s="51">
        <v>46142</v>
      </c>
      <c r="B4" s="51">
        <v>46155</v>
      </c>
      <c r="C4" s="52" t="s">
        <v>167</v>
      </c>
      <c r="D4" s="52" t="s">
        <v>168</v>
      </c>
      <c r="E4" s="53" t="s">
        <v>169</v>
      </c>
      <c r="F4" s="53" t="s">
        <v>170</v>
      </c>
      <c r="G4" s="54">
        <v>19154.400000000001</v>
      </c>
      <c r="H4" s="52" t="s">
        <v>106</v>
      </c>
      <c r="I4" s="52" t="s">
        <v>18</v>
      </c>
      <c r="J4" s="52" t="s">
        <v>25</v>
      </c>
      <c r="K4" s="53" t="s">
        <v>171</v>
      </c>
      <c r="L4" s="51">
        <f t="shared" si="0"/>
        <v>46155</v>
      </c>
    </row>
    <row r="5" spans="1:12" x14ac:dyDescent="0.3">
      <c r="A5" s="51">
        <v>46149</v>
      </c>
      <c r="B5" s="51">
        <v>46163</v>
      </c>
      <c r="C5" s="52" t="s">
        <v>21</v>
      </c>
      <c r="D5" s="52" t="s">
        <v>22</v>
      </c>
      <c r="E5" s="53" t="s">
        <v>23</v>
      </c>
      <c r="F5" s="53" t="s">
        <v>24</v>
      </c>
      <c r="G5" s="54">
        <v>24910.15</v>
      </c>
      <c r="H5" s="52" t="s">
        <v>106</v>
      </c>
      <c r="I5" s="52" t="s">
        <v>18</v>
      </c>
      <c r="J5" s="52" t="s">
        <v>25</v>
      </c>
      <c r="K5" s="53" t="s">
        <v>184</v>
      </c>
      <c r="L5" s="51">
        <f t="shared" si="0"/>
        <v>46163</v>
      </c>
    </row>
    <row r="6" spans="1:12" x14ac:dyDescent="0.3">
      <c r="A6" s="51">
        <v>46077</v>
      </c>
      <c r="B6" s="51">
        <v>46169</v>
      </c>
      <c r="C6" s="52" t="s">
        <v>144</v>
      </c>
      <c r="D6" s="52" t="s">
        <v>145</v>
      </c>
      <c r="E6" s="53" t="s">
        <v>146</v>
      </c>
      <c r="F6" s="53" t="s">
        <v>147</v>
      </c>
      <c r="G6" s="54">
        <v>94247.1</v>
      </c>
      <c r="H6" s="52" t="s">
        <v>113</v>
      </c>
      <c r="I6" s="52" t="s">
        <v>18</v>
      </c>
      <c r="J6" s="52" t="s">
        <v>114</v>
      </c>
      <c r="K6" s="53" t="s">
        <v>148</v>
      </c>
      <c r="L6" s="51">
        <f t="shared" si="0"/>
        <v>46169</v>
      </c>
    </row>
    <row r="7" spans="1:12" x14ac:dyDescent="0.3">
      <c r="A7" s="51">
        <v>46069</v>
      </c>
      <c r="B7" s="51">
        <v>46170</v>
      </c>
      <c r="C7" s="52" t="s">
        <v>138</v>
      </c>
      <c r="D7" s="52" t="s">
        <v>139</v>
      </c>
      <c r="E7" s="53" t="s">
        <v>140</v>
      </c>
      <c r="F7" s="53" t="s">
        <v>141</v>
      </c>
      <c r="G7" s="54">
        <v>379993.35</v>
      </c>
      <c r="H7" s="52" t="s">
        <v>142</v>
      </c>
      <c r="I7" s="52" t="s">
        <v>18</v>
      </c>
      <c r="J7" s="52" t="s">
        <v>19</v>
      </c>
      <c r="K7" s="53" t="s">
        <v>143</v>
      </c>
      <c r="L7" s="51">
        <f t="shared" si="0"/>
        <v>46170</v>
      </c>
    </row>
    <row r="8" spans="1:12" ht="28.8" customHeight="1" x14ac:dyDescent="0.3">
      <c r="A8" s="51">
        <v>46112</v>
      </c>
      <c r="B8" s="51">
        <v>46170</v>
      </c>
      <c r="C8" s="52" t="s">
        <v>13</v>
      </c>
      <c r="D8" s="52" t="s">
        <v>14</v>
      </c>
      <c r="E8" s="53" t="s">
        <v>15</v>
      </c>
      <c r="F8" s="53" t="s">
        <v>16</v>
      </c>
      <c r="G8" s="54">
        <v>103711</v>
      </c>
      <c r="H8" s="52" t="s">
        <v>106</v>
      </c>
      <c r="I8" s="52" t="s">
        <v>18</v>
      </c>
      <c r="J8" s="52" t="s">
        <v>19</v>
      </c>
      <c r="K8" s="53" t="s">
        <v>20</v>
      </c>
      <c r="L8" s="51">
        <f t="shared" si="0"/>
        <v>46170</v>
      </c>
    </row>
    <row r="9" spans="1:12" ht="28.8" customHeight="1" x14ac:dyDescent="0.3">
      <c r="A9" s="51">
        <v>46112</v>
      </c>
      <c r="B9" s="51">
        <v>46170</v>
      </c>
      <c r="C9" s="52" t="s">
        <v>120</v>
      </c>
      <c r="D9" s="52" t="s">
        <v>121</v>
      </c>
      <c r="E9" s="53" t="s">
        <v>122</v>
      </c>
      <c r="F9" s="53" t="s">
        <v>16</v>
      </c>
      <c r="G9" s="54">
        <v>83433</v>
      </c>
      <c r="H9" s="52" t="s">
        <v>106</v>
      </c>
      <c r="I9" s="52" t="s">
        <v>18</v>
      </c>
      <c r="J9" s="52" t="s">
        <v>19</v>
      </c>
      <c r="K9" s="53" t="s">
        <v>123</v>
      </c>
      <c r="L9" s="51">
        <f t="shared" si="0"/>
        <v>46170</v>
      </c>
    </row>
    <row r="10" spans="1:12" ht="28.8" customHeight="1" x14ac:dyDescent="0.3">
      <c r="A10" s="60">
        <v>46111</v>
      </c>
      <c r="B10" s="60">
        <v>46171</v>
      </c>
      <c r="C10" s="61" t="s">
        <v>38</v>
      </c>
      <c r="D10" s="61" t="s">
        <v>39</v>
      </c>
      <c r="E10" s="62" t="s">
        <v>40</v>
      </c>
      <c r="F10" s="62" t="s">
        <v>41</v>
      </c>
      <c r="G10" s="63">
        <v>9014.2099999999991</v>
      </c>
      <c r="H10" s="61" t="s">
        <v>106</v>
      </c>
      <c r="I10" s="61" t="s">
        <v>42</v>
      </c>
      <c r="J10" s="61"/>
      <c r="K10" s="62" t="s">
        <v>43</v>
      </c>
      <c r="L10" s="60">
        <f t="shared" si="0"/>
        <v>46171</v>
      </c>
    </row>
    <row r="11" spans="1:12" x14ac:dyDescent="0.3">
      <c r="A11" s="60">
        <v>46111</v>
      </c>
      <c r="B11" s="60">
        <v>46171</v>
      </c>
      <c r="C11" s="61" t="s">
        <v>44</v>
      </c>
      <c r="D11" s="61" t="s">
        <v>45</v>
      </c>
      <c r="E11" s="62" t="s">
        <v>46</v>
      </c>
      <c r="F11" s="62" t="s">
        <v>47</v>
      </c>
      <c r="G11" s="63">
        <v>169353.60000000001</v>
      </c>
      <c r="H11" s="61" t="s">
        <v>113</v>
      </c>
      <c r="I11" s="61" t="s">
        <v>42</v>
      </c>
      <c r="J11" s="61" t="s">
        <v>19</v>
      </c>
      <c r="K11" s="62" t="s">
        <v>49</v>
      </c>
      <c r="L11" s="60">
        <f t="shared" si="0"/>
        <v>46171</v>
      </c>
    </row>
    <row r="12" spans="1:12" ht="28.8" customHeight="1" x14ac:dyDescent="0.3">
      <c r="A12" s="43">
        <v>46057</v>
      </c>
      <c r="B12" s="43">
        <v>46171</v>
      </c>
      <c r="C12" s="44" t="s">
        <v>27</v>
      </c>
      <c r="D12" s="44" t="s">
        <v>157</v>
      </c>
      <c r="E12" s="45" t="s">
        <v>158</v>
      </c>
      <c r="F12" s="45" t="s">
        <v>159</v>
      </c>
      <c r="G12" s="46">
        <v>427841.4</v>
      </c>
      <c r="H12" s="44" t="s">
        <v>113</v>
      </c>
      <c r="I12" s="44" t="s">
        <v>27</v>
      </c>
      <c r="J12" s="44"/>
      <c r="K12" s="45" t="s">
        <v>160</v>
      </c>
      <c r="L12" s="43">
        <f t="shared" si="0"/>
        <v>46171</v>
      </c>
    </row>
    <row r="13" spans="1:12" ht="158.4" customHeight="1" x14ac:dyDescent="0.3">
      <c r="A13" s="43">
        <v>46128</v>
      </c>
      <c r="B13" s="43">
        <v>46171</v>
      </c>
      <c r="C13" s="44" t="s">
        <v>27</v>
      </c>
      <c r="D13" s="44" t="s">
        <v>50</v>
      </c>
      <c r="E13" s="45" t="s">
        <v>51</v>
      </c>
      <c r="F13" s="45" t="s">
        <v>52</v>
      </c>
      <c r="G13" s="46">
        <v>82900.05</v>
      </c>
      <c r="H13" s="44" t="s">
        <v>113</v>
      </c>
      <c r="I13" s="44" t="s">
        <v>27</v>
      </c>
      <c r="J13" s="44"/>
      <c r="K13" s="45" t="s">
        <v>53</v>
      </c>
      <c r="L13" s="43">
        <f t="shared" si="0"/>
        <v>46171</v>
      </c>
    </row>
    <row r="14" spans="1:12" x14ac:dyDescent="0.3">
      <c r="A14" s="43">
        <v>46142</v>
      </c>
      <c r="B14" s="43">
        <v>46171</v>
      </c>
      <c r="C14" s="44" t="s">
        <v>27</v>
      </c>
      <c r="D14" s="44" t="s">
        <v>28</v>
      </c>
      <c r="E14" s="45" t="s">
        <v>29</v>
      </c>
      <c r="F14" s="45" t="s">
        <v>30</v>
      </c>
      <c r="G14" s="46">
        <v>554227.55000000005</v>
      </c>
      <c r="H14" s="44" t="s">
        <v>127</v>
      </c>
      <c r="I14" s="44" t="s">
        <v>27</v>
      </c>
      <c r="J14" s="44"/>
      <c r="K14" s="45" t="s">
        <v>32</v>
      </c>
      <c r="L14" s="43">
        <f t="shared" si="0"/>
        <v>46171</v>
      </c>
    </row>
    <row r="15" spans="1:12" x14ac:dyDescent="0.3">
      <c r="A15" s="43">
        <v>46142</v>
      </c>
      <c r="B15" s="43">
        <v>46171</v>
      </c>
      <c r="C15" s="44" t="s">
        <v>27</v>
      </c>
      <c r="D15" s="44" t="s">
        <v>161</v>
      </c>
      <c r="E15" s="45" t="s">
        <v>65</v>
      </c>
      <c r="F15" s="45" t="s">
        <v>162</v>
      </c>
      <c r="G15" s="46">
        <v>13711.09</v>
      </c>
      <c r="H15" s="44" t="s">
        <v>106</v>
      </c>
      <c r="I15" s="44" t="s">
        <v>27</v>
      </c>
      <c r="J15" s="44"/>
      <c r="K15" s="45" t="s">
        <v>163</v>
      </c>
      <c r="L15" s="43">
        <f t="shared" si="0"/>
        <v>46171</v>
      </c>
    </row>
    <row r="16" spans="1:12" ht="28.8" customHeight="1" x14ac:dyDescent="0.3">
      <c r="A16" s="43">
        <v>46142</v>
      </c>
      <c r="B16" s="43">
        <v>46171</v>
      </c>
      <c r="C16" s="44" t="s">
        <v>27</v>
      </c>
      <c r="D16" s="44" t="s">
        <v>54</v>
      </c>
      <c r="E16" s="45" t="s">
        <v>55</v>
      </c>
      <c r="F16" s="45" t="s">
        <v>56</v>
      </c>
      <c r="G16" s="46">
        <v>426010.6</v>
      </c>
      <c r="H16" s="44" t="s">
        <v>127</v>
      </c>
      <c r="I16" s="44" t="s">
        <v>27</v>
      </c>
      <c r="J16" s="44"/>
      <c r="K16" s="45" t="s">
        <v>57</v>
      </c>
      <c r="L16" s="43">
        <f t="shared" si="0"/>
        <v>46171</v>
      </c>
    </row>
    <row r="17" spans="1:12" ht="86.4" customHeight="1" x14ac:dyDescent="0.3">
      <c r="A17" s="43">
        <v>46142</v>
      </c>
      <c r="B17" s="43">
        <v>46171</v>
      </c>
      <c r="C17" s="44" t="s">
        <v>58</v>
      </c>
      <c r="D17" s="44" t="s">
        <v>59</v>
      </c>
      <c r="E17" s="45" t="s">
        <v>60</v>
      </c>
      <c r="F17" s="45" t="s">
        <v>61</v>
      </c>
      <c r="G17" s="46">
        <v>310411</v>
      </c>
      <c r="H17" s="44" t="s">
        <v>177</v>
      </c>
      <c r="I17" s="44" t="s">
        <v>27</v>
      </c>
      <c r="J17" s="44"/>
      <c r="K17" s="45" t="s">
        <v>63</v>
      </c>
      <c r="L17" s="43">
        <f t="shared" si="0"/>
        <v>46171</v>
      </c>
    </row>
    <row r="18" spans="1:12" ht="28.8" customHeight="1" x14ac:dyDescent="0.3">
      <c r="A18" s="43">
        <v>46142</v>
      </c>
      <c r="B18" s="43">
        <v>46171</v>
      </c>
      <c r="C18" s="44" t="s">
        <v>27</v>
      </c>
      <c r="D18" s="44" t="s">
        <v>64</v>
      </c>
      <c r="E18" s="45" t="s">
        <v>65</v>
      </c>
      <c r="F18" s="45" t="s">
        <v>66</v>
      </c>
      <c r="G18" s="46">
        <v>204447</v>
      </c>
      <c r="H18" s="44" t="s">
        <v>127</v>
      </c>
      <c r="I18" s="44" t="s">
        <v>27</v>
      </c>
      <c r="J18" s="44"/>
      <c r="K18" s="45" t="s">
        <v>67</v>
      </c>
      <c r="L18" s="43">
        <f t="shared" si="0"/>
        <v>46171</v>
      </c>
    </row>
    <row r="19" spans="1:12" x14ac:dyDescent="0.3">
      <c r="F19" s="55" t="s">
        <v>94</v>
      </c>
      <c r="G19" s="56">
        <f>SUM(G3:G18)</f>
        <v>2912174.5</v>
      </c>
    </row>
    <row r="21" spans="1:12" x14ac:dyDescent="0.3">
      <c r="F21" s="57" t="s">
        <v>95</v>
      </c>
    </row>
    <row r="22" spans="1:12" x14ac:dyDescent="0.3">
      <c r="F22" t="s">
        <v>96</v>
      </c>
      <c r="G22" s="18">
        <f ca="1">SUMIFS(G3:G18, J3:J18, "*CASH SALE*", L3:L18, "&gt;="&amp;EOMONTH(TODAY(),-1)+1, L3:L18, "&lt;="&amp;EOMONTH(TODAY(),0))</f>
        <v>138311.65000000002</v>
      </c>
      <c r="I22" t="s">
        <v>97</v>
      </c>
      <c r="J22" s="18">
        <f ca="1">SUMIFS(G3:G18, J3:J18, "*CASH SALE*", L3:L18, "&gt;="&amp;EOMONTH(TODAY(),0)+1, L3:L18, "&lt;="&amp;EOMONTH(TODAY(),1))</f>
        <v>0</v>
      </c>
    </row>
    <row r="23" spans="1:12" x14ac:dyDescent="0.3">
      <c r="F23" t="s">
        <v>98</v>
      </c>
      <c r="G23" s="18">
        <f ca="1">SUMIFS(G3:G18, J3:J18, "*ACCOUNT*", L3:L18, "&gt;="&amp;EOMONTH(TODAY(),-1)+1, L3:L18, "&lt;="&amp;EOMONTH(TODAY(),0))</f>
        <v>745299.95</v>
      </c>
      <c r="I23" t="s">
        <v>99</v>
      </c>
      <c r="J23" s="18">
        <f ca="1">SUMIFS(G3:G18, J3:J18, "*ACCOUNT*", L3:L18, "&gt;="&amp;EOMONTH(TODAY(),0)+1, L3:L18, "&lt;="&amp;EOMONTH(TODAY(),1))</f>
        <v>0</v>
      </c>
    </row>
    <row r="25" spans="1:12" ht="28.8" customHeight="1" x14ac:dyDescent="0.3">
      <c r="A25" s="42" t="s">
        <v>1</v>
      </c>
      <c r="B25" s="42" t="s">
        <v>2</v>
      </c>
      <c r="C25" s="42" t="s">
        <v>3</v>
      </c>
      <c r="D25" s="42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42" t="s">
        <v>9</v>
      </c>
      <c r="J25" s="42" t="s">
        <v>10</v>
      </c>
      <c r="K25" s="42" t="s">
        <v>100</v>
      </c>
    </row>
    <row r="26" spans="1:12" ht="28.8" customHeight="1" x14ac:dyDescent="0.3">
      <c r="A26" s="58">
        <v>46150</v>
      </c>
      <c r="B26" s="58">
        <v>46153.314474907413</v>
      </c>
      <c r="C26" s="59" t="s">
        <v>180</v>
      </c>
      <c r="D26" s="59" t="s">
        <v>181</v>
      </c>
      <c r="E26" s="59" t="s">
        <v>180</v>
      </c>
      <c r="F26" s="59" t="s">
        <v>182</v>
      </c>
      <c r="G26" s="54">
        <v>8809</v>
      </c>
      <c r="H26" s="59" t="s">
        <v>127</v>
      </c>
      <c r="I26" s="59" t="s">
        <v>18</v>
      </c>
      <c r="J26" s="59" t="s">
        <v>19</v>
      </c>
      <c r="K26" s="53" t="s">
        <v>185</v>
      </c>
    </row>
    <row r="27" spans="1:12" x14ac:dyDescent="0.3">
      <c r="F27" s="55" t="s">
        <v>101</v>
      </c>
      <c r="G27" s="56">
        <f>SUM(G26:G26)</f>
        <v>8809</v>
      </c>
    </row>
    <row r="29" spans="1:12" x14ac:dyDescent="0.3">
      <c r="F29" s="55" t="s">
        <v>102</v>
      </c>
      <c r="G29" s="56">
        <f>SUMIFS(G3:G18, I3:I18, "*Ready*Dispatch*")</f>
        <v>8809</v>
      </c>
    </row>
  </sheetData>
  <mergeCells count="1">
    <mergeCell ref="K1:L1"/>
  </mergeCells>
  <pageMargins left="0.25" right="0.25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40"/>
  <sheetViews>
    <sheetView workbookViewId="0">
      <pane xSplit="4" ySplit="2" topLeftCell="E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s="64" t="s">
        <v>0</v>
      </c>
      <c r="K1" s="65">
        <f ca="1">TODAY()</f>
        <v>46171</v>
      </c>
    </row>
    <row r="2" spans="1:12" ht="43.2" customHeight="1" x14ac:dyDescent="0.3">
      <c r="A2" s="66" t="s">
        <v>1</v>
      </c>
      <c r="B2" s="66" t="s">
        <v>2</v>
      </c>
      <c r="C2" s="66" t="s">
        <v>3</v>
      </c>
      <c r="D2" s="66" t="s">
        <v>4</v>
      </c>
      <c r="E2" s="66" t="s">
        <v>5</v>
      </c>
      <c r="F2" s="66" t="s">
        <v>6</v>
      </c>
      <c r="G2" s="66" t="s">
        <v>7</v>
      </c>
      <c r="H2" s="66" t="s">
        <v>8</v>
      </c>
      <c r="I2" s="66" t="s">
        <v>9</v>
      </c>
      <c r="J2" s="66" t="s">
        <v>10</v>
      </c>
      <c r="K2" s="66" t="s">
        <v>11</v>
      </c>
      <c r="L2" s="66" t="s">
        <v>12</v>
      </c>
    </row>
    <row r="3" spans="1:12" x14ac:dyDescent="0.3">
      <c r="A3" s="67">
        <v>46142</v>
      </c>
      <c r="B3" s="67">
        <v>46154.348854999997</v>
      </c>
      <c r="C3" s="68" t="s">
        <v>27</v>
      </c>
      <c r="D3" s="68" t="s">
        <v>28</v>
      </c>
      <c r="E3" s="69" t="s">
        <v>29</v>
      </c>
      <c r="F3" s="69" t="s">
        <v>30</v>
      </c>
      <c r="G3" s="70">
        <v>554227.55000000005</v>
      </c>
      <c r="H3" s="68" t="s">
        <v>127</v>
      </c>
      <c r="I3" s="68" t="s">
        <v>27</v>
      </c>
      <c r="J3" s="68">
        <f>IFERROR(VLOOKUP(D3, '11.05.2026'!D:J, 7, FALSE), "")</f>
        <v>0</v>
      </c>
      <c r="K3" s="69" t="s">
        <v>32</v>
      </c>
      <c r="L3" s="67">
        <f t="shared" ref="L3:L21" si="0">B3</f>
        <v>46154.348854999997</v>
      </c>
    </row>
    <row r="4" spans="1:12" ht="28.8" customHeight="1" x14ac:dyDescent="0.3">
      <c r="A4" s="73">
        <v>46142</v>
      </c>
      <c r="B4" s="73">
        <v>46154.348854999997</v>
      </c>
      <c r="C4" s="71" t="s">
        <v>167</v>
      </c>
      <c r="D4" s="71" t="s">
        <v>168</v>
      </c>
      <c r="E4" s="72" t="s">
        <v>169</v>
      </c>
      <c r="F4" s="72" t="s">
        <v>170</v>
      </c>
      <c r="G4" s="74">
        <v>19154.400000000001</v>
      </c>
      <c r="H4" s="71" t="s">
        <v>106</v>
      </c>
      <c r="I4" s="71" t="s">
        <v>18</v>
      </c>
      <c r="J4" s="71" t="s">
        <v>25</v>
      </c>
      <c r="K4" s="72" t="s">
        <v>171</v>
      </c>
      <c r="L4" s="73">
        <f t="shared" si="0"/>
        <v>46154.348854999997</v>
      </c>
    </row>
    <row r="5" spans="1:12" x14ac:dyDescent="0.3">
      <c r="A5" s="73">
        <v>46153</v>
      </c>
      <c r="B5" s="73">
        <v>46154.348854999997</v>
      </c>
      <c r="C5" s="71" t="s">
        <v>186</v>
      </c>
      <c r="D5" s="71" t="s">
        <v>187</v>
      </c>
      <c r="E5" s="72" t="s">
        <v>188</v>
      </c>
      <c r="F5" s="72" t="s">
        <v>93</v>
      </c>
      <c r="G5" s="74">
        <v>0</v>
      </c>
      <c r="H5" s="71" t="s">
        <v>113</v>
      </c>
      <c r="I5" s="71" t="s">
        <v>18</v>
      </c>
      <c r="J5" s="71" t="s">
        <v>19</v>
      </c>
      <c r="K5" s="72" t="s">
        <v>189</v>
      </c>
      <c r="L5" s="73">
        <f t="shared" si="0"/>
        <v>46154.348854999997</v>
      </c>
    </row>
    <row r="6" spans="1:12" x14ac:dyDescent="0.3">
      <c r="A6" s="73">
        <v>46153</v>
      </c>
      <c r="B6" s="73">
        <v>46154.348854999997</v>
      </c>
      <c r="C6" s="71" t="s">
        <v>190</v>
      </c>
      <c r="D6" s="71" t="s">
        <v>191</v>
      </c>
      <c r="E6" s="72" t="s">
        <v>190</v>
      </c>
      <c r="F6" s="72" t="s">
        <v>192</v>
      </c>
      <c r="G6" s="74">
        <v>16067.8</v>
      </c>
      <c r="H6" s="71" t="s">
        <v>113</v>
      </c>
      <c r="I6" s="71" t="s">
        <v>18</v>
      </c>
      <c r="J6" s="71" t="s">
        <v>25</v>
      </c>
      <c r="K6" s="72" t="s">
        <v>193</v>
      </c>
      <c r="L6" s="73">
        <f t="shared" si="0"/>
        <v>46154.348854999997</v>
      </c>
    </row>
    <row r="7" spans="1:12" x14ac:dyDescent="0.3">
      <c r="A7" s="75">
        <v>46149</v>
      </c>
      <c r="B7" s="75">
        <v>46163</v>
      </c>
      <c r="C7" s="76" t="s">
        <v>21</v>
      </c>
      <c r="D7" s="76" t="s">
        <v>22</v>
      </c>
      <c r="E7" s="77" t="s">
        <v>23</v>
      </c>
      <c r="F7" s="77" t="s">
        <v>24</v>
      </c>
      <c r="G7" s="78">
        <v>24910.15</v>
      </c>
      <c r="H7" s="76" t="s">
        <v>106</v>
      </c>
      <c r="I7" s="76" t="s">
        <v>18</v>
      </c>
      <c r="J7" s="76" t="s">
        <v>25</v>
      </c>
      <c r="K7" s="77" t="s">
        <v>179</v>
      </c>
      <c r="L7" s="75">
        <f t="shared" si="0"/>
        <v>46163</v>
      </c>
    </row>
    <row r="8" spans="1:12" x14ac:dyDescent="0.3">
      <c r="A8" s="75">
        <v>46077</v>
      </c>
      <c r="B8" s="75">
        <v>46169</v>
      </c>
      <c r="C8" s="76" t="s">
        <v>144</v>
      </c>
      <c r="D8" s="76" t="s">
        <v>145</v>
      </c>
      <c r="E8" s="77" t="s">
        <v>146</v>
      </c>
      <c r="F8" s="77" t="s">
        <v>147</v>
      </c>
      <c r="G8" s="78">
        <v>94247.1</v>
      </c>
      <c r="H8" s="76" t="s">
        <v>113</v>
      </c>
      <c r="I8" s="76" t="s">
        <v>18</v>
      </c>
      <c r="J8" s="76" t="s">
        <v>114</v>
      </c>
      <c r="K8" s="77" t="s">
        <v>148</v>
      </c>
      <c r="L8" s="75">
        <f t="shared" si="0"/>
        <v>46169</v>
      </c>
    </row>
    <row r="9" spans="1:12" x14ac:dyDescent="0.3">
      <c r="A9" s="75">
        <v>46069</v>
      </c>
      <c r="B9" s="75">
        <v>46170</v>
      </c>
      <c r="C9" s="76" t="s">
        <v>138</v>
      </c>
      <c r="D9" s="76" t="s">
        <v>139</v>
      </c>
      <c r="E9" s="77" t="s">
        <v>140</v>
      </c>
      <c r="F9" s="77" t="s">
        <v>141</v>
      </c>
      <c r="G9" s="78">
        <v>379993.35</v>
      </c>
      <c r="H9" s="76" t="s">
        <v>142</v>
      </c>
      <c r="I9" s="76" t="s">
        <v>18</v>
      </c>
      <c r="J9" s="76" t="s">
        <v>19</v>
      </c>
      <c r="K9" s="77" t="s">
        <v>143</v>
      </c>
      <c r="L9" s="75">
        <f t="shared" si="0"/>
        <v>46170</v>
      </c>
    </row>
    <row r="10" spans="1:12" ht="28.8" customHeight="1" x14ac:dyDescent="0.3">
      <c r="A10" s="75">
        <v>46112</v>
      </c>
      <c r="B10" s="75">
        <v>46170</v>
      </c>
      <c r="C10" s="76" t="s">
        <v>13</v>
      </c>
      <c r="D10" s="76" t="s">
        <v>14</v>
      </c>
      <c r="E10" s="77" t="s">
        <v>15</v>
      </c>
      <c r="F10" s="77" t="s">
        <v>16</v>
      </c>
      <c r="G10" s="78">
        <v>103711</v>
      </c>
      <c r="H10" s="76" t="s">
        <v>106</v>
      </c>
      <c r="I10" s="76" t="s">
        <v>18</v>
      </c>
      <c r="J10" s="76" t="s">
        <v>19</v>
      </c>
      <c r="K10" s="77" t="s">
        <v>20</v>
      </c>
      <c r="L10" s="75">
        <f t="shared" si="0"/>
        <v>46170</v>
      </c>
    </row>
    <row r="11" spans="1:12" ht="28.8" customHeight="1" x14ac:dyDescent="0.3">
      <c r="A11" s="75">
        <v>46112</v>
      </c>
      <c r="B11" s="75">
        <v>46170</v>
      </c>
      <c r="C11" s="76" t="s">
        <v>120</v>
      </c>
      <c r="D11" s="76" t="s">
        <v>121</v>
      </c>
      <c r="E11" s="77" t="s">
        <v>122</v>
      </c>
      <c r="F11" s="77" t="s">
        <v>16</v>
      </c>
      <c r="G11" s="78">
        <v>83433</v>
      </c>
      <c r="H11" s="76" t="s">
        <v>106</v>
      </c>
      <c r="I11" s="76" t="s">
        <v>18</v>
      </c>
      <c r="J11" s="76" t="s">
        <v>19</v>
      </c>
      <c r="K11" s="77" t="s">
        <v>123</v>
      </c>
      <c r="L11" s="75">
        <f t="shared" si="0"/>
        <v>46170</v>
      </c>
    </row>
    <row r="12" spans="1:12" ht="28.8" customHeight="1" x14ac:dyDescent="0.3">
      <c r="A12" s="67">
        <v>46057</v>
      </c>
      <c r="B12" s="67">
        <v>46171</v>
      </c>
      <c r="C12" s="68" t="s">
        <v>27</v>
      </c>
      <c r="D12" s="68" t="s">
        <v>157</v>
      </c>
      <c r="E12" s="69" t="s">
        <v>158</v>
      </c>
      <c r="F12" s="69" t="s">
        <v>159</v>
      </c>
      <c r="G12" s="70">
        <v>427841.4</v>
      </c>
      <c r="H12" s="68" t="s">
        <v>113</v>
      </c>
      <c r="I12" s="68" t="s">
        <v>27</v>
      </c>
      <c r="J12" s="68">
        <f>IFERROR(VLOOKUP(D12, '11.05.2026'!D:J, 7, FALSE), "")</f>
        <v>0</v>
      </c>
      <c r="K12" s="69" t="s">
        <v>160</v>
      </c>
      <c r="L12" s="67">
        <f t="shared" si="0"/>
        <v>46171</v>
      </c>
    </row>
    <row r="13" spans="1:12" ht="28.8" customHeight="1" x14ac:dyDescent="0.3">
      <c r="A13" s="75">
        <v>46111</v>
      </c>
      <c r="B13" s="75">
        <v>46171</v>
      </c>
      <c r="C13" s="76" t="s">
        <v>38</v>
      </c>
      <c r="D13" s="76" t="s">
        <v>39</v>
      </c>
      <c r="E13" s="77" t="s">
        <v>40</v>
      </c>
      <c r="F13" s="77" t="s">
        <v>41</v>
      </c>
      <c r="G13" s="78">
        <v>9014.2099999999991</v>
      </c>
      <c r="H13" s="76" t="s">
        <v>106</v>
      </c>
      <c r="I13" s="76" t="s">
        <v>42</v>
      </c>
      <c r="J13" s="76">
        <f>IFERROR(VLOOKUP(D13, '11.05.2026'!D:J, 7, FALSE), "")</f>
        <v>0</v>
      </c>
      <c r="K13" s="77" t="s">
        <v>43</v>
      </c>
      <c r="L13" s="75">
        <f t="shared" si="0"/>
        <v>46171</v>
      </c>
    </row>
    <row r="14" spans="1:12" x14ac:dyDescent="0.3">
      <c r="A14" s="75">
        <v>46111</v>
      </c>
      <c r="B14" s="75">
        <v>46171</v>
      </c>
      <c r="C14" s="76" t="s">
        <v>44</v>
      </c>
      <c r="D14" s="76" t="s">
        <v>45</v>
      </c>
      <c r="E14" s="77" t="s">
        <v>46</v>
      </c>
      <c r="F14" s="77" t="s">
        <v>47</v>
      </c>
      <c r="G14" s="78">
        <v>169353.60000000001</v>
      </c>
      <c r="H14" s="76" t="s">
        <v>113</v>
      </c>
      <c r="I14" s="76" t="s">
        <v>42</v>
      </c>
      <c r="J14" s="76" t="str">
        <f>IFERROR(VLOOKUP(D14, '11.05.2026'!D:J, 7, FALSE), "")</f>
        <v>ACCOUNT - UP TO DATE</v>
      </c>
      <c r="K14" s="77" t="s">
        <v>49</v>
      </c>
      <c r="L14" s="75">
        <f t="shared" si="0"/>
        <v>46171</v>
      </c>
    </row>
    <row r="15" spans="1:12" ht="158.4" customHeight="1" x14ac:dyDescent="0.3">
      <c r="A15" s="67">
        <v>46128</v>
      </c>
      <c r="B15" s="67">
        <v>46171</v>
      </c>
      <c r="C15" s="68" t="s">
        <v>27</v>
      </c>
      <c r="D15" s="68" t="s">
        <v>50</v>
      </c>
      <c r="E15" s="69" t="s">
        <v>51</v>
      </c>
      <c r="F15" s="69" t="s">
        <v>52</v>
      </c>
      <c r="G15" s="70">
        <v>82900.05</v>
      </c>
      <c r="H15" s="68" t="s">
        <v>113</v>
      </c>
      <c r="I15" s="68" t="s">
        <v>27</v>
      </c>
      <c r="J15" s="68">
        <f>IFERROR(VLOOKUP(D15, '11.05.2026'!D:J, 7, FALSE), "")</f>
        <v>0</v>
      </c>
      <c r="K15" s="69" t="s">
        <v>53</v>
      </c>
      <c r="L15" s="67">
        <f t="shared" si="0"/>
        <v>46171</v>
      </c>
    </row>
    <row r="16" spans="1:12" x14ac:dyDescent="0.3">
      <c r="A16" s="67">
        <v>46142</v>
      </c>
      <c r="B16" s="67">
        <v>46171</v>
      </c>
      <c r="C16" s="68" t="s">
        <v>27</v>
      </c>
      <c r="D16" s="68" t="s">
        <v>161</v>
      </c>
      <c r="E16" s="69" t="s">
        <v>65</v>
      </c>
      <c r="F16" s="69" t="s">
        <v>162</v>
      </c>
      <c r="G16" s="70">
        <v>13711.09</v>
      </c>
      <c r="H16" s="68" t="s">
        <v>106</v>
      </c>
      <c r="I16" s="68" t="s">
        <v>27</v>
      </c>
      <c r="J16" s="68">
        <f>IFERROR(VLOOKUP(D16, '11.05.2026'!D:J, 7, FALSE), "")</f>
        <v>0</v>
      </c>
      <c r="K16" s="69" t="s">
        <v>163</v>
      </c>
      <c r="L16" s="67">
        <f t="shared" si="0"/>
        <v>46171</v>
      </c>
    </row>
    <row r="17" spans="1:12" ht="28.8" customHeight="1" x14ac:dyDescent="0.3">
      <c r="A17" s="67">
        <v>46142</v>
      </c>
      <c r="B17" s="67">
        <v>46171</v>
      </c>
      <c r="C17" s="68" t="s">
        <v>27</v>
      </c>
      <c r="D17" s="68" t="s">
        <v>54</v>
      </c>
      <c r="E17" s="69" t="s">
        <v>55</v>
      </c>
      <c r="F17" s="69" t="s">
        <v>56</v>
      </c>
      <c r="G17" s="70">
        <v>426010.6</v>
      </c>
      <c r="H17" s="68" t="s">
        <v>127</v>
      </c>
      <c r="I17" s="68" t="s">
        <v>27</v>
      </c>
      <c r="J17" s="68">
        <f>IFERROR(VLOOKUP(D17, '11.05.2026'!D:J, 7, FALSE), "")</f>
        <v>0</v>
      </c>
      <c r="K17" s="69" t="s">
        <v>57</v>
      </c>
      <c r="L17" s="67">
        <f t="shared" si="0"/>
        <v>46171</v>
      </c>
    </row>
    <row r="18" spans="1:12" ht="86.4" customHeight="1" x14ac:dyDescent="0.3">
      <c r="A18" s="67">
        <v>46142</v>
      </c>
      <c r="B18" s="67">
        <v>46171</v>
      </c>
      <c r="C18" s="68" t="s">
        <v>58</v>
      </c>
      <c r="D18" s="68" t="s">
        <v>59</v>
      </c>
      <c r="E18" s="69" t="s">
        <v>60</v>
      </c>
      <c r="F18" s="69" t="s">
        <v>61</v>
      </c>
      <c r="G18" s="70">
        <v>310411</v>
      </c>
      <c r="H18" s="68" t="s">
        <v>177</v>
      </c>
      <c r="I18" s="68" t="s">
        <v>27</v>
      </c>
      <c r="J18" s="68">
        <f>IFERROR(VLOOKUP(D18, '11.05.2026'!D:J, 7, FALSE), "")</f>
        <v>0</v>
      </c>
      <c r="K18" s="69" t="s">
        <v>63</v>
      </c>
      <c r="L18" s="67">
        <f t="shared" si="0"/>
        <v>46171</v>
      </c>
    </row>
    <row r="19" spans="1:12" ht="28.8" customHeight="1" x14ac:dyDescent="0.3">
      <c r="A19" s="67">
        <v>46142</v>
      </c>
      <c r="B19" s="67">
        <v>46171</v>
      </c>
      <c r="C19" s="68" t="s">
        <v>27</v>
      </c>
      <c r="D19" s="68" t="s">
        <v>64</v>
      </c>
      <c r="E19" s="69" t="s">
        <v>65</v>
      </c>
      <c r="F19" s="69" t="s">
        <v>66</v>
      </c>
      <c r="G19" s="70">
        <v>204447</v>
      </c>
      <c r="H19" s="68" t="s">
        <v>127</v>
      </c>
      <c r="I19" s="68" t="s">
        <v>27</v>
      </c>
      <c r="J19" s="68">
        <f>IFERROR(VLOOKUP(D19, '11.05.2026'!D:J, 7, FALSE), "")</f>
        <v>0</v>
      </c>
      <c r="K19" s="69" t="s">
        <v>67</v>
      </c>
      <c r="L19" s="67">
        <f t="shared" si="0"/>
        <v>46171</v>
      </c>
    </row>
    <row r="20" spans="1:12" x14ac:dyDescent="0.3">
      <c r="A20" s="67">
        <v>46154</v>
      </c>
      <c r="B20" s="67">
        <v>46173</v>
      </c>
      <c r="C20" s="68" t="s">
        <v>194</v>
      </c>
      <c r="D20" s="68" t="s">
        <v>195</v>
      </c>
      <c r="E20" s="69" t="s">
        <v>194</v>
      </c>
      <c r="F20" s="69" t="s">
        <v>196</v>
      </c>
      <c r="G20" s="70">
        <v>12224.5</v>
      </c>
      <c r="H20" s="68" t="s">
        <v>127</v>
      </c>
      <c r="I20" s="68" t="s">
        <v>27</v>
      </c>
      <c r="J20" s="68" t="str">
        <f>IFERROR(VLOOKUP(D20, '11.05.2026'!D:J, 7, FALSE), "")</f>
        <v/>
      </c>
      <c r="K20" s="69" t="s">
        <v>197</v>
      </c>
      <c r="L20" s="67">
        <f t="shared" si="0"/>
        <v>46173</v>
      </c>
    </row>
    <row r="21" spans="1:12" x14ac:dyDescent="0.3">
      <c r="A21" s="67">
        <v>46154</v>
      </c>
      <c r="B21" s="67">
        <v>46173</v>
      </c>
      <c r="C21" s="68" t="s">
        <v>198</v>
      </c>
      <c r="D21" s="68" t="s">
        <v>199</v>
      </c>
      <c r="E21" s="69" t="s">
        <v>198</v>
      </c>
      <c r="F21" s="69" t="s">
        <v>200</v>
      </c>
      <c r="G21" s="70">
        <v>4322.8500000000004</v>
      </c>
      <c r="H21" s="68" t="s">
        <v>127</v>
      </c>
      <c r="I21" s="68" t="s">
        <v>27</v>
      </c>
      <c r="J21" s="68" t="str">
        <f>IFERROR(VLOOKUP(D21, '11.05.2026'!D:J, 7, FALSE), "")</f>
        <v/>
      </c>
      <c r="K21" s="69" t="s">
        <v>201</v>
      </c>
      <c r="L21" s="67">
        <f t="shared" si="0"/>
        <v>46173</v>
      </c>
    </row>
    <row r="22" spans="1:12" x14ac:dyDescent="0.3">
      <c r="F22" s="79" t="s">
        <v>94</v>
      </c>
      <c r="G22" s="80">
        <f>SUM(G3:G21)</f>
        <v>2935980.6500000004</v>
      </c>
    </row>
    <row r="24" spans="1:12" x14ac:dyDescent="0.3">
      <c r="F24" s="81" t="s">
        <v>95</v>
      </c>
    </row>
    <row r="25" spans="1:12" x14ac:dyDescent="0.3">
      <c r="F25" t="s">
        <v>96</v>
      </c>
      <c r="G25" s="18">
        <f ca="1">SUMIFS(G3:G21, J3:J21, "*CASH SALE*", L3:L21, "&gt;="&amp;EOMONTH(TODAY(),-1)+1, L3:L21, "&lt;="&amp;EOMONTH(TODAY(),0))</f>
        <v>154379.45000000001</v>
      </c>
      <c r="I25" t="s">
        <v>97</v>
      </c>
      <c r="J25" s="18">
        <f ca="1">SUMIFS(G3:G21, J3:J21, "*CASH SALE*", L3:L21, "&gt;="&amp;EOMONTH(TODAY(),0)+1, L3:L21, "&lt;="&amp;EOMONTH(TODAY(),1))</f>
        <v>0</v>
      </c>
    </row>
    <row r="26" spans="1:12" x14ac:dyDescent="0.3">
      <c r="F26" t="s">
        <v>98</v>
      </c>
      <c r="G26" s="18">
        <f ca="1">SUMIFS(G3:G21, J3:J21, "*ACCOUNT*", L3:L21, "&gt;="&amp;EOMONTH(TODAY(),-1)+1, L3:L21, "&lt;="&amp;EOMONTH(TODAY(),0))</f>
        <v>736490.95</v>
      </c>
      <c r="I26" t="s">
        <v>99</v>
      </c>
      <c r="J26" s="18">
        <f ca="1">SUMIFS(G3:G21, J3:J21, "*ACCOUNT*", L3:L21, "&gt;="&amp;EOMONTH(TODAY(),0)+1, L3:L21, "&lt;="&amp;EOMONTH(TODAY(),1))</f>
        <v>0</v>
      </c>
    </row>
    <row r="29" spans="1:12" ht="28.8" customHeight="1" x14ac:dyDescent="0.3">
      <c r="A29" s="66" t="s">
        <v>1</v>
      </c>
      <c r="B29" s="66" t="s">
        <v>2</v>
      </c>
      <c r="C29" s="66" t="s">
        <v>3</v>
      </c>
      <c r="D29" s="66" t="s">
        <v>4</v>
      </c>
      <c r="E29" s="66" t="s">
        <v>5</v>
      </c>
      <c r="F29" s="66" t="s">
        <v>6</v>
      </c>
      <c r="G29" s="66" t="s">
        <v>7</v>
      </c>
      <c r="H29" s="66" t="s">
        <v>8</v>
      </c>
      <c r="I29" s="66" t="s">
        <v>9</v>
      </c>
      <c r="J29" s="66" t="s">
        <v>10</v>
      </c>
      <c r="K29" s="66" t="s">
        <v>100</v>
      </c>
    </row>
    <row r="30" spans="1:12" x14ac:dyDescent="0.3">
      <c r="A30" s="84">
        <v>46142</v>
      </c>
      <c r="B30" s="84">
        <v>46154.348854999997</v>
      </c>
      <c r="C30" s="85" t="s">
        <v>27</v>
      </c>
      <c r="D30" s="85" t="s">
        <v>28</v>
      </c>
      <c r="E30" s="85" t="s">
        <v>29</v>
      </c>
      <c r="F30" s="85" t="s">
        <v>30</v>
      </c>
      <c r="G30" s="70">
        <v>554227.55000000005</v>
      </c>
      <c r="H30" s="85" t="s">
        <v>127</v>
      </c>
      <c r="I30" s="85" t="s">
        <v>27</v>
      </c>
      <c r="J30" s="85"/>
      <c r="K30" s="69"/>
      <c r="L30" s="86"/>
    </row>
    <row r="31" spans="1:12" x14ac:dyDescent="0.3">
      <c r="A31" s="82">
        <v>46142</v>
      </c>
      <c r="B31" s="82">
        <v>46154.348854999997</v>
      </c>
      <c r="C31" s="83" t="s">
        <v>167</v>
      </c>
      <c r="D31" s="83" t="s">
        <v>168</v>
      </c>
      <c r="E31" s="83" t="s">
        <v>169</v>
      </c>
      <c r="F31" s="83" t="s">
        <v>170</v>
      </c>
      <c r="G31" s="78">
        <v>19154.400000000001</v>
      </c>
      <c r="H31" s="83" t="s">
        <v>106</v>
      </c>
      <c r="I31" s="83" t="s">
        <v>18</v>
      </c>
      <c r="J31" s="83" t="s">
        <v>25</v>
      </c>
      <c r="K31" s="77"/>
    </row>
    <row r="32" spans="1:12" x14ac:dyDescent="0.3">
      <c r="A32" s="82">
        <v>46153</v>
      </c>
      <c r="B32" s="82">
        <v>46154.348854999997</v>
      </c>
      <c r="C32" s="83" t="s">
        <v>186</v>
      </c>
      <c r="D32" s="83" t="s">
        <v>187</v>
      </c>
      <c r="E32" s="83" t="s">
        <v>188</v>
      </c>
      <c r="F32" s="83" t="s">
        <v>93</v>
      </c>
      <c r="G32" s="78">
        <v>0</v>
      </c>
      <c r="H32" s="83" t="s">
        <v>113</v>
      </c>
      <c r="I32" s="83" t="s">
        <v>18</v>
      </c>
      <c r="J32" s="83" t="s">
        <v>19</v>
      </c>
      <c r="K32" s="77"/>
    </row>
    <row r="33" spans="1:11" x14ac:dyDescent="0.3">
      <c r="A33" s="82">
        <v>46153</v>
      </c>
      <c r="B33" s="82">
        <v>46154.348854999997</v>
      </c>
      <c r="C33" s="83" t="s">
        <v>190</v>
      </c>
      <c r="D33" s="83" t="s">
        <v>191</v>
      </c>
      <c r="E33" s="83" t="s">
        <v>190</v>
      </c>
      <c r="F33" s="83" t="s">
        <v>192</v>
      </c>
      <c r="G33" s="78">
        <v>16067.8</v>
      </c>
      <c r="H33" s="83" t="s">
        <v>113</v>
      </c>
      <c r="I33" s="83" t="s">
        <v>18</v>
      </c>
      <c r="J33" s="83" t="s">
        <v>25</v>
      </c>
      <c r="K33" s="77"/>
    </row>
    <row r="34" spans="1:11" x14ac:dyDescent="0.3">
      <c r="F34" s="79" t="s">
        <v>101</v>
      </c>
      <c r="G34" s="80">
        <f>SUM(G30:G33)</f>
        <v>589449.75000000012</v>
      </c>
    </row>
    <row r="36" spans="1:11" x14ac:dyDescent="0.3">
      <c r="F36" s="79" t="s">
        <v>102</v>
      </c>
      <c r="G36" s="80">
        <f>SUMIFS(G3:G21, I3:I21, "*Ready*Dispatch*")</f>
        <v>0</v>
      </c>
    </row>
    <row r="39" spans="1:11" x14ac:dyDescent="0.3">
      <c r="A39" s="87" t="s">
        <v>202</v>
      </c>
    </row>
    <row r="40" spans="1:11" x14ac:dyDescent="0.3">
      <c r="A40" s="87" t="s">
        <v>203</v>
      </c>
    </row>
  </sheetData>
  <pageMargins left="0.25" right="0.25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33"/>
  <sheetViews>
    <sheetView zoomScale="80" zoomScaleNormal="80" workbookViewId="0">
      <pane xSplit="4" ySplit="2" topLeftCell="E3" activePane="bottomRight" state="frozen"/>
      <selection pane="topRight"/>
      <selection pane="bottomLeft"/>
      <selection pane="bottomRight" activeCell="K10" sqref="K10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s="41" customFormat="1" ht="18" customHeight="1" x14ac:dyDescent="0.35">
      <c r="A1" s="40" t="s">
        <v>0</v>
      </c>
      <c r="K1" s="304">
        <f ca="1">TODAY()</f>
        <v>46171</v>
      </c>
      <c r="L1" s="305"/>
    </row>
    <row r="2" spans="1:12" ht="43.2" customHeight="1" x14ac:dyDescent="0.3">
      <c r="A2" s="66" t="s">
        <v>1</v>
      </c>
      <c r="B2" s="66" t="s">
        <v>2</v>
      </c>
      <c r="C2" s="66" t="s">
        <v>3</v>
      </c>
      <c r="D2" s="66" t="s">
        <v>4</v>
      </c>
      <c r="E2" s="66" t="s">
        <v>5</v>
      </c>
      <c r="F2" s="66" t="s">
        <v>6</v>
      </c>
      <c r="G2" s="66" t="s">
        <v>7</v>
      </c>
      <c r="H2" s="66" t="s">
        <v>8</v>
      </c>
      <c r="I2" s="66" t="s">
        <v>9</v>
      </c>
      <c r="J2" s="66" t="s">
        <v>10</v>
      </c>
      <c r="K2" s="66" t="s">
        <v>11</v>
      </c>
      <c r="L2" s="66" t="s">
        <v>12</v>
      </c>
    </row>
    <row r="3" spans="1:12" ht="28.8" customHeight="1" x14ac:dyDescent="0.3">
      <c r="A3" s="73">
        <v>46154</v>
      </c>
      <c r="B3" s="73">
        <v>46155.362543148149</v>
      </c>
      <c r="C3" s="71" t="s">
        <v>204</v>
      </c>
      <c r="D3" s="71" t="s">
        <v>205</v>
      </c>
      <c r="E3" s="72" t="s">
        <v>135</v>
      </c>
      <c r="F3" s="72" t="s">
        <v>206</v>
      </c>
      <c r="G3" s="74">
        <v>15092.97</v>
      </c>
      <c r="H3" s="71" t="s">
        <v>113</v>
      </c>
      <c r="I3" s="71" t="s">
        <v>207</v>
      </c>
      <c r="J3" s="71" t="s">
        <v>25</v>
      </c>
      <c r="K3" s="72" t="s">
        <v>208</v>
      </c>
      <c r="L3" s="73">
        <f t="shared" ref="L3:L21" si="0">B3</f>
        <v>46155.362543148149</v>
      </c>
    </row>
    <row r="4" spans="1:12" x14ac:dyDescent="0.3">
      <c r="A4" s="73">
        <v>46154</v>
      </c>
      <c r="B4" s="73">
        <v>46155.362543148149</v>
      </c>
      <c r="C4" s="71" t="s">
        <v>209</v>
      </c>
      <c r="D4" s="71" t="s">
        <v>210</v>
      </c>
      <c r="E4" s="72" t="s">
        <v>209</v>
      </c>
      <c r="F4" s="72" t="s">
        <v>211</v>
      </c>
      <c r="G4" s="74">
        <v>10263.75</v>
      </c>
      <c r="H4" s="71" t="s">
        <v>106</v>
      </c>
      <c r="I4" s="71" t="s">
        <v>207</v>
      </c>
      <c r="J4" s="71" t="s">
        <v>25</v>
      </c>
      <c r="K4" s="72" t="s">
        <v>212</v>
      </c>
      <c r="L4" s="73">
        <f t="shared" si="0"/>
        <v>46155.362543148149</v>
      </c>
    </row>
    <row r="5" spans="1:12" ht="187.2" customHeight="1" x14ac:dyDescent="0.3">
      <c r="A5" s="92">
        <v>46154</v>
      </c>
      <c r="B5" s="92">
        <v>46156</v>
      </c>
      <c r="C5" s="93" t="s">
        <v>213</v>
      </c>
      <c r="D5" s="93" t="s">
        <v>214</v>
      </c>
      <c r="E5" s="94" t="s">
        <v>215</v>
      </c>
      <c r="F5" s="94" t="s">
        <v>216</v>
      </c>
      <c r="G5" s="95">
        <v>50610.35</v>
      </c>
      <c r="H5" s="93" t="s">
        <v>127</v>
      </c>
      <c r="I5" s="93" t="s">
        <v>18</v>
      </c>
      <c r="J5" s="93" t="s">
        <v>19</v>
      </c>
      <c r="K5" s="94" t="s">
        <v>217</v>
      </c>
      <c r="L5" s="92">
        <f t="shared" si="0"/>
        <v>46156</v>
      </c>
    </row>
    <row r="6" spans="1:12" x14ac:dyDescent="0.3">
      <c r="A6" s="75">
        <v>46149</v>
      </c>
      <c r="B6" s="75">
        <v>46163</v>
      </c>
      <c r="C6" s="76" t="s">
        <v>21</v>
      </c>
      <c r="D6" s="76" t="s">
        <v>22</v>
      </c>
      <c r="E6" s="77" t="s">
        <v>23</v>
      </c>
      <c r="F6" s="77" t="s">
        <v>24</v>
      </c>
      <c r="G6" s="78">
        <v>24910.15</v>
      </c>
      <c r="H6" s="76" t="s">
        <v>106</v>
      </c>
      <c r="I6" s="76" t="s">
        <v>18</v>
      </c>
      <c r="J6" s="76" t="s">
        <v>25</v>
      </c>
      <c r="K6" s="77" t="s">
        <v>184</v>
      </c>
      <c r="L6" s="75">
        <f t="shared" si="0"/>
        <v>46163</v>
      </c>
    </row>
    <row r="7" spans="1:12" x14ac:dyDescent="0.3">
      <c r="A7" s="92">
        <v>46154</v>
      </c>
      <c r="B7" s="92">
        <v>46164</v>
      </c>
      <c r="C7" s="93" t="s">
        <v>194</v>
      </c>
      <c r="D7" s="93" t="s">
        <v>195</v>
      </c>
      <c r="E7" s="94" t="s">
        <v>194</v>
      </c>
      <c r="F7" s="94" t="s">
        <v>196</v>
      </c>
      <c r="G7" s="95">
        <v>12224.5</v>
      </c>
      <c r="H7" s="93" t="s">
        <v>127</v>
      </c>
      <c r="I7" s="93" t="s">
        <v>18</v>
      </c>
      <c r="J7" s="93" t="s">
        <v>25</v>
      </c>
      <c r="K7" s="94" t="s">
        <v>197</v>
      </c>
      <c r="L7" s="92">
        <f t="shared" si="0"/>
        <v>46164</v>
      </c>
    </row>
    <row r="8" spans="1:12" x14ac:dyDescent="0.3">
      <c r="A8" s="75">
        <v>46077</v>
      </c>
      <c r="B8" s="75">
        <v>46169</v>
      </c>
      <c r="C8" s="76" t="s">
        <v>144</v>
      </c>
      <c r="D8" s="76" t="s">
        <v>145</v>
      </c>
      <c r="E8" s="77" t="s">
        <v>146</v>
      </c>
      <c r="F8" s="77" t="s">
        <v>147</v>
      </c>
      <c r="G8" s="78">
        <v>94247.1</v>
      </c>
      <c r="H8" s="76" t="s">
        <v>113</v>
      </c>
      <c r="I8" s="76" t="s">
        <v>18</v>
      </c>
      <c r="J8" s="76" t="s">
        <v>114</v>
      </c>
      <c r="K8" s="77" t="s">
        <v>148</v>
      </c>
      <c r="L8" s="75">
        <f t="shared" si="0"/>
        <v>46169</v>
      </c>
    </row>
    <row r="9" spans="1:12" x14ac:dyDescent="0.3">
      <c r="A9" s="75">
        <v>46069</v>
      </c>
      <c r="B9" s="75">
        <v>46170</v>
      </c>
      <c r="C9" s="76" t="s">
        <v>138</v>
      </c>
      <c r="D9" s="76" t="s">
        <v>139</v>
      </c>
      <c r="E9" s="77" t="s">
        <v>140</v>
      </c>
      <c r="F9" s="77" t="s">
        <v>141</v>
      </c>
      <c r="G9" s="78">
        <v>379993.35</v>
      </c>
      <c r="H9" s="76" t="s">
        <v>142</v>
      </c>
      <c r="I9" s="76" t="s">
        <v>18</v>
      </c>
      <c r="J9" s="76" t="s">
        <v>19</v>
      </c>
      <c r="K9" s="77" t="s">
        <v>143</v>
      </c>
      <c r="L9" s="75">
        <f t="shared" si="0"/>
        <v>46170</v>
      </c>
    </row>
    <row r="10" spans="1:12" ht="28.8" customHeight="1" x14ac:dyDescent="0.3">
      <c r="A10" s="75">
        <v>46112</v>
      </c>
      <c r="B10" s="75">
        <v>46170</v>
      </c>
      <c r="C10" s="76" t="s">
        <v>13</v>
      </c>
      <c r="D10" s="76" t="s">
        <v>14</v>
      </c>
      <c r="E10" s="77" t="s">
        <v>15</v>
      </c>
      <c r="F10" s="77" t="s">
        <v>16</v>
      </c>
      <c r="G10" s="78">
        <v>103711</v>
      </c>
      <c r="H10" s="76" t="s">
        <v>106</v>
      </c>
      <c r="I10" s="76" t="s">
        <v>18</v>
      </c>
      <c r="J10" s="76" t="s">
        <v>19</v>
      </c>
      <c r="K10" s="77" t="s">
        <v>20</v>
      </c>
      <c r="L10" s="75">
        <f t="shared" si="0"/>
        <v>46170</v>
      </c>
    </row>
    <row r="11" spans="1:12" ht="28.8" customHeight="1" x14ac:dyDescent="0.3">
      <c r="A11" s="75">
        <v>46112</v>
      </c>
      <c r="B11" s="75">
        <v>46170</v>
      </c>
      <c r="C11" s="76" t="s">
        <v>120</v>
      </c>
      <c r="D11" s="76" t="s">
        <v>121</v>
      </c>
      <c r="E11" s="77" t="s">
        <v>122</v>
      </c>
      <c r="F11" s="77" t="s">
        <v>16</v>
      </c>
      <c r="G11" s="78">
        <v>83433</v>
      </c>
      <c r="H11" s="76" t="s">
        <v>106</v>
      </c>
      <c r="I11" s="76" t="s">
        <v>18</v>
      </c>
      <c r="J11" s="76" t="s">
        <v>19</v>
      </c>
      <c r="K11" s="77" t="s">
        <v>123</v>
      </c>
      <c r="L11" s="75">
        <f t="shared" si="0"/>
        <v>46170</v>
      </c>
    </row>
    <row r="12" spans="1:12" ht="28.8" customHeight="1" x14ac:dyDescent="0.3">
      <c r="A12" s="88">
        <v>46111</v>
      </c>
      <c r="B12" s="88">
        <v>46171</v>
      </c>
      <c r="C12" s="89" t="s">
        <v>38</v>
      </c>
      <c r="D12" s="89" t="s">
        <v>39</v>
      </c>
      <c r="E12" s="90" t="s">
        <v>40</v>
      </c>
      <c r="F12" s="90" t="s">
        <v>41</v>
      </c>
      <c r="G12" s="91">
        <v>9014.2099999999991</v>
      </c>
      <c r="H12" s="89" t="s">
        <v>106</v>
      </c>
      <c r="I12" s="89" t="s">
        <v>42</v>
      </c>
      <c r="J12" s="89"/>
      <c r="K12" s="90" t="s">
        <v>43</v>
      </c>
      <c r="L12" s="88">
        <f t="shared" si="0"/>
        <v>46171</v>
      </c>
    </row>
    <row r="13" spans="1:12" x14ac:dyDescent="0.3">
      <c r="A13" s="88">
        <v>46111</v>
      </c>
      <c r="B13" s="88">
        <v>46171</v>
      </c>
      <c r="C13" s="89" t="s">
        <v>44</v>
      </c>
      <c r="D13" s="89" t="s">
        <v>45</v>
      </c>
      <c r="E13" s="90" t="s">
        <v>46</v>
      </c>
      <c r="F13" s="90" t="s">
        <v>47</v>
      </c>
      <c r="G13" s="91">
        <v>169353.60000000001</v>
      </c>
      <c r="H13" s="89" t="s">
        <v>113</v>
      </c>
      <c r="I13" s="89" t="s">
        <v>42</v>
      </c>
      <c r="J13" s="89" t="str">
        <f>IFERROR(VLOOKUP(D13, '12.05.2026'!D:J, 7, FALSE), "")</f>
        <v>ACCOUNT - UP TO DATE</v>
      </c>
      <c r="K13" s="90" t="s">
        <v>49</v>
      </c>
      <c r="L13" s="88">
        <f t="shared" si="0"/>
        <v>46171</v>
      </c>
    </row>
    <row r="14" spans="1:12" ht="86.4" customHeight="1" x14ac:dyDescent="0.3">
      <c r="A14" s="67">
        <v>46142</v>
      </c>
      <c r="B14" s="67">
        <v>46171</v>
      </c>
      <c r="C14" s="68" t="s">
        <v>58</v>
      </c>
      <c r="D14" s="68" t="s">
        <v>59</v>
      </c>
      <c r="E14" s="69" t="s">
        <v>60</v>
      </c>
      <c r="F14" s="69" t="s">
        <v>61</v>
      </c>
      <c r="G14" s="70">
        <v>310411</v>
      </c>
      <c r="H14" s="68" t="s">
        <v>177</v>
      </c>
      <c r="I14" s="68" t="s">
        <v>27</v>
      </c>
      <c r="J14" s="68"/>
      <c r="K14" s="69" t="s">
        <v>63</v>
      </c>
      <c r="L14" s="67">
        <f t="shared" si="0"/>
        <v>46171</v>
      </c>
    </row>
    <row r="15" spans="1:12" ht="28.8" customHeight="1" x14ac:dyDescent="0.3">
      <c r="A15" s="67">
        <v>46057</v>
      </c>
      <c r="B15" s="67">
        <v>46171</v>
      </c>
      <c r="C15" s="68" t="s">
        <v>27</v>
      </c>
      <c r="D15" s="68" t="s">
        <v>157</v>
      </c>
      <c r="E15" s="69" t="s">
        <v>158</v>
      </c>
      <c r="F15" s="69" t="s">
        <v>159</v>
      </c>
      <c r="G15" s="70">
        <v>427841.4</v>
      </c>
      <c r="H15" s="68" t="s">
        <v>113</v>
      </c>
      <c r="I15" s="68" t="s">
        <v>27</v>
      </c>
      <c r="J15" s="68"/>
      <c r="K15" s="69" t="s">
        <v>160</v>
      </c>
      <c r="L15" s="67">
        <f t="shared" si="0"/>
        <v>46171</v>
      </c>
    </row>
    <row r="16" spans="1:12" ht="158.4" customHeight="1" x14ac:dyDescent="0.3">
      <c r="A16" s="67">
        <v>46128</v>
      </c>
      <c r="B16" s="67">
        <v>46171</v>
      </c>
      <c r="C16" s="68" t="s">
        <v>27</v>
      </c>
      <c r="D16" s="68" t="s">
        <v>50</v>
      </c>
      <c r="E16" s="69" t="s">
        <v>51</v>
      </c>
      <c r="F16" s="69" t="s">
        <v>52</v>
      </c>
      <c r="G16" s="70">
        <v>82900.05</v>
      </c>
      <c r="H16" s="68" t="s">
        <v>113</v>
      </c>
      <c r="I16" s="68" t="s">
        <v>27</v>
      </c>
      <c r="J16" s="68"/>
      <c r="K16" s="69" t="s">
        <v>53</v>
      </c>
      <c r="L16" s="67">
        <f t="shared" si="0"/>
        <v>46171</v>
      </c>
    </row>
    <row r="17" spans="1:12" x14ac:dyDescent="0.3">
      <c r="A17" s="67">
        <v>46142</v>
      </c>
      <c r="B17" s="67">
        <v>46171</v>
      </c>
      <c r="C17" s="68" t="s">
        <v>27</v>
      </c>
      <c r="D17" s="68" t="s">
        <v>28</v>
      </c>
      <c r="E17" s="69" t="s">
        <v>29</v>
      </c>
      <c r="F17" s="69" t="s">
        <v>30</v>
      </c>
      <c r="G17" s="70">
        <v>554227.55000000005</v>
      </c>
      <c r="H17" s="68" t="s">
        <v>127</v>
      </c>
      <c r="I17" s="68" t="s">
        <v>27</v>
      </c>
      <c r="J17" s="68"/>
      <c r="K17" s="69" t="s">
        <v>32</v>
      </c>
      <c r="L17" s="67">
        <f t="shared" si="0"/>
        <v>46171</v>
      </c>
    </row>
    <row r="18" spans="1:12" x14ac:dyDescent="0.3">
      <c r="A18" s="67">
        <v>46142</v>
      </c>
      <c r="B18" s="67">
        <v>46171</v>
      </c>
      <c r="C18" s="68" t="s">
        <v>27</v>
      </c>
      <c r="D18" s="68" t="s">
        <v>161</v>
      </c>
      <c r="E18" s="69" t="s">
        <v>65</v>
      </c>
      <c r="F18" s="69" t="s">
        <v>162</v>
      </c>
      <c r="G18" s="70">
        <v>13711.09</v>
      </c>
      <c r="H18" s="68" t="s">
        <v>106</v>
      </c>
      <c r="I18" s="68" t="s">
        <v>27</v>
      </c>
      <c r="J18" s="68"/>
      <c r="K18" s="69" t="s">
        <v>163</v>
      </c>
      <c r="L18" s="67">
        <f t="shared" si="0"/>
        <v>46171</v>
      </c>
    </row>
    <row r="19" spans="1:12" ht="28.8" customHeight="1" x14ac:dyDescent="0.3">
      <c r="A19" s="67">
        <v>46142</v>
      </c>
      <c r="B19" s="67">
        <v>46171</v>
      </c>
      <c r="C19" s="68" t="s">
        <v>27</v>
      </c>
      <c r="D19" s="68" t="s">
        <v>54</v>
      </c>
      <c r="E19" s="69" t="s">
        <v>55</v>
      </c>
      <c r="F19" s="69" t="s">
        <v>56</v>
      </c>
      <c r="G19" s="70">
        <v>426010.6</v>
      </c>
      <c r="H19" s="68" t="s">
        <v>127</v>
      </c>
      <c r="I19" s="68" t="s">
        <v>27</v>
      </c>
      <c r="J19" s="68"/>
      <c r="K19" s="69" t="s">
        <v>57</v>
      </c>
      <c r="L19" s="67">
        <f t="shared" si="0"/>
        <v>46171</v>
      </c>
    </row>
    <row r="20" spans="1:12" ht="28.8" customHeight="1" x14ac:dyDescent="0.3">
      <c r="A20" s="67">
        <v>46142</v>
      </c>
      <c r="B20" s="67">
        <v>46171</v>
      </c>
      <c r="C20" s="68" t="s">
        <v>27</v>
      </c>
      <c r="D20" s="68" t="s">
        <v>64</v>
      </c>
      <c r="E20" s="69" t="s">
        <v>65</v>
      </c>
      <c r="F20" s="69" t="s">
        <v>66</v>
      </c>
      <c r="G20" s="70">
        <v>204447</v>
      </c>
      <c r="H20" s="68" t="s">
        <v>127</v>
      </c>
      <c r="I20" s="68" t="s">
        <v>27</v>
      </c>
      <c r="J20" s="68"/>
      <c r="K20" s="69" t="s">
        <v>67</v>
      </c>
      <c r="L20" s="67">
        <f t="shared" si="0"/>
        <v>46171</v>
      </c>
    </row>
    <row r="21" spans="1:12" ht="28.8" customHeight="1" x14ac:dyDescent="0.3">
      <c r="A21" s="67">
        <v>46155</v>
      </c>
      <c r="B21" s="67">
        <v>46199</v>
      </c>
      <c r="C21" s="68" t="s">
        <v>27</v>
      </c>
      <c r="D21" s="68" t="s">
        <v>77</v>
      </c>
      <c r="E21" s="69" t="s">
        <v>78</v>
      </c>
      <c r="F21" s="69" t="s">
        <v>16</v>
      </c>
      <c r="G21" s="70">
        <v>523356</v>
      </c>
      <c r="H21" s="68" t="s">
        <v>218</v>
      </c>
      <c r="I21" s="68" t="s">
        <v>27</v>
      </c>
      <c r="J21" s="68" t="str">
        <f>IFERROR(VLOOKUP(D21, '12.05.2026'!D:J, 7, FALSE), "")</f>
        <v/>
      </c>
      <c r="K21" s="69" t="s">
        <v>80</v>
      </c>
      <c r="L21" s="67">
        <f t="shared" si="0"/>
        <v>46199</v>
      </c>
    </row>
    <row r="22" spans="1:12" x14ac:dyDescent="0.3">
      <c r="F22" s="79" t="s">
        <v>94</v>
      </c>
      <c r="G22" s="80">
        <f>SUM(G3:G21)</f>
        <v>3495758.67</v>
      </c>
    </row>
    <row r="24" spans="1:12" x14ac:dyDescent="0.3">
      <c r="F24" s="81" t="s">
        <v>95</v>
      </c>
    </row>
    <row r="25" spans="1:12" x14ac:dyDescent="0.3">
      <c r="F25" t="s">
        <v>96</v>
      </c>
      <c r="G25" s="18">
        <f ca="1">SUMIFS(G3:G21, J3:J21, "*CASH SALE*", L3:L21, "&gt;="&amp;EOMONTH(TODAY(),-1)+1, L3:L21, "&lt;="&amp;EOMONTH(TODAY(),0))</f>
        <v>156738.47</v>
      </c>
      <c r="I25" t="s">
        <v>97</v>
      </c>
      <c r="J25" s="18">
        <f ca="1">SUMIFS(G3:G21, J3:J21, "*CASH SALE*", L3:L21, "&gt;="&amp;EOMONTH(TODAY(),0)+1, L3:L21, "&lt;="&amp;EOMONTH(TODAY(),1))</f>
        <v>0</v>
      </c>
    </row>
    <row r="26" spans="1:12" x14ac:dyDescent="0.3">
      <c r="F26" t="s">
        <v>98</v>
      </c>
      <c r="G26" s="18">
        <f ca="1">SUMIFS(G3:G21, J3:J21, "*ACCOUNT*", L3:L21, "&gt;="&amp;EOMONTH(TODAY(),-1)+1, L3:L21, "&lt;="&amp;EOMONTH(TODAY(),0))</f>
        <v>787101.29999999993</v>
      </c>
      <c r="I26" t="s">
        <v>99</v>
      </c>
      <c r="J26" s="18">
        <f ca="1">SUMIFS(G3:G21, J3:J21, "*ACCOUNT*", L3:L21, "&gt;="&amp;EOMONTH(TODAY(),0)+1, L3:L21, "&lt;="&amp;EOMONTH(TODAY(),1))</f>
        <v>0</v>
      </c>
    </row>
    <row r="28" spans="1:12" ht="28.8" customHeight="1" x14ac:dyDescent="0.3">
      <c r="A28" s="66" t="s">
        <v>1</v>
      </c>
      <c r="B28" s="66" t="s">
        <v>2</v>
      </c>
      <c r="C28" s="66" t="s">
        <v>3</v>
      </c>
      <c r="D28" s="66" t="s">
        <v>4</v>
      </c>
      <c r="E28" s="66" t="s">
        <v>5</v>
      </c>
      <c r="F28" s="66" t="s">
        <v>6</v>
      </c>
      <c r="G28" s="66" t="s">
        <v>7</v>
      </c>
      <c r="H28" s="66" t="s">
        <v>8</v>
      </c>
      <c r="I28" s="66" t="s">
        <v>9</v>
      </c>
      <c r="J28" s="66" t="s">
        <v>10</v>
      </c>
      <c r="K28" s="66" t="s">
        <v>100</v>
      </c>
    </row>
    <row r="29" spans="1:12" x14ac:dyDescent="0.3">
      <c r="A29" s="82">
        <v>46154</v>
      </c>
      <c r="B29" s="82">
        <v>46155.362543148149</v>
      </c>
      <c r="C29" s="83" t="s">
        <v>209</v>
      </c>
      <c r="D29" s="83" t="s">
        <v>210</v>
      </c>
      <c r="E29" s="83" t="s">
        <v>209</v>
      </c>
      <c r="F29" s="83" t="s">
        <v>211</v>
      </c>
      <c r="G29" s="78">
        <v>10263.75</v>
      </c>
      <c r="H29" s="83" t="s">
        <v>106</v>
      </c>
      <c r="I29" s="83" t="s">
        <v>207</v>
      </c>
      <c r="J29" s="83" t="s">
        <v>25</v>
      </c>
      <c r="K29" s="77"/>
    </row>
    <row r="30" spans="1:12" x14ac:dyDescent="0.3">
      <c r="A30" s="82">
        <v>46154</v>
      </c>
      <c r="B30" s="82">
        <v>46155.362543148149</v>
      </c>
      <c r="C30" s="83" t="s">
        <v>204</v>
      </c>
      <c r="D30" s="83" t="s">
        <v>205</v>
      </c>
      <c r="E30" s="83" t="s">
        <v>135</v>
      </c>
      <c r="F30" s="83" t="s">
        <v>206</v>
      </c>
      <c r="G30" s="78">
        <v>15092.97</v>
      </c>
      <c r="H30" s="83" t="s">
        <v>113</v>
      </c>
      <c r="I30" s="83" t="s">
        <v>207</v>
      </c>
      <c r="J30" s="83" t="s">
        <v>25</v>
      </c>
      <c r="K30" s="77"/>
    </row>
    <row r="31" spans="1:12" x14ac:dyDescent="0.3">
      <c r="F31" s="79" t="s">
        <v>101</v>
      </c>
      <c r="G31" s="80">
        <f>SUM(G29:G30)</f>
        <v>25356.720000000001</v>
      </c>
    </row>
    <row r="33" spans="6:7" x14ac:dyDescent="0.3">
      <c r="F33" s="79" t="s">
        <v>102</v>
      </c>
      <c r="G33" s="80">
        <f>SUMIFS(G3:G21, I3:I21, "*Ready*Dispatch*")</f>
        <v>25356.720000000001</v>
      </c>
    </row>
  </sheetData>
  <mergeCells count="1">
    <mergeCell ref="K1:L1"/>
  </mergeCells>
  <pageMargins left="0.25" right="0.25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32"/>
  <sheetViews>
    <sheetView zoomScale="70" zoomScaleNormal="70" workbookViewId="0">
      <pane xSplit="4" ySplit="2" topLeftCell="E3" activePane="bottomRight" state="frozen"/>
      <selection pane="topRight"/>
      <selection pane="bottomLeft"/>
      <selection pane="bottomRight" activeCell="N9" sqref="N9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.77734375" bestFit="1" customWidth="1"/>
    <col min="10" max="10" width="23.33203125" customWidth="1"/>
    <col min="11" max="11" width="50" customWidth="1"/>
    <col min="12" max="12" width="12" customWidth="1"/>
  </cols>
  <sheetData>
    <row r="1" spans="1:12" s="41" customFormat="1" ht="18" customHeight="1" x14ac:dyDescent="0.35">
      <c r="A1" s="40" t="s">
        <v>0</v>
      </c>
      <c r="K1" s="118">
        <f ca="1">TODAY()</f>
        <v>46171</v>
      </c>
    </row>
    <row r="2" spans="1:12" ht="43.2" customHeight="1" x14ac:dyDescent="0.3">
      <c r="A2" s="96" t="s">
        <v>1</v>
      </c>
      <c r="B2" s="96" t="s">
        <v>2</v>
      </c>
      <c r="C2" s="96" t="s">
        <v>3</v>
      </c>
      <c r="D2" s="96" t="s">
        <v>4</v>
      </c>
      <c r="E2" s="96" t="s">
        <v>5</v>
      </c>
      <c r="F2" s="96" t="s">
        <v>6</v>
      </c>
      <c r="G2" s="96" t="s">
        <v>7</v>
      </c>
      <c r="H2" s="96" t="s">
        <v>8</v>
      </c>
      <c r="I2" s="96" t="s">
        <v>9</v>
      </c>
      <c r="J2" s="96" t="s">
        <v>10</v>
      </c>
      <c r="K2" s="96" t="s">
        <v>11</v>
      </c>
      <c r="L2" s="96" t="s">
        <v>12</v>
      </c>
    </row>
    <row r="3" spans="1:12" ht="187.2" customHeight="1" x14ac:dyDescent="0.3">
      <c r="A3" s="97">
        <v>46154</v>
      </c>
      <c r="B3" s="97">
        <v>46156.32709233796</v>
      </c>
      <c r="C3" s="98" t="s">
        <v>213</v>
      </c>
      <c r="D3" s="98" t="s">
        <v>214</v>
      </c>
      <c r="E3" s="99" t="s">
        <v>215</v>
      </c>
      <c r="F3" s="99" t="s">
        <v>216</v>
      </c>
      <c r="G3" s="100">
        <v>50610.35</v>
      </c>
      <c r="H3" s="98" t="s">
        <v>127</v>
      </c>
      <c r="I3" s="98" t="s">
        <v>18</v>
      </c>
      <c r="J3" s="98" t="s">
        <v>19</v>
      </c>
      <c r="K3" s="99" t="s">
        <v>217</v>
      </c>
      <c r="L3" s="97">
        <f t="shared" ref="L3:L20" si="0">B3</f>
        <v>46156.32709233796</v>
      </c>
    </row>
    <row r="4" spans="1:12" x14ac:dyDescent="0.3">
      <c r="A4" s="97">
        <v>46154</v>
      </c>
      <c r="B4" s="97">
        <v>46156.32709233796</v>
      </c>
      <c r="C4" s="98" t="s">
        <v>209</v>
      </c>
      <c r="D4" s="98" t="s">
        <v>210</v>
      </c>
      <c r="E4" s="99" t="s">
        <v>209</v>
      </c>
      <c r="F4" s="99" t="s">
        <v>211</v>
      </c>
      <c r="G4" s="100">
        <v>10263.75</v>
      </c>
      <c r="H4" s="98" t="s">
        <v>106</v>
      </c>
      <c r="I4" s="98" t="s">
        <v>207</v>
      </c>
      <c r="J4" s="98" t="s">
        <v>25</v>
      </c>
      <c r="K4" s="99" t="s">
        <v>212</v>
      </c>
      <c r="L4" s="97">
        <f t="shared" si="0"/>
        <v>46156.32709233796</v>
      </c>
    </row>
    <row r="5" spans="1:12" x14ac:dyDescent="0.3">
      <c r="A5" s="119">
        <v>46154</v>
      </c>
      <c r="B5" s="119">
        <v>46161</v>
      </c>
      <c r="C5" s="120" t="s">
        <v>194</v>
      </c>
      <c r="D5" s="120" t="s">
        <v>195</v>
      </c>
      <c r="E5" s="121" t="s">
        <v>194</v>
      </c>
      <c r="F5" s="121" t="s">
        <v>196</v>
      </c>
      <c r="G5" s="122">
        <v>12224.5</v>
      </c>
      <c r="H5" s="120" t="s">
        <v>127</v>
      </c>
      <c r="I5" s="120" t="s">
        <v>18</v>
      </c>
      <c r="J5" s="120" t="s">
        <v>25</v>
      </c>
      <c r="K5" s="121" t="s">
        <v>197</v>
      </c>
      <c r="L5" s="119">
        <f t="shared" si="0"/>
        <v>46161</v>
      </c>
    </row>
    <row r="6" spans="1:12" x14ac:dyDescent="0.3">
      <c r="A6" s="105">
        <v>46149</v>
      </c>
      <c r="B6" s="105">
        <v>46163</v>
      </c>
      <c r="C6" s="106" t="s">
        <v>21</v>
      </c>
      <c r="D6" s="106" t="s">
        <v>22</v>
      </c>
      <c r="E6" s="107" t="s">
        <v>23</v>
      </c>
      <c r="F6" s="107" t="s">
        <v>24</v>
      </c>
      <c r="G6" s="108">
        <v>24910.15</v>
      </c>
      <c r="H6" s="106" t="s">
        <v>106</v>
      </c>
      <c r="I6" s="106" t="s">
        <v>18</v>
      </c>
      <c r="J6" s="106" t="s">
        <v>25</v>
      </c>
      <c r="K6" s="107" t="s">
        <v>184</v>
      </c>
      <c r="L6" s="105">
        <f t="shared" si="0"/>
        <v>46163</v>
      </c>
    </row>
    <row r="7" spans="1:12" x14ac:dyDescent="0.3">
      <c r="A7" s="105">
        <v>46077</v>
      </c>
      <c r="B7" s="105">
        <v>46169</v>
      </c>
      <c r="C7" s="106" t="s">
        <v>144</v>
      </c>
      <c r="D7" s="106" t="s">
        <v>145</v>
      </c>
      <c r="E7" s="107" t="s">
        <v>146</v>
      </c>
      <c r="F7" s="107" t="s">
        <v>147</v>
      </c>
      <c r="G7" s="108">
        <v>94247.1</v>
      </c>
      <c r="H7" s="106" t="s">
        <v>113</v>
      </c>
      <c r="I7" s="106" t="s">
        <v>18</v>
      </c>
      <c r="J7" s="106" t="s">
        <v>114</v>
      </c>
      <c r="K7" s="107" t="s">
        <v>148</v>
      </c>
      <c r="L7" s="105">
        <f t="shared" si="0"/>
        <v>46169</v>
      </c>
    </row>
    <row r="8" spans="1:12" x14ac:dyDescent="0.3">
      <c r="A8" s="105">
        <v>46069</v>
      </c>
      <c r="B8" s="105">
        <v>46170</v>
      </c>
      <c r="C8" s="106" t="s">
        <v>138</v>
      </c>
      <c r="D8" s="106" t="s">
        <v>139</v>
      </c>
      <c r="E8" s="107" t="s">
        <v>140</v>
      </c>
      <c r="F8" s="107" t="s">
        <v>141</v>
      </c>
      <c r="G8" s="108">
        <v>379993.35</v>
      </c>
      <c r="H8" s="106" t="s">
        <v>142</v>
      </c>
      <c r="I8" s="106" t="s">
        <v>18</v>
      </c>
      <c r="J8" s="106" t="s">
        <v>19</v>
      </c>
      <c r="K8" s="107" t="s">
        <v>143</v>
      </c>
      <c r="L8" s="105">
        <f t="shared" si="0"/>
        <v>46170</v>
      </c>
    </row>
    <row r="9" spans="1:12" ht="28.8" customHeight="1" x14ac:dyDescent="0.3">
      <c r="A9" s="105">
        <v>46112</v>
      </c>
      <c r="B9" s="105">
        <v>46170</v>
      </c>
      <c r="C9" s="106" t="s">
        <v>13</v>
      </c>
      <c r="D9" s="106" t="s">
        <v>14</v>
      </c>
      <c r="E9" s="107" t="s">
        <v>15</v>
      </c>
      <c r="F9" s="107" t="s">
        <v>16</v>
      </c>
      <c r="G9" s="108">
        <v>103711</v>
      </c>
      <c r="H9" s="106" t="s">
        <v>106</v>
      </c>
      <c r="I9" s="106" t="s">
        <v>18</v>
      </c>
      <c r="J9" s="106" t="s">
        <v>19</v>
      </c>
      <c r="K9" s="107" t="s">
        <v>20</v>
      </c>
      <c r="L9" s="105">
        <f t="shared" si="0"/>
        <v>46170</v>
      </c>
    </row>
    <row r="10" spans="1:12" ht="28.8" customHeight="1" x14ac:dyDescent="0.3">
      <c r="A10" s="105">
        <v>46112</v>
      </c>
      <c r="B10" s="105">
        <v>46170</v>
      </c>
      <c r="C10" s="106" t="s">
        <v>120</v>
      </c>
      <c r="D10" s="106" t="s">
        <v>121</v>
      </c>
      <c r="E10" s="107" t="s">
        <v>122</v>
      </c>
      <c r="F10" s="107" t="s">
        <v>16</v>
      </c>
      <c r="G10" s="108">
        <v>83433</v>
      </c>
      <c r="H10" s="106" t="s">
        <v>106</v>
      </c>
      <c r="I10" s="106" t="s">
        <v>18</v>
      </c>
      <c r="J10" s="106" t="s">
        <v>19</v>
      </c>
      <c r="K10" s="107" t="s">
        <v>123</v>
      </c>
      <c r="L10" s="105">
        <f t="shared" si="0"/>
        <v>46170</v>
      </c>
    </row>
    <row r="11" spans="1:12" ht="28.8" customHeight="1" x14ac:dyDescent="0.3">
      <c r="A11" s="114">
        <v>46111</v>
      </c>
      <c r="B11" s="114">
        <v>46171</v>
      </c>
      <c r="C11" s="115" t="s">
        <v>38</v>
      </c>
      <c r="D11" s="115" t="s">
        <v>39</v>
      </c>
      <c r="E11" s="116" t="s">
        <v>40</v>
      </c>
      <c r="F11" s="116" t="s">
        <v>41</v>
      </c>
      <c r="G11" s="117">
        <v>9014.2099999999991</v>
      </c>
      <c r="H11" s="115" t="s">
        <v>106</v>
      </c>
      <c r="I11" s="115" t="s">
        <v>42</v>
      </c>
      <c r="J11" s="115"/>
      <c r="K11" s="116" t="s">
        <v>43</v>
      </c>
      <c r="L11" s="114">
        <f t="shared" si="0"/>
        <v>46171</v>
      </c>
    </row>
    <row r="12" spans="1:12" x14ac:dyDescent="0.3">
      <c r="A12" s="114">
        <v>46111</v>
      </c>
      <c r="B12" s="114">
        <v>46171</v>
      </c>
      <c r="C12" s="115" t="s">
        <v>44</v>
      </c>
      <c r="D12" s="115" t="s">
        <v>45</v>
      </c>
      <c r="E12" s="116" t="s">
        <v>46</v>
      </c>
      <c r="F12" s="116" t="s">
        <v>47</v>
      </c>
      <c r="G12" s="117">
        <v>169353.60000000001</v>
      </c>
      <c r="H12" s="115" t="s">
        <v>113</v>
      </c>
      <c r="I12" s="115" t="s">
        <v>42</v>
      </c>
      <c r="J12" s="115" t="str">
        <f>IFERROR(VLOOKUP(D12, '13.05.2026'!D:J, 7, FALSE), "")</f>
        <v>ACCOUNT - UP TO DATE</v>
      </c>
      <c r="K12" s="116" t="s">
        <v>49</v>
      </c>
      <c r="L12" s="114">
        <f t="shared" si="0"/>
        <v>46171</v>
      </c>
    </row>
    <row r="13" spans="1:12" ht="28.8" customHeight="1" x14ac:dyDescent="0.3">
      <c r="A13" s="101">
        <v>46057</v>
      </c>
      <c r="B13" s="101">
        <v>46171</v>
      </c>
      <c r="C13" s="102" t="s">
        <v>27</v>
      </c>
      <c r="D13" s="102" t="s">
        <v>157</v>
      </c>
      <c r="E13" s="103" t="s">
        <v>158</v>
      </c>
      <c r="F13" s="103" t="s">
        <v>159</v>
      </c>
      <c r="G13" s="104">
        <v>427841.4</v>
      </c>
      <c r="H13" s="102" t="s">
        <v>113</v>
      </c>
      <c r="I13" s="102" t="s">
        <v>27</v>
      </c>
      <c r="J13" s="102"/>
      <c r="K13" s="103" t="s">
        <v>160</v>
      </c>
      <c r="L13" s="101">
        <f t="shared" si="0"/>
        <v>46171</v>
      </c>
    </row>
    <row r="14" spans="1:12" ht="158.4" customHeight="1" x14ac:dyDescent="0.3">
      <c r="A14" s="101">
        <v>46128</v>
      </c>
      <c r="B14" s="101">
        <v>46171</v>
      </c>
      <c r="C14" s="102" t="s">
        <v>27</v>
      </c>
      <c r="D14" s="102" t="s">
        <v>50</v>
      </c>
      <c r="E14" s="103" t="s">
        <v>51</v>
      </c>
      <c r="F14" s="103" t="s">
        <v>52</v>
      </c>
      <c r="G14" s="104">
        <v>82900.05</v>
      </c>
      <c r="H14" s="102" t="s">
        <v>113</v>
      </c>
      <c r="I14" s="102" t="s">
        <v>27</v>
      </c>
      <c r="J14" s="102"/>
      <c r="K14" s="103" t="s">
        <v>53</v>
      </c>
      <c r="L14" s="101">
        <f t="shared" si="0"/>
        <v>46171</v>
      </c>
    </row>
    <row r="15" spans="1:12" x14ac:dyDescent="0.3">
      <c r="A15" s="101">
        <v>46142</v>
      </c>
      <c r="B15" s="101">
        <v>46171</v>
      </c>
      <c r="C15" s="102" t="s">
        <v>27</v>
      </c>
      <c r="D15" s="102" t="s">
        <v>28</v>
      </c>
      <c r="E15" s="103" t="s">
        <v>29</v>
      </c>
      <c r="F15" s="103" t="s">
        <v>30</v>
      </c>
      <c r="G15" s="104">
        <v>554227.55000000005</v>
      </c>
      <c r="H15" s="102" t="s">
        <v>127</v>
      </c>
      <c r="I15" s="102" t="s">
        <v>27</v>
      </c>
      <c r="J15" s="102"/>
      <c r="K15" s="103" t="s">
        <v>32</v>
      </c>
      <c r="L15" s="101">
        <f t="shared" si="0"/>
        <v>46171</v>
      </c>
    </row>
    <row r="16" spans="1:12" x14ac:dyDescent="0.3">
      <c r="A16" s="101">
        <v>46142</v>
      </c>
      <c r="B16" s="101">
        <v>46171</v>
      </c>
      <c r="C16" s="102" t="s">
        <v>27</v>
      </c>
      <c r="D16" s="102" t="s">
        <v>161</v>
      </c>
      <c r="E16" s="103" t="s">
        <v>65</v>
      </c>
      <c r="F16" s="103" t="s">
        <v>162</v>
      </c>
      <c r="G16" s="104">
        <v>13711.09</v>
      </c>
      <c r="H16" s="102" t="s">
        <v>106</v>
      </c>
      <c r="I16" s="102" t="s">
        <v>27</v>
      </c>
      <c r="J16" s="102"/>
      <c r="K16" s="103" t="s">
        <v>163</v>
      </c>
      <c r="L16" s="101">
        <f t="shared" si="0"/>
        <v>46171</v>
      </c>
    </row>
    <row r="17" spans="1:12" ht="28.8" customHeight="1" x14ac:dyDescent="0.3">
      <c r="A17" s="101">
        <v>46142</v>
      </c>
      <c r="B17" s="101">
        <v>46171</v>
      </c>
      <c r="C17" s="102" t="s">
        <v>27</v>
      </c>
      <c r="D17" s="102" t="s">
        <v>54</v>
      </c>
      <c r="E17" s="103" t="s">
        <v>55</v>
      </c>
      <c r="F17" s="103" t="s">
        <v>56</v>
      </c>
      <c r="G17" s="104">
        <v>426010.6</v>
      </c>
      <c r="H17" s="102" t="s">
        <v>127</v>
      </c>
      <c r="I17" s="102" t="s">
        <v>27</v>
      </c>
      <c r="J17" s="102"/>
      <c r="K17" s="103" t="s">
        <v>57</v>
      </c>
      <c r="L17" s="101">
        <f t="shared" si="0"/>
        <v>46171</v>
      </c>
    </row>
    <row r="18" spans="1:12" ht="86.4" customHeight="1" x14ac:dyDescent="0.3">
      <c r="A18" s="101">
        <v>46142</v>
      </c>
      <c r="B18" s="101">
        <v>46171</v>
      </c>
      <c r="C18" s="102" t="s">
        <v>58</v>
      </c>
      <c r="D18" s="102" t="s">
        <v>59</v>
      </c>
      <c r="E18" s="103" t="s">
        <v>60</v>
      </c>
      <c r="F18" s="103" t="s">
        <v>61</v>
      </c>
      <c r="G18" s="104">
        <v>310411</v>
      </c>
      <c r="H18" s="102" t="s">
        <v>177</v>
      </c>
      <c r="I18" s="102" t="s">
        <v>27</v>
      </c>
      <c r="J18" s="102"/>
      <c r="K18" s="103" t="s">
        <v>63</v>
      </c>
      <c r="L18" s="101">
        <f t="shared" si="0"/>
        <v>46171</v>
      </c>
    </row>
    <row r="19" spans="1:12" ht="28.8" customHeight="1" x14ac:dyDescent="0.3">
      <c r="A19" s="101">
        <v>46142</v>
      </c>
      <c r="B19" s="101">
        <v>46171</v>
      </c>
      <c r="C19" s="102" t="s">
        <v>27</v>
      </c>
      <c r="D19" s="102" t="s">
        <v>64</v>
      </c>
      <c r="E19" s="103" t="s">
        <v>65</v>
      </c>
      <c r="F19" s="103" t="s">
        <v>66</v>
      </c>
      <c r="G19" s="104">
        <v>204447</v>
      </c>
      <c r="H19" s="102" t="s">
        <v>127</v>
      </c>
      <c r="I19" s="102" t="s">
        <v>27</v>
      </c>
      <c r="J19" s="102"/>
      <c r="K19" s="103" t="s">
        <v>67</v>
      </c>
      <c r="L19" s="101">
        <f t="shared" si="0"/>
        <v>46171</v>
      </c>
    </row>
    <row r="20" spans="1:12" ht="28.8" customHeight="1" x14ac:dyDescent="0.3">
      <c r="A20" s="101">
        <v>46155</v>
      </c>
      <c r="B20" s="101">
        <v>46199</v>
      </c>
      <c r="C20" s="102" t="s">
        <v>76</v>
      </c>
      <c r="D20" s="102" t="s">
        <v>77</v>
      </c>
      <c r="E20" s="103" t="s">
        <v>78</v>
      </c>
      <c r="F20" s="103" t="s">
        <v>16</v>
      </c>
      <c r="G20" s="104">
        <v>523356</v>
      </c>
      <c r="H20" s="102" t="s">
        <v>218</v>
      </c>
      <c r="I20" s="102" t="s">
        <v>27</v>
      </c>
      <c r="J20" s="102" t="str">
        <f>IFERROR(VLOOKUP(D20, '13.05.2026'!D:J, 7, FALSE), "")</f>
        <v/>
      </c>
      <c r="K20" s="103" t="s">
        <v>80</v>
      </c>
      <c r="L20" s="101">
        <f t="shared" si="0"/>
        <v>46199</v>
      </c>
    </row>
    <row r="21" spans="1:12" x14ac:dyDescent="0.3">
      <c r="F21" s="109" t="s">
        <v>94</v>
      </c>
      <c r="G21" s="110">
        <f>SUM(G3:G20)</f>
        <v>3480665.7</v>
      </c>
    </row>
    <row r="23" spans="1:12" x14ac:dyDescent="0.3">
      <c r="F23" s="111" t="s">
        <v>95</v>
      </c>
    </row>
    <row r="24" spans="1:12" x14ac:dyDescent="0.3">
      <c r="F24" t="s">
        <v>96</v>
      </c>
      <c r="G24" s="18">
        <f ca="1">SUMIFS(G3:G20, J3:J20, "*CASH SALE*", L3:L20, "&gt;="&amp;EOMONTH(TODAY(),-1)+1, L3:L20, "&lt;="&amp;EOMONTH(TODAY(),0))</f>
        <v>141645.5</v>
      </c>
      <c r="I24" t="s">
        <v>97</v>
      </c>
      <c r="J24" s="18">
        <f ca="1">SUMIFS(G3:G20, J3:J20, "*CASH SALE*", L3:L20, "&gt;="&amp;EOMONTH(TODAY(),0)+1, L3:L20, "&lt;="&amp;EOMONTH(TODAY(),1))</f>
        <v>0</v>
      </c>
    </row>
    <row r="25" spans="1:12" x14ac:dyDescent="0.3">
      <c r="F25" t="s">
        <v>98</v>
      </c>
      <c r="G25" s="18">
        <f ca="1">SUMIFS(G3:G20, J3:J20, "*ACCOUNT*", L3:L20, "&gt;="&amp;EOMONTH(TODAY(),-1)+1, L3:L20, "&lt;="&amp;EOMONTH(TODAY(),0))</f>
        <v>787101.29999999993</v>
      </c>
      <c r="I25" t="s">
        <v>99</v>
      </c>
      <c r="J25" s="18">
        <f ca="1">SUMIFS(G3:G20, J3:J20, "*ACCOUNT*", L3:L20, "&gt;="&amp;EOMONTH(TODAY(),0)+1, L3:L20, "&lt;="&amp;EOMONTH(TODAY(),1))</f>
        <v>0</v>
      </c>
    </row>
    <row r="27" spans="1:12" ht="28.8" customHeight="1" x14ac:dyDescent="0.3">
      <c r="A27" s="96" t="s">
        <v>1</v>
      </c>
      <c r="B27" s="96" t="s">
        <v>2</v>
      </c>
      <c r="C27" s="96" t="s">
        <v>3</v>
      </c>
      <c r="D27" s="96" t="s">
        <v>4</v>
      </c>
      <c r="E27" s="96" t="s">
        <v>5</v>
      </c>
      <c r="F27" s="96" t="s">
        <v>6</v>
      </c>
      <c r="G27" s="96" t="s">
        <v>7</v>
      </c>
      <c r="H27" s="96" t="s">
        <v>8</v>
      </c>
      <c r="I27" s="96" t="s">
        <v>9</v>
      </c>
      <c r="J27" s="96" t="s">
        <v>10</v>
      </c>
      <c r="K27" s="96" t="s">
        <v>100</v>
      </c>
    </row>
    <row r="28" spans="1:12" x14ac:dyDescent="0.3">
      <c r="A28" s="112">
        <v>46154</v>
      </c>
      <c r="B28" s="112">
        <v>46156.32709233796</v>
      </c>
      <c r="C28" s="113" t="s">
        <v>209</v>
      </c>
      <c r="D28" s="113" t="s">
        <v>210</v>
      </c>
      <c r="E28" s="113" t="s">
        <v>209</v>
      </c>
      <c r="F28" s="113" t="s">
        <v>211</v>
      </c>
      <c r="G28" s="108">
        <v>10263.75</v>
      </c>
      <c r="H28" s="113" t="s">
        <v>106</v>
      </c>
      <c r="I28" s="113" t="s">
        <v>207</v>
      </c>
      <c r="J28" s="113" t="s">
        <v>25</v>
      </c>
      <c r="K28" s="107"/>
    </row>
    <row r="29" spans="1:12" x14ac:dyDescent="0.3">
      <c r="A29" s="112">
        <v>46154</v>
      </c>
      <c r="B29" s="112">
        <v>46156.32709233796</v>
      </c>
      <c r="C29" s="113" t="s">
        <v>213</v>
      </c>
      <c r="D29" s="113" t="s">
        <v>214</v>
      </c>
      <c r="E29" s="113" t="s">
        <v>215</v>
      </c>
      <c r="F29" s="113" t="s">
        <v>216</v>
      </c>
      <c r="G29" s="108">
        <v>50610.35</v>
      </c>
      <c r="H29" s="113" t="s">
        <v>127</v>
      </c>
      <c r="I29" s="113" t="s">
        <v>18</v>
      </c>
      <c r="J29" s="113" t="s">
        <v>19</v>
      </c>
      <c r="K29" s="107"/>
    </row>
    <row r="30" spans="1:12" x14ac:dyDescent="0.3">
      <c r="F30" s="109" t="s">
        <v>101</v>
      </c>
      <c r="G30" s="110">
        <f>SUM(G28:G29)</f>
        <v>60874.1</v>
      </c>
    </row>
    <row r="32" spans="1:12" x14ac:dyDescent="0.3">
      <c r="F32" s="109" t="s">
        <v>102</v>
      </c>
      <c r="G32" s="110">
        <f>SUMIFS(G3:G20, I3:I20, "*Ready*Dispatch*")</f>
        <v>10263.75</v>
      </c>
    </row>
  </sheetData>
  <pageMargins left="0.25" right="0.25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36"/>
  <sheetViews>
    <sheetView zoomScale="80" zoomScaleNormal="80" workbookViewId="0">
      <pane xSplit="4" ySplit="2" topLeftCell="E3" activePane="bottomRight" state="frozen"/>
      <selection pane="topRight"/>
      <selection pane="bottomLeft"/>
      <selection pane="bottomRight" activeCell="K9" sqref="K9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s="41" customFormat="1" ht="18" customHeight="1" x14ac:dyDescent="0.35">
      <c r="A1" s="40" t="s">
        <v>0</v>
      </c>
      <c r="K1" s="118">
        <f ca="1">TODAY()</f>
        <v>46171</v>
      </c>
    </row>
    <row r="2" spans="1:12" ht="43.2" customHeight="1" x14ac:dyDescent="0.3">
      <c r="A2" s="123" t="s">
        <v>1</v>
      </c>
      <c r="B2" s="123" t="s">
        <v>2</v>
      </c>
      <c r="C2" s="123" t="s">
        <v>3</v>
      </c>
      <c r="D2" s="123" t="s">
        <v>4</v>
      </c>
      <c r="E2" s="123" t="s">
        <v>5</v>
      </c>
      <c r="F2" s="123" t="s">
        <v>6</v>
      </c>
      <c r="G2" s="123" t="s">
        <v>7</v>
      </c>
      <c r="H2" s="123" t="s">
        <v>8</v>
      </c>
      <c r="I2" s="123" t="s">
        <v>9</v>
      </c>
      <c r="J2" s="123" t="s">
        <v>10</v>
      </c>
      <c r="K2" s="123" t="s">
        <v>11</v>
      </c>
      <c r="L2" s="123" t="s">
        <v>12</v>
      </c>
    </row>
    <row r="3" spans="1:12" x14ac:dyDescent="0.3">
      <c r="A3" s="124">
        <v>46157</v>
      </c>
      <c r="B3" s="124">
        <v>46157.344193969897</v>
      </c>
      <c r="C3" s="125" t="s">
        <v>219</v>
      </c>
      <c r="D3" s="125" t="s">
        <v>220</v>
      </c>
      <c r="E3" s="126" t="s">
        <v>221</v>
      </c>
      <c r="F3" s="126" t="s">
        <v>222</v>
      </c>
      <c r="G3" s="127">
        <v>14821.2</v>
      </c>
      <c r="H3" s="125" t="s">
        <v>113</v>
      </c>
      <c r="I3" s="125" t="s">
        <v>18</v>
      </c>
      <c r="J3" s="125" t="s">
        <v>19</v>
      </c>
      <c r="K3" s="126" t="s">
        <v>223</v>
      </c>
      <c r="L3" s="124">
        <f t="shared" ref="L3:L23" si="0">B3</f>
        <v>46157.344193969897</v>
      </c>
    </row>
    <row r="4" spans="1:12" x14ac:dyDescent="0.3">
      <c r="A4" s="124">
        <v>46154</v>
      </c>
      <c r="B4" s="124">
        <v>46157.344193969897</v>
      </c>
      <c r="C4" s="125" t="s">
        <v>209</v>
      </c>
      <c r="D4" s="125" t="s">
        <v>210</v>
      </c>
      <c r="E4" s="126" t="s">
        <v>209</v>
      </c>
      <c r="F4" s="126" t="s">
        <v>211</v>
      </c>
      <c r="G4" s="127">
        <v>10263.75</v>
      </c>
      <c r="H4" s="125" t="s">
        <v>106</v>
      </c>
      <c r="I4" s="125" t="s">
        <v>207</v>
      </c>
      <c r="J4" s="125" t="s">
        <v>25</v>
      </c>
      <c r="K4" s="126" t="s">
        <v>224</v>
      </c>
      <c r="L4" s="124">
        <f t="shared" si="0"/>
        <v>46157.344193969897</v>
      </c>
    </row>
    <row r="5" spans="1:12" ht="144" customHeight="1" x14ac:dyDescent="0.3">
      <c r="A5" s="124">
        <v>46154</v>
      </c>
      <c r="B5" s="124">
        <v>46157.344193969897</v>
      </c>
      <c r="C5" s="125" t="s">
        <v>213</v>
      </c>
      <c r="D5" s="125" t="s">
        <v>214</v>
      </c>
      <c r="E5" s="126" t="s">
        <v>215</v>
      </c>
      <c r="F5" s="126" t="s">
        <v>216</v>
      </c>
      <c r="G5" s="127">
        <v>50610.35</v>
      </c>
      <c r="H5" s="125" t="s">
        <v>127</v>
      </c>
      <c r="I5" s="125" t="s">
        <v>207</v>
      </c>
      <c r="J5" s="125" t="s">
        <v>19</v>
      </c>
      <c r="K5" s="126" t="s">
        <v>225</v>
      </c>
      <c r="L5" s="124">
        <f t="shared" si="0"/>
        <v>46157.344193969897</v>
      </c>
    </row>
    <row r="6" spans="1:12" x14ac:dyDescent="0.3">
      <c r="A6" s="132">
        <v>46142</v>
      </c>
      <c r="B6" s="132">
        <v>46160</v>
      </c>
      <c r="C6" s="133" t="s">
        <v>226</v>
      </c>
      <c r="D6" s="133" t="s">
        <v>157</v>
      </c>
      <c r="E6" s="134" t="s">
        <v>158</v>
      </c>
      <c r="F6" s="134" t="s">
        <v>159</v>
      </c>
      <c r="G6" s="135">
        <v>89230.8</v>
      </c>
      <c r="H6" s="133" t="s">
        <v>113</v>
      </c>
      <c r="I6" s="133" t="s">
        <v>18</v>
      </c>
      <c r="J6" s="133" t="s">
        <v>25</v>
      </c>
      <c r="K6" s="134" t="s">
        <v>227</v>
      </c>
      <c r="L6" s="132">
        <f t="shared" si="0"/>
        <v>46160</v>
      </c>
    </row>
    <row r="7" spans="1:12" x14ac:dyDescent="0.3">
      <c r="A7" s="132">
        <v>46154</v>
      </c>
      <c r="B7" s="132">
        <v>46161</v>
      </c>
      <c r="C7" s="133" t="s">
        <v>194</v>
      </c>
      <c r="D7" s="133" t="s">
        <v>195</v>
      </c>
      <c r="E7" s="134" t="s">
        <v>194</v>
      </c>
      <c r="F7" s="134" t="s">
        <v>196</v>
      </c>
      <c r="G7" s="135">
        <v>12224.5</v>
      </c>
      <c r="H7" s="133" t="s">
        <v>127</v>
      </c>
      <c r="I7" s="133" t="s">
        <v>18</v>
      </c>
      <c r="J7" s="133" t="s">
        <v>25</v>
      </c>
      <c r="K7" s="134" t="s">
        <v>228</v>
      </c>
      <c r="L7" s="132">
        <f t="shared" si="0"/>
        <v>46161</v>
      </c>
    </row>
    <row r="8" spans="1:12" x14ac:dyDescent="0.3">
      <c r="A8" s="132">
        <v>46149</v>
      </c>
      <c r="B8" s="132">
        <v>46163</v>
      </c>
      <c r="C8" s="133" t="s">
        <v>21</v>
      </c>
      <c r="D8" s="133" t="s">
        <v>22</v>
      </c>
      <c r="E8" s="134" t="s">
        <v>23</v>
      </c>
      <c r="F8" s="134" t="s">
        <v>24</v>
      </c>
      <c r="G8" s="135">
        <v>24910.15</v>
      </c>
      <c r="H8" s="133" t="s">
        <v>106</v>
      </c>
      <c r="I8" s="133" t="s">
        <v>18</v>
      </c>
      <c r="J8" s="133" t="s">
        <v>25</v>
      </c>
      <c r="K8" s="134" t="s">
        <v>229</v>
      </c>
      <c r="L8" s="132">
        <f t="shared" si="0"/>
        <v>46163</v>
      </c>
    </row>
    <row r="9" spans="1:12" x14ac:dyDescent="0.3">
      <c r="A9" s="132">
        <v>46077</v>
      </c>
      <c r="B9" s="132">
        <v>46169</v>
      </c>
      <c r="C9" s="133" t="s">
        <v>144</v>
      </c>
      <c r="D9" s="133" t="s">
        <v>145</v>
      </c>
      <c r="E9" s="134" t="s">
        <v>146</v>
      </c>
      <c r="F9" s="134" t="s">
        <v>147</v>
      </c>
      <c r="G9" s="135">
        <v>94247.1</v>
      </c>
      <c r="H9" s="133" t="s">
        <v>113</v>
      </c>
      <c r="I9" s="133" t="s">
        <v>18</v>
      </c>
      <c r="J9" s="133" t="s">
        <v>114</v>
      </c>
      <c r="K9" s="134" t="s">
        <v>230</v>
      </c>
      <c r="L9" s="132">
        <f t="shared" si="0"/>
        <v>46169</v>
      </c>
    </row>
    <row r="10" spans="1:12" x14ac:dyDescent="0.3">
      <c r="A10" s="132">
        <v>46069</v>
      </c>
      <c r="B10" s="132">
        <v>46170</v>
      </c>
      <c r="C10" s="133" t="s">
        <v>138</v>
      </c>
      <c r="D10" s="133" t="s">
        <v>139</v>
      </c>
      <c r="E10" s="134" t="s">
        <v>140</v>
      </c>
      <c r="F10" s="134" t="s">
        <v>141</v>
      </c>
      <c r="G10" s="135">
        <v>379993.35</v>
      </c>
      <c r="H10" s="133" t="s">
        <v>142</v>
      </c>
      <c r="I10" s="133" t="s">
        <v>18</v>
      </c>
      <c r="J10" s="133" t="s">
        <v>19</v>
      </c>
      <c r="K10" s="134" t="s">
        <v>231</v>
      </c>
      <c r="L10" s="132">
        <f t="shared" si="0"/>
        <v>46170</v>
      </c>
    </row>
    <row r="11" spans="1:12" ht="28.8" customHeight="1" x14ac:dyDescent="0.3">
      <c r="A11" s="132">
        <v>46112</v>
      </c>
      <c r="B11" s="132">
        <v>46170</v>
      </c>
      <c r="C11" s="133" t="s">
        <v>13</v>
      </c>
      <c r="D11" s="133" t="s">
        <v>14</v>
      </c>
      <c r="E11" s="134" t="s">
        <v>15</v>
      </c>
      <c r="F11" s="134" t="s">
        <v>16</v>
      </c>
      <c r="G11" s="135">
        <v>103711</v>
      </c>
      <c r="H11" s="133" t="s">
        <v>106</v>
      </c>
      <c r="I11" s="133" t="s">
        <v>18</v>
      </c>
      <c r="J11" s="133" t="s">
        <v>19</v>
      </c>
      <c r="K11" s="134" t="s">
        <v>232</v>
      </c>
      <c r="L11" s="132">
        <f t="shared" si="0"/>
        <v>46170</v>
      </c>
    </row>
    <row r="12" spans="1:12" ht="28.8" customHeight="1" x14ac:dyDescent="0.3">
      <c r="A12" s="132">
        <v>46112</v>
      </c>
      <c r="B12" s="132">
        <v>46170</v>
      </c>
      <c r="C12" s="133" t="s">
        <v>120</v>
      </c>
      <c r="D12" s="133" t="s">
        <v>121</v>
      </c>
      <c r="E12" s="134" t="s">
        <v>122</v>
      </c>
      <c r="F12" s="134" t="s">
        <v>16</v>
      </c>
      <c r="G12" s="135">
        <v>83433</v>
      </c>
      <c r="H12" s="133" t="s">
        <v>106</v>
      </c>
      <c r="I12" s="133" t="s">
        <v>18</v>
      </c>
      <c r="J12" s="133" t="s">
        <v>19</v>
      </c>
      <c r="K12" s="134" t="s">
        <v>233</v>
      </c>
      <c r="L12" s="132">
        <f t="shared" si="0"/>
        <v>46170</v>
      </c>
    </row>
    <row r="13" spans="1:12" ht="28.8" customHeight="1" x14ac:dyDescent="0.3">
      <c r="A13" s="132">
        <v>46111</v>
      </c>
      <c r="B13" s="132">
        <v>46171</v>
      </c>
      <c r="C13" s="133" t="s">
        <v>38</v>
      </c>
      <c r="D13" s="133" t="s">
        <v>39</v>
      </c>
      <c r="E13" s="134" t="s">
        <v>40</v>
      </c>
      <c r="F13" s="134" t="s">
        <v>41</v>
      </c>
      <c r="G13" s="135">
        <v>9014.2099999999991</v>
      </c>
      <c r="H13" s="133" t="s">
        <v>106</v>
      </c>
      <c r="I13" s="133" t="s">
        <v>42</v>
      </c>
      <c r="J13" s="133" t="s">
        <v>234</v>
      </c>
      <c r="K13" s="134" t="s">
        <v>235</v>
      </c>
      <c r="L13" s="132">
        <f t="shared" si="0"/>
        <v>46171</v>
      </c>
    </row>
    <row r="14" spans="1:12" x14ac:dyDescent="0.3">
      <c r="A14" s="132">
        <v>46111</v>
      </c>
      <c r="B14" s="132">
        <v>46171</v>
      </c>
      <c r="C14" s="133" t="s">
        <v>44</v>
      </c>
      <c r="D14" s="133" t="s">
        <v>45</v>
      </c>
      <c r="E14" s="134" t="s">
        <v>46</v>
      </c>
      <c r="F14" s="134" t="s">
        <v>47</v>
      </c>
      <c r="G14" s="135">
        <v>169353.60000000001</v>
      </c>
      <c r="H14" s="133" t="s">
        <v>113</v>
      </c>
      <c r="I14" s="133" t="s">
        <v>42</v>
      </c>
      <c r="J14" s="133" t="str">
        <f>IFERROR(VLOOKUP(D14, '14.05.2026'!D:J, 7, FALSE), "")</f>
        <v>ACCOUNT - UP TO DATE</v>
      </c>
      <c r="K14" s="134" t="s">
        <v>236</v>
      </c>
      <c r="L14" s="132">
        <f t="shared" si="0"/>
        <v>46171</v>
      </c>
    </row>
    <row r="15" spans="1:12" ht="115.2" customHeight="1" x14ac:dyDescent="0.3">
      <c r="A15" s="128">
        <v>46128</v>
      </c>
      <c r="B15" s="128">
        <v>46171</v>
      </c>
      <c r="C15" s="129" t="s">
        <v>27</v>
      </c>
      <c r="D15" s="129" t="s">
        <v>50</v>
      </c>
      <c r="E15" s="130" t="s">
        <v>51</v>
      </c>
      <c r="F15" s="130" t="s">
        <v>52</v>
      </c>
      <c r="G15" s="131">
        <v>82900.05</v>
      </c>
      <c r="H15" s="129" t="s">
        <v>113</v>
      </c>
      <c r="I15" s="129" t="s">
        <v>27</v>
      </c>
      <c r="J15" s="129" t="s">
        <v>19</v>
      </c>
      <c r="K15" s="130" t="s">
        <v>237</v>
      </c>
      <c r="L15" s="128">
        <f t="shared" si="0"/>
        <v>46171</v>
      </c>
    </row>
    <row r="16" spans="1:12" x14ac:dyDescent="0.3">
      <c r="A16" s="128">
        <v>46142</v>
      </c>
      <c r="B16" s="128">
        <v>46171</v>
      </c>
      <c r="C16" s="129" t="s">
        <v>27</v>
      </c>
      <c r="D16" s="129" t="s">
        <v>28</v>
      </c>
      <c r="E16" s="130" t="s">
        <v>29</v>
      </c>
      <c r="F16" s="130" t="s">
        <v>30</v>
      </c>
      <c r="G16" s="131">
        <v>554227.55000000005</v>
      </c>
      <c r="H16" s="129" t="s">
        <v>127</v>
      </c>
      <c r="I16" s="129" t="s">
        <v>27</v>
      </c>
      <c r="J16" s="129" t="s">
        <v>234</v>
      </c>
      <c r="K16" s="130" t="s">
        <v>238</v>
      </c>
      <c r="L16" s="128">
        <f t="shared" si="0"/>
        <v>46171</v>
      </c>
    </row>
    <row r="17" spans="1:12" x14ac:dyDescent="0.3">
      <c r="A17" s="128">
        <v>46142</v>
      </c>
      <c r="B17" s="128">
        <v>46171</v>
      </c>
      <c r="C17" s="129" t="s">
        <v>27</v>
      </c>
      <c r="D17" s="129" t="s">
        <v>161</v>
      </c>
      <c r="E17" s="130" t="s">
        <v>65</v>
      </c>
      <c r="F17" s="130" t="s">
        <v>162</v>
      </c>
      <c r="G17" s="131">
        <v>13711.09</v>
      </c>
      <c r="H17" s="129" t="s">
        <v>106</v>
      </c>
      <c r="I17" s="129" t="s">
        <v>27</v>
      </c>
      <c r="J17" s="129" t="s">
        <v>234</v>
      </c>
      <c r="K17" s="130" t="s">
        <v>239</v>
      </c>
      <c r="L17" s="128">
        <f t="shared" si="0"/>
        <v>46171</v>
      </c>
    </row>
    <row r="18" spans="1:12" ht="28.8" customHeight="1" x14ac:dyDescent="0.3">
      <c r="A18" s="128">
        <v>46142</v>
      </c>
      <c r="B18" s="128">
        <v>46171</v>
      </c>
      <c r="C18" s="129" t="s">
        <v>27</v>
      </c>
      <c r="D18" s="129" t="s">
        <v>54</v>
      </c>
      <c r="E18" s="130" t="s">
        <v>55</v>
      </c>
      <c r="F18" s="130" t="s">
        <v>56</v>
      </c>
      <c r="G18" s="131">
        <v>426010.6</v>
      </c>
      <c r="H18" s="129" t="s">
        <v>127</v>
      </c>
      <c r="I18" s="129" t="s">
        <v>27</v>
      </c>
      <c r="J18" s="129" t="s">
        <v>19</v>
      </c>
      <c r="K18" s="130" t="s">
        <v>240</v>
      </c>
      <c r="L18" s="128">
        <f t="shared" si="0"/>
        <v>46171</v>
      </c>
    </row>
    <row r="19" spans="1:12" ht="72" customHeight="1" x14ac:dyDescent="0.3">
      <c r="A19" s="128">
        <v>46142</v>
      </c>
      <c r="B19" s="128">
        <v>46171</v>
      </c>
      <c r="C19" s="129" t="s">
        <v>58</v>
      </c>
      <c r="D19" s="129" t="s">
        <v>59</v>
      </c>
      <c r="E19" s="130" t="s">
        <v>60</v>
      </c>
      <c r="F19" s="130" t="s">
        <v>61</v>
      </c>
      <c r="G19" s="131">
        <v>310411</v>
      </c>
      <c r="H19" s="129" t="s">
        <v>177</v>
      </c>
      <c r="I19" s="129" t="s">
        <v>27</v>
      </c>
      <c r="J19" s="129" t="s">
        <v>234</v>
      </c>
      <c r="K19" s="130" t="s">
        <v>241</v>
      </c>
      <c r="L19" s="128">
        <f t="shared" si="0"/>
        <v>46171</v>
      </c>
    </row>
    <row r="20" spans="1:12" x14ac:dyDescent="0.3">
      <c r="A20" s="128">
        <v>46142</v>
      </c>
      <c r="B20" s="128">
        <v>46171</v>
      </c>
      <c r="C20" s="129" t="s">
        <v>27</v>
      </c>
      <c r="D20" s="129" t="s">
        <v>64</v>
      </c>
      <c r="E20" s="130" t="s">
        <v>65</v>
      </c>
      <c r="F20" s="130" t="s">
        <v>66</v>
      </c>
      <c r="G20" s="131">
        <v>204447</v>
      </c>
      <c r="H20" s="129" t="s">
        <v>127</v>
      </c>
      <c r="I20" s="129" t="s">
        <v>27</v>
      </c>
      <c r="J20" s="129" t="s">
        <v>234</v>
      </c>
      <c r="K20" s="130" t="s">
        <v>242</v>
      </c>
      <c r="L20" s="128">
        <f t="shared" si="0"/>
        <v>46171</v>
      </c>
    </row>
    <row r="21" spans="1:12" ht="72" customHeight="1" x14ac:dyDescent="0.3">
      <c r="A21" s="128">
        <v>46156</v>
      </c>
      <c r="B21" s="128">
        <v>46171</v>
      </c>
      <c r="C21" s="129" t="s">
        <v>33</v>
      </c>
      <c r="D21" s="129" t="s">
        <v>34</v>
      </c>
      <c r="E21" s="130" t="s">
        <v>35</v>
      </c>
      <c r="F21" s="130" t="s">
        <v>36</v>
      </c>
      <c r="G21" s="131">
        <v>234420.6</v>
      </c>
      <c r="H21" s="129" t="s">
        <v>127</v>
      </c>
      <c r="I21" s="129" t="s">
        <v>27</v>
      </c>
      <c r="J21" s="129" t="s">
        <v>234</v>
      </c>
      <c r="K21" s="130" t="s">
        <v>243</v>
      </c>
      <c r="L21" s="128">
        <f t="shared" si="0"/>
        <v>46171</v>
      </c>
    </row>
    <row r="22" spans="1:12" ht="28.8" customHeight="1" x14ac:dyDescent="0.3">
      <c r="A22" s="128">
        <v>46155</v>
      </c>
      <c r="B22" s="128">
        <v>46199</v>
      </c>
      <c r="C22" s="129" t="s">
        <v>76</v>
      </c>
      <c r="D22" s="129" t="s">
        <v>77</v>
      </c>
      <c r="E22" s="130" t="s">
        <v>78</v>
      </c>
      <c r="F22" s="130" t="s">
        <v>16</v>
      </c>
      <c r="G22" s="131">
        <v>523356</v>
      </c>
      <c r="H22" s="129" t="s">
        <v>218</v>
      </c>
      <c r="I22" s="129" t="s">
        <v>27</v>
      </c>
      <c r="J22" s="129" t="s">
        <v>19</v>
      </c>
      <c r="K22" s="130" t="s">
        <v>244</v>
      </c>
      <c r="L22" s="128">
        <f t="shared" si="0"/>
        <v>46199</v>
      </c>
    </row>
    <row r="23" spans="1:12" ht="28.8" customHeight="1" x14ac:dyDescent="0.3">
      <c r="A23" s="132">
        <v>46156</v>
      </c>
      <c r="B23" s="132">
        <v>46203</v>
      </c>
      <c r="C23" s="133" t="s">
        <v>245</v>
      </c>
      <c r="D23" s="133" t="s">
        <v>246</v>
      </c>
      <c r="E23" s="134" t="s">
        <v>247</v>
      </c>
      <c r="F23" s="134" t="s">
        <v>89</v>
      </c>
      <c r="G23" s="135">
        <v>6668.62</v>
      </c>
      <c r="H23" s="133" t="s">
        <v>106</v>
      </c>
      <c r="I23" s="133" t="s">
        <v>18</v>
      </c>
      <c r="J23" s="133" t="s">
        <v>19</v>
      </c>
      <c r="K23" s="134" t="s">
        <v>248</v>
      </c>
      <c r="L23" s="132">
        <f t="shared" si="0"/>
        <v>46203</v>
      </c>
    </row>
    <row r="24" spans="1:12" x14ac:dyDescent="0.3">
      <c r="F24" s="136" t="s">
        <v>94</v>
      </c>
      <c r="G24" s="137">
        <f>SUM(G3:G23)</f>
        <v>3397965.52</v>
      </c>
    </row>
    <row r="26" spans="1:12" x14ac:dyDescent="0.3">
      <c r="F26" s="138" t="s">
        <v>95</v>
      </c>
    </row>
    <row r="27" spans="1:12" x14ac:dyDescent="0.3">
      <c r="F27" t="s">
        <v>96</v>
      </c>
      <c r="G27" s="18">
        <f ca="1">SUMIFS(G3:G23, J3:J23, "*CASH SALE*", L3:L23, "&gt;="&amp;EOMONTH(TODAY(),-1)+1, L3:L23, "&lt;="&amp;EOMONTH(TODAY(),0))</f>
        <v>1557107.75</v>
      </c>
      <c r="I27" t="s">
        <v>97</v>
      </c>
      <c r="J27" s="18">
        <f ca="1">SUMIFS(G3:G23, J3:J23, "*CASH SALE*", L3:L23, "&gt;="&amp;EOMONTH(TODAY(),0)+1, L3:L23, "&lt;="&amp;EOMONTH(TODAY(),1))</f>
        <v>0</v>
      </c>
    </row>
    <row r="28" spans="1:12" x14ac:dyDescent="0.3">
      <c r="F28" t="s">
        <v>98</v>
      </c>
      <c r="G28" s="18">
        <f ca="1">SUMIFS(G3:G23, J3:J23, "*ACCOUNT*", L3:L23, "&gt;="&amp;EOMONTH(TODAY(),-1)+1, L3:L23, "&lt;="&amp;EOMONTH(TODAY(),0))</f>
        <v>1310833.1499999999</v>
      </c>
      <c r="I28" t="s">
        <v>99</v>
      </c>
      <c r="J28" s="18">
        <f ca="1">SUMIFS(G3:G23, J3:J23, "*ACCOUNT*", L3:L23, "&gt;="&amp;EOMONTH(TODAY(),0)+1, L3:L23, "&lt;="&amp;EOMONTH(TODAY(),1))</f>
        <v>530024.62</v>
      </c>
    </row>
    <row r="30" spans="1:12" ht="28.8" customHeight="1" x14ac:dyDescent="0.3">
      <c r="A30" s="123" t="s">
        <v>1</v>
      </c>
      <c r="B30" s="123" t="s">
        <v>2</v>
      </c>
      <c r="C30" s="123" t="s">
        <v>3</v>
      </c>
      <c r="D30" s="123" t="s">
        <v>4</v>
      </c>
      <c r="E30" s="123" t="s">
        <v>5</v>
      </c>
      <c r="F30" s="123" t="s">
        <v>6</v>
      </c>
      <c r="G30" s="123" t="s">
        <v>7</v>
      </c>
      <c r="H30" s="123" t="s">
        <v>8</v>
      </c>
      <c r="I30" s="123" t="s">
        <v>9</v>
      </c>
      <c r="J30" s="123" t="s">
        <v>10</v>
      </c>
      <c r="K30" s="123" t="s">
        <v>100</v>
      </c>
    </row>
    <row r="31" spans="1:12" x14ac:dyDescent="0.3">
      <c r="A31" s="139">
        <v>46154</v>
      </c>
      <c r="B31" s="139">
        <v>46157.344193969897</v>
      </c>
      <c r="C31" s="140" t="s">
        <v>209</v>
      </c>
      <c r="D31" s="140" t="s">
        <v>210</v>
      </c>
      <c r="E31" s="140" t="s">
        <v>209</v>
      </c>
      <c r="F31" s="140" t="s">
        <v>211</v>
      </c>
      <c r="G31" s="135">
        <v>10263.75</v>
      </c>
      <c r="H31" s="140" t="s">
        <v>106</v>
      </c>
      <c r="I31" s="140" t="s">
        <v>207</v>
      </c>
      <c r="J31" s="140" t="s">
        <v>25</v>
      </c>
      <c r="K31" s="134"/>
    </row>
    <row r="32" spans="1:12" x14ac:dyDescent="0.3">
      <c r="A32" s="139">
        <v>46154</v>
      </c>
      <c r="B32" s="139">
        <v>46157.344193969897</v>
      </c>
      <c r="C32" s="140" t="s">
        <v>213</v>
      </c>
      <c r="D32" s="140" t="s">
        <v>214</v>
      </c>
      <c r="E32" s="140" t="s">
        <v>215</v>
      </c>
      <c r="F32" s="140" t="s">
        <v>216</v>
      </c>
      <c r="G32" s="135">
        <v>50610.35</v>
      </c>
      <c r="H32" s="140" t="s">
        <v>127</v>
      </c>
      <c r="I32" s="140" t="s">
        <v>207</v>
      </c>
      <c r="J32" s="140" t="s">
        <v>19</v>
      </c>
      <c r="K32" s="134"/>
    </row>
    <row r="33" spans="1:11" x14ac:dyDescent="0.3">
      <c r="A33" s="139">
        <v>46157</v>
      </c>
      <c r="B33" s="139">
        <v>46157.344193969897</v>
      </c>
      <c r="C33" s="140" t="s">
        <v>219</v>
      </c>
      <c r="D33" s="140" t="s">
        <v>220</v>
      </c>
      <c r="E33" s="140" t="s">
        <v>221</v>
      </c>
      <c r="F33" s="140" t="s">
        <v>222</v>
      </c>
      <c r="G33" s="135">
        <v>14821.2</v>
      </c>
      <c r="H33" s="140" t="s">
        <v>113</v>
      </c>
      <c r="I33" s="140" t="s">
        <v>18</v>
      </c>
      <c r="J33" s="140" t="s">
        <v>19</v>
      </c>
      <c r="K33" s="134"/>
    </row>
    <row r="34" spans="1:11" x14ac:dyDescent="0.3">
      <c r="F34" s="136" t="s">
        <v>101</v>
      </c>
      <c r="G34" s="137">
        <f>SUM(G31:G33)</f>
        <v>75695.3</v>
      </c>
    </row>
    <row r="36" spans="1:11" x14ac:dyDescent="0.3">
      <c r="F36" s="136" t="s">
        <v>102</v>
      </c>
      <c r="G36" s="137">
        <f>SUMIFS(G3:G23, I3:I23, "*Ready*Dispatch*")</f>
        <v>60874.1</v>
      </c>
    </row>
  </sheetData>
  <printOptions horizontalCentered="1"/>
  <pageMargins left="0.23622047244094491" right="0.23622047244094491" top="0.35433070866141742" bottom="0.15748031496062989" header="0.31496062992125978" footer="0.31496062992125978"/>
  <pageSetup scale="5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36"/>
  <sheetViews>
    <sheetView zoomScale="80" zoomScaleNormal="80" workbookViewId="0">
      <pane xSplit="4" ySplit="2" topLeftCell="E20" activePane="bottomRight" state="frozen"/>
      <selection pane="topRight"/>
      <selection pane="bottomLeft"/>
      <selection pane="bottomRight" sqref="A1:C1"/>
    </sheetView>
  </sheetViews>
  <sheetFormatPr defaultRowHeight="14.4" x14ac:dyDescent="0.3"/>
  <cols>
    <col min="1" max="2" width="10.5546875" bestFit="1" customWidth="1"/>
    <col min="3" max="3" width="11.33203125" bestFit="1" customWidth="1"/>
    <col min="4" max="4" width="10.77734375" bestFit="1" customWidth="1"/>
    <col min="5" max="5" width="20.5546875" bestFit="1" customWidth="1"/>
    <col min="6" max="6" width="29.33203125" bestFit="1" customWidth="1"/>
    <col min="7" max="7" width="15" customWidth="1"/>
    <col min="8" max="8" width="7.44140625" style="168" customWidth="1"/>
    <col min="9" max="9" width="15" customWidth="1"/>
    <col min="10" max="10" width="21.33203125" bestFit="1" customWidth="1"/>
    <col min="11" max="11" width="50" customWidth="1"/>
    <col min="12" max="12" width="12" customWidth="1"/>
  </cols>
  <sheetData>
    <row r="1" spans="1:12" s="41" customFormat="1" ht="18" customHeight="1" x14ac:dyDescent="0.35">
      <c r="A1" s="306" t="s">
        <v>0</v>
      </c>
      <c r="B1" s="305"/>
      <c r="C1" s="305"/>
      <c r="H1" s="167"/>
      <c r="K1" s="304">
        <f ca="1">TODAY()</f>
        <v>46171</v>
      </c>
      <c r="L1" s="305"/>
    </row>
    <row r="2" spans="1:12" ht="43.2" customHeight="1" x14ac:dyDescent="0.3">
      <c r="A2" s="141" t="s">
        <v>1</v>
      </c>
      <c r="B2" s="141" t="s">
        <v>2</v>
      </c>
      <c r="C2" s="141" t="s">
        <v>3</v>
      </c>
      <c r="D2" s="141" t="s">
        <v>4</v>
      </c>
      <c r="E2" s="141" t="s">
        <v>5</v>
      </c>
      <c r="F2" s="141" t="s">
        <v>6</v>
      </c>
      <c r="G2" s="141" t="s">
        <v>7</v>
      </c>
      <c r="H2" s="141" t="s">
        <v>8</v>
      </c>
      <c r="I2" s="141" t="s">
        <v>9</v>
      </c>
      <c r="J2" s="141" t="s">
        <v>10</v>
      </c>
      <c r="K2" s="141" t="s">
        <v>11</v>
      </c>
      <c r="L2" s="141" t="s">
        <v>12</v>
      </c>
    </row>
    <row r="3" spans="1:12" ht="187.2" customHeight="1" x14ac:dyDescent="0.3">
      <c r="A3" s="142">
        <v>46154</v>
      </c>
      <c r="B3" s="142">
        <v>46160.38742983796</v>
      </c>
      <c r="C3" s="143" t="s">
        <v>213</v>
      </c>
      <c r="D3" s="143" t="s">
        <v>214</v>
      </c>
      <c r="E3" s="144" t="s">
        <v>215</v>
      </c>
      <c r="F3" s="144" t="s">
        <v>216</v>
      </c>
      <c r="G3" s="145">
        <v>50610.35</v>
      </c>
      <c r="H3" s="143" t="s">
        <v>31</v>
      </c>
      <c r="I3" s="143" t="s">
        <v>207</v>
      </c>
      <c r="J3" s="143" t="s">
        <v>19</v>
      </c>
      <c r="K3" s="144" t="s">
        <v>217</v>
      </c>
      <c r="L3" s="142">
        <f t="shared" ref="L3:L24" si="0">B3</f>
        <v>46160.38742983796</v>
      </c>
    </row>
    <row r="4" spans="1:12" x14ac:dyDescent="0.3">
      <c r="A4" s="142">
        <v>46154</v>
      </c>
      <c r="B4" s="142">
        <v>46160.38742983796</v>
      </c>
      <c r="C4" s="143" t="s">
        <v>209</v>
      </c>
      <c r="D4" s="143" t="s">
        <v>210</v>
      </c>
      <c r="E4" s="144" t="s">
        <v>209</v>
      </c>
      <c r="F4" s="144" t="s">
        <v>211</v>
      </c>
      <c r="G4" s="145">
        <v>10263.75</v>
      </c>
      <c r="H4" s="143" t="s">
        <v>17</v>
      </c>
      <c r="I4" s="143" t="s">
        <v>207</v>
      </c>
      <c r="J4" s="143" t="s">
        <v>25</v>
      </c>
      <c r="K4" s="144" t="s">
        <v>212</v>
      </c>
      <c r="L4" s="142">
        <f t="shared" si="0"/>
        <v>46160.38742983796</v>
      </c>
    </row>
    <row r="5" spans="1:12" x14ac:dyDescent="0.3">
      <c r="A5" s="146">
        <v>46142</v>
      </c>
      <c r="B5" s="146">
        <v>46161</v>
      </c>
      <c r="C5" s="147" t="s">
        <v>226</v>
      </c>
      <c r="D5" s="147" t="s">
        <v>157</v>
      </c>
      <c r="E5" s="148" t="s">
        <v>158</v>
      </c>
      <c r="F5" s="148" t="s">
        <v>159</v>
      </c>
      <c r="G5" s="149">
        <v>89230.8</v>
      </c>
      <c r="H5" s="147" t="s">
        <v>48</v>
      </c>
      <c r="I5" s="147" t="s">
        <v>18</v>
      </c>
      <c r="J5" s="147" t="s">
        <v>25</v>
      </c>
      <c r="K5" s="148" t="s">
        <v>249</v>
      </c>
      <c r="L5" s="146">
        <f t="shared" si="0"/>
        <v>46161</v>
      </c>
    </row>
    <row r="6" spans="1:12" ht="57.6" customHeight="1" x14ac:dyDescent="0.3">
      <c r="A6" s="163">
        <v>46160</v>
      </c>
      <c r="B6" s="163">
        <v>46161</v>
      </c>
      <c r="C6" s="164" t="s">
        <v>250</v>
      </c>
      <c r="D6" s="164" t="s">
        <v>251</v>
      </c>
      <c r="E6" s="165" t="s">
        <v>250</v>
      </c>
      <c r="F6" s="165" t="s">
        <v>252</v>
      </c>
      <c r="G6" s="166">
        <v>21986.85</v>
      </c>
      <c r="H6" s="164" t="s">
        <v>31</v>
      </c>
      <c r="I6" s="164" t="s">
        <v>18</v>
      </c>
      <c r="J6" s="164" t="s">
        <v>25</v>
      </c>
      <c r="K6" s="165" t="s">
        <v>253</v>
      </c>
      <c r="L6" s="163">
        <f t="shared" si="0"/>
        <v>46161</v>
      </c>
    </row>
    <row r="7" spans="1:12" ht="28.8" customHeight="1" x14ac:dyDescent="0.3">
      <c r="A7" s="146">
        <v>46157</v>
      </c>
      <c r="B7" s="146">
        <v>46162</v>
      </c>
      <c r="C7" s="147" t="s">
        <v>254</v>
      </c>
      <c r="D7" s="147" t="s">
        <v>255</v>
      </c>
      <c r="E7" s="148" t="s">
        <v>256</v>
      </c>
      <c r="F7" s="148" t="s">
        <v>84</v>
      </c>
      <c r="G7" s="149">
        <v>17622.599999999999</v>
      </c>
      <c r="H7" s="147" t="s">
        <v>17</v>
      </c>
      <c r="I7" s="147" t="s">
        <v>18</v>
      </c>
      <c r="J7" s="147" t="s">
        <v>19</v>
      </c>
      <c r="K7" s="148" t="s">
        <v>257</v>
      </c>
      <c r="L7" s="146">
        <f t="shared" si="0"/>
        <v>46162</v>
      </c>
    </row>
    <row r="8" spans="1:12" x14ac:dyDescent="0.3">
      <c r="A8" s="146">
        <v>46149</v>
      </c>
      <c r="B8" s="146">
        <v>46163</v>
      </c>
      <c r="C8" s="147" t="s">
        <v>21</v>
      </c>
      <c r="D8" s="147" t="s">
        <v>22</v>
      </c>
      <c r="E8" s="148" t="s">
        <v>23</v>
      </c>
      <c r="F8" s="148" t="s">
        <v>24</v>
      </c>
      <c r="G8" s="149">
        <v>24910.15</v>
      </c>
      <c r="H8" s="147" t="s">
        <v>17</v>
      </c>
      <c r="I8" s="147" t="s">
        <v>18</v>
      </c>
      <c r="J8" s="147" t="s">
        <v>25</v>
      </c>
      <c r="K8" s="148" t="s">
        <v>184</v>
      </c>
      <c r="L8" s="146">
        <f t="shared" si="0"/>
        <v>46163</v>
      </c>
    </row>
    <row r="9" spans="1:12" ht="72" customHeight="1" x14ac:dyDescent="0.3">
      <c r="A9" s="163">
        <v>46157</v>
      </c>
      <c r="B9" s="163">
        <v>46164</v>
      </c>
      <c r="C9" s="164" t="s">
        <v>258</v>
      </c>
      <c r="D9" s="164" t="s">
        <v>259</v>
      </c>
      <c r="E9" s="165" t="s">
        <v>260</v>
      </c>
      <c r="F9" s="165" t="s">
        <v>261</v>
      </c>
      <c r="G9" s="166">
        <v>21407.040000000001</v>
      </c>
      <c r="H9" s="164" t="s">
        <v>48</v>
      </c>
      <c r="I9" s="164" t="s">
        <v>18</v>
      </c>
      <c r="J9" s="164" t="s">
        <v>262</v>
      </c>
      <c r="K9" s="165" t="s">
        <v>263</v>
      </c>
      <c r="L9" s="163">
        <f t="shared" si="0"/>
        <v>46164</v>
      </c>
    </row>
    <row r="10" spans="1:12" x14ac:dyDescent="0.3">
      <c r="A10" s="146">
        <v>46077</v>
      </c>
      <c r="B10" s="146">
        <v>46169</v>
      </c>
      <c r="C10" s="147" t="s">
        <v>144</v>
      </c>
      <c r="D10" s="147" t="s">
        <v>145</v>
      </c>
      <c r="E10" s="148" t="s">
        <v>146</v>
      </c>
      <c r="F10" s="148" t="s">
        <v>147</v>
      </c>
      <c r="G10" s="149">
        <v>94247.1</v>
      </c>
      <c r="H10" s="147" t="s">
        <v>48</v>
      </c>
      <c r="I10" s="147" t="s">
        <v>18</v>
      </c>
      <c r="J10" s="147" t="s">
        <v>114</v>
      </c>
      <c r="K10" s="148" t="s">
        <v>148</v>
      </c>
      <c r="L10" s="146">
        <f t="shared" si="0"/>
        <v>46169</v>
      </c>
    </row>
    <row r="11" spans="1:12" ht="28.8" customHeight="1" x14ac:dyDescent="0.3">
      <c r="A11" s="146">
        <v>46069</v>
      </c>
      <c r="B11" s="146">
        <v>46170</v>
      </c>
      <c r="C11" s="147" t="s">
        <v>138</v>
      </c>
      <c r="D11" s="147" t="s">
        <v>139</v>
      </c>
      <c r="E11" s="148" t="s">
        <v>140</v>
      </c>
      <c r="F11" s="148" t="s">
        <v>141</v>
      </c>
      <c r="G11" s="149">
        <v>379993.35</v>
      </c>
      <c r="H11" s="147" t="s">
        <v>264</v>
      </c>
      <c r="I11" s="147" t="s">
        <v>18</v>
      </c>
      <c r="J11" s="147" t="s">
        <v>19</v>
      </c>
      <c r="K11" s="148" t="s">
        <v>143</v>
      </c>
      <c r="L11" s="146">
        <f t="shared" si="0"/>
        <v>46170</v>
      </c>
    </row>
    <row r="12" spans="1:12" ht="28.8" customHeight="1" x14ac:dyDescent="0.3">
      <c r="A12" s="146">
        <v>46112</v>
      </c>
      <c r="B12" s="146">
        <v>46170</v>
      </c>
      <c r="C12" s="147" t="s">
        <v>13</v>
      </c>
      <c r="D12" s="147" t="s">
        <v>14</v>
      </c>
      <c r="E12" s="148" t="s">
        <v>15</v>
      </c>
      <c r="F12" s="148" t="s">
        <v>16</v>
      </c>
      <c r="G12" s="149">
        <v>103711</v>
      </c>
      <c r="H12" s="147" t="s">
        <v>17</v>
      </c>
      <c r="I12" s="147" t="s">
        <v>18</v>
      </c>
      <c r="J12" s="147" t="s">
        <v>19</v>
      </c>
      <c r="K12" s="148" t="s">
        <v>20</v>
      </c>
      <c r="L12" s="146">
        <f t="shared" si="0"/>
        <v>46170</v>
      </c>
    </row>
    <row r="13" spans="1:12" ht="28.8" customHeight="1" x14ac:dyDescent="0.3">
      <c r="A13" s="146">
        <v>46112</v>
      </c>
      <c r="B13" s="146">
        <v>46170</v>
      </c>
      <c r="C13" s="147" t="s">
        <v>120</v>
      </c>
      <c r="D13" s="147" t="s">
        <v>121</v>
      </c>
      <c r="E13" s="148" t="s">
        <v>122</v>
      </c>
      <c r="F13" s="148" t="s">
        <v>16</v>
      </c>
      <c r="G13" s="149">
        <v>83433</v>
      </c>
      <c r="H13" s="147" t="s">
        <v>17</v>
      </c>
      <c r="I13" s="147" t="s">
        <v>18</v>
      </c>
      <c r="J13" s="147" t="s">
        <v>19</v>
      </c>
      <c r="K13" s="148" t="s">
        <v>123</v>
      </c>
      <c r="L13" s="146">
        <f t="shared" si="0"/>
        <v>46170</v>
      </c>
    </row>
    <row r="14" spans="1:12" x14ac:dyDescent="0.3">
      <c r="A14" s="163">
        <v>46154</v>
      </c>
      <c r="B14" s="163">
        <v>46171</v>
      </c>
      <c r="C14" s="164" t="s">
        <v>194</v>
      </c>
      <c r="D14" s="164" t="s">
        <v>195</v>
      </c>
      <c r="E14" s="165" t="s">
        <v>194</v>
      </c>
      <c r="F14" s="165" t="s">
        <v>196</v>
      </c>
      <c r="G14" s="166">
        <v>12224.5</v>
      </c>
      <c r="H14" s="164" t="s">
        <v>31</v>
      </c>
      <c r="I14" s="164" t="s">
        <v>18</v>
      </c>
      <c r="J14" s="164" t="s">
        <v>25</v>
      </c>
      <c r="K14" s="165" t="s">
        <v>197</v>
      </c>
      <c r="L14" s="163">
        <f t="shared" si="0"/>
        <v>46171</v>
      </c>
    </row>
    <row r="15" spans="1:12" ht="86.4" customHeight="1" x14ac:dyDescent="0.3">
      <c r="A15" s="163">
        <v>46156</v>
      </c>
      <c r="B15" s="163">
        <v>46171</v>
      </c>
      <c r="C15" s="164" t="s">
        <v>33</v>
      </c>
      <c r="D15" s="164" t="s">
        <v>34</v>
      </c>
      <c r="E15" s="165" t="s">
        <v>35</v>
      </c>
      <c r="F15" s="165" t="s">
        <v>36</v>
      </c>
      <c r="G15" s="166">
        <v>234420.6</v>
      </c>
      <c r="H15" s="164" t="s">
        <v>31</v>
      </c>
      <c r="I15" s="164" t="s">
        <v>18</v>
      </c>
      <c r="J15" s="164" t="s">
        <v>25</v>
      </c>
      <c r="K15" s="165" t="s">
        <v>37</v>
      </c>
      <c r="L15" s="163">
        <f t="shared" si="0"/>
        <v>46171</v>
      </c>
    </row>
    <row r="16" spans="1:12" ht="28.8" customHeight="1" x14ac:dyDescent="0.3">
      <c r="A16" s="159">
        <v>46111</v>
      </c>
      <c r="B16" s="159">
        <v>46171</v>
      </c>
      <c r="C16" s="160" t="s">
        <v>38</v>
      </c>
      <c r="D16" s="160" t="s">
        <v>39</v>
      </c>
      <c r="E16" s="161" t="s">
        <v>40</v>
      </c>
      <c r="F16" s="161" t="s">
        <v>41</v>
      </c>
      <c r="G16" s="162">
        <v>9014.2099999999991</v>
      </c>
      <c r="H16" s="160" t="s">
        <v>17</v>
      </c>
      <c r="I16" s="160" t="s">
        <v>42</v>
      </c>
      <c r="J16" s="160" t="str">
        <f>IFERROR(VLOOKUP(D16, '15.05.2026'!D:J, 7, FALSE), "")</f>
        <v>CASH SALE</v>
      </c>
      <c r="K16" s="161" t="s">
        <v>43</v>
      </c>
      <c r="L16" s="159">
        <f t="shared" si="0"/>
        <v>46171</v>
      </c>
    </row>
    <row r="17" spans="1:12" x14ac:dyDescent="0.3">
      <c r="A17" s="159">
        <v>46111</v>
      </c>
      <c r="B17" s="159">
        <v>46171</v>
      </c>
      <c r="C17" s="160" t="s">
        <v>44</v>
      </c>
      <c r="D17" s="160" t="s">
        <v>45</v>
      </c>
      <c r="E17" s="161" t="s">
        <v>46</v>
      </c>
      <c r="F17" s="161" t="s">
        <v>47</v>
      </c>
      <c r="G17" s="162">
        <v>169353.60000000001</v>
      </c>
      <c r="H17" s="160" t="s">
        <v>48</v>
      </c>
      <c r="I17" s="160" t="s">
        <v>42</v>
      </c>
      <c r="J17" s="160" t="str">
        <f>IFERROR(VLOOKUP(D17, '15.05.2026'!D:J, 7, FALSE), "")</f>
        <v>ACCOUNT - UP TO DATE</v>
      </c>
      <c r="K17" s="161" t="s">
        <v>49</v>
      </c>
      <c r="L17" s="159">
        <f t="shared" si="0"/>
        <v>46171</v>
      </c>
    </row>
    <row r="18" spans="1:12" ht="158.4" customHeight="1" x14ac:dyDescent="0.3">
      <c r="A18" s="150">
        <v>46128</v>
      </c>
      <c r="B18" s="150">
        <v>46171</v>
      </c>
      <c r="C18" s="151" t="s">
        <v>27</v>
      </c>
      <c r="D18" s="151" t="s">
        <v>50</v>
      </c>
      <c r="E18" s="152" t="s">
        <v>51</v>
      </c>
      <c r="F18" s="152" t="s">
        <v>52</v>
      </c>
      <c r="G18" s="153">
        <v>82900.05</v>
      </c>
      <c r="H18" s="151" t="s">
        <v>48</v>
      </c>
      <c r="I18" s="151" t="s">
        <v>27</v>
      </c>
      <c r="J18" s="151" t="str">
        <f>IFERROR(VLOOKUP(D18, '15.05.2026'!D:J, 7, FALSE), "")</f>
        <v>ACCOUNT - UP TO DATE</v>
      </c>
      <c r="K18" s="152" t="s">
        <v>53</v>
      </c>
      <c r="L18" s="150">
        <f t="shared" si="0"/>
        <v>46171</v>
      </c>
    </row>
    <row r="19" spans="1:12" x14ac:dyDescent="0.3">
      <c r="A19" s="150">
        <v>46142</v>
      </c>
      <c r="B19" s="150">
        <v>46171</v>
      </c>
      <c r="C19" s="151" t="s">
        <v>27</v>
      </c>
      <c r="D19" s="151" t="s">
        <v>28</v>
      </c>
      <c r="E19" s="152" t="s">
        <v>29</v>
      </c>
      <c r="F19" s="152" t="s">
        <v>30</v>
      </c>
      <c r="G19" s="153">
        <v>554227.55000000005</v>
      </c>
      <c r="H19" s="151" t="s">
        <v>31</v>
      </c>
      <c r="I19" s="151" t="s">
        <v>27</v>
      </c>
      <c r="J19" s="151" t="str">
        <f>IFERROR(VLOOKUP(D19, '15.05.2026'!D:J, 7, FALSE), "")</f>
        <v>CASH SALE</v>
      </c>
      <c r="K19" s="152" t="s">
        <v>32</v>
      </c>
      <c r="L19" s="150">
        <f t="shared" si="0"/>
        <v>46171</v>
      </c>
    </row>
    <row r="20" spans="1:12" x14ac:dyDescent="0.3">
      <c r="A20" s="150">
        <v>46142</v>
      </c>
      <c r="B20" s="150">
        <v>46171</v>
      </c>
      <c r="C20" s="151" t="s">
        <v>27</v>
      </c>
      <c r="D20" s="151" t="s">
        <v>161</v>
      </c>
      <c r="E20" s="152" t="s">
        <v>65</v>
      </c>
      <c r="F20" s="152" t="s">
        <v>162</v>
      </c>
      <c r="G20" s="153">
        <v>13711.09</v>
      </c>
      <c r="H20" s="151" t="s">
        <v>17</v>
      </c>
      <c r="I20" s="151" t="s">
        <v>27</v>
      </c>
      <c r="J20" s="151" t="str">
        <f>IFERROR(VLOOKUP(D20, '15.05.2026'!D:J, 7, FALSE), "")</f>
        <v>CASH SALE</v>
      </c>
      <c r="K20" s="152" t="s">
        <v>163</v>
      </c>
      <c r="L20" s="150">
        <f t="shared" si="0"/>
        <v>46171</v>
      </c>
    </row>
    <row r="21" spans="1:12" ht="28.8" customHeight="1" x14ac:dyDescent="0.3">
      <c r="A21" s="150">
        <v>46142</v>
      </c>
      <c r="B21" s="150">
        <v>46171</v>
      </c>
      <c r="C21" s="151" t="s">
        <v>27</v>
      </c>
      <c r="D21" s="151" t="s">
        <v>54</v>
      </c>
      <c r="E21" s="152" t="s">
        <v>55</v>
      </c>
      <c r="F21" s="152" t="s">
        <v>56</v>
      </c>
      <c r="G21" s="153">
        <v>426010.6</v>
      </c>
      <c r="H21" s="151" t="s">
        <v>31</v>
      </c>
      <c r="I21" s="151" t="s">
        <v>27</v>
      </c>
      <c r="J21" s="151" t="str">
        <f>IFERROR(VLOOKUP(D21, '15.05.2026'!D:J, 7, FALSE), "")</f>
        <v>ACCOUNT - UP TO DATE</v>
      </c>
      <c r="K21" s="152" t="s">
        <v>57</v>
      </c>
      <c r="L21" s="150">
        <f t="shared" si="0"/>
        <v>46171</v>
      </c>
    </row>
    <row r="22" spans="1:12" ht="86.4" customHeight="1" x14ac:dyDescent="0.3">
      <c r="A22" s="150">
        <v>46142</v>
      </c>
      <c r="B22" s="150">
        <v>46171</v>
      </c>
      <c r="C22" s="151" t="s">
        <v>58</v>
      </c>
      <c r="D22" s="151" t="s">
        <v>59</v>
      </c>
      <c r="E22" s="152" t="s">
        <v>60</v>
      </c>
      <c r="F22" s="152" t="s">
        <v>61</v>
      </c>
      <c r="G22" s="153">
        <v>310411</v>
      </c>
      <c r="H22" s="151" t="s">
        <v>265</v>
      </c>
      <c r="I22" s="151" t="s">
        <v>27</v>
      </c>
      <c r="J22" s="151" t="str">
        <f>IFERROR(VLOOKUP(D22, '15.05.2026'!D:J, 7, FALSE), "")</f>
        <v>CASH SALE</v>
      </c>
      <c r="K22" s="152" t="s">
        <v>63</v>
      </c>
      <c r="L22" s="150">
        <f t="shared" si="0"/>
        <v>46171</v>
      </c>
    </row>
    <row r="23" spans="1:12" ht="28.8" customHeight="1" x14ac:dyDescent="0.3">
      <c r="A23" s="150">
        <v>46142</v>
      </c>
      <c r="B23" s="150">
        <v>46171</v>
      </c>
      <c r="C23" s="151" t="s">
        <v>27</v>
      </c>
      <c r="D23" s="151" t="s">
        <v>64</v>
      </c>
      <c r="E23" s="152" t="s">
        <v>65</v>
      </c>
      <c r="F23" s="152" t="s">
        <v>66</v>
      </c>
      <c r="G23" s="153">
        <v>204447</v>
      </c>
      <c r="H23" s="151" t="s">
        <v>31</v>
      </c>
      <c r="I23" s="151" t="s">
        <v>27</v>
      </c>
      <c r="J23" s="151" t="str">
        <f>IFERROR(VLOOKUP(D23, '15.05.2026'!D:J, 7, FALSE), "")</f>
        <v>CASH SALE</v>
      </c>
      <c r="K23" s="152" t="s">
        <v>67</v>
      </c>
      <c r="L23" s="150">
        <f t="shared" si="0"/>
        <v>46171</v>
      </c>
    </row>
    <row r="24" spans="1:12" ht="28.8" customHeight="1" x14ac:dyDescent="0.3">
      <c r="A24" s="150">
        <v>46155</v>
      </c>
      <c r="B24" s="150">
        <v>46199</v>
      </c>
      <c r="C24" s="151" t="s">
        <v>76</v>
      </c>
      <c r="D24" s="151" t="s">
        <v>77</v>
      </c>
      <c r="E24" s="152" t="s">
        <v>78</v>
      </c>
      <c r="F24" s="152" t="s">
        <v>16</v>
      </c>
      <c r="G24" s="153">
        <v>523356</v>
      </c>
      <c r="H24" s="151" t="s">
        <v>266</v>
      </c>
      <c r="I24" s="151" t="s">
        <v>27</v>
      </c>
      <c r="J24" s="151" t="str">
        <f>IFERROR(VLOOKUP(D24, '15.05.2026'!D:J, 7, FALSE), "")</f>
        <v>ACCOUNT - UP TO DATE</v>
      </c>
      <c r="K24" s="152" t="s">
        <v>80</v>
      </c>
      <c r="L24" s="150">
        <f t="shared" si="0"/>
        <v>46199</v>
      </c>
    </row>
    <row r="25" spans="1:12" x14ac:dyDescent="0.3">
      <c r="F25" s="154" t="s">
        <v>94</v>
      </c>
      <c r="G25" s="155">
        <f>SUM(G3:G24)</f>
        <v>3437492.1900000004</v>
      </c>
    </row>
    <row r="27" spans="1:12" x14ac:dyDescent="0.3">
      <c r="F27" s="156" t="s">
        <v>95</v>
      </c>
    </row>
    <row r="28" spans="1:12" x14ac:dyDescent="0.3">
      <c r="F28" t="s">
        <v>96</v>
      </c>
      <c r="G28" s="18">
        <f ca="1">SUMIFS(G3:G24, J3:J24, "*CASH SALE*", L3:L24, "&gt;="&amp;EOMONTH(TODAY(),-1)+1, L3:L24, "&lt;="&amp;EOMONTH(TODAY(),0))</f>
        <v>1600501.6400000001</v>
      </c>
      <c r="I28" t="s">
        <v>97</v>
      </c>
      <c r="J28" s="18">
        <f ca="1">SUMIFS(G3:G24, J3:J24, "*CASH SALE*", L3:L24, "&gt;="&amp;EOMONTH(TODAY(),0)+1, L3:L24, "&lt;="&amp;EOMONTH(TODAY(),1))</f>
        <v>0</v>
      </c>
    </row>
    <row r="29" spans="1:12" x14ac:dyDescent="0.3">
      <c r="F29" t="s">
        <v>98</v>
      </c>
      <c r="G29" s="18">
        <f ca="1">SUMIFS(G3:G24, J3:J24, "*ACCOUNT*", L3:L24, "&gt;="&amp;EOMONTH(TODAY(),-1)+1, L3:L24, "&lt;="&amp;EOMONTH(TODAY(),0))</f>
        <v>1313634.55</v>
      </c>
      <c r="I29" t="s">
        <v>99</v>
      </c>
      <c r="J29" s="18">
        <f ca="1">SUMIFS(G3:G24, J3:J24, "*ACCOUNT*", L3:L24, "&gt;="&amp;EOMONTH(TODAY(),0)+1, L3:L24, "&lt;="&amp;EOMONTH(TODAY(),1))</f>
        <v>523356</v>
      </c>
    </row>
    <row r="31" spans="1:12" ht="28.8" customHeight="1" x14ac:dyDescent="0.3">
      <c r="A31" s="141" t="s">
        <v>1</v>
      </c>
      <c r="B31" s="141" t="s">
        <v>2</v>
      </c>
      <c r="C31" s="141" t="s">
        <v>3</v>
      </c>
      <c r="D31" s="141" t="s">
        <v>4</v>
      </c>
      <c r="E31" s="141" t="s">
        <v>5</v>
      </c>
      <c r="F31" s="141" t="s">
        <v>6</v>
      </c>
      <c r="G31" s="141" t="s">
        <v>7</v>
      </c>
      <c r="H31" s="141" t="s">
        <v>8</v>
      </c>
      <c r="I31" s="141" t="s">
        <v>9</v>
      </c>
      <c r="J31" s="141" t="s">
        <v>10</v>
      </c>
      <c r="K31" s="141" t="s">
        <v>100</v>
      </c>
    </row>
    <row r="32" spans="1:12" x14ac:dyDescent="0.3">
      <c r="A32" s="157">
        <v>46154</v>
      </c>
      <c r="B32" s="157">
        <v>46160.38742983796</v>
      </c>
      <c r="C32" s="158" t="s">
        <v>213</v>
      </c>
      <c r="D32" s="158" t="s">
        <v>214</v>
      </c>
      <c r="E32" s="158" t="s">
        <v>215</v>
      </c>
      <c r="F32" s="158" t="s">
        <v>216</v>
      </c>
      <c r="G32" s="149">
        <v>50610.35</v>
      </c>
      <c r="H32" s="147" t="s">
        <v>31</v>
      </c>
      <c r="I32" s="158" t="s">
        <v>207</v>
      </c>
      <c r="J32" s="158" t="s">
        <v>19</v>
      </c>
      <c r="K32" s="148"/>
    </row>
    <row r="33" spans="1:11" x14ac:dyDescent="0.3">
      <c r="A33" s="157">
        <v>46154</v>
      </c>
      <c r="B33" s="157">
        <v>46160.38742983796</v>
      </c>
      <c r="C33" s="158" t="s">
        <v>209</v>
      </c>
      <c r="D33" s="158" t="s">
        <v>210</v>
      </c>
      <c r="E33" s="158" t="s">
        <v>209</v>
      </c>
      <c r="F33" s="158" t="s">
        <v>211</v>
      </c>
      <c r="G33" s="149">
        <v>10263.75</v>
      </c>
      <c r="H33" s="147" t="s">
        <v>17</v>
      </c>
      <c r="I33" s="158" t="s">
        <v>207</v>
      </c>
      <c r="J33" s="158" t="s">
        <v>25</v>
      </c>
      <c r="K33" s="148"/>
    </row>
    <row r="34" spans="1:11" x14ac:dyDescent="0.3">
      <c r="F34" s="154" t="s">
        <v>101</v>
      </c>
      <c r="G34" s="155">
        <f>SUM(G32:G33)</f>
        <v>60874.1</v>
      </c>
    </row>
    <row r="36" spans="1:11" x14ac:dyDescent="0.3">
      <c r="F36" s="154" t="s">
        <v>102</v>
      </c>
      <c r="G36" s="155">
        <f>SUMIFS(G3:G24, I3:I24, "*Ready*Dispatch*")</f>
        <v>60874.1</v>
      </c>
    </row>
  </sheetData>
  <mergeCells count="2">
    <mergeCell ref="A1:C1"/>
    <mergeCell ref="K1:L1"/>
  </mergeCells>
  <printOptions horizontalCentered="1"/>
  <pageMargins left="3.937007874015748E-2" right="3.937007874015748E-2" top="0.15748031496062989" bottom="0.15748031496062989" header="0.31496062992125978" footer="0.31496062992125978"/>
  <pageSetup scale="48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35"/>
  <sheetViews>
    <sheetView zoomScale="80" zoomScaleNormal="80" workbookViewId="0">
      <pane xSplit="4" ySplit="2" topLeftCell="E22" activePane="bottomRight" state="frozen"/>
      <selection pane="topRight"/>
      <selection pane="bottomLeft"/>
      <selection pane="bottomRight" activeCell="E6" sqref="E6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s="41" customFormat="1" ht="18" customHeight="1" x14ac:dyDescent="0.35">
      <c r="A1" s="40" t="s">
        <v>0</v>
      </c>
      <c r="K1" s="118">
        <f ca="1">TODAY()</f>
        <v>46171</v>
      </c>
    </row>
    <row r="2" spans="1:12" ht="43.2" customHeight="1" x14ac:dyDescent="0.3">
      <c r="A2" s="169" t="s">
        <v>1</v>
      </c>
      <c r="B2" s="169" t="s">
        <v>2</v>
      </c>
      <c r="C2" s="169" t="s">
        <v>3</v>
      </c>
      <c r="D2" s="169" t="s">
        <v>4</v>
      </c>
      <c r="E2" s="169" t="s">
        <v>5</v>
      </c>
      <c r="F2" s="169" t="s">
        <v>6</v>
      </c>
      <c r="G2" s="169" t="s">
        <v>7</v>
      </c>
      <c r="H2" s="169" t="s">
        <v>8</v>
      </c>
      <c r="I2" s="169" t="s">
        <v>9</v>
      </c>
      <c r="J2" s="169" t="s">
        <v>10</v>
      </c>
      <c r="K2" s="169" t="s">
        <v>11</v>
      </c>
      <c r="L2" s="169" t="s">
        <v>12</v>
      </c>
    </row>
    <row r="3" spans="1:12" x14ac:dyDescent="0.3">
      <c r="A3" s="170">
        <v>46142</v>
      </c>
      <c r="B3" s="170">
        <v>46161.397259722216</v>
      </c>
      <c r="C3" s="171" t="s">
        <v>226</v>
      </c>
      <c r="D3" s="171" t="s">
        <v>157</v>
      </c>
      <c r="E3" s="172" t="s">
        <v>158</v>
      </c>
      <c r="F3" s="172" t="s">
        <v>159</v>
      </c>
      <c r="G3" s="173">
        <v>89230.8</v>
      </c>
      <c r="H3" s="171" t="s">
        <v>113</v>
      </c>
      <c r="I3" s="171" t="s">
        <v>18</v>
      </c>
      <c r="J3" s="171" t="s">
        <v>25</v>
      </c>
      <c r="K3" s="172" t="s">
        <v>249</v>
      </c>
      <c r="L3" s="170">
        <f t="shared" ref="L3:L23" si="0">B3</f>
        <v>46161.397259722216</v>
      </c>
    </row>
    <row r="4" spans="1:12" x14ac:dyDescent="0.3">
      <c r="A4" s="170">
        <v>46154</v>
      </c>
      <c r="B4" s="170">
        <v>46161.397259722216</v>
      </c>
      <c r="C4" s="171" t="s">
        <v>209</v>
      </c>
      <c r="D4" s="171" t="s">
        <v>210</v>
      </c>
      <c r="E4" s="172" t="s">
        <v>209</v>
      </c>
      <c r="F4" s="172" t="s">
        <v>211</v>
      </c>
      <c r="G4" s="173">
        <v>10263.75</v>
      </c>
      <c r="H4" s="171" t="s">
        <v>106</v>
      </c>
      <c r="I4" s="171" t="s">
        <v>207</v>
      </c>
      <c r="J4" s="171" t="s">
        <v>25</v>
      </c>
      <c r="K4" s="172" t="s">
        <v>212</v>
      </c>
      <c r="L4" s="170">
        <f t="shared" si="0"/>
        <v>46161.397259722216</v>
      </c>
    </row>
    <row r="5" spans="1:12" ht="28.8" customHeight="1" x14ac:dyDescent="0.3">
      <c r="A5" s="178">
        <v>46149</v>
      </c>
      <c r="B5" s="178">
        <v>46163</v>
      </c>
      <c r="C5" s="179" t="s">
        <v>21</v>
      </c>
      <c r="D5" s="179" t="s">
        <v>22</v>
      </c>
      <c r="E5" s="180" t="s">
        <v>23</v>
      </c>
      <c r="F5" s="180" t="s">
        <v>24</v>
      </c>
      <c r="G5" s="181">
        <v>24910.15</v>
      </c>
      <c r="H5" s="179" t="s">
        <v>106</v>
      </c>
      <c r="I5" s="179" t="s">
        <v>18</v>
      </c>
      <c r="J5" s="179" t="s">
        <v>25</v>
      </c>
      <c r="K5" s="180" t="s">
        <v>26</v>
      </c>
      <c r="L5" s="178">
        <f t="shared" si="0"/>
        <v>46163</v>
      </c>
    </row>
    <row r="6" spans="1:12" ht="72" customHeight="1" x14ac:dyDescent="0.3">
      <c r="A6" s="178">
        <v>46157</v>
      </c>
      <c r="B6" s="178">
        <v>46164</v>
      </c>
      <c r="C6" s="179" t="s">
        <v>258</v>
      </c>
      <c r="D6" s="179" t="s">
        <v>259</v>
      </c>
      <c r="E6" s="180" t="s">
        <v>260</v>
      </c>
      <c r="F6" s="180" t="s">
        <v>261</v>
      </c>
      <c r="G6" s="181">
        <v>21407.040000000001</v>
      </c>
      <c r="H6" s="179" t="s">
        <v>113</v>
      </c>
      <c r="I6" s="179" t="s">
        <v>18</v>
      </c>
      <c r="J6" s="179" t="s">
        <v>267</v>
      </c>
      <c r="K6" s="180" t="s">
        <v>263</v>
      </c>
      <c r="L6" s="178">
        <f t="shared" si="0"/>
        <v>46164</v>
      </c>
    </row>
    <row r="7" spans="1:12" ht="28.8" customHeight="1" x14ac:dyDescent="0.3">
      <c r="A7" s="178">
        <v>46157</v>
      </c>
      <c r="B7" s="178">
        <v>46164</v>
      </c>
      <c r="C7" s="179" t="s">
        <v>254</v>
      </c>
      <c r="D7" s="179" t="s">
        <v>255</v>
      </c>
      <c r="E7" s="180" t="s">
        <v>256</v>
      </c>
      <c r="F7" s="180" t="s">
        <v>84</v>
      </c>
      <c r="G7" s="181">
        <v>17622.599999999999</v>
      </c>
      <c r="H7" s="179" t="s">
        <v>106</v>
      </c>
      <c r="I7" s="179" t="s">
        <v>18</v>
      </c>
      <c r="J7" s="179" t="s">
        <v>19</v>
      </c>
      <c r="K7" s="180" t="s">
        <v>257</v>
      </c>
      <c r="L7" s="178">
        <f t="shared" si="0"/>
        <v>46164</v>
      </c>
    </row>
    <row r="8" spans="1:12" ht="57.6" customHeight="1" x14ac:dyDescent="0.3">
      <c r="A8" s="178">
        <v>46160</v>
      </c>
      <c r="B8" s="178">
        <v>46164</v>
      </c>
      <c r="C8" s="179" t="s">
        <v>250</v>
      </c>
      <c r="D8" s="179" t="s">
        <v>251</v>
      </c>
      <c r="E8" s="180" t="s">
        <v>250</v>
      </c>
      <c r="F8" s="180" t="s">
        <v>252</v>
      </c>
      <c r="G8" s="181">
        <v>21986.85</v>
      </c>
      <c r="H8" s="179" t="s">
        <v>127</v>
      </c>
      <c r="I8" s="179" t="s">
        <v>18</v>
      </c>
      <c r="J8" s="179" t="s">
        <v>19</v>
      </c>
      <c r="K8" s="180" t="s">
        <v>253</v>
      </c>
      <c r="L8" s="178">
        <f t="shared" si="0"/>
        <v>46164</v>
      </c>
    </row>
    <row r="9" spans="1:12" x14ac:dyDescent="0.3">
      <c r="A9" s="178">
        <v>46077</v>
      </c>
      <c r="B9" s="178">
        <v>46169</v>
      </c>
      <c r="C9" s="179" t="s">
        <v>144</v>
      </c>
      <c r="D9" s="179" t="s">
        <v>145</v>
      </c>
      <c r="E9" s="180" t="s">
        <v>146</v>
      </c>
      <c r="F9" s="180" t="s">
        <v>147</v>
      </c>
      <c r="G9" s="181">
        <v>94247.1</v>
      </c>
      <c r="H9" s="179" t="s">
        <v>113</v>
      </c>
      <c r="I9" s="179" t="s">
        <v>18</v>
      </c>
      <c r="J9" s="179" t="s">
        <v>114</v>
      </c>
      <c r="K9" s="180" t="s">
        <v>148</v>
      </c>
      <c r="L9" s="178">
        <f t="shared" si="0"/>
        <v>46169</v>
      </c>
    </row>
    <row r="10" spans="1:12" x14ac:dyDescent="0.3">
      <c r="A10" s="178">
        <v>46069</v>
      </c>
      <c r="B10" s="178">
        <v>46170</v>
      </c>
      <c r="C10" s="179" t="s">
        <v>138</v>
      </c>
      <c r="D10" s="179" t="s">
        <v>139</v>
      </c>
      <c r="E10" s="180" t="s">
        <v>140</v>
      </c>
      <c r="F10" s="180" t="s">
        <v>141</v>
      </c>
      <c r="G10" s="181">
        <v>379993.35</v>
      </c>
      <c r="H10" s="179" t="s">
        <v>142</v>
      </c>
      <c r="I10" s="179" t="s">
        <v>18</v>
      </c>
      <c r="J10" s="179" t="s">
        <v>19</v>
      </c>
      <c r="K10" s="180" t="s">
        <v>143</v>
      </c>
      <c r="L10" s="178">
        <f t="shared" si="0"/>
        <v>46170</v>
      </c>
    </row>
    <row r="11" spans="1:12" ht="28.8" customHeight="1" x14ac:dyDescent="0.3">
      <c r="A11" s="178">
        <v>46112</v>
      </c>
      <c r="B11" s="178">
        <v>46170</v>
      </c>
      <c r="C11" s="179" t="s">
        <v>13</v>
      </c>
      <c r="D11" s="179" t="s">
        <v>14</v>
      </c>
      <c r="E11" s="180" t="s">
        <v>15</v>
      </c>
      <c r="F11" s="180" t="s">
        <v>16</v>
      </c>
      <c r="G11" s="181">
        <v>103711</v>
      </c>
      <c r="H11" s="179" t="s">
        <v>106</v>
      </c>
      <c r="I11" s="179" t="s">
        <v>18</v>
      </c>
      <c r="J11" s="179" t="s">
        <v>19</v>
      </c>
      <c r="K11" s="180" t="s">
        <v>20</v>
      </c>
      <c r="L11" s="178">
        <f t="shared" si="0"/>
        <v>46170</v>
      </c>
    </row>
    <row r="12" spans="1:12" ht="28.8" customHeight="1" x14ac:dyDescent="0.3">
      <c r="A12" s="178">
        <v>46112</v>
      </c>
      <c r="B12" s="178">
        <v>46170</v>
      </c>
      <c r="C12" s="179" t="s">
        <v>120</v>
      </c>
      <c r="D12" s="179" t="s">
        <v>121</v>
      </c>
      <c r="E12" s="180" t="s">
        <v>122</v>
      </c>
      <c r="F12" s="180" t="s">
        <v>16</v>
      </c>
      <c r="G12" s="181">
        <v>83433</v>
      </c>
      <c r="H12" s="179" t="s">
        <v>106</v>
      </c>
      <c r="I12" s="179" t="s">
        <v>18</v>
      </c>
      <c r="J12" s="179" t="s">
        <v>19</v>
      </c>
      <c r="K12" s="180" t="s">
        <v>123</v>
      </c>
      <c r="L12" s="178">
        <f t="shared" si="0"/>
        <v>46170</v>
      </c>
    </row>
    <row r="13" spans="1:12" x14ac:dyDescent="0.3">
      <c r="A13" s="178">
        <v>46154</v>
      </c>
      <c r="B13" s="178">
        <v>46171</v>
      </c>
      <c r="C13" s="179" t="s">
        <v>194</v>
      </c>
      <c r="D13" s="179" t="s">
        <v>195</v>
      </c>
      <c r="E13" s="180" t="s">
        <v>194</v>
      </c>
      <c r="F13" s="180" t="s">
        <v>196</v>
      </c>
      <c r="G13" s="181">
        <v>12224.5</v>
      </c>
      <c r="H13" s="179" t="s">
        <v>127</v>
      </c>
      <c r="I13" s="179" t="s">
        <v>18</v>
      </c>
      <c r="J13" s="179" t="s">
        <v>25</v>
      </c>
      <c r="K13" s="180" t="s">
        <v>197</v>
      </c>
      <c r="L13" s="178">
        <f t="shared" si="0"/>
        <v>46171</v>
      </c>
    </row>
    <row r="14" spans="1:12" ht="86.4" customHeight="1" x14ac:dyDescent="0.3">
      <c r="A14" s="178">
        <v>46156</v>
      </c>
      <c r="B14" s="178">
        <v>46171</v>
      </c>
      <c r="C14" s="179" t="s">
        <v>33</v>
      </c>
      <c r="D14" s="179" t="s">
        <v>34</v>
      </c>
      <c r="E14" s="180" t="s">
        <v>35</v>
      </c>
      <c r="F14" s="180" t="s">
        <v>36</v>
      </c>
      <c r="G14" s="181">
        <v>234420.6</v>
      </c>
      <c r="H14" s="179" t="s">
        <v>127</v>
      </c>
      <c r="I14" s="179" t="s">
        <v>18</v>
      </c>
      <c r="J14" s="179" t="s">
        <v>25</v>
      </c>
      <c r="K14" s="180" t="s">
        <v>37</v>
      </c>
      <c r="L14" s="178">
        <f t="shared" si="0"/>
        <v>46171</v>
      </c>
    </row>
    <row r="15" spans="1:12" ht="28.8" customHeight="1" x14ac:dyDescent="0.3">
      <c r="A15" s="178">
        <v>46111</v>
      </c>
      <c r="B15" s="178">
        <v>46171</v>
      </c>
      <c r="C15" s="179" t="s">
        <v>38</v>
      </c>
      <c r="D15" s="179" t="s">
        <v>39</v>
      </c>
      <c r="E15" s="180" t="s">
        <v>40</v>
      </c>
      <c r="F15" s="180" t="s">
        <v>41</v>
      </c>
      <c r="G15" s="181">
        <v>9014.2099999999991</v>
      </c>
      <c r="H15" s="179" t="s">
        <v>106</v>
      </c>
      <c r="I15" s="179" t="s">
        <v>42</v>
      </c>
      <c r="J15" s="179" t="str">
        <f>IFERROR(VLOOKUP(D15, '18.05.2026'!D:J, 7, FALSE), "")</f>
        <v>CASH SALE</v>
      </c>
      <c r="K15" s="180" t="s">
        <v>43</v>
      </c>
      <c r="L15" s="178">
        <f t="shared" si="0"/>
        <v>46171</v>
      </c>
    </row>
    <row r="16" spans="1:12" x14ac:dyDescent="0.3">
      <c r="A16" s="178">
        <v>46111</v>
      </c>
      <c r="B16" s="178">
        <v>46171</v>
      </c>
      <c r="C16" s="179" t="s">
        <v>44</v>
      </c>
      <c r="D16" s="179" t="s">
        <v>45</v>
      </c>
      <c r="E16" s="180" t="s">
        <v>46</v>
      </c>
      <c r="F16" s="180" t="s">
        <v>47</v>
      </c>
      <c r="G16" s="181">
        <v>169353.60000000001</v>
      </c>
      <c r="H16" s="179" t="s">
        <v>113</v>
      </c>
      <c r="I16" s="179" t="s">
        <v>42</v>
      </c>
      <c r="J16" s="179" t="str">
        <f>IFERROR(VLOOKUP(D16, '18.05.2026'!D:J, 7, FALSE), "")</f>
        <v>ACCOUNT - UP TO DATE</v>
      </c>
      <c r="K16" s="180" t="s">
        <v>49</v>
      </c>
      <c r="L16" s="178">
        <f t="shared" si="0"/>
        <v>46171</v>
      </c>
    </row>
    <row r="17" spans="1:12" ht="158.4" customHeight="1" x14ac:dyDescent="0.3">
      <c r="A17" s="174">
        <v>46128</v>
      </c>
      <c r="B17" s="174">
        <v>46171</v>
      </c>
      <c r="C17" s="175" t="s">
        <v>27</v>
      </c>
      <c r="D17" s="175" t="s">
        <v>50</v>
      </c>
      <c r="E17" s="176" t="s">
        <v>51</v>
      </c>
      <c r="F17" s="176" t="s">
        <v>52</v>
      </c>
      <c r="G17" s="177">
        <v>82900.05</v>
      </c>
      <c r="H17" s="175" t="s">
        <v>113</v>
      </c>
      <c r="I17" s="175" t="s">
        <v>27</v>
      </c>
      <c r="J17" s="175" t="str">
        <f>IFERROR(VLOOKUP(D17, '18.05.2026'!D:J, 7, FALSE), "")</f>
        <v>ACCOUNT - UP TO DATE</v>
      </c>
      <c r="K17" s="176" t="s">
        <v>53</v>
      </c>
      <c r="L17" s="174">
        <f t="shared" si="0"/>
        <v>46171</v>
      </c>
    </row>
    <row r="18" spans="1:12" x14ac:dyDescent="0.3">
      <c r="A18" s="174">
        <v>46142</v>
      </c>
      <c r="B18" s="174">
        <v>46171</v>
      </c>
      <c r="C18" s="175" t="s">
        <v>27</v>
      </c>
      <c r="D18" s="175" t="s">
        <v>28</v>
      </c>
      <c r="E18" s="176" t="s">
        <v>29</v>
      </c>
      <c r="F18" s="176" t="s">
        <v>30</v>
      </c>
      <c r="G18" s="177">
        <v>554227.55000000005</v>
      </c>
      <c r="H18" s="175" t="s">
        <v>127</v>
      </c>
      <c r="I18" s="175" t="s">
        <v>27</v>
      </c>
      <c r="J18" s="175" t="str">
        <f>IFERROR(VLOOKUP(D18, '18.05.2026'!D:J, 7, FALSE), "")</f>
        <v>CASH SALE</v>
      </c>
      <c r="K18" s="176" t="s">
        <v>32</v>
      </c>
      <c r="L18" s="174">
        <f t="shared" si="0"/>
        <v>46171</v>
      </c>
    </row>
    <row r="19" spans="1:12" ht="28.8" customHeight="1" x14ac:dyDescent="0.3">
      <c r="A19" s="174">
        <v>46142</v>
      </c>
      <c r="B19" s="174">
        <v>46171</v>
      </c>
      <c r="C19" s="175" t="s">
        <v>27</v>
      </c>
      <c r="D19" s="175" t="s">
        <v>54</v>
      </c>
      <c r="E19" s="176" t="s">
        <v>55</v>
      </c>
      <c r="F19" s="176" t="s">
        <v>56</v>
      </c>
      <c r="G19" s="177">
        <v>426010.6</v>
      </c>
      <c r="H19" s="175" t="s">
        <v>127</v>
      </c>
      <c r="I19" s="175" t="s">
        <v>27</v>
      </c>
      <c r="J19" s="175" t="str">
        <f>IFERROR(VLOOKUP(D19, '18.05.2026'!D:J, 7, FALSE), "")</f>
        <v>ACCOUNT - UP TO DATE</v>
      </c>
      <c r="K19" s="176" t="s">
        <v>57</v>
      </c>
      <c r="L19" s="174">
        <f t="shared" si="0"/>
        <v>46171</v>
      </c>
    </row>
    <row r="20" spans="1:12" ht="86.4" customHeight="1" x14ac:dyDescent="0.3">
      <c r="A20" s="174">
        <v>46142</v>
      </c>
      <c r="B20" s="174">
        <v>46171</v>
      </c>
      <c r="C20" s="175" t="s">
        <v>58</v>
      </c>
      <c r="D20" s="175" t="s">
        <v>59</v>
      </c>
      <c r="E20" s="176" t="s">
        <v>60</v>
      </c>
      <c r="F20" s="176" t="s">
        <v>61</v>
      </c>
      <c r="G20" s="177">
        <v>310411</v>
      </c>
      <c r="H20" s="175" t="s">
        <v>177</v>
      </c>
      <c r="I20" s="175" t="s">
        <v>27</v>
      </c>
      <c r="J20" s="175" t="str">
        <f>IFERROR(VLOOKUP(D20, '18.05.2026'!D:J, 7, FALSE), "")</f>
        <v>CASH SALE</v>
      </c>
      <c r="K20" s="176" t="s">
        <v>63</v>
      </c>
      <c r="L20" s="174">
        <f t="shared" si="0"/>
        <v>46171</v>
      </c>
    </row>
    <row r="21" spans="1:12" ht="28.8" customHeight="1" x14ac:dyDescent="0.3">
      <c r="A21" s="174">
        <v>46142</v>
      </c>
      <c r="B21" s="174">
        <v>46171</v>
      </c>
      <c r="C21" s="175" t="s">
        <v>27</v>
      </c>
      <c r="D21" s="175" t="s">
        <v>64</v>
      </c>
      <c r="E21" s="176" t="s">
        <v>65</v>
      </c>
      <c r="F21" s="176" t="s">
        <v>66</v>
      </c>
      <c r="G21" s="177">
        <v>204447</v>
      </c>
      <c r="H21" s="175" t="s">
        <v>127</v>
      </c>
      <c r="I21" s="175" t="s">
        <v>27</v>
      </c>
      <c r="J21" s="175" t="str">
        <f>IFERROR(VLOOKUP(D21, '18.05.2026'!D:J, 7, FALSE), "")</f>
        <v>CASH SALE</v>
      </c>
      <c r="K21" s="176" t="s">
        <v>67</v>
      </c>
      <c r="L21" s="174">
        <f t="shared" si="0"/>
        <v>46171</v>
      </c>
    </row>
    <row r="22" spans="1:12" ht="216" customHeight="1" x14ac:dyDescent="0.3">
      <c r="A22" s="174">
        <v>46160</v>
      </c>
      <c r="B22" s="174">
        <v>46171</v>
      </c>
      <c r="C22" s="175" t="s">
        <v>268</v>
      </c>
      <c r="D22" s="175" t="s">
        <v>269</v>
      </c>
      <c r="E22" s="176" t="s">
        <v>270</v>
      </c>
      <c r="F22" s="176" t="s">
        <v>271</v>
      </c>
      <c r="G22" s="177">
        <v>75285.899999999994</v>
      </c>
      <c r="H22" s="175" t="s">
        <v>127</v>
      </c>
      <c r="I22" s="175" t="s">
        <v>27</v>
      </c>
      <c r="J22" s="175" t="s">
        <v>25</v>
      </c>
      <c r="K22" s="176" t="s">
        <v>272</v>
      </c>
      <c r="L22" s="174">
        <f t="shared" si="0"/>
        <v>46171</v>
      </c>
    </row>
    <row r="23" spans="1:12" ht="28.8" customHeight="1" x14ac:dyDescent="0.3">
      <c r="A23" s="174">
        <v>46155</v>
      </c>
      <c r="B23" s="174">
        <v>46199</v>
      </c>
      <c r="C23" s="175" t="s">
        <v>76</v>
      </c>
      <c r="D23" s="175" t="s">
        <v>77</v>
      </c>
      <c r="E23" s="176" t="s">
        <v>78</v>
      </c>
      <c r="F23" s="176" t="s">
        <v>16</v>
      </c>
      <c r="G23" s="177">
        <v>523356</v>
      </c>
      <c r="H23" s="175" t="s">
        <v>218</v>
      </c>
      <c r="I23" s="175" t="s">
        <v>27</v>
      </c>
      <c r="J23" s="175" t="str">
        <f>IFERROR(VLOOKUP(D23, '18.05.2026'!D:J, 7, FALSE), "")</f>
        <v>ACCOUNT - UP TO DATE</v>
      </c>
      <c r="K23" s="176" t="s">
        <v>80</v>
      </c>
      <c r="L23" s="174">
        <f t="shared" si="0"/>
        <v>46199</v>
      </c>
    </row>
    <row r="24" spans="1:12" x14ac:dyDescent="0.3">
      <c r="F24" s="182" t="s">
        <v>94</v>
      </c>
      <c r="G24" s="183">
        <f>SUM(G3:G23)</f>
        <v>3448456.65</v>
      </c>
    </row>
    <row r="26" spans="1:12" x14ac:dyDescent="0.3">
      <c r="F26" s="184" t="s">
        <v>95</v>
      </c>
    </row>
    <row r="27" spans="1:12" x14ac:dyDescent="0.3">
      <c r="F27" t="s">
        <v>96</v>
      </c>
      <c r="G27" s="18">
        <f ca="1">SUMIFS(G3:G23, J3:J23, "*CASH SALE*", L3:L23, "&gt;="&amp;EOMONTH(TODAY(),-1)+1, L3:L23, "&lt;="&amp;EOMONTH(TODAY(),0))</f>
        <v>1618682.56</v>
      </c>
      <c r="I27" t="s">
        <v>97</v>
      </c>
      <c r="J27" s="18">
        <f ca="1">SUMIFS(G3:G23, J3:J23, "*CASH SALE*", L3:L23, "&gt;="&amp;EOMONTH(TODAY(),0)+1, L3:L23, "&lt;="&amp;EOMONTH(TODAY(),1))</f>
        <v>0</v>
      </c>
    </row>
    <row r="28" spans="1:12" x14ac:dyDescent="0.3">
      <c r="F28" t="s">
        <v>98</v>
      </c>
      <c r="G28" s="18">
        <f ca="1">SUMIFS(G3:G23, J3:J23, "*ACCOUNT*", L3:L23, "&gt;="&amp;EOMONTH(TODAY(),-1)+1, L3:L23, "&lt;="&amp;EOMONTH(TODAY(),0))</f>
        <v>1306418.0899999999</v>
      </c>
      <c r="I28" t="s">
        <v>99</v>
      </c>
      <c r="J28" s="18">
        <f ca="1">SUMIFS(G3:G23, J3:J23, "*ACCOUNT*", L3:L23, "&gt;="&amp;EOMONTH(TODAY(),0)+1, L3:L23, "&lt;="&amp;EOMONTH(TODAY(),1))</f>
        <v>523356</v>
      </c>
    </row>
    <row r="30" spans="1:12" ht="28.8" customHeight="1" x14ac:dyDescent="0.3">
      <c r="A30" s="169" t="s">
        <v>1</v>
      </c>
      <c r="B30" s="169" t="s">
        <v>2</v>
      </c>
      <c r="C30" s="169" t="s">
        <v>3</v>
      </c>
      <c r="D30" s="169" t="s">
        <v>4</v>
      </c>
      <c r="E30" s="169" t="s">
        <v>5</v>
      </c>
      <c r="F30" s="169" t="s">
        <v>6</v>
      </c>
      <c r="G30" s="169" t="s">
        <v>7</v>
      </c>
      <c r="H30" s="169" t="s">
        <v>8</v>
      </c>
      <c r="I30" s="169" t="s">
        <v>9</v>
      </c>
      <c r="J30" s="169" t="s">
        <v>10</v>
      </c>
      <c r="K30" s="169" t="s">
        <v>100</v>
      </c>
    </row>
    <row r="31" spans="1:12" x14ac:dyDescent="0.3">
      <c r="A31" s="185">
        <v>46154</v>
      </c>
      <c r="B31" s="185">
        <v>46161.397259722216</v>
      </c>
      <c r="C31" s="186" t="s">
        <v>209</v>
      </c>
      <c r="D31" s="186" t="s">
        <v>210</v>
      </c>
      <c r="E31" s="186" t="s">
        <v>209</v>
      </c>
      <c r="F31" s="186" t="s">
        <v>211</v>
      </c>
      <c r="G31" s="181">
        <v>10263.75</v>
      </c>
      <c r="H31" s="186" t="s">
        <v>106</v>
      </c>
      <c r="I31" s="186" t="s">
        <v>207</v>
      </c>
      <c r="J31" s="186" t="s">
        <v>25</v>
      </c>
      <c r="K31" s="180"/>
    </row>
    <row r="32" spans="1:12" x14ac:dyDescent="0.3">
      <c r="A32" s="185">
        <v>46142</v>
      </c>
      <c r="B32" s="185">
        <v>46161.397259722216</v>
      </c>
      <c r="C32" s="186" t="s">
        <v>226</v>
      </c>
      <c r="D32" s="186" t="s">
        <v>157</v>
      </c>
      <c r="E32" s="186" t="s">
        <v>158</v>
      </c>
      <c r="F32" s="186" t="s">
        <v>159</v>
      </c>
      <c r="G32" s="181">
        <v>89230.8</v>
      </c>
      <c r="H32" s="186" t="s">
        <v>113</v>
      </c>
      <c r="I32" s="186" t="s">
        <v>18</v>
      </c>
      <c r="J32" s="186" t="s">
        <v>25</v>
      </c>
      <c r="K32" s="180"/>
    </row>
    <row r="33" spans="6:7" x14ac:dyDescent="0.3">
      <c r="F33" s="182" t="s">
        <v>101</v>
      </c>
      <c r="G33" s="183">
        <f>SUM(G31:G32)</f>
        <v>99494.55</v>
      </c>
    </row>
    <row r="35" spans="6:7" x14ac:dyDescent="0.3">
      <c r="F35" s="182" t="s">
        <v>102</v>
      </c>
      <c r="G35" s="183">
        <f>SUMIFS(G3:G23, I3:I23, "*Ready*Dispatch*")</f>
        <v>10263.75</v>
      </c>
    </row>
  </sheetData>
  <pageMargins left="0.25" right="0.25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36"/>
  <sheetViews>
    <sheetView zoomScale="80" zoomScaleNormal="80" workbookViewId="0">
      <pane xSplit="4" ySplit="2" topLeftCell="E3" activePane="bottomRight" state="frozen"/>
      <selection pane="topRight"/>
      <selection pane="bottomLeft"/>
      <selection pane="bottomRight" activeCell="J7" sqref="J7"/>
    </sheetView>
  </sheetViews>
  <sheetFormatPr defaultRowHeight="14.4" x14ac:dyDescent="0.3"/>
  <cols>
    <col min="1" max="2" width="10.5546875" bestFit="1" customWidth="1"/>
    <col min="3" max="3" width="11.33203125" bestFit="1" customWidth="1"/>
    <col min="4" max="4" width="12" customWidth="1"/>
    <col min="5" max="5" width="20.5546875" bestFit="1" customWidth="1"/>
    <col min="6" max="6" width="30" customWidth="1"/>
    <col min="7" max="7" width="13.109375" bestFit="1" customWidth="1"/>
    <col min="8" max="8" width="18.21875" bestFit="1" customWidth="1"/>
    <col min="9" max="9" width="15" customWidth="1"/>
    <col min="10" max="10" width="21.33203125" bestFit="1" customWidth="1"/>
    <col min="11" max="11" width="50" customWidth="1"/>
    <col min="12" max="12" width="12" customWidth="1"/>
  </cols>
  <sheetData>
    <row r="1" spans="1:12" s="41" customFormat="1" ht="18" customHeight="1" x14ac:dyDescent="0.35">
      <c r="A1" s="306" t="s">
        <v>0</v>
      </c>
      <c r="B1" s="305"/>
      <c r="C1" s="305"/>
      <c r="K1" s="118">
        <f ca="1">TODAY()</f>
        <v>46171</v>
      </c>
    </row>
    <row r="2" spans="1:12" ht="43.2" customHeight="1" x14ac:dyDescent="0.3">
      <c r="A2" s="187" t="s">
        <v>1</v>
      </c>
      <c r="B2" s="187" t="s">
        <v>2</v>
      </c>
      <c r="C2" s="187" t="s">
        <v>3</v>
      </c>
      <c r="D2" s="187" t="s">
        <v>4</v>
      </c>
      <c r="E2" s="187" t="s">
        <v>5</v>
      </c>
      <c r="F2" s="187" t="s">
        <v>6</v>
      </c>
      <c r="G2" s="187" t="s">
        <v>7</v>
      </c>
      <c r="H2" s="187" t="s">
        <v>8</v>
      </c>
      <c r="I2" s="187" t="s">
        <v>9</v>
      </c>
      <c r="J2" s="187" t="s">
        <v>10</v>
      </c>
      <c r="K2" s="187" t="s">
        <v>11</v>
      </c>
      <c r="L2" s="187" t="s">
        <v>12</v>
      </c>
    </row>
    <row r="3" spans="1:12" x14ac:dyDescent="0.3">
      <c r="A3" s="188">
        <v>46154</v>
      </c>
      <c r="B3" s="188">
        <v>46162</v>
      </c>
      <c r="C3" s="189" t="s">
        <v>194</v>
      </c>
      <c r="D3" s="189" t="s">
        <v>195</v>
      </c>
      <c r="E3" s="190" t="s">
        <v>194</v>
      </c>
      <c r="F3" s="190" t="s">
        <v>196</v>
      </c>
      <c r="G3" s="191">
        <v>12224.5</v>
      </c>
      <c r="H3" s="189" t="s">
        <v>31</v>
      </c>
      <c r="I3" s="189" t="s">
        <v>18</v>
      </c>
      <c r="J3" s="189" t="s">
        <v>25</v>
      </c>
      <c r="K3" s="190" t="s">
        <v>197</v>
      </c>
      <c r="L3" s="188">
        <f t="shared" ref="L3:L23" si="0">B3</f>
        <v>46162</v>
      </c>
    </row>
    <row r="4" spans="1:12" x14ac:dyDescent="0.3">
      <c r="A4" s="188">
        <v>46142</v>
      </c>
      <c r="B4" s="188">
        <v>46162.324728796288</v>
      </c>
      <c r="C4" s="189" t="s">
        <v>226</v>
      </c>
      <c r="D4" s="189" t="s">
        <v>157</v>
      </c>
      <c r="E4" s="190" t="s">
        <v>158</v>
      </c>
      <c r="F4" s="190" t="s">
        <v>159</v>
      </c>
      <c r="G4" s="191">
        <v>89230.8</v>
      </c>
      <c r="H4" s="189" t="s">
        <v>48</v>
      </c>
      <c r="I4" s="189" t="s">
        <v>18</v>
      </c>
      <c r="J4" s="189" t="s">
        <v>25</v>
      </c>
      <c r="K4" s="190" t="s">
        <v>249</v>
      </c>
      <c r="L4" s="188">
        <f t="shared" si="0"/>
        <v>46162.324728796288</v>
      </c>
    </row>
    <row r="5" spans="1:12" x14ac:dyDescent="0.3">
      <c r="A5" s="188">
        <v>46154</v>
      </c>
      <c r="B5" s="188">
        <v>46162.324728796288</v>
      </c>
      <c r="C5" s="189" t="s">
        <v>209</v>
      </c>
      <c r="D5" s="189" t="s">
        <v>210</v>
      </c>
      <c r="E5" s="190" t="s">
        <v>209</v>
      </c>
      <c r="F5" s="190" t="s">
        <v>211</v>
      </c>
      <c r="G5" s="191">
        <v>10263.75</v>
      </c>
      <c r="H5" s="189" t="s">
        <v>17</v>
      </c>
      <c r="I5" s="189" t="s">
        <v>207</v>
      </c>
      <c r="J5" s="189" t="s">
        <v>25</v>
      </c>
      <c r="K5" s="190" t="s">
        <v>212</v>
      </c>
      <c r="L5" s="188">
        <f t="shared" si="0"/>
        <v>46162.324728796288</v>
      </c>
    </row>
    <row r="6" spans="1:12" ht="28.8" customHeight="1" x14ac:dyDescent="0.3">
      <c r="A6" s="196">
        <v>46149</v>
      </c>
      <c r="B6" s="196">
        <v>46163</v>
      </c>
      <c r="C6" s="197" t="s">
        <v>21</v>
      </c>
      <c r="D6" s="197" t="s">
        <v>22</v>
      </c>
      <c r="E6" s="198" t="s">
        <v>23</v>
      </c>
      <c r="F6" s="198" t="s">
        <v>24</v>
      </c>
      <c r="G6" s="199">
        <v>24910.15</v>
      </c>
      <c r="H6" s="197" t="s">
        <v>17</v>
      </c>
      <c r="I6" s="197" t="s">
        <v>18</v>
      </c>
      <c r="J6" s="197" t="s">
        <v>25</v>
      </c>
      <c r="K6" s="198" t="s">
        <v>26</v>
      </c>
      <c r="L6" s="196">
        <f t="shared" si="0"/>
        <v>46163</v>
      </c>
    </row>
    <row r="7" spans="1:12" ht="72" customHeight="1" x14ac:dyDescent="0.3">
      <c r="A7" s="203">
        <v>46157</v>
      </c>
      <c r="B7" s="203">
        <v>46164</v>
      </c>
      <c r="C7" s="204" t="s">
        <v>258</v>
      </c>
      <c r="D7" s="204" t="s">
        <v>259</v>
      </c>
      <c r="E7" s="205" t="s">
        <v>260</v>
      </c>
      <c r="F7" s="205" t="s">
        <v>261</v>
      </c>
      <c r="G7" s="206">
        <v>21407.040000000001</v>
      </c>
      <c r="H7" s="204" t="s">
        <v>48</v>
      </c>
      <c r="I7" s="204" t="s">
        <v>18</v>
      </c>
      <c r="J7" s="204" t="s">
        <v>273</v>
      </c>
      <c r="K7" s="205" t="s">
        <v>263</v>
      </c>
      <c r="L7" s="203">
        <f t="shared" si="0"/>
        <v>46164</v>
      </c>
    </row>
    <row r="8" spans="1:12" ht="28.8" customHeight="1" x14ac:dyDescent="0.3">
      <c r="A8" s="196">
        <v>46157</v>
      </c>
      <c r="B8" s="196">
        <v>46164</v>
      </c>
      <c r="C8" s="197" t="s">
        <v>254</v>
      </c>
      <c r="D8" s="197" t="s">
        <v>255</v>
      </c>
      <c r="E8" s="198" t="s">
        <v>256</v>
      </c>
      <c r="F8" s="198" t="s">
        <v>84</v>
      </c>
      <c r="G8" s="199">
        <v>17622.599999999999</v>
      </c>
      <c r="H8" s="197" t="s">
        <v>17</v>
      </c>
      <c r="I8" s="197" t="s">
        <v>18</v>
      </c>
      <c r="J8" s="197" t="s">
        <v>19</v>
      </c>
      <c r="K8" s="198" t="s">
        <v>257</v>
      </c>
      <c r="L8" s="196">
        <f t="shared" si="0"/>
        <v>46164</v>
      </c>
    </row>
    <row r="9" spans="1:12" ht="57.6" customHeight="1" x14ac:dyDescent="0.3">
      <c r="A9" s="203">
        <v>46160</v>
      </c>
      <c r="B9" s="203">
        <v>46164</v>
      </c>
      <c r="C9" s="204" t="s">
        <v>250</v>
      </c>
      <c r="D9" s="204" t="s">
        <v>251</v>
      </c>
      <c r="E9" s="205" t="s">
        <v>250</v>
      </c>
      <c r="F9" s="205" t="s">
        <v>252</v>
      </c>
      <c r="G9" s="206">
        <v>21986.85</v>
      </c>
      <c r="H9" s="204" t="s">
        <v>31</v>
      </c>
      <c r="I9" s="204" t="s">
        <v>18</v>
      </c>
      <c r="J9" s="204" t="s">
        <v>19</v>
      </c>
      <c r="K9" s="205" t="s">
        <v>253</v>
      </c>
      <c r="L9" s="203">
        <f t="shared" si="0"/>
        <v>46164</v>
      </c>
    </row>
    <row r="10" spans="1:12" ht="216" customHeight="1" x14ac:dyDescent="0.3">
      <c r="A10" s="203">
        <v>46160</v>
      </c>
      <c r="B10" s="203">
        <v>46164</v>
      </c>
      <c r="C10" s="204" t="s">
        <v>268</v>
      </c>
      <c r="D10" s="204" t="s">
        <v>269</v>
      </c>
      <c r="E10" s="205" t="s">
        <v>270</v>
      </c>
      <c r="F10" s="205" t="s">
        <v>271</v>
      </c>
      <c r="G10" s="206">
        <v>75285.899999999994</v>
      </c>
      <c r="H10" s="204" t="s">
        <v>31</v>
      </c>
      <c r="I10" s="204" t="s">
        <v>18</v>
      </c>
      <c r="J10" s="204" t="s">
        <v>25</v>
      </c>
      <c r="K10" s="205" t="s">
        <v>272</v>
      </c>
      <c r="L10" s="203">
        <f t="shared" si="0"/>
        <v>46164</v>
      </c>
    </row>
    <row r="11" spans="1:12" x14ac:dyDescent="0.3">
      <c r="A11" s="196">
        <v>46077</v>
      </c>
      <c r="B11" s="196">
        <v>46169</v>
      </c>
      <c r="C11" s="197" t="s">
        <v>144</v>
      </c>
      <c r="D11" s="197" t="s">
        <v>145</v>
      </c>
      <c r="E11" s="198" t="s">
        <v>146</v>
      </c>
      <c r="F11" s="198" t="s">
        <v>147</v>
      </c>
      <c r="G11" s="199">
        <v>94247.1</v>
      </c>
      <c r="H11" s="197" t="s">
        <v>48</v>
      </c>
      <c r="I11" s="197" t="s">
        <v>18</v>
      </c>
      <c r="J11" s="197" t="s">
        <v>114</v>
      </c>
      <c r="K11" s="198" t="s">
        <v>148</v>
      </c>
      <c r="L11" s="196">
        <f t="shared" si="0"/>
        <v>46169</v>
      </c>
    </row>
    <row r="12" spans="1:12" x14ac:dyDescent="0.3">
      <c r="A12" s="196">
        <v>46069</v>
      </c>
      <c r="B12" s="196">
        <v>46170</v>
      </c>
      <c r="C12" s="197" t="s">
        <v>138</v>
      </c>
      <c r="D12" s="197" t="s">
        <v>139</v>
      </c>
      <c r="E12" s="198" t="s">
        <v>140</v>
      </c>
      <c r="F12" s="198" t="s">
        <v>141</v>
      </c>
      <c r="G12" s="199">
        <v>379993.35</v>
      </c>
      <c r="H12" s="197" t="s">
        <v>274</v>
      </c>
      <c r="I12" s="197" t="s">
        <v>18</v>
      </c>
      <c r="J12" s="197" t="s">
        <v>19</v>
      </c>
      <c r="K12" s="198" t="s">
        <v>143</v>
      </c>
      <c r="L12" s="196">
        <f t="shared" si="0"/>
        <v>46170</v>
      </c>
    </row>
    <row r="13" spans="1:12" ht="28.8" customHeight="1" x14ac:dyDescent="0.3">
      <c r="A13" s="196">
        <v>46112</v>
      </c>
      <c r="B13" s="196">
        <v>46170</v>
      </c>
      <c r="C13" s="197" t="s">
        <v>13</v>
      </c>
      <c r="D13" s="197" t="s">
        <v>14</v>
      </c>
      <c r="E13" s="198" t="s">
        <v>15</v>
      </c>
      <c r="F13" s="198" t="s">
        <v>16</v>
      </c>
      <c r="G13" s="199">
        <v>103711</v>
      </c>
      <c r="H13" s="197" t="s">
        <v>17</v>
      </c>
      <c r="I13" s="197" t="s">
        <v>18</v>
      </c>
      <c r="J13" s="197" t="s">
        <v>19</v>
      </c>
      <c r="K13" s="198" t="s">
        <v>20</v>
      </c>
      <c r="L13" s="196">
        <f t="shared" si="0"/>
        <v>46170</v>
      </c>
    </row>
    <row r="14" spans="1:12" ht="28.8" customHeight="1" x14ac:dyDescent="0.3">
      <c r="A14" s="196">
        <v>46112</v>
      </c>
      <c r="B14" s="196">
        <v>46170</v>
      </c>
      <c r="C14" s="197" t="s">
        <v>120</v>
      </c>
      <c r="D14" s="197" t="s">
        <v>121</v>
      </c>
      <c r="E14" s="198" t="s">
        <v>122</v>
      </c>
      <c r="F14" s="198" t="s">
        <v>16</v>
      </c>
      <c r="G14" s="199">
        <v>83433</v>
      </c>
      <c r="H14" s="197" t="s">
        <v>17</v>
      </c>
      <c r="I14" s="197" t="s">
        <v>18</v>
      </c>
      <c r="J14" s="197" t="s">
        <v>19</v>
      </c>
      <c r="K14" s="198" t="s">
        <v>123</v>
      </c>
      <c r="L14" s="196">
        <f t="shared" si="0"/>
        <v>46170</v>
      </c>
    </row>
    <row r="15" spans="1:12" ht="86.4" customHeight="1" x14ac:dyDescent="0.3">
      <c r="A15" s="203">
        <v>46156</v>
      </c>
      <c r="B15" s="203">
        <v>46171</v>
      </c>
      <c r="C15" s="204" t="s">
        <v>33</v>
      </c>
      <c r="D15" s="204" t="s">
        <v>34</v>
      </c>
      <c r="E15" s="205" t="s">
        <v>35</v>
      </c>
      <c r="F15" s="205" t="s">
        <v>36</v>
      </c>
      <c r="G15" s="206">
        <v>234420.6</v>
      </c>
      <c r="H15" s="204" t="s">
        <v>31</v>
      </c>
      <c r="I15" s="204" t="s">
        <v>18</v>
      </c>
      <c r="J15" s="204" t="s">
        <v>25</v>
      </c>
      <c r="K15" s="205" t="s">
        <v>37</v>
      </c>
      <c r="L15" s="203">
        <f t="shared" si="0"/>
        <v>46171</v>
      </c>
    </row>
    <row r="16" spans="1:12" ht="28.8" customHeight="1" x14ac:dyDescent="0.3">
      <c r="A16" s="207">
        <v>46111</v>
      </c>
      <c r="B16" s="207">
        <v>46171</v>
      </c>
      <c r="C16" s="208" t="s">
        <v>38</v>
      </c>
      <c r="D16" s="208" t="s">
        <v>39</v>
      </c>
      <c r="E16" s="209" t="s">
        <v>40</v>
      </c>
      <c r="F16" s="209" t="s">
        <v>41</v>
      </c>
      <c r="G16" s="210">
        <v>9014.2099999999991</v>
      </c>
      <c r="H16" s="208" t="s">
        <v>17</v>
      </c>
      <c r="I16" s="208" t="s">
        <v>42</v>
      </c>
      <c r="J16" s="208" t="str">
        <f>IFERROR(VLOOKUP(D16, '19.05.2026'!D:J, 7, FALSE), "")</f>
        <v>CASH SALE</v>
      </c>
      <c r="K16" s="209" t="s">
        <v>43</v>
      </c>
      <c r="L16" s="207">
        <f t="shared" si="0"/>
        <v>46171</v>
      </c>
    </row>
    <row r="17" spans="1:12" x14ac:dyDescent="0.3">
      <c r="A17" s="207">
        <v>46111</v>
      </c>
      <c r="B17" s="207">
        <v>46171</v>
      </c>
      <c r="C17" s="208" t="s">
        <v>44</v>
      </c>
      <c r="D17" s="208" t="s">
        <v>45</v>
      </c>
      <c r="E17" s="209" t="s">
        <v>46</v>
      </c>
      <c r="F17" s="209" t="s">
        <v>47</v>
      </c>
      <c r="G17" s="210">
        <v>169353.60000000001</v>
      </c>
      <c r="H17" s="208" t="s">
        <v>48</v>
      </c>
      <c r="I17" s="208" t="s">
        <v>42</v>
      </c>
      <c r="J17" s="208" t="str">
        <f>IFERROR(VLOOKUP(D17, '19.05.2026'!D:J, 7, FALSE), "")</f>
        <v>ACCOUNT - UP TO DATE</v>
      </c>
      <c r="K17" s="209" t="s">
        <v>49</v>
      </c>
      <c r="L17" s="207">
        <f t="shared" si="0"/>
        <v>46171</v>
      </c>
    </row>
    <row r="18" spans="1:12" ht="158.4" customHeight="1" x14ac:dyDescent="0.3">
      <c r="A18" s="192">
        <v>46128</v>
      </c>
      <c r="B18" s="192">
        <v>46171</v>
      </c>
      <c r="C18" s="193" t="s">
        <v>27</v>
      </c>
      <c r="D18" s="193" t="s">
        <v>50</v>
      </c>
      <c r="E18" s="194" t="s">
        <v>51</v>
      </c>
      <c r="F18" s="194" t="s">
        <v>52</v>
      </c>
      <c r="G18" s="195">
        <v>82900.05</v>
      </c>
      <c r="H18" s="193" t="s">
        <v>48</v>
      </c>
      <c r="I18" s="193" t="s">
        <v>27</v>
      </c>
      <c r="J18" s="193" t="str">
        <f>IFERROR(VLOOKUP(D18, '19.05.2026'!D:J, 7, FALSE), "")</f>
        <v>ACCOUNT - UP TO DATE</v>
      </c>
      <c r="K18" s="194" t="s">
        <v>53</v>
      </c>
      <c r="L18" s="192">
        <f t="shared" si="0"/>
        <v>46171</v>
      </c>
    </row>
    <row r="19" spans="1:12" x14ac:dyDescent="0.3">
      <c r="A19" s="192">
        <v>46142</v>
      </c>
      <c r="B19" s="192">
        <v>46171</v>
      </c>
      <c r="C19" s="193" t="s">
        <v>27</v>
      </c>
      <c r="D19" s="193" t="s">
        <v>28</v>
      </c>
      <c r="E19" s="194" t="s">
        <v>29</v>
      </c>
      <c r="F19" s="194" t="s">
        <v>30</v>
      </c>
      <c r="G19" s="195">
        <v>554227.55000000005</v>
      </c>
      <c r="H19" s="193" t="s">
        <v>31</v>
      </c>
      <c r="I19" s="193" t="s">
        <v>27</v>
      </c>
      <c r="J19" s="193" t="str">
        <f>IFERROR(VLOOKUP(D19, '19.05.2026'!D:J, 7, FALSE), "")</f>
        <v>CASH SALE</v>
      </c>
      <c r="K19" s="194" t="s">
        <v>32</v>
      </c>
      <c r="L19" s="192">
        <f t="shared" si="0"/>
        <v>46171</v>
      </c>
    </row>
    <row r="20" spans="1:12" ht="28.8" customHeight="1" x14ac:dyDescent="0.3">
      <c r="A20" s="192">
        <v>46142</v>
      </c>
      <c r="B20" s="192">
        <v>46171</v>
      </c>
      <c r="C20" s="193" t="s">
        <v>27</v>
      </c>
      <c r="D20" s="193" t="s">
        <v>54</v>
      </c>
      <c r="E20" s="194" t="s">
        <v>55</v>
      </c>
      <c r="F20" s="194" t="s">
        <v>56</v>
      </c>
      <c r="G20" s="195">
        <v>426010.6</v>
      </c>
      <c r="H20" s="193" t="s">
        <v>31</v>
      </c>
      <c r="I20" s="193" t="s">
        <v>27</v>
      </c>
      <c r="J20" s="193" t="str">
        <f>IFERROR(VLOOKUP(D20, '19.05.2026'!D:J, 7, FALSE), "")</f>
        <v>ACCOUNT - UP TO DATE</v>
      </c>
      <c r="K20" s="194" t="s">
        <v>57</v>
      </c>
      <c r="L20" s="192">
        <f t="shared" si="0"/>
        <v>46171</v>
      </c>
    </row>
    <row r="21" spans="1:12" ht="86.4" customHeight="1" x14ac:dyDescent="0.3">
      <c r="A21" s="192">
        <v>46142</v>
      </c>
      <c r="B21" s="192">
        <v>46171</v>
      </c>
      <c r="C21" s="193" t="s">
        <v>58</v>
      </c>
      <c r="D21" s="193" t="s">
        <v>59</v>
      </c>
      <c r="E21" s="194" t="s">
        <v>60</v>
      </c>
      <c r="F21" s="194" t="s">
        <v>61</v>
      </c>
      <c r="G21" s="195">
        <v>310411</v>
      </c>
      <c r="H21" s="193" t="s">
        <v>275</v>
      </c>
      <c r="I21" s="193" t="s">
        <v>27</v>
      </c>
      <c r="J21" s="193" t="str">
        <f>IFERROR(VLOOKUP(D21, '19.05.2026'!D:J, 7, FALSE), "")</f>
        <v>CASH SALE</v>
      </c>
      <c r="K21" s="194" t="s">
        <v>63</v>
      </c>
      <c r="L21" s="192">
        <f t="shared" si="0"/>
        <v>46171</v>
      </c>
    </row>
    <row r="22" spans="1:12" ht="28.8" customHeight="1" x14ac:dyDescent="0.3">
      <c r="A22" s="192">
        <v>46142</v>
      </c>
      <c r="B22" s="192">
        <v>46171</v>
      </c>
      <c r="C22" s="193" t="s">
        <v>27</v>
      </c>
      <c r="D22" s="193" t="s">
        <v>64</v>
      </c>
      <c r="E22" s="194" t="s">
        <v>65</v>
      </c>
      <c r="F22" s="194" t="s">
        <v>66</v>
      </c>
      <c r="G22" s="195">
        <v>204447</v>
      </c>
      <c r="H22" s="193" t="s">
        <v>31</v>
      </c>
      <c r="I22" s="193" t="s">
        <v>27</v>
      </c>
      <c r="J22" s="193" t="str">
        <f>IFERROR(VLOOKUP(D22, '19.05.2026'!D:J, 7, FALSE), "")</f>
        <v>CASH SALE</v>
      </c>
      <c r="K22" s="194" t="s">
        <v>67</v>
      </c>
      <c r="L22" s="192">
        <f t="shared" si="0"/>
        <v>46171</v>
      </c>
    </row>
    <row r="23" spans="1:12" ht="28.8" customHeight="1" x14ac:dyDescent="0.3">
      <c r="A23" s="192">
        <v>46155</v>
      </c>
      <c r="B23" s="192">
        <v>46199</v>
      </c>
      <c r="C23" s="193" t="s">
        <v>76</v>
      </c>
      <c r="D23" s="193" t="s">
        <v>77</v>
      </c>
      <c r="E23" s="194" t="s">
        <v>78</v>
      </c>
      <c r="F23" s="194" t="s">
        <v>16</v>
      </c>
      <c r="G23" s="195">
        <v>523356</v>
      </c>
      <c r="H23" s="193" t="s">
        <v>276</v>
      </c>
      <c r="I23" s="193" t="s">
        <v>27</v>
      </c>
      <c r="J23" s="193" t="str">
        <f>IFERROR(VLOOKUP(D23, '19.05.2026'!D:J, 7, FALSE), "")</f>
        <v>ACCOUNT - UP TO DATE</v>
      </c>
      <c r="K23" s="194" t="s">
        <v>80</v>
      </c>
      <c r="L23" s="192">
        <f t="shared" si="0"/>
        <v>46199</v>
      </c>
    </row>
    <row r="24" spans="1:12" x14ac:dyDescent="0.3">
      <c r="F24" s="200" t="s">
        <v>94</v>
      </c>
      <c r="G24" s="201">
        <f>SUM(G3:G23)</f>
        <v>3448456.6500000004</v>
      </c>
    </row>
    <row r="26" spans="1:12" x14ac:dyDescent="0.3">
      <c r="F26" s="202" t="s">
        <v>95</v>
      </c>
    </row>
    <row r="27" spans="1:12" x14ac:dyDescent="0.3">
      <c r="F27" t="s">
        <v>96</v>
      </c>
      <c r="G27" s="18">
        <f ca="1">SUMIFS(G3:G23, J3:J23, "*CASH SALE*", L3:L23, "&gt;="&amp;EOMONTH(TODAY(),-1)+1, L3:L23, "&lt;="&amp;EOMONTH(TODAY(),0))</f>
        <v>1640089.6000000001</v>
      </c>
      <c r="I27" t="s">
        <v>97</v>
      </c>
      <c r="J27" s="18">
        <f ca="1">SUMIFS(G3:G23, J3:J23, "*CASH SALE*", L3:L23, "&gt;="&amp;EOMONTH(TODAY(),0)+1, L3:L23, "&lt;="&amp;EOMONTH(TODAY(),1))</f>
        <v>0</v>
      </c>
    </row>
    <row r="28" spans="1:12" x14ac:dyDescent="0.3">
      <c r="F28" t="s">
        <v>98</v>
      </c>
      <c r="G28" s="18">
        <f ca="1">SUMIFS(G3:G23, J3:J23, "*ACCOUNT*", L3:L23, "&gt;="&amp;EOMONTH(TODAY(),-1)+1, L3:L23, "&lt;="&amp;EOMONTH(TODAY(),0))</f>
        <v>1285011.05</v>
      </c>
      <c r="I28" t="s">
        <v>99</v>
      </c>
      <c r="J28" s="18">
        <f ca="1">SUMIFS(G3:G23, J3:J23, "*ACCOUNT*", L3:L23, "&gt;="&amp;EOMONTH(TODAY(),0)+1, L3:L23, "&lt;="&amp;EOMONTH(TODAY(),1))</f>
        <v>523356</v>
      </c>
    </row>
    <row r="30" spans="1:12" ht="28.8" customHeight="1" x14ac:dyDescent="0.3">
      <c r="A30" s="187" t="s">
        <v>1</v>
      </c>
      <c r="B30" s="187" t="s">
        <v>2</v>
      </c>
      <c r="C30" s="187" t="s">
        <v>3</v>
      </c>
      <c r="D30" s="187" t="s">
        <v>4</v>
      </c>
      <c r="E30" s="187" t="s">
        <v>5</v>
      </c>
      <c r="F30" s="187" t="s">
        <v>6</v>
      </c>
      <c r="G30" s="187" t="s">
        <v>7</v>
      </c>
      <c r="H30" s="187" t="s">
        <v>8</v>
      </c>
      <c r="I30" s="187" t="s">
        <v>9</v>
      </c>
      <c r="J30" s="187" t="s">
        <v>10</v>
      </c>
      <c r="K30" s="187" t="s">
        <v>100</v>
      </c>
    </row>
    <row r="31" spans="1:12" x14ac:dyDescent="0.3">
      <c r="A31" s="196">
        <v>46154</v>
      </c>
      <c r="B31" s="196">
        <v>46162.324728796288</v>
      </c>
      <c r="C31" s="197" t="s">
        <v>209</v>
      </c>
      <c r="D31" s="197" t="s">
        <v>210</v>
      </c>
      <c r="E31" s="198" t="s">
        <v>209</v>
      </c>
      <c r="F31" s="198" t="s">
        <v>211</v>
      </c>
      <c r="G31" s="199">
        <v>10263.75</v>
      </c>
      <c r="H31" s="197" t="s">
        <v>106</v>
      </c>
      <c r="I31" s="197" t="s">
        <v>207</v>
      </c>
      <c r="J31" s="197" t="s">
        <v>25</v>
      </c>
      <c r="K31" s="198" t="s">
        <v>277</v>
      </c>
    </row>
    <row r="32" spans="1:12" x14ac:dyDescent="0.3">
      <c r="A32" s="196">
        <v>46154</v>
      </c>
      <c r="B32" s="196">
        <v>46162</v>
      </c>
      <c r="C32" s="197" t="s">
        <v>194</v>
      </c>
      <c r="D32" s="197" t="s">
        <v>195</v>
      </c>
      <c r="E32" s="198" t="s">
        <v>194</v>
      </c>
      <c r="F32" s="198" t="s">
        <v>196</v>
      </c>
      <c r="G32" s="199">
        <v>12224.5</v>
      </c>
      <c r="H32" s="197" t="s">
        <v>127</v>
      </c>
      <c r="I32" s="197" t="s">
        <v>18</v>
      </c>
      <c r="J32" s="197" t="s">
        <v>25</v>
      </c>
      <c r="K32" s="198" t="s">
        <v>278</v>
      </c>
    </row>
    <row r="33" spans="1:11" x14ac:dyDescent="0.3">
      <c r="A33" s="196">
        <v>46142</v>
      </c>
      <c r="B33" s="196">
        <v>46162.324728796288</v>
      </c>
      <c r="C33" s="197" t="s">
        <v>226</v>
      </c>
      <c r="D33" s="197" t="s">
        <v>157</v>
      </c>
      <c r="E33" s="198" t="s">
        <v>158</v>
      </c>
      <c r="F33" s="198" t="s">
        <v>159</v>
      </c>
      <c r="G33" s="199">
        <v>89230.8</v>
      </c>
      <c r="H33" s="197" t="s">
        <v>113</v>
      </c>
      <c r="I33" s="197" t="s">
        <v>18</v>
      </c>
      <c r="J33" s="197" t="s">
        <v>25</v>
      </c>
      <c r="K33" s="198" t="s">
        <v>279</v>
      </c>
    </row>
    <row r="34" spans="1:11" x14ac:dyDescent="0.3">
      <c r="F34" s="200" t="s">
        <v>101</v>
      </c>
      <c r="G34" s="201">
        <f>SUM(G31:G33)</f>
        <v>111719.05</v>
      </c>
    </row>
    <row r="36" spans="1:11" x14ac:dyDescent="0.3">
      <c r="F36" s="200" t="s">
        <v>102</v>
      </c>
      <c r="G36" s="201">
        <f>SUMIFS(G3:G23, I3:I23, "*Ready*Dispatch*")</f>
        <v>10263.75</v>
      </c>
    </row>
  </sheetData>
  <mergeCells count="1">
    <mergeCell ref="A1:C1"/>
  </mergeCells>
  <pageMargins left="0.25" right="0.25" top="0.75" bottom="0.75" header="0.3" footer="0.3"/>
  <pageSetup scale="45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L35"/>
  <sheetViews>
    <sheetView zoomScale="80" zoomScaleNormal="80" workbookViewId="0">
      <pane xSplit="4" ySplit="2" topLeftCell="E3" activePane="bottomRight" state="frozen"/>
      <selection pane="topRight"/>
      <selection pane="bottomLeft"/>
      <selection pane="bottomRight" activeCell="G14" sqref="G14"/>
    </sheetView>
  </sheetViews>
  <sheetFormatPr defaultRowHeight="14.4" x14ac:dyDescent="0.3"/>
  <cols>
    <col min="1" max="1" width="12" customWidth="1"/>
    <col min="2" max="2" width="10.5546875" bestFit="1" customWidth="1"/>
    <col min="3" max="3" width="11.33203125" bestFit="1" customWidth="1"/>
    <col min="4" max="4" width="10.77734375" bestFit="1" customWidth="1"/>
    <col min="5" max="5" width="20.5546875" bestFit="1" customWidth="1"/>
    <col min="6" max="6" width="29.33203125" bestFit="1" customWidth="1"/>
    <col min="7" max="7" width="13.109375" bestFit="1" customWidth="1"/>
    <col min="8" max="8" width="11.33203125" customWidth="1"/>
    <col min="9" max="9" width="15.5546875" bestFit="1" customWidth="1"/>
    <col min="10" max="10" width="21.33203125" bestFit="1" customWidth="1"/>
    <col min="11" max="11" width="50" customWidth="1"/>
    <col min="12" max="12" width="12" customWidth="1"/>
  </cols>
  <sheetData>
    <row r="1" spans="1:12" s="41" customFormat="1" ht="18" customHeight="1" x14ac:dyDescent="0.35">
      <c r="A1" s="40" t="s">
        <v>0</v>
      </c>
      <c r="K1" s="118">
        <f ca="1">TODAY()</f>
        <v>46171</v>
      </c>
    </row>
    <row r="2" spans="1:12" ht="43.2" customHeight="1" x14ac:dyDescent="0.3">
      <c r="A2" s="211" t="s">
        <v>1</v>
      </c>
      <c r="B2" s="211" t="s">
        <v>2</v>
      </c>
      <c r="C2" s="211" t="s">
        <v>3</v>
      </c>
      <c r="D2" s="211" t="s">
        <v>4</v>
      </c>
      <c r="E2" s="211" t="s">
        <v>5</v>
      </c>
      <c r="F2" s="211" t="s">
        <v>6</v>
      </c>
      <c r="G2" s="211" t="s">
        <v>7</v>
      </c>
      <c r="H2" s="211" t="s">
        <v>8</v>
      </c>
      <c r="I2" s="211" t="s">
        <v>9</v>
      </c>
      <c r="J2" s="211" t="s">
        <v>10</v>
      </c>
      <c r="K2" s="211" t="s">
        <v>11</v>
      </c>
      <c r="L2" s="211" t="s">
        <v>12</v>
      </c>
    </row>
    <row r="3" spans="1:12" x14ac:dyDescent="0.3">
      <c r="A3" s="212">
        <v>46142</v>
      </c>
      <c r="B3" s="212">
        <v>46163.348926157407</v>
      </c>
      <c r="C3" s="213" t="s">
        <v>226</v>
      </c>
      <c r="D3" s="213" t="s">
        <v>157</v>
      </c>
      <c r="E3" s="214" t="s">
        <v>158</v>
      </c>
      <c r="F3" s="214" t="s">
        <v>159</v>
      </c>
      <c r="G3" s="215">
        <v>89230.8</v>
      </c>
      <c r="H3" s="213" t="s">
        <v>48</v>
      </c>
      <c r="I3" s="213" t="s">
        <v>18</v>
      </c>
      <c r="J3" s="213" t="s">
        <v>25</v>
      </c>
      <c r="K3" s="214" t="s">
        <v>249</v>
      </c>
      <c r="L3" s="212">
        <f t="shared" ref="L3:L22" si="0">B3</f>
        <v>46163.348926157407</v>
      </c>
    </row>
    <row r="4" spans="1:12" ht="28.8" customHeight="1" x14ac:dyDescent="0.3">
      <c r="A4" s="212">
        <v>46149</v>
      </c>
      <c r="B4" s="212">
        <v>46163.348926157407</v>
      </c>
      <c r="C4" s="213" t="s">
        <v>21</v>
      </c>
      <c r="D4" s="213" t="s">
        <v>22</v>
      </c>
      <c r="E4" s="214" t="s">
        <v>23</v>
      </c>
      <c r="F4" s="214" t="s">
        <v>24</v>
      </c>
      <c r="G4" s="215">
        <v>24910.15</v>
      </c>
      <c r="H4" s="213" t="s">
        <v>17</v>
      </c>
      <c r="I4" s="213" t="s">
        <v>18</v>
      </c>
      <c r="J4" s="213" t="s">
        <v>25</v>
      </c>
      <c r="K4" s="214" t="s">
        <v>26</v>
      </c>
      <c r="L4" s="212">
        <f t="shared" si="0"/>
        <v>46163.348926157407</v>
      </c>
    </row>
    <row r="5" spans="1:12" x14ac:dyDescent="0.3">
      <c r="A5" s="212">
        <v>46154</v>
      </c>
      <c r="B5" s="212">
        <v>46163.348926157407</v>
      </c>
      <c r="C5" s="213" t="s">
        <v>209</v>
      </c>
      <c r="D5" s="213" t="s">
        <v>210</v>
      </c>
      <c r="E5" s="214" t="s">
        <v>209</v>
      </c>
      <c r="F5" s="214" t="s">
        <v>211</v>
      </c>
      <c r="G5" s="215">
        <v>10263.75</v>
      </c>
      <c r="H5" s="213" t="s">
        <v>17</v>
      </c>
      <c r="I5" s="213" t="s">
        <v>207</v>
      </c>
      <c r="J5" s="213" t="s">
        <v>25</v>
      </c>
      <c r="K5" s="214" t="s">
        <v>212</v>
      </c>
      <c r="L5" s="212">
        <f t="shared" si="0"/>
        <v>46163.348926157407</v>
      </c>
    </row>
    <row r="6" spans="1:12" ht="216" customHeight="1" x14ac:dyDescent="0.3">
      <c r="A6" s="229">
        <v>46112</v>
      </c>
      <c r="B6" s="229">
        <v>46164</v>
      </c>
      <c r="C6" s="230" t="s">
        <v>268</v>
      </c>
      <c r="D6" s="230" t="s">
        <v>269</v>
      </c>
      <c r="E6" s="231" t="s">
        <v>270</v>
      </c>
      <c r="F6" s="231" t="s">
        <v>271</v>
      </c>
      <c r="G6" s="232">
        <v>75285.899999999994</v>
      </c>
      <c r="H6" s="230" t="s">
        <v>31</v>
      </c>
      <c r="I6" s="230" t="s">
        <v>18</v>
      </c>
      <c r="J6" s="230" t="s">
        <v>25</v>
      </c>
      <c r="K6" s="231" t="s">
        <v>272</v>
      </c>
      <c r="L6" s="229">
        <f t="shared" si="0"/>
        <v>46164</v>
      </c>
    </row>
    <row r="7" spans="1:12" ht="72" customHeight="1" x14ac:dyDescent="0.3">
      <c r="A7" s="229">
        <v>46157</v>
      </c>
      <c r="B7" s="229">
        <v>46164</v>
      </c>
      <c r="C7" s="230" t="s">
        <v>258</v>
      </c>
      <c r="D7" s="230" t="s">
        <v>259</v>
      </c>
      <c r="E7" s="231" t="s">
        <v>260</v>
      </c>
      <c r="F7" s="231" t="s">
        <v>261</v>
      </c>
      <c r="G7" s="232">
        <v>21407.040000000001</v>
      </c>
      <c r="H7" s="230" t="s">
        <v>48</v>
      </c>
      <c r="I7" s="230" t="s">
        <v>18</v>
      </c>
      <c r="J7" s="230" t="s">
        <v>273</v>
      </c>
      <c r="K7" s="231" t="s">
        <v>263</v>
      </c>
      <c r="L7" s="229">
        <f t="shared" si="0"/>
        <v>46164</v>
      </c>
    </row>
    <row r="8" spans="1:12" ht="28.8" customHeight="1" x14ac:dyDescent="0.3">
      <c r="A8" s="220">
        <v>46157</v>
      </c>
      <c r="B8" s="220">
        <v>46164</v>
      </c>
      <c r="C8" s="221" t="s">
        <v>254</v>
      </c>
      <c r="D8" s="221" t="s">
        <v>255</v>
      </c>
      <c r="E8" s="222" t="s">
        <v>256</v>
      </c>
      <c r="F8" s="222" t="s">
        <v>84</v>
      </c>
      <c r="G8" s="223">
        <v>17622.599999999999</v>
      </c>
      <c r="H8" s="221" t="s">
        <v>17</v>
      </c>
      <c r="I8" s="221" t="s">
        <v>18</v>
      </c>
      <c r="J8" s="221" t="s">
        <v>19</v>
      </c>
      <c r="K8" s="222" t="s">
        <v>257</v>
      </c>
      <c r="L8" s="220">
        <f t="shared" si="0"/>
        <v>46164</v>
      </c>
    </row>
    <row r="9" spans="1:12" ht="57.6" customHeight="1" x14ac:dyDescent="0.3">
      <c r="A9" s="229">
        <v>46160</v>
      </c>
      <c r="B9" s="229">
        <v>46164</v>
      </c>
      <c r="C9" s="230" t="s">
        <v>250</v>
      </c>
      <c r="D9" s="230" t="s">
        <v>251</v>
      </c>
      <c r="E9" s="231" t="s">
        <v>250</v>
      </c>
      <c r="F9" s="231" t="s">
        <v>252</v>
      </c>
      <c r="G9" s="232">
        <v>21986.85</v>
      </c>
      <c r="H9" s="230" t="s">
        <v>31</v>
      </c>
      <c r="I9" s="230" t="s">
        <v>18</v>
      </c>
      <c r="J9" s="230" t="s">
        <v>19</v>
      </c>
      <c r="K9" s="231" t="s">
        <v>253</v>
      </c>
      <c r="L9" s="229">
        <f t="shared" si="0"/>
        <v>46164</v>
      </c>
    </row>
    <row r="10" spans="1:12" x14ac:dyDescent="0.3">
      <c r="A10" s="220">
        <v>46077</v>
      </c>
      <c r="B10" s="220">
        <v>46169</v>
      </c>
      <c r="C10" s="221" t="s">
        <v>144</v>
      </c>
      <c r="D10" s="221" t="s">
        <v>145</v>
      </c>
      <c r="E10" s="222" t="s">
        <v>146</v>
      </c>
      <c r="F10" s="222" t="s">
        <v>147</v>
      </c>
      <c r="G10" s="223">
        <v>94247.1</v>
      </c>
      <c r="H10" s="221" t="s">
        <v>48</v>
      </c>
      <c r="I10" s="221" t="s">
        <v>18</v>
      </c>
      <c r="J10" s="221" t="s">
        <v>114</v>
      </c>
      <c r="K10" s="222" t="s">
        <v>148</v>
      </c>
      <c r="L10" s="220">
        <f t="shared" si="0"/>
        <v>46169</v>
      </c>
    </row>
    <row r="11" spans="1:12" x14ac:dyDescent="0.3">
      <c r="A11" s="220">
        <v>46069</v>
      </c>
      <c r="B11" s="220">
        <v>46170</v>
      </c>
      <c r="C11" s="221" t="s">
        <v>138</v>
      </c>
      <c r="D11" s="221" t="s">
        <v>139</v>
      </c>
      <c r="E11" s="222" t="s">
        <v>140</v>
      </c>
      <c r="F11" s="222" t="s">
        <v>141</v>
      </c>
      <c r="G11" s="223">
        <v>379993.35</v>
      </c>
      <c r="H11" s="221" t="s">
        <v>280</v>
      </c>
      <c r="I11" s="221" t="s">
        <v>18</v>
      </c>
      <c r="J11" s="221" t="s">
        <v>19</v>
      </c>
      <c r="K11" s="222" t="s">
        <v>143</v>
      </c>
      <c r="L11" s="220">
        <f t="shared" si="0"/>
        <v>46170</v>
      </c>
    </row>
    <row r="12" spans="1:12" ht="28.8" customHeight="1" x14ac:dyDescent="0.3">
      <c r="A12" s="220">
        <v>46112</v>
      </c>
      <c r="B12" s="220">
        <v>46170</v>
      </c>
      <c r="C12" s="221" t="s">
        <v>13</v>
      </c>
      <c r="D12" s="221" t="s">
        <v>14</v>
      </c>
      <c r="E12" s="222" t="s">
        <v>15</v>
      </c>
      <c r="F12" s="222" t="s">
        <v>16</v>
      </c>
      <c r="G12" s="223">
        <v>103711</v>
      </c>
      <c r="H12" s="221" t="s">
        <v>17</v>
      </c>
      <c r="I12" s="221" t="s">
        <v>18</v>
      </c>
      <c r="J12" s="221" t="s">
        <v>19</v>
      </c>
      <c r="K12" s="222" t="s">
        <v>20</v>
      </c>
      <c r="L12" s="220">
        <f t="shared" si="0"/>
        <v>46170</v>
      </c>
    </row>
    <row r="13" spans="1:12" ht="28.8" customHeight="1" x14ac:dyDescent="0.3">
      <c r="A13" s="220">
        <v>46112</v>
      </c>
      <c r="B13" s="220">
        <v>46170</v>
      </c>
      <c r="C13" s="221" t="s">
        <v>120</v>
      </c>
      <c r="D13" s="221" t="s">
        <v>121</v>
      </c>
      <c r="E13" s="222" t="s">
        <v>122</v>
      </c>
      <c r="F13" s="222" t="s">
        <v>16</v>
      </c>
      <c r="G13" s="223">
        <v>83433</v>
      </c>
      <c r="H13" s="221" t="s">
        <v>17</v>
      </c>
      <c r="I13" s="221" t="s">
        <v>18</v>
      </c>
      <c r="J13" s="221" t="s">
        <v>19</v>
      </c>
      <c r="K13" s="222" t="s">
        <v>123</v>
      </c>
      <c r="L13" s="220">
        <f t="shared" si="0"/>
        <v>46170</v>
      </c>
    </row>
    <row r="14" spans="1:12" ht="86.4" customHeight="1" x14ac:dyDescent="0.3">
      <c r="A14" s="229">
        <v>46156</v>
      </c>
      <c r="B14" s="229">
        <v>46171</v>
      </c>
      <c r="C14" s="230" t="s">
        <v>33</v>
      </c>
      <c r="D14" s="230" t="s">
        <v>34</v>
      </c>
      <c r="E14" s="231" t="s">
        <v>35</v>
      </c>
      <c r="F14" s="231" t="s">
        <v>36</v>
      </c>
      <c r="G14" s="232">
        <v>234420.6</v>
      </c>
      <c r="H14" s="230" t="s">
        <v>31</v>
      </c>
      <c r="I14" s="230" t="s">
        <v>18</v>
      </c>
      <c r="J14" s="230" t="s">
        <v>25</v>
      </c>
      <c r="K14" s="231" t="s">
        <v>37</v>
      </c>
      <c r="L14" s="229">
        <f t="shared" si="0"/>
        <v>46171</v>
      </c>
    </row>
    <row r="15" spans="1:12" ht="28.8" customHeight="1" x14ac:dyDescent="0.3">
      <c r="A15" s="233">
        <v>46111</v>
      </c>
      <c r="B15" s="233">
        <v>46171</v>
      </c>
      <c r="C15" s="234" t="s">
        <v>38</v>
      </c>
      <c r="D15" s="234" t="s">
        <v>39</v>
      </c>
      <c r="E15" s="235" t="s">
        <v>40</v>
      </c>
      <c r="F15" s="235" t="s">
        <v>41</v>
      </c>
      <c r="G15" s="236">
        <v>9014.2099999999991</v>
      </c>
      <c r="H15" s="234" t="s">
        <v>17</v>
      </c>
      <c r="I15" s="234" t="s">
        <v>42</v>
      </c>
      <c r="J15" s="234" t="str">
        <f>IFERROR(VLOOKUP(D15, '20.05.2026'!D:J, 7, FALSE), "")</f>
        <v>CASH SALE</v>
      </c>
      <c r="K15" s="235" t="s">
        <v>43</v>
      </c>
      <c r="L15" s="233">
        <f t="shared" si="0"/>
        <v>46171</v>
      </c>
    </row>
    <row r="16" spans="1:12" x14ac:dyDescent="0.3">
      <c r="A16" s="233">
        <v>46111</v>
      </c>
      <c r="B16" s="233">
        <v>46171</v>
      </c>
      <c r="C16" s="234" t="s">
        <v>44</v>
      </c>
      <c r="D16" s="234" t="s">
        <v>45</v>
      </c>
      <c r="E16" s="235" t="s">
        <v>46</v>
      </c>
      <c r="F16" s="235" t="s">
        <v>47</v>
      </c>
      <c r="G16" s="236">
        <v>169353.60000000001</v>
      </c>
      <c r="H16" s="234" t="s">
        <v>48</v>
      </c>
      <c r="I16" s="234" t="s">
        <v>42</v>
      </c>
      <c r="J16" s="234" t="str">
        <f>IFERROR(VLOOKUP(D16, '20.05.2026'!D:J, 7, FALSE), "")</f>
        <v>ACCOUNT - UP TO DATE</v>
      </c>
      <c r="K16" s="235" t="s">
        <v>49</v>
      </c>
      <c r="L16" s="233">
        <f t="shared" si="0"/>
        <v>46171</v>
      </c>
    </row>
    <row r="17" spans="1:12" ht="158.4" customHeight="1" x14ac:dyDescent="0.3">
      <c r="A17" s="216">
        <v>46128</v>
      </c>
      <c r="B17" s="216">
        <v>46171</v>
      </c>
      <c r="C17" s="217" t="s">
        <v>27</v>
      </c>
      <c r="D17" s="217" t="s">
        <v>50</v>
      </c>
      <c r="E17" s="218" t="s">
        <v>51</v>
      </c>
      <c r="F17" s="218" t="s">
        <v>52</v>
      </c>
      <c r="G17" s="219">
        <v>82900.05</v>
      </c>
      <c r="H17" s="217" t="s">
        <v>48</v>
      </c>
      <c r="I17" s="217" t="s">
        <v>27</v>
      </c>
      <c r="J17" s="217" t="str">
        <f>IFERROR(VLOOKUP(D17, '20.05.2026'!D:J, 7, FALSE), "")</f>
        <v>ACCOUNT - UP TO DATE</v>
      </c>
      <c r="K17" s="218" t="s">
        <v>53</v>
      </c>
      <c r="L17" s="216">
        <f t="shared" si="0"/>
        <v>46171</v>
      </c>
    </row>
    <row r="18" spans="1:12" x14ac:dyDescent="0.3">
      <c r="A18" s="216">
        <v>46142</v>
      </c>
      <c r="B18" s="216">
        <v>46171</v>
      </c>
      <c r="C18" s="217" t="s">
        <v>27</v>
      </c>
      <c r="D18" s="217" t="s">
        <v>28</v>
      </c>
      <c r="E18" s="218" t="s">
        <v>29</v>
      </c>
      <c r="F18" s="218" t="s">
        <v>30</v>
      </c>
      <c r="G18" s="219">
        <v>554227.55000000005</v>
      </c>
      <c r="H18" s="217" t="s">
        <v>31</v>
      </c>
      <c r="I18" s="217" t="s">
        <v>27</v>
      </c>
      <c r="J18" s="217" t="str">
        <f>IFERROR(VLOOKUP(D18, '20.05.2026'!D:J, 7, FALSE), "")</f>
        <v>CASH SALE</v>
      </c>
      <c r="K18" s="218" t="s">
        <v>32</v>
      </c>
      <c r="L18" s="216">
        <f t="shared" si="0"/>
        <v>46171</v>
      </c>
    </row>
    <row r="19" spans="1:12" ht="28.8" customHeight="1" x14ac:dyDescent="0.3">
      <c r="A19" s="216">
        <v>46142</v>
      </c>
      <c r="B19" s="216">
        <v>46171</v>
      </c>
      <c r="C19" s="217" t="s">
        <v>27</v>
      </c>
      <c r="D19" s="217" t="s">
        <v>54</v>
      </c>
      <c r="E19" s="218" t="s">
        <v>55</v>
      </c>
      <c r="F19" s="218" t="s">
        <v>56</v>
      </c>
      <c r="G19" s="219">
        <v>426010.6</v>
      </c>
      <c r="H19" s="217" t="s">
        <v>31</v>
      </c>
      <c r="I19" s="217" t="s">
        <v>27</v>
      </c>
      <c r="J19" s="217" t="str">
        <f>IFERROR(VLOOKUP(D19, '20.05.2026'!D:J, 7, FALSE), "")</f>
        <v>ACCOUNT - UP TO DATE</v>
      </c>
      <c r="K19" s="218" t="s">
        <v>57</v>
      </c>
      <c r="L19" s="216">
        <f t="shared" si="0"/>
        <v>46171</v>
      </c>
    </row>
    <row r="20" spans="1:12" ht="86.4" customHeight="1" x14ac:dyDescent="0.3">
      <c r="A20" s="216">
        <v>46142</v>
      </c>
      <c r="B20" s="216">
        <v>46171</v>
      </c>
      <c r="C20" s="217" t="s">
        <v>58</v>
      </c>
      <c r="D20" s="217" t="s">
        <v>59</v>
      </c>
      <c r="E20" s="218" t="s">
        <v>60</v>
      </c>
      <c r="F20" s="218" t="s">
        <v>61</v>
      </c>
      <c r="G20" s="219">
        <v>310411</v>
      </c>
      <c r="H20" s="217" t="s">
        <v>281</v>
      </c>
      <c r="I20" s="217" t="s">
        <v>27</v>
      </c>
      <c r="J20" s="217" t="str">
        <f>IFERROR(VLOOKUP(D20, '20.05.2026'!D:J, 7, FALSE), "")</f>
        <v>CASH SALE</v>
      </c>
      <c r="K20" s="218" t="s">
        <v>63</v>
      </c>
      <c r="L20" s="216">
        <f t="shared" si="0"/>
        <v>46171</v>
      </c>
    </row>
    <row r="21" spans="1:12" ht="28.8" customHeight="1" x14ac:dyDescent="0.3">
      <c r="A21" s="216">
        <v>46142</v>
      </c>
      <c r="B21" s="216">
        <v>46171</v>
      </c>
      <c r="C21" s="217" t="s">
        <v>27</v>
      </c>
      <c r="D21" s="217" t="s">
        <v>64</v>
      </c>
      <c r="E21" s="218" t="s">
        <v>65</v>
      </c>
      <c r="F21" s="218" t="s">
        <v>66</v>
      </c>
      <c r="G21" s="219">
        <v>204447</v>
      </c>
      <c r="H21" s="217" t="s">
        <v>31</v>
      </c>
      <c r="I21" s="217" t="s">
        <v>27</v>
      </c>
      <c r="J21" s="217" t="str">
        <f>IFERROR(VLOOKUP(D21, '20.05.2026'!D:J, 7, FALSE), "")</f>
        <v>CASH SALE</v>
      </c>
      <c r="K21" s="218" t="s">
        <v>67</v>
      </c>
      <c r="L21" s="216">
        <f t="shared" si="0"/>
        <v>46171</v>
      </c>
    </row>
    <row r="22" spans="1:12" ht="28.8" customHeight="1" x14ac:dyDescent="0.3">
      <c r="A22" s="216">
        <v>46155</v>
      </c>
      <c r="B22" s="216">
        <v>46199</v>
      </c>
      <c r="C22" s="217" t="s">
        <v>76</v>
      </c>
      <c r="D22" s="217" t="s">
        <v>77</v>
      </c>
      <c r="E22" s="218" t="s">
        <v>78</v>
      </c>
      <c r="F22" s="218" t="s">
        <v>16</v>
      </c>
      <c r="G22" s="219">
        <v>523356</v>
      </c>
      <c r="H22" s="217" t="s">
        <v>282</v>
      </c>
      <c r="I22" s="217" t="s">
        <v>27</v>
      </c>
      <c r="J22" s="217" t="str">
        <f>IFERROR(VLOOKUP(D22, '20.05.2026'!D:J, 7, FALSE), "")</f>
        <v>ACCOUNT - UP TO DATE</v>
      </c>
      <c r="K22" s="218" t="s">
        <v>80</v>
      </c>
      <c r="L22" s="216">
        <f t="shared" si="0"/>
        <v>46199</v>
      </c>
    </row>
    <row r="23" spans="1:12" x14ac:dyDescent="0.3">
      <c r="F23" s="224" t="s">
        <v>94</v>
      </c>
      <c r="G23" s="225">
        <f>SUM(G3:G22)</f>
        <v>3436232.1500000004</v>
      </c>
    </row>
    <row r="25" spans="1:12" x14ac:dyDescent="0.3">
      <c r="F25" s="226" t="s">
        <v>95</v>
      </c>
    </row>
    <row r="26" spans="1:12" x14ac:dyDescent="0.3">
      <c r="F26" t="s">
        <v>96</v>
      </c>
      <c r="G26" s="18">
        <f ca="1">SUMIFS(G3:G22, J3:J22, "*CASH SALE*", L3:L22, "&gt;="&amp;EOMONTH(TODAY(),-1)+1, L3:L22, "&lt;="&amp;EOMONTH(TODAY(),0))</f>
        <v>1627865.1</v>
      </c>
      <c r="I26" t="s">
        <v>97</v>
      </c>
      <c r="J26" s="18">
        <f ca="1">SUMIFS(G3:G22, J3:J22, "*CASH SALE*", L3:L22, "&gt;="&amp;EOMONTH(TODAY(),0)+1, L3:L22, "&lt;="&amp;EOMONTH(TODAY(),1))</f>
        <v>0</v>
      </c>
    </row>
    <row r="27" spans="1:12" x14ac:dyDescent="0.3">
      <c r="F27" t="s">
        <v>98</v>
      </c>
      <c r="G27" s="18">
        <f ca="1">SUMIFS(G3:G22, J3:J22, "*ACCOUNT*", L3:L22, "&gt;="&amp;EOMONTH(TODAY(),-1)+1, L3:L22, "&lt;="&amp;EOMONTH(TODAY(),0))</f>
        <v>1285011.05</v>
      </c>
      <c r="I27" t="s">
        <v>99</v>
      </c>
      <c r="J27" s="18">
        <f ca="1">SUMIFS(G3:G22, J3:J22, "*ACCOUNT*", L3:L22, "&gt;="&amp;EOMONTH(TODAY(),0)+1, L3:L22, "&lt;="&amp;EOMONTH(TODAY(),1))</f>
        <v>523356</v>
      </c>
    </row>
    <row r="29" spans="1:12" ht="28.8" customHeight="1" x14ac:dyDescent="0.3">
      <c r="A29" s="211" t="s">
        <v>1</v>
      </c>
      <c r="B29" s="211" t="s">
        <v>2</v>
      </c>
      <c r="C29" s="211" t="s">
        <v>3</v>
      </c>
      <c r="D29" s="211" t="s">
        <v>4</v>
      </c>
      <c r="E29" s="211" t="s">
        <v>5</v>
      </c>
      <c r="F29" s="211" t="s">
        <v>6</v>
      </c>
      <c r="G29" s="211" t="s">
        <v>7</v>
      </c>
      <c r="H29" s="211" t="s">
        <v>8</v>
      </c>
      <c r="I29" s="211" t="s">
        <v>9</v>
      </c>
      <c r="J29" s="211" t="s">
        <v>10</v>
      </c>
      <c r="K29" s="211" t="s">
        <v>100</v>
      </c>
    </row>
    <row r="30" spans="1:12" x14ac:dyDescent="0.3">
      <c r="A30" s="227">
        <v>46154</v>
      </c>
      <c r="B30" s="227">
        <v>46163.348926157407</v>
      </c>
      <c r="C30" s="228" t="s">
        <v>209</v>
      </c>
      <c r="D30" s="228" t="s">
        <v>210</v>
      </c>
      <c r="E30" s="228" t="s">
        <v>209</v>
      </c>
      <c r="F30" s="228" t="s">
        <v>211</v>
      </c>
      <c r="G30" s="223">
        <v>10263.75</v>
      </c>
      <c r="H30" s="228" t="s">
        <v>17</v>
      </c>
      <c r="I30" s="228" t="s">
        <v>207</v>
      </c>
      <c r="J30" s="228" t="s">
        <v>25</v>
      </c>
      <c r="K30" s="222" t="s">
        <v>283</v>
      </c>
    </row>
    <row r="31" spans="1:12" x14ac:dyDescent="0.3">
      <c r="A31" s="227">
        <v>46142</v>
      </c>
      <c r="B31" s="227">
        <v>46163.348926157407</v>
      </c>
      <c r="C31" s="228" t="s">
        <v>226</v>
      </c>
      <c r="D31" s="228" t="s">
        <v>157</v>
      </c>
      <c r="E31" s="228" t="s">
        <v>158</v>
      </c>
      <c r="F31" s="228" t="s">
        <v>159</v>
      </c>
      <c r="G31" s="223">
        <v>89230.8</v>
      </c>
      <c r="H31" s="228" t="s">
        <v>48</v>
      </c>
      <c r="I31" s="228" t="s">
        <v>18</v>
      </c>
      <c r="J31" s="228" t="s">
        <v>25</v>
      </c>
      <c r="K31" s="222" t="s">
        <v>279</v>
      </c>
    </row>
    <row r="32" spans="1:12" x14ac:dyDescent="0.3">
      <c r="A32" s="227">
        <v>46149</v>
      </c>
      <c r="B32" s="227">
        <v>46163.348926157407</v>
      </c>
      <c r="C32" s="228" t="s">
        <v>21</v>
      </c>
      <c r="D32" s="228" t="s">
        <v>22</v>
      </c>
      <c r="E32" s="228" t="s">
        <v>23</v>
      </c>
      <c r="F32" s="228" t="s">
        <v>24</v>
      </c>
      <c r="G32" s="223">
        <v>24910.15</v>
      </c>
      <c r="H32" s="228" t="s">
        <v>17</v>
      </c>
      <c r="I32" s="228" t="s">
        <v>18</v>
      </c>
      <c r="J32" s="228" t="s">
        <v>25</v>
      </c>
      <c r="K32" s="222"/>
    </row>
    <row r="33" spans="6:7" x14ac:dyDescent="0.3">
      <c r="F33" s="224" t="s">
        <v>101</v>
      </c>
      <c r="G33" s="225">
        <f>SUM(G30:G32)</f>
        <v>124404.70000000001</v>
      </c>
    </row>
    <row r="35" spans="6:7" x14ac:dyDescent="0.3">
      <c r="F35" s="224" t="s">
        <v>102</v>
      </c>
      <c r="G35" s="225">
        <f>SUMIFS(G3:G22, I3:I22, "*Ready*Dispatch*")</f>
        <v>10263.75</v>
      </c>
    </row>
  </sheetData>
  <pageMargins left="0.25" right="0.25" top="0.75" bottom="0.7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34"/>
  <sheetViews>
    <sheetView zoomScale="70" zoomScaleNormal="70" workbookViewId="0">
      <pane xSplit="4" ySplit="2" topLeftCell="E3" activePane="bottomRight" state="frozen"/>
      <selection pane="topRight"/>
      <selection pane="bottomLeft"/>
      <selection pane="bottomRight" activeCell="K18" sqref="K18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.77734375" bestFit="1" customWidth="1"/>
    <col min="10" max="10" width="23.33203125" customWidth="1"/>
    <col min="11" max="11" width="50" customWidth="1"/>
    <col min="12" max="12" width="12" customWidth="1"/>
  </cols>
  <sheetData>
    <row r="1" spans="1:12" s="41" customFormat="1" ht="18" customHeight="1" x14ac:dyDescent="0.35">
      <c r="A1" s="40" t="s">
        <v>0</v>
      </c>
      <c r="K1" s="118">
        <f ca="1">TODAY()</f>
        <v>46171</v>
      </c>
    </row>
    <row r="2" spans="1:12" ht="43.2" customHeight="1" x14ac:dyDescent="0.3">
      <c r="A2" s="237" t="s">
        <v>1</v>
      </c>
      <c r="B2" s="237" t="s">
        <v>2</v>
      </c>
      <c r="C2" s="237" t="s">
        <v>3</v>
      </c>
      <c r="D2" s="237" t="s">
        <v>4</v>
      </c>
      <c r="E2" s="237" t="s">
        <v>5</v>
      </c>
      <c r="F2" s="237" t="s">
        <v>6</v>
      </c>
      <c r="G2" s="237" t="s">
        <v>7</v>
      </c>
      <c r="H2" s="237" t="s">
        <v>8</v>
      </c>
      <c r="I2" s="237" t="s">
        <v>9</v>
      </c>
      <c r="J2" s="237" t="s">
        <v>10</v>
      </c>
      <c r="K2" s="237" t="s">
        <v>11</v>
      </c>
      <c r="L2" s="237" t="s">
        <v>12</v>
      </c>
    </row>
    <row r="3" spans="1:12" ht="28.8" customHeight="1" x14ac:dyDescent="0.3">
      <c r="A3" s="238">
        <v>46149</v>
      </c>
      <c r="B3" s="238">
        <v>46167.579287731482</v>
      </c>
      <c r="C3" s="239" t="s">
        <v>21</v>
      </c>
      <c r="D3" s="239" t="s">
        <v>22</v>
      </c>
      <c r="E3" s="240" t="s">
        <v>23</v>
      </c>
      <c r="F3" s="240" t="s">
        <v>24</v>
      </c>
      <c r="G3" s="241">
        <v>24910.15</v>
      </c>
      <c r="H3" s="239" t="s">
        <v>17</v>
      </c>
      <c r="I3" s="239" t="s">
        <v>18</v>
      </c>
      <c r="J3" s="239" t="s">
        <v>25</v>
      </c>
      <c r="K3" s="240" t="s">
        <v>26</v>
      </c>
      <c r="L3" s="238">
        <f t="shared" ref="L3:L18" si="0">B3</f>
        <v>46167.579287731482</v>
      </c>
    </row>
    <row r="4" spans="1:12" x14ac:dyDescent="0.3">
      <c r="A4" s="238">
        <v>46154</v>
      </c>
      <c r="B4" s="238">
        <v>46167.579287731482</v>
      </c>
      <c r="C4" s="239" t="s">
        <v>209</v>
      </c>
      <c r="D4" s="239" t="s">
        <v>210</v>
      </c>
      <c r="E4" s="240" t="s">
        <v>209</v>
      </c>
      <c r="F4" s="240" t="s">
        <v>211</v>
      </c>
      <c r="G4" s="241">
        <v>10263.75</v>
      </c>
      <c r="H4" s="239" t="s">
        <v>17</v>
      </c>
      <c r="I4" s="239" t="s">
        <v>207</v>
      </c>
      <c r="J4" s="239" t="s">
        <v>25</v>
      </c>
      <c r="K4" s="240" t="s">
        <v>212</v>
      </c>
      <c r="L4" s="238">
        <f t="shared" si="0"/>
        <v>46167.579287731482</v>
      </c>
    </row>
    <row r="5" spans="1:12" x14ac:dyDescent="0.3">
      <c r="A5" s="246">
        <v>46077</v>
      </c>
      <c r="B5" s="246">
        <v>46169</v>
      </c>
      <c r="C5" s="247" t="s">
        <v>144</v>
      </c>
      <c r="D5" s="247" t="s">
        <v>145</v>
      </c>
      <c r="E5" s="248" t="s">
        <v>146</v>
      </c>
      <c r="F5" s="248" t="s">
        <v>147</v>
      </c>
      <c r="G5" s="249">
        <v>94247.1</v>
      </c>
      <c r="H5" s="247" t="s">
        <v>48</v>
      </c>
      <c r="I5" s="247" t="s">
        <v>18</v>
      </c>
      <c r="J5" s="247" t="s">
        <v>114</v>
      </c>
      <c r="K5" s="248" t="s">
        <v>148</v>
      </c>
      <c r="L5" s="246">
        <f t="shared" si="0"/>
        <v>46169</v>
      </c>
    </row>
    <row r="6" spans="1:12" x14ac:dyDescent="0.3">
      <c r="A6" s="246">
        <v>46069</v>
      </c>
      <c r="B6" s="246">
        <v>46170</v>
      </c>
      <c r="C6" s="247" t="s">
        <v>138</v>
      </c>
      <c r="D6" s="247" t="s">
        <v>139</v>
      </c>
      <c r="E6" s="248" t="s">
        <v>140</v>
      </c>
      <c r="F6" s="248" t="s">
        <v>141</v>
      </c>
      <c r="G6" s="249">
        <v>379993.35</v>
      </c>
      <c r="H6" s="247" t="s">
        <v>284</v>
      </c>
      <c r="I6" s="247" t="s">
        <v>18</v>
      </c>
      <c r="J6" s="247" t="s">
        <v>19</v>
      </c>
      <c r="K6" s="248" t="s">
        <v>143</v>
      </c>
      <c r="L6" s="246">
        <f t="shared" si="0"/>
        <v>46170</v>
      </c>
    </row>
    <row r="7" spans="1:12" ht="28.8" customHeight="1" x14ac:dyDescent="0.3">
      <c r="A7" s="246">
        <v>46112</v>
      </c>
      <c r="B7" s="246">
        <v>46170</v>
      </c>
      <c r="C7" s="247" t="s">
        <v>13</v>
      </c>
      <c r="D7" s="247" t="s">
        <v>14</v>
      </c>
      <c r="E7" s="248" t="s">
        <v>15</v>
      </c>
      <c r="F7" s="248" t="s">
        <v>16</v>
      </c>
      <c r="G7" s="249">
        <v>103711</v>
      </c>
      <c r="H7" s="247" t="s">
        <v>17</v>
      </c>
      <c r="I7" s="247" t="s">
        <v>18</v>
      </c>
      <c r="J7" s="247" t="s">
        <v>19</v>
      </c>
      <c r="K7" s="248" t="s">
        <v>20</v>
      </c>
      <c r="L7" s="246">
        <f t="shared" si="0"/>
        <v>46170</v>
      </c>
    </row>
    <row r="8" spans="1:12" ht="28.8" customHeight="1" x14ac:dyDescent="0.3">
      <c r="A8" s="246">
        <v>46112</v>
      </c>
      <c r="B8" s="246">
        <v>46170</v>
      </c>
      <c r="C8" s="247" t="s">
        <v>120</v>
      </c>
      <c r="D8" s="247" t="s">
        <v>121</v>
      </c>
      <c r="E8" s="248" t="s">
        <v>122</v>
      </c>
      <c r="F8" s="248" t="s">
        <v>16</v>
      </c>
      <c r="G8" s="249">
        <v>83433</v>
      </c>
      <c r="H8" s="247" t="s">
        <v>17</v>
      </c>
      <c r="I8" s="247" t="s">
        <v>18</v>
      </c>
      <c r="J8" s="247" t="s">
        <v>19</v>
      </c>
      <c r="K8" s="248" t="s">
        <v>123</v>
      </c>
      <c r="L8" s="246">
        <f t="shared" si="0"/>
        <v>46170</v>
      </c>
    </row>
    <row r="9" spans="1:12" ht="86.4" customHeight="1" x14ac:dyDescent="0.3">
      <c r="A9" s="246">
        <v>46156</v>
      </c>
      <c r="B9" s="246">
        <v>46171</v>
      </c>
      <c r="C9" s="247" t="s">
        <v>33</v>
      </c>
      <c r="D9" s="247" t="s">
        <v>34</v>
      </c>
      <c r="E9" s="248" t="s">
        <v>35</v>
      </c>
      <c r="F9" s="248" t="s">
        <v>36</v>
      </c>
      <c r="G9" s="249">
        <v>234420.6</v>
      </c>
      <c r="H9" s="247" t="s">
        <v>31</v>
      </c>
      <c r="I9" s="247" t="s">
        <v>18</v>
      </c>
      <c r="J9" s="247" t="s">
        <v>25</v>
      </c>
      <c r="K9" s="248" t="s">
        <v>37</v>
      </c>
      <c r="L9" s="246">
        <f t="shared" si="0"/>
        <v>46171</v>
      </c>
    </row>
    <row r="10" spans="1:12" ht="28.8" customHeight="1" x14ac:dyDescent="0.3">
      <c r="A10" s="256">
        <v>46111</v>
      </c>
      <c r="B10" s="256">
        <v>46171</v>
      </c>
      <c r="C10" s="257" t="s">
        <v>38</v>
      </c>
      <c r="D10" s="257" t="s">
        <v>39</v>
      </c>
      <c r="E10" s="258" t="s">
        <v>40</v>
      </c>
      <c r="F10" s="258" t="s">
        <v>41</v>
      </c>
      <c r="G10" s="259">
        <v>9014.2099999999991</v>
      </c>
      <c r="H10" s="257" t="s">
        <v>17</v>
      </c>
      <c r="I10" s="257" t="s">
        <v>42</v>
      </c>
      <c r="J10" s="257" t="str">
        <f>IFERROR(VLOOKUP(D10, '21.05.2026'!D:J, 7, FALSE), "")</f>
        <v>CASH SALE</v>
      </c>
      <c r="K10" s="258" t="s">
        <v>43</v>
      </c>
      <c r="L10" s="256">
        <f t="shared" si="0"/>
        <v>46171</v>
      </c>
    </row>
    <row r="11" spans="1:12" x14ac:dyDescent="0.3">
      <c r="A11" s="256">
        <v>46111</v>
      </c>
      <c r="B11" s="256">
        <v>46171</v>
      </c>
      <c r="C11" s="257" t="s">
        <v>44</v>
      </c>
      <c r="D11" s="257" t="s">
        <v>45</v>
      </c>
      <c r="E11" s="258" t="s">
        <v>46</v>
      </c>
      <c r="F11" s="258" t="s">
        <v>47</v>
      </c>
      <c r="G11" s="259">
        <v>169353.60000000001</v>
      </c>
      <c r="H11" s="257" t="s">
        <v>48</v>
      </c>
      <c r="I11" s="257" t="s">
        <v>42</v>
      </c>
      <c r="J11" s="257" t="str">
        <f>IFERROR(VLOOKUP(D11, '21.05.2026'!D:J, 7, FALSE), "")</f>
        <v>ACCOUNT - UP TO DATE</v>
      </c>
      <c r="K11" s="258" t="s">
        <v>49</v>
      </c>
      <c r="L11" s="256">
        <f t="shared" si="0"/>
        <v>46171</v>
      </c>
    </row>
    <row r="12" spans="1:12" ht="158.4" customHeight="1" x14ac:dyDescent="0.3">
      <c r="A12" s="242">
        <v>46128</v>
      </c>
      <c r="B12" s="242">
        <v>46171</v>
      </c>
      <c r="C12" s="243" t="s">
        <v>27</v>
      </c>
      <c r="D12" s="243" t="s">
        <v>50</v>
      </c>
      <c r="E12" s="244" t="s">
        <v>51</v>
      </c>
      <c r="F12" s="244" t="s">
        <v>52</v>
      </c>
      <c r="G12" s="245">
        <v>82900.05</v>
      </c>
      <c r="H12" s="243" t="s">
        <v>48</v>
      </c>
      <c r="I12" s="243" t="s">
        <v>27</v>
      </c>
      <c r="J12" s="243" t="str">
        <f>IFERROR(VLOOKUP(D12, '21.05.2026'!D:J, 7, FALSE), "")</f>
        <v>ACCOUNT - UP TO DATE</v>
      </c>
      <c r="K12" s="244" t="s">
        <v>53</v>
      </c>
      <c r="L12" s="242">
        <f t="shared" si="0"/>
        <v>46171</v>
      </c>
    </row>
    <row r="13" spans="1:12" x14ac:dyDescent="0.3">
      <c r="A13" s="242">
        <v>46142</v>
      </c>
      <c r="B13" s="242">
        <v>46171</v>
      </c>
      <c r="C13" s="243" t="s">
        <v>27</v>
      </c>
      <c r="D13" s="243" t="s">
        <v>28</v>
      </c>
      <c r="E13" s="244" t="s">
        <v>29</v>
      </c>
      <c r="F13" s="244" t="s">
        <v>30</v>
      </c>
      <c r="G13" s="245">
        <v>554227.55000000005</v>
      </c>
      <c r="H13" s="243" t="s">
        <v>31</v>
      </c>
      <c r="I13" s="243" t="s">
        <v>27</v>
      </c>
      <c r="J13" s="243" t="str">
        <f>IFERROR(VLOOKUP(D13, '21.05.2026'!D:J, 7, FALSE), "")</f>
        <v>CASH SALE</v>
      </c>
      <c r="K13" s="244" t="s">
        <v>32</v>
      </c>
      <c r="L13" s="242">
        <f t="shared" si="0"/>
        <v>46171</v>
      </c>
    </row>
    <row r="14" spans="1:12" ht="28.8" customHeight="1" x14ac:dyDescent="0.3">
      <c r="A14" s="242">
        <v>46142</v>
      </c>
      <c r="B14" s="242">
        <v>46171</v>
      </c>
      <c r="C14" s="243" t="s">
        <v>27</v>
      </c>
      <c r="D14" s="243" t="s">
        <v>54</v>
      </c>
      <c r="E14" s="244" t="s">
        <v>55</v>
      </c>
      <c r="F14" s="244" t="s">
        <v>56</v>
      </c>
      <c r="G14" s="245">
        <v>426010.6</v>
      </c>
      <c r="H14" s="243" t="s">
        <v>31</v>
      </c>
      <c r="I14" s="243" t="s">
        <v>27</v>
      </c>
      <c r="J14" s="243" t="str">
        <f>IFERROR(VLOOKUP(D14, '21.05.2026'!D:J, 7, FALSE), "")</f>
        <v>ACCOUNT - UP TO DATE</v>
      </c>
      <c r="K14" s="244" t="s">
        <v>57</v>
      </c>
      <c r="L14" s="242">
        <f t="shared" si="0"/>
        <v>46171</v>
      </c>
    </row>
    <row r="15" spans="1:12" ht="86.4" customHeight="1" x14ac:dyDescent="0.3">
      <c r="A15" s="242">
        <v>46142</v>
      </c>
      <c r="B15" s="242">
        <v>46171</v>
      </c>
      <c r="C15" s="243" t="s">
        <v>58</v>
      </c>
      <c r="D15" s="243" t="s">
        <v>59</v>
      </c>
      <c r="E15" s="244" t="s">
        <v>60</v>
      </c>
      <c r="F15" s="244" t="s">
        <v>61</v>
      </c>
      <c r="G15" s="245">
        <v>310411</v>
      </c>
      <c r="H15" s="243" t="s">
        <v>62</v>
      </c>
      <c r="I15" s="243" t="s">
        <v>27</v>
      </c>
      <c r="J15" s="243" t="str">
        <f>IFERROR(VLOOKUP(D15, '21.05.2026'!D:J, 7, FALSE), "")</f>
        <v>CASH SALE</v>
      </c>
      <c r="K15" s="244" t="s">
        <v>63</v>
      </c>
      <c r="L15" s="242">
        <f t="shared" si="0"/>
        <v>46171</v>
      </c>
    </row>
    <row r="16" spans="1:12" ht="28.8" customHeight="1" x14ac:dyDescent="0.3">
      <c r="A16" s="242">
        <v>46142</v>
      </c>
      <c r="B16" s="242">
        <v>46171</v>
      </c>
      <c r="C16" s="243" t="s">
        <v>27</v>
      </c>
      <c r="D16" s="243" t="s">
        <v>64</v>
      </c>
      <c r="E16" s="244" t="s">
        <v>65</v>
      </c>
      <c r="F16" s="244" t="s">
        <v>66</v>
      </c>
      <c r="G16" s="245">
        <v>204447</v>
      </c>
      <c r="H16" s="243" t="s">
        <v>31</v>
      </c>
      <c r="I16" s="243" t="s">
        <v>27</v>
      </c>
      <c r="J16" s="243" t="str">
        <f>IFERROR(VLOOKUP(D16, '21.05.2026'!D:J, 7, FALSE), "")</f>
        <v>CASH SALE</v>
      </c>
      <c r="K16" s="244" t="s">
        <v>67</v>
      </c>
      <c r="L16" s="242">
        <f t="shared" si="0"/>
        <v>46171</v>
      </c>
    </row>
    <row r="17" spans="1:12" ht="28.8" customHeight="1" x14ac:dyDescent="0.3">
      <c r="A17" s="246">
        <v>46164</v>
      </c>
      <c r="B17" s="246">
        <v>46173</v>
      </c>
      <c r="C17" s="247" t="s">
        <v>285</v>
      </c>
      <c r="D17" s="247" t="s">
        <v>286</v>
      </c>
      <c r="E17" s="248" t="s">
        <v>285</v>
      </c>
      <c r="F17" s="248" t="s">
        <v>287</v>
      </c>
      <c r="G17" s="249">
        <v>16610.599999999999</v>
      </c>
      <c r="H17" s="247" t="s">
        <v>31</v>
      </c>
      <c r="I17" s="247" t="s">
        <v>18</v>
      </c>
      <c r="J17" s="247" t="s">
        <v>25</v>
      </c>
      <c r="K17" s="248" t="s">
        <v>288</v>
      </c>
      <c r="L17" s="246">
        <f t="shared" si="0"/>
        <v>46173</v>
      </c>
    </row>
    <row r="18" spans="1:12" ht="28.8" customHeight="1" x14ac:dyDescent="0.3">
      <c r="A18" s="246">
        <v>46155</v>
      </c>
      <c r="B18" s="246">
        <v>46199</v>
      </c>
      <c r="C18" s="247" t="s">
        <v>76</v>
      </c>
      <c r="D18" s="247" t="s">
        <v>77</v>
      </c>
      <c r="E18" s="248" t="s">
        <v>78</v>
      </c>
      <c r="F18" s="248" t="s">
        <v>16</v>
      </c>
      <c r="G18" s="249">
        <v>523356</v>
      </c>
      <c r="H18" s="247" t="s">
        <v>79</v>
      </c>
      <c r="I18" s="247" t="s">
        <v>18</v>
      </c>
      <c r="J18" s="247" t="s">
        <v>19</v>
      </c>
      <c r="K18" s="248" t="s">
        <v>80</v>
      </c>
      <c r="L18" s="246">
        <f t="shared" si="0"/>
        <v>46199</v>
      </c>
    </row>
    <row r="19" spans="1:12" x14ac:dyDescent="0.3">
      <c r="F19" s="250" t="s">
        <v>94</v>
      </c>
      <c r="G19" s="251">
        <f>SUMIF(I3:I18,"&lt;&gt;Pending",G3:G18)</f>
        <v>1649313.36</v>
      </c>
    </row>
    <row r="21" spans="1:12" x14ac:dyDescent="0.3">
      <c r="F21" s="252" t="s">
        <v>95</v>
      </c>
    </row>
    <row r="22" spans="1:12" x14ac:dyDescent="0.3">
      <c r="F22" t="s">
        <v>96</v>
      </c>
      <c r="G22" s="18">
        <f ca="1">SUMIFS(G3:G18, J3:J18, "*CASH SALE*", L3:L18, "&gt;="&amp;EOMONTH(TODAY(),-1)+1, L3:L18, "&lt;="&amp;EOMONTH(TODAY(),0), I3:I18, "&lt;&gt;Pending")</f>
        <v>389466.41</v>
      </c>
      <c r="I22" t="s">
        <v>97</v>
      </c>
      <c r="J22" s="18">
        <f ca="1">SUMIFS(G3:G18, J3:J18, "*CASH SALE*", L3:L18, "&gt;="&amp;EOMONTH(TODAY(),0)+1, L3:L18, "&lt;="&amp;EOMONTH(TODAY(),1), I3:I18, "&lt;&gt;Pending")</f>
        <v>0</v>
      </c>
    </row>
    <row r="23" spans="1:12" x14ac:dyDescent="0.3">
      <c r="F23" t="s">
        <v>98</v>
      </c>
      <c r="G23" s="18">
        <f ca="1">SUMIFS(G3:G18, J3:J18, "*ACCOUNT*", L3:L18, "&gt;="&amp;EOMONTH(TODAY(),-1)+1, L3:L18, "&lt;="&amp;EOMONTH(TODAY(),0), I3:I18, "&lt;&gt;Pending")</f>
        <v>736490.95</v>
      </c>
      <c r="I23" t="s">
        <v>99</v>
      </c>
      <c r="J23" s="18">
        <f ca="1">SUMIFS(G3:G18, J3:J18, "*ACCOUNT*", L3:L18, "&gt;="&amp;EOMONTH(TODAY(),0)+1, L3:L18, "&lt;="&amp;EOMONTH(TODAY(),1), I3:I18, "&lt;&gt;Pending")</f>
        <v>523356</v>
      </c>
    </row>
    <row r="25" spans="1:12" ht="28.8" customHeight="1" x14ac:dyDescent="0.3">
      <c r="A25" s="237" t="s">
        <v>1</v>
      </c>
      <c r="B25" s="237" t="s">
        <v>2</v>
      </c>
      <c r="C25" s="237" t="s">
        <v>3</v>
      </c>
      <c r="D25" s="237" t="s">
        <v>4</v>
      </c>
      <c r="E25" s="237" t="s">
        <v>5</v>
      </c>
      <c r="F25" s="237" t="s">
        <v>6</v>
      </c>
      <c r="G25" s="237" t="s">
        <v>7</v>
      </c>
      <c r="H25" s="237" t="s">
        <v>8</v>
      </c>
      <c r="I25" s="237" t="s">
        <v>9</v>
      </c>
      <c r="J25" s="237" t="s">
        <v>10</v>
      </c>
      <c r="K25" s="237" t="s">
        <v>100</v>
      </c>
    </row>
    <row r="26" spans="1:12" x14ac:dyDescent="0.3">
      <c r="A26" s="253">
        <v>46149</v>
      </c>
      <c r="B26" s="253">
        <v>46167.579287731482</v>
      </c>
      <c r="C26" s="254" t="s">
        <v>21</v>
      </c>
      <c r="D26" s="254" t="s">
        <v>22</v>
      </c>
      <c r="E26" s="254" t="s">
        <v>23</v>
      </c>
      <c r="F26" s="254" t="s">
        <v>24</v>
      </c>
      <c r="G26" s="249">
        <v>24910.15</v>
      </c>
      <c r="H26" s="254" t="s">
        <v>17</v>
      </c>
      <c r="I26" s="254" t="s">
        <v>18</v>
      </c>
      <c r="J26" s="254" t="s">
        <v>25</v>
      </c>
      <c r="K26" s="248"/>
    </row>
    <row r="27" spans="1:12" x14ac:dyDescent="0.3">
      <c r="A27" s="253">
        <v>46154</v>
      </c>
      <c r="B27" s="253">
        <v>46167.579287731482</v>
      </c>
      <c r="C27" s="254" t="s">
        <v>209</v>
      </c>
      <c r="D27" s="254" t="s">
        <v>210</v>
      </c>
      <c r="E27" s="254" t="s">
        <v>209</v>
      </c>
      <c r="F27" s="254" t="s">
        <v>211</v>
      </c>
      <c r="G27" s="249">
        <v>10263.75</v>
      </c>
      <c r="H27" s="254" t="s">
        <v>17</v>
      </c>
      <c r="I27" s="254" t="s">
        <v>207</v>
      </c>
      <c r="J27" s="254" t="s">
        <v>25</v>
      </c>
      <c r="K27" s="248" t="s">
        <v>283</v>
      </c>
    </row>
    <row r="28" spans="1:12" x14ac:dyDescent="0.3">
      <c r="F28" s="250" t="s">
        <v>101</v>
      </c>
      <c r="G28" s="251">
        <f>SUM(G26:G27)</f>
        <v>35173.9</v>
      </c>
    </row>
    <row r="30" spans="1:12" x14ac:dyDescent="0.3">
      <c r="F30" s="250" t="s">
        <v>102</v>
      </c>
      <c r="G30" s="251">
        <f>SUMIFS(G3:G18, I3:I18, "*Ready*Dispatch*")</f>
        <v>10263.75</v>
      </c>
    </row>
    <row r="33" spans="1:1" x14ac:dyDescent="0.3">
      <c r="A33" s="255" t="s">
        <v>289</v>
      </c>
    </row>
    <row r="34" spans="1:1" x14ac:dyDescent="0.3">
      <c r="A34" s="255" t="s">
        <v>290</v>
      </c>
    </row>
  </sheetData>
  <pageMargins left="0.25" right="0.25" top="0.75" bottom="0.7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L32"/>
  <sheetViews>
    <sheetView zoomScale="80" zoomScaleNormal="80" workbookViewId="0">
      <pane xSplit="4" ySplit="2" topLeftCell="E3" activePane="bottomRight" state="frozen"/>
      <selection pane="topRight"/>
      <selection pane="bottomLeft"/>
      <selection pane="bottomRight" activeCell="J5" sqref="J5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8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s="260" t="s">
        <v>0</v>
      </c>
      <c r="K1" s="261">
        <f ca="1">TODAY()</f>
        <v>46171</v>
      </c>
    </row>
    <row r="2" spans="1:12" ht="43.2" customHeight="1" x14ac:dyDescent="0.3">
      <c r="A2" s="262" t="s">
        <v>1</v>
      </c>
      <c r="B2" s="262" t="s">
        <v>2</v>
      </c>
      <c r="C2" s="262" t="s">
        <v>3</v>
      </c>
      <c r="D2" s="262" t="s">
        <v>4</v>
      </c>
      <c r="E2" s="262" t="s">
        <v>5</v>
      </c>
      <c r="F2" s="262" t="s">
        <v>6</v>
      </c>
      <c r="G2" s="262" t="s">
        <v>7</v>
      </c>
      <c r="H2" s="262" t="s">
        <v>8</v>
      </c>
      <c r="I2" s="262" t="s">
        <v>9</v>
      </c>
      <c r="J2" s="262" t="s">
        <v>10</v>
      </c>
      <c r="K2" s="262" t="s">
        <v>11</v>
      </c>
      <c r="L2" s="262" t="s">
        <v>12</v>
      </c>
    </row>
    <row r="3" spans="1:12" ht="28.8" customHeight="1" x14ac:dyDescent="0.3">
      <c r="A3" s="263">
        <v>46112</v>
      </c>
      <c r="B3" s="263">
        <v>46170.558649247687</v>
      </c>
      <c r="C3" s="264" t="s">
        <v>13</v>
      </c>
      <c r="D3" s="264" t="s">
        <v>14</v>
      </c>
      <c r="E3" s="265" t="s">
        <v>15</v>
      </c>
      <c r="F3" s="265" t="s">
        <v>16</v>
      </c>
      <c r="G3" s="266">
        <v>103711</v>
      </c>
      <c r="H3" s="264" t="s">
        <v>17</v>
      </c>
      <c r="I3" s="264" t="s">
        <v>18</v>
      </c>
      <c r="J3" s="264" t="s">
        <v>19</v>
      </c>
      <c r="K3" s="265" t="s">
        <v>20</v>
      </c>
      <c r="L3" s="263">
        <f t="shared" ref="L3:L18" si="0">B3</f>
        <v>46170.558649247687</v>
      </c>
    </row>
    <row r="4" spans="1:12" ht="28.8" customHeight="1" x14ac:dyDescent="0.3">
      <c r="A4" s="263">
        <v>46149</v>
      </c>
      <c r="B4" s="263">
        <v>46170.558649247687</v>
      </c>
      <c r="C4" s="264" t="s">
        <v>21</v>
      </c>
      <c r="D4" s="264" t="s">
        <v>22</v>
      </c>
      <c r="E4" s="265" t="s">
        <v>23</v>
      </c>
      <c r="F4" s="265" t="s">
        <v>24</v>
      </c>
      <c r="G4" s="266">
        <v>24910.15</v>
      </c>
      <c r="H4" s="264" t="s">
        <v>17</v>
      </c>
      <c r="I4" s="264" t="s">
        <v>18</v>
      </c>
      <c r="J4" s="264" t="s">
        <v>25</v>
      </c>
      <c r="K4" s="265" t="s">
        <v>26</v>
      </c>
      <c r="L4" s="263">
        <f t="shared" si="0"/>
        <v>46170.558649247687</v>
      </c>
    </row>
    <row r="5" spans="1:12" x14ac:dyDescent="0.3">
      <c r="A5" s="267">
        <v>46142</v>
      </c>
      <c r="B5" s="267">
        <v>46170.558649247687</v>
      </c>
      <c r="C5" s="268" t="s">
        <v>27</v>
      </c>
      <c r="D5" s="268" t="s">
        <v>28</v>
      </c>
      <c r="E5" s="269" t="s">
        <v>29</v>
      </c>
      <c r="F5" s="269" t="s">
        <v>30</v>
      </c>
      <c r="G5" s="270">
        <v>554227.55000000005</v>
      </c>
      <c r="H5" s="268" t="s">
        <v>31</v>
      </c>
      <c r="I5" s="268" t="s">
        <v>27</v>
      </c>
      <c r="J5" s="264"/>
      <c r="K5" s="265" t="s">
        <v>32</v>
      </c>
      <c r="L5" s="263">
        <f t="shared" si="0"/>
        <v>46170.558649247687</v>
      </c>
    </row>
    <row r="6" spans="1:12" ht="86.4" customHeight="1" x14ac:dyDescent="0.3">
      <c r="A6" s="271">
        <v>46156</v>
      </c>
      <c r="B6" s="271">
        <v>46171</v>
      </c>
      <c r="C6" s="272" t="s">
        <v>33</v>
      </c>
      <c r="D6" s="272" t="s">
        <v>34</v>
      </c>
      <c r="E6" s="273" t="s">
        <v>35</v>
      </c>
      <c r="F6" s="273" t="s">
        <v>36</v>
      </c>
      <c r="G6" s="274">
        <v>234420.6</v>
      </c>
      <c r="H6" s="272" t="s">
        <v>31</v>
      </c>
      <c r="I6" s="272" t="s">
        <v>18</v>
      </c>
      <c r="J6" s="272" t="s">
        <v>25</v>
      </c>
      <c r="K6" s="273" t="s">
        <v>37</v>
      </c>
      <c r="L6" s="271">
        <f t="shared" si="0"/>
        <v>46171</v>
      </c>
    </row>
    <row r="7" spans="1:12" ht="28.8" customHeight="1" x14ac:dyDescent="0.3">
      <c r="A7" s="271">
        <v>46111</v>
      </c>
      <c r="B7" s="271">
        <v>46171</v>
      </c>
      <c r="C7" s="272" t="s">
        <v>38</v>
      </c>
      <c r="D7" s="272" t="s">
        <v>39</v>
      </c>
      <c r="E7" s="273" t="s">
        <v>40</v>
      </c>
      <c r="F7" s="273" t="s">
        <v>41</v>
      </c>
      <c r="G7" s="274">
        <v>9014.2099999999991</v>
      </c>
      <c r="H7" s="272" t="s">
        <v>17</v>
      </c>
      <c r="I7" s="272" t="s">
        <v>42</v>
      </c>
      <c r="J7" s="272"/>
      <c r="K7" s="273" t="s">
        <v>43</v>
      </c>
      <c r="L7" s="271">
        <f t="shared" si="0"/>
        <v>46171</v>
      </c>
    </row>
    <row r="8" spans="1:12" x14ac:dyDescent="0.3">
      <c r="A8" s="271">
        <v>46111</v>
      </c>
      <c r="B8" s="271">
        <v>46171</v>
      </c>
      <c r="C8" s="272" t="s">
        <v>44</v>
      </c>
      <c r="D8" s="272" t="s">
        <v>45</v>
      </c>
      <c r="E8" s="273" t="s">
        <v>46</v>
      </c>
      <c r="F8" s="273" t="s">
        <v>47</v>
      </c>
      <c r="G8" s="274">
        <v>169353.60000000001</v>
      </c>
      <c r="H8" s="272" t="s">
        <v>48</v>
      </c>
      <c r="I8" s="272" t="s">
        <v>42</v>
      </c>
      <c r="J8" s="272"/>
      <c r="K8" s="273" t="s">
        <v>49</v>
      </c>
      <c r="L8" s="271">
        <f t="shared" si="0"/>
        <v>46171</v>
      </c>
    </row>
    <row r="9" spans="1:12" ht="158.4" customHeight="1" x14ac:dyDescent="0.3">
      <c r="A9" s="267">
        <v>46128</v>
      </c>
      <c r="B9" s="267">
        <v>46171</v>
      </c>
      <c r="C9" s="268" t="s">
        <v>27</v>
      </c>
      <c r="D9" s="268" t="s">
        <v>50</v>
      </c>
      <c r="E9" s="269" t="s">
        <v>51</v>
      </c>
      <c r="F9" s="269" t="s">
        <v>52</v>
      </c>
      <c r="G9" s="270">
        <v>82900.05</v>
      </c>
      <c r="H9" s="268" t="s">
        <v>48</v>
      </c>
      <c r="I9" s="268" t="s">
        <v>27</v>
      </c>
      <c r="J9" s="268"/>
      <c r="K9" s="269" t="s">
        <v>53</v>
      </c>
      <c r="L9" s="267">
        <f t="shared" si="0"/>
        <v>46171</v>
      </c>
    </row>
    <row r="10" spans="1:12" ht="28.8" customHeight="1" x14ac:dyDescent="0.3">
      <c r="A10" s="267">
        <v>46142</v>
      </c>
      <c r="B10" s="267">
        <v>46171</v>
      </c>
      <c r="C10" s="268" t="s">
        <v>27</v>
      </c>
      <c r="D10" s="268" t="s">
        <v>54</v>
      </c>
      <c r="E10" s="269" t="s">
        <v>55</v>
      </c>
      <c r="F10" s="269" t="s">
        <v>56</v>
      </c>
      <c r="G10" s="270">
        <v>426010.6</v>
      </c>
      <c r="H10" s="268" t="s">
        <v>31</v>
      </c>
      <c r="I10" s="268" t="s">
        <v>27</v>
      </c>
      <c r="J10" s="268"/>
      <c r="K10" s="269" t="s">
        <v>57</v>
      </c>
      <c r="L10" s="267">
        <f t="shared" si="0"/>
        <v>46171</v>
      </c>
    </row>
    <row r="11" spans="1:12" ht="86.4" customHeight="1" x14ac:dyDescent="0.3">
      <c r="A11" s="267">
        <v>46142</v>
      </c>
      <c r="B11" s="267">
        <v>46171</v>
      </c>
      <c r="C11" s="268" t="s">
        <v>58</v>
      </c>
      <c r="D11" s="268" t="s">
        <v>59</v>
      </c>
      <c r="E11" s="269" t="s">
        <v>60</v>
      </c>
      <c r="F11" s="269" t="s">
        <v>61</v>
      </c>
      <c r="G11" s="270">
        <v>310411</v>
      </c>
      <c r="H11" s="268" t="s">
        <v>62</v>
      </c>
      <c r="I11" s="268" t="s">
        <v>27</v>
      </c>
      <c r="J11" s="268"/>
      <c r="K11" s="269" t="s">
        <v>63</v>
      </c>
      <c r="L11" s="267">
        <f t="shared" si="0"/>
        <v>46171</v>
      </c>
    </row>
    <row r="12" spans="1:12" ht="28.8" customHeight="1" x14ac:dyDescent="0.3">
      <c r="A12" s="267">
        <v>46142</v>
      </c>
      <c r="B12" s="267">
        <v>46171</v>
      </c>
      <c r="C12" s="268" t="s">
        <v>27</v>
      </c>
      <c r="D12" s="268" t="s">
        <v>64</v>
      </c>
      <c r="E12" s="269" t="s">
        <v>65</v>
      </c>
      <c r="F12" s="269" t="s">
        <v>66</v>
      </c>
      <c r="G12" s="270">
        <v>204447</v>
      </c>
      <c r="H12" s="268" t="s">
        <v>31</v>
      </c>
      <c r="I12" s="268" t="s">
        <v>27</v>
      </c>
      <c r="J12" s="268"/>
      <c r="K12" s="269" t="s">
        <v>67</v>
      </c>
      <c r="L12" s="267">
        <f t="shared" si="0"/>
        <v>46171</v>
      </c>
    </row>
    <row r="13" spans="1:12" x14ac:dyDescent="0.3">
      <c r="A13" s="267">
        <v>46169</v>
      </c>
      <c r="B13" s="267">
        <v>46173</v>
      </c>
      <c r="C13" s="268" t="s">
        <v>27</v>
      </c>
      <c r="D13" s="268" t="s">
        <v>68</v>
      </c>
      <c r="E13" s="269" t="s">
        <v>69</v>
      </c>
      <c r="F13" s="269" t="s">
        <v>70</v>
      </c>
      <c r="G13" s="270">
        <v>8856.15</v>
      </c>
      <c r="H13" s="268" t="s">
        <v>31</v>
      </c>
      <c r="I13" s="268" t="s">
        <v>27</v>
      </c>
      <c r="J13" s="268"/>
      <c r="K13" s="269"/>
      <c r="L13" s="267">
        <f t="shared" si="0"/>
        <v>46173</v>
      </c>
    </row>
    <row r="14" spans="1:12" x14ac:dyDescent="0.3">
      <c r="A14" s="271">
        <v>46167</v>
      </c>
      <c r="B14" s="271">
        <v>46195</v>
      </c>
      <c r="C14" s="272" t="s">
        <v>71</v>
      </c>
      <c r="D14" s="272" t="s">
        <v>72</v>
      </c>
      <c r="E14" s="273" t="s">
        <v>73</v>
      </c>
      <c r="F14" s="273" t="s">
        <v>74</v>
      </c>
      <c r="G14" s="274">
        <v>73266.5</v>
      </c>
      <c r="H14" s="272" t="s">
        <v>31</v>
      </c>
      <c r="I14" s="272" t="s">
        <v>18</v>
      </c>
      <c r="J14" s="272" t="s">
        <v>19</v>
      </c>
      <c r="K14" s="273" t="s">
        <v>75</v>
      </c>
      <c r="L14" s="271">
        <f t="shared" si="0"/>
        <v>46195</v>
      </c>
    </row>
    <row r="15" spans="1:12" ht="28.8" customHeight="1" x14ac:dyDescent="0.3">
      <c r="A15" s="271">
        <v>46155</v>
      </c>
      <c r="B15" s="271">
        <v>46199</v>
      </c>
      <c r="C15" s="272" t="s">
        <v>76</v>
      </c>
      <c r="D15" s="272" t="s">
        <v>77</v>
      </c>
      <c r="E15" s="273" t="s">
        <v>78</v>
      </c>
      <c r="F15" s="273" t="s">
        <v>16</v>
      </c>
      <c r="G15" s="274">
        <v>523356</v>
      </c>
      <c r="H15" s="272" t="s">
        <v>79</v>
      </c>
      <c r="I15" s="272" t="s">
        <v>18</v>
      </c>
      <c r="J15" s="272" t="s">
        <v>19</v>
      </c>
      <c r="K15" s="273" t="s">
        <v>80</v>
      </c>
      <c r="L15" s="271">
        <f t="shared" si="0"/>
        <v>46199</v>
      </c>
    </row>
    <row r="16" spans="1:12" ht="28.8" customHeight="1" x14ac:dyDescent="0.3">
      <c r="A16" s="271">
        <v>46167</v>
      </c>
      <c r="B16" s="271">
        <v>46203</v>
      </c>
      <c r="C16" s="272" t="s">
        <v>81</v>
      </c>
      <c r="D16" s="272" t="s">
        <v>82</v>
      </c>
      <c r="E16" s="273" t="s">
        <v>83</v>
      </c>
      <c r="F16" s="273" t="s">
        <v>84</v>
      </c>
      <c r="G16" s="274">
        <v>220505.60000000001</v>
      </c>
      <c r="H16" s="272" t="s">
        <v>17</v>
      </c>
      <c r="I16" s="272" t="s">
        <v>18</v>
      </c>
      <c r="J16" s="272" t="s">
        <v>19</v>
      </c>
      <c r="K16" s="273" t="s">
        <v>85</v>
      </c>
      <c r="L16" s="271">
        <f t="shared" si="0"/>
        <v>46203</v>
      </c>
    </row>
    <row r="17" spans="1:12" ht="28.8" customHeight="1" x14ac:dyDescent="0.3">
      <c r="A17" s="271">
        <v>46167</v>
      </c>
      <c r="B17" s="271">
        <v>46203</v>
      </c>
      <c r="C17" s="272" t="s">
        <v>86</v>
      </c>
      <c r="D17" s="272" t="s">
        <v>87</v>
      </c>
      <c r="E17" s="273" t="s">
        <v>88</v>
      </c>
      <c r="F17" s="273" t="s">
        <v>89</v>
      </c>
      <c r="G17" s="274">
        <v>25694.45</v>
      </c>
      <c r="H17" s="272" t="s">
        <v>17</v>
      </c>
      <c r="I17" s="272" t="s">
        <v>18</v>
      </c>
      <c r="J17" s="272" t="s">
        <v>19</v>
      </c>
      <c r="K17" s="273" t="s">
        <v>90</v>
      </c>
      <c r="L17" s="271">
        <f t="shared" si="0"/>
        <v>46203</v>
      </c>
    </row>
    <row r="18" spans="1:12" x14ac:dyDescent="0.3">
      <c r="A18" s="267">
        <v>46170</v>
      </c>
      <c r="B18" s="267">
        <v>46203</v>
      </c>
      <c r="C18" s="268" t="s">
        <v>27</v>
      </c>
      <c r="D18" s="268" t="s">
        <v>91</v>
      </c>
      <c r="E18" s="269" t="s">
        <v>92</v>
      </c>
      <c r="F18" s="269" t="s">
        <v>93</v>
      </c>
      <c r="G18" s="270">
        <v>1860403.01</v>
      </c>
      <c r="H18" s="268" t="s">
        <v>48</v>
      </c>
      <c r="I18" s="268" t="s">
        <v>27</v>
      </c>
      <c r="J18" s="268"/>
      <c r="K18" s="269"/>
      <c r="L18" s="267">
        <f t="shared" si="0"/>
        <v>46203</v>
      </c>
    </row>
    <row r="19" spans="1:12" x14ac:dyDescent="0.3">
      <c r="F19" s="275" t="s">
        <v>94</v>
      </c>
      <c r="G19" s="276">
        <f>SUMIF(I3:I18,"&lt;&gt;Pending",G3:G18)</f>
        <v>1384232.11</v>
      </c>
    </row>
    <row r="21" spans="1:12" x14ac:dyDescent="0.3">
      <c r="F21" s="277" t="s">
        <v>95</v>
      </c>
    </row>
    <row r="22" spans="1:12" x14ac:dyDescent="0.3">
      <c r="F22" t="s">
        <v>96</v>
      </c>
      <c r="G22" s="18">
        <f ca="1">SUMIFS(G3:G18, J3:J18, "*CASH SALE*", L3:L18, "&gt;="&amp;EOMONTH(TODAY(),-1)+1, L3:L18, "&lt;="&amp;EOMONTH(TODAY(),0), I3:I18, "&lt;&gt;Pending")</f>
        <v>259330.75</v>
      </c>
      <c r="I22" t="s">
        <v>97</v>
      </c>
      <c r="J22" s="18">
        <f ca="1">SUMIFS(G3:G18, J3:J18, "*CASH SALE*", L3:L18, "&gt;="&amp;EOMONTH(TODAY(),0)+1, L3:L18, "&lt;="&amp;EOMONTH(TODAY(),1), I3:I18, "&lt;&gt;Pending")</f>
        <v>0</v>
      </c>
    </row>
    <row r="23" spans="1:12" x14ac:dyDescent="0.3">
      <c r="F23" t="s">
        <v>98</v>
      </c>
      <c r="G23" s="18">
        <f ca="1">SUMIFS(G3:G18, J3:J18, "*ACCOUNT*", L3:L18, "&gt;="&amp;EOMONTH(TODAY(),-1)+1, L3:L18, "&lt;="&amp;EOMONTH(TODAY(),0), I3:I18, "&lt;&gt;Pending")</f>
        <v>103711</v>
      </c>
      <c r="I23" t="s">
        <v>99</v>
      </c>
      <c r="J23" s="18">
        <f ca="1">SUMIFS(G3:G18, J3:J18, "*ACCOUNT*", L3:L18, "&gt;="&amp;EOMONTH(TODAY(),0)+1, L3:L18, "&lt;="&amp;EOMONTH(TODAY(),1), I3:I18, "&lt;&gt;Pending")</f>
        <v>842822.54999999993</v>
      </c>
    </row>
    <row r="26" spans="1:12" ht="28.8" customHeight="1" x14ac:dyDescent="0.3">
      <c r="A26" s="262" t="s">
        <v>1</v>
      </c>
      <c r="B26" s="262" t="s">
        <v>2</v>
      </c>
      <c r="C26" s="262" t="s">
        <v>3</v>
      </c>
      <c r="D26" s="262" t="s">
        <v>4</v>
      </c>
      <c r="E26" s="262" t="s">
        <v>5</v>
      </c>
      <c r="F26" s="262" t="s">
        <v>6</v>
      </c>
      <c r="G26" s="262" t="s">
        <v>7</v>
      </c>
      <c r="H26" s="262" t="s">
        <v>8</v>
      </c>
      <c r="I26" s="262" t="s">
        <v>9</v>
      </c>
      <c r="J26" s="262" t="s">
        <v>10</v>
      </c>
      <c r="K26" s="262" t="s">
        <v>100</v>
      </c>
    </row>
    <row r="27" spans="1:12" ht="28.8" customHeight="1" x14ac:dyDescent="0.3">
      <c r="A27" s="278">
        <v>46112</v>
      </c>
      <c r="B27" s="278">
        <v>46170.558649247687</v>
      </c>
      <c r="C27" s="279" t="s">
        <v>13</v>
      </c>
      <c r="D27" s="279" t="s">
        <v>14</v>
      </c>
      <c r="E27" s="279" t="s">
        <v>15</v>
      </c>
      <c r="F27" s="279" t="s">
        <v>16</v>
      </c>
      <c r="G27" s="274">
        <v>103711</v>
      </c>
      <c r="H27" s="279" t="s">
        <v>17</v>
      </c>
      <c r="I27" s="279" t="s">
        <v>18</v>
      </c>
      <c r="J27" s="279" t="s">
        <v>19</v>
      </c>
      <c r="K27" s="273"/>
    </row>
    <row r="28" spans="1:12" x14ac:dyDescent="0.3">
      <c r="A28" s="278">
        <v>46149</v>
      </c>
      <c r="B28" s="278">
        <v>46170.558649247687</v>
      </c>
      <c r="C28" s="279" t="s">
        <v>21</v>
      </c>
      <c r="D28" s="279" t="s">
        <v>22</v>
      </c>
      <c r="E28" s="279" t="s">
        <v>23</v>
      </c>
      <c r="F28" s="279" t="s">
        <v>24</v>
      </c>
      <c r="G28" s="274">
        <v>24910.15</v>
      </c>
      <c r="H28" s="279" t="s">
        <v>17</v>
      </c>
      <c r="I28" s="279" t="s">
        <v>18</v>
      </c>
      <c r="J28" s="279" t="s">
        <v>25</v>
      </c>
      <c r="K28" s="273"/>
    </row>
    <row r="29" spans="1:12" x14ac:dyDescent="0.3">
      <c r="A29" s="278">
        <v>46142</v>
      </c>
      <c r="B29" s="278">
        <v>46170.558649247687</v>
      </c>
      <c r="C29" s="279" t="s">
        <v>27</v>
      </c>
      <c r="D29" s="279" t="s">
        <v>28</v>
      </c>
      <c r="E29" s="279" t="s">
        <v>29</v>
      </c>
      <c r="F29" s="279" t="s">
        <v>30</v>
      </c>
      <c r="G29" s="274">
        <v>554227.55000000005</v>
      </c>
      <c r="H29" s="279" t="s">
        <v>31</v>
      </c>
      <c r="I29" s="279" t="s">
        <v>27</v>
      </c>
      <c r="J29" s="279"/>
      <c r="K29" s="273"/>
    </row>
    <row r="30" spans="1:12" x14ac:dyDescent="0.3">
      <c r="F30" s="275" t="s">
        <v>101</v>
      </c>
      <c r="G30" s="276">
        <f>SUM(G27:G29)</f>
        <v>682848.70000000007</v>
      </c>
    </row>
    <row r="32" spans="1:12" x14ac:dyDescent="0.3">
      <c r="F32" s="275" t="s">
        <v>102</v>
      </c>
      <c r="G32" s="276">
        <f>SUMIFS(G3:G18, I3:I18, "*Ready*Dispatch*")</f>
        <v>0</v>
      </c>
    </row>
  </sheetData>
  <pageMargins left="0.25" right="0.25" top="0.75" bottom="0.75" header="0.3" footer="0.3"/>
  <pageSetup scale="52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L37"/>
  <sheetViews>
    <sheetView tabSelected="1" zoomScale="80" zoomScaleNormal="80" workbookViewId="0">
      <pane xSplit="4" ySplit="2" topLeftCell="E3" activePane="bottomRight" state="frozen"/>
      <selection pane="topRight"/>
      <selection pane="bottomLeft"/>
      <selection pane="bottomRight" activeCell="G31" sqref="G31:G32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8.109375" bestFit="1" customWidth="1"/>
    <col min="8" max="8" width="9.109375" style="311" bestFit="1" customWidth="1"/>
    <col min="9" max="9" width="15" customWidth="1"/>
    <col min="10" max="10" width="25.109375" bestFit="1" customWidth="1"/>
    <col min="11" max="11" width="50" customWidth="1"/>
    <col min="12" max="12" width="12" customWidth="1"/>
  </cols>
  <sheetData>
    <row r="1" spans="1:12" ht="18" x14ac:dyDescent="0.35">
      <c r="A1" s="280" t="s">
        <v>0</v>
      </c>
      <c r="K1" s="281">
        <f ca="1">TODAY()</f>
        <v>46171</v>
      </c>
    </row>
    <row r="2" spans="1:12" ht="43.2" x14ac:dyDescent="0.3">
      <c r="A2" s="282" t="s">
        <v>1</v>
      </c>
      <c r="B2" s="282" t="s">
        <v>2</v>
      </c>
      <c r="C2" s="282" t="s">
        <v>3</v>
      </c>
      <c r="D2" s="282" t="s">
        <v>4</v>
      </c>
      <c r="E2" s="282" t="s">
        <v>5</v>
      </c>
      <c r="F2" s="282" t="s">
        <v>6</v>
      </c>
      <c r="G2" s="282" t="s">
        <v>7</v>
      </c>
      <c r="H2" s="282" t="s">
        <v>8</v>
      </c>
      <c r="I2" s="282" t="s">
        <v>9</v>
      </c>
      <c r="J2" s="282" t="s">
        <v>10</v>
      </c>
      <c r="K2" s="282" t="s">
        <v>11</v>
      </c>
      <c r="L2" s="282" t="s">
        <v>12</v>
      </c>
    </row>
    <row r="3" spans="1:12" ht="28.8" x14ac:dyDescent="0.3">
      <c r="A3" s="283">
        <v>46149</v>
      </c>
      <c r="B3" s="283">
        <v>46171.422424814817</v>
      </c>
      <c r="C3" s="284" t="s">
        <v>21</v>
      </c>
      <c r="D3" s="284" t="s">
        <v>22</v>
      </c>
      <c r="E3" s="285" t="s">
        <v>23</v>
      </c>
      <c r="F3" s="285" t="s">
        <v>24</v>
      </c>
      <c r="G3" s="286">
        <v>24910.15</v>
      </c>
      <c r="H3" s="284" t="s">
        <v>17</v>
      </c>
      <c r="I3" s="284" t="s">
        <v>18</v>
      </c>
      <c r="J3" s="284" t="s">
        <v>25</v>
      </c>
      <c r="K3" s="285" t="s">
        <v>26</v>
      </c>
      <c r="L3" s="283">
        <f>B3</f>
        <v>46171.422424814817</v>
      </c>
    </row>
    <row r="4" spans="1:12" x14ac:dyDescent="0.3">
      <c r="A4" s="283">
        <v>46171</v>
      </c>
      <c r="B4" s="283">
        <v>46171.422424814817</v>
      </c>
      <c r="C4" s="284" t="s">
        <v>291</v>
      </c>
      <c r="D4" s="284" t="s">
        <v>292</v>
      </c>
      <c r="E4" s="285" t="s">
        <v>293</v>
      </c>
      <c r="F4" s="285" t="s">
        <v>141</v>
      </c>
      <c r="G4" s="286">
        <v>10361.5</v>
      </c>
      <c r="H4" s="284" t="s">
        <v>284</v>
      </c>
      <c r="I4" s="284" t="s">
        <v>18</v>
      </c>
      <c r="J4" s="284" t="s">
        <v>19</v>
      </c>
      <c r="K4" s="285" t="s">
        <v>294</v>
      </c>
      <c r="L4" s="283">
        <f>B4</f>
        <v>46171.422424814817</v>
      </c>
    </row>
    <row r="5" spans="1:12" ht="28.8" x14ac:dyDescent="0.3">
      <c r="A5" s="283">
        <v>46171</v>
      </c>
      <c r="B5" s="283">
        <v>46171.422424814817</v>
      </c>
      <c r="C5" s="284" t="s">
        <v>258</v>
      </c>
      <c r="D5" s="284" t="s">
        <v>295</v>
      </c>
      <c r="E5" s="285" t="s">
        <v>296</v>
      </c>
      <c r="F5" s="285" t="s">
        <v>261</v>
      </c>
      <c r="G5" s="286">
        <v>5023.2</v>
      </c>
      <c r="H5" s="284" t="s">
        <v>48</v>
      </c>
      <c r="I5" s="284" t="s">
        <v>18</v>
      </c>
      <c r="J5" s="284" t="s">
        <v>313</v>
      </c>
      <c r="K5" s="285" t="s">
        <v>297</v>
      </c>
      <c r="L5" s="283">
        <f>B5</f>
        <v>46171.422424814817</v>
      </c>
    </row>
    <row r="6" spans="1:12" ht="86.4" x14ac:dyDescent="0.3">
      <c r="A6" s="291">
        <v>46156</v>
      </c>
      <c r="B6" s="291">
        <v>46174</v>
      </c>
      <c r="C6" s="292" t="s">
        <v>33</v>
      </c>
      <c r="D6" s="292" t="s">
        <v>34</v>
      </c>
      <c r="E6" s="293" t="s">
        <v>35</v>
      </c>
      <c r="F6" s="293" t="s">
        <v>36</v>
      </c>
      <c r="G6" s="294">
        <v>234420.6</v>
      </c>
      <c r="H6" s="292" t="s">
        <v>31</v>
      </c>
      <c r="I6" s="292" t="s">
        <v>18</v>
      </c>
      <c r="J6" s="292" t="s">
        <v>25</v>
      </c>
      <c r="K6" s="293" t="s">
        <v>37</v>
      </c>
      <c r="L6" s="291">
        <f>B6</f>
        <v>46174</v>
      </c>
    </row>
    <row r="7" spans="1:12" x14ac:dyDescent="0.3">
      <c r="A7" s="291">
        <v>46169</v>
      </c>
      <c r="B7" s="291">
        <v>46175</v>
      </c>
      <c r="C7" s="292" t="s">
        <v>314</v>
      </c>
      <c r="D7" s="292" t="s">
        <v>68</v>
      </c>
      <c r="E7" s="293" t="s">
        <v>69</v>
      </c>
      <c r="F7" s="293" t="s">
        <v>70</v>
      </c>
      <c r="G7" s="294">
        <v>8856.15</v>
      </c>
      <c r="H7" s="292" t="s">
        <v>31</v>
      </c>
      <c r="I7" s="292" t="s">
        <v>18</v>
      </c>
      <c r="J7" s="292" t="s">
        <v>25</v>
      </c>
      <c r="K7" s="293" t="s">
        <v>299</v>
      </c>
      <c r="L7" s="291">
        <f>B7</f>
        <v>46175</v>
      </c>
    </row>
    <row r="8" spans="1:12" x14ac:dyDescent="0.3">
      <c r="A8" s="291">
        <v>46167</v>
      </c>
      <c r="B8" s="291">
        <v>46195</v>
      </c>
      <c r="C8" s="292" t="s">
        <v>71</v>
      </c>
      <c r="D8" s="292" t="s">
        <v>72</v>
      </c>
      <c r="E8" s="293" t="s">
        <v>73</v>
      </c>
      <c r="F8" s="293" t="s">
        <v>74</v>
      </c>
      <c r="G8" s="294">
        <v>73266.5</v>
      </c>
      <c r="H8" s="292" t="s">
        <v>31</v>
      </c>
      <c r="I8" s="292" t="s">
        <v>18</v>
      </c>
      <c r="J8" s="292" t="s">
        <v>19</v>
      </c>
      <c r="K8" s="293" t="s">
        <v>75</v>
      </c>
      <c r="L8" s="291">
        <f>B8</f>
        <v>46195</v>
      </c>
    </row>
    <row r="9" spans="1:12" ht="28.8" x14ac:dyDescent="0.3">
      <c r="A9" s="291">
        <v>46112</v>
      </c>
      <c r="B9" s="291">
        <v>46199</v>
      </c>
      <c r="C9" s="292" t="s">
        <v>13</v>
      </c>
      <c r="D9" s="292" t="s">
        <v>14</v>
      </c>
      <c r="E9" s="293" t="s">
        <v>15</v>
      </c>
      <c r="F9" s="293" t="s">
        <v>16</v>
      </c>
      <c r="G9" s="294">
        <v>103711</v>
      </c>
      <c r="H9" s="292" t="s">
        <v>17</v>
      </c>
      <c r="I9" s="292" t="s">
        <v>18</v>
      </c>
      <c r="J9" s="292" t="s">
        <v>19</v>
      </c>
      <c r="K9" s="293" t="s">
        <v>20</v>
      </c>
      <c r="L9" s="291">
        <f>B9</f>
        <v>46199</v>
      </c>
    </row>
    <row r="10" spans="1:12" ht="28.8" x14ac:dyDescent="0.3">
      <c r="A10" s="291">
        <v>46155</v>
      </c>
      <c r="B10" s="291">
        <v>46199</v>
      </c>
      <c r="C10" s="292" t="s">
        <v>76</v>
      </c>
      <c r="D10" s="292" t="s">
        <v>77</v>
      </c>
      <c r="E10" s="293" t="s">
        <v>78</v>
      </c>
      <c r="F10" s="293" t="s">
        <v>16</v>
      </c>
      <c r="G10" s="294">
        <v>523356</v>
      </c>
      <c r="H10" s="292" t="s">
        <v>79</v>
      </c>
      <c r="I10" s="292" t="s">
        <v>18</v>
      </c>
      <c r="J10" s="292" t="s">
        <v>19</v>
      </c>
      <c r="K10" s="293" t="s">
        <v>80</v>
      </c>
      <c r="L10" s="291">
        <f>B10</f>
        <v>46199</v>
      </c>
    </row>
    <row r="11" spans="1:12" ht="28.8" x14ac:dyDescent="0.3">
      <c r="A11" s="291">
        <v>46167</v>
      </c>
      <c r="B11" s="291">
        <v>46203</v>
      </c>
      <c r="C11" s="292" t="s">
        <v>81</v>
      </c>
      <c r="D11" s="292" t="s">
        <v>82</v>
      </c>
      <c r="E11" s="293" t="s">
        <v>83</v>
      </c>
      <c r="F11" s="293" t="s">
        <v>84</v>
      </c>
      <c r="G11" s="294">
        <v>220505.60000000001</v>
      </c>
      <c r="H11" s="292" t="s">
        <v>17</v>
      </c>
      <c r="I11" s="292" t="s">
        <v>18</v>
      </c>
      <c r="J11" s="292" t="s">
        <v>19</v>
      </c>
      <c r="K11" s="293" t="s">
        <v>85</v>
      </c>
      <c r="L11" s="291">
        <f>B11</f>
        <v>46203</v>
      </c>
    </row>
    <row r="12" spans="1:12" ht="28.8" x14ac:dyDescent="0.3">
      <c r="A12" s="291">
        <v>46167</v>
      </c>
      <c r="B12" s="291">
        <v>46203</v>
      </c>
      <c r="C12" s="292" t="s">
        <v>86</v>
      </c>
      <c r="D12" s="292" t="s">
        <v>87</v>
      </c>
      <c r="E12" s="293" t="s">
        <v>88</v>
      </c>
      <c r="F12" s="293" t="s">
        <v>89</v>
      </c>
      <c r="G12" s="294">
        <v>25694.45</v>
      </c>
      <c r="H12" s="292" t="s">
        <v>17</v>
      </c>
      <c r="I12" s="292" t="s">
        <v>18</v>
      </c>
      <c r="J12" s="292" t="s">
        <v>19</v>
      </c>
      <c r="K12" s="293" t="s">
        <v>90</v>
      </c>
      <c r="L12" s="291">
        <f>B12</f>
        <v>46203</v>
      </c>
    </row>
    <row r="13" spans="1:12" x14ac:dyDescent="0.3">
      <c r="A13" s="291">
        <v>46171</v>
      </c>
      <c r="B13" s="291">
        <v>46203</v>
      </c>
      <c r="C13" s="292" t="s">
        <v>300</v>
      </c>
      <c r="D13" s="292" t="s">
        <v>301</v>
      </c>
      <c r="E13" s="293" t="s">
        <v>302</v>
      </c>
      <c r="F13" s="293" t="s">
        <v>303</v>
      </c>
      <c r="G13" s="294">
        <v>13562.64</v>
      </c>
      <c r="H13" s="292" t="s">
        <v>48</v>
      </c>
      <c r="I13" s="292" t="s">
        <v>18</v>
      </c>
      <c r="J13" s="292" t="s">
        <v>19</v>
      </c>
      <c r="K13" s="293" t="s">
        <v>312</v>
      </c>
      <c r="L13" s="291">
        <f>B13</f>
        <v>46203</v>
      </c>
    </row>
    <row r="14" spans="1:12" ht="28.8" x14ac:dyDescent="0.3">
      <c r="A14" s="307">
        <v>46111</v>
      </c>
      <c r="B14" s="307">
        <v>46203</v>
      </c>
      <c r="C14" s="308" t="s">
        <v>38</v>
      </c>
      <c r="D14" s="308" t="s">
        <v>39</v>
      </c>
      <c r="E14" s="309" t="s">
        <v>40</v>
      </c>
      <c r="F14" s="309" t="s">
        <v>41</v>
      </c>
      <c r="G14" s="310">
        <v>9014.2099999999991</v>
      </c>
      <c r="H14" s="308" t="s">
        <v>17</v>
      </c>
      <c r="I14" s="308" t="s">
        <v>42</v>
      </c>
      <c r="J14" s="308" t="s">
        <v>234</v>
      </c>
      <c r="K14" s="309" t="s">
        <v>43</v>
      </c>
      <c r="L14" s="307">
        <f>B14</f>
        <v>46203</v>
      </c>
    </row>
    <row r="15" spans="1:12" x14ac:dyDescent="0.3">
      <c r="A15" s="307">
        <v>46111</v>
      </c>
      <c r="B15" s="307">
        <v>46203</v>
      </c>
      <c r="C15" s="308" t="s">
        <v>44</v>
      </c>
      <c r="D15" s="308" t="s">
        <v>45</v>
      </c>
      <c r="E15" s="309" t="s">
        <v>46</v>
      </c>
      <c r="F15" s="309" t="s">
        <v>47</v>
      </c>
      <c r="G15" s="310">
        <v>169353.60000000001</v>
      </c>
      <c r="H15" s="308" t="s">
        <v>48</v>
      </c>
      <c r="I15" s="308" t="s">
        <v>42</v>
      </c>
      <c r="J15" s="308" t="s">
        <v>19</v>
      </c>
      <c r="K15" s="309" t="s">
        <v>49</v>
      </c>
      <c r="L15" s="307">
        <f>B15</f>
        <v>46203</v>
      </c>
    </row>
    <row r="16" spans="1:12" ht="158.4" x14ac:dyDescent="0.3">
      <c r="A16" s="287">
        <v>46128</v>
      </c>
      <c r="B16" s="287">
        <v>46203</v>
      </c>
      <c r="C16" s="288" t="s">
        <v>27</v>
      </c>
      <c r="D16" s="288" t="s">
        <v>50</v>
      </c>
      <c r="E16" s="289" t="s">
        <v>51</v>
      </c>
      <c r="F16" s="289" t="s">
        <v>52</v>
      </c>
      <c r="G16" s="290">
        <v>82900.05</v>
      </c>
      <c r="H16" s="288" t="s">
        <v>48</v>
      </c>
      <c r="I16" s="288" t="s">
        <v>27</v>
      </c>
      <c r="J16" s="288"/>
      <c r="K16" s="289" t="s">
        <v>53</v>
      </c>
      <c r="L16" s="287">
        <f>B16</f>
        <v>46203</v>
      </c>
    </row>
    <row r="17" spans="1:12" ht="28.8" x14ac:dyDescent="0.3">
      <c r="A17" s="287">
        <v>46142</v>
      </c>
      <c r="B17" s="287">
        <v>46203</v>
      </c>
      <c r="C17" s="288" t="s">
        <v>27</v>
      </c>
      <c r="D17" s="288" t="s">
        <v>54</v>
      </c>
      <c r="E17" s="289" t="s">
        <v>55</v>
      </c>
      <c r="F17" s="289" t="s">
        <v>56</v>
      </c>
      <c r="G17" s="290">
        <v>426010.6</v>
      </c>
      <c r="H17" s="288" t="s">
        <v>31</v>
      </c>
      <c r="I17" s="288" t="s">
        <v>27</v>
      </c>
      <c r="J17" s="288"/>
      <c r="K17" s="289" t="s">
        <v>57</v>
      </c>
      <c r="L17" s="287">
        <f>B17</f>
        <v>46203</v>
      </c>
    </row>
    <row r="18" spans="1:12" ht="86.4" x14ac:dyDescent="0.3">
      <c r="A18" s="287">
        <v>46142</v>
      </c>
      <c r="B18" s="287">
        <v>46203</v>
      </c>
      <c r="C18" s="288" t="s">
        <v>58</v>
      </c>
      <c r="D18" s="288" t="s">
        <v>59</v>
      </c>
      <c r="E18" s="289" t="s">
        <v>60</v>
      </c>
      <c r="F18" s="289" t="s">
        <v>61</v>
      </c>
      <c r="G18" s="290">
        <v>310411</v>
      </c>
      <c r="H18" s="288" t="s">
        <v>62</v>
      </c>
      <c r="I18" s="288" t="s">
        <v>27</v>
      </c>
      <c r="J18" s="288"/>
      <c r="K18" s="289" t="s">
        <v>63</v>
      </c>
      <c r="L18" s="287">
        <f>B18</f>
        <v>46203</v>
      </c>
    </row>
    <row r="19" spans="1:12" x14ac:dyDescent="0.3">
      <c r="A19" s="287">
        <v>46142</v>
      </c>
      <c r="B19" s="287">
        <v>46203</v>
      </c>
      <c r="C19" s="288" t="s">
        <v>27</v>
      </c>
      <c r="D19" s="288" t="s">
        <v>28</v>
      </c>
      <c r="E19" s="289" t="s">
        <v>298</v>
      </c>
      <c r="F19" s="289" t="s">
        <v>30</v>
      </c>
      <c r="G19" s="290">
        <v>251413.01</v>
      </c>
      <c r="H19" s="288" t="s">
        <v>31</v>
      </c>
      <c r="I19" s="288" t="s">
        <v>27</v>
      </c>
      <c r="J19" s="288"/>
      <c r="K19" s="289" t="s">
        <v>32</v>
      </c>
      <c r="L19" s="287">
        <f>B19</f>
        <v>46203</v>
      </c>
    </row>
    <row r="20" spans="1:12" ht="28.8" x14ac:dyDescent="0.3">
      <c r="A20" s="287">
        <v>46142</v>
      </c>
      <c r="B20" s="287">
        <v>46203</v>
      </c>
      <c r="C20" s="288" t="s">
        <v>27</v>
      </c>
      <c r="D20" s="288" t="s">
        <v>64</v>
      </c>
      <c r="E20" s="289" t="s">
        <v>65</v>
      </c>
      <c r="F20" s="289" t="s">
        <v>66</v>
      </c>
      <c r="G20" s="290">
        <v>204447</v>
      </c>
      <c r="H20" s="288" t="s">
        <v>31</v>
      </c>
      <c r="I20" s="288" t="s">
        <v>27</v>
      </c>
      <c r="J20" s="288"/>
      <c r="K20" s="289" t="s">
        <v>67</v>
      </c>
      <c r="L20" s="287">
        <f>B20</f>
        <v>46203</v>
      </c>
    </row>
    <row r="21" spans="1:12" x14ac:dyDescent="0.3">
      <c r="A21" s="287">
        <v>46170</v>
      </c>
      <c r="B21" s="287">
        <v>46203</v>
      </c>
      <c r="C21" s="288" t="s">
        <v>27</v>
      </c>
      <c r="D21" s="288" t="s">
        <v>91</v>
      </c>
      <c r="E21" s="289" t="s">
        <v>92</v>
      </c>
      <c r="F21" s="289" t="s">
        <v>93</v>
      </c>
      <c r="G21" s="290">
        <v>1860403.01</v>
      </c>
      <c r="H21" s="288" t="s">
        <v>48</v>
      </c>
      <c r="I21" s="288" t="s">
        <v>27</v>
      </c>
      <c r="J21" s="288"/>
      <c r="K21" s="289" t="s">
        <v>304</v>
      </c>
      <c r="L21" s="287">
        <f>B21</f>
        <v>46203</v>
      </c>
    </row>
    <row r="22" spans="1:12" x14ac:dyDescent="0.3">
      <c r="A22" s="287">
        <v>46171</v>
      </c>
      <c r="B22" s="287">
        <v>46203</v>
      </c>
      <c r="C22" s="288" t="s">
        <v>305</v>
      </c>
      <c r="D22" s="288" t="s">
        <v>306</v>
      </c>
      <c r="E22" s="289" t="s">
        <v>307</v>
      </c>
      <c r="F22" s="289" t="s">
        <v>308</v>
      </c>
      <c r="G22" s="290">
        <v>18400</v>
      </c>
      <c r="H22" s="288" t="s">
        <v>48</v>
      </c>
      <c r="I22" s="288" t="s">
        <v>27</v>
      </c>
      <c r="J22" s="288"/>
      <c r="K22" s="289" t="s">
        <v>309</v>
      </c>
      <c r="L22" s="287">
        <f>B22</f>
        <v>46203</v>
      </c>
    </row>
    <row r="23" spans="1:12" x14ac:dyDescent="0.3">
      <c r="F23" s="295" t="s">
        <v>94</v>
      </c>
      <c r="G23" s="296">
        <f>SUMIF(I3:I22,"&lt;&gt;Pending",G3:G22)</f>
        <v>1422035.6</v>
      </c>
    </row>
    <row r="25" spans="1:12" x14ac:dyDescent="0.3">
      <c r="F25" s="297" t="s">
        <v>95</v>
      </c>
    </row>
    <row r="26" spans="1:12" x14ac:dyDescent="0.3">
      <c r="F26" t="s">
        <v>96</v>
      </c>
      <c r="G26" s="18">
        <f ca="1">SUMIFS(G3:G22, J3:J22, "*CASH SALE*", L3:L22, "&gt;="&amp;EOMONTH(TODAY(),-1)+1, L3:L22, "&lt;="&amp;EOMONTH(TODAY(),0), I3:I22, "&lt;&gt;Pending")</f>
        <v>29933.350000000002</v>
      </c>
      <c r="I26" t="s">
        <v>97</v>
      </c>
      <c r="J26" s="18">
        <f ca="1">SUMIFS(G3:G22, J3:J22, "*CASH SALE*", L3:L22, "&gt;="&amp;EOMONTH(TODAY(),0)+1, L3:L22, "&lt;="&amp;EOMONTH(TODAY(),1), I3:I22, "&lt;&gt;Pending")</f>
        <v>252290.96</v>
      </c>
    </row>
    <row r="27" spans="1:12" x14ac:dyDescent="0.3">
      <c r="F27" t="s">
        <v>98</v>
      </c>
      <c r="G27" s="18">
        <f ca="1">SUMIFS(G3:G22, J3:J22, "*ACCOUNT*", L3:L22, "&gt;="&amp;EOMONTH(TODAY(),-1)+1, L3:L22, "&lt;="&amp;EOMONTH(TODAY(),0), I3:I22, "&lt;&gt;Pending")</f>
        <v>10361.5</v>
      </c>
      <c r="I27" t="s">
        <v>99</v>
      </c>
      <c r="J27" s="18">
        <f ca="1">SUMIFS(G3:G22, J3:J22, "*ACCOUNT*", L3:L22, "&gt;="&amp;EOMONTH(TODAY(),0)+1, L3:L22, "&lt;="&amp;EOMONTH(TODAY(),1), I3:I22, "&lt;&gt;Pending")</f>
        <v>1129449.79</v>
      </c>
    </row>
    <row r="29" spans="1:12" ht="28.8" x14ac:dyDescent="0.3">
      <c r="A29" s="282" t="s">
        <v>1</v>
      </c>
      <c r="B29" s="282" t="s">
        <v>2</v>
      </c>
      <c r="C29" s="282" t="s">
        <v>3</v>
      </c>
      <c r="D29" s="282" t="s">
        <v>4</v>
      </c>
      <c r="E29" s="282" t="s">
        <v>5</v>
      </c>
      <c r="F29" s="282" t="s">
        <v>6</v>
      </c>
      <c r="G29" s="282" t="s">
        <v>7</v>
      </c>
      <c r="H29" s="282" t="s">
        <v>8</v>
      </c>
      <c r="I29" s="282" t="s">
        <v>9</v>
      </c>
      <c r="J29" s="282" t="s">
        <v>10</v>
      </c>
      <c r="K29" s="282" t="s">
        <v>100</v>
      </c>
    </row>
    <row r="30" spans="1:12" x14ac:dyDescent="0.3">
      <c r="A30" s="298">
        <v>46171</v>
      </c>
      <c r="B30" s="298">
        <v>46171.422424814817</v>
      </c>
      <c r="C30" s="299" t="s">
        <v>291</v>
      </c>
      <c r="D30" s="299" t="s">
        <v>292</v>
      </c>
      <c r="E30" s="299" t="s">
        <v>293</v>
      </c>
      <c r="F30" s="299" t="s">
        <v>141</v>
      </c>
      <c r="G30" s="294">
        <v>10361.5</v>
      </c>
      <c r="H30" s="292" t="s">
        <v>284</v>
      </c>
      <c r="I30" s="299" t="s">
        <v>18</v>
      </c>
      <c r="J30" s="299" t="s">
        <v>19</v>
      </c>
      <c r="K30" s="293"/>
    </row>
    <row r="31" spans="1:12" x14ac:dyDescent="0.3">
      <c r="A31" s="298">
        <v>46149</v>
      </c>
      <c r="B31" s="298">
        <v>46171.422424814817</v>
      </c>
      <c r="C31" s="299" t="s">
        <v>21</v>
      </c>
      <c r="D31" s="299" t="s">
        <v>22</v>
      </c>
      <c r="E31" s="299" t="s">
        <v>23</v>
      </c>
      <c r="F31" s="299" t="s">
        <v>24</v>
      </c>
      <c r="G31" s="294">
        <v>24910.15</v>
      </c>
      <c r="H31" s="292" t="s">
        <v>17</v>
      </c>
      <c r="I31" s="299" t="s">
        <v>207</v>
      </c>
      <c r="J31" s="299" t="s">
        <v>25</v>
      </c>
      <c r="K31" s="293"/>
    </row>
    <row r="32" spans="1:12" x14ac:dyDescent="0.3">
      <c r="A32" s="298">
        <v>46171</v>
      </c>
      <c r="B32" s="298">
        <v>46171.422424814817</v>
      </c>
      <c r="C32" s="299" t="s">
        <v>258</v>
      </c>
      <c r="D32" s="299" t="s">
        <v>295</v>
      </c>
      <c r="E32" s="299" t="s">
        <v>296</v>
      </c>
      <c r="F32" s="299" t="s">
        <v>261</v>
      </c>
      <c r="G32" s="294">
        <v>5023.2</v>
      </c>
      <c r="H32" s="292" t="s">
        <v>48</v>
      </c>
      <c r="I32" s="299" t="s">
        <v>18</v>
      </c>
      <c r="J32" s="299" t="s">
        <v>313</v>
      </c>
      <c r="K32" s="293"/>
    </row>
    <row r="33" spans="1:7" x14ac:dyDescent="0.3">
      <c r="F33" s="295" t="s">
        <v>101</v>
      </c>
      <c r="G33" s="296">
        <f>SUM(G30:G32)</f>
        <v>40294.85</v>
      </c>
    </row>
    <row r="35" spans="1:7" x14ac:dyDescent="0.3">
      <c r="F35" s="295" t="s">
        <v>102</v>
      </c>
      <c r="G35" s="296">
        <f>SUMIFS(G3:G22, I3:I22, "*Ready*Dispatch*")</f>
        <v>0</v>
      </c>
    </row>
    <row r="36" spans="1:7" x14ac:dyDescent="0.3">
      <c r="A36" s="300" t="s">
        <v>310</v>
      </c>
    </row>
    <row r="37" spans="1:7" x14ac:dyDescent="0.3">
      <c r="A37" s="300" t="s">
        <v>311</v>
      </c>
    </row>
  </sheetData>
  <sortState xmlns:xlrd2="http://schemas.microsoft.com/office/spreadsheetml/2017/richdata2" ref="A3:L22">
    <sortCondition ref="B3:B22"/>
    <sortCondition ref="I3:I22"/>
    <sortCondition ref="A3:A22"/>
  </sortState>
  <pageMargins left="0.25" right="0.25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04.05.2026</vt:lpstr>
      <vt:lpstr>05.05.2026</vt:lpstr>
      <vt:lpstr>06.05.2026</vt:lpstr>
      <vt:lpstr>07.05.2026</vt:lpstr>
      <vt:lpstr>08.05.2026</vt:lpstr>
      <vt:lpstr>11.05.2026</vt:lpstr>
      <vt:lpstr>12.05.2026</vt:lpstr>
      <vt:lpstr>13.05.2026</vt:lpstr>
      <vt:lpstr>14.05.2026</vt:lpstr>
      <vt:lpstr>15.05.2026</vt:lpstr>
      <vt:lpstr>18.05.2026</vt:lpstr>
      <vt:lpstr>19.05.2026</vt:lpstr>
      <vt:lpstr>20.05.2026</vt:lpstr>
      <vt:lpstr>21.05.2026</vt:lpstr>
      <vt:lpstr>25.05.2026</vt:lpstr>
      <vt:lpstr>28.05.2026</vt:lpstr>
      <vt:lpstr>29.05.2026</vt:lpstr>
      <vt:lpstr>'04.05.2026'!Print_Area</vt:lpstr>
      <vt:lpstr>'05.05.2026'!Print_Area</vt:lpstr>
      <vt:lpstr>'06.05.2026'!Print_Area</vt:lpstr>
      <vt:lpstr>'07.05.2026'!Print_Area</vt:lpstr>
      <vt:lpstr>'08.05.2026'!Print_Area</vt:lpstr>
      <vt:lpstr>'11.05.2026'!Print_Area</vt:lpstr>
      <vt:lpstr>'12.05.2026'!Print_Area</vt:lpstr>
      <vt:lpstr>'13.05.2026'!Print_Area</vt:lpstr>
      <vt:lpstr>'14.05.2026'!Print_Area</vt:lpstr>
      <vt:lpstr>'15.05.2026'!Print_Area</vt:lpstr>
      <vt:lpstr>'18.05.2026'!Print_Area</vt:lpstr>
      <vt:lpstr>'19.05.2026'!Print_Area</vt:lpstr>
      <vt:lpstr>'20.05.2026'!Print_Area</vt:lpstr>
      <vt:lpstr>'21.05.2026'!Print_Area</vt:lpstr>
      <vt:lpstr>'25.05.2026'!Print_Area</vt:lpstr>
      <vt:lpstr>'28.05.2026'!Print_Area</vt:lpstr>
      <vt:lpstr>'29.05.2026'!Print_Area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cp:lastPrinted>2026-05-28T11:42:17Z</cp:lastPrinted>
  <dcterms:created xsi:type="dcterms:W3CDTF">2026-05-07T10:18:57Z</dcterms:created>
  <dcterms:modified xsi:type="dcterms:W3CDTF">2026-05-29T10:39:47Z</dcterms:modified>
</cp:coreProperties>
</file>