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Workshop Stock/"/>
    </mc:Choice>
  </mc:AlternateContent>
  <xr:revisionPtr revIDLastSave="44" documentId="8_{4D6088A9-2160-4B5A-8BE0-951B8466C8D3}" xr6:coauthVersionLast="47" xr6:coauthVersionMax="47" xr10:uidLastSave="{72B15EBF-8CD5-4384-831C-B96F71A665C0}"/>
  <bookViews>
    <workbookView xWindow="-108" yWindow="-108" windowWidth="23256" windowHeight="12456" firstSheet="3" activeTab="4" xr2:uid="{6AC5E5F2-8FDF-4DD3-9B35-5B9BEA11A385}"/>
  </bookViews>
  <sheets>
    <sheet name="W-shop Calc" sheetId="1" r:id="rId1"/>
    <sheet name="W-shop RPT" sheetId="26" r:id="rId2"/>
    <sheet name="W-shop Report Total" sheetId="11" r:id="rId3"/>
    <sheet name="W-shop Rpt Total + Plnd" sheetId="19" r:id="rId4"/>
    <sheet name="Replenishment" sheetId="17" r:id="rId5"/>
    <sheet name="Sheet2" sheetId="22" r:id="rId6"/>
    <sheet name="Sheet1" sheetId="23" r:id="rId7"/>
    <sheet name="ItemListingReport" sheetId="25" r:id="rId8"/>
  </sheets>
  <definedNames>
    <definedName name="_xlnm._FilterDatabase" localSheetId="7" hidden="1">ItemListingReport!$A$1:$E$2754</definedName>
    <definedName name="_xlnm._FilterDatabase" localSheetId="6" hidden="1">Sheet1!$B$1:$F$22</definedName>
    <definedName name="_xlnm._FilterDatabase" localSheetId="5" hidden="1">Sheet2!$A$1:$S$21</definedName>
    <definedName name="_xlnm._FilterDatabase" localSheetId="0" hidden="1">'W-shop Calc'!$A$1:$O$229</definedName>
    <definedName name="_xlnm._FilterDatabase" localSheetId="2" hidden="1">'W-shop Report Total'!$A$1:$J$229</definedName>
    <definedName name="_xlnm._FilterDatabase" localSheetId="1" hidden="1">'W-shop RPT'!$A$1:$J$229</definedName>
    <definedName name="_xlnm._FilterDatabase" localSheetId="3" hidden="1">'W-shop Rpt Total + Plnd'!$A$1:$J$229</definedName>
    <definedName name="_xlnm.Print_Area" localSheetId="4">Replenishment!$A$98:$J$109</definedName>
    <definedName name="_xlnm.Print_Area" localSheetId="2">'W-shop Report Total'!$A$1:$J$230</definedName>
    <definedName name="_xlnm.Print_Area" localSheetId="3">'W-shop Rpt Total + Plnd'!$A$1:$K$232</definedName>
    <definedName name="_xlnm.Print_Titles" localSheetId="0">'W-shop Calc'!$1:$1</definedName>
    <definedName name="_xlnm.Print_Titles" localSheetId="2">'W-shop Report Total'!$1:$1</definedName>
    <definedName name="_xlnm.Print_Titles" localSheetId="1">'W-shop RPT'!$1:$1</definedName>
    <definedName name="_xlnm.Print_Titles" localSheetId="3">'W-shop Rpt Total + Plnd'!$1:$1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6" l="1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" i="26"/>
  <c r="K2" i="26" l="1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I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L246" i="1"/>
  <c r="G246" i="26" s="1"/>
  <c r="J246" i="1"/>
  <c r="I246" i="1"/>
  <c r="I244" i="1"/>
  <c r="E244" i="26" s="1"/>
  <c r="J244" i="1"/>
  <c r="L244" i="1"/>
  <c r="G244" i="26" s="1"/>
  <c r="L241" i="1"/>
  <c r="G241" i="26" s="1"/>
  <c r="J241" i="1"/>
  <c r="I241" i="1"/>
  <c r="E241" i="26" s="1"/>
  <c r="L238" i="1"/>
  <c r="G238" i="26" s="1"/>
  <c r="J238" i="1"/>
  <c r="I238" i="1"/>
  <c r="E238" i="26" s="1"/>
  <c r="L235" i="1"/>
  <c r="G235" i="26" s="1"/>
  <c r="J235" i="1"/>
  <c r="I235" i="1"/>
  <c r="E235" i="26" s="1"/>
  <c r="L232" i="1"/>
  <c r="G232" i="26" s="1"/>
  <c r="J232" i="1"/>
  <c r="I232" i="1"/>
  <c r="E232" i="26" s="1"/>
  <c r="L248" i="1"/>
  <c r="G248" i="26" s="1"/>
  <c r="J248" i="1"/>
  <c r="I248" i="1"/>
  <c r="E248" i="26" s="1"/>
  <c r="L247" i="1"/>
  <c r="G247" i="26" s="1"/>
  <c r="J247" i="1"/>
  <c r="I247" i="1"/>
  <c r="E247" i="26" s="1"/>
  <c r="L245" i="1"/>
  <c r="G245" i="26" s="1"/>
  <c r="J245" i="1"/>
  <c r="I245" i="1"/>
  <c r="E245" i="26" s="1"/>
  <c r="L243" i="1"/>
  <c r="G243" i="26" s="1"/>
  <c r="J243" i="1"/>
  <c r="I243" i="1"/>
  <c r="E243" i="26" s="1"/>
  <c r="L242" i="1"/>
  <c r="G242" i="26" s="1"/>
  <c r="J242" i="1"/>
  <c r="I242" i="1"/>
  <c r="E242" i="26" s="1"/>
  <c r="L240" i="1"/>
  <c r="G240" i="26" s="1"/>
  <c r="J240" i="1"/>
  <c r="I240" i="1"/>
  <c r="E240" i="26" s="1"/>
  <c r="L239" i="1"/>
  <c r="G239" i="26" s="1"/>
  <c r="J239" i="1"/>
  <c r="I239" i="1"/>
  <c r="E239" i="26" s="1"/>
  <c r="L237" i="1"/>
  <c r="G237" i="26" s="1"/>
  <c r="J237" i="1"/>
  <c r="I237" i="1"/>
  <c r="E237" i="26" s="1"/>
  <c r="L236" i="1"/>
  <c r="G236" i="26" s="1"/>
  <c r="J236" i="1"/>
  <c r="I236" i="1"/>
  <c r="E236" i="26" s="1"/>
  <c r="L234" i="1"/>
  <c r="G234" i="26" s="1"/>
  <c r="J234" i="1"/>
  <c r="I234" i="1"/>
  <c r="E234" i="26" s="1"/>
  <c r="L233" i="1"/>
  <c r="G233" i="26" s="1"/>
  <c r="J233" i="1"/>
  <c r="I233" i="1"/>
  <c r="E233" i="26" s="1"/>
  <c r="L231" i="1"/>
  <c r="G231" i="26" s="1"/>
  <c r="J231" i="1"/>
  <c r="I231" i="1"/>
  <c r="E231" i="26" s="1"/>
  <c r="L230" i="1"/>
  <c r="G230" i="26" s="1"/>
  <c r="J230" i="1"/>
  <c r="I230" i="1"/>
  <c r="E230" i="26" s="1"/>
  <c r="L250" i="1"/>
  <c r="G250" i="26" s="1"/>
  <c r="J250" i="1"/>
  <c r="I250" i="1"/>
  <c r="L249" i="1"/>
  <c r="G249" i="26" s="1"/>
  <c r="J249" i="1"/>
  <c r="I249" i="1"/>
  <c r="E249" i="26" s="1"/>
  <c r="A1535" i="25"/>
  <c r="G9" i="23"/>
  <c r="G14" i="23"/>
  <c r="G12" i="23"/>
  <c r="G5" i="23"/>
  <c r="G4" i="23"/>
  <c r="G7" i="23"/>
  <c r="G6" i="23"/>
  <c r="G8" i="23"/>
  <c r="G2" i="23"/>
  <c r="G13" i="23"/>
  <c r="G15" i="23"/>
  <c r="G16" i="23"/>
  <c r="G3" i="23"/>
  <c r="G17" i="23"/>
  <c r="G11" i="23"/>
  <c r="G20" i="23"/>
  <c r="G21" i="23"/>
  <c r="N19" i="22"/>
  <c r="L19" i="22"/>
  <c r="K19" i="22"/>
  <c r="N18" i="22"/>
  <c r="L18" i="22"/>
  <c r="K18" i="22"/>
  <c r="N17" i="22"/>
  <c r="L17" i="22"/>
  <c r="K17" i="22"/>
  <c r="N16" i="22"/>
  <c r="L16" i="22"/>
  <c r="K16" i="22"/>
  <c r="M16" i="22" s="1"/>
  <c r="Q16" i="22" s="1"/>
  <c r="N15" i="22"/>
  <c r="L15" i="22"/>
  <c r="K15" i="22"/>
  <c r="N14" i="22"/>
  <c r="L14" i="22"/>
  <c r="K14" i="22"/>
  <c r="N13" i="22"/>
  <c r="L13" i="22"/>
  <c r="K13" i="22"/>
  <c r="N12" i="22"/>
  <c r="L12" i="22"/>
  <c r="K12" i="22"/>
  <c r="N11" i="22"/>
  <c r="L11" i="22"/>
  <c r="K11" i="22"/>
  <c r="N10" i="22"/>
  <c r="L10" i="22"/>
  <c r="K10" i="22"/>
  <c r="N9" i="22"/>
  <c r="L9" i="22"/>
  <c r="K9" i="22"/>
  <c r="N8" i="22"/>
  <c r="L8" i="22"/>
  <c r="K8" i="22"/>
  <c r="N7" i="22"/>
  <c r="L7" i="22"/>
  <c r="K7" i="22"/>
  <c r="G6" i="22"/>
  <c r="N6" i="22" s="1"/>
  <c r="N5" i="22"/>
  <c r="L5" i="22"/>
  <c r="K5" i="22"/>
  <c r="N4" i="22"/>
  <c r="L4" i="22"/>
  <c r="K4" i="22"/>
  <c r="N3" i="22"/>
  <c r="L3" i="22"/>
  <c r="K3" i="22"/>
  <c r="N2" i="22"/>
  <c r="L2" i="22"/>
  <c r="K2" i="22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28" i="17"/>
  <c r="K250" i="1" l="1"/>
  <c r="F250" i="26" s="1"/>
  <c r="J250" i="26" s="1"/>
  <c r="L250" i="26" s="1"/>
  <c r="K246" i="1"/>
  <c r="E250" i="26"/>
  <c r="E246" i="26"/>
  <c r="K244" i="1"/>
  <c r="K251" i="26"/>
  <c r="K241" i="1"/>
  <c r="K232" i="1"/>
  <c r="K238" i="1"/>
  <c r="K236" i="1"/>
  <c r="K235" i="1"/>
  <c r="K239" i="1"/>
  <c r="K233" i="1"/>
  <c r="K249" i="1"/>
  <c r="F249" i="26" s="1"/>
  <c r="J249" i="26" s="1"/>
  <c r="L249" i="26" s="1"/>
  <c r="K248" i="1"/>
  <c r="F248" i="26" s="1"/>
  <c r="J248" i="26" s="1"/>
  <c r="L248" i="26" s="1"/>
  <c r="K231" i="1"/>
  <c r="K243" i="1"/>
  <c r="K245" i="1"/>
  <c r="K247" i="1"/>
  <c r="K234" i="1"/>
  <c r="K242" i="1"/>
  <c r="K240" i="1"/>
  <c r="K230" i="1"/>
  <c r="K237" i="1"/>
  <c r="G18" i="23"/>
  <c r="I18" i="23" s="1"/>
  <c r="I9" i="23"/>
  <c r="G22" i="23"/>
  <c r="M5" i="22"/>
  <c r="Q5" i="22" s="1"/>
  <c r="M3" i="22"/>
  <c r="Q3" i="22" s="1"/>
  <c r="M15" i="22"/>
  <c r="Q15" i="22" s="1"/>
  <c r="R5" i="22"/>
  <c r="S5" i="22"/>
  <c r="R16" i="22"/>
  <c r="S16" i="22"/>
  <c r="M12" i="22"/>
  <c r="Q12" i="22" s="1"/>
  <c r="M18" i="22"/>
  <c r="Q18" i="22" s="1"/>
  <c r="M19" i="22"/>
  <c r="M4" i="22"/>
  <c r="Q4" i="22" s="1"/>
  <c r="M10" i="22"/>
  <c r="Q10" i="22" s="1"/>
  <c r="M7" i="22"/>
  <c r="Q7" i="22" s="1"/>
  <c r="Q19" i="22"/>
  <c r="M14" i="22"/>
  <c r="Q14" i="22" s="1"/>
  <c r="M8" i="22"/>
  <c r="Q8" i="22" s="1"/>
  <c r="M9" i="22"/>
  <c r="Q9" i="22" s="1"/>
  <c r="M11" i="22"/>
  <c r="Q11" i="22" s="1"/>
  <c r="L6" i="22"/>
  <c r="M2" i="22"/>
  <c r="Q2" i="22" s="1"/>
  <c r="M17" i="22"/>
  <c r="Q17" i="22" s="1"/>
  <c r="K6" i="22"/>
  <c r="M13" i="22"/>
  <c r="Q13" i="22" s="1"/>
  <c r="M49" i="17"/>
  <c r="J83" i="17"/>
  <c r="J82" i="17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K121" i="19"/>
  <c r="K122" i="19"/>
  <c r="K123" i="19"/>
  <c r="K124" i="19"/>
  <c r="K125" i="19"/>
  <c r="K126" i="19"/>
  <c r="K127" i="19"/>
  <c r="K128" i="19"/>
  <c r="K129" i="19"/>
  <c r="K130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K146" i="19"/>
  <c r="K147" i="19"/>
  <c r="K148" i="19"/>
  <c r="K149" i="19"/>
  <c r="K150" i="19"/>
  <c r="K151" i="19"/>
  <c r="K152" i="19"/>
  <c r="K153" i="19"/>
  <c r="K154" i="19"/>
  <c r="K155" i="19"/>
  <c r="K156" i="19"/>
  <c r="K157" i="19"/>
  <c r="K158" i="19"/>
  <c r="K159" i="19"/>
  <c r="K160" i="19"/>
  <c r="K161" i="19"/>
  <c r="K162" i="19"/>
  <c r="K163" i="19"/>
  <c r="K164" i="19"/>
  <c r="K165" i="19"/>
  <c r="K166" i="19"/>
  <c r="K167" i="19"/>
  <c r="K168" i="19"/>
  <c r="K169" i="19"/>
  <c r="K170" i="19"/>
  <c r="K171" i="19"/>
  <c r="K172" i="19"/>
  <c r="K173" i="19"/>
  <c r="K174" i="19"/>
  <c r="K175" i="19"/>
  <c r="K176" i="19"/>
  <c r="K177" i="19"/>
  <c r="K178" i="19"/>
  <c r="K179" i="19"/>
  <c r="K180" i="19"/>
  <c r="K181" i="19"/>
  <c r="K182" i="19"/>
  <c r="K183" i="19"/>
  <c r="K184" i="19"/>
  <c r="K185" i="19"/>
  <c r="K186" i="19"/>
  <c r="K187" i="19"/>
  <c r="K188" i="19"/>
  <c r="K189" i="19"/>
  <c r="K190" i="19"/>
  <c r="K191" i="19"/>
  <c r="K192" i="19"/>
  <c r="K193" i="19"/>
  <c r="K194" i="19"/>
  <c r="K195" i="19"/>
  <c r="K196" i="19"/>
  <c r="K197" i="19"/>
  <c r="K198" i="19"/>
  <c r="K199" i="19"/>
  <c r="K200" i="19"/>
  <c r="K201" i="19"/>
  <c r="K202" i="19"/>
  <c r="K203" i="19"/>
  <c r="K204" i="19"/>
  <c r="K205" i="19"/>
  <c r="K206" i="19"/>
  <c r="K207" i="19"/>
  <c r="K208" i="19"/>
  <c r="K209" i="19"/>
  <c r="K210" i="19"/>
  <c r="K211" i="19"/>
  <c r="K212" i="19"/>
  <c r="K213" i="19"/>
  <c r="K214" i="19"/>
  <c r="K215" i="19"/>
  <c r="K216" i="19"/>
  <c r="K217" i="19"/>
  <c r="K218" i="19"/>
  <c r="K219" i="19"/>
  <c r="K220" i="19"/>
  <c r="K221" i="19"/>
  <c r="K222" i="19"/>
  <c r="K223" i="19"/>
  <c r="K224" i="19"/>
  <c r="K225" i="19"/>
  <c r="K226" i="19"/>
  <c r="K228" i="19"/>
  <c r="K229" i="19"/>
  <c r="K2" i="19"/>
  <c r="J229" i="19"/>
  <c r="J228" i="19"/>
  <c r="J227" i="19"/>
  <c r="D227" i="19"/>
  <c r="K227" i="19" s="1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  <c r="K232" i="19" s="1"/>
  <c r="D227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" i="11"/>
  <c r="E229" i="1"/>
  <c r="E217" i="1"/>
  <c r="E216" i="1"/>
  <c r="E215" i="1"/>
  <c r="E176" i="1"/>
  <c r="E173" i="1"/>
  <c r="E157" i="1"/>
  <c r="E120" i="1"/>
  <c r="O250" i="1" l="1"/>
  <c r="O248" i="1"/>
  <c r="O249" i="1"/>
  <c r="O246" i="1"/>
  <c r="F246" i="26"/>
  <c r="J246" i="26" s="1"/>
  <c r="L246" i="26" s="1"/>
  <c r="O242" i="1"/>
  <c r="F242" i="26"/>
  <c r="J242" i="26" s="1"/>
  <c r="L242" i="26" s="1"/>
  <c r="O238" i="1"/>
  <c r="F238" i="26"/>
  <c r="J238" i="26" s="1"/>
  <c r="L238" i="26" s="1"/>
  <c r="O232" i="1"/>
  <c r="F232" i="26"/>
  <c r="J232" i="26" s="1"/>
  <c r="L232" i="26" s="1"/>
  <c r="O234" i="1"/>
  <c r="F234" i="26"/>
  <c r="J234" i="26" s="1"/>
  <c r="L234" i="26" s="1"/>
  <c r="O241" i="1"/>
  <c r="F241" i="26"/>
  <c r="J241" i="26" s="1"/>
  <c r="L241" i="26" s="1"/>
  <c r="O237" i="1"/>
  <c r="F237" i="26"/>
  <c r="J237" i="26" s="1"/>
  <c r="L237" i="26" s="1"/>
  <c r="O236" i="1"/>
  <c r="F236" i="26"/>
  <c r="J236" i="26" s="1"/>
  <c r="L236" i="26" s="1"/>
  <c r="O243" i="1"/>
  <c r="F243" i="26"/>
  <c r="J243" i="26" s="1"/>
  <c r="L243" i="26" s="1"/>
  <c r="O239" i="1"/>
  <c r="F239" i="26"/>
  <c r="J239" i="26" s="1"/>
  <c r="L239" i="26" s="1"/>
  <c r="O247" i="1"/>
  <c r="F247" i="26"/>
  <c r="J247" i="26" s="1"/>
  <c r="L247" i="26" s="1"/>
  <c r="O245" i="1"/>
  <c r="F245" i="26"/>
  <c r="J245" i="26" s="1"/>
  <c r="L245" i="26" s="1"/>
  <c r="O231" i="1"/>
  <c r="F231" i="26"/>
  <c r="J231" i="26" s="1"/>
  <c r="L231" i="26" s="1"/>
  <c r="O240" i="1"/>
  <c r="F240" i="26"/>
  <c r="J240" i="26" s="1"/>
  <c r="L240" i="26" s="1"/>
  <c r="O235" i="1"/>
  <c r="F235" i="26"/>
  <c r="J235" i="26" s="1"/>
  <c r="L235" i="26" s="1"/>
  <c r="O230" i="1"/>
  <c r="F230" i="26"/>
  <c r="J230" i="26" s="1"/>
  <c r="L230" i="26" s="1"/>
  <c r="O233" i="1"/>
  <c r="F233" i="26"/>
  <c r="J233" i="26" s="1"/>
  <c r="L233" i="26" s="1"/>
  <c r="O244" i="1"/>
  <c r="F244" i="26"/>
  <c r="J244" i="26" s="1"/>
  <c r="L244" i="26" s="1"/>
  <c r="I22" i="23"/>
  <c r="I24" i="23" s="1"/>
  <c r="G24" i="23"/>
  <c r="R3" i="22"/>
  <c r="S3" i="22"/>
  <c r="S2" i="22"/>
  <c r="R2" i="22"/>
  <c r="R8" i="22"/>
  <c r="S8" i="22"/>
  <c r="R7" i="22"/>
  <c r="S7" i="22"/>
  <c r="S18" i="22"/>
  <c r="R18" i="22"/>
  <c r="R19" i="22"/>
  <c r="S19" i="22"/>
  <c r="S17" i="22"/>
  <c r="R17" i="22"/>
  <c r="S15" i="22"/>
  <c r="R15" i="22"/>
  <c r="R14" i="22"/>
  <c r="S14" i="22"/>
  <c r="S13" i="22"/>
  <c r="R13" i="22"/>
  <c r="S12" i="22"/>
  <c r="R12" i="22"/>
  <c r="S11" i="22"/>
  <c r="R11" i="22"/>
  <c r="S10" i="22"/>
  <c r="R10" i="22"/>
  <c r="S9" i="22"/>
  <c r="R9" i="22"/>
  <c r="S4" i="22"/>
  <c r="R4" i="22"/>
  <c r="M6" i="22"/>
  <c r="Q6" i="22" s="1"/>
  <c r="K230" i="19"/>
  <c r="J230" i="11"/>
  <c r="L148" i="1"/>
  <c r="G148" i="26" s="1"/>
  <c r="J148" i="1"/>
  <c r="I148" i="1"/>
  <c r="K148" i="1" l="1"/>
  <c r="E148" i="26"/>
  <c r="R6" i="22"/>
  <c r="R20" i="22" s="1"/>
  <c r="S6" i="22"/>
  <c r="S20" i="22" s="1"/>
  <c r="I90" i="1"/>
  <c r="E90" i="26" s="1"/>
  <c r="J90" i="1"/>
  <c r="L90" i="1"/>
  <c r="G90" i="26" s="1"/>
  <c r="O148" i="1" l="1"/>
  <c r="F148" i="26"/>
  <c r="J148" i="26" s="1"/>
  <c r="L148" i="26" s="1"/>
  <c r="K90" i="1"/>
  <c r="O90" i="1" l="1"/>
  <c r="F90" i="26"/>
  <c r="J90" i="26" s="1"/>
  <c r="L90" i="26" s="1"/>
  <c r="L10" i="1"/>
  <c r="G10" i="26" s="1"/>
  <c r="J10" i="1"/>
  <c r="I10" i="1"/>
  <c r="E10" i="26" s="1"/>
  <c r="L31" i="1"/>
  <c r="G31" i="26" s="1"/>
  <c r="L30" i="1"/>
  <c r="G30" i="26" s="1"/>
  <c r="I28" i="1"/>
  <c r="E28" i="26" s="1"/>
  <c r="L34" i="1"/>
  <c r="G34" i="26" s="1"/>
  <c r="L32" i="1"/>
  <c r="G32" i="26" s="1"/>
  <c r="L33" i="1"/>
  <c r="G33" i="26" s="1"/>
  <c r="L44" i="1"/>
  <c r="G44" i="26" s="1"/>
  <c r="L3" i="1"/>
  <c r="G3" i="26" s="1"/>
  <c r="L35" i="1"/>
  <c r="G35" i="26" s="1"/>
  <c r="L4" i="1"/>
  <c r="G4" i="26" s="1"/>
  <c r="L36" i="1"/>
  <c r="G36" i="26" s="1"/>
  <c r="L23" i="1"/>
  <c r="G23" i="26" s="1"/>
  <c r="L24" i="1"/>
  <c r="G24" i="26" s="1"/>
  <c r="L25" i="1"/>
  <c r="G25" i="26" s="1"/>
  <c r="L26" i="1"/>
  <c r="G26" i="26" s="1"/>
  <c r="L27" i="1"/>
  <c r="G27" i="26" s="1"/>
  <c r="L29" i="1"/>
  <c r="G29" i="26" s="1"/>
  <c r="L37" i="1"/>
  <c r="G37" i="26" s="1"/>
  <c r="L38" i="1"/>
  <c r="G38" i="26" s="1"/>
  <c r="L39" i="1"/>
  <c r="G39" i="26" s="1"/>
  <c r="L40" i="1"/>
  <c r="G40" i="26" s="1"/>
  <c r="L41" i="1"/>
  <c r="G41" i="26" s="1"/>
  <c r="L42" i="1"/>
  <c r="G42" i="26" s="1"/>
  <c r="L45" i="1"/>
  <c r="G45" i="26" s="1"/>
  <c r="L46" i="1"/>
  <c r="G46" i="26" s="1"/>
  <c r="L47" i="1"/>
  <c r="G47" i="26" s="1"/>
  <c r="L48" i="1"/>
  <c r="G48" i="26" s="1"/>
  <c r="L49" i="1"/>
  <c r="G49" i="26" s="1"/>
  <c r="L43" i="1"/>
  <c r="G43" i="26" s="1"/>
  <c r="L50" i="1"/>
  <c r="G50" i="26" s="1"/>
  <c r="L51" i="1"/>
  <c r="G51" i="26" s="1"/>
  <c r="L5" i="1"/>
  <c r="G5" i="26" s="1"/>
  <c r="L6" i="1"/>
  <c r="G6" i="26" s="1"/>
  <c r="L2" i="1"/>
  <c r="G2" i="26" s="1"/>
  <c r="L7" i="1"/>
  <c r="G7" i="26" s="1"/>
  <c r="L8" i="1"/>
  <c r="G8" i="26" s="1"/>
  <c r="L9" i="1"/>
  <c r="G9" i="26" s="1"/>
  <c r="L11" i="1"/>
  <c r="G11" i="26" s="1"/>
  <c r="L12" i="1"/>
  <c r="G12" i="26" s="1"/>
  <c r="L13" i="1"/>
  <c r="G13" i="26" s="1"/>
  <c r="L14" i="1"/>
  <c r="G14" i="26" s="1"/>
  <c r="L15" i="1"/>
  <c r="G15" i="26" s="1"/>
  <c r="L16" i="1"/>
  <c r="G16" i="26" s="1"/>
  <c r="L17" i="1"/>
  <c r="G17" i="26" s="1"/>
  <c r="L18" i="1"/>
  <c r="G18" i="26" s="1"/>
  <c r="L19" i="1"/>
  <c r="G19" i="26" s="1"/>
  <c r="L20" i="1"/>
  <c r="G20" i="26" s="1"/>
  <c r="L21" i="1"/>
  <c r="G21" i="26" s="1"/>
  <c r="L52" i="1"/>
  <c r="G52" i="26" s="1"/>
  <c r="L53" i="1"/>
  <c r="G53" i="26" s="1"/>
  <c r="L68" i="1"/>
  <c r="G68" i="26" s="1"/>
  <c r="L54" i="1"/>
  <c r="G54" i="26" s="1"/>
  <c r="L69" i="1"/>
  <c r="G69" i="26" s="1"/>
  <c r="L55" i="1"/>
  <c r="G55" i="26" s="1"/>
  <c r="L70" i="1"/>
  <c r="G70" i="26" s="1"/>
  <c r="L56" i="1"/>
  <c r="G56" i="26" s="1"/>
  <c r="L71" i="1"/>
  <c r="G71" i="26" s="1"/>
  <c r="L57" i="1"/>
  <c r="G57" i="26" s="1"/>
  <c r="L72" i="1"/>
  <c r="G72" i="26" s="1"/>
  <c r="L58" i="1"/>
  <c r="G58" i="26" s="1"/>
  <c r="L73" i="1"/>
  <c r="G73" i="26" s="1"/>
  <c r="L59" i="1"/>
  <c r="G59" i="26" s="1"/>
  <c r="L74" i="1"/>
  <c r="G74" i="26" s="1"/>
  <c r="L60" i="1"/>
  <c r="G60" i="26" s="1"/>
  <c r="L75" i="1"/>
  <c r="G75" i="26" s="1"/>
  <c r="L61" i="1"/>
  <c r="G61" i="26" s="1"/>
  <c r="L76" i="1"/>
  <c r="G76" i="26" s="1"/>
  <c r="L62" i="1"/>
  <c r="G62" i="26" s="1"/>
  <c r="L77" i="1"/>
  <c r="G77" i="26" s="1"/>
  <c r="L63" i="1"/>
  <c r="G63" i="26" s="1"/>
  <c r="L78" i="1"/>
  <c r="G78" i="26" s="1"/>
  <c r="L64" i="1"/>
  <c r="G64" i="26" s="1"/>
  <c r="L80" i="1"/>
  <c r="G80" i="26" s="1"/>
  <c r="L65" i="1"/>
  <c r="G65" i="26" s="1"/>
  <c r="L79" i="1"/>
  <c r="G79" i="26" s="1"/>
  <c r="L66" i="1"/>
  <c r="G66" i="26" s="1"/>
  <c r="L81" i="1"/>
  <c r="G81" i="26" s="1"/>
  <c r="L67" i="1"/>
  <c r="G67" i="26" s="1"/>
  <c r="L82" i="1"/>
  <c r="G82" i="26" s="1"/>
  <c r="L83" i="1"/>
  <c r="G83" i="26" s="1"/>
  <c r="L91" i="1"/>
  <c r="G91" i="26" s="1"/>
  <c r="L84" i="1"/>
  <c r="G84" i="26" s="1"/>
  <c r="L92" i="1"/>
  <c r="G92" i="26" s="1"/>
  <c r="L93" i="1"/>
  <c r="G93" i="26" s="1"/>
  <c r="L85" i="1"/>
  <c r="G85" i="26" s="1"/>
  <c r="L94" i="1"/>
  <c r="G94" i="26" s="1"/>
  <c r="L86" i="1"/>
  <c r="G86" i="26" s="1"/>
  <c r="L95" i="1"/>
  <c r="G95" i="26" s="1"/>
  <c r="L87" i="1"/>
  <c r="G87" i="26" s="1"/>
  <c r="L96" i="1"/>
  <c r="G96" i="26" s="1"/>
  <c r="L88" i="1"/>
  <c r="G88" i="26" s="1"/>
  <c r="L97" i="1"/>
  <c r="G97" i="26" s="1"/>
  <c r="L89" i="1"/>
  <c r="G89" i="26" s="1"/>
  <c r="L98" i="1"/>
  <c r="G98" i="26" s="1"/>
  <c r="L99" i="1"/>
  <c r="G99" i="26" s="1"/>
  <c r="L100" i="1"/>
  <c r="G100" i="26" s="1"/>
  <c r="L101" i="1"/>
  <c r="G101" i="26" s="1"/>
  <c r="L102" i="1"/>
  <c r="G102" i="26" s="1"/>
  <c r="L103" i="1"/>
  <c r="G103" i="26" s="1"/>
  <c r="L104" i="1"/>
  <c r="G104" i="26" s="1"/>
  <c r="L105" i="1"/>
  <c r="G105" i="26" s="1"/>
  <c r="L106" i="1"/>
  <c r="G106" i="26" s="1"/>
  <c r="L107" i="1"/>
  <c r="G107" i="26" s="1"/>
  <c r="L108" i="1"/>
  <c r="G108" i="26" s="1"/>
  <c r="L109" i="1"/>
  <c r="G109" i="26" s="1"/>
  <c r="L110" i="1"/>
  <c r="G110" i="26" s="1"/>
  <c r="L111" i="1"/>
  <c r="G111" i="26" s="1"/>
  <c r="L112" i="1"/>
  <c r="G112" i="26" s="1"/>
  <c r="L113" i="1"/>
  <c r="G113" i="26" s="1"/>
  <c r="L114" i="1"/>
  <c r="G114" i="26" s="1"/>
  <c r="L115" i="1"/>
  <c r="G115" i="26" s="1"/>
  <c r="L116" i="1"/>
  <c r="G116" i="26" s="1"/>
  <c r="L125" i="1"/>
  <c r="G125" i="26" s="1"/>
  <c r="L127" i="1"/>
  <c r="G127" i="26" s="1"/>
  <c r="L117" i="1"/>
  <c r="G117" i="26" s="1"/>
  <c r="L128" i="1"/>
  <c r="G128" i="26" s="1"/>
  <c r="L118" i="1"/>
  <c r="G118" i="26" s="1"/>
  <c r="L129" i="1"/>
  <c r="G129" i="26" s="1"/>
  <c r="L119" i="1"/>
  <c r="G119" i="26" s="1"/>
  <c r="L130" i="1"/>
  <c r="G130" i="26" s="1"/>
  <c r="L120" i="1"/>
  <c r="G120" i="26" s="1"/>
  <c r="L131" i="1"/>
  <c r="G131" i="26" s="1"/>
  <c r="L121" i="1"/>
  <c r="G121" i="26" s="1"/>
  <c r="L132" i="1"/>
  <c r="G132" i="26" s="1"/>
  <c r="L122" i="1"/>
  <c r="G122" i="26" s="1"/>
  <c r="L133" i="1"/>
  <c r="G133" i="26" s="1"/>
  <c r="L123" i="1"/>
  <c r="G123" i="26" s="1"/>
  <c r="L134" i="1"/>
  <c r="G134" i="26" s="1"/>
  <c r="L124" i="1"/>
  <c r="G124" i="26" s="1"/>
  <c r="L126" i="1"/>
  <c r="G126" i="26" s="1"/>
  <c r="L135" i="1"/>
  <c r="G135" i="26" s="1"/>
  <c r="L144" i="1"/>
  <c r="G144" i="26" s="1"/>
  <c r="L136" i="1"/>
  <c r="G136" i="26" s="1"/>
  <c r="L145" i="1"/>
  <c r="G145" i="26" s="1"/>
  <c r="L137" i="1"/>
  <c r="G137" i="26" s="1"/>
  <c r="L146" i="1"/>
  <c r="G146" i="26" s="1"/>
  <c r="L138" i="1"/>
  <c r="G138" i="26" s="1"/>
  <c r="L147" i="1"/>
  <c r="G147" i="26" s="1"/>
  <c r="L139" i="1"/>
  <c r="G139" i="26" s="1"/>
  <c r="L140" i="1"/>
  <c r="G140" i="26" s="1"/>
  <c r="L149" i="1"/>
  <c r="G149" i="26" s="1"/>
  <c r="L141" i="1"/>
  <c r="G141" i="26" s="1"/>
  <c r="L150" i="1"/>
  <c r="G150" i="26" s="1"/>
  <c r="L142" i="1"/>
  <c r="G142" i="26" s="1"/>
  <c r="L151" i="1"/>
  <c r="G151" i="26" s="1"/>
  <c r="L143" i="1"/>
  <c r="G143" i="26" s="1"/>
  <c r="L152" i="1"/>
  <c r="G152" i="26" s="1"/>
  <c r="L153" i="1"/>
  <c r="G153" i="26" s="1"/>
  <c r="L154" i="1"/>
  <c r="G154" i="26" s="1"/>
  <c r="L155" i="1"/>
  <c r="G155" i="26" s="1"/>
  <c r="L156" i="1"/>
  <c r="G156" i="26" s="1"/>
  <c r="L157" i="1"/>
  <c r="G157" i="26" s="1"/>
  <c r="L158" i="1"/>
  <c r="G158" i="26" s="1"/>
  <c r="L159" i="1"/>
  <c r="G159" i="26" s="1"/>
  <c r="L160" i="1"/>
  <c r="G160" i="26" s="1"/>
  <c r="L161" i="1"/>
  <c r="G161" i="26" s="1"/>
  <c r="L162" i="1"/>
  <c r="G162" i="26" s="1"/>
  <c r="L163" i="1"/>
  <c r="G163" i="26" s="1"/>
  <c r="L176" i="1"/>
  <c r="G176" i="26" s="1"/>
  <c r="L164" i="1"/>
  <c r="G164" i="26" s="1"/>
  <c r="L165" i="1"/>
  <c r="G165" i="26" s="1"/>
  <c r="L166" i="1"/>
  <c r="G166" i="26" s="1"/>
  <c r="L167" i="1"/>
  <c r="G167" i="26" s="1"/>
  <c r="L168" i="1"/>
  <c r="G168" i="26" s="1"/>
  <c r="L169" i="1"/>
  <c r="G169" i="26" s="1"/>
  <c r="L170" i="1"/>
  <c r="G170" i="26" s="1"/>
  <c r="L171" i="1"/>
  <c r="G171" i="26" s="1"/>
  <c r="L172" i="1"/>
  <c r="G172" i="26" s="1"/>
  <c r="L173" i="1"/>
  <c r="G173" i="26" s="1"/>
  <c r="L174" i="1"/>
  <c r="G174" i="26" s="1"/>
  <c r="L175" i="1"/>
  <c r="G175" i="26" s="1"/>
  <c r="L177" i="1"/>
  <c r="G177" i="26" s="1"/>
  <c r="L183" i="1"/>
  <c r="G183" i="26" s="1"/>
  <c r="L178" i="1"/>
  <c r="G178" i="26" s="1"/>
  <c r="L184" i="1"/>
  <c r="G184" i="26" s="1"/>
  <c r="L179" i="1"/>
  <c r="G179" i="26" s="1"/>
  <c r="L185" i="1"/>
  <c r="G185" i="26" s="1"/>
  <c r="L180" i="1"/>
  <c r="G180" i="26" s="1"/>
  <c r="L186" i="1"/>
  <c r="G186" i="26" s="1"/>
  <c r="L181" i="1"/>
  <c r="G181" i="26" s="1"/>
  <c r="L182" i="1"/>
  <c r="G182" i="26" s="1"/>
  <c r="L187" i="1"/>
  <c r="G187" i="26" s="1"/>
  <c r="L188" i="1"/>
  <c r="G188" i="26" s="1"/>
  <c r="L189" i="1"/>
  <c r="G189" i="26" s="1"/>
  <c r="L190" i="1"/>
  <c r="G190" i="26" s="1"/>
  <c r="L191" i="1"/>
  <c r="G191" i="26" s="1"/>
  <c r="L192" i="1"/>
  <c r="G192" i="26" s="1"/>
  <c r="L193" i="1"/>
  <c r="G193" i="26" s="1"/>
  <c r="L194" i="1"/>
  <c r="G194" i="26" s="1"/>
  <c r="L195" i="1"/>
  <c r="G195" i="26" s="1"/>
  <c r="L196" i="1"/>
  <c r="G196" i="26" s="1"/>
  <c r="L197" i="1"/>
  <c r="G197" i="26" s="1"/>
  <c r="L198" i="1"/>
  <c r="G198" i="26" s="1"/>
  <c r="L199" i="1"/>
  <c r="G199" i="26" s="1"/>
  <c r="L200" i="1"/>
  <c r="G200" i="26" s="1"/>
  <c r="L201" i="1"/>
  <c r="G201" i="26" s="1"/>
  <c r="L202" i="1"/>
  <c r="G202" i="26" s="1"/>
  <c r="L203" i="1"/>
  <c r="G203" i="26" s="1"/>
  <c r="L204" i="1"/>
  <c r="G204" i="26" s="1"/>
  <c r="L205" i="1"/>
  <c r="G205" i="26" s="1"/>
  <c r="L206" i="1"/>
  <c r="G206" i="26" s="1"/>
  <c r="L207" i="1"/>
  <c r="G207" i="26" s="1"/>
  <c r="L208" i="1"/>
  <c r="G208" i="26" s="1"/>
  <c r="L209" i="1"/>
  <c r="G209" i="26" s="1"/>
  <c r="L210" i="1"/>
  <c r="G210" i="26" s="1"/>
  <c r="L211" i="1"/>
  <c r="G211" i="26" s="1"/>
  <c r="L212" i="1"/>
  <c r="G212" i="26" s="1"/>
  <c r="L213" i="1"/>
  <c r="G213" i="26" s="1"/>
  <c r="L214" i="1"/>
  <c r="G214" i="26" s="1"/>
  <c r="L215" i="1"/>
  <c r="G215" i="26" s="1"/>
  <c r="L216" i="1"/>
  <c r="G216" i="26" s="1"/>
  <c r="L217" i="1"/>
  <c r="G217" i="26" s="1"/>
  <c r="L218" i="1"/>
  <c r="G218" i="26" s="1"/>
  <c r="L219" i="1"/>
  <c r="G219" i="26" s="1"/>
  <c r="L220" i="1"/>
  <c r="G220" i="26" s="1"/>
  <c r="L221" i="1"/>
  <c r="G221" i="26" s="1"/>
  <c r="L222" i="1"/>
  <c r="G222" i="26" s="1"/>
  <c r="L223" i="1"/>
  <c r="G223" i="26" s="1"/>
  <c r="L224" i="1"/>
  <c r="G224" i="26" s="1"/>
  <c r="L225" i="1"/>
  <c r="G225" i="26" s="1"/>
  <c r="L226" i="1"/>
  <c r="G226" i="26" s="1"/>
  <c r="L227" i="1"/>
  <c r="G227" i="26" s="1"/>
  <c r="L228" i="1"/>
  <c r="G228" i="26" s="1"/>
  <c r="L229" i="1"/>
  <c r="G229" i="26" s="1"/>
  <c r="J32" i="1"/>
  <c r="J33" i="1"/>
  <c r="J34" i="1"/>
  <c r="J44" i="1"/>
  <c r="J3" i="1"/>
  <c r="J35" i="1"/>
  <c r="J4" i="1"/>
  <c r="J36" i="1"/>
  <c r="J23" i="1"/>
  <c r="J24" i="1"/>
  <c r="J25" i="1"/>
  <c r="J26" i="1"/>
  <c r="J27" i="1"/>
  <c r="J28" i="1"/>
  <c r="J29" i="1"/>
  <c r="J30" i="1"/>
  <c r="J31" i="1"/>
  <c r="J37" i="1"/>
  <c r="J38" i="1"/>
  <c r="J39" i="1"/>
  <c r="J40" i="1"/>
  <c r="J41" i="1"/>
  <c r="J42" i="1"/>
  <c r="J45" i="1"/>
  <c r="J46" i="1"/>
  <c r="J47" i="1"/>
  <c r="J48" i="1"/>
  <c r="J49" i="1"/>
  <c r="J43" i="1"/>
  <c r="J50" i="1"/>
  <c r="J51" i="1"/>
  <c r="J5" i="1"/>
  <c r="J6" i="1"/>
  <c r="J2" i="1"/>
  <c r="J7" i="1"/>
  <c r="J8" i="1"/>
  <c r="J9" i="1"/>
  <c r="J11" i="1"/>
  <c r="J12" i="1"/>
  <c r="J13" i="1"/>
  <c r="J14" i="1"/>
  <c r="J15" i="1"/>
  <c r="J16" i="1"/>
  <c r="J17" i="1"/>
  <c r="J18" i="1"/>
  <c r="J19" i="1"/>
  <c r="J20" i="1"/>
  <c r="J21" i="1"/>
  <c r="J52" i="1"/>
  <c r="J53" i="1"/>
  <c r="J68" i="1"/>
  <c r="J54" i="1"/>
  <c r="J69" i="1"/>
  <c r="J55" i="1"/>
  <c r="J70" i="1"/>
  <c r="J56" i="1"/>
  <c r="J71" i="1"/>
  <c r="J57" i="1"/>
  <c r="J72" i="1"/>
  <c r="J58" i="1"/>
  <c r="J73" i="1"/>
  <c r="J59" i="1"/>
  <c r="J74" i="1"/>
  <c r="J60" i="1"/>
  <c r="J75" i="1"/>
  <c r="J61" i="1"/>
  <c r="J76" i="1"/>
  <c r="J62" i="1"/>
  <c r="J77" i="1"/>
  <c r="J63" i="1"/>
  <c r="J78" i="1"/>
  <c r="J64" i="1"/>
  <c r="J80" i="1"/>
  <c r="J65" i="1"/>
  <c r="J79" i="1"/>
  <c r="J66" i="1"/>
  <c r="J81" i="1"/>
  <c r="J67" i="1"/>
  <c r="J82" i="1"/>
  <c r="J83" i="1"/>
  <c r="J91" i="1"/>
  <c r="J84" i="1"/>
  <c r="J92" i="1"/>
  <c r="J93" i="1"/>
  <c r="J85" i="1"/>
  <c r="J94" i="1"/>
  <c r="J86" i="1"/>
  <c r="J95" i="1"/>
  <c r="J87" i="1"/>
  <c r="J96" i="1"/>
  <c r="J88" i="1"/>
  <c r="J97" i="1"/>
  <c r="J89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25" i="1"/>
  <c r="J127" i="1"/>
  <c r="J117" i="1"/>
  <c r="J128" i="1"/>
  <c r="J118" i="1"/>
  <c r="J129" i="1"/>
  <c r="J119" i="1"/>
  <c r="J130" i="1"/>
  <c r="J120" i="1"/>
  <c r="J131" i="1"/>
  <c r="J121" i="1"/>
  <c r="J132" i="1"/>
  <c r="J122" i="1"/>
  <c r="J133" i="1"/>
  <c r="J123" i="1"/>
  <c r="J134" i="1"/>
  <c r="J124" i="1"/>
  <c r="J126" i="1"/>
  <c r="J135" i="1"/>
  <c r="J144" i="1"/>
  <c r="J136" i="1"/>
  <c r="J145" i="1"/>
  <c r="J137" i="1"/>
  <c r="J146" i="1"/>
  <c r="J138" i="1"/>
  <c r="J147" i="1"/>
  <c r="J139" i="1"/>
  <c r="J140" i="1"/>
  <c r="J149" i="1"/>
  <c r="J141" i="1"/>
  <c r="J150" i="1"/>
  <c r="J142" i="1"/>
  <c r="J151" i="1"/>
  <c r="J143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76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7" i="1"/>
  <c r="J183" i="1"/>
  <c r="J178" i="1"/>
  <c r="J184" i="1"/>
  <c r="J179" i="1"/>
  <c r="J185" i="1"/>
  <c r="J180" i="1"/>
  <c r="J186" i="1"/>
  <c r="J181" i="1"/>
  <c r="J182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I32" i="1"/>
  <c r="E32" i="26" s="1"/>
  <c r="I33" i="1"/>
  <c r="E33" i="26" s="1"/>
  <c r="I34" i="1"/>
  <c r="E34" i="26" s="1"/>
  <c r="I44" i="1"/>
  <c r="E44" i="26" s="1"/>
  <c r="I3" i="1"/>
  <c r="E3" i="26" s="1"/>
  <c r="I35" i="1"/>
  <c r="E35" i="26" s="1"/>
  <c r="I4" i="1"/>
  <c r="E4" i="26" s="1"/>
  <c r="I36" i="1"/>
  <c r="E36" i="26" s="1"/>
  <c r="I23" i="1"/>
  <c r="E23" i="26" s="1"/>
  <c r="I24" i="1"/>
  <c r="E24" i="26" s="1"/>
  <c r="I25" i="1"/>
  <c r="E25" i="26" s="1"/>
  <c r="I26" i="1"/>
  <c r="E26" i="26" s="1"/>
  <c r="I27" i="1"/>
  <c r="E27" i="26" s="1"/>
  <c r="I29" i="1"/>
  <c r="E29" i="26" s="1"/>
  <c r="I30" i="1"/>
  <c r="E30" i="26" s="1"/>
  <c r="I31" i="1"/>
  <c r="E31" i="26" s="1"/>
  <c r="I37" i="1"/>
  <c r="E37" i="26" s="1"/>
  <c r="I38" i="1"/>
  <c r="E38" i="26" s="1"/>
  <c r="I39" i="1"/>
  <c r="E39" i="26" s="1"/>
  <c r="I40" i="1"/>
  <c r="E40" i="26" s="1"/>
  <c r="I41" i="1"/>
  <c r="E41" i="26" s="1"/>
  <c r="I42" i="1"/>
  <c r="E42" i="26" s="1"/>
  <c r="I45" i="1"/>
  <c r="E45" i="26" s="1"/>
  <c r="I46" i="1"/>
  <c r="E46" i="26" s="1"/>
  <c r="I47" i="1"/>
  <c r="E47" i="26" s="1"/>
  <c r="I48" i="1"/>
  <c r="E48" i="26" s="1"/>
  <c r="I49" i="1"/>
  <c r="E49" i="26" s="1"/>
  <c r="I43" i="1"/>
  <c r="E43" i="26" s="1"/>
  <c r="I50" i="1"/>
  <c r="E50" i="26" s="1"/>
  <c r="I51" i="1"/>
  <c r="E51" i="26" s="1"/>
  <c r="I5" i="1"/>
  <c r="E5" i="26" s="1"/>
  <c r="I6" i="1"/>
  <c r="E6" i="26" s="1"/>
  <c r="I2" i="1"/>
  <c r="E2" i="26" s="1"/>
  <c r="I7" i="1"/>
  <c r="E7" i="26" s="1"/>
  <c r="I8" i="1"/>
  <c r="E8" i="26" s="1"/>
  <c r="I9" i="1"/>
  <c r="E9" i="26" s="1"/>
  <c r="I11" i="1"/>
  <c r="E11" i="26" s="1"/>
  <c r="I12" i="1"/>
  <c r="E12" i="26" s="1"/>
  <c r="I13" i="1"/>
  <c r="E13" i="26" s="1"/>
  <c r="I14" i="1"/>
  <c r="E14" i="26" s="1"/>
  <c r="I15" i="1"/>
  <c r="E15" i="26" s="1"/>
  <c r="I16" i="1"/>
  <c r="E16" i="26" s="1"/>
  <c r="I17" i="1"/>
  <c r="E17" i="26" s="1"/>
  <c r="I18" i="1"/>
  <c r="E18" i="26" s="1"/>
  <c r="I19" i="1"/>
  <c r="E19" i="26" s="1"/>
  <c r="I20" i="1"/>
  <c r="E20" i="26" s="1"/>
  <c r="I21" i="1"/>
  <c r="E21" i="26" s="1"/>
  <c r="I52" i="1"/>
  <c r="E52" i="26" s="1"/>
  <c r="I53" i="1"/>
  <c r="E53" i="26" s="1"/>
  <c r="I68" i="1"/>
  <c r="E68" i="26" s="1"/>
  <c r="I54" i="1"/>
  <c r="E54" i="26" s="1"/>
  <c r="I69" i="1"/>
  <c r="E69" i="26" s="1"/>
  <c r="I55" i="1"/>
  <c r="E55" i="26" s="1"/>
  <c r="I70" i="1"/>
  <c r="E70" i="26" s="1"/>
  <c r="I56" i="1"/>
  <c r="E56" i="26" s="1"/>
  <c r="I71" i="1"/>
  <c r="E71" i="26" s="1"/>
  <c r="I57" i="1"/>
  <c r="E57" i="26" s="1"/>
  <c r="I72" i="1"/>
  <c r="E72" i="26" s="1"/>
  <c r="I58" i="1"/>
  <c r="E58" i="26" s="1"/>
  <c r="I73" i="1"/>
  <c r="E73" i="26" s="1"/>
  <c r="I59" i="1"/>
  <c r="E59" i="26" s="1"/>
  <c r="I74" i="1"/>
  <c r="E74" i="26" s="1"/>
  <c r="I60" i="1"/>
  <c r="E60" i="26" s="1"/>
  <c r="I75" i="1"/>
  <c r="E75" i="26" s="1"/>
  <c r="I61" i="1"/>
  <c r="E61" i="26" s="1"/>
  <c r="I76" i="1"/>
  <c r="E76" i="26" s="1"/>
  <c r="I62" i="1"/>
  <c r="E62" i="26" s="1"/>
  <c r="I77" i="1"/>
  <c r="E77" i="26" s="1"/>
  <c r="I63" i="1"/>
  <c r="E63" i="26" s="1"/>
  <c r="I78" i="1"/>
  <c r="E78" i="26" s="1"/>
  <c r="I64" i="1"/>
  <c r="E64" i="26" s="1"/>
  <c r="I80" i="1"/>
  <c r="E80" i="26" s="1"/>
  <c r="I65" i="1"/>
  <c r="E65" i="26" s="1"/>
  <c r="I79" i="1"/>
  <c r="E79" i="26" s="1"/>
  <c r="I66" i="1"/>
  <c r="E66" i="26" s="1"/>
  <c r="I81" i="1"/>
  <c r="E81" i="26" s="1"/>
  <c r="I67" i="1"/>
  <c r="E67" i="26" s="1"/>
  <c r="I82" i="1"/>
  <c r="E82" i="26" s="1"/>
  <c r="I83" i="1"/>
  <c r="E83" i="26" s="1"/>
  <c r="I91" i="1"/>
  <c r="E91" i="26" s="1"/>
  <c r="I84" i="1"/>
  <c r="E84" i="26" s="1"/>
  <c r="I92" i="1"/>
  <c r="E92" i="26" s="1"/>
  <c r="I93" i="1"/>
  <c r="E93" i="26" s="1"/>
  <c r="I85" i="1"/>
  <c r="E85" i="26" s="1"/>
  <c r="I94" i="1"/>
  <c r="E94" i="26" s="1"/>
  <c r="I86" i="1"/>
  <c r="E86" i="26" s="1"/>
  <c r="I95" i="1"/>
  <c r="E95" i="26" s="1"/>
  <c r="I87" i="1"/>
  <c r="E87" i="26" s="1"/>
  <c r="I96" i="1"/>
  <c r="E96" i="26" s="1"/>
  <c r="I88" i="1"/>
  <c r="E88" i="26" s="1"/>
  <c r="I97" i="1"/>
  <c r="E97" i="26" s="1"/>
  <c r="I89" i="1"/>
  <c r="E89" i="26" s="1"/>
  <c r="I98" i="1"/>
  <c r="E98" i="26" s="1"/>
  <c r="I99" i="1"/>
  <c r="E99" i="26" s="1"/>
  <c r="I100" i="1"/>
  <c r="E100" i="26" s="1"/>
  <c r="I101" i="1"/>
  <c r="E101" i="26" s="1"/>
  <c r="I102" i="1"/>
  <c r="E102" i="26" s="1"/>
  <c r="I103" i="1"/>
  <c r="E103" i="26" s="1"/>
  <c r="I104" i="1"/>
  <c r="E104" i="26" s="1"/>
  <c r="I105" i="1"/>
  <c r="E105" i="26" s="1"/>
  <c r="I106" i="1"/>
  <c r="E106" i="26" s="1"/>
  <c r="I107" i="1"/>
  <c r="E107" i="26" s="1"/>
  <c r="I108" i="1"/>
  <c r="E108" i="26" s="1"/>
  <c r="I109" i="1"/>
  <c r="E109" i="26" s="1"/>
  <c r="I110" i="1"/>
  <c r="E110" i="26" s="1"/>
  <c r="I111" i="1"/>
  <c r="E111" i="26" s="1"/>
  <c r="I112" i="1"/>
  <c r="E112" i="26" s="1"/>
  <c r="I113" i="1"/>
  <c r="E113" i="26" s="1"/>
  <c r="I114" i="1"/>
  <c r="E114" i="26" s="1"/>
  <c r="I115" i="1"/>
  <c r="E115" i="26" s="1"/>
  <c r="I116" i="1"/>
  <c r="E116" i="26" s="1"/>
  <c r="I125" i="1"/>
  <c r="E125" i="26" s="1"/>
  <c r="I127" i="1"/>
  <c r="E127" i="26" s="1"/>
  <c r="I117" i="1"/>
  <c r="E117" i="26" s="1"/>
  <c r="I128" i="1"/>
  <c r="E128" i="26" s="1"/>
  <c r="I118" i="1"/>
  <c r="E118" i="26" s="1"/>
  <c r="I129" i="1"/>
  <c r="E129" i="26" s="1"/>
  <c r="I119" i="1"/>
  <c r="E119" i="26" s="1"/>
  <c r="I130" i="1"/>
  <c r="E130" i="26" s="1"/>
  <c r="I120" i="1"/>
  <c r="E120" i="26" s="1"/>
  <c r="I131" i="1"/>
  <c r="E131" i="26" s="1"/>
  <c r="I121" i="1"/>
  <c r="E121" i="26" s="1"/>
  <c r="I132" i="1"/>
  <c r="E132" i="26" s="1"/>
  <c r="I122" i="1"/>
  <c r="E122" i="26" s="1"/>
  <c r="I133" i="1"/>
  <c r="E133" i="26" s="1"/>
  <c r="I123" i="1"/>
  <c r="E123" i="26" s="1"/>
  <c r="I134" i="1"/>
  <c r="E134" i="26" s="1"/>
  <c r="I124" i="1"/>
  <c r="E124" i="26" s="1"/>
  <c r="I126" i="1"/>
  <c r="E126" i="26" s="1"/>
  <c r="I135" i="1"/>
  <c r="E135" i="26" s="1"/>
  <c r="I144" i="1"/>
  <c r="E144" i="26" s="1"/>
  <c r="I136" i="1"/>
  <c r="E136" i="26" s="1"/>
  <c r="I145" i="1"/>
  <c r="E145" i="26" s="1"/>
  <c r="I137" i="1"/>
  <c r="E137" i="26" s="1"/>
  <c r="I146" i="1"/>
  <c r="E146" i="26" s="1"/>
  <c r="I138" i="1"/>
  <c r="E138" i="26" s="1"/>
  <c r="I147" i="1"/>
  <c r="E147" i="26" s="1"/>
  <c r="I139" i="1"/>
  <c r="E139" i="26" s="1"/>
  <c r="I140" i="1"/>
  <c r="E140" i="26" s="1"/>
  <c r="I149" i="1"/>
  <c r="E149" i="26" s="1"/>
  <c r="I141" i="1"/>
  <c r="E141" i="26" s="1"/>
  <c r="I150" i="1"/>
  <c r="E150" i="26" s="1"/>
  <c r="I142" i="1"/>
  <c r="E142" i="26" s="1"/>
  <c r="I151" i="1"/>
  <c r="E151" i="26" s="1"/>
  <c r="I143" i="1"/>
  <c r="E143" i="26" s="1"/>
  <c r="I152" i="1"/>
  <c r="E152" i="26" s="1"/>
  <c r="I153" i="1"/>
  <c r="E153" i="26" s="1"/>
  <c r="I154" i="1"/>
  <c r="E154" i="26" s="1"/>
  <c r="I155" i="1"/>
  <c r="E155" i="26" s="1"/>
  <c r="I156" i="1"/>
  <c r="E156" i="26" s="1"/>
  <c r="I157" i="1"/>
  <c r="E157" i="26" s="1"/>
  <c r="I158" i="1"/>
  <c r="E158" i="26" s="1"/>
  <c r="I159" i="1"/>
  <c r="E159" i="26" s="1"/>
  <c r="I160" i="1"/>
  <c r="E160" i="26" s="1"/>
  <c r="I161" i="1"/>
  <c r="E161" i="26" s="1"/>
  <c r="I162" i="1"/>
  <c r="E162" i="26" s="1"/>
  <c r="I163" i="1"/>
  <c r="E163" i="26" s="1"/>
  <c r="I176" i="1"/>
  <c r="E176" i="26" s="1"/>
  <c r="I164" i="1"/>
  <c r="E164" i="26" s="1"/>
  <c r="I165" i="1"/>
  <c r="E165" i="26" s="1"/>
  <c r="I166" i="1"/>
  <c r="E166" i="26" s="1"/>
  <c r="I167" i="1"/>
  <c r="E167" i="26" s="1"/>
  <c r="I168" i="1"/>
  <c r="E168" i="26" s="1"/>
  <c r="I169" i="1"/>
  <c r="E169" i="26" s="1"/>
  <c r="I170" i="1"/>
  <c r="E170" i="26" s="1"/>
  <c r="I171" i="1"/>
  <c r="E171" i="26" s="1"/>
  <c r="I172" i="1"/>
  <c r="E172" i="26" s="1"/>
  <c r="I173" i="1"/>
  <c r="E173" i="26" s="1"/>
  <c r="I174" i="1"/>
  <c r="E174" i="26" s="1"/>
  <c r="I175" i="1"/>
  <c r="E175" i="26" s="1"/>
  <c r="I177" i="1"/>
  <c r="E177" i="26" s="1"/>
  <c r="I183" i="1"/>
  <c r="E183" i="26" s="1"/>
  <c r="I178" i="1"/>
  <c r="E178" i="26" s="1"/>
  <c r="I184" i="1"/>
  <c r="E184" i="26" s="1"/>
  <c r="I179" i="1"/>
  <c r="E179" i="26" s="1"/>
  <c r="I185" i="1"/>
  <c r="E185" i="26" s="1"/>
  <c r="I180" i="1"/>
  <c r="E180" i="26" s="1"/>
  <c r="I186" i="1"/>
  <c r="E186" i="26" s="1"/>
  <c r="I181" i="1"/>
  <c r="E181" i="26" s="1"/>
  <c r="I182" i="1"/>
  <c r="E182" i="26" s="1"/>
  <c r="I187" i="1"/>
  <c r="E187" i="26" s="1"/>
  <c r="I188" i="1"/>
  <c r="E188" i="26" s="1"/>
  <c r="I189" i="1"/>
  <c r="E189" i="26" s="1"/>
  <c r="I190" i="1"/>
  <c r="E190" i="26" s="1"/>
  <c r="I191" i="1"/>
  <c r="E191" i="26" s="1"/>
  <c r="I192" i="1"/>
  <c r="E192" i="26" s="1"/>
  <c r="I193" i="1"/>
  <c r="E193" i="26" s="1"/>
  <c r="I194" i="1"/>
  <c r="E194" i="26" s="1"/>
  <c r="I195" i="1"/>
  <c r="E195" i="26" s="1"/>
  <c r="I196" i="1"/>
  <c r="E196" i="26" s="1"/>
  <c r="I197" i="1"/>
  <c r="E197" i="26" s="1"/>
  <c r="I198" i="1"/>
  <c r="E198" i="26" s="1"/>
  <c r="I199" i="1"/>
  <c r="E199" i="26" s="1"/>
  <c r="I200" i="1"/>
  <c r="E200" i="26" s="1"/>
  <c r="I201" i="1"/>
  <c r="E201" i="26" s="1"/>
  <c r="I202" i="1"/>
  <c r="E202" i="26" s="1"/>
  <c r="I203" i="1"/>
  <c r="E203" i="26" s="1"/>
  <c r="I204" i="1"/>
  <c r="E204" i="26" s="1"/>
  <c r="I205" i="1"/>
  <c r="E205" i="26" s="1"/>
  <c r="I206" i="1"/>
  <c r="E206" i="26" s="1"/>
  <c r="I207" i="1"/>
  <c r="E207" i="26" s="1"/>
  <c r="I208" i="1"/>
  <c r="E208" i="26" s="1"/>
  <c r="I209" i="1"/>
  <c r="E209" i="26" s="1"/>
  <c r="I210" i="1"/>
  <c r="E210" i="26" s="1"/>
  <c r="I211" i="1"/>
  <c r="E211" i="26" s="1"/>
  <c r="I212" i="1"/>
  <c r="E212" i="26" s="1"/>
  <c r="I213" i="1"/>
  <c r="E213" i="26" s="1"/>
  <c r="I214" i="1"/>
  <c r="E214" i="26" s="1"/>
  <c r="I215" i="1"/>
  <c r="E215" i="26" s="1"/>
  <c r="I216" i="1"/>
  <c r="E216" i="26" s="1"/>
  <c r="I217" i="1"/>
  <c r="E217" i="26" s="1"/>
  <c r="I218" i="1"/>
  <c r="E218" i="26" s="1"/>
  <c r="I219" i="1"/>
  <c r="E219" i="26" s="1"/>
  <c r="I220" i="1"/>
  <c r="E220" i="26" s="1"/>
  <c r="I221" i="1"/>
  <c r="E221" i="26" s="1"/>
  <c r="I222" i="1"/>
  <c r="E222" i="26" s="1"/>
  <c r="I223" i="1"/>
  <c r="E223" i="26" s="1"/>
  <c r="I224" i="1"/>
  <c r="E224" i="26" s="1"/>
  <c r="I225" i="1"/>
  <c r="E225" i="26" s="1"/>
  <c r="I226" i="1"/>
  <c r="E226" i="26" s="1"/>
  <c r="I227" i="1"/>
  <c r="E227" i="26" s="1"/>
  <c r="I228" i="1"/>
  <c r="E228" i="26" s="1"/>
  <c r="I229" i="1"/>
  <c r="E229" i="26" s="1"/>
  <c r="J22" i="1"/>
  <c r="L22" i="1"/>
  <c r="G22" i="26" s="1"/>
  <c r="K32" i="1" l="1"/>
  <c r="K60" i="1"/>
  <c r="K10" i="1"/>
  <c r="L28" i="1"/>
  <c r="G28" i="26" s="1"/>
  <c r="K194" i="1"/>
  <c r="K183" i="1"/>
  <c r="K162" i="1"/>
  <c r="K141" i="1"/>
  <c r="K133" i="1"/>
  <c r="K114" i="1"/>
  <c r="K98" i="1"/>
  <c r="K82" i="1"/>
  <c r="K74" i="1"/>
  <c r="K20" i="1"/>
  <c r="K51" i="1"/>
  <c r="K29" i="1"/>
  <c r="K149" i="1"/>
  <c r="K59" i="1"/>
  <c r="K19" i="1"/>
  <c r="K50" i="1"/>
  <c r="K28" i="1"/>
  <c r="K195" i="1"/>
  <c r="K21" i="1"/>
  <c r="K207" i="1"/>
  <c r="K140" i="1"/>
  <c r="K112" i="1"/>
  <c r="K97" i="1"/>
  <c r="K81" i="1"/>
  <c r="K73" i="1"/>
  <c r="K18" i="1"/>
  <c r="K43" i="1"/>
  <c r="K27" i="1"/>
  <c r="K206" i="1"/>
  <c r="K191" i="1"/>
  <c r="K174" i="1"/>
  <c r="K159" i="1"/>
  <c r="K139" i="1"/>
  <c r="K121" i="1"/>
  <c r="K111" i="1"/>
  <c r="K88" i="1"/>
  <c r="K66" i="1"/>
  <c r="K58" i="1"/>
  <c r="K17" i="1"/>
  <c r="K49" i="1"/>
  <c r="K26" i="1"/>
  <c r="K5" i="1"/>
  <c r="K177" i="1"/>
  <c r="K132" i="1"/>
  <c r="K229" i="1"/>
  <c r="K205" i="1"/>
  <c r="K190" i="1"/>
  <c r="K173" i="1"/>
  <c r="K158" i="1"/>
  <c r="K147" i="1"/>
  <c r="K131" i="1"/>
  <c r="K110" i="1"/>
  <c r="K96" i="1"/>
  <c r="K79" i="1"/>
  <c r="K72" i="1"/>
  <c r="K16" i="1"/>
  <c r="K48" i="1"/>
  <c r="K25" i="1"/>
  <c r="K218" i="1"/>
  <c r="K204" i="1"/>
  <c r="K189" i="1"/>
  <c r="K172" i="1"/>
  <c r="K157" i="1"/>
  <c r="K138" i="1"/>
  <c r="K120" i="1"/>
  <c r="K109" i="1"/>
  <c r="K87" i="1"/>
  <c r="K65" i="1"/>
  <c r="K57" i="1"/>
  <c r="K15" i="1"/>
  <c r="K47" i="1"/>
  <c r="K24" i="1"/>
  <c r="K193" i="1"/>
  <c r="K192" i="1"/>
  <c r="K203" i="1"/>
  <c r="K188" i="1"/>
  <c r="K171" i="1"/>
  <c r="K156" i="1"/>
  <c r="K146" i="1"/>
  <c r="K130" i="1"/>
  <c r="K108" i="1"/>
  <c r="K95" i="1"/>
  <c r="K80" i="1"/>
  <c r="K71" i="1"/>
  <c r="K14" i="1"/>
  <c r="K46" i="1"/>
  <c r="K23" i="1"/>
  <c r="K222" i="1"/>
  <c r="K113" i="1"/>
  <c r="K219" i="1"/>
  <c r="K217" i="1"/>
  <c r="K202" i="1"/>
  <c r="K187" i="1"/>
  <c r="K170" i="1"/>
  <c r="K155" i="1"/>
  <c r="K137" i="1"/>
  <c r="K119" i="1"/>
  <c r="K107" i="1"/>
  <c r="K86" i="1"/>
  <c r="K64" i="1"/>
  <c r="K56" i="1"/>
  <c r="K13" i="1"/>
  <c r="K45" i="1"/>
  <c r="K36" i="1"/>
  <c r="K163" i="1"/>
  <c r="K30" i="1"/>
  <c r="K161" i="1"/>
  <c r="K175" i="1"/>
  <c r="K216" i="1"/>
  <c r="K201" i="1"/>
  <c r="K182" i="1"/>
  <c r="K169" i="1"/>
  <c r="K145" i="1"/>
  <c r="K129" i="1"/>
  <c r="K106" i="1"/>
  <c r="K94" i="1"/>
  <c r="K78" i="1"/>
  <c r="K70" i="1"/>
  <c r="K12" i="1"/>
  <c r="K42" i="1"/>
  <c r="K4" i="1"/>
  <c r="K178" i="1"/>
  <c r="K209" i="1"/>
  <c r="K89" i="1"/>
  <c r="K228" i="1"/>
  <c r="K215" i="1"/>
  <c r="K200" i="1"/>
  <c r="K181" i="1"/>
  <c r="K168" i="1"/>
  <c r="K154" i="1"/>
  <c r="K136" i="1"/>
  <c r="K118" i="1"/>
  <c r="K105" i="1"/>
  <c r="K85" i="1"/>
  <c r="K63" i="1"/>
  <c r="K55" i="1"/>
  <c r="K11" i="1"/>
  <c r="K41" i="1"/>
  <c r="K35" i="1"/>
  <c r="K99" i="1"/>
  <c r="K67" i="1"/>
  <c r="K227" i="1"/>
  <c r="K214" i="1"/>
  <c r="K199" i="1"/>
  <c r="K186" i="1"/>
  <c r="K167" i="1"/>
  <c r="K153" i="1"/>
  <c r="K144" i="1"/>
  <c r="K128" i="1"/>
  <c r="K104" i="1"/>
  <c r="K93" i="1"/>
  <c r="K77" i="1"/>
  <c r="K69" i="1"/>
  <c r="K9" i="1"/>
  <c r="K40" i="1"/>
  <c r="K3" i="1"/>
  <c r="K150" i="1"/>
  <c r="K208" i="1"/>
  <c r="I22" i="1"/>
  <c r="K226" i="1"/>
  <c r="K213" i="1"/>
  <c r="K180" i="1"/>
  <c r="K166" i="1"/>
  <c r="K152" i="1"/>
  <c r="K135" i="1"/>
  <c r="K117" i="1"/>
  <c r="K103" i="1"/>
  <c r="K92" i="1"/>
  <c r="K62" i="1"/>
  <c r="K54" i="1"/>
  <c r="K8" i="1"/>
  <c r="K39" i="1"/>
  <c r="K44" i="1"/>
  <c r="K220" i="1"/>
  <c r="K225" i="1"/>
  <c r="K198" i="1"/>
  <c r="K185" i="1"/>
  <c r="K165" i="1"/>
  <c r="K143" i="1"/>
  <c r="K126" i="1"/>
  <c r="K127" i="1"/>
  <c r="K102" i="1"/>
  <c r="K84" i="1"/>
  <c r="K76" i="1"/>
  <c r="K68" i="1"/>
  <c r="K7" i="1"/>
  <c r="K38" i="1"/>
  <c r="K34" i="1"/>
  <c r="K210" i="1"/>
  <c r="K115" i="1"/>
  <c r="K221" i="1"/>
  <c r="K160" i="1"/>
  <c r="K224" i="1"/>
  <c r="K212" i="1"/>
  <c r="K197" i="1"/>
  <c r="K179" i="1"/>
  <c r="K164" i="1"/>
  <c r="K151" i="1"/>
  <c r="K124" i="1"/>
  <c r="K125" i="1"/>
  <c r="K101" i="1"/>
  <c r="K91" i="1"/>
  <c r="K61" i="1"/>
  <c r="K53" i="1"/>
  <c r="K2" i="1"/>
  <c r="K37" i="1"/>
  <c r="K33" i="1"/>
  <c r="K123" i="1"/>
  <c r="K122" i="1"/>
  <c r="K223" i="1"/>
  <c r="K211" i="1"/>
  <c r="K196" i="1"/>
  <c r="K184" i="1"/>
  <c r="K176" i="1"/>
  <c r="K142" i="1"/>
  <c r="K134" i="1"/>
  <c r="K116" i="1"/>
  <c r="K100" i="1"/>
  <c r="K83" i="1"/>
  <c r="K75" i="1"/>
  <c r="K52" i="1"/>
  <c r="K6" i="1"/>
  <c r="K31" i="1"/>
  <c r="O52" i="1" l="1"/>
  <c r="F52" i="26"/>
  <c r="J52" i="26" s="1"/>
  <c r="L52" i="26" s="1"/>
  <c r="O67" i="1"/>
  <c r="F67" i="26"/>
  <c r="J67" i="26" s="1"/>
  <c r="L67" i="26" s="1"/>
  <c r="O229" i="1"/>
  <c r="F229" i="26"/>
  <c r="J229" i="26" s="1"/>
  <c r="L229" i="26" s="1"/>
  <c r="O99" i="1"/>
  <c r="F99" i="26"/>
  <c r="J99" i="26" s="1"/>
  <c r="L99" i="26" s="1"/>
  <c r="O35" i="1"/>
  <c r="F35" i="26"/>
  <c r="J35" i="26" s="1"/>
  <c r="L35" i="26" s="1"/>
  <c r="O177" i="1"/>
  <c r="F177" i="26"/>
  <c r="J177" i="26" s="1"/>
  <c r="L177" i="26" s="1"/>
  <c r="O91" i="1"/>
  <c r="F91" i="26"/>
  <c r="J91" i="26" s="1"/>
  <c r="L91" i="26" s="1"/>
  <c r="O41" i="1"/>
  <c r="F41" i="26"/>
  <c r="J41" i="26" s="1"/>
  <c r="L41" i="26" s="1"/>
  <c r="O192" i="1"/>
  <c r="F192" i="26"/>
  <c r="J192" i="26" s="1"/>
  <c r="L192" i="26" s="1"/>
  <c r="O62" i="1"/>
  <c r="F62" i="26"/>
  <c r="J62" i="26" s="1"/>
  <c r="L62" i="26" s="1"/>
  <c r="O92" i="1"/>
  <c r="F92" i="26"/>
  <c r="J92" i="26" s="1"/>
  <c r="L92" i="26" s="1"/>
  <c r="O222" i="1"/>
  <c r="F222" i="26"/>
  <c r="J222" i="26" s="1"/>
  <c r="L222" i="26" s="1"/>
  <c r="O24" i="1"/>
  <c r="F24" i="26"/>
  <c r="J24" i="26" s="1"/>
  <c r="L24" i="26" s="1"/>
  <c r="O142" i="1"/>
  <c r="F142" i="26"/>
  <c r="J142" i="26" s="1"/>
  <c r="L142" i="26" s="1"/>
  <c r="O124" i="1"/>
  <c r="F124" i="26"/>
  <c r="J124" i="26" s="1"/>
  <c r="L124" i="26" s="1"/>
  <c r="O84" i="1"/>
  <c r="F84" i="26"/>
  <c r="J84" i="26" s="1"/>
  <c r="L84" i="26" s="1"/>
  <c r="O103" i="1"/>
  <c r="F103" i="26"/>
  <c r="J103" i="26" s="1"/>
  <c r="L103" i="26" s="1"/>
  <c r="O93" i="1"/>
  <c r="F93" i="26"/>
  <c r="J93" i="26" s="1"/>
  <c r="L93" i="26" s="1"/>
  <c r="O63" i="1"/>
  <c r="F63" i="26"/>
  <c r="J63" i="26" s="1"/>
  <c r="L63" i="26" s="1"/>
  <c r="O12" i="1"/>
  <c r="F12" i="26"/>
  <c r="J12" i="26" s="1"/>
  <c r="L12" i="26" s="1"/>
  <c r="O45" i="1"/>
  <c r="F45" i="26"/>
  <c r="J45" i="26" s="1"/>
  <c r="L45" i="26" s="1"/>
  <c r="O23" i="1"/>
  <c r="F23" i="26"/>
  <c r="J23" i="26" s="1"/>
  <c r="L23" i="26" s="1"/>
  <c r="O47" i="1"/>
  <c r="F47" i="26"/>
  <c r="J47" i="26" s="1"/>
  <c r="L47" i="26" s="1"/>
  <c r="O72" i="1"/>
  <c r="F72" i="26"/>
  <c r="J72" i="26" s="1"/>
  <c r="L72" i="26" s="1"/>
  <c r="O17" i="1"/>
  <c r="F17" i="26"/>
  <c r="J17" i="26" s="1"/>
  <c r="L17" i="26" s="1"/>
  <c r="O97" i="1"/>
  <c r="F97" i="26"/>
  <c r="J97" i="26" s="1"/>
  <c r="L97" i="26" s="1"/>
  <c r="O98" i="1"/>
  <c r="F98" i="26"/>
  <c r="J98" i="26" s="1"/>
  <c r="L98" i="26" s="1"/>
  <c r="O176" i="1"/>
  <c r="F176" i="26"/>
  <c r="J176" i="26" s="1"/>
  <c r="L176" i="26" s="1"/>
  <c r="O151" i="1"/>
  <c r="F151" i="26"/>
  <c r="J151" i="26" s="1"/>
  <c r="L151" i="26" s="1"/>
  <c r="O102" i="1"/>
  <c r="F102" i="26"/>
  <c r="J102" i="26" s="1"/>
  <c r="L102" i="26" s="1"/>
  <c r="O117" i="1"/>
  <c r="F117" i="26"/>
  <c r="J117" i="26" s="1"/>
  <c r="L117" i="26" s="1"/>
  <c r="O104" i="1"/>
  <c r="F104" i="26"/>
  <c r="J104" i="26" s="1"/>
  <c r="L104" i="26" s="1"/>
  <c r="O85" i="1"/>
  <c r="F85" i="26"/>
  <c r="J85" i="26" s="1"/>
  <c r="L85" i="26" s="1"/>
  <c r="O70" i="1"/>
  <c r="F70" i="26"/>
  <c r="J70" i="26" s="1"/>
  <c r="L70" i="26" s="1"/>
  <c r="O13" i="1"/>
  <c r="F13" i="26"/>
  <c r="J13" i="26" s="1"/>
  <c r="L13" i="26" s="1"/>
  <c r="O46" i="1"/>
  <c r="F46" i="26"/>
  <c r="J46" i="26" s="1"/>
  <c r="L46" i="26" s="1"/>
  <c r="O15" i="1"/>
  <c r="F15" i="26"/>
  <c r="J15" i="26" s="1"/>
  <c r="L15" i="26" s="1"/>
  <c r="O79" i="1"/>
  <c r="F79" i="26"/>
  <c r="J79" i="26" s="1"/>
  <c r="L79" i="26" s="1"/>
  <c r="O58" i="1"/>
  <c r="F58" i="26"/>
  <c r="J58" i="26" s="1"/>
  <c r="L58" i="26" s="1"/>
  <c r="O112" i="1"/>
  <c r="F112" i="26"/>
  <c r="J112" i="26" s="1"/>
  <c r="L112" i="26" s="1"/>
  <c r="O114" i="1"/>
  <c r="F114" i="26"/>
  <c r="J114" i="26" s="1"/>
  <c r="L114" i="26" s="1"/>
  <c r="O150" i="1"/>
  <c r="F150" i="26"/>
  <c r="J150" i="26" s="1"/>
  <c r="L150" i="26" s="1"/>
  <c r="O206" i="1"/>
  <c r="F206" i="26"/>
  <c r="J206" i="26" s="1"/>
  <c r="L206" i="26" s="1"/>
  <c r="O39" i="1"/>
  <c r="F39" i="26"/>
  <c r="J39" i="26" s="1"/>
  <c r="L39" i="26" s="1"/>
  <c r="O188" i="1"/>
  <c r="F188" i="26"/>
  <c r="J188" i="26" s="1"/>
  <c r="L188" i="26" s="1"/>
  <c r="O61" i="1"/>
  <c r="F61" i="26"/>
  <c r="J61" i="26" s="1"/>
  <c r="L61" i="26" s="1"/>
  <c r="O161" i="1"/>
  <c r="F161" i="26"/>
  <c r="J161" i="26" s="1"/>
  <c r="L161" i="26" s="1"/>
  <c r="O43" i="1"/>
  <c r="F43" i="26"/>
  <c r="J43" i="26" s="1"/>
  <c r="L43" i="26" s="1"/>
  <c r="O9" i="1"/>
  <c r="F9" i="26"/>
  <c r="J9" i="26" s="1"/>
  <c r="L9" i="26" s="1"/>
  <c r="O25" i="1"/>
  <c r="F25" i="26"/>
  <c r="J25" i="26" s="1"/>
  <c r="L25" i="26" s="1"/>
  <c r="O116" i="1"/>
  <c r="F116" i="26"/>
  <c r="J116" i="26" s="1"/>
  <c r="L116" i="26" s="1"/>
  <c r="O11" i="1"/>
  <c r="F11" i="26"/>
  <c r="J11" i="26" s="1"/>
  <c r="L11" i="26" s="1"/>
  <c r="O26" i="1"/>
  <c r="F26" i="26"/>
  <c r="J26" i="26" s="1"/>
  <c r="L26" i="26" s="1"/>
  <c r="O55" i="1"/>
  <c r="F55" i="26"/>
  <c r="J55" i="26" s="1"/>
  <c r="L55" i="26" s="1"/>
  <c r="O49" i="1"/>
  <c r="F49" i="26"/>
  <c r="J49" i="26" s="1"/>
  <c r="L49" i="26" s="1"/>
  <c r="O127" i="1"/>
  <c r="F127" i="26"/>
  <c r="J127" i="26" s="1"/>
  <c r="L127" i="26" s="1"/>
  <c r="O96" i="1"/>
  <c r="F96" i="26"/>
  <c r="J96" i="26" s="1"/>
  <c r="L96" i="26" s="1"/>
  <c r="O118" i="1"/>
  <c r="F118" i="26"/>
  <c r="J118" i="26" s="1"/>
  <c r="L118" i="26" s="1"/>
  <c r="O223" i="1"/>
  <c r="F223" i="26"/>
  <c r="J223" i="26" s="1"/>
  <c r="L223" i="26" s="1"/>
  <c r="O109" i="1"/>
  <c r="F109" i="26"/>
  <c r="J109" i="26" s="1"/>
  <c r="L109" i="26" s="1"/>
  <c r="O183" i="1"/>
  <c r="F183" i="26"/>
  <c r="J183" i="26" s="1"/>
  <c r="L183" i="26" s="1"/>
  <c r="O228" i="1"/>
  <c r="F228" i="26"/>
  <c r="J228" i="26" s="1"/>
  <c r="L228" i="26" s="1"/>
  <c r="O149" i="1"/>
  <c r="F149" i="26"/>
  <c r="J149" i="26" s="1"/>
  <c r="L149" i="26" s="1"/>
  <c r="O53" i="1"/>
  <c r="F53" i="26"/>
  <c r="J53" i="26" s="1"/>
  <c r="L53" i="26" s="1"/>
  <c r="O175" i="1"/>
  <c r="F175" i="26"/>
  <c r="J175" i="26" s="1"/>
  <c r="L175" i="26" s="1"/>
  <c r="O27" i="1"/>
  <c r="F27" i="26"/>
  <c r="J27" i="26" s="1"/>
  <c r="L27" i="26" s="1"/>
  <c r="O8" i="1"/>
  <c r="F8" i="26"/>
  <c r="J8" i="26" s="1"/>
  <c r="L8" i="26" s="1"/>
  <c r="O203" i="1"/>
  <c r="F203" i="26"/>
  <c r="J203" i="26" s="1"/>
  <c r="L203" i="26" s="1"/>
  <c r="O51" i="1"/>
  <c r="F51" i="26"/>
  <c r="J51" i="26" s="1"/>
  <c r="L51" i="26" s="1"/>
  <c r="O7" i="1"/>
  <c r="F7" i="26"/>
  <c r="J7" i="26" s="1"/>
  <c r="L7" i="26" s="1"/>
  <c r="O30" i="1"/>
  <c r="F30" i="26"/>
  <c r="J30" i="26" s="1"/>
  <c r="L30" i="26" s="1"/>
  <c r="O18" i="1"/>
  <c r="F18" i="26"/>
  <c r="J18" i="26" s="1"/>
  <c r="L18" i="26" s="1"/>
  <c r="O101" i="1"/>
  <c r="F101" i="26"/>
  <c r="J101" i="26" s="1"/>
  <c r="L101" i="26" s="1"/>
  <c r="O113" i="1"/>
  <c r="F113" i="26"/>
  <c r="J113" i="26" s="1"/>
  <c r="L113" i="26" s="1"/>
  <c r="O74" i="1"/>
  <c r="F74" i="26"/>
  <c r="J74" i="26" s="1"/>
  <c r="L74" i="26" s="1"/>
  <c r="O125" i="1"/>
  <c r="F125" i="26"/>
  <c r="J125" i="26" s="1"/>
  <c r="L125" i="26" s="1"/>
  <c r="O42" i="1"/>
  <c r="F42" i="26"/>
  <c r="J42" i="26" s="1"/>
  <c r="L42" i="26" s="1"/>
  <c r="O82" i="1"/>
  <c r="F82" i="26"/>
  <c r="J82" i="26" s="1"/>
  <c r="L82" i="26" s="1"/>
  <c r="O164" i="1"/>
  <c r="F164" i="26"/>
  <c r="J164" i="26" s="1"/>
  <c r="L164" i="26" s="1"/>
  <c r="O105" i="1"/>
  <c r="F105" i="26"/>
  <c r="J105" i="26" s="1"/>
  <c r="L105" i="26" s="1"/>
  <c r="O56" i="1"/>
  <c r="F56" i="26"/>
  <c r="J56" i="26" s="1"/>
  <c r="L56" i="26" s="1"/>
  <c r="O66" i="1"/>
  <c r="F66" i="26"/>
  <c r="J66" i="26" s="1"/>
  <c r="L66" i="26" s="1"/>
  <c r="O133" i="1"/>
  <c r="F133" i="26"/>
  <c r="J133" i="26" s="1"/>
  <c r="L133" i="26" s="1"/>
  <c r="O126" i="1"/>
  <c r="F126" i="26"/>
  <c r="J126" i="26" s="1"/>
  <c r="L126" i="26" s="1"/>
  <c r="O94" i="1"/>
  <c r="F94" i="26"/>
  <c r="J94" i="26" s="1"/>
  <c r="L94" i="26" s="1"/>
  <c r="O65" i="1"/>
  <c r="F65" i="26"/>
  <c r="J65" i="26" s="1"/>
  <c r="L65" i="26" s="1"/>
  <c r="O207" i="1"/>
  <c r="F207" i="26"/>
  <c r="J207" i="26" s="1"/>
  <c r="L207" i="26" s="1"/>
  <c r="O211" i="1"/>
  <c r="F211" i="26"/>
  <c r="J211" i="26" s="1"/>
  <c r="L211" i="26" s="1"/>
  <c r="O166" i="1"/>
  <c r="F166" i="26"/>
  <c r="J166" i="26" s="1"/>
  <c r="L166" i="26" s="1"/>
  <c r="O136" i="1"/>
  <c r="F136" i="26"/>
  <c r="J136" i="26" s="1"/>
  <c r="L136" i="26" s="1"/>
  <c r="O86" i="1"/>
  <c r="F86" i="26"/>
  <c r="J86" i="26" s="1"/>
  <c r="L86" i="26" s="1"/>
  <c r="O80" i="1"/>
  <c r="F80" i="26"/>
  <c r="J80" i="26" s="1"/>
  <c r="L80" i="26" s="1"/>
  <c r="O111" i="1"/>
  <c r="F111" i="26"/>
  <c r="J111" i="26" s="1"/>
  <c r="L111" i="26" s="1"/>
  <c r="O21" i="1"/>
  <c r="F21" i="26"/>
  <c r="J21" i="26" s="1"/>
  <c r="L21" i="26" s="1"/>
  <c r="O162" i="1"/>
  <c r="F162" i="26"/>
  <c r="J162" i="26" s="1"/>
  <c r="L162" i="26" s="1"/>
  <c r="O212" i="1"/>
  <c r="F212" i="26"/>
  <c r="J212" i="26" s="1"/>
  <c r="L212" i="26" s="1"/>
  <c r="O180" i="1"/>
  <c r="F180" i="26"/>
  <c r="J180" i="26" s="1"/>
  <c r="L180" i="26" s="1"/>
  <c r="O154" i="1"/>
  <c r="F154" i="26"/>
  <c r="J154" i="26" s="1"/>
  <c r="L154" i="26" s="1"/>
  <c r="O107" i="1"/>
  <c r="F107" i="26"/>
  <c r="J107" i="26" s="1"/>
  <c r="L107" i="26" s="1"/>
  <c r="O95" i="1"/>
  <c r="F95" i="26"/>
  <c r="J95" i="26" s="1"/>
  <c r="L95" i="26" s="1"/>
  <c r="O147" i="1"/>
  <c r="F147" i="26"/>
  <c r="J147" i="26" s="1"/>
  <c r="L147" i="26" s="1"/>
  <c r="O195" i="1"/>
  <c r="F195" i="26"/>
  <c r="J195" i="26" s="1"/>
  <c r="L195" i="26" s="1"/>
  <c r="O122" i="1"/>
  <c r="F122" i="26"/>
  <c r="J122" i="26" s="1"/>
  <c r="L122" i="26" s="1"/>
  <c r="O224" i="1"/>
  <c r="F224" i="26"/>
  <c r="J224" i="26" s="1"/>
  <c r="L224" i="26" s="1"/>
  <c r="O185" i="1"/>
  <c r="F185" i="26"/>
  <c r="J185" i="26" s="1"/>
  <c r="L185" i="26" s="1"/>
  <c r="O213" i="1"/>
  <c r="F213" i="26"/>
  <c r="J213" i="26" s="1"/>
  <c r="L213" i="26" s="1"/>
  <c r="O186" i="1"/>
  <c r="F186" i="26"/>
  <c r="J186" i="26" s="1"/>
  <c r="L186" i="26" s="1"/>
  <c r="O168" i="1"/>
  <c r="F168" i="26"/>
  <c r="J168" i="26" s="1"/>
  <c r="L168" i="26" s="1"/>
  <c r="O145" i="1"/>
  <c r="F145" i="26"/>
  <c r="J145" i="26" s="1"/>
  <c r="L145" i="26" s="1"/>
  <c r="O119" i="1"/>
  <c r="F119" i="26"/>
  <c r="J119" i="26" s="1"/>
  <c r="L119" i="26" s="1"/>
  <c r="O108" i="1"/>
  <c r="F108" i="26"/>
  <c r="J108" i="26" s="1"/>
  <c r="L108" i="26" s="1"/>
  <c r="O120" i="1"/>
  <c r="F120" i="26"/>
  <c r="J120" i="26" s="1"/>
  <c r="L120" i="26" s="1"/>
  <c r="O158" i="1"/>
  <c r="F158" i="26"/>
  <c r="J158" i="26" s="1"/>
  <c r="L158" i="26" s="1"/>
  <c r="O139" i="1"/>
  <c r="F139" i="26"/>
  <c r="J139" i="26" s="1"/>
  <c r="L139" i="26" s="1"/>
  <c r="O28" i="1"/>
  <c r="F28" i="26"/>
  <c r="J28" i="26" s="1"/>
  <c r="L28" i="26" s="1"/>
  <c r="O194" i="1"/>
  <c r="F194" i="26"/>
  <c r="J194" i="26" s="1"/>
  <c r="L194" i="26" s="1"/>
  <c r="O44" i="1"/>
  <c r="F44" i="26"/>
  <c r="J44" i="26" s="1"/>
  <c r="L44" i="26" s="1"/>
  <c r="O187" i="1"/>
  <c r="F187" i="26"/>
  <c r="J187" i="26" s="1"/>
  <c r="L187" i="26" s="1"/>
  <c r="O189" i="1"/>
  <c r="F189" i="26"/>
  <c r="J189" i="26" s="1"/>
  <c r="L189" i="26" s="1"/>
  <c r="O34" i="1"/>
  <c r="F34" i="26"/>
  <c r="J34" i="26" s="1"/>
  <c r="L34" i="26" s="1"/>
  <c r="O202" i="1"/>
  <c r="F202" i="26"/>
  <c r="J202" i="26" s="1"/>
  <c r="L202" i="26" s="1"/>
  <c r="O204" i="1"/>
  <c r="F204" i="26"/>
  <c r="J204" i="26" s="1"/>
  <c r="L204" i="26" s="1"/>
  <c r="O40" i="1"/>
  <c r="F40" i="26"/>
  <c r="J40" i="26" s="1"/>
  <c r="L40" i="26" s="1"/>
  <c r="O54" i="1"/>
  <c r="F54" i="26"/>
  <c r="J54" i="26" s="1"/>
  <c r="L54" i="26" s="1"/>
  <c r="O219" i="1"/>
  <c r="F219" i="26"/>
  <c r="J219" i="26" s="1"/>
  <c r="L219" i="26" s="1"/>
  <c r="O5" i="1"/>
  <c r="F5" i="26"/>
  <c r="J5" i="26" s="1"/>
  <c r="L5" i="26" s="1"/>
  <c r="O69" i="1"/>
  <c r="F69" i="26"/>
  <c r="J69" i="26" s="1"/>
  <c r="L69" i="26" s="1"/>
  <c r="O193" i="1"/>
  <c r="F193" i="26"/>
  <c r="J193" i="26" s="1"/>
  <c r="L193" i="26" s="1"/>
  <c r="O73" i="1"/>
  <c r="F73" i="26"/>
  <c r="J73" i="26" s="1"/>
  <c r="L73" i="26" s="1"/>
  <c r="O76" i="1"/>
  <c r="F76" i="26"/>
  <c r="J76" i="26" s="1"/>
  <c r="L76" i="26" s="1"/>
  <c r="O36" i="1"/>
  <c r="F36" i="26"/>
  <c r="J36" i="26" s="1"/>
  <c r="L36" i="26" s="1"/>
  <c r="O81" i="1"/>
  <c r="F81" i="26"/>
  <c r="J81" i="26" s="1"/>
  <c r="L81" i="26" s="1"/>
  <c r="O128" i="1"/>
  <c r="F128" i="26"/>
  <c r="J128" i="26" s="1"/>
  <c r="L128" i="26" s="1"/>
  <c r="O57" i="1"/>
  <c r="F57" i="26"/>
  <c r="J57" i="26" s="1"/>
  <c r="L57" i="26" s="1"/>
  <c r="O179" i="1"/>
  <c r="F179" i="26"/>
  <c r="J179" i="26" s="1"/>
  <c r="L179" i="26" s="1"/>
  <c r="O144" i="1"/>
  <c r="F144" i="26"/>
  <c r="J144" i="26" s="1"/>
  <c r="L144" i="26" s="1"/>
  <c r="O71" i="1"/>
  <c r="F71" i="26"/>
  <c r="J71" i="26" s="1"/>
  <c r="L71" i="26" s="1"/>
  <c r="O141" i="1"/>
  <c r="F141" i="26"/>
  <c r="J141" i="26" s="1"/>
  <c r="L141" i="26" s="1"/>
  <c r="O143" i="1"/>
  <c r="F143" i="26"/>
  <c r="J143" i="26" s="1"/>
  <c r="L143" i="26" s="1"/>
  <c r="O106" i="1"/>
  <c r="F106" i="26"/>
  <c r="J106" i="26" s="1"/>
  <c r="L106" i="26" s="1"/>
  <c r="O87" i="1"/>
  <c r="F87" i="26"/>
  <c r="J87" i="26" s="1"/>
  <c r="L87" i="26" s="1"/>
  <c r="O165" i="1"/>
  <c r="F165" i="26"/>
  <c r="J165" i="26" s="1"/>
  <c r="L165" i="26" s="1"/>
  <c r="O167" i="1"/>
  <c r="F167" i="26"/>
  <c r="J167" i="26" s="1"/>
  <c r="L167" i="26" s="1"/>
  <c r="O129" i="1"/>
  <c r="F129" i="26"/>
  <c r="J129" i="26" s="1"/>
  <c r="L129" i="26" s="1"/>
  <c r="O121" i="1"/>
  <c r="F121" i="26"/>
  <c r="J121" i="26" s="1"/>
  <c r="L121" i="26" s="1"/>
  <c r="O123" i="1"/>
  <c r="F123" i="26"/>
  <c r="J123" i="26" s="1"/>
  <c r="L123" i="26" s="1"/>
  <c r="O160" i="1"/>
  <c r="F160" i="26"/>
  <c r="J160" i="26" s="1"/>
  <c r="L160" i="26" s="1"/>
  <c r="O198" i="1"/>
  <c r="F198" i="26"/>
  <c r="J198" i="26" s="1"/>
  <c r="L198" i="26" s="1"/>
  <c r="O226" i="1"/>
  <c r="F226" i="26"/>
  <c r="J226" i="26" s="1"/>
  <c r="L226" i="26" s="1"/>
  <c r="O199" i="1"/>
  <c r="F199" i="26"/>
  <c r="J199" i="26" s="1"/>
  <c r="L199" i="26" s="1"/>
  <c r="O181" i="1"/>
  <c r="F181" i="26"/>
  <c r="J181" i="26" s="1"/>
  <c r="L181" i="26" s="1"/>
  <c r="O169" i="1"/>
  <c r="F169" i="26"/>
  <c r="J169" i="26" s="1"/>
  <c r="L169" i="26" s="1"/>
  <c r="O137" i="1"/>
  <c r="F137" i="26"/>
  <c r="J137" i="26" s="1"/>
  <c r="L137" i="26" s="1"/>
  <c r="O130" i="1"/>
  <c r="F130" i="26"/>
  <c r="J130" i="26" s="1"/>
  <c r="L130" i="26" s="1"/>
  <c r="O138" i="1"/>
  <c r="F138" i="26"/>
  <c r="J138" i="26" s="1"/>
  <c r="L138" i="26" s="1"/>
  <c r="O173" i="1"/>
  <c r="F173" i="26"/>
  <c r="J173" i="26" s="1"/>
  <c r="L173" i="26" s="1"/>
  <c r="O159" i="1"/>
  <c r="F159" i="26"/>
  <c r="J159" i="26" s="1"/>
  <c r="L159" i="26" s="1"/>
  <c r="O50" i="1"/>
  <c r="F50" i="26"/>
  <c r="J50" i="26" s="1"/>
  <c r="L50" i="26" s="1"/>
  <c r="O210" i="1"/>
  <c r="F210" i="26"/>
  <c r="J210" i="26" s="1"/>
  <c r="L210" i="26" s="1"/>
  <c r="O216" i="1"/>
  <c r="F216" i="26"/>
  <c r="J216" i="26" s="1"/>
  <c r="L216" i="26" s="1"/>
  <c r="O171" i="1"/>
  <c r="F171" i="26"/>
  <c r="J171" i="26" s="1"/>
  <c r="L171" i="26" s="1"/>
  <c r="O75" i="1"/>
  <c r="F75" i="26"/>
  <c r="J75" i="26" s="1"/>
  <c r="L75" i="26" s="1"/>
  <c r="O89" i="1"/>
  <c r="F89" i="26"/>
  <c r="J89" i="26" s="1"/>
  <c r="L89" i="26" s="1"/>
  <c r="O29" i="1"/>
  <c r="F29" i="26"/>
  <c r="J29" i="26" s="1"/>
  <c r="L29" i="26" s="1"/>
  <c r="O83" i="1"/>
  <c r="F83" i="26"/>
  <c r="J83" i="26" s="1"/>
  <c r="L83" i="26" s="1"/>
  <c r="O209" i="1"/>
  <c r="F209" i="26"/>
  <c r="J209" i="26" s="1"/>
  <c r="L209" i="26" s="1"/>
  <c r="O218" i="1"/>
  <c r="F218" i="26"/>
  <c r="J218" i="26" s="1"/>
  <c r="L218" i="26" s="1"/>
  <c r="O178" i="1"/>
  <c r="F178" i="26"/>
  <c r="J178" i="26" s="1"/>
  <c r="L178" i="26" s="1"/>
  <c r="O68" i="1"/>
  <c r="F68" i="26"/>
  <c r="J68" i="26" s="1"/>
  <c r="L68" i="26" s="1"/>
  <c r="O163" i="1"/>
  <c r="F163" i="26"/>
  <c r="J163" i="26" s="1"/>
  <c r="L163" i="26" s="1"/>
  <c r="O48" i="1"/>
  <c r="F48" i="26"/>
  <c r="J48" i="26" s="1"/>
  <c r="L48" i="26" s="1"/>
  <c r="O134" i="1"/>
  <c r="F134" i="26"/>
  <c r="J134" i="26" s="1"/>
  <c r="L134" i="26" s="1"/>
  <c r="O77" i="1"/>
  <c r="F77" i="26"/>
  <c r="J77" i="26" s="1"/>
  <c r="L77" i="26" s="1"/>
  <c r="O16" i="1"/>
  <c r="F16" i="26"/>
  <c r="J16" i="26" s="1"/>
  <c r="L16" i="26" s="1"/>
  <c r="O184" i="1"/>
  <c r="F184" i="26"/>
  <c r="J184" i="26" s="1"/>
  <c r="L184" i="26" s="1"/>
  <c r="O135" i="1"/>
  <c r="F135" i="26"/>
  <c r="J135" i="26" s="1"/>
  <c r="L135" i="26" s="1"/>
  <c r="O78" i="1"/>
  <c r="F78" i="26"/>
  <c r="J78" i="26" s="1"/>
  <c r="L78" i="26" s="1"/>
  <c r="O14" i="1"/>
  <c r="F14" i="26"/>
  <c r="J14" i="26" s="1"/>
  <c r="L14" i="26" s="1"/>
  <c r="O140" i="1"/>
  <c r="F140" i="26"/>
  <c r="J140" i="26" s="1"/>
  <c r="L140" i="26" s="1"/>
  <c r="O196" i="1"/>
  <c r="F196" i="26"/>
  <c r="J196" i="26" s="1"/>
  <c r="L196" i="26" s="1"/>
  <c r="O152" i="1"/>
  <c r="F152" i="26"/>
  <c r="J152" i="26" s="1"/>
  <c r="L152" i="26" s="1"/>
  <c r="O64" i="1"/>
  <c r="F64" i="26"/>
  <c r="J64" i="26" s="1"/>
  <c r="L64" i="26" s="1"/>
  <c r="O110" i="1"/>
  <c r="F110" i="26"/>
  <c r="J110" i="26" s="1"/>
  <c r="L110" i="26" s="1"/>
  <c r="O88" i="1"/>
  <c r="F88" i="26"/>
  <c r="J88" i="26" s="1"/>
  <c r="L88" i="26" s="1"/>
  <c r="O197" i="1"/>
  <c r="F197" i="26"/>
  <c r="J197" i="26" s="1"/>
  <c r="L197" i="26" s="1"/>
  <c r="O153" i="1"/>
  <c r="F153" i="26"/>
  <c r="J153" i="26" s="1"/>
  <c r="L153" i="26" s="1"/>
  <c r="O131" i="1"/>
  <c r="F131" i="26"/>
  <c r="J131" i="26" s="1"/>
  <c r="L131" i="26" s="1"/>
  <c r="O31" i="1"/>
  <c r="F31" i="26"/>
  <c r="J31" i="26" s="1"/>
  <c r="L31" i="26" s="1"/>
  <c r="O33" i="1"/>
  <c r="F33" i="26"/>
  <c r="J33" i="26" s="1"/>
  <c r="L33" i="26" s="1"/>
  <c r="O221" i="1"/>
  <c r="F221" i="26"/>
  <c r="J221" i="26" s="1"/>
  <c r="L221" i="26" s="1"/>
  <c r="O225" i="1"/>
  <c r="F225" i="26"/>
  <c r="J225" i="26" s="1"/>
  <c r="L225" i="26" s="1"/>
  <c r="K22" i="1"/>
  <c r="E22" i="26"/>
  <c r="O214" i="1"/>
  <c r="F214" i="26"/>
  <c r="J214" i="26" s="1"/>
  <c r="L214" i="26" s="1"/>
  <c r="O200" i="1"/>
  <c r="F200" i="26"/>
  <c r="J200" i="26" s="1"/>
  <c r="L200" i="26" s="1"/>
  <c r="O182" i="1"/>
  <c r="F182" i="26"/>
  <c r="J182" i="26" s="1"/>
  <c r="L182" i="26" s="1"/>
  <c r="O155" i="1"/>
  <c r="F155" i="26"/>
  <c r="J155" i="26" s="1"/>
  <c r="L155" i="26" s="1"/>
  <c r="O146" i="1"/>
  <c r="F146" i="26"/>
  <c r="J146" i="26" s="1"/>
  <c r="L146" i="26" s="1"/>
  <c r="O157" i="1"/>
  <c r="F157" i="26"/>
  <c r="J157" i="26" s="1"/>
  <c r="L157" i="26" s="1"/>
  <c r="O190" i="1"/>
  <c r="F190" i="26"/>
  <c r="J190" i="26" s="1"/>
  <c r="L190" i="26" s="1"/>
  <c r="O174" i="1"/>
  <c r="F174" i="26"/>
  <c r="J174" i="26" s="1"/>
  <c r="L174" i="26" s="1"/>
  <c r="O19" i="1"/>
  <c r="F19" i="26"/>
  <c r="J19" i="26" s="1"/>
  <c r="L19" i="26" s="1"/>
  <c r="O10" i="1"/>
  <c r="F10" i="26"/>
  <c r="J10" i="26" s="1"/>
  <c r="L10" i="26" s="1"/>
  <c r="O2" i="1"/>
  <c r="F2" i="26"/>
  <c r="J2" i="26" s="1"/>
  <c r="L2" i="26" s="1"/>
  <c r="O32" i="1"/>
  <c r="F32" i="26"/>
  <c r="J32" i="26" s="1"/>
  <c r="L32" i="26" s="1"/>
  <c r="O3" i="1"/>
  <c r="F3" i="26"/>
  <c r="J3" i="26" s="1"/>
  <c r="L3" i="26" s="1"/>
  <c r="O132" i="1"/>
  <c r="F132" i="26"/>
  <c r="J132" i="26" s="1"/>
  <c r="L132" i="26" s="1"/>
  <c r="O38" i="1"/>
  <c r="F38" i="26"/>
  <c r="J38" i="26" s="1"/>
  <c r="L38" i="26" s="1"/>
  <c r="O217" i="1"/>
  <c r="F217" i="26"/>
  <c r="J217" i="26" s="1"/>
  <c r="L217" i="26" s="1"/>
  <c r="O100" i="1"/>
  <c r="F100" i="26"/>
  <c r="J100" i="26" s="1"/>
  <c r="L100" i="26" s="1"/>
  <c r="O20" i="1"/>
  <c r="F20" i="26"/>
  <c r="J20" i="26" s="1"/>
  <c r="L20" i="26" s="1"/>
  <c r="O4" i="1"/>
  <c r="F4" i="26"/>
  <c r="J4" i="26" s="1"/>
  <c r="L4" i="26" s="1"/>
  <c r="O6" i="1"/>
  <c r="F6" i="26"/>
  <c r="J6" i="26" s="1"/>
  <c r="L6" i="26" s="1"/>
  <c r="O37" i="1"/>
  <c r="F37" i="26"/>
  <c r="J37" i="26" s="1"/>
  <c r="L37" i="26" s="1"/>
  <c r="O115" i="1"/>
  <c r="F115" i="26"/>
  <c r="J115" i="26" s="1"/>
  <c r="L115" i="26" s="1"/>
  <c r="O220" i="1"/>
  <c r="F220" i="26"/>
  <c r="J220" i="26" s="1"/>
  <c r="L220" i="26" s="1"/>
  <c r="O208" i="1"/>
  <c r="F208" i="26"/>
  <c r="J208" i="26" s="1"/>
  <c r="L208" i="26" s="1"/>
  <c r="O227" i="1"/>
  <c r="F227" i="26"/>
  <c r="J227" i="26" s="1"/>
  <c r="L227" i="26" s="1"/>
  <c r="O215" i="1"/>
  <c r="F215" i="26"/>
  <c r="J215" i="26" s="1"/>
  <c r="L215" i="26" s="1"/>
  <c r="O201" i="1"/>
  <c r="F201" i="26"/>
  <c r="J201" i="26" s="1"/>
  <c r="L201" i="26" s="1"/>
  <c r="O170" i="1"/>
  <c r="F170" i="26"/>
  <c r="J170" i="26" s="1"/>
  <c r="L170" i="26" s="1"/>
  <c r="O156" i="1"/>
  <c r="F156" i="26"/>
  <c r="J156" i="26" s="1"/>
  <c r="L156" i="26" s="1"/>
  <c r="O172" i="1"/>
  <c r="F172" i="26"/>
  <c r="J172" i="26" s="1"/>
  <c r="L172" i="26" s="1"/>
  <c r="O205" i="1"/>
  <c r="F205" i="26"/>
  <c r="J205" i="26" s="1"/>
  <c r="L205" i="26" s="1"/>
  <c r="O191" i="1"/>
  <c r="F191" i="26"/>
  <c r="J191" i="26" s="1"/>
  <c r="L191" i="26" s="1"/>
  <c r="O59" i="1"/>
  <c r="F59" i="26"/>
  <c r="J59" i="26" s="1"/>
  <c r="L59" i="26" s="1"/>
  <c r="O60" i="1"/>
  <c r="F60" i="26"/>
  <c r="J60" i="26" s="1"/>
  <c r="L60" i="26" s="1"/>
  <c r="O22" i="1" l="1"/>
  <c r="F22" i="26"/>
  <c r="J22" i="26" s="1"/>
  <c r="L22" i="26" s="1"/>
  <c r="L251" i="26" s="1"/>
</calcChain>
</file>

<file path=xl/sharedStrings.xml><?xml version="1.0" encoding="utf-8"?>
<sst xmlns="http://schemas.openxmlformats.org/spreadsheetml/2006/main" count="10533" uniqueCount="5606">
  <si>
    <t>Code</t>
  </si>
  <si>
    <t>Description</t>
  </si>
  <si>
    <t>Category</t>
  </si>
  <si>
    <t>Current Stock</t>
  </si>
  <si>
    <t>Lead Time (months)</t>
  </si>
  <si>
    <t>Safety Factor (months)</t>
  </si>
  <si>
    <t>Review Period (months)</t>
  </si>
  <si>
    <t>Safety Stock</t>
  </si>
  <si>
    <t>Lead Time Demand</t>
  </si>
  <si>
    <t>Reorder Point (ROP)</t>
  </si>
  <si>
    <t>Maximum Stock (MAX)</t>
  </si>
  <si>
    <t>On Order</t>
  </si>
  <si>
    <t>Order Quantity</t>
  </si>
  <si>
    <t>M10*16 HT HEX SET SCREW Z/BLUE</t>
  </si>
  <si>
    <t>FASTENERS</t>
  </si>
  <si>
    <t>M12*40 HT HEX SET SCREW Z/BLUE</t>
  </si>
  <si>
    <t>M12*60 HT HEX SET SCREW Z/BLUE</t>
  </si>
  <si>
    <t>M12*90 HT HEX SET SCREW Z/BLUE</t>
  </si>
  <si>
    <t>M16*100 HT HEX SET SCREW Z/BLUE</t>
  </si>
  <si>
    <t>M5 HT HEX NUT Z/BLUE</t>
  </si>
  <si>
    <t>M12 HT NYLOCK NUT</t>
  </si>
  <si>
    <t>M6 HT NYLOCK NUT</t>
  </si>
  <si>
    <t>M12 HEX NUT ZINC BLUE</t>
  </si>
  <si>
    <t xml:space="preserve">M10 FLAT WASHER </t>
  </si>
  <si>
    <t>M10 FLAT WASHER DIN 125A ZINC BLUE (10 .5i/dx20o/dxthk) 10 125A ZB</t>
  </si>
  <si>
    <t>M10 HEX NUT ZB</t>
  </si>
  <si>
    <t>M10 DIN 934 GRADE 8.8 HEX NUT Z/BLUE 10 934 GR8 ZB</t>
  </si>
  <si>
    <t>M10 Nylock Nut</t>
  </si>
  <si>
    <t>M10 Nylock Nut Zinc Blue(Silver)</t>
  </si>
  <si>
    <t>M10*25 HT HEX SET SCREW ZB</t>
  </si>
  <si>
    <t>M10*25 HT HEX SET SCREW Z/BLUE 10X25 933 8.8 ZB</t>
  </si>
  <si>
    <t>M10X25X2 FLAT WASHER</t>
  </si>
  <si>
    <t>M10X25X2 FLAT WASHER Z/BLUE 10X25X2 OLD ZB</t>
  </si>
  <si>
    <t>M10X35</t>
  </si>
  <si>
    <t>M10X35 HT HEX SET SCREWS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</si>
  <si>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</si>
  <si>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</si>
  <si>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</si>
  <si>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</si>
  <si>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</si>
  <si>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</si>
  <si>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M12*20 HT HEX SET SCREW ZB</t>
  </si>
  <si>
    <t>M12*20 HT HEX SET SCREW Z/BLUE 12X20 933 8.8 ZB</t>
  </si>
  <si>
    <t>M12X16</t>
  </si>
  <si>
    <t>M12X16 HT HEX SET SCREWS</t>
  </si>
  <si>
    <t>M12X25</t>
  </si>
  <si>
    <t>M12*25 HT HEX SET SCREW Z/BLUE 12X25 933 8.8 ZB</t>
  </si>
  <si>
    <t>M12X30X3 FLAT WASHER ZB</t>
  </si>
  <si>
    <t>M12X30X3 FLAT WASHER Z/BLUE</t>
  </si>
  <si>
    <t>M12X35</t>
  </si>
  <si>
    <t>M12X35 HT Hex Set Screws</t>
  </si>
  <si>
    <t>M14 HT NYLOCK NUT</t>
  </si>
  <si>
    <t>M14 HT NYLOCK NUT 14 985 GR8</t>
  </si>
  <si>
    <t>M16 FLAT WASHER  ZB</t>
  </si>
  <si>
    <t>M16 FLAT WASHER DIN 125A ZINC BLUE (17i/d X 30o/d 3thk) 16 125A ZB</t>
  </si>
  <si>
    <t>M16 HEX NUT ZB</t>
  </si>
  <si>
    <t>M16 GR8 HEX NUT Z/BLUE 16 934 GR8 ZB</t>
  </si>
  <si>
    <t>M16 HT NYLOCK NUT</t>
  </si>
  <si>
    <t>M16*120 HT HEX SET SCREW</t>
  </si>
  <si>
    <t>M16*120 HT HEX SET SCREW 16X120 933 8.8</t>
  </si>
  <si>
    <t>M16*16</t>
  </si>
  <si>
    <t>M16*16 Hex Set Screws</t>
  </si>
  <si>
    <t>M16*25</t>
  </si>
  <si>
    <t>M16*25 Hex Set Screws</t>
  </si>
  <si>
    <t>M16X1 THREADED ROD ZB</t>
  </si>
  <si>
    <t>M16X1 THREADED ROD 8 . 8 ZINC BLUE 16X1 975 8 .8 ZB</t>
  </si>
  <si>
    <t>M16X90</t>
  </si>
  <si>
    <t>M16X90 HT HEX SET SCREWS Z/BLUE</t>
  </si>
  <si>
    <t>M5*16 HT HEX SET SCREW ZB</t>
  </si>
  <si>
    <t>M5*16 HT HEX SET SCREW Z/BLUE 5X16 933 8.8 ZB</t>
  </si>
  <si>
    <t xml:space="preserve">M5*45 HT HEX SET SCREW </t>
  </si>
  <si>
    <t>M5*45 HT HEX SET SCREW 5X45 933 8 . 8</t>
  </si>
  <si>
    <t>M5X16X1.5 Flat washer</t>
  </si>
  <si>
    <t>M5X16X1.5 HT Flat washer</t>
  </si>
  <si>
    <t>M6 FLAT WASHER ZB</t>
  </si>
  <si>
    <t>M6 (6.4 X12X1.6) FLAT WASHER DIN 125A ZINC BLUE</t>
  </si>
  <si>
    <t>M6 HT HEX NUT ZB</t>
  </si>
  <si>
    <t>M6 HT HEX NUT Z/BLUE 6 934 GR8 ZB</t>
  </si>
  <si>
    <t>M6*16 HT HEX SET SCREW</t>
  </si>
  <si>
    <t>M6*16 HT HEX SET SCREW ENVIROPAS 6X16 933 8.8 EN</t>
  </si>
  <si>
    <t>M6*25</t>
  </si>
  <si>
    <t>M6*25 HT HEX SET SCREW S/S A2</t>
  </si>
  <si>
    <t>M6*35 HT SET SCREW ZB</t>
  </si>
  <si>
    <t>M6*35 HT SET SCREW Z/BLUE 6X35 933 8.8 ZB</t>
  </si>
  <si>
    <t>M6X20X2  FLAT WASHER ZB</t>
  </si>
  <si>
    <t>M6x20x2 - Flat Washer Zinc Blue</t>
  </si>
  <si>
    <t>M8 . 4*20*3 FLAT WASHER ZB</t>
  </si>
  <si>
    <t>M8 . 4*20*3 FLAT WASHER Z/BLUE 8X20X3 OLD ZB</t>
  </si>
  <si>
    <t>M8 FLAT WASHER ZB</t>
  </si>
  <si>
    <t>M8 FLAT WASHER DIN 125A ZINC BLUE (8 . 4ID*16OD*1.6THICK) 8 125A ZB</t>
  </si>
  <si>
    <t>M8 HEX NUT ZB</t>
  </si>
  <si>
    <t>M8 HEX NUT ZINC/BLUE</t>
  </si>
  <si>
    <t>M8 HT NYLOCK NUT</t>
  </si>
  <si>
    <t>M8 HT NYLOCK NUT 8 985 GR8</t>
  </si>
  <si>
    <t>M8*16 HT SET SCREW Z/BLUE</t>
  </si>
  <si>
    <t>M8*25 HT HEX 8.8 SET SCREW</t>
  </si>
  <si>
    <t>M8*25 HT HEX 8 . 8 SET SCREW Z/BLUE 8X25 933 8 . 8 ZB</t>
  </si>
  <si>
    <t>M8X70</t>
  </si>
  <si>
    <t>M8X70 HT HEX SET SCREWS ZINC/BLUE</t>
  </si>
  <si>
    <t>M8X75</t>
  </si>
  <si>
    <t>M8X75 HT HEX SET SCREWS ZINC/BLUE</t>
  </si>
  <si>
    <t>POZI SELF TAPPER</t>
  </si>
  <si>
    <t>No10 ( 4 . 8mm) *19 PAN/HD POZI SELF TAPPER 10X19 7981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</si>
  <si>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</si>
  <si>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</si>
  <si>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</si>
  <si>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</si>
  <si>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</si>
  <si>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</si>
  <si>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</si>
  <si>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</si>
  <si>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</si>
  <si>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C500x400</t>
  </si>
  <si>
    <t>Casing Size 500diamx400</t>
  </si>
  <si>
    <t>C500x400UG</t>
  </si>
  <si>
    <t>Casing Size 500diamx400-Ungalvanised</t>
  </si>
  <si>
    <t>C500x500</t>
  </si>
  <si>
    <t>Casing Size 500diamx500</t>
  </si>
  <si>
    <t>C500x500UG</t>
  </si>
  <si>
    <t>Casing Size 500diamx500-Ungalvanised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</si>
  <si>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</si>
  <si>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</si>
  <si>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</si>
  <si>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</si>
  <si>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</si>
  <si>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</si>
  <si>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</si>
  <si>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</si>
  <si>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</si>
  <si>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</si>
  <si>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</si>
  <si>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</si>
  <si>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C630x500</t>
  </si>
  <si>
    <t>Casing Size 630diamx500</t>
  </si>
  <si>
    <t>C630x500UG</t>
  </si>
  <si>
    <t>Casing Size 630diamx500-Ungalvanised</t>
  </si>
  <si>
    <t>C710x400</t>
  </si>
  <si>
    <t>Casing Size 710diamx400</t>
  </si>
  <si>
    <t>C710x400UG</t>
  </si>
  <si>
    <t>Casing Size 710diamx400-Ungalvanised</t>
  </si>
  <si>
    <t>C710x500</t>
  </si>
  <si>
    <t>Casing Size 710diamx500</t>
  </si>
  <si>
    <t>C710x500UG</t>
  </si>
  <si>
    <t>Casing Size 710diamx500-Ungalvanised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</si>
  <si>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</si>
  <si>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</si>
  <si>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</si>
  <si>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</si>
  <si>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</si>
  <si>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</si>
  <si>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 FM</t>
  </si>
  <si>
    <t>Casing Size 800diamx500 Foot Mount-Ungalvanised</t>
  </si>
  <si>
    <t>Casing Size 800diamx500 Foot Mount</t>
  </si>
  <si>
    <t>C800x500UG</t>
  </si>
  <si>
    <t>Casing Size 800diamx500-Ungalvanised</t>
  </si>
  <si>
    <t>C900x400</t>
  </si>
  <si>
    <t>Casing Size 900diamx400</t>
  </si>
  <si>
    <t>C900x400UG</t>
  </si>
  <si>
    <t>Casing Size 900diamx400-Ungalvanised</t>
  </si>
  <si>
    <t>CTERM-CAP</t>
  </si>
  <si>
    <t>Casing Terminal Cap</t>
  </si>
  <si>
    <t>315CF</t>
  </si>
  <si>
    <t>315 Diam Counter Flange</t>
  </si>
  <si>
    <t>FM - CFLANGE</t>
  </si>
  <si>
    <t>315CFUG</t>
  </si>
  <si>
    <t>315 Diam Counter Flange Ungalvanised</t>
  </si>
  <si>
    <t>400CF</t>
  </si>
  <si>
    <t>400 Diam Counter Flange</t>
  </si>
  <si>
    <t>400CFUG</t>
  </si>
  <si>
    <t>400 Diam Counter Flange Ungalvanised</t>
  </si>
  <si>
    <t>500CF</t>
  </si>
  <si>
    <t>500 Diam Counter Flange</t>
  </si>
  <si>
    <t>500CFUG</t>
  </si>
  <si>
    <t>500 Diam Counter Flange Ungalvanised</t>
  </si>
  <si>
    <t>535CFUG</t>
  </si>
  <si>
    <t>535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</si>
  <si>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</si>
  <si>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</si>
  <si>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</si>
  <si>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</si>
  <si>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</si>
  <si>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</si>
  <si>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</si>
  <si>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</si>
  <si>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</si>
  <si>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</si>
  <si>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</si>
  <si>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</si>
  <si>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</si>
  <si>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</si>
  <si>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</si>
  <si>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</si>
  <si>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</si>
  <si>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</si>
  <si>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315-560AVMS</t>
  </si>
  <si>
    <t>315 to 560 NDA RED ANeoprene Floor Mounts</t>
  </si>
  <si>
    <t>FM - DONKIN</t>
  </si>
  <si>
    <t>630-1000AVMS</t>
  </si>
  <si>
    <t>630 to 1000 NDB GREEN Neoprene Floor Mounts</t>
  </si>
  <si>
    <t>1609CL</t>
  </si>
  <si>
    <t>160/9 Clamp - To Suit 14mm, 19mm, 24mm and 28mm Bore Hubs</t>
  </si>
  <si>
    <t>FM - IMPELLER</t>
  </si>
  <si>
    <t>1609H14</t>
  </si>
  <si>
    <t>160/9 Hub - 14mm bore</t>
  </si>
  <si>
    <t>1609H19</t>
  </si>
  <si>
    <t>160/9 Hub - 19mm bore</t>
  </si>
  <si>
    <t>1609H24</t>
  </si>
  <si>
    <t>160/9 Hub - 24mm bore</t>
  </si>
  <si>
    <t>1609H28</t>
  </si>
  <si>
    <t>160/9 Hub - 28mm bore</t>
  </si>
  <si>
    <t>25012CL</t>
  </si>
  <si>
    <t>250/12 Clamp - To Suit 38mm and 42mm Bore Hubs</t>
  </si>
  <si>
    <t>25012H19</t>
  </si>
  <si>
    <t>250/12 Hub - 19mm bore</t>
  </si>
  <si>
    <t>25012H24</t>
  </si>
  <si>
    <t>250/12 Hub - 24mm bore</t>
  </si>
  <si>
    <t>25012H28</t>
  </si>
  <si>
    <t>250/12 Hub - 28mm bore</t>
  </si>
  <si>
    <t>25012H38</t>
  </si>
  <si>
    <t>250/12 Hub - 38mm bore</t>
  </si>
  <si>
    <t>25012H42</t>
  </si>
  <si>
    <t>250/12 Hub - 42mm bore</t>
  </si>
  <si>
    <t>Al Blades</t>
  </si>
  <si>
    <t>Aluminium Blades</t>
  </si>
  <si>
    <t>Al Blanks</t>
  </si>
  <si>
    <t>Aluminium Blanks</t>
  </si>
  <si>
    <t>Keep Plates - 165</t>
  </si>
  <si>
    <t>Keep Plate 5mm OD. 42mm, ID. 6, 10mm</t>
  </si>
  <si>
    <t>Keep Plates - 250</t>
  </si>
  <si>
    <t>Keep Plate 5mm OD. 42mm, ID. 6, 10, 12mm</t>
  </si>
  <si>
    <t>Pl Blades</t>
  </si>
  <si>
    <t>Plastic Blades</t>
  </si>
  <si>
    <t>Pl Blanks</t>
  </si>
  <si>
    <t>Plastic Blanks</t>
  </si>
  <si>
    <t>MB1000</t>
  </si>
  <si>
    <t>1000Diam Mounting Brackets (4 per set)</t>
  </si>
  <si>
    <t>FM - MBRACKET</t>
  </si>
  <si>
    <t>MB1000HD</t>
  </si>
  <si>
    <t>1000Diam Mounting Brackets Heavy Duty (4 per set)</t>
  </si>
  <si>
    <t>MB315</t>
  </si>
  <si>
    <t>315Diam Mounting Brackets (4 per set)</t>
  </si>
  <si>
    <t>MB315UG</t>
  </si>
  <si>
    <t>315Diam Mounting Brackets Ungalvanised (4 per set)</t>
  </si>
  <si>
    <t>MB400</t>
  </si>
  <si>
    <t>400Diam Mounting Brackets (4 per set)</t>
  </si>
  <si>
    <t>MB400UG</t>
  </si>
  <si>
    <t>400Diam Mounting Brackets Ungalvanised (4 per set)</t>
  </si>
  <si>
    <t>MB500</t>
  </si>
  <si>
    <t>500Diam Mounting Brackets (4 per set)</t>
  </si>
  <si>
    <t>MB500UG</t>
  </si>
  <si>
    <t>500Diam Mounting Brackets Ungalvanised (4 per set)</t>
  </si>
  <si>
    <t>MB560</t>
  </si>
  <si>
    <t>560Diam Mounting Brackets (4 per set)</t>
  </si>
  <si>
    <t>MB560UG</t>
  </si>
  <si>
    <t>560Diam Mounting Brackets Ungalvanised (4 per set)</t>
  </si>
  <si>
    <t>MB630</t>
  </si>
  <si>
    <t>630Diam Mounting Brackets (4 per set)</t>
  </si>
  <si>
    <t>MB630UG</t>
  </si>
  <si>
    <t>630Diam Mounting Brackets Ungalvanised (4 per set)</t>
  </si>
  <si>
    <t>MB710</t>
  </si>
  <si>
    <t>710Diam Mounting Brackets (4 per set)</t>
  </si>
  <si>
    <t>MB710UG</t>
  </si>
  <si>
    <t>710Diam Mounting Brackets Ungalvanised (4 per set)</t>
  </si>
  <si>
    <t>MB800</t>
  </si>
  <si>
    <t>800Diam Mounting Brackets (4 per set)</t>
  </si>
  <si>
    <t>MB800UG</t>
  </si>
  <si>
    <t>800Diam Mounting Brackets Ungalvanised (4 per set)</t>
  </si>
  <si>
    <t>MB900</t>
  </si>
  <si>
    <t>900Diam Mounting Brackets (4 per set)</t>
  </si>
  <si>
    <t>MB900HD</t>
  </si>
  <si>
    <t>900Diam Mounting Brackets Heavy Duty (4 per set)</t>
  </si>
  <si>
    <t>MB900UG</t>
  </si>
  <si>
    <t>900Diam Mounting Brackets Ungalvanised (4 per set)</t>
  </si>
  <si>
    <t>1000MF (CFW)</t>
  </si>
  <si>
    <t>1000 Diam Mounting Feet (CFW)</t>
  </si>
  <si>
    <t>FM - MFEET</t>
  </si>
  <si>
    <t>315MF</t>
  </si>
  <si>
    <t>315 Diam Mounting Feet</t>
  </si>
  <si>
    <t>315MFUG</t>
  </si>
  <si>
    <t>315 Diam Mounting Feet Ungalvanised</t>
  </si>
  <si>
    <t>400MF</t>
  </si>
  <si>
    <t>400 Diam Mounting Feet</t>
  </si>
  <si>
    <t>400MFUG</t>
  </si>
  <si>
    <t>400 Diam Mounting Feet Ungalvanised</t>
  </si>
  <si>
    <t>500MF</t>
  </si>
  <si>
    <t>500 Diam Mounting Feet</t>
  </si>
  <si>
    <t>500MFUG</t>
  </si>
  <si>
    <t>500 Diam Mounting Feet Ungalvanised</t>
  </si>
  <si>
    <t>560MF</t>
  </si>
  <si>
    <t>560 Diam Mounting Feet</t>
  </si>
  <si>
    <t>630MF</t>
  </si>
  <si>
    <t>630 Diam Mounting Feet</t>
  </si>
  <si>
    <t>630MFUG</t>
  </si>
  <si>
    <t>630 Diam Mounting Feet Ungalvanised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</si>
  <si>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</si>
  <si>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</si>
  <si>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</si>
  <si>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</si>
  <si>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</si>
  <si>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</si>
  <si>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</si>
  <si>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Ungalvanised</t>
  </si>
  <si>
    <t>900MF</t>
  </si>
  <si>
    <t>900 Diam Mounting Feet</t>
  </si>
  <si>
    <t>900MFUG</t>
  </si>
  <si>
    <t>900 Diam Mounting Feet Ungalvanised</t>
  </si>
  <si>
    <t>0.2543PM</t>
  </si>
  <si>
    <t>0.25kW 4P 380V Pad Mount Motor</t>
  </si>
  <si>
    <t>FM - MOTORS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</si>
  <si>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</si>
  <si>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</si>
  <si>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</si>
  <si>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</si>
  <si>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</si>
  <si>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</si>
  <si>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</si>
  <si>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</si>
  <si>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</si>
  <si>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</si>
  <si>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</si>
  <si>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</si>
  <si>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</si>
  <si>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</si>
  <si>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</si>
  <si>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</si>
  <si>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</si>
  <si>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</si>
  <si>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</si>
  <si>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</si>
  <si>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1143PM</t>
  </si>
  <si>
    <t>11KW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</si>
  <si>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</si>
  <si>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</si>
  <si>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</si>
  <si>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</si>
  <si>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</si>
  <si>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</si>
  <si>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</si>
  <si>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</si>
  <si>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</si>
  <si>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</si>
  <si>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</si>
  <si>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</si>
  <si>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</si>
  <si>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</si>
  <si>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</si>
  <si>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</si>
  <si>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</si>
  <si>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38V Pad Mount Motor</t>
  </si>
  <si>
    <t>7.543PM</t>
  </si>
  <si>
    <t>7.5kW 4P 380V Pad Mount Motor</t>
  </si>
  <si>
    <t>9.223PM</t>
  </si>
  <si>
    <t>9.2kW 2P 380V Pad Mount Motor</t>
  </si>
  <si>
    <t>9.243PM</t>
  </si>
  <si>
    <t>9.2kW 4P 380V Pad Mount Motor</t>
  </si>
  <si>
    <t>315S1.5DP</t>
  </si>
  <si>
    <t>315 Diam Silencer 1.5D Podded</t>
  </si>
  <si>
    <t>FM - SILENCER</t>
  </si>
  <si>
    <t>315S1.5DP600L</t>
  </si>
  <si>
    <t>315 Diam Silencer 1.5D Podded 600L</t>
  </si>
  <si>
    <t>400S1.5DP</t>
  </si>
  <si>
    <t>400 Diam Silencer 1.5D Podded</t>
  </si>
  <si>
    <t>400S2.0DP</t>
  </si>
  <si>
    <t>400 Diam Silencer 2.0D Podded</t>
  </si>
  <si>
    <t>500S1.5DP</t>
  </si>
  <si>
    <t>500 Diam Silencer 1.5D Podded</t>
  </si>
  <si>
    <t>500S2.0DP</t>
  </si>
  <si>
    <t>500 Diam Silencer 2.0D Podded</t>
  </si>
  <si>
    <t>560S1.5DP</t>
  </si>
  <si>
    <t>560 Diam Silencer 1.5D Podded</t>
  </si>
  <si>
    <t>560SM2.0DP</t>
  </si>
  <si>
    <t>560 Diam Silencer Melinex  2.0D Podded</t>
  </si>
  <si>
    <t>630S1.5DP</t>
  </si>
  <si>
    <t>630 Diam Silencer 1.5D Podded</t>
  </si>
  <si>
    <t>710S1.5DP</t>
  </si>
  <si>
    <t>710 Diam Silencer 1.5D Podded</t>
  </si>
  <si>
    <t>710SM1.5DP</t>
  </si>
  <si>
    <t>710 Diam Melinex Silencer 1.5D Podded</t>
  </si>
  <si>
    <t>900SM1.5DP</t>
  </si>
  <si>
    <t>900 Diam Melinex Silencer 1.5D Podded</t>
  </si>
  <si>
    <t>100T600</t>
  </si>
  <si>
    <t>100 Diam Tube Silencer 600L</t>
  </si>
  <si>
    <t>FM - TUBES</t>
  </si>
  <si>
    <t>125T600</t>
  </si>
  <si>
    <t>125 Diam Tube Silencer 600L</t>
  </si>
  <si>
    <t>150T600</t>
  </si>
  <si>
    <t>150 Diam Tube Silencer 600L</t>
  </si>
  <si>
    <t>200T600</t>
  </si>
  <si>
    <t>200 Diam Tube Silencer 600L</t>
  </si>
  <si>
    <t>250T600</t>
  </si>
  <si>
    <t>250 Diam Tube Silencer 600L</t>
  </si>
  <si>
    <t>315T600</t>
  </si>
  <si>
    <t>315 Diam Tube Silencer 600L</t>
  </si>
  <si>
    <t>355T600.</t>
  </si>
  <si>
    <t>355 Diam Tube Silencer 600L</t>
  </si>
  <si>
    <t>100/112 FR 27.8</t>
  </si>
  <si>
    <t>100/112 Motor Frame - 27.8 mm OD Spacer</t>
  </si>
  <si>
    <t>FM - WORKS</t>
  </si>
  <si>
    <t>15-05'</t>
  </si>
  <si>
    <t>T50R BLACK - T50R CABLE TIES BLACK 198MMX4</t>
  </si>
  <si>
    <t>168-37</t>
  </si>
  <si>
    <t>FAS3212LF RIVET FA - 3.2MMX12MM POP RIVETS</t>
  </si>
  <si>
    <t>71 FR 13.8</t>
  </si>
  <si>
    <t>71 Motor frame - 13.8 mm OD spacer</t>
  </si>
  <si>
    <t>80 FR 18.8</t>
  </si>
  <si>
    <t>80 Motor Frame - 18.8 mm OD Spacer</t>
  </si>
  <si>
    <t>90 FR 23.8</t>
  </si>
  <si>
    <t>90 Motor Frame - 23.8 mm OD Spacer</t>
  </si>
  <si>
    <t>BBC19X10/14T</t>
  </si>
  <si>
    <t>BANDSAW BIMETAL M42 19x10/14T (2.480x1)</t>
  </si>
  <si>
    <t>CARDBOARD BOX -2</t>
  </si>
  <si>
    <t>CARDBOARD BOX STK 2</t>
  </si>
  <si>
    <t>CARDBOARD BOX -4</t>
  </si>
  <si>
    <t>CARDBOARD BOX STK 4</t>
  </si>
  <si>
    <t>CARDBOARD BOX -5</t>
  </si>
  <si>
    <t>CARDBOARD BOX STK 5</t>
  </si>
  <si>
    <t>CARDBOARD BOX -7</t>
  </si>
  <si>
    <t>CARDBOARD BOX STK 7</t>
  </si>
  <si>
    <t>Cutting Disc</t>
  </si>
  <si>
    <t>Cutting Disc - 4.5inch x 1.5mm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</si>
  <si>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</si>
  <si>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</si>
  <si>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</si>
  <si>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</si>
  <si>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</si>
  <si>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</si>
  <si>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</si>
  <si>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</si>
  <si>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ECO100220</t>
  </si>
  <si>
    <t>Bubble Wrap - 1250mm x 100mm</t>
  </si>
  <si>
    <t>NAME PLATES</t>
  </si>
  <si>
    <t>Name plates/ engraving plates</t>
  </si>
  <si>
    <t xml:space="preserve">Pallet Wrap </t>
  </si>
  <si>
    <t>Clear Pallet Wrap, Extended Core, 450x400x10mic (Roll)</t>
  </si>
  <si>
    <t>PHPM20B</t>
  </si>
  <si>
    <t>M20 SCREW-IN BLANKING PLUGS (BLK)</t>
  </si>
  <si>
    <t>PHPM25B</t>
  </si>
  <si>
    <t>M25 SCREW-IN BLANKING PLUGS (BLK)</t>
  </si>
  <si>
    <t>PMGB20-13.5</t>
  </si>
  <si>
    <t>M20 NYLON COMPRESSION GLAND GREY</t>
  </si>
  <si>
    <t>PMGB25-18</t>
  </si>
  <si>
    <t>M25 NYLON COMPRESSION GLAND GREY</t>
  </si>
  <si>
    <t>QD GP 5LT</t>
  </si>
  <si>
    <t>QD GREY PRIMER 5LT</t>
  </si>
  <si>
    <t xml:space="preserve">RT1.25-4S </t>
  </si>
  <si>
    <t>Red Ring Terminal 4mm Stud</t>
  </si>
  <si>
    <t xml:space="preserve">RT1.25-5S </t>
  </si>
  <si>
    <t>Red Ring Terminal 5mm Stud</t>
  </si>
  <si>
    <t xml:space="preserve">RT1.25-6S </t>
  </si>
  <si>
    <t>Red Ring Terminal 6mm Stud</t>
  </si>
  <si>
    <t>SAV STICKERS</t>
  </si>
  <si>
    <t>Solvent Printed SAV Stickers - Rounded Corners - (108mm x 88mm)</t>
  </si>
  <si>
    <t>SH01</t>
  </si>
  <si>
    <t>HAND STRAPPING 12X 1500M - BLACK</t>
  </si>
  <si>
    <t>Terminal-B56.36</t>
  </si>
  <si>
    <t>Terminal Blocik 56.36 - 6TN 56.36 M5 Complete</t>
  </si>
  <si>
    <t>Terminal-B70.45</t>
  </si>
  <si>
    <t>Terminal Blocks 70.45 - 6TN10, M6</t>
  </si>
  <si>
    <t>THINNERS - 25L</t>
  </si>
  <si>
    <t>Thinners 25L</t>
  </si>
  <si>
    <t>THINNERS - 5L</t>
  </si>
  <si>
    <t>Thinners 5l</t>
  </si>
  <si>
    <t>Cost Price</t>
  </si>
  <si>
    <t>Avg Monthly Usage (AMU)</t>
  </si>
  <si>
    <t>M6*25 HT HEX SET SCREW Z/B</t>
  </si>
  <si>
    <t>M6*25 HT HEX SET SCREW Z/BLUE</t>
  </si>
  <si>
    <t>560MFUG</t>
  </si>
  <si>
    <t>560 Diam Mounting Feet Ungalvanised</t>
  </si>
  <si>
    <t>CT2.50X4BK </t>
  </si>
  <si>
    <t xml:space="preserve">CABTYRE 2,5MM2 4CORE - BLACK </t>
  </si>
  <si>
    <t>Minimum Stock (MIN)</t>
  </si>
  <si>
    <t>Rep - Cost</t>
  </si>
  <si>
    <t>Total Stock + On Order</t>
  </si>
  <si>
    <t>Total Stock</t>
  </si>
  <si>
    <t>Total Planned</t>
  </si>
  <si>
    <t>Avail.</t>
  </si>
  <si>
    <t>x</t>
  </si>
  <si>
    <t>Actom Cost Price</t>
  </si>
  <si>
    <t>Weg Cost Price</t>
  </si>
  <si>
    <t>Askari Cost Price</t>
  </si>
  <si>
    <t>Actom PO</t>
  </si>
  <si>
    <t>Askari PO</t>
  </si>
  <si>
    <t>Stock levels updated</t>
  </si>
  <si>
    <t>Availability</t>
  </si>
  <si>
    <t>Column1</t>
  </si>
  <si>
    <t>Available</t>
  </si>
  <si>
    <t>Total</t>
  </si>
  <si>
    <t>Grand Total</t>
  </si>
  <si>
    <t>PO#</t>
  </si>
  <si>
    <t>PO3812</t>
  </si>
  <si>
    <t>PO3686</t>
  </si>
  <si>
    <t>R 7,468.00</t>
  </si>
  <si>
    <t>0.37KW 4P 400 V B3 - IE2-OH71 M ORANGE1</t>
  </si>
  <si>
    <t>ZZZ-SP 2200</t>
  </si>
  <si>
    <t>Commission for HFEAVAO.AFM.000298-AECI CHEMICALS</t>
  </si>
  <si>
    <t>Z4540002</t>
  </si>
  <si>
    <t>FM - KAYITES</t>
  </si>
  <si>
    <t>YUF150</t>
  </si>
  <si>
    <t>R 10,826.09</t>
  </si>
  <si>
    <t>[D]HBS350N[1] 14inch WOODWORKING</t>
  </si>
  <si>
    <t>WSAWBS014</t>
  </si>
  <si>
    <t>Wall sleeve, plate and flashing</t>
  </si>
  <si>
    <t>WS</t>
  </si>
  <si>
    <t>WPF50/600/600/50</t>
  </si>
  <si>
    <t>WPF50/600/600/50.</t>
  </si>
  <si>
    <t>Filter</t>
  </si>
  <si>
    <t>WATERPAPER P800</t>
  </si>
  <si>
    <t>WP P800</t>
  </si>
  <si>
    <t>Wooden crate charges</t>
  </si>
  <si>
    <t>R 1,115.22</t>
  </si>
  <si>
    <t>WEATHER LOUVRE 600*600 NS NA</t>
  </si>
  <si>
    <t>WL6060</t>
  </si>
  <si>
    <t>350x350mm Weather Louvres</t>
  </si>
  <si>
    <t>WL350</t>
  </si>
  <si>
    <t>WEATHER LOUVRE 250*250 NS NA</t>
  </si>
  <si>
    <t>WL2525</t>
  </si>
  <si>
    <t>Wall Mount</t>
  </si>
  <si>
    <t>WL 400</t>
  </si>
  <si>
    <t>R 15,923.70</t>
  </si>
  <si>
    <t>22kW 4P 380-400-415/660-690//460V B3T 180L IE1</t>
  </si>
  <si>
    <t>WGP3603033</t>
  </si>
  <si>
    <t>FMD 600 x 600 x 50 W/D</t>
  </si>
  <si>
    <t>WD002</t>
  </si>
  <si>
    <t>HTMH-71-4T-4 IE3 380V 60Hz IE3 - Roof Top Exhaust Fan</t>
  </si>
  <si>
    <t>WAREHOUSE-FAN1</t>
  </si>
  <si>
    <t>WAM Centrif c/w 1.5HP Nema Motor</t>
  </si>
  <si>
    <t>WAMCENTRIF</t>
  </si>
  <si>
    <t>R 3,511.50</t>
  </si>
  <si>
    <t>48 V (36-57V-) DC. 105 W 2750 min 1</t>
  </si>
  <si>
    <t>W1G250 - HH67 - 52</t>
  </si>
  <si>
    <t>37 kW 380V variable speed drive</t>
  </si>
  <si>
    <t>VSD -</t>
  </si>
  <si>
    <t>R 2,773.47</t>
  </si>
  <si>
    <t>FM - FPZ</t>
  </si>
  <si>
    <t>VRL9 - 4'</t>
  </si>
  <si>
    <t>VRL9</t>
  </si>
  <si>
    <t>R 2,401.94</t>
  </si>
  <si>
    <t>VRL8 - 3'</t>
  </si>
  <si>
    <t>VRL8</t>
  </si>
  <si>
    <t>R 1,048.36</t>
  </si>
  <si>
    <t>VRL6 - 2'</t>
  </si>
  <si>
    <t>VRL6</t>
  </si>
  <si>
    <t>125 K</t>
  </si>
  <si>
    <t>VP12</t>
  </si>
  <si>
    <t>100 K</t>
  </si>
  <si>
    <t>VP10</t>
  </si>
  <si>
    <t>VP 150K</t>
  </si>
  <si>
    <t>VP 15</t>
  </si>
  <si>
    <t>R 6,199.51</t>
  </si>
  <si>
    <t>Creation, Conformity Review, Inspection &amp; Issuance</t>
  </si>
  <si>
    <t>VOC</t>
  </si>
  <si>
    <t>VLA3 or RV3 - 1'</t>
  </si>
  <si>
    <t>VLA3 &amp; RV3</t>
  </si>
  <si>
    <t>100 x 100 -60 Shore</t>
  </si>
  <si>
    <t>Vibrasorb Waffle/Steel</t>
  </si>
  <si>
    <t>520wide x 510high x 610mm Long Silencers</t>
  </si>
  <si>
    <t>VFC355550S</t>
  </si>
  <si>
    <t>VFC 355/550 c/w 550W 4P 220V</t>
  </si>
  <si>
    <t>VFC355550</t>
  </si>
  <si>
    <t>VFC355/420 c/w 420watts 4P 230v</t>
  </si>
  <si>
    <t>VFC355-420</t>
  </si>
  <si>
    <t>VFC 355/300 c/w 300Watts 230V Motor</t>
  </si>
  <si>
    <t>VFC355-300</t>
  </si>
  <si>
    <t>147WATTS</t>
  </si>
  <si>
    <t>VFC310.147</t>
  </si>
  <si>
    <t>c/w 0.55 kW 4 Pole 230 V Motor</t>
  </si>
  <si>
    <t>VFC VS 400 / 550</t>
  </si>
  <si>
    <t>VFC 310/3 850Lx450Wx360H</t>
  </si>
  <si>
    <t>VFC SILENCER..</t>
  </si>
  <si>
    <t>VFC 355/5 1450Lx520Wx410H</t>
  </si>
  <si>
    <t>VFC SILENCER.</t>
  </si>
  <si>
    <t>VFC 355/3 850Lx520Wx410H</t>
  </si>
  <si>
    <t>VFC SILENCER</t>
  </si>
  <si>
    <t>c/w 1.1KW</t>
  </si>
  <si>
    <t>VFC 450/1100.12</t>
  </si>
  <si>
    <t>VFC 450 S</t>
  </si>
  <si>
    <t>VFC 355/550 c/w 550Watts 230V Motor</t>
  </si>
  <si>
    <t>VFC 355/550</t>
  </si>
  <si>
    <t>VFC 310/300 c/w 300W 230V MOTOR</t>
  </si>
  <si>
    <t>VFC 310/300</t>
  </si>
  <si>
    <t>R 1,188.07</t>
  </si>
  <si>
    <t>Vents</t>
  </si>
  <si>
    <t>VCN150 - External Exhaust Fan - 150mm?</t>
  </si>
  <si>
    <t>VCN150</t>
  </si>
  <si>
    <t>R 1,008.06</t>
  </si>
  <si>
    <t>VCN125 - External Exhaust Fan - 125mm?</t>
  </si>
  <si>
    <t>VCN125</t>
  </si>
  <si>
    <t>VCN100 - External Exhaust Fan - 100mm?</t>
  </si>
  <si>
    <t>VCN100</t>
  </si>
  <si>
    <t>FRICTION BELT WEDGE ENVELOPE SPA SECTION 13 X 10 X 1900MM FENNER</t>
  </si>
  <si>
    <t>VB13NX1900 F</t>
  </si>
  <si>
    <t>FRICTION BELT WEDGE ENVELOPE SPA SECTION 13 X 10 X 1800MM FENNER</t>
  </si>
  <si>
    <t>VB13NX1800 F</t>
  </si>
  <si>
    <t>FRICTION BELT WEDGE ENVELOPE SPA SE</t>
  </si>
  <si>
    <t>VB13NX1700 FF</t>
  </si>
  <si>
    <t>FRICTION BELT WEDGE ENVELOPE SPA SECTION 13 X 10 X 1682MM FENNER</t>
  </si>
  <si>
    <t>VB13NX1682 F</t>
  </si>
  <si>
    <t>FRICTION BELT WEDGE ENVELOPE SPA -SECTION 13 X 10 X 1600MM FENNER</t>
  </si>
  <si>
    <t>VB13NX1600 F</t>
  </si>
  <si>
    <t>FRICTION BELT WEDGE ENVELOPE SPA SECTION 13 X 10 X 1400MM FENNER</t>
  </si>
  <si>
    <t>VB13NX1400 F</t>
  </si>
  <si>
    <t>VB13NX1340 FENNER</t>
  </si>
  <si>
    <t>VB13NX1340 F</t>
  </si>
  <si>
    <t>Friction Belt wedge Envelope SPZ SE</t>
  </si>
  <si>
    <t>VB10NX1320 F</t>
  </si>
  <si>
    <t>UV 400/1/4 c/w 0.55kW 4Pole 220v Motor</t>
  </si>
  <si>
    <t>UV400/1/4</t>
  </si>
  <si>
    <t>c/w 0.18kW 220v Motor</t>
  </si>
  <si>
    <t>UV250/1/6</t>
  </si>
  <si>
    <t>R 14,073.00</t>
  </si>
  <si>
    <t>Roof Fans</t>
  </si>
  <si>
    <t>UV710/3/6</t>
  </si>
  <si>
    <t>UV 710/3/6</t>
  </si>
  <si>
    <t>Fan</t>
  </si>
  <si>
    <t>c/w 0.75 kW 8 Pole 380 V</t>
  </si>
  <si>
    <t>UV 630/3/8/W</t>
  </si>
  <si>
    <t>R 10,527.25</t>
  </si>
  <si>
    <t>c/w 1.5 kW 6 Pole 380 V Motor</t>
  </si>
  <si>
    <t>UV 630/3/6/W</t>
  </si>
  <si>
    <t>c/w 1.5 kW 4 Pole 380V</t>
  </si>
  <si>
    <t>UV 500-3-4</t>
  </si>
  <si>
    <t>Dome Only</t>
  </si>
  <si>
    <t>UV 500</t>
  </si>
  <si>
    <t>R 9,892.00</t>
  </si>
  <si>
    <t>c/w 0.55 kW 6 Pole 380</t>
  </si>
  <si>
    <t>UV 400-3-6</t>
  </si>
  <si>
    <t>R 10,550.00</t>
  </si>
  <si>
    <t>c/w 0.55 kW 4 Pole 380</t>
  </si>
  <si>
    <t>UV 400-3-4</t>
  </si>
  <si>
    <t>400 SCREENS</t>
  </si>
  <si>
    <t>UV 400 SCREEN</t>
  </si>
  <si>
    <t>Impeller</t>
  </si>
  <si>
    <t>UV 400-</t>
  </si>
  <si>
    <t>0. 18 kW 220 / 1 / 50</t>
  </si>
  <si>
    <t>UV 250/1/4 c/w</t>
  </si>
  <si>
    <t>220 / 1 / 50</t>
  </si>
  <si>
    <t>UV 250/1/4</t>
  </si>
  <si>
    <t>R 3,172.84</t>
  </si>
  <si>
    <t>TTSILENTM250</t>
  </si>
  <si>
    <t>TTSILENTM125</t>
  </si>
  <si>
    <t>TTSILENTM125 Fan</t>
  </si>
  <si>
    <t>R 1,175.53</t>
  </si>
  <si>
    <t>TTSILENTM100</t>
  </si>
  <si>
    <t>FM - FABRICATION</t>
  </si>
  <si>
    <t>Sq / Tube 38X38X3.0-6M</t>
  </si>
  <si>
    <t>TTS038030006</t>
  </si>
  <si>
    <t>FABRICATION</t>
  </si>
  <si>
    <t>Sq / Tube 38X38X1.9-6M</t>
  </si>
  <si>
    <t>TTS038020006</t>
  </si>
  <si>
    <t>R 6,500.00</t>
  </si>
  <si>
    <t>TTS 55 Pro Laser Engraving Machine</t>
  </si>
  <si>
    <t>TTS 55 Pro</t>
  </si>
  <si>
    <t>Rec Tube 76x38x1.9-6M</t>
  </si>
  <si>
    <t>TTR07603820006</t>
  </si>
  <si>
    <t>FM - VORTICE</t>
  </si>
  <si>
    <t>Torrette TRS 310 EC (1050 CFM)</t>
  </si>
  <si>
    <t>TRS310EC</t>
  </si>
  <si>
    <t>Torrette TRS 250 EC (850 CFM)</t>
  </si>
  <si>
    <t>TRS250EC</t>
  </si>
  <si>
    <t>Traveling from Office to Airport</t>
  </si>
  <si>
    <t>TRL</t>
  </si>
  <si>
    <t>Torrette TRK-AR 500 T4 3KW (6200CFM)</t>
  </si>
  <si>
    <t>TRK-AR-500T4</t>
  </si>
  <si>
    <t>Call Out</t>
  </si>
  <si>
    <t>Travel</t>
  </si>
  <si>
    <t>R 8,685.51</t>
  </si>
  <si>
    <t>Delivery</t>
  </si>
  <si>
    <t>Transport</t>
  </si>
  <si>
    <t>Torrette TR 710 T6 4KW ATEX ZONE1 (9500 CFM)</t>
  </si>
  <si>
    <t>TR710T6</t>
  </si>
  <si>
    <t>Torrette TR 500 T6 0.75KW ATEX ZONE1 (3600 CFM)</t>
  </si>
  <si>
    <t>TR500T6</t>
  </si>
  <si>
    <t>Torrette TR 500 T4 3KW ATEX ZONE1 (6500 CFM)</t>
  </si>
  <si>
    <t>TR500T4</t>
  </si>
  <si>
    <t>Torrette TR 450 T4 2.2KW ATEX ZONE 1 (4500 CFM)</t>
  </si>
  <si>
    <t>TR450T4</t>
  </si>
  <si>
    <t>Torrette TR 400 T4 1.1KW ATEX ZONE1 (2700 CFM)</t>
  </si>
  <si>
    <t>TR400T4</t>
  </si>
  <si>
    <t>Torrette TR 355 T4 0.55KW ATEX ZONE1 (1084 CFM)</t>
  </si>
  <si>
    <t>TR355T4</t>
  </si>
  <si>
    <t>CONSUMABLES</t>
  </si>
  <si>
    <t>R 22,037.40</t>
  </si>
  <si>
    <t>5.5kW 6P 380-415/660V B3 132M IE1 MOTOR WEG W21 IP55 FLP</t>
  </si>
  <si>
    <t>TEX2313030</t>
  </si>
  <si>
    <t>R 11,305.25</t>
  </si>
  <si>
    <t>3kW 4P 220/380-415V B3T 100L IE1 Motor WEG W21 IP55 FLP</t>
  </si>
  <si>
    <t>TEX1943033</t>
  </si>
  <si>
    <t>Trailing Cable 10mm2 4 Core</t>
  </si>
  <si>
    <t>TC10.0X4BKHO7</t>
  </si>
  <si>
    <t>Casing Terminal Box (560-800)</t>
  </si>
  <si>
    <t>TB 630-800</t>
  </si>
  <si>
    <t>Casing Terminal Box (315-560)</t>
  </si>
  <si>
    <t>TB 315-560</t>
  </si>
  <si>
    <t>c/w 0.55 kW 4 Pole 380V Motor</t>
  </si>
  <si>
    <t>TAXIP F300 450-5-25</t>
  </si>
  <si>
    <t>R 2,385.50</t>
  </si>
  <si>
    <t>0.75kw 6P 400V B30 90S IE1 MOTOR WEG W21 IP55 AL LEAD</t>
  </si>
  <si>
    <t>TAP08130</t>
  </si>
  <si>
    <t>R 2,625.00</t>
  </si>
  <si>
    <t>2.2kW 2P 400V B30 90L IE1 MOTOR WEG W11 IP55 AL BOX</t>
  </si>
  <si>
    <t>TAB15030-</t>
  </si>
  <si>
    <t>TAB15030</t>
  </si>
  <si>
    <t>R 2,958.80</t>
  </si>
  <si>
    <t>1.1kw 6P 400V B30 90L IE1 MOTOR WEG W21 IP55 AL BOX</t>
  </si>
  <si>
    <t>TAB10130</t>
  </si>
  <si>
    <t>STEEL WIRE ARMOURED 2.5MM X 4</t>
  </si>
  <si>
    <t>SWA02.5X4BKLH</t>
  </si>
  <si>
    <t>R 2,500.00</t>
  </si>
  <si>
    <t>Rental Space to Store Goods</t>
  </si>
  <si>
    <t>STORAGE1000000</t>
  </si>
  <si>
    <t>STOCK GALVANIZING-12 JULY 2024</t>
  </si>
  <si>
    <t>Stationary</t>
  </si>
  <si>
    <t>Stantionary</t>
  </si>
  <si>
    <t>760diam/9bladed/28mmbore/30deg/Impeller/FB</t>
  </si>
  <si>
    <t>ST0001</t>
  </si>
  <si>
    <t>R 2,100.00</t>
  </si>
  <si>
    <t>Satmos Treatment 0.1Kw 1430rpm 230V</t>
  </si>
  <si>
    <t>ST0.14220</t>
  </si>
  <si>
    <t>R 15,100.00</t>
  </si>
  <si>
    <t>SMARTER STAR MIG 255 with Parker torch</t>
  </si>
  <si>
    <t>S-STARMIG-255</t>
  </si>
  <si>
    <t>New Disk replacement SSD 512gb from invoice AXG0205</t>
  </si>
  <si>
    <t>SSD</t>
  </si>
  <si>
    <t>SCL R40MD</t>
  </si>
  <si>
    <t>SR40MD00+0006</t>
  </si>
  <si>
    <t>R 20,582.19</t>
  </si>
  <si>
    <t>SCL R40-MD MOR EU M.E 2.2kW - 2 POLI 230-50 V-HZ - MF - CL.F TROP. + PTO - IP55 - PAINTED</t>
  </si>
  <si>
    <t>SR40MD00 + 0006</t>
  </si>
  <si>
    <t>R30 MD 1.5Kw 220V 1-ph</t>
  </si>
  <si>
    <t>SR30MD50+0020</t>
  </si>
  <si>
    <t>R30 MD 1.5K 380V 3Ph</t>
  </si>
  <si>
    <t>SR30MD50+0010</t>
  </si>
  <si>
    <t>R30 MD 1.5Kw 380V 3-ph</t>
  </si>
  <si>
    <t>SR30MD50</t>
  </si>
  <si>
    <t>R 14,161.00</t>
  </si>
  <si>
    <t>SCL R30-MD MOR EU M.E 1.5KW 3Ph 380V</t>
  </si>
  <si>
    <t>SR30MD000069</t>
  </si>
  <si>
    <t>SCL R30-MD MOR M.E 1.5KW 1Ph 220V</t>
  </si>
  <si>
    <t>SR30MD000024</t>
  </si>
  <si>
    <t>R 38,966.40</t>
  </si>
  <si>
    <t>SCL R20-MD GOR ATEX 2G ANOD. +V.INOX + IMPR. EU M.E.0.75-0.9KW - 2 POLI 230/400-50</t>
  </si>
  <si>
    <t>SR20MD00+0095</t>
  </si>
  <si>
    <t>GLF Fan Wheel - PBK 70mm</t>
  </si>
  <si>
    <t>SQL-GR75PBR</t>
  </si>
  <si>
    <t>GLF Fan Wheel - Fixed 70mm</t>
  </si>
  <si>
    <t>SQL-GR75F</t>
  </si>
  <si>
    <t>R 5,516.00</t>
  </si>
  <si>
    <t>GLF 9.5 c/w 0.75kW 220v</t>
  </si>
  <si>
    <t>SQL-GLF9.5-D</t>
  </si>
  <si>
    <t>GLF Grill: 1380sq.</t>
  </si>
  <si>
    <t>SQL-GLF12.5-GR</t>
  </si>
  <si>
    <t>R 7,173.60</t>
  </si>
  <si>
    <t>Galvanised Industrial Extractor Fan + Grill &amp; Louvers: 1380sq, 220V, 1.1kw, 440rpm, 44000m3/hr</t>
  </si>
  <si>
    <t>SQL-GLF12.5-D</t>
  </si>
  <si>
    <t>2.280 Green</t>
  </si>
  <si>
    <t>Spring Hanger</t>
  </si>
  <si>
    <t>Tiracamino</t>
  </si>
  <si>
    <t>Spare Motor</t>
  </si>
  <si>
    <t>R 4,339.00</t>
  </si>
  <si>
    <t>Spark Proofing - SP</t>
  </si>
  <si>
    <t>SP</t>
  </si>
  <si>
    <t>SOF 630</t>
  </si>
  <si>
    <t>SOF630</t>
  </si>
  <si>
    <t>SOF 500</t>
  </si>
  <si>
    <t>SOF500</t>
  </si>
  <si>
    <t>SOF 450</t>
  </si>
  <si>
    <t>SOF450</t>
  </si>
  <si>
    <t>SOF 400</t>
  </si>
  <si>
    <t>SOF400</t>
  </si>
  <si>
    <t>SOF 350</t>
  </si>
  <si>
    <t>SOF350</t>
  </si>
  <si>
    <t>SOF 300</t>
  </si>
  <si>
    <t>SOF300</t>
  </si>
  <si>
    <t>SOF 250</t>
  </si>
  <si>
    <t>SOF250</t>
  </si>
  <si>
    <t>R 11,569.00</t>
  </si>
  <si>
    <t>5.5KW 4P 380V IP55 300 C/2HR WEG SMOKEX PAD W22 MOTOR</t>
  </si>
  <si>
    <t>SMW23030</t>
  </si>
  <si>
    <t>Spring Mount 3 - 1675 - Yellow</t>
  </si>
  <si>
    <t>SMR3007</t>
  </si>
  <si>
    <t>Spring Mount 3 - 1350 - Yellow</t>
  </si>
  <si>
    <t>SMR3006</t>
  </si>
  <si>
    <t>Spring Mount 3 - 1000 - Black</t>
  </si>
  <si>
    <t>SMR3005.</t>
  </si>
  <si>
    <t>SMR3005</t>
  </si>
  <si>
    <t>SMR3002</t>
  </si>
  <si>
    <t>Spring Mount 2 - 750 - White</t>
  </si>
  <si>
    <t>SMR2005</t>
  </si>
  <si>
    <t>TERMINAL BLOCK 300c</t>
  </si>
  <si>
    <t>SMOKE EXTRACTION FS 160/180</t>
  </si>
  <si>
    <t>R 4,000.00</t>
  </si>
  <si>
    <t>Support SLA Mar</t>
  </si>
  <si>
    <t>SLA2025</t>
  </si>
  <si>
    <t>R 5,675.27</t>
  </si>
  <si>
    <t>SCL K03-MS MOR IE3 M.E. 0.55 - 0.65 kW 2 POLI345-415/200-240V 50Hz - 380-480/220-280V 60Hz WR</t>
  </si>
  <si>
    <t>SK03MS50+0121</t>
  </si>
  <si>
    <t>Site Work - 8 hours</t>
  </si>
  <si>
    <t>SITEW</t>
  </si>
  <si>
    <t>R 1,067.28</t>
  </si>
  <si>
    <t>HR Sheet SAE1008 2450x1225x3</t>
  </si>
  <si>
    <t>SHR03012252450</t>
  </si>
  <si>
    <t>BANDSAW WELD ONLY BIMETAL</t>
  </si>
  <si>
    <t>SHPBSW</t>
  </si>
  <si>
    <t>PACKAGING</t>
  </si>
  <si>
    <t>Flat Bar CQ 40x6mm 6 Mtr</t>
  </si>
  <si>
    <t>SFB04006006</t>
  </si>
  <si>
    <t>R 1,813.61</t>
  </si>
  <si>
    <t>Service</t>
  </si>
  <si>
    <t>Service Provider</t>
  </si>
  <si>
    <t>SEF125</t>
  </si>
  <si>
    <t>SEF 100</t>
  </si>
  <si>
    <t>SEF100</t>
  </si>
  <si>
    <t>R 8,000.00</t>
  </si>
  <si>
    <t>Search Engine Optimisation - Pro Package</t>
  </si>
  <si>
    <t>Search Engine</t>
  </si>
  <si>
    <t>Sea Freight 2-off Blower</t>
  </si>
  <si>
    <t>Sea Freight</t>
  </si>
  <si>
    <t>R 92,882.22</t>
  </si>
  <si>
    <t>SCL e11-TS MOR IER - M.E 22 - 25.5 kW - 2 POLI - IE3 CL. F TROP. PTO IP55 - NATURAL FINISH</t>
  </si>
  <si>
    <t>SE11TS50+0002</t>
  </si>
  <si>
    <t>R 49,266.33</t>
  </si>
  <si>
    <t>SCL e11-MS MOR IE2 M.E. 11 - 13 kW - 2 POLI - 300/525V 50HZ 360/630V 60HZ IE2 - CL. F TROP.</t>
  </si>
  <si>
    <t>SE11MS00+0048</t>
  </si>
  <si>
    <t>R 44,174.03</t>
  </si>
  <si>
    <t>SCL e10-MS MOR IE3 M.E. 11 - 13 kW - 2 POLI - 380V - IP55 Natural Finish</t>
  </si>
  <si>
    <t>SE10MS50+0005</t>
  </si>
  <si>
    <t>R 34,813.10</t>
  </si>
  <si>
    <t>SCL e08-MS MOR IE3 - M.E. 5.5 kW- 525V -IE3 -IP55 NATURAL FINISH</t>
  </si>
  <si>
    <t>SE08MS55</t>
  </si>
  <si>
    <t>R 30,493.09</t>
  </si>
  <si>
    <t>SCL e08-MS MOR - IE3 M.E 7.5KW - 9.0KW - 2 POLI</t>
  </si>
  <si>
    <t>SE08MS50+0014</t>
  </si>
  <si>
    <t>R 25,116.89</t>
  </si>
  <si>
    <t>SCL e07-MS MOR IE3 M.E. 5.5 - 6.5 kW - 2 POLI -600-720/345-415V 50Hz - 660-830/380-480V 60Hz WR</t>
  </si>
  <si>
    <t>SE07MS50+0012</t>
  </si>
  <si>
    <t>R 22,683.25</t>
  </si>
  <si>
    <t>SCL e07-MS MOR IE3 M.E. 4.0-4.8KW - 2 POLI 345-415/200-240V 50Hz - 380-480/220-280V 60Hz. IP55</t>
  </si>
  <si>
    <t>SE07MS50+0005</t>
  </si>
  <si>
    <t>e7 MD 4.0Kw 3Ph</t>
  </si>
  <si>
    <t>SE07MD50+0004</t>
  </si>
  <si>
    <t>R 6,938.16</t>
  </si>
  <si>
    <t>SCL R20MD 0.75kW 400V BLOWER</t>
  </si>
  <si>
    <t>SCL-R20MD-0.75kW-400V</t>
  </si>
  <si>
    <t>R 38,475.00</t>
  </si>
  <si>
    <t>Side Channel Blower S9T 12.5Kw - 525V - 4</t>
  </si>
  <si>
    <t>SCBS9T12.5kW</t>
  </si>
  <si>
    <t>FM - BLOWER</t>
  </si>
  <si>
    <t>SCB S8T 7.5kW - 400V</t>
  </si>
  <si>
    <t>SCBS8T7.5kWB</t>
  </si>
  <si>
    <t>SCB S8T 5.5kW - 400V</t>
  </si>
  <si>
    <t>SCBS8T5.5kWB</t>
  </si>
  <si>
    <t>SCB S8T 4.3kW - 400V</t>
  </si>
  <si>
    <t>SCBS8T4.3kWB</t>
  </si>
  <si>
    <t>SCB S7T 4.3kW - 400V</t>
  </si>
  <si>
    <t>SCBS7T4.3kWB</t>
  </si>
  <si>
    <t>SCB S7T 3kW - 400V</t>
  </si>
  <si>
    <t>SCBS7T3kWB</t>
  </si>
  <si>
    <t>SCB S6T 3kW - 400V</t>
  </si>
  <si>
    <t>SCBS6T3kWB</t>
  </si>
  <si>
    <t>SCB S6T 2.2kW - 400V</t>
  </si>
  <si>
    <t>SCBS6T2.2kWB</t>
  </si>
  <si>
    <t>SCB S6M 2.2kW - 220V</t>
  </si>
  <si>
    <t>SCBS6M2.2kWB</t>
  </si>
  <si>
    <t>SCB S5T 2.2kW - 400V</t>
  </si>
  <si>
    <t>SCBS5T2.2kWB</t>
  </si>
  <si>
    <t>SCB S5T 1.6kW - 400V</t>
  </si>
  <si>
    <t>SCBS5T1.6kWB</t>
  </si>
  <si>
    <t>SCB S5T 1.3kW - 400V</t>
  </si>
  <si>
    <t>SCBS5T1.3kWB</t>
  </si>
  <si>
    <t>SCB S5M 2.2kW - 220V</t>
  </si>
  <si>
    <t>SCBS5M2.2kWB</t>
  </si>
  <si>
    <t>SCB S5M 1.5kW - 220V</t>
  </si>
  <si>
    <t>SCBS5M1.5kWB</t>
  </si>
  <si>
    <t>SCB S5M 1.3kW - 220V</t>
  </si>
  <si>
    <t>SCBS5M1.3kWB</t>
  </si>
  <si>
    <t>SCB S4T 1.3kW - 400V</t>
  </si>
  <si>
    <t>SCBS4T1.3kWB</t>
  </si>
  <si>
    <t>SCB S4T 0.85kW - 400V</t>
  </si>
  <si>
    <t>SCBS4T0.85kWB</t>
  </si>
  <si>
    <t>SCB S4T 0.7kW - 400V</t>
  </si>
  <si>
    <t>SCBS4T0.7kWB</t>
  </si>
  <si>
    <t>SCB S4M 1.3kW - 220V</t>
  </si>
  <si>
    <t>SCBS4M1.3kWB</t>
  </si>
  <si>
    <t>SCB S4M 0.85kW - 220V</t>
  </si>
  <si>
    <t>SCBS4M0.85kWB</t>
  </si>
  <si>
    <t>SCB S4M 0.7kW - 220V</t>
  </si>
  <si>
    <t>SCBS4M0.7kWB</t>
  </si>
  <si>
    <t>SCB S3T 0.7kW - 400V</t>
  </si>
  <si>
    <t>SCBS3T0.7kWB</t>
  </si>
  <si>
    <t>SCB S3T 0.55kW - 400V</t>
  </si>
  <si>
    <t>SCBS3T0.55kWB</t>
  </si>
  <si>
    <t>SCB S3M 0.7kW - 220V</t>
  </si>
  <si>
    <t>SCBS3M0.7kWB</t>
  </si>
  <si>
    <t>SCB S3M 0.55kW - 220V</t>
  </si>
  <si>
    <t>SCBS3M0.55kWB</t>
  </si>
  <si>
    <t>SCB S2T 0.4kW - 400V</t>
  </si>
  <si>
    <t>SCBS2T0.4kWB</t>
  </si>
  <si>
    <t>SCB S2T 0.25kW - 400V</t>
  </si>
  <si>
    <t>SCBS2T0.25kWB</t>
  </si>
  <si>
    <t>SCB S2M 0.4kW - 220V</t>
  </si>
  <si>
    <t>SCBS2M0.4kWB</t>
  </si>
  <si>
    <t>SCB S2M 0.25kW - 220V</t>
  </si>
  <si>
    <t>SCBS2M0.25kWB</t>
  </si>
  <si>
    <t>SCB S1T 0.2kW - 400V</t>
  </si>
  <si>
    <t>SCBS1T0.2kWB</t>
  </si>
  <si>
    <t>SCB S1M 0.2kW - 220V</t>
  </si>
  <si>
    <t>SCBS1M0.2kWB</t>
  </si>
  <si>
    <t>SCB S0T 0.12kW - 400V</t>
  </si>
  <si>
    <t>SCBS0T0.12kWB</t>
  </si>
  <si>
    <t>SCB Pressure Relieve Valve - 4 - Aluminium</t>
  </si>
  <si>
    <t>SCBPV4AB</t>
  </si>
  <si>
    <t>SCB Pressure Relieve Valve - 1 1/4 - Plastic</t>
  </si>
  <si>
    <t>SCBPV1.25PB</t>
  </si>
  <si>
    <t>SCB Pressure Relieve Valve - 1 1/4 - Aluminium</t>
  </si>
  <si>
    <t>SCBPV1.25AB</t>
  </si>
  <si>
    <t>SCB Blower Simple Intake Filter - 4</t>
  </si>
  <si>
    <t>SCBFLT4</t>
  </si>
  <si>
    <t>SCB Blower Simple Intake Filter - 2 1/2</t>
  </si>
  <si>
    <t>SCBFLT2.5B</t>
  </si>
  <si>
    <t>SCB Blower Simple Intake Filter - 1 1/2</t>
  </si>
  <si>
    <t>SCBFLT1.5B</t>
  </si>
  <si>
    <t>SCB Blower Simple Intake Filter - 1 1/4</t>
  </si>
  <si>
    <t>SCBFLT1.25B</t>
  </si>
  <si>
    <t>Side Channel Blower D5T 16.5kW - 400V - 3Ph - 50Hz - 4Inch</t>
  </si>
  <si>
    <t>SCBD9T16.5kW</t>
  </si>
  <si>
    <t>SCB D8T 5.5kW - 400V</t>
  </si>
  <si>
    <t>SCBD8T5.5kWB</t>
  </si>
  <si>
    <t>SCB D7T 5.5kW - 400V</t>
  </si>
  <si>
    <t>SCBD7T5.5kWB</t>
  </si>
  <si>
    <t>SCB D7T 3.0kW - 400V</t>
  </si>
  <si>
    <t>SCBD7T3.0kWB</t>
  </si>
  <si>
    <t>SCB D5T 4kW - 400V</t>
  </si>
  <si>
    <t>SCBD5T4kWB</t>
  </si>
  <si>
    <t>SCB D5T 3kW - 400V</t>
  </si>
  <si>
    <t>SCBD5T3kWB</t>
  </si>
  <si>
    <t>SCB D5T 2.2kW - 400V</t>
  </si>
  <si>
    <t>SCBD5T2.2kWB</t>
  </si>
  <si>
    <t>SCB D4T 2.2kW - 400V</t>
  </si>
  <si>
    <t>SCBD4T2.2kWB</t>
  </si>
  <si>
    <t>Side Channel Blower D4T 2.2kW - 400V - 3Ph - 50Hz - 1.5Inch</t>
  </si>
  <si>
    <t>SCBD4T2.2kW-</t>
  </si>
  <si>
    <t>SCB D4T 1.6kW - 400V</t>
  </si>
  <si>
    <t>SCBD4T1.6kWB</t>
  </si>
  <si>
    <t>SCB D4M 2.2kW - 220V</t>
  </si>
  <si>
    <t>SCBD4M2.2kWB</t>
  </si>
  <si>
    <t>SCB D4M 1.5kW - 220V</t>
  </si>
  <si>
    <t>SCBD4M1.5kWB</t>
  </si>
  <si>
    <t>SCB D4M 1.3kW - 220V</t>
  </si>
  <si>
    <t>SCBD4M1.3kWB</t>
  </si>
  <si>
    <t>SCB D3T 1.3kW - 400V</t>
  </si>
  <si>
    <t>SCBD3T1.3kWB</t>
  </si>
  <si>
    <t>SCB D3T 0.85kW - 400V</t>
  </si>
  <si>
    <t>SCBD3T0.85kWB</t>
  </si>
  <si>
    <t>SCB D3M 1.3kW - 220V</t>
  </si>
  <si>
    <t>SCBD3M1.3kWB</t>
  </si>
  <si>
    <t>SCB D2T 0.7kW - 400V</t>
  </si>
  <si>
    <t>SCBD2T0.7kWB</t>
  </si>
  <si>
    <t>SCB D2M 0.7kW - 220V</t>
  </si>
  <si>
    <t>SCBD2M0.7kWb</t>
  </si>
  <si>
    <t>Side Channel Blower - 1.3kW-M - 1 1/2 - 230V</t>
  </si>
  <si>
    <t>SCB0820-1.3kW-M</t>
  </si>
  <si>
    <t>SAL 710</t>
  </si>
  <si>
    <t>SAL710</t>
  </si>
  <si>
    <t>SAL 630</t>
  </si>
  <si>
    <t>SAL630</t>
  </si>
  <si>
    <t>SAL 560</t>
  </si>
  <si>
    <t>SAL560</t>
  </si>
  <si>
    <t>SAL 500</t>
  </si>
  <si>
    <t>SAL500</t>
  </si>
  <si>
    <t>SAL 450</t>
  </si>
  <si>
    <t>SAL450</t>
  </si>
  <si>
    <t>SAL 400</t>
  </si>
  <si>
    <t>SAL400</t>
  </si>
  <si>
    <t>SAL 355</t>
  </si>
  <si>
    <t>SAL355</t>
  </si>
  <si>
    <t>SAL 315</t>
  </si>
  <si>
    <t>SAL315</t>
  </si>
  <si>
    <t>SAL 280</t>
  </si>
  <si>
    <t>SAL280</t>
  </si>
  <si>
    <t>- Inlet Wire Screen Mesh - 4Inch</t>
  </si>
  <si>
    <t>SAF-4 Inch -</t>
  </si>
  <si>
    <t>R 1,051.00</t>
  </si>
  <si>
    <t>Inlet Wire Screen Mesh - 4 inch</t>
  </si>
  <si>
    <t>SAF4</t>
  </si>
  <si>
    <t>- Inlet Wire Screen Mesh - 1.5Inch</t>
  </si>
  <si>
    <t>SAF-1.5 Inch</t>
  </si>
  <si>
    <t>VSD 11KW 380V 24A</t>
  </si>
  <si>
    <t>SACFW500D24P0T4DB20G2</t>
  </si>
  <si>
    <t>VSD 4KW 380V 10A</t>
  </si>
  <si>
    <t>SACFW500B10P0T4DB20G2</t>
  </si>
  <si>
    <t>630mm Dia 1.5D Silencer</t>
  </si>
  <si>
    <t>SA12/GF</t>
  </si>
  <si>
    <t>1800 X 350 X 1200 Rectangular Attenuator</t>
  </si>
  <si>
    <t>SA11/GF</t>
  </si>
  <si>
    <t>SA10/GF</t>
  </si>
  <si>
    <t>1500 X 600 X 1200 Rectangular Attenuator</t>
  </si>
  <si>
    <t>SA08/GF</t>
  </si>
  <si>
    <t>600 X 600 X 1200 Rectangular Attenuator</t>
  </si>
  <si>
    <t>SA07/GF</t>
  </si>
  <si>
    <t>900 X 600 X 1200 Rectangular Attenuator</t>
  </si>
  <si>
    <t>SA06/GF</t>
  </si>
  <si>
    <t>Skid Assembly</t>
  </si>
  <si>
    <t>SA</t>
  </si>
  <si>
    <t>Silencers</t>
  </si>
  <si>
    <t>S1</t>
  </si>
  <si>
    <t>No10 (4.8mm)x19 PAN/HD POZI SELF TAPPER - S/S 304 - A2</t>
  </si>
  <si>
    <t>S/S POZI SELF TAPPER</t>
  </si>
  <si>
    <t>Pleated Panel Filter 595 x 595 x 48</t>
  </si>
  <si>
    <t>S/S</t>
  </si>
  <si>
    <t>R 1,930.00</t>
  </si>
  <si>
    <t>FM - LUCK &amp; KING</t>
  </si>
  <si>
    <t>Rewind 0.1Kw 1430rpm 230V Motor Suitable for 60Hz Operation</t>
  </si>
  <si>
    <t>RW0.14220</t>
  </si>
  <si>
    <t>R 4,464.00</t>
  </si>
  <si>
    <t>Safety Valve - Press 300-600mBar - 4</t>
  </si>
  <si>
    <t>RV02-4</t>
  </si>
  <si>
    <t>Safety Valve - Press 300- 600mBar - 4Inch</t>
  </si>
  <si>
    <t>RV+02-4 Inch</t>
  </si>
  <si>
    <t>Round Tube 38x1.9-6M</t>
  </si>
  <si>
    <t>RTube-38x1.9-6M</t>
  </si>
  <si>
    <t>Round Tube 32x1.9-6M</t>
  </si>
  <si>
    <t>RTube-32x1.9-6M</t>
  </si>
  <si>
    <t>Round Tube 25x1.9-6M</t>
  </si>
  <si>
    <t>RTube-25x1.9-6M</t>
  </si>
  <si>
    <t>RT1.25-6S</t>
  </si>
  <si>
    <t>RT1.25-5S</t>
  </si>
  <si>
    <t>RT1.25-4S</t>
  </si>
  <si>
    <t>Controller 1.8 amp ( Excl.J.Box)</t>
  </si>
  <si>
    <t>RS1-400</t>
  </si>
  <si>
    <t>Ducting</t>
  </si>
  <si>
    <t>Roshcon</t>
  </si>
  <si>
    <t>R 1,050.00</t>
  </si>
  <si>
    <t>RIGID POC FILTERS 600X600X600 M6 6POC</t>
  </si>
  <si>
    <t>RIGM6</t>
  </si>
  <si>
    <t>R 1,527.00</t>
  </si>
  <si>
    <t>525V</t>
  </si>
  <si>
    <t>Rewind To</t>
  </si>
  <si>
    <t>R 2,510.76</t>
  </si>
  <si>
    <t>From 400V to 525V</t>
  </si>
  <si>
    <t>Rewind Motors</t>
  </si>
  <si>
    <t>Mahindra repair chip</t>
  </si>
  <si>
    <t>Repairr</t>
  </si>
  <si>
    <t>Repair teh casing by replacing the flange to be 3mm thick and re-paint entire casing</t>
  </si>
  <si>
    <t>RepairCMP</t>
  </si>
  <si>
    <t>R 42,400.00</t>
  </si>
  <si>
    <t>RENTAL</t>
  </si>
  <si>
    <t>FAN REFURBISHMENT</t>
  </si>
  <si>
    <t>REFURBISHING</t>
  </si>
  <si>
    <t>1100 X 1100 and 1500mm Long</t>
  </si>
  <si>
    <t>RECT ATT</t>
  </si>
  <si>
    <t>REC 80-50</t>
  </si>
  <si>
    <t>REC8050</t>
  </si>
  <si>
    <t>R 4,569.85</t>
  </si>
  <si>
    <t>REC 70-40</t>
  </si>
  <si>
    <t>REC7040</t>
  </si>
  <si>
    <t>R 3,655.15</t>
  </si>
  <si>
    <t>REC 60-35</t>
  </si>
  <si>
    <t>REC6035</t>
  </si>
  <si>
    <t>REC 60-30</t>
  </si>
  <si>
    <t>REC6030</t>
  </si>
  <si>
    <t>R 1,978.55</t>
  </si>
  <si>
    <t>REC 50-25</t>
  </si>
  <si>
    <t>REC5025</t>
  </si>
  <si>
    <t>REC 40-20 B</t>
  </si>
  <si>
    <t>REC4020B</t>
  </si>
  <si>
    <t>REC 40-20 A</t>
  </si>
  <si>
    <t>REC4020A</t>
  </si>
  <si>
    <t>REC 30-15</t>
  </si>
  <si>
    <t>REC3015</t>
  </si>
  <si>
    <t>R 10,123.17</t>
  </si>
  <si>
    <t>REC 100-50</t>
  </si>
  <si>
    <t>REC10050</t>
  </si>
  <si>
    <t>SISW c/w 0.55 kW 2P 380V</t>
  </si>
  <si>
    <t>RB7/0.5</t>
  </si>
  <si>
    <t>Flexible connection</t>
  </si>
  <si>
    <t>RB Flex</t>
  </si>
  <si>
    <t>R 1,750.18</t>
  </si>
  <si>
    <t>RAD 355</t>
  </si>
  <si>
    <t>RAD355</t>
  </si>
  <si>
    <t>RAD 315</t>
  </si>
  <si>
    <t>RAD315</t>
  </si>
  <si>
    <t>RAD 250</t>
  </si>
  <si>
    <t>RAD250</t>
  </si>
  <si>
    <t>RAD 200</t>
  </si>
  <si>
    <t>RAD200</t>
  </si>
  <si>
    <t>RAD 160</t>
  </si>
  <si>
    <t>RAD160</t>
  </si>
  <si>
    <t>RAD 150</t>
  </si>
  <si>
    <t>RAD150</t>
  </si>
  <si>
    <t>RAD 125</t>
  </si>
  <si>
    <t>RAD125</t>
  </si>
  <si>
    <t>RAD 100</t>
  </si>
  <si>
    <t>RAD100</t>
  </si>
  <si>
    <t>R 7,907.00</t>
  </si>
  <si>
    <t>1500x600x850 long Rectangular Attenuator</t>
  </si>
  <si>
    <t>RA</t>
  </si>
  <si>
    <t>R 64,014.72</t>
  </si>
  <si>
    <t>R30 MD II ATEX 3G/D II GOR 1.1kW ATEX II 2G Ex db eb IIC T3 GB- B14 IIC T3 130 V220/380 -50 Hz IE3</t>
  </si>
  <si>
    <t>R30 MD II ATEX</t>
  </si>
  <si>
    <t>Data Book</t>
  </si>
  <si>
    <t>QCP-</t>
  </si>
  <si>
    <t>R 3,808.90</t>
  </si>
  <si>
    <t>PI150 VSD 0.75KW 380V IP20 BRK</t>
  </si>
  <si>
    <t>PWT PI150 0R7G3Z</t>
  </si>
  <si>
    <t>R 6,574.40</t>
  </si>
  <si>
    <t>PVT /50 c/w 2.2KkW 2800RPM 220V</t>
  </si>
  <si>
    <t>PVT/50</t>
  </si>
  <si>
    <t>PVT/40 c/w 1.1kW 2800RPM 220V</t>
  </si>
  <si>
    <t>PVT/40</t>
  </si>
  <si>
    <t>R 1,612.50</t>
  </si>
  <si>
    <t>PVT/30 c/w 380W 2800RPM 220V</t>
  </si>
  <si>
    <t>PVT/30</t>
  </si>
  <si>
    <t>PVT/20 c/w 130W 2880RPM 220V</t>
  </si>
  <si>
    <t>PVT/20</t>
  </si>
  <si>
    <t>VCD 250 S595 SW 1.25KW MLM 24V Master</t>
  </si>
  <si>
    <t>PTAVAV23796</t>
  </si>
  <si>
    <t>VCD 200 S595 SW 1.00KW MLM 24V Master</t>
  </si>
  <si>
    <t>PTAVAV23795</t>
  </si>
  <si>
    <t>R 1,447.50</t>
  </si>
  <si>
    <t>FAC30/4 Propeller Fan</t>
  </si>
  <si>
    <t>PRPFAN822</t>
  </si>
  <si>
    <t>The Precint</t>
  </si>
  <si>
    <t>Project Name</t>
  </si>
  <si>
    <t>R 30,000.00</t>
  </si>
  <si>
    <t>Development of web Based Fan Selection Program</t>
  </si>
  <si>
    <t>PROGRAM - Customized Programming Service</t>
  </si>
  <si>
    <t>PRA REDUCER FLP Ex d/e 25M-20F</t>
  </si>
  <si>
    <t>PRA LOCKNUT BRASS No 2 - M25</t>
  </si>
  <si>
    <t>PRA LOCKNUT BRASS No 0 &amp; 1 - M20</t>
  </si>
  <si>
    <t>PRA GLAND FLP Exde BRASS CPR N*1 M20</t>
  </si>
  <si>
    <t>R 77,000.00</t>
  </si>
  <si>
    <t>New W11F 3mm x 1300mm Plate Roller</t>
  </si>
  <si>
    <t>PR3mm x 1300mm</t>
  </si>
  <si>
    <t>1.1KW 4P 400V PAD</t>
  </si>
  <si>
    <t>PQ3090-4RH</t>
  </si>
  <si>
    <t>0.75KW 4P 400V PAD</t>
  </si>
  <si>
    <t>PQ3083-4RH</t>
  </si>
  <si>
    <t>0.37KW 2P 400V PAD</t>
  </si>
  <si>
    <t>PQ3070-2RH</t>
  </si>
  <si>
    <t>No12 (5.5mm)x19 PAN/HD POZI SELF TAPPER 10X19 7981</t>
  </si>
  <si>
    <t>POZI SELF TAPPER - 12</t>
  </si>
  <si>
    <t>No10 (4 .8mm)x19 PAN/HD POZI SELF TAPPER 10X19 7981</t>
  </si>
  <si>
    <t>POZI SELF TAPPER - 10</t>
  </si>
  <si>
    <t>R 5,600.00</t>
  </si>
  <si>
    <t>Sheets cut(10), Plates cut(56) &amp; Ends Cut(60)</t>
  </si>
  <si>
    <t>Plasma Cuts</t>
  </si>
  <si>
    <t>PINE - CRATING 25X114X3 .6M</t>
  </si>
  <si>
    <t>PINE - BXXX 50X76X6.0M</t>
  </si>
  <si>
    <t>CRATING 25X114X1.8M</t>
  </si>
  <si>
    <t>PINE</t>
  </si>
  <si>
    <t>White</t>
  </si>
  <si>
    <t>PD2</t>
  </si>
  <si>
    <t>Industrial fan - Partial Payment</t>
  </si>
  <si>
    <t>Partial Payment</t>
  </si>
  <si>
    <t>Outstanding Balance for industrial Fans</t>
  </si>
  <si>
    <t>OUTSTANDING BALANCE</t>
  </si>
  <si>
    <t>HEPA FILTER 4000M/H</t>
  </si>
  <si>
    <t>NS40/610/610/300.</t>
  </si>
  <si>
    <t>R 4,928.00</t>
  </si>
  <si>
    <t>HEPA FILTER 4000M3/H</t>
  </si>
  <si>
    <t>NS40/610/610/300</t>
  </si>
  <si>
    <t>R 7,803.96</t>
  </si>
  <si>
    <t>Non Return Discharge Dampers</t>
  </si>
  <si>
    <t>NRD</t>
  </si>
  <si>
    <t>R 1,950.00</t>
  </si>
  <si>
    <t>Accessories</t>
  </si>
  <si>
    <t>Non-Taxable Extra's</t>
  </si>
  <si>
    <t>AIRMAX-2.850 WALL MOUNT</t>
  </si>
  <si>
    <t>NONE</t>
  </si>
  <si>
    <t>R 3,812.63</t>
  </si>
  <si>
    <t>includes PDF Editing (Windows, Mac, iOS), unlimited eSigning, and Customer Support.</t>
  </si>
  <si>
    <t>NITRO PRO</t>
  </si>
  <si>
    <t>400D</t>
  </si>
  <si>
    <t>New .Impeller</t>
  </si>
  <si>
    <t>FM - UNIFORM</t>
  </si>
  <si>
    <t>TUNGSTEN BOOT BLACK 7</t>
  </si>
  <si>
    <t>N3002-TUNBOOT-600-00-07</t>
  </si>
  <si>
    <t>PROMIG 250T MACHINE</t>
  </si>
  <si>
    <t>MT-PROMIG 250T</t>
  </si>
  <si>
    <t>Majax-2 Plate Mounted 710 20.D.8 c/w 2.2 kW 4 Pole 380 V</t>
  </si>
  <si>
    <t>MTPL7102204</t>
  </si>
  <si>
    <t>Majax-2 Plate Mounted 500 20.C.8 c/w 0.37 kW 4 Pole 380 V</t>
  </si>
  <si>
    <t>MTPL5000374</t>
  </si>
  <si>
    <t>MAJAX-2 500 BAREFAN BELT DRIVEN</t>
  </si>
  <si>
    <t>MTBELT 500 20.C.8</t>
  </si>
  <si>
    <t>MAJAX-3 900 c/w 7,50KW 6P 380V</t>
  </si>
  <si>
    <t>MT9007506</t>
  </si>
  <si>
    <t>MAJAX-3 900 c/w 7,50KW 4P 380V</t>
  </si>
  <si>
    <t>MT9007504</t>
  </si>
  <si>
    <t>MAJAX-3 900 c/w 5,50KW 6P 380V</t>
  </si>
  <si>
    <t>MT9005506</t>
  </si>
  <si>
    <t>R 18,403.56</t>
  </si>
  <si>
    <t>MAJAX-3 900 c/w 5,50KW 4P 380V</t>
  </si>
  <si>
    <t>MT9005504</t>
  </si>
  <si>
    <t>MAJAX-3 900 c/w 4,00KW 6P 380V</t>
  </si>
  <si>
    <t>MT9004006</t>
  </si>
  <si>
    <t>MAJAX-3 900 c/w 4,00KW 4P 380V</t>
  </si>
  <si>
    <t>MT9004004</t>
  </si>
  <si>
    <t>MAJAX-3 900 c/w 3,00KW 6P 380V</t>
  </si>
  <si>
    <t>MT9003006</t>
  </si>
  <si>
    <t>MAJAX-3 900 c/w 3,00KW 4P 380V</t>
  </si>
  <si>
    <t>MT9003004</t>
  </si>
  <si>
    <t>MAJAX-3 900 c/w 2,20KW 6P 380V</t>
  </si>
  <si>
    <t>MT9002206</t>
  </si>
  <si>
    <t>R 9,327.96</t>
  </si>
  <si>
    <t>MAJAX-3 900 c/w 2,20KW 4P 380V</t>
  </si>
  <si>
    <t>MT9002204</t>
  </si>
  <si>
    <t>MAJAX-3 900 c/w 1,50KW 6P 380V</t>
  </si>
  <si>
    <t>MT9001506</t>
  </si>
  <si>
    <t>MAJAX-3 900 c/w 1,50KW 4P 380V</t>
  </si>
  <si>
    <t>MT9001504</t>
  </si>
  <si>
    <t>MAJAX-3 900 c/w 1,10KW 6P 380V</t>
  </si>
  <si>
    <t>MT9001106</t>
  </si>
  <si>
    <t>MAJAX-3 900 c/w 1,10KW 4P 380V</t>
  </si>
  <si>
    <t>MT9001104</t>
  </si>
  <si>
    <t>MAJAX-3 900 c/w 11,00KW 4P 380V</t>
  </si>
  <si>
    <t>MT90011004</t>
  </si>
  <si>
    <t>MAJAX-3 800 c/w 7,50KW 4P 380V</t>
  </si>
  <si>
    <t>MT8007504</t>
  </si>
  <si>
    <t>R 12,400.02</t>
  </si>
  <si>
    <t>MAJAX-3 800 c/w 5,50KW 4P 380V</t>
  </si>
  <si>
    <t>MT8005504</t>
  </si>
  <si>
    <t>R 17,409.60</t>
  </si>
  <si>
    <t>MAJAX-3 800 c/w 4,00KW 4P 380V</t>
  </si>
  <si>
    <t>MT8004004</t>
  </si>
  <si>
    <t>MAJAX-3 800 c/w 3,00KW 6P 380V</t>
  </si>
  <si>
    <t>MT8003006</t>
  </si>
  <si>
    <t>R 8,741.88</t>
  </si>
  <si>
    <t>MAJAX-3 800 c/w 3,00KW 4P 380V</t>
  </si>
  <si>
    <t>MT8003004</t>
  </si>
  <si>
    <t>MAJAX-3 800 c/w 2,20KW 6P 380V</t>
  </si>
  <si>
    <t>MT8002206</t>
  </si>
  <si>
    <t>MAJAX-2 800 c/w 2,20KW 4P 380V - FUMAX</t>
  </si>
  <si>
    <t>MT8002204.</t>
  </si>
  <si>
    <t>R 7,954.28</t>
  </si>
  <si>
    <t>MAJAX-3 800 c/w 2,20KW 4P 380V</t>
  </si>
  <si>
    <t>MT8002204</t>
  </si>
  <si>
    <t>MAJAX-3 800 c/w 1,50KW 6P 380V</t>
  </si>
  <si>
    <t>MT8001506</t>
  </si>
  <si>
    <t>MAJAX-3 800 c/w 1,50KW 4P 380V</t>
  </si>
  <si>
    <t>MT8001504</t>
  </si>
  <si>
    <t>MAJAX-3 800 c/w 1,10KW 6P 380V</t>
  </si>
  <si>
    <t>MT8001106</t>
  </si>
  <si>
    <t>MAJAX-3 800 c/w 11,00KW 4P 380V</t>
  </si>
  <si>
    <t>MT80011004</t>
  </si>
  <si>
    <t>MAJAX-3 800 c/w 0,55KW 6P 380V</t>
  </si>
  <si>
    <t>MT8000556</t>
  </si>
  <si>
    <t>Majax-2 760-32-E-8 c/w 3.0KW 4P 380V</t>
  </si>
  <si>
    <t>MT7603004</t>
  </si>
  <si>
    <t>MAJAX-3 710 c/w 7,50KW 4P 380V</t>
  </si>
  <si>
    <t>MT7107504</t>
  </si>
  <si>
    <t>MAJAX-3 710 c/w 5,50KW 6P 380V</t>
  </si>
  <si>
    <t>MT7105506</t>
  </si>
  <si>
    <t>MAJAX-3 710 c/w 5,50KW 4P 380V</t>
  </si>
  <si>
    <t>MT7105504</t>
  </si>
  <si>
    <t>MAJAX-3 710 c/w 4,00KW 6P 380V</t>
  </si>
  <si>
    <t>MT7104006</t>
  </si>
  <si>
    <t>MAJAX-3 710 c/w 4,00KW 4P 380V</t>
  </si>
  <si>
    <t>MT7104004</t>
  </si>
  <si>
    <t>MAJAX-3 710 c/w 3,00KW 6P 380V</t>
  </si>
  <si>
    <t>MT7103006</t>
  </si>
  <si>
    <t>MAJAX-3 710 c/w 3,00KW 4P 380V</t>
  </si>
  <si>
    <t>MT7103004</t>
  </si>
  <si>
    <t>MAJAX-3 710 c/w 2,20KW 6P 380V</t>
  </si>
  <si>
    <t>MT7102206</t>
  </si>
  <si>
    <t>R 9,384.52</t>
  </si>
  <si>
    <t>MAJAX-3 710 c/w 2,20KW 4P 380V</t>
  </si>
  <si>
    <t>MT7102204</t>
  </si>
  <si>
    <t>MAJAX-3 710 c/w 1,50KW 6P 380V</t>
  </si>
  <si>
    <t>MT7101506</t>
  </si>
  <si>
    <t>R 14,506.00</t>
  </si>
  <si>
    <t>MAJAX-3 710 c/w 1,50KW 4P 380V</t>
  </si>
  <si>
    <t>MT7101504</t>
  </si>
  <si>
    <t>MAJAX-3 710 c/w 1,10KW 6P 380V</t>
  </si>
  <si>
    <t>MT7101106</t>
  </si>
  <si>
    <t>MAJAX-3 710 c/w 1,10KW 4P 380V</t>
  </si>
  <si>
    <t>MT7101104</t>
  </si>
  <si>
    <t>R 6,492.37</t>
  </si>
  <si>
    <t>MAJAX-3 710 c/w 0,75KW 4P 380V</t>
  </si>
  <si>
    <t>MT7100754</t>
  </si>
  <si>
    <t>MAJAX-3 710 c/w 0,55KW 6P 380V</t>
  </si>
  <si>
    <t>MT7100556</t>
  </si>
  <si>
    <t>MAJAX-3 710 c/w 0,55KW 4P 380V</t>
  </si>
  <si>
    <t>MT7100554</t>
  </si>
  <si>
    <t>R 11,339.20</t>
  </si>
  <si>
    <t>MAJAX-3 630 c/w 7,50KW 2P 380V</t>
  </si>
  <si>
    <t>MT6307502</t>
  </si>
  <si>
    <t>R 2,908.00</t>
  </si>
  <si>
    <t>MAJAX-3 630 c/w 5,50KW 2P 380V</t>
  </si>
  <si>
    <t>MT6305502</t>
  </si>
  <si>
    <t>MAJAX-3 630 c/w 3,00KW 4P 380V</t>
  </si>
  <si>
    <t>MT6303004</t>
  </si>
  <si>
    <t>MAJAX-3 630 c/w 2,20KW 4P 380V</t>
  </si>
  <si>
    <t>MT6302204</t>
  </si>
  <si>
    <t>R 7,314.90</t>
  </si>
  <si>
    <t>MAJAX-3 630 c/w 1,50KW 4P 380V</t>
  </si>
  <si>
    <t>MT6301504</t>
  </si>
  <si>
    <t>R 8,466.29</t>
  </si>
  <si>
    <t>MAJAX-3 630 c/w 1,10KW 4P 380V</t>
  </si>
  <si>
    <t>MT6301104</t>
  </si>
  <si>
    <t>MAJAX-3 630 c/w 11,00KW 2P 380V</t>
  </si>
  <si>
    <t>MT63011002</t>
  </si>
  <si>
    <t>MAJAX-3 630 c/w 0,75KW 6P 380V</t>
  </si>
  <si>
    <t>MT6300756</t>
  </si>
  <si>
    <t>MAJAX-3 630 c/w 0,75KW 4P 380V</t>
  </si>
  <si>
    <t>MT6300754</t>
  </si>
  <si>
    <t>R 6,943.86</t>
  </si>
  <si>
    <t>MAJAX-3 630 c/w 0,55KW 6P 380V</t>
  </si>
  <si>
    <t>MT6300556</t>
  </si>
  <si>
    <t>R 2,770.00</t>
  </si>
  <si>
    <t>MAJAX-3 630 c/w 0,55KW 4P 380V</t>
  </si>
  <si>
    <t>MT6300554</t>
  </si>
  <si>
    <t>MAJAX-3 630 c/w 0,37KW 4P 380V</t>
  </si>
  <si>
    <t>MT6300374</t>
  </si>
  <si>
    <t>R 1,908.00</t>
  </si>
  <si>
    <t>MAJAX-3 630 c/w 0,18KW 6P 380V</t>
  </si>
  <si>
    <t>MT6300186</t>
  </si>
  <si>
    <t>Majax-2 535 20.D.8-BIF-T200 c/w 7.5 kW 2 Pole 380V</t>
  </si>
  <si>
    <t>MT5607502BIF</t>
  </si>
  <si>
    <t>R 7,876.05</t>
  </si>
  <si>
    <t>MAJAX-3 560 c/w 4,00KW 2P 380V</t>
  </si>
  <si>
    <t>MT5604002</t>
  </si>
  <si>
    <t>R 7,167.96</t>
  </si>
  <si>
    <t>MAJAX-3 560 c/w 2,20KW 2P 380V</t>
  </si>
  <si>
    <t>MT5602202</t>
  </si>
  <si>
    <t>R 6,660.00</t>
  </si>
  <si>
    <t>MAJAX-3 560 c/w 1,50KW 4P 380V</t>
  </si>
  <si>
    <t>MT5601504</t>
  </si>
  <si>
    <t>R 6,395.00</t>
  </si>
  <si>
    <t>MAJAX-3 560 c/w 1,50KW 2P 380V</t>
  </si>
  <si>
    <t>MT5601502</t>
  </si>
  <si>
    <t>R 6,269.82</t>
  </si>
  <si>
    <t>MAJAX-3 560 c/w 1,10KW 4P 380V</t>
  </si>
  <si>
    <t>MT5601104</t>
  </si>
  <si>
    <t>MAJAX-3 560 c/w 1,10KW 2P 380V</t>
  </si>
  <si>
    <t>MT5601102</t>
  </si>
  <si>
    <t>R 5,649.00</t>
  </si>
  <si>
    <t>MAJAX-3 560 c/w 0,75KW 4P 380V</t>
  </si>
  <si>
    <t>MT5600754</t>
  </si>
  <si>
    <t>MAJAX-3 560 c/w 0,55KW 6P 380V</t>
  </si>
  <si>
    <t>MT5600556</t>
  </si>
  <si>
    <t>R 6,057.42</t>
  </si>
  <si>
    <t>MAJAX-3 560 c/w 0,55KW 4P 380V</t>
  </si>
  <si>
    <t>MT5600554</t>
  </si>
  <si>
    <t>MAJAX-3 560 c/w 0,37KW 4P 380V</t>
  </si>
  <si>
    <t>MT5600374</t>
  </si>
  <si>
    <t>MAJAX-3 560 c/w 0,18KW 6P 380V</t>
  </si>
  <si>
    <t>MT5600186</t>
  </si>
  <si>
    <t>R 7,366.00</t>
  </si>
  <si>
    <t>MAJAX-3 500 c/w 4,00KW 2P 380V</t>
  </si>
  <si>
    <t>MT5004002</t>
  </si>
  <si>
    <t>R 6,146.44</t>
  </si>
  <si>
    <t>MAJAX-3 500 c/w 2,20KW 2P 380V</t>
  </si>
  <si>
    <t>MT5002202</t>
  </si>
  <si>
    <t>MAJAX-3 500 c/w 1,50KW 4P 380V</t>
  </si>
  <si>
    <t>MT5001504</t>
  </si>
  <si>
    <t>R 10,969.00</t>
  </si>
  <si>
    <t>MAJAX-3 500 c/w 1,50KW 2P 380V</t>
  </si>
  <si>
    <t>MT5001502</t>
  </si>
  <si>
    <t>MAJAX-3 500 c/w 1,10KW 4P 380V</t>
  </si>
  <si>
    <t>MT5001104</t>
  </si>
  <si>
    <t>R 13,674.48</t>
  </si>
  <si>
    <t>MAJAX-3 500 c/w 1,10KW 2P 380V</t>
  </si>
  <si>
    <t>MT5001102</t>
  </si>
  <si>
    <t>MAJAX-3 500 c/w 0,75KW 4P 380V</t>
  </si>
  <si>
    <t>MT5000754</t>
  </si>
  <si>
    <t>R 6,221.34</t>
  </si>
  <si>
    <t>MAJAX-3 500 c/w 0,55KW 6P 380V</t>
  </si>
  <si>
    <t>MT5000556</t>
  </si>
  <si>
    <t>MAJAX-3 500 c/w 0,55KW 4P 380V</t>
  </si>
  <si>
    <t>MT5000554</t>
  </si>
  <si>
    <t>R 4,963.50</t>
  </si>
  <si>
    <t>MAJAX-3 500 c/w 0,37KW 4P 380V</t>
  </si>
  <si>
    <t>MT5000374</t>
  </si>
  <si>
    <t>R 10,392.00</t>
  </si>
  <si>
    <t>MAJAX-3 500 c/w 0,25KW 4P 380V</t>
  </si>
  <si>
    <t>MT5000254</t>
  </si>
  <si>
    <t>R 2,180.00</t>
  </si>
  <si>
    <t>MAJAX-3 500 c/w 0,18KW 6P 380V</t>
  </si>
  <si>
    <t>MT5000186</t>
  </si>
  <si>
    <t>R 5,580.89</t>
  </si>
  <si>
    <t>MAJAX-3 400 c/w 2,20KW 2P 380V</t>
  </si>
  <si>
    <t>MT4002202</t>
  </si>
  <si>
    <t>R 5,108.35</t>
  </si>
  <si>
    <t>MAJAX-3 400 c/w 1,50KW 2P 380V</t>
  </si>
  <si>
    <t>MT4001502</t>
  </si>
  <si>
    <t>R 4,664.00</t>
  </si>
  <si>
    <t>MAJAX-3 400 c/w 1,10KW 2P 380V</t>
  </si>
  <si>
    <t>MT4001102</t>
  </si>
  <si>
    <t>R 4,676.31</t>
  </si>
  <si>
    <t>MAJAX-3 400 c/w 0,55KW 2P 380V</t>
  </si>
  <si>
    <t>MT4000552</t>
  </si>
  <si>
    <t>R 4,323.00</t>
  </si>
  <si>
    <t>MAJAX-3 400 c/w 0,37KW 4P 380V</t>
  </si>
  <si>
    <t>MT4000374</t>
  </si>
  <si>
    <t>R 4,808.70</t>
  </si>
  <si>
    <t>MAJAX-3 400 c/w 0,25KW 4P 380V</t>
  </si>
  <si>
    <t>MT4000254</t>
  </si>
  <si>
    <t>MAJAX-3 400 c/w 0,18KW 6P 380V</t>
  </si>
  <si>
    <t>MT4000186</t>
  </si>
  <si>
    <t>MAJAX-3 315 c/w 0,55KW 6P 380V</t>
  </si>
  <si>
    <t>MT3150556</t>
  </si>
  <si>
    <t>R 4,018.68</t>
  </si>
  <si>
    <t>MAJAX-3 315 c/w 0,55KW 2P 380V</t>
  </si>
  <si>
    <t>MT3150552</t>
  </si>
  <si>
    <t>Majax-3 315 c/w 0.37kW 2 Pole 380V</t>
  </si>
  <si>
    <t>MT3150372</t>
  </si>
  <si>
    <t>MAJAX-3 315 c/w 0,25KW 4P 380V</t>
  </si>
  <si>
    <t>MT3150254</t>
  </si>
  <si>
    <t>MAJAX-3 315 c/w 0,18KW 6P 380V</t>
  </si>
  <si>
    <t>MT3150186</t>
  </si>
  <si>
    <t>MAJAX-3 1600 c/w 37,00KW 6P 380V</t>
  </si>
  <si>
    <t>MT160037006</t>
  </si>
  <si>
    <t>R 26,555.00</t>
  </si>
  <si>
    <t>MAJAX-3 1000 c/w 7,50KW 6P 380V</t>
  </si>
  <si>
    <t>MT10007506</t>
  </si>
  <si>
    <t>MAJAX-3 1000 c/w 7,50KW 4P 380V</t>
  </si>
  <si>
    <t>MT10007504</t>
  </si>
  <si>
    <t>R 16,136.44</t>
  </si>
  <si>
    <t>MAJAX-3 1000 c/w 5,50KW 6P 380V</t>
  </si>
  <si>
    <t>MT10005506</t>
  </si>
  <si>
    <t>R 13,279.03</t>
  </si>
  <si>
    <t>MAJAX-3 1000 c/w 5,50KW 4P 380V</t>
  </si>
  <si>
    <t>MT10005504</t>
  </si>
  <si>
    <t>MAJAX-3 1000 c/w 4,00KW 8P 380V</t>
  </si>
  <si>
    <t>MT10004008</t>
  </si>
  <si>
    <t>MAJAX-3 1000 c/w 4,00KW 6P 380V</t>
  </si>
  <si>
    <t>MT10004006</t>
  </si>
  <si>
    <t>R 9,552.19</t>
  </si>
  <si>
    <t>MAJAX-3 1000 c/w 4,00KW 4P 380V</t>
  </si>
  <si>
    <t>MT10004004</t>
  </si>
  <si>
    <t>MAJAX-3 1000 c/w 3,00KW 6P 380V</t>
  </si>
  <si>
    <t>MT10003006</t>
  </si>
  <si>
    <t>MAJAX-3 1000 c/w 3,00KW 4P 380V</t>
  </si>
  <si>
    <t>MT10003004</t>
  </si>
  <si>
    <t>MAJAX-3 1000 c/w 30,00KW 4P 380V</t>
  </si>
  <si>
    <t>MT100030004</t>
  </si>
  <si>
    <t>MAJAX-3 1000 c/w 2,20KW 6P 380V</t>
  </si>
  <si>
    <t>MT10002206</t>
  </si>
  <si>
    <t>MAJAX-3 1000 c/w 22,00KW 4P 380V</t>
  </si>
  <si>
    <t>MT100022004</t>
  </si>
  <si>
    <t>R 49,784.83</t>
  </si>
  <si>
    <t>MAJAX-3 1000 c/w 18,50KW 4P 380V</t>
  </si>
  <si>
    <t>MT100018504</t>
  </si>
  <si>
    <t>MAJAX-3 1000 c/w 1,50KW 6P 380V</t>
  </si>
  <si>
    <t>MT10001506</t>
  </si>
  <si>
    <t>R 3,940.50</t>
  </si>
  <si>
    <t>MAJAX-3 1000 c/w 15,00KW 4P 380V</t>
  </si>
  <si>
    <t>MT100015004</t>
  </si>
  <si>
    <t>MAJAX-3 1000 c/w 1,10KW 6P 380V</t>
  </si>
  <si>
    <t>MT10001106</t>
  </si>
  <si>
    <t>MAJAX-3 1000 c/w 11,00KW 6P 380V</t>
  </si>
  <si>
    <t>MT100011006</t>
  </si>
  <si>
    <t>MAJAX-3 1000 c/w 11,00KW 4P 380V</t>
  </si>
  <si>
    <t>MT100011004</t>
  </si>
  <si>
    <t>MAJAX-3 630 c/w 2,20KW 4P 220V</t>
  </si>
  <si>
    <t>MS6302204</t>
  </si>
  <si>
    <t>MAJAX-3 630 c/w 1,50KW 4P 220V</t>
  </si>
  <si>
    <t>MS6301504</t>
  </si>
  <si>
    <t>MAJAX-3 630 c/w 1,10KW 4P 220V</t>
  </si>
  <si>
    <t>MS6301104</t>
  </si>
  <si>
    <t>MAJAX-3 630 c/w 0,75KW 4P 220V</t>
  </si>
  <si>
    <t>MS6300754</t>
  </si>
  <si>
    <t>MAJAX-3 630 c/w 0,55KW 6P 220V</t>
  </si>
  <si>
    <t>MS6300556</t>
  </si>
  <si>
    <t>MAJAX-3 630 c/w 0,55KW 4P 220V</t>
  </si>
  <si>
    <t>MS6300554</t>
  </si>
  <si>
    <t>MAJAX-3 630 c/w 0,37KW 4P 220V</t>
  </si>
  <si>
    <t>MS6300374</t>
  </si>
  <si>
    <t>MAJAX-3 630 c/w 0,18KW 6P 220V</t>
  </si>
  <si>
    <t>MS6300186</t>
  </si>
  <si>
    <t>R 10,432.26</t>
  </si>
  <si>
    <t>MAJAX-3 560 c/w 5,50KW 2P 220V</t>
  </si>
  <si>
    <t>MS5605502</t>
  </si>
  <si>
    <t>MAJAX-3 560 c/w 2,20KW 2P 220V</t>
  </si>
  <si>
    <t>MS5602202</t>
  </si>
  <si>
    <t>MAJAX-3 560 c/w 1,50KW 4P 220V</t>
  </si>
  <si>
    <t>MS5601504</t>
  </si>
  <si>
    <t>MAJAX-3 560 c/w 1,50KW 2P 220V</t>
  </si>
  <si>
    <t>MS5601502</t>
  </si>
  <si>
    <t>MAJAX-3 560 c/w 1,10KW 4P 220V</t>
  </si>
  <si>
    <t>MS5601104</t>
  </si>
  <si>
    <t>MAJAX-3 560 c/w 1,10KW 2P 220V</t>
  </si>
  <si>
    <t>MS5601102</t>
  </si>
  <si>
    <t>MAJAX-3 560 c/w 0,75KW 4P 220V</t>
  </si>
  <si>
    <t>MS5600754</t>
  </si>
  <si>
    <t>MAJAX-3 560 c/w 0,55KW 6P 220V</t>
  </si>
  <si>
    <t>MS5600556</t>
  </si>
  <si>
    <t>MAJAX-3 560 c/w 0,55KW 4P 220V</t>
  </si>
  <si>
    <t>MS5600554</t>
  </si>
  <si>
    <t>MAJAX-3 560 c/w 0,37KW 4P 220V</t>
  </si>
  <si>
    <t>MS5600374</t>
  </si>
  <si>
    <t>MAJAX-3 560 c/w 0,18KW 6P 220V</t>
  </si>
  <si>
    <t>MS5600186</t>
  </si>
  <si>
    <t>MAJAX-3 500 c/w 2,20KW 2P 220V</t>
  </si>
  <si>
    <t>MS5002202</t>
  </si>
  <si>
    <t>MAJAX-3 500 c/w 1,50KW 4P 220V</t>
  </si>
  <si>
    <t>MS5001504</t>
  </si>
  <si>
    <t>MAJAX-3 500 c/w 1,50KW 2P 220V</t>
  </si>
  <si>
    <t>MS5001502</t>
  </si>
  <si>
    <t>MAJAX-3 500 c/w 1,10KW 4P 220V</t>
  </si>
  <si>
    <t>MS5001104</t>
  </si>
  <si>
    <t>MAJAX-3 500 c/w 1,10KW 2P 220V</t>
  </si>
  <si>
    <t>MS5001102</t>
  </si>
  <si>
    <t>MAJAX-3 500 c/w 0,75KW 4P 220V</t>
  </si>
  <si>
    <t>MS5000754</t>
  </si>
  <si>
    <t>MAJAX-3 500 c/w 0,75KW 2P 220V</t>
  </si>
  <si>
    <t>MS5000752</t>
  </si>
  <si>
    <t>MAJAX-3 500 c/w 0,55KW 6P 220V</t>
  </si>
  <si>
    <t>MS5000556</t>
  </si>
  <si>
    <t>MAJAX-3 500 c/w 0,55KW 4P 220V</t>
  </si>
  <si>
    <t>MS5000554</t>
  </si>
  <si>
    <t>MAJAX-3 500 c/w 0,37KW 4P 220V</t>
  </si>
  <si>
    <t>MS5000374</t>
  </si>
  <si>
    <t>MAJAX-3 500 c/w 0,25KW 4P 220V</t>
  </si>
  <si>
    <t>MS5000254</t>
  </si>
  <si>
    <t>MAJAX-3 500 c/w 0,18KW 6P 220V</t>
  </si>
  <si>
    <t>MS5000186</t>
  </si>
  <si>
    <t>MAJAX-3 400 c/w 2,20KW 2P 220V</t>
  </si>
  <si>
    <t>MS4002202</t>
  </si>
  <si>
    <t>MAJAX-3 400 c/w 1,50KW 2P 220V</t>
  </si>
  <si>
    <t>MS4001502</t>
  </si>
  <si>
    <t>MAJAX-3 400 c/w 1,10KW 2P 220V</t>
  </si>
  <si>
    <t>MS4001102</t>
  </si>
  <si>
    <t>MAJAX-3 400 c/w 0,75KW 4P 220V</t>
  </si>
  <si>
    <t>MS4000754</t>
  </si>
  <si>
    <t>MAJAX-3 400 c/w 0,55KW 2P 220V</t>
  </si>
  <si>
    <t>MS4000552</t>
  </si>
  <si>
    <t>MAJAX-3 400 c/w 0,37KW 4P 220V</t>
  </si>
  <si>
    <t>MS4000374</t>
  </si>
  <si>
    <t>MAJAX-3 400 c/w 0,25KW 4P 220V</t>
  </si>
  <si>
    <t>MS4000254</t>
  </si>
  <si>
    <t>MAJAX-3 400 c/w 0,18KW 6P 220V</t>
  </si>
  <si>
    <t>MS4000186</t>
  </si>
  <si>
    <t>MAJAX-3 315 c/w 0,55KW 6P 220V</t>
  </si>
  <si>
    <t>MS3150556</t>
  </si>
  <si>
    <t>MAJAX-3 315 c/w 0,55KW 4P 220V</t>
  </si>
  <si>
    <t>MS3150554</t>
  </si>
  <si>
    <t>MAJAX-3 315 c/w 0,55KW 2P 220V</t>
  </si>
  <si>
    <t>MS3150552</t>
  </si>
  <si>
    <t>c/w 18.5 kW 4 Pole 380 V (Belt Driven)</t>
  </si>
  <si>
    <t>MRB 800/1.0 SI</t>
  </si>
  <si>
    <t>c/w 4 kW 2 Pole 380 V (Direct Driven)</t>
  </si>
  <si>
    <t>MRB 250/0.75</t>
  </si>
  <si>
    <t>MRAD 315</t>
  </si>
  <si>
    <t>MRAD315</t>
  </si>
  <si>
    <t>Rewind motor to 60Hz incl. SATMOS Treatment</t>
  </si>
  <si>
    <t>MR60Hz</t>
  </si>
  <si>
    <t>4 Aluminum Hose Sleeve MP</t>
  </si>
  <si>
    <t>MP9.</t>
  </si>
  <si>
    <t>R 2,335.00</t>
  </si>
  <si>
    <t>Impeller 0710mm 'B' 150A10AR 28mm 100Frame Deg00 - 35 DEG</t>
  </si>
  <si>
    <t>MP0710B150A10AR28100</t>
  </si>
  <si>
    <t>Impeller 0710mm 'B' 150A05PR 24mm 090Frame Deg00 - 23 DEG</t>
  </si>
  <si>
    <t>MP0710B150A05PR240901</t>
  </si>
  <si>
    <t>eller 0710mm 'B' 150A05PR 24mm 090Frame Deg00 - 21 DEG</t>
  </si>
  <si>
    <t>MP0710B150A05PR24090</t>
  </si>
  <si>
    <t>Impeller 0630mm 'B' 150A10AR 24mm 090Frame Deg00 - 27 DEG</t>
  </si>
  <si>
    <t>MP0630B150A10AR24090</t>
  </si>
  <si>
    <t>R 1,314.00</t>
  </si>
  <si>
    <t>Impeller 0500mm 'B' 150A05AR 24mm 090Frame Deg00 - 14 DEG</t>
  </si>
  <si>
    <t>MP0500B150A05AR24090</t>
  </si>
  <si>
    <t>Impeller 0400mm 'B' 150A05PR 14mm 071Frame Deg00 -10 DEG</t>
  </si>
  <si>
    <t>MP0400B150A05PR14071</t>
  </si>
  <si>
    <t>Majax-1 470 Impeller</t>
  </si>
  <si>
    <t>MJ1500</t>
  </si>
  <si>
    <t>Laser-Cut Mild Steel Plate 620x620x1.6mm</t>
  </si>
  <si>
    <t>Mild Steel-620x620x1.6mm</t>
  </si>
  <si>
    <t>Laser-Cut Mild Steel Plate 310x310x1.6mm</t>
  </si>
  <si>
    <t>Mild Steel-310x310x1.6mm</t>
  </si>
  <si>
    <t>Laser-Cut Mild Steel Plate 200x200x1.6mm</t>
  </si>
  <si>
    <t>Mild Steel-200x200x1.6mm</t>
  </si>
  <si>
    <t>MFAJAX-3 1250 c/w 7,50KW 8P 380V</t>
  </si>
  <si>
    <t>MH12507508</t>
  </si>
  <si>
    <t>MFAJAX-3 1250 c/w 7,50KW 6P 380V</t>
  </si>
  <si>
    <t>MH12507506</t>
  </si>
  <si>
    <t>MFAJAX-3 1250 c/w 75,00KW 4P 380V</t>
  </si>
  <si>
    <t>MH125075004</t>
  </si>
  <si>
    <t>MFAJAX-3 1250 c/w 5,50KW 8P 380V</t>
  </si>
  <si>
    <t>MH12505508</t>
  </si>
  <si>
    <t>MFAJAX-3 1250 c/w 5,50KW 6P 380V</t>
  </si>
  <si>
    <t>MH12505506</t>
  </si>
  <si>
    <t>MFAJAX-3 1250 c/w 55,00KW 4P 380V</t>
  </si>
  <si>
    <t>MH125055004</t>
  </si>
  <si>
    <t>MFAJAX-3 1250 c/w 45,00KW 6P 380V</t>
  </si>
  <si>
    <t>MH125045006</t>
  </si>
  <si>
    <t>R 61,563.24</t>
  </si>
  <si>
    <t>MFAJAX-3 1250 c/w 45,00KW 4P 380V</t>
  </si>
  <si>
    <t>MH125045004</t>
  </si>
  <si>
    <t>MFAJAX-3 1250 c/w 4,00KW 8P 380V</t>
  </si>
  <si>
    <t>MH12504008</t>
  </si>
  <si>
    <t>MFAJAX-3 1250 c/w 4,00KW 6P 380V</t>
  </si>
  <si>
    <t>MH12504006</t>
  </si>
  <si>
    <t>MFAJAX-3 1250 c/w 37,00KW 8P 380V</t>
  </si>
  <si>
    <t>MH125037008</t>
  </si>
  <si>
    <t>MFAJAX-3 1250 c/w 37,00KW 6P 380V</t>
  </si>
  <si>
    <t>MH125037006</t>
  </si>
  <si>
    <t>MFAJAX-3 1250 c/w 37,00KW 4P 380V</t>
  </si>
  <si>
    <t>MH125037004</t>
  </si>
  <si>
    <t>MFAJAX-3 1250 c/w 3,00KW 6P 380V</t>
  </si>
  <si>
    <t>MH12503006</t>
  </si>
  <si>
    <t>MFAJAX-3 1250 c/w 30,00KW 8P 380V</t>
  </si>
  <si>
    <t>MH125030008</t>
  </si>
  <si>
    <t>MFAJAX-3 1250 c/w 30,00KW 6P 380V</t>
  </si>
  <si>
    <t>MH125030006</t>
  </si>
  <si>
    <t>MFAJAX-3 1250 c/w 30,00KW 4P 380V</t>
  </si>
  <si>
    <t>MH125030004</t>
  </si>
  <si>
    <t>MFAJAX-3 1250 c/w 22,00KW 8P 380V</t>
  </si>
  <si>
    <t>MH125022008</t>
  </si>
  <si>
    <t>MFAJAX-3 1250 c/w 22,00KW 6P 380V</t>
  </si>
  <si>
    <t>MH125022006</t>
  </si>
  <si>
    <t>MFAJAX-3 1250 c/w 22,00KW 4P 380V</t>
  </si>
  <si>
    <t>MH125022004</t>
  </si>
  <si>
    <t>MFAJAX-3 1250 c/w 18,50KW 8P 380V</t>
  </si>
  <si>
    <t>MH125018508</t>
  </si>
  <si>
    <t>MFAJAX-3 1250 c/w 18,50KW 6P 380V</t>
  </si>
  <si>
    <t>MH125018506</t>
  </si>
  <si>
    <t>MFAJAX-3 1250 c/w 18,50KW 4P 380V</t>
  </si>
  <si>
    <t>MH125018504</t>
  </si>
  <si>
    <t>MFAJAX-3 1250 c/w 15,00KW 8P 380V</t>
  </si>
  <si>
    <t>MH125015008</t>
  </si>
  <si>
    <t>MFAJAX-3 1250 c/w 15,00KW 6P 380V</t>
  </si>
  <si>
    <t>MH125015006</t>
  </si>
  <si>
    <t>MFAJAX-3 1250 c/w 15,00KW 4P 380V</t>
  </si>
  <si>
    <t>MH125015004</t>
  </si>
  <si>
    <t>MFAJAX-3 1250 c/w 11,00KW 8P 380V</t>
  </si>
  <si>
    <t>MH125011008</t>
  </si>
  <si>
    <t>MFAJAX-3 1250 c/w 11,00KW 6P 380V</t>
  </si>
  <si>
    <t>MH125011006</t>
  </si>
  <si>
    <t>MFAJAX-3 1250 c/w 11,00KW 4P 380V</t>
  </si>
  <si>
    <t>MH125011004</t>
  </si>
  <si>
    <t>MAXFLO 800/250/14 P c/w 7,50KW 4P 380V</t>
  </si>
  <si>
    <t>MFPZ8007504</t>
  </si>
  <si>
    <t>MAXFLO 800/250/14 P c/w 5,50KW 4P 380V</t>
  </si>
  <si>
    <t>MFPZ8005504</t>
  </si>
  <si>
    <t>MAXFLO 800/250/14 P c/w 4,00KW 4P 380V</t>
  </si>
  <si>
    <t>MFPZ8004004</t>
  </si>
  <si>
    <t>MAXFLO 800/250/14 P c/w 3,00KW 6P 380V</t>
  </si>
  <si>
    <t>MFPZ8003006</t>
  </si>
  <si>
    <t>MAXFLO 800/250/14 P c/w 3,00KW 4P 380V</t>
  </si>
  <si>
    <t>MFPZ8003004</t>
  </si>
  <si>
    <t>MAXFLO 800/250/14 P c/w 2,20KW 6P 380V</t>
  </si>
  <si>
    <t>MFPZ8002206</t>
  </si>
  <si>
    <t>R 8,203.00</t>
  </si>
  <si>
    <t>MAXFLO 800/250/14 P c/w 2,20KW 4P 380V</t>
  </si>
  <si>
    <t>MFPZ8002204</t>
  </si>
  <si>
    <t>MAXFLO 800/250/14 P c/w 1,50KW 6P 380V</t>
  </si>
  <si>
    <t>MFPZ8001506</t>
  </si>
  <si>
    <t>MAXFLO 800/250/14 P c/w 1,50KW 4P 380V</t>
  </si>
  <si>
    <t>MFPZ8001504</t>
  </si>
  <si>
    <t>MAXFLO 800/250/14 P c/w 1,10KW 6P 380V</t>
  </si>
  <si>
    <t>MFPZ8001106</t>
  </si>
  <si>
    <t>MAXFLO 800/250/14 P c/w 1,10KW 4P 380V</t>
  </si>
  <si>
    <t>MFPZ8001104</t>
  </si>
  <si>
    <t>MAXFLO 800/250/14 P c/w 0,75KW 6P 380V</t>
  </si>
  <si>
    <t>MFPZ8000756</t>
  </si>
  <si>
    <t>MAXFLO 800/250/14 P c/w 0,55KW 6P 380V</t>
  </si>
  <si>
    <t>MFPZ8000556</t>
  </si>
  <si>
    <t>MAXFLO 710/250/14 P c/w 5,50KW 4P 380V</t>
  </si>
  <si>
    <t>MFPZ7105504</t>
  </si>
  <si>
    <t>MAXFLO 710/250/14 P c/w 4,00KW 4P 380V</t>
  </si>
  <si>
    <t>MFPZ7104004</t>
  </si>
  <si>
    <t>MAXFLO 710/250/14 P c/w 3,00KW 4P 380V</t>
  </si>
  <si>
    <t>MFPZ7103004</t>
  </si>
  <si>
    <t>MAXFLO 710/250/14 P c/w 2,20KW 4P 380V</t>
  </si>
  <si>
    <t>MFPZ7102204</t>
  </si>
  <si>
    <t>MAXFLO 710/250/14 P c/w 1,50KW 6P 380V</t>
  </si>
  <si>
    <t>MFPZ7101506</t>
  </si>
  <si>
    <t>R 6,479.30</t>
  </si>
  <si>
    <t>MAXFLO 710/250/14 P c/w 1,50KW 4P 380V</t>
  </si>
  <si>
    <t>MFPZ7101504</t>
  </si>
  <si>
    <t>MAXFLO 710/250/14 P c/w 1,10KW 6P 380V</t>
  </si>
  <si>
    <t>MFPZ7101106</t>
  </si>
  <si>
    <t>MAXFLO 710/250/14 P c/w 1,10KW 4P 380V</t>
  </si>
  <si>
    <t>MFPZ7101104</t>
  </si>
  <si>
    <t>MAXFLO 710/250/14 P c/w 0,75KW 4P 380V</t>
  </si>
  <si>
    <t>MFPZ7100754</t>
  </si>
  <si>
    <t>MAXFLO 710/250/14 P c/w 0,55KW 6P 380V</t>
  </si>
  <si>
    <t>MFPZ7100556</t>
  </si>
  <si>
    <t>MAXFLO 630/250/14 P c/w 4,00KW 4P 380V</t>
  </si>
  <si>
    <t>MFPZ6304004</t>
  </si>
  <si>
    <t>MAXFLO 630/250/14 P c/w 4,00KW 2P 380V</t>
  </si>
  <si>
    <t>MFPZ6304002</t>
  </si>
  <si>
    <t>R 6,348.78</t>
  </si>
  <si>
    <t>MAXFLO 630/250/14 P c/w 3,00KW 4P 380V</t>
  </si>
  <si>
    <t>MFPZ6303004</t>
  </si>
  <si>
    <t>MAXFLO 630/250/14 P c/w 2,20KW 4P 380V</t>
  </si>
  <si>
    <t>MFPZ6302204</t>
  </si>
  <si>
    <t>MAXFLO 630/250/14 P c/w 1,50KW 4P 380V</t>
  </si>
  <si>
    <t>MFPZ6301504</t>
  </si>
  <si>
    <t>R 2,032.30</t>
  </si>
  <si>
    <t>MAXFLO 630/250/14 P c/w 1,10KW 4P 380V</t>
  </si>
  <si>
    <t>MFPZ6301104</t>
  </si>
  <si>
    <t>MAXFLO 630/250/14 P c/w 0,75KW 4P 380V</t>
  </si>
  <si>
    <t>MFPZ6300754</t>
  </si>
  <si>
    <t>MAXFLO 630/250/14 P c/w 0,55KW 4P 380V</t>
  </si>
  <si>
    <t>MFPZ6300554</t>
  </si>
  <si>
    <t>MAXFLO 630/250/14 P c/w 0,37KW 4P 380V</t>
  </si>
  <si>
    <t>MFPZ6300374</t>
  </si>
  <si>
    <t>MAXFLO 560/250/14 P c/w 4,00KW 2P 380V</t>
  </si>
  <si>
    <t>MFPZ5604002</t>
  </si>
  <si>
    <t>MAXFLO 560/250/14 P c/w 2,20KW 2P 380V</t>
  </si>
  <si>
    <t>MFPZ5602202</t>
  </si>
  <si>
    <t>MAXFLO 560/250/14 P c/w 1,50KW 4P 380V</t>
  </si>
  <si>
    <t>MFPZ5601504</t>
  </si>
  <si>
    <t>R 5,601.00</t>
  </si>
  <si>
    <t>MAXFLO 560/250/14 P c/w 1,10KW 4P 380V</t>
  </si>
  <si>
    <t>MFPZ5601104</t>
  </si>
  <si>
    <t>MAXFLO 560/250/14 P c/w 0,75KW 6P 380V</t>
  </si>
  <si>
    <t>MFPZ5600756</t>
  </si>
  <si>
    <t>R 5,355.45</t>
  </si>
  <si>
    <t>MAXFLO 560/250/14 P c/w 0,75KW 4P 380V</t>
  </si>
  <si>
    <t>MFPZ5600754</t>
  </si>
  <si>
    <t>MAXFLO 560/250/14 P c/w 0,55KW 6P 380V</t>
  </si>
  <si>
    <t>MFPZ5600556</t>
  </si>
  <si>
    <t>R 5,138.00</t>
  </si>
  <si>
    <t>MAXFLO 560/250/14 P c/w 0,55KW 4P 380V</t>
  </si>
  <si>
    <t>MFPZ5600554</t>
  </si>
  <si>
    <t>MAXFLO 560/250/14 P c/w 0,37KW 4P 380V</t>
  </si>
  <si>
    <t>MFPZ5600374</t>
  </si>
  <si>
    <t>MAXFLO 800/150/10 P c/w 7,50KW 4P 380V</t>
  </si>
  <si>
    <t>MFPY8007504</t>
  </si>
  <si>
    <t>MAXFLO 800/150/10 P c/w 5,50KW 4P 380V</t>
  </si>
  <si>
    <t>MFPY8005504</t>
  </si>
  <si>
    <t>MAXFLO 800/150/10 P c/w 4,00KW 4P 380V</t>
  </si>
  <si>
    <t>MFPY8004004</t>
  </si>
  <si>
    <t>MAXFLO 800/150/10 P c/w 3,00KW 6P 380V</t>
  </si>
  <si>
    <t>MFPY8003006</t>
  </si>
  <si>
    <t>MAXFLO 800/150/10 P c/w 3,00KW 4P 380V</t>
  </si>
  <si>
    <t>MFPY8003004</t>
  </si>
  <si>
    <t>MAXFLO 800/150/10 P c/w 2,20KW 6P 380V</t>
  </si>
  <si>
    <t>MFPY8002206</t>
  </si>
  <si>
    <t>MAXFLO 800/150/10 P c/w 2,20KW 4P 380V</t>
  </si>
  <si>
    <t>MFPY8002204</t>
  </si>
  <si>
    <t>MAXFLO 800/150/10 P c/w 1,50KW 6P 380V</t>
  </si>
  <si>
    <t>MFPY8001506</t>
  </si>
  <si>
    <t>MAXFLO 800/150/10 P c/w 1,50KW 4P 380V</t>
  </si>
  <si>
    <t>MFPY8001504</t>
  </si>
  <si>
    <t>MAXFLO 800/150/10 P c/w 1,10KW 6P 380V</t>
  </si>
  <si>
    <t>MFPY8001106</t>
  </si>
  <si>
    <t>MAXFLO 800/150/10 P c/w 1,10KW 4P 380V</t>
  </si>
  <si>
    <t>MFPY8001104</t>
  </si>
  <si>
    <t>MAXFLO 800/150/10 P c/w 0,75KW 6P 380V</t>
  </si>
  <si>
    <t>MFPY8000756</t>
  </si>
  <si>
    <t>MAXFLO 800/150/10 P c/w 0,55KW 6P 380V</t>
  </si>
  <si>
    <t>MFPY8000556</t>
  </si>
  <si>
    <t>MAXFLO 710/150/10 P c/w 5,50KW 4P 380V</t>
  </si>
  <si>
    <t>MFPY7105504</t>
  </si>
  <si>
    <t>MAXFLO 710/150/10 P c/w 4,00KW 4P 380V</t>
  </si>
  <si>
    <t>MFPY7104004</t>
  </si>
  <si>
    <t>MAXFLO 710/150/10 P c/w 3,00KW 4P 380V</t>
  </si>
  <si>
    <t>MFPY7103004</t>
  </si>
  <si>
    <t>MAXFLO 710/150/10 P c/w 2,20KW 4P 380V</t>
  </si>
  <si>
    <t>MFPY7102204</t>
  </si>
  <si>
    <t>MAXFLO 710/150/10 P c/w 1,50KW 6P 380V</t>
  </si>
  <si>
    <t>MFPY7101506</t>
  </si>
  <si>
    <t>MAXFLO 710/150/10 P c/w 1,50KW 4P 380V</t>
  </si>
  <si>
    <t>MFPY7101504</t>
  </si>
  <si>
    <t>MAXFLO 710/150/10 P c/w 1,10KW 6P 380V</t>
  </si>
  <si>
    <t>MFPY7101106</t>
  </si>
  <si>
    <t>MAXFLO 710/150/10 P c/w 1,10KW 4P 380V</t>
  </si>
  <si>
    <t>MFPY7101104</t>
  </si>
  <si>
    <t>MAXFLO 710/150/10 P c/w 0,75KW 4P 380V</t>
  </si>
  <si>
    <t>MFPY7100754</t>
  </si>
  <si>
    <t>MAXFLO 710/150/10 P c/w 0,55KW 6P 380V</t>
  </si>
  <si>
    <t>MFPY7100556</t>
  </si>
  <si>
    <t>MAXFLO 630/150/10 P c/w 4,00KW 4P 380V</t>
  </si>
  <si>
    <t>MFPY6304004</t>
  </si>
  <si>
    <t>MAXFLO 630/150/10 P c/w 4,00KW 2P 380V</t>
  </si>
  <si>
    <t>MFPY6304002</t>
  </si>
  <si>
    <t>MAXFLO 630/150/10 P c/w 3,00KW 4P 380V</t>
  </si>
  <si>
    <t>MFPY6303004</t>
  </si>
  <si>
    <t>MAXFLO 630/150/10 P c/w 2,20KW 4P 380V</t>
  </si>
  <si>
    <t>MFPY6302204</t>
  </si>
  <si>
    <t>MAXFLO 630/150/10 P c/w 1,50KW 4P 380V</t>
  </si>
  <si>
    <t>MFPY6301504</t>
  </si>
  <si>
    <t>MAXFLO 630/150/10 P c/w 1,10KW 6P 380V</t>
  </si>
  <si>
    <t>MFPY6301106</t>
  </si>
  <si>
    <t>R 5,809.20</t>
  </si>
  <si>
    <t>MAXFLO 630/150/10 P c/w 1,10KW 4P 380V</t>
  </si>
  <si>
    <t>MFPY6301104</t>
  </si>
  <si>
    <t>MAXFLO 630/150/10 P c/w 0,75KW 6P 380V</t>
  </si>
  <si>
    <t>MFPY6300756</t>
  </si>
  <si>
    <t>R 5,978.54</t>
  </si>
  <si>
    <t>MAXFLO 630/150/10 P c/w 0,75KW 4P 380V</t>
  </si>
  <si>
    <t>MFPY6300754</t>
  </si>
  <si>
    <t>MAXFLO 630/150/10 P c/w 0,55KW 6P 380V</t>
  </si>
  <si>
    <t>MFPY6300556</t>
  </si>
  <si>
    <t>MAXFLO 630/150/10 P c/w 0,55KW 4P 380V</t>
  </si>
  <si>
    <t>MFPY6300554</t>
  </si>
  <si>
    <t>MAXFLO 630/150/10 P c/w 0,37KW 4P 380V</t>
  </si>
  <si>
    <t>MFPY6300374</t>
  </si>
  <si>
    <t>MAXFLO 560/150/10 P c/w 4,00KW 2P 380V</t>
  </si>
  <si>
    <t>MFPY5604002</t>
  </si>
  <si>
    <t>MAXFLO 560/150/10 P c/w 2,20KW 2P 380V</t>
  </si>
  <si>
    <t>MFPY5602202</t>
  </si>
  <si>
    <t>MAXFLO 560/150/10 P c/w 1,50KW 4P 380V</t>
  </si>
  <si>
    <t>MFPY5601504</t>
  </si>
  <si>
    <t>R 5,419.00</t>
  </si>
  <si>
    <t>MAXFLO 560/150/10 P c/w 1,10KW 4P 380V</t>
  </si>
  <si>
    <t>MFPY5601104</t>
  </si>
  <si>
    <t>R 3,606.45</t>
  </si>
  <si>
    <t>MAXFLO 560/150/10 P c/w 0,75KW 4P 380V</t>
  </si>
  <si>
    <t>MFPY5600754</t>
  </si>
  <si>
    <t>MAXFLO 560/150/10 P c/w 0,55KW 6P 380V</t>
  </si>
  <si>
    <t>MFPY5600556</t>
  </si>
  <si>
    <t>R 5,138.69</t>
  </si>
  <si>
    <t>MAXFLO 560/150/10 P c/w 0,55KW 4P 380V</t>
  </si>
  <si>
    <t>MFPY5600554</t>
  </si>
  <si>
    <t>MAXFLO 560/150/10 P c/w 0,37KW 4P 380V</t>
  </si>
  <si>
    <t>MFPY5600374</t>
  </si>
  <si>
    <t>MAXFLO 560/150/10 P c/w 0,25KW 6P 380V</t>
  </si>
  <si>
    <t>MFPY5600256</t>
  </si>
  <si>
    <t>MAXFLO 900/250/14 P c/w 7,50KW 4P 380V</t>
  </si>
  <si>
    <t>MFP9007504</t>
  </si>
  <si>
    <t>MAXFLO 900/250/14 P c/w 5,50KW 4P 380V</t>
  </si>
  <si>
    <t>MFP9005504</t>
  </si>
  <si>
    <t>MAXFLO 900/250/14 P c/w 4,00KW 6P 380V</t>
  </si>
  <si>
    <t>MFP9004006</t>
  </si>
  <si>
    <t>MAXFLO 900/250/14 P c/w 4,00KW 4P 380V</t>
  </si>
  <si>
    <t>MFP9004004</t>
  </si>
  <si>
    <t>MAXFLO 900/250/14 P c/w 3,00KW 6P 380V</t>
  </si>
  <si>
    <t>MFP9003006</t>
  </si>
  <si>
    <t>MAXFLO 900/250/14 P c/w 3,00KW 4P 380V</t>
  </si>
  <si>
    <t>MFP9003004</t>
  </si>
  <si>
    <t>MAXFLO 900/250/14 P c/w 2,20KW 4P 380V</t>
  </si>
  <si>
    <t>MFP9002204</t>
  </si>
  <si>
    <t>MAXFLO 900/250/14 P c/w 1,50KW 6P 380V</t>
  </si>
  <si>
    <t>MFP9001506</t>
  </si>
  <si>
    <t>MAXFLO 900/250/14 P c/w 11,00KW 4P 380V</t>
  </si>
  <si>
    <t>MFP90011004</t>
  </si>
  <si>
    <t>R 8,039.00</t>
  </si>
  <si>
    <t>MAXFLO 500/150/10 P c/w 4,00KW 2P 380V</t>
  </si>
  <si>
    <t>MFP5004002</t>
  </si>
  <si>
    <t>R 6,487.29</t>
  </si>
  <si>
    <t>MAXFLO 500/150/10 P c/w 2,20KW 2P 380V</t>
  </si>
  <si>
    <t>MFP5002202</t>
  </si>
  <si>
    <t>MAXFLO 500/150/10 P c/w 1,50KW 4P 380V</t>
  </si>
  <si>
    <t>MFP5001504</t>
  </si>
  <si>
    <t>MAXFLO 500/150/10 P c/w 1,10KW 4P 380V</t>
  </si>
  <si>
    <t>MFP5001104</t>
  </si>
  <si>
    <t>MAXFLO 500/150/10 P c/w 1,10KW 2P 380V</t>
  </si>
  <si>
    <t>MFP5001102</t>
  </si>
  <si>
    <t>MAXFLO 500/150/10 P c/w 0,75KW 4P 380V</t>
  </si>
  <si>
    <t>MFP5000754</t>
  </si>
  <si>
    <t>MAXFLO 500/150/10 P c/w 0,55KW 6P 380V</t>
  </si>
  <si>
    <t>MFP5000556</t>
  </si>
  <si>
    <t>R 5,284.43</t>
  </si>
  <si>
    <t>MAXFLO 500/150/10 P c/w 0,55KW 4P 380V</t>
  </si>
  <si>
    <t>MFP5000554</t>
  </si>
  <si>
    <t>R 4,138.00</t>
  </si>
  <si>
    <t>MAXFLO 500/150/10 P c/w 0,37KW 4P 380V</t>
  </si>
  <si>
    <t>MFP5000374</t>
  </si>
  <si>
    <t>MAXFLO 400/150/10 P c/w 2,20KW 2P 380V</t>
  </si>
  <si>
    <t>MFP4002202</t>
  </si>
  <si>
    <t>R 4,935.88</t>
  </si>
  <si>
    <t>MAXFLO 400/150/10 P c/w 1,10KW 2P 380V</t>
  </si>
  <si>
    <t>MFP4001102</t>
  </si>
  <si>
    <t>MAXFLO 400/150/10 P c/w 0,75KW 2P 380V</t>
  </si>
  <si>
    <t>MFP4000752</t>
  </si>
  <si>
    <t>MAXFLO 400/150/10 P c/w 0,55KW 6P 380V</t>
  </si>
  <si>
    <t>MFP4000556</t>
  </si>
  <si>
    <t>MAXFLO 400/150/10 P c/w 0,55KW 4P 380V</t>
  </si>
  <si>
    <t>MFP4000554</t>
  </si>
  <si>
    <t>MAXFLO 400/150/10 P c/w 0,55KW 2P 380V</t>
  </si>
  <si>
    <t>MFP4000552</t>
  </si>
  <si>
    <t>R 4,559.13</t>
  </si>
  <si>
    <t>MAXFLO 400/150/10 P c/w 0,37KW 4P 380V</t>
  </si>
  <si>
    <t>MFP4000374</t>
  </si>
  <si>
    <t>R 4,402.80</t>
  </si>
  <si>
    <t>MAXFLO 400/150/10 P c/w 0,25KW 4P 380V</t>
  </si>
  <si>
    <t>MFP4000254</t>
  </si>
  <si>
    <t>R 4,633.00</t>
  </si>
  <si>
    <t>MAXFLO 315/150/10 P c/w 0,75KW 2P 380V</t>
  </si>
  <si>
    <t>MFP3150752</t>
  </si>
  <si>
    <t>R 4,157.00</t>
  </si>
  <si>
    <t>MAXFLO 315/150/10 P c/w 0,55KW 2P 380V</t>
  </si>
  <si>
    <t>MFP3150552</t>
  </si>
  <si>
    <t>MAXFLO 315/150/10 P c/w 0,37KW 4P 380V</t>
  </si>
  <si>
    <t>MFP3150374</t>
  </si>
  <si>
    <t>R 4,150.17</t>
  </si>
  <si>
    <t>MAXFLO 315/150/10 P c/w 0,25KW 4P 380V</t>
  </si>
  <si>
    <t>MFP3150254</t>
  </si>
  <si>
    <t>MAXFLO 315/150/10 P c/w 0,18KW 6P 380V</t>
  </si>
  <si>
    <t>MFP3150186</t>
  </si>
  <si>
    <t>MAXFLO 1000/250/14 P c/w 7,50KW 4P 380V</t>
  </si>
  <si>
    <t>MFP10007504</t>
  </si>
  <si>
    <t>MAXFLO 1000/250/14 P c/w 5,50KW 6P 380V</t>
  </si>
  <si>
    <t>MFP10005506</t>
  </si>
  <si>
    <t>MAXFLO 1000/250/14 P c/w 5,50KW 4P 380V</t>
  </si>
  <si>
    <t>MFP10005504</t>
  </si>
  <si>
    <t>MAXFLO 1000/250/14 P c/w 4,00KW 6P 380V</t>
  </si>
  <si>
    <t>MFP10004006</t>
  </si>
  <si>
    <t>MAXFLO 1000/250/14 P c/w 4,00KW 4P 380V</t>
  </si>
  <si>
    <t>MFP10004004</t>
  </si>
  <si>
    <t>MAXFLO 1000/250/14 P c/w 3,00KW 6P 380V</t>
  </si>
  <si>
    <t>MFP10003006</t>
  </si>
  <si>
    <t>MAXFLO 1000/250/14 P c/w 2,20KW 6P 380V</t>
  </si>
  <si>
    <t>MFP10002206</t>
  </si>
  <si>
    <t>MAXFLO 1000/250/14 P c/w 18,50KW 4P 380V</t>
  </si>
  <si>
    <t>MFP100018504</t>
  </si>
  <si>
    <t>MAXFLO 1000/250/14 P c/w 15,00KW 4P 380V</t>
  </si>
  <si>
    <t>MFP100015004</t>
  </si>
  <si>
    <t>MAXFLO 1000/250/14 P c/w 11,00KW 4P 380V</t>
  </si>
  <si>
    <t>MFP100011004</t>
  </si>
  <si>
    <t>MAXFLO 800/250/14 A c/w 7,50KW 4P 380V</t>
  </si>
  <si>
    <t>MFAZ8007504</t>
  </si>
  <si>
    <t>MAXFLO 800/250/14 A c/w 5,50KW 4P 380V</t>
  </si>
  <si>
    <t>MFAZ8005504</t>
  </si>
  <si>
    <t>MAXFLO 800/250/14 A c/w 4,00KW 4P 380V</t>
  </si>
  <si>
    <t>MFAZ8004004</t>
  </si>
  <si>
    <t>MAXFLO 800/250/14 A c/w 3,00KW 6P 380V</t>
  </si>
  <si>
    <t>MFAZ8003006</t>
  </si>
  <si>
    <t>MAXFLO 800/250/14 A c/w 3,00KW 4P 380V</t>
  </si>
  <si>
    <t>MFAZ8003004</t>
  </si>
  <si>
    <t>MAXFLO 800/250/14 A c/w 2,20KW 6P 380V</t>
  </si>
  <si>
    <t>MFAZ8002206</t>
  </si>
  <si>
    <t>R 8,492.74</t>
  </si>
  <si>
    <t>MAXFLO 800/250/14 A c/w 2,20KW 4P 380V</t>
  </si>
  <si>
    <t>MFAZ8002204</t>
  </si>
  <si>
    <t>MAXFLO 800/250/14 A c/w 1,50KW 6P 380V</t>
  </si>
  <si>
    <t>MFAZ8001506</t>
  </si>
  <si>
    <t>MAXFLO 800/250/14 A c/w 1,50KW 4P 380V</t>
  </si>
  <si>
    <t>MFAZ8001504</t>
  </si>
  <si>
    <t>MAXFLO 800/250/14 A c/w 1,10KW 6P 380V</t>
  </si>
  <si>
    <t>MFAZ8001106</t>
  </si>
  <si>
    <t>MAXFLO 800/250/14 A c/w 1,10KW 4P 380V</t>
  </si>
  <si>
    <t>MFAZ8001104</t>
  </si>
  <si>
    <t>MAXFLO 800/250/14 A c/w 0,75KW 6P 380V</t>
  </si>
  <si>
    <t>MFAZ8000756</t>
  </si>
  <si>
    <t>MAXFLO 800/250/14 A c/w 0,55KW 6P 380V</t>
  </si>
  <si>
    <t>MFAZ8000556</t>
  </si>
  <si>
    <t>R 9,912.00</t>
  </si>
  <si>
    <t>MAXFLO 710/250/14 A c/w 5,50KW 4P 380V</t>
  </si>
  <si>
    <t>MFAZ7105504</t>
  </si>
  <si>
    <t>MAXFLO 710/250/14 A c/w 4,00KW 4P 380V</t>
  </si>
  <si>
    <t>MFAZ7104004</t>
  </si>
  <si>
    <t>MAXFLO 710/250/14 A c/w 3,00KW 4P 380V</t>
  </si>
  <si>
    <t>MFAZ7103004</t>
  </si>
  <si>
    <t>MAXFLO 710/250/14 A c/w 2,20KW 4P 380V</t>
  </si>
  <si>
    <t>MFAZ7102204</t>
  </si>
  <si>
    <t>MAXFLO 710/250/14 A c/w 1,50KW 6P 380V</t>
  </si>
  <si>
    <t>MFAZ7101506</t>
  </si>
  <si>
    <t>MAXFLO 710/250/14 A c/w 1,50KW 4P 380V</t>
  </si>
  <si>
    <t>MFAZ7101504</t>
  </si>
  <si>
    <t>MAXFLO 710/250/14 A c/w 1,10KW 6P 380V</t>
  </si>
  <si>
    <t>MFAZ7101106</t>
  </si>
  <si>
    <t>R 10,080.00</t>
  </si>
  <si>
    <t>MAXFLO 710/250/14 A c/w 1,10KW 4P 380V</t>
  </si>
  <si>
    <t>MFAZ7101104</t>
  </si>
  <si>
    <t>MAXFLO 710/250/14 A c/w 0,75KW 4P 380V</t>
  </si>
  <si>
    <t>MFAZ7100754</t>
  </si>
  <si>
    <t>MAXFLO 710/250/14 A c/w 0,55KW 6P 380V</t>
  </si>
  <si>
    <t>MFAZ7100556</t>
  </si>
  <si>
    <t>MAXFLO 630/250/14 A c/w 4,00KW 4P 380V</t>
  </si>
  <si>
    <t>MFAZ6304004</t>
  </si>
  <si>
    <t>MAXFLO 630/250/14 A c/w 4,00KW 2P 380V</t>
  </si>
  <si>
    <t>MFAZ6304002</t>
  </si>
  <si>
    <t>MAXFLO 630/250/14 A c/w 3,00KW 4P 380V</t>
  </si>
  <si>
    <t>MFAZ6303004</t>
  </si>
  <si>
    <t>MAXFLO 630/250/14 A c/w 2,20KW 4P 380V</t>
  </si>
  <si>
    <t>MFAZ6302204</t>
  </si>
  <si>
    <t>R 8,058.00</t>
  </si>
  <si>
    <t>MAXFLO 630/250/14 A c/w 1,50KW 4P 380V</t>
  </si>
  <si>
    <t>MFAZ6301504</t>
  </si>
  <si>
    <t>R 8,775.00</t>
  </si>
  <si>
    <t>MAXFLO 630/250/14 A c/w 1,10KW 4P 380V</t>
  </si>
  <si>
    <t>MFAZ6301104</t>
  </si>
  <si>
    <t>MAXFLO 630/250/14 A c/w 0,75KW 4P 380V</t>
  </si>
  <si>
    <t>MFAZ6300754</t>
  </si>
  <si>
    <t>MAXFLO 630/250/14 A c/w 0,55KW 4P 380V</t>
  </si>
  <si>
    <t>MFAZ6300554</t>
  </si>
  <si>
    <t>R 3,511.53</t>
  </si>
  <si>
    <t>MAXFLO 630/250/14 A c/w 0,37KW 4P 380V</t>
  </si>
  <si>
    <t>MFAZ6300374</t>
  </si>
  <si>
    <t>R 9,281.52</t>
  </si>
  <si>
    <t>MAXFLO 560/250/14 A c/w 4,00KW 2P 380V</t>
  </si>
  <si>
    <t>MFAZ5604002</t>
  </si>
  <si>
    <t>MAXFLO 560/250/14 A c/w 2,20KW 2P 380V</t>
  </si>
  <si>
    <t>MFAZ5602202</t>
  </si>
  <si>
    <t>MAXFLO 560/250/14 A c/w 1,50KW 4P 380V</t>
  </si>
  <si>
    <t>MFAZ5601504</t>
  </si>
  <si>
    <t>MAXFLO 560/250/14 A c/w 1,10KW 4P 380V</t>
  </si>
  <si>
    <t>MFAZ5601104</t>
  </si>
  <si>
    <t>MAXFLO 560/250/14 A c/w 0,75KW 6P 380V</t>
  </si>
  <si>
    <t>MFAZ5600756</t>
  </si>
  <si>
    <t>MAXFLO 560/250/14 A c/w 0,75KW 4P 380V</t>
  </si>
  <si>
    <t>MFAZ5600754</t>
  </si>
  <si>
    <t>MAXFLO 560/250/14 A c/w 0,55KW 6P 380V</t>
  </si>
  <si>
    <t>MFAZ5600556</t>
  </si>
  <si>
    <t>MAXFLO 560/250/14 A c/w 0,55KW 4P 380V</t>
  </si>
  <si>
    <t>MFAZ5600554</t>
  </si>
  <si>
    <t>MAXFLO 560/250/14 A c/w 0,37KW 4P 380V</t>
  </si>
  <si>
    <t>MFAZ5600374</t>
  </si>
  <si>
    <t>MAXFLO 800/150/10 A c/w 7,50KW 4P 380V</t>
  </si>
  <si>
    <t>MFAY8007504</t>
  </si>
  <si>
    <t>MAXFLO 800/150/10 A c/w 5,50KW 4P 380V</t>
  </si>
  <si>
    <t>MFAY8005504</t>
  </si>
  <si>
    <t>MAXFLO 800/150/10 A c/w 4,00KW 4P 380V</t>
  </si>
  <si>
    <t>MFAY8004004</t>
  </si>
  <si>
    <t>MAXFLO 800/150/10 A c/w 3,00KW 6P 380V</t>
  </si>
  <si>
    <t>MFAY8003006</t>
  </si>
  <si>
    <t>MAXFLO 800/150/10 A c/w 3,00KW 4P 380V</t>
  </si>
  <si>
    <t>MFAY8003004</t>
  </si>
  <si>
    <t>MAXFLO 800/150/10 A c/w 2,20KW 6P 380V</t>
  </si>
  <si>
    <t>MFAY8002206</t>
  </si>
  <si>
    <t>MAXFLO 800/150/10 A c/w 2,20KW 4P 380V</t>
  </si>
  <si>
    <t>MFAY8002204</t>
  </si>
  <si>
    <t>MAXFLO 800/150/10 A c/w 1,50KW 6P 380V</t>
  </si>
  <si>
    <t>MFAY8001506</t>
  </si>
  <si>
    <t>MAXFLO 800/150/10 A c/w 1,50KW 4P 380V</t>
  </si>
  <si>
    <t>MFAY8001504</t>
  </si>
  <si>
    <t>MAXFLO 800/150/10 A c/w 1,10KW 6P 380V</t>
  </si>
  <si>
    <t>MFAY8001106</t>
  </si>
  <si>
    <t>MAXFLO 800/150/10 A c/w 1,10KW 4P 380V</t>
  </si>
  <si>
    <t>MFAY8001104</t>
  </si>
  <si>
    <t>MAXFLO 800/150/10 A c/w 0,75KW 6P 380V</t>
  </si>
  <si>
    <t>MFAY8000756</t>
  </si>
  <si>
    <t>MAXFLO 800/150/10 A c/w 0,55KW 6P 380V</t>
  </si>
  <si>
    <t>MFAY8000556</t>
  </si>
  <si>
    <t>MAXFLO 710/150/10 A c/w 5,50KW 4P 380V</t>
  </si>
  <si>
    <t>MFAY7105504</t>
  </si>
  <si>
    <t>R 9,521.10</t>
  </si>
  <si>
    <t>MAXFLO 710/150/10 A c/w 4,00KW 4P 380V</t>
  </si>
  <si>
    <t>MFAY7104004</t>
  </si>
  <si>
    <t>MAXFLO 710/150/10 A c/w 3,00KW 4P 380V</t>
  </si>
  <si>
    <t>MFAY7103004</t>
  </si>
  <si>
    <t>MAXFLO 710/150/10 A c/w 2,20KW 4P 380V</t>
  </si>
  <si>
    <t>MFAY7102204</t>
  </si>
  <si>
    <t>MAXFLO 710/150/10 A c/w 1,50KW 6P 380V</t>
  </si>
  <si>
    <t>MFAY7101506</t>
  </si>
  <si>
    <t>MAXFLO 710/150/10 A c/w 1,50KW 4P 380V</t>
  </si>
  <si>
    <t>MFAY7101504</t>
  </si>
  <si>
    <t>MAXFLO 710/150/10 A c/w 1,10KW 6P 380V</t>
  </si>
  <si>
    <t>MFAY7101106</t>
  </si>
  <si>
    <t>R 8,303.00</t>
  </si>
  <si>
    <t>MAXFLO 710/150/10 A c/w 1,10KW 4P 380V</t>
  </si>
  <si>
    <t>MFAY7101104</t>
  </si>
  <si>
    <t>MAXFLO 710/150/10 A c/w 0,75KW 4P 380V</t>
  </si>
  <si>
    <t>MFAY7100754</t>
  </si>
  <si>
    <t>MAXFLO 710/150/10 A c/w 0,55KW 6P 380V</t>
  </si>
  <si>
    <t>MFAY7100556</t>
  </si>
  <si>
    <t>MAXFLO 630/150/10 A c/w 4,00KW 4P 380V</t>
  </si>
  <si>
    <t>MFAY6304004</t>
  </si>
  <si>
    <t>MAXFLO 630/150/10 A c/w 4,00KW 2P 380V</t>
  </si>
  <si>
    <t>MFAY6304002</t>
  </si>
  <si>
    <t>MAXFLO 630/150/10 A c/w 3,00KW 4P 380V</t>
  </si>
  <si>
    <t>MFAY6303004</t>
  </si>
  <si>
    <t>MAXFLO 630/150/10 A c/w 2,20KW 4P 380V</t>
  </si>
  <si>
    <t>MFAY6302204</t>
  </si>
  <si>
    <t>MAXFLO 630/150/10 A c/w 1,50KW 4P 380V</t>
  </si>
  <si>
    <t>MFAY6301504</t>
  </si>
  <si>
    <t>MAXFLO 630/150/10 A c/w 1,10KW 6P 380V</t>
  </si>
  <si>
    <t>MFAY6301106</t>
  </si>
  <si>
    <t>MAXFLO 630/150/10 A c/w 1,10KW 4P 380V</t>
  </si>
  <si>
    <t>MFAY6301104</t>
  </si>
  <si>
    <t>MAXFLO 630/150/10 A c/w 0,75KW 6P 380V</t>
  </si>
  <si>
    <t>MFAY6300756</t>
  </si>
  <si>
    <t>MAXFLO 630/150/10 A c/w 0,75KW 4P 380V</t>
  </si>
  <si>
    <t>MFAY6300754</t>
  </si>
  <si>
    <t>MAXFLO 630/150/10 A c/w 0,55KW 6P 380V</t>
  </si>
  <si>
    <t>MFAY6300556</t>
  </si>
  <si>
    <t>R 2,700.00</t>
  </si>
  <si>
    <t>MAXFLO 630/150/10 A c/w 0,55KW 4P 380V</t>
  </si>
  <si>
    <t>MFAY6300554</t>
  </si>
  <si>
    <t>MAXFLO 630/150/10 A c/w 0,37KW 4P 380V</t>
  </si>
  <si>
    <t>MFAY6300374</t>
  </si>
  <si>
    <t>MAXFLO 560/150/10 A c/w 4,00KW 2P 380V</t>
  </si>
  <si>
    <t>MFAY5604002</t>
  </si>
  <si>
    <t>MAXFLO 560/150/10 A c/w 2,20KW 2P 380V</t>
  </si>
  <si>
    <t>MFAY5602202</t>
  </si>
  <si>
    <t>MAXFLO 560/150/10 A c/w 1,50KW 4P 380V</t>
  </si>
  <si>
    <t>MFAY5601504</t>
  </si>
  <si>
    <t>MAXFLO 560/150/10 A c/w 0,75KW 4P 220V</t>
  </si>
  <si>
    <t>MFAY5601104.</t>
  </si>
  <si>
    <t>MAXFLO 560/150/10 A c/w 1,10KW 4P 380V</t>
  </si>
  <si>
    <t>MFAY5601104</t>
  </si>
  <si>
    <t>MAXFLO 560/150/10 A c/w 0,75KW 4P 380V</t>
  </si>
  <si>
    <t>MFAY5600754</t>
  </si>
  <si>
    <t>MAXFLO 560/150/10 A c/w 0,55KW 6P 380V</t>
  </si>
  <si>
    <t>MFAY5600556</t>
  </si>
  <si>
    <t>R 5,685.45</t>
  </si>
  <si>
    <t>MAXFLO 560/150/10 A c/w 0,55KW 4P 380V</t>
  </si>
  <si>
    <t>MFAY5600554</t>
  </si>
  <si>
    <t>MAXFLO 560/150/10 A c/w 0,37KW 4P 380V</t>
  </si>
  <si>
    <t>MFAY5600374</t>
  </si>
  <si>
    <t>MAXFLO 560/150/10 A c/w 0,25KW 6P 380V</t>
  </si>
  <si>
    <t>MFAY5600256</t>
  </si>
  <si>
    <t>MAXFLO 900/250/14 A c/w 7,50KW 4P 380V</t>
  </si>
  <si>
    <t>MFA9007504</t>
  </si>
  <si>
    <t>MAXFLO 900/250/14 A c/w 5,50KW 4P 380V</t>
  </si>
  <si>
    <t>MFA9005504</t>
  </si>
  <si>
    <t>MAXFLO 900/250/14 A c/w 4,00KW 6P 380V</t>
  </si>
  <si>
    <t>MFA9004006</t>
  </si>
  <si>
    <t>MAXFLO 900/250/14 A c/w 4,00KW 4P 380V</t>
  </si>
  <si>
    <t>MFA9004004</t>
  </si>
  <si>
    <t>MAXFLO 900/250/14 A c/w 3,00KW 6P 380V</t>
  </si>
  <si>
    <t>MFA9003006</t>
  </si>
  <si>
    <t>MAXFLO 900/250/14 A c/w 3,00KW 4P 380V</t>
  </si>
  <si>
    <t>MFA9003004</t>
  </si>
  <si>
    <t>R 8,127.20</t>
  </si>
  <si>
    <t>MAXFLO 900/250/14 A c/w 2,20KW 4P 380V</t>
  </si>
  <si>
    <t>MFA9002204</t>
  </si>
  <si>
    <t>MAXFLO 900/250/14 A c/w 1,50KW 6P 380V</t>
  </si>
  <si>
    <t>MFA9001506</t>
  </si>
  <si>
    <t>MAXFLO 900/250/14 A c/w 11,00KW 4P 380V</t>
  </si>
  <si>
    <t>MFA90011004</t>
  </si>
  <si>
    <t>MAXFLO 500/150/10 A c/w 4,00KW 2P 380V</t>
  </si>
  <si>
    <t>MFA5004002</t>
  </si>
  <si>
    <t>R 6,659.00</t>
  </si>
  <si>
    <t>MAXFLO 500/150/10 A c/w 2,20KW 2P 380V</t>
  </si>
  <si>
    <t>MFA5002202</t>
  </si>
  <si>
    <t>MAXFLO 500/150/10 A c/w 1,50KW 4P 380V</t>
  </si>
  <si>
    <t>MFA5001504</t>
  </si>
  <si>
    <t>MAXFLO 500/150/10 A c/w 1,10KW 4P 380V</t>
  </si>
  <si>
    <t>MFA5001104</t>
  </si>
  <si>
    <t>MAXFLO 500/150/10 A c/w 1,10KW 2P 380V</t>
  </si>
  <si>
    <t>MFA5001102</t>
  </si>
  <si>
    <t>MAXFLO 500/150/10 A c/w 0,75KW 4P 380V</t>
  </si>
  <si>
    <t>MFA5000754</t>
  </si>
  <si>
    <t>MAXFLO 500/150/10 A c/w 0,55KW 6P 380V</t>
  </si>
  <si>
    <t>MFA5000556</t>
  </si>
  <si>
    <t>R 5,824.76</t>
  </si>
  <si>
    <t>MAXFLO 500/150/10 A c/w 0,55KW 4P 380V</t>
  </si>
  <si>
    <t>MFA5000554</t>
  </si>
  <si>
    <t>MAXFLO 400/150/10 A c/w 2,20KW 2P 380V</t>
  </si>
  <si>
    <t>MFA4002202</t>
  </si>
  <si>
    <t>R 7,100.00</t>
  </si>
  <si>
    <t>MAXFLO 400/150/10 A c/w 1,10KW 2P 380V</t>
  </si>
  <si>
    <t>MFA4001102</t>
  </si>
  <si>
    <t>MAXFLO 400/150/10 A c/w 0,75KW 2P 380V</t>
  </si>
  <si>
    <t>MFA4000752</t>
  </si>
  <si>
    <t>MAXFLO 400/150/10 A c/w 0,55KW 6P 380V</t>
  </si>
  <si>
    <t>MFA4000556</t>
  </si>
  <si>
    <t>MAXFLO 400/150/10 A c/w 0,55KW 4P 380V</t>
  </si>
  <si>
    <t>MFA4000554</t>
  </si>
  <si>
    <t>MAXFLO 400/150/10 A c/w 0,55KW 2P 380V</t>
  </si>
  <si>
    <t>MFA4000552</t>
  </si>
  <si>
    <t>MAXFLO 400/150/10 A c/w 0,37KW 4P 380V</t>
  </si>
  <si>
    <t>MFA4000374</t>
  </si>
  <si>
    <t>MAXFLO 315/150/10 A c/w 0,75KW 2P 380V</t>
  </si>
  <si>
    <t>MFA3150752</t>
  </si>
  <si>
    <t>MAXFLO 315/150/10 A c/w 0,55KW 2P 380V</t>
  </si>
  <si>
    <t>MFA3150552</t>
  </si>
  <si>
    <t>MAXFLO 315/150/10 A c/w 0,18KW 6P 380V</t>
  </si>
  <si>
    <t>MFA3150186</t>
  </si>
  <si>
    <t>MAXFLO 1000/250/14 A c/w 7,50KW 4P 380V</t>
  </si>
  <si>
    <t>MFA10007504</t>
  </si>
  <si>
    <t>MAXFLO 1000/250/14 A c/w 5,50KW 6P 380V</t>
  </si>
  <si>
    <t>MFA10005506</t>
  </si>
  <si>
    <t>MAXFLO 1000/250/14 A c/w 5,50KW 4P 380V</t>
  </si>
  <si>
    <t>MFA10005504</t>
  </si>
  <si>
    <t>MAXFLO 1000/250/14 A c/w 4,00KW 6P 380V</t>
  </si>
  <si>
    <t>MFA10004006</t>
  </si>
  <si>
    <t>R 11,554.27</t>
  </si>
  <si>
    <t>MAXFLO 1000/250/14 A c/w 4,00KW 4P 380V</t>
  </si>
  <si>
    <t>MFA10004004</t>
  </si>
  <si>
    <t>MAXFLO 1000/250/14 A c/w 3,00KW 6P 380V</t>
  </si>
  <si>
    <t>MFA10003006</t>
  </si>
  <si>
    <t>MAXFLO 1000/250/14 A c/w 2,20KW 6P 380V</t>
  </si>
  <si>
    <t>MFA10002206</t>
  </si>
  <si>
    <t>MAXFLO 1000/250/14 A c/w 18,50KW 4P 380V</t>
  </si>
  <si>
    <t>MFA100018504</t>
  </si>
  <si>
    <t>MAXFLO 1000/250/14 A c/w 15,00KW 4P 380V</t>
  </si>
  <si>
    <t>MFA100015004</t>
  </si>
  <si>
    <t>R 3,774.00</t>
  </si>
  <si>
    <t>MAXFLO 1000/250/14 A c/w 11,00KW 4P 380V</t>
  </si>
  <si>
    <t>MFA100011004</t>
  </si>
  <si>
    <t>MF12507508</t>
  </si>
  <si>
    <t>MF12507506</t>
  </si>
  <si>
    <t>MF12505508</t>
  </si>
  <si>
    <t>MF12505506</t>
  </si>
  <si>
    <t>MF12504008</t>
  </si>
  <si>
    <t>MF12504006</t>
  </si>
  <si>
    <t>MF12503006</t>
  </si>
  <si>
    <t>MFAJAX-3 1250 c/w 2,20KW 6P 380V</t>
  </si>
  <si>
    <t>MF12502206</t>
  </si>
  <si>
    <t>MF125018506</t>
  </si>
  <si>
    <t>MF125015006</t>
  </si>
  <si>
    <t>MF125011006</t>
  </si>
  <si>
    <t>Mounting Feet</t>
  </si>
  <si>
    <t>MF</t>
  </si>
  <si>
    <t>900diam mounting brackets Ungalvanized (4 per set)</t>
  </si>
  <si>
    <t>800diam mounting brackets Ungalvanized (4 per set)</t>
  </si>
  <si>
    <t>800diam mounting brackets</t>
  </si>
  <si>
    <t>710diam mounting brackets Ungalvanized (4 per set)</t>
  </si>
  <si>
    <t>710diam mounting brackets (4 per set)</t>
  </si>
  <si>
    <t>630diam Mounting Brackets Ungalvanized (4 per set)</t>
  </si>
  <si>
    <t>630diam Mounting Brackets (4 per set)</t>
  </si>
  <si>
    <t>560diam mounting brackets</t>
  </si>
  <si>
    <t>500diam mounting brackets</t>
  </si>
  <si>
    <t>400diam mounting brackets</t>
  </si>
  <si>
    <t>315diam mounting brackets Ungalvanized (4 per set)</t>
  </si>
  <si>
    <t>315diam mounting brackets</t>
  </si>
  <si>
    <t>1000diam mounting brackets Ungalvanized (4 per set)</t>
  </si>
  <si>
    <t>MB1000UG</t>
  </si>
  <si>
    <t>c/w 1.5kw 4Pole 380V</t>
  </si>
  <si>
    <t>MaxfloP 710/150/5</t>
  </si>
  <si>
    <t>c/w1.5kw 4Pole 380V</t>
  </si>
  <si>
    <t>MaxfloA 710/150/5</t>
  </si>
  <si>
    <t>R 1,055.75</t>
  </si>
  <si>
    <t>RAW CASING</t>
  </si>
  <si>
    <t>MANUFACTURE RAW CASINGS</t>
  </si>
  <si>
    <t>600mm c/w 1.5kw 220v</t>
  </si>
  <si>
    <t>Man Cooler</t>
  </si>
  <si>
    <t>Speed Controller</t>
  </si>
  <si>
    <t>Majax-2 630.20.D.4</t>
  </si>
  <si>
    <t>T200 c/w 1.1kw 2P 400V</t>
  </si>
  <si>
    <t>Majax-2 400-15-B-8 Bifucated</t>
  </si>
  <si>
    <t>Majax-2 400 15.B.8 IM</t>
  </si>
  <si>
    <t>HEX SET SCREW - S/S 304 - A2</t>
  </si>
  <si>
    <t>M8X25</t>
  </si>
  <si>
    <t>M8*16 HT SET SCREW S/S A2</t>
  </si>
  <si>
    <t>M8*16</t>
  </si>
  <si>
    <t>M8 NUT</t>
  </si>
  <si>
    <t>M8 ANCHOR BOLTS</t>
  </si>
  <si>
    <t>M6X20X2</t>
  </si>
  <si>
    <t>M6*16 CSK ALLEN CAP SCREW MECHANICAL YELLOW 6X16 7991 10.9 MY</t>
  </si>
  <si>
    <t>M5X25</t>
  </si>
  <si>
    <t>HT Flat washer</t>
  </si>
  <si>
    <t>M5X16X1.5</t>
  </si>
  <si>
    <t>R 18,017.61</t>
  </si>
  <si>
    <t>Majax-2 500 20.C.8 Mancooler c/w 2.2 kW 2P 525V With Start/Stop Box</t>
  </si>
  <si>
    <t>M5001-</t>
  </si>
  <si>
    <t>M5 HT NUT Z/BLUE 5 934 GR8 ZB</t>
  </si>
  <si>
    <t>M20*20 GRUB SCREW Z/BLUE 20X20 916 14.9 ZB</t>
  </si>
  <si>
    <t>M20 DIN 580 TESTED EYE BOLT GALV M20EYE OLD</t>
  </si>
  <si>
    <t>M16X130 HT SET SCREW MECH</t>
  </si>
  <si>
    <t>M16X130 HT</t>
  </si>
  <si>
    <t>M16X110 HT SET SCREW 16X110 933 8.8</t>
  </si>
  <si>
    <t>M16*40 HT HEX SET SCREW 8 . 8 Z/BLUE 16X40 933 8 . 8 ZB</t>
  </si>
  <si>
    <t>M16*20 Hex Set Screws</t>
  </si>
  <si>
    <t>M16*20</t>
  </si>
  <si>
    <t>M16*110 HT SET SCREW 16X110 933 8.8</t>
  </si>
  <si>
    <t>M16*110 GR8.8 HEX BOLT HOT</t>
  </si>
  <si>
    <t>M16*110</t>
  </si>
  <si>
    <t>MM16*1 M/S THREADED ROD Z/BLUE - 16*1 975 ZB</t>
  </si>
  <si>
    <t>M16*1</t>
  </si>
  <si>
    <t>M16 HT LOCK NUT</t>
  </si>
  <si>
    <t>M16 LOCK NUT</t>
  </si>
  <si>
    <t>M16 HEX NUT HOT DIP GALV</t>
  </si>
  <si>
    <t>M16 HEX</t>
  </si>
  <si>
    <t>M16 FLAT WASHER DIN (17i/d x 30o/d X 3thk) S/S A2</t>
  </si>
  <si>
    <t>M16 FLAT WASHER DIN (17i/d X 30o/d 3thk) S/S A2</t>
  </si>
  <si>
    <t>M14*65 HT HEX SET SCREW Z/BLUE</t>
  </si>
  <si>
    <t>M14X65 Hex Set Screw</t>
  </si>
  <si>
    <t>M14*50 HT HEX SET SCREW Z/BLUE 14X50 933 8 . 8 ZB</t>
  </si>
  <si>
    <t>M14x30x3 FLAT WASHER Z/BLUE</t>
  </si>
  <si>
    <t>M14 FLAT WASHER ZB</t>
  </si>
  <si>
    <t>M14 FLAT WASHER DIN 125A ZINC BLUE (15i / d X 28o/d X 2.5thk) 14 125A ZB</t>
  </si>
  <si>
    <t>M12X30X3 FLAT WASHER Z/BLUE 12X30X3 OLD ZB</t>
  </si>
  <si>
    <t>HEX SET SCREW</t>
  </si>
  <si>
    <t>M12*90</t>
  </si>
  <si>
    <t>M12X60 HT HEX SET SCREW Z/BLUE -Silver</t>
  </si>
  <si>
    <t>M12*60</t>
  </si>
  <si>
    <t>M12*40 HT HEX NUT Z/BLUE</t>
  </si>
  <si>
    <t>M12*40</t>
  </si>
  <si>
    <t>M12*120</t>
  </si>
  <si>
    <t>M12 FLAT WASHER - S/S A2 - 304</t>
  </si>
  <si>
    <t>M12 S/S</t>
  </si>
  <si>
    <t>HEX NUT ZINC BLUE</t>
  </si>
  <si>
    <t>M12</t>
  </si>
  <si>
    <t>HT HEX SET SCREWS</t>
  </si>
  <si>
    <t>Hex Bolts zinc Blue(Silver)</t>
  </si>
  <si>
    <t>M10X25</t>
  </si>
  <si>
    <t>M10*16 HT HEX SET SCREW</t>
  </si>
  <si>
    <t>M10*16</t>
  </si>
  <si>
    <t>M10*1 M/S THREADED ROD Z/BLUE 10X1 975 ZB</t>
  </si>
  <si>
    <t>M10 Flat Washer S/S A2</t>
  </si>
  <si>
    <t>M10 FLAT WASHER (10 .5i/dx20o/dxthk) S/S A2</t>
  </si>
  <si>
    <t>LT10 - 3-Step Speed Controller 10Amp</t>
  </si>
  <si>
    <t>LT10-3SPD</t>
  </si>
  <si>
    <t>LOUVRE SHUTTER Alum. 24</t>
  </si>
  <si>
    <t>LS630</t>
  </si>
  <si>
    <t>LOUVRE SHUTTER Alum. 18</t>
  </si>
  <si>
    <t>LS500</t>
  </si>
  <si>
    <t>LOUVRE SHUTTER 15''</t>
  </si>
  <si>
    <t>LS400</t>
  </si>
  <si>
    <t>LOUVER SHUTTER Alum. 12</t>
  </si>
  <si>
    <t>LS315</t>
  </si>
  <si>
    <t>LOUVER SHUTTER Alum. 9</t>
  </si>
  <si>
    <t>LS250</t>
  </si>
  <si>
    <t>LFC 450 SISW CL-1 Arrgt 1A</t>
  </si>
  <si>
    <t>LFC</t>
  </si>
  <si>
    <t>LEGENDARY TWO-TONE SHORT SLEEVE SHIRT NAVY/STONE L</t>
  </si>
  <si>
    <t>LEGESSS-MCNAST-M45-04-L</t>
  </si>
  <si>
    <t>LEGENDARY TWO-TONE SHORT SLEEVE SHIRT - NAVY/STONE M</t>
  </si>
  <si>
    <t>LEGESSS-MCNAST-M45-03-M</t>
  </si>
  <si>
    <t>LEGENDARY SHORT SLEEVE SHIRT FATIGUE L</t>
  </si>
  <si>
    <t>LEGESSS-COT135-914-04-L</t>
  </si>
  <si>
    <t>LEGENDARY SHORT SLEEVE SHIRT NAVY M</t>
  </si>
  <si>
    <t>LEGESSS-COT135-101-03-M</t>
  </si>
  <si>
    <t>LEGENDARY SHORT SLEEVE SHIRT BLUE M</t>
  </si>
  <si>
    <t>LEGESSS-COT135-100-03-M</t>
  </si>
  <si>
    <t>R 1,729.00</t>
  </si>
  <si>
    <t>Form B - Blade Angle 15 Deg</t>
  </si>
  <si>
    <t>LDP 560/250/12/1440/</t>
  </si>
  <si>
    <t>R 1,737.00</t>
  </si>
  <si>
    <t>FM - CFW FANS</t>
  </si>
  <si>
    <t>LDA9B - Allumium bladed Impeller - Form B to suit 1.1kw 4Pole motor</t>
  </si>
  <si>
    <t>LDA9B710</t>
  </si>
  <si>
    <t>900mm Ceiling Sweep Fan</t>
  </si>
  <si>
    <t>LCF- 56</t>
  </si>
  <si>
    <t>Extractor Ceiling Fan 250mm 220v</t>
  </si>
  <si>
    <t>LCE 250</t>
  </si>
  <si>
    <t>R 4,200.00</t>
  </si>
  <si>
    <t>Program 900 - 4mm</t>
  </si>
  <si>
    <t>Laser Cutting-P900</t>
  </si>
  <si>
    <t>R 3,140.00</t>
  </si>
  <si>
    <t>Program 4</t>
  </si>
  <si>
    <t>Laser Cutting-P4</t>
  </si>
  <si>
    <t>R 3,230.00</t>
  </si>
  <si>
    <t>Program 3</t>
  </si>
  <si>
    <t>Laser Cutting-P3</t>
  </si>
  <si>
    <t>R 3,000.00</t>
  </si>
  <si>
    <t>Program 1000 - 4mm</t>
  </si>
  <si>
    <t>Laser Cutting-P1000</t>
  </si>
  <si>
    <t>Laser Cutting Bends</t>
  </si>
  <si>
    <t>Laser Cutting-Bends</t>
  </si>
  <si>
    <t>Program Buffalo</t>
  </si>
  <si>
    <t>Laser Cutting-B</t>
  </si>
  <si>
    <t>R 2,950.00</t>
  </si>
  <si>
    <t>Axial Program 3 Covers</t>
  </si>
  <si>
    <t>Laser Cutting-Axial P3</t>
  </si>
  <si>
    <t>Axial Program 1 Cover</t>
  </si>
  <si>
    <t>Laser Cutting-Axial P1</t>
  </si>
  <si>
    <t>775 x 225 x 5mm</t>
  </si>
  <si>
    <t>LASER CUTTING-775</t>
  </si>
  <si>
    <t>255 x 298 x 5mm</t>
  </si>
  <si>
    <t>LASER CUTTING-255</t>
  </si>
  <si>
    <t>R 2,760.00</t>
  </si>
  <si>
    <t>Program TB 630-800</t>
  </si>
  <si>
    <t>Laser Cutting - TB 630-800</t>
  </si>
  <si>
    <t>Program TB 325-560</t>
  </si>
  <si>
    <t>Laser Cutting - TB 315-560</t>
  </si>
  <si>
    <t>Special cut flanges</t>
  </si>
  <si>
    <t>Laser Cutting - S</t>
  </si>
  <si>
    <t>R 3,550.00</t>
  </si>
  <si>
    <t>Program 1 Cutting &amp; Bending</t>
  </si>
  <si>
    <t>Laser Cutting -</t>
  </si>
  <si>
    <t>R 11,999.00</t>
  </si>
  <si>
    <t>Lenovo AMD RYZEN 7 (i7) 7730U 2.0GHz -8GB ram 512GB 15.6 ich FHD battery 3 Cell</t>
  </si>
  <si>
    <t>Laptop</t>
  </si>
  <si>
    <t>R 3,400.00</t>
  </si>
  <si>
    <t>Repair Dasqua 1012-2010-A COMBINATION SET SQUARE</t>
  </si>
  <si>
    <t>Labour.</t>
  </si>
  <si>
    <t>R 2,399.64</t>
  </si>
  <si>
    <t>CMA 218-2T</t>
  </si>
  <si>
    <t>L54202182</t>
  </si>
  <si>
    <t>24 - 630mm Louvre Shutter Size 756 X 756</t>
  </si>
  <si>
    <t>L20300630</t>
  </si>
  <si>
    <t>CA 355</t>
  </si>
  <si>
    <t>L10101317</t>
  </si>
  <si>
    <t>CA 315 VO In-Line Tube Fan Plastic Casing</t>
  </si>
  <si>
    <t>L10101315</t>
  </si>
  <si>
    <t>CA 250 VO In-Line Tube Fan Plastic Casing</t>
  </si>
  <si>
    <t>L10101250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</si>
  <si>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</si>
  <si>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</si>
  <si>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</si>
  <si>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</si>
  <si>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</si>
  <si>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</si>
  <si>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</si>
  <si>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</si>
  <si>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1/200 X 200 back draft damper</t>
  </si>
  <si>
    <t>KUL</t>
  </si>
  <si>
    <t>R 1,922.90</t>
  </si>
  <si>
    <t>KSB250</t>
  </si>
  <si>
    <t>INLINE SILENT FAN</t>
  </si>
  <si>
    <t>KSB 150</t>
  </si>
  <si>
    <t>KSA-600-4K-T-380V</t>
  </si>
  <si>
    <t>KSA6004T</t>
  </si>
  <si>
    <t>KSA-600-4K-M-220V</t>
  </si>
  <si>
    <t>KSA6004M</t>
  </si>
  <si>
    <t>KSA-550-4K-T-380V</t>
  </si>
  <si>
    <t>KSA5504T</t>
  </si>
  <si>
    <t>KSA-550-4K-M-220V</t>
  </si>
  <si>
    <t>KSA5504M</t>
  </si>
  <si>
    <t>R 1,856.95</t>
  </si>
  <si>
    <t>KSA-500-4K-T-380V</t>
  </si>
  <si>
    <t>KSA5004T</t>
  </si>
  <si>
    <t>KSA-500-4K-M-220V</t>
  </si>
  <si>
    <t>KSA5004M</t>
  </si>
  <si>
    <t>KSA-450-4K-T-380V</t>
  </si>
  <si>
    <t>KSA4504T</t>
  </si>
  <si>
    <t>KSA-450-4K-M-220V</t>
  </si>
  <si>
    <t>KSA4504M</t>
  </si>
  <si>
    <t>R 1,520.58</t>
  </si>
  <si>
    <t>KSA-400-4K-T-380V</t>
  </si>
  <si>
    <t>KSA4004T</t>
  </si>
  <si>
    <t>KSA-400-4K-M-220V</t>
  </si>
  <si>
    <t>KSA4004M</t>
  </si>
  <si>
    <t>KSA-350-4K-M</t>
  </si>
  <si>
    <t>KSA-300-4K-M</t>
  </si>
  <si>
    <t>KSA-250-4K-M</t>
  </si>
  <si>
    <t>Filter Unit with Primary and Hepa Filter</t>
  </si>
  <si>
    <t>KP6-H.</t>
  </si>
  <si>
    <t>Attenuator</t>
  </si>
  <si>
    <t>KP6-H AT</t>
  </si>
  <si>
    <t>373 Watts 220/1/50</t>
  </si>
  <si>
    <t>KP2-S c/w</t>
  </si>
  <si>
    <t>KOMU250 - Non Return Damper</t>
  </si>
  <si>
    <t>KOMU250</t>
  </si>
  <si>
    <t>KHA50</t>
  </si>
  <si>
    <t>Keep Plate 5mm OD. 42mm, ID. 6mm</t>
  </si>
  <si>
    <t>Keep-plate5mmOD</t>
  </si>
  <si>
    <t>R 6,088.00</t>
  </si>
  <si>
    <t>FAN KDD 12/12 517W 6P-1 3SY</t>
  </si>
  <si>
    <t>KDD 12/12-6-1</t>
  </si>
  <si>
    <t>R 4,215.00</t>
  </si>
  <si>
    <t>Fan KDD 10/10 550W 4P-1 3SY</t>
  </si>
  <si>
    <t>KDD 10/10-4/1</t>
  </si>
  <si>
    <t>KDAXIS 350</t>
  </si>
  <si>
    <t>KDAXIS350</t>
  </si>
  <si>
    <t>KDAXIS 300</t>
  </si>
  <si>
    <t>KDAXIS300</t>
  </si>
  <si>
    <t>KDAXIS 250</t>
  </si>
  <si>
    <t>KDAXIS250</t>
  </si>
  <si>
    <t>KDAXIS 200</t>
  </si>
  <si>
    <t>KDAXIS200</t>
  </si>
  <si>
    <t>KAZ 160</t>
  </si>
  <si>
    <t>KAZ160</t>
  </si>
  <si>
    <t>KAZ 140</t>
  </si>
  <si>
    <t>KAZ140</t>
  </si>
  <si>
    <t>KAZ 120</t>
  </si>
  <si>
    <t>KAZ120</t>
  </si>
  <si>
    <t>R 10,899.00</t>
  </si>
  <si>
    <t>TWIN BARE FAN 380/380 CW FCC</t>
  </si>
  <si>
    <t>KAT 15/15 C2</t>
  </si>
  <si>
    <t>KAF 315</t>
  </si>
  <si>
    <t>KAF315</t>
  </si>
  <si>
    <t>KAF 250</t>
  </si>
  <si>
    <t>KAF250</t>
  </si>
  <si>
    <t>KAF 200</t>
  </si>
  <si>
    <t>KAF200</t>
  </si>
  <si>
    <t>KAF 160</t>
  </si>
  <si>
    <t>KAF160</t>
  </si>
  <si>
    <t>KAF 150</t>
  </si>
  <si>
    <t>KAF150</t>
  </si>
  <si>
    <t>KAF 125</t>
  </si>
  <si>
    <t>KAF125</t>
  </si>
  <si>
    <t>KAF 100</t>
  </si>
  <si>
    <t>KAF100</t>
  </si>
  <si>
    <t>SCL-K75 MS-7.5kW</t>
  </si>
  <si>
    <t>K75MS75</t>
  </si>
  <si>
    <t>R 28,578.65</t>
  </si>
  <si>
    <t>SCL-K75 MS-5.5kW</t>
  </si>
  <si>
    <t>K75MS55</t>
  </si>
  <si>
    <t>SCL-K75 MS-4kW</t>
  </si>
  <si>
    <t>K75MS4</t>
  </si>
  <si>
    <t>D 1F-2,0KW X DDMP 10/8 M6A4</t>
  </si>
  <si>
    <t>K431A8B</t>
  </si>
  <si>
    <t>D 1F-1,05KW X DDMP 8/9 TIG M6A1</t>
  </si>
  <si>
    <t>K431A5F</t>
  </si>
  <si>
    <t>SCL-K12 TD-18.5kW</t>
  </si>
  <si>
    <t>K12TD185</t>
  </si>
  <si>
    <t>SCL-K12 MS-9.2kW</t>
  </si>
  <si>
    <t>K12MS92</t>
  </si>
  <si>
    <t>SCL-K12 MS-18.5kW</t>
  </si>
  <si>
    <t>K12MS185</t>
  </si>
  <si>
    <t>R 40,843.51</t>
  </si>
  <si>
    <t>SCL-K12 MS-15kW</t>
  </si>
  <si>
    <t>K12MS15</t>
  </si>
  <si>
    <t>SCL-K12 MS-11kW</t>
  </si>
  <si>
    <t>K12MS11</t>
  </si>
  <si>
    <t>SCL-K12 MD-15kW</t>
  </si>
  <si>
    <t>K12MD15</t>
  </si>
  <si>
    <t>SCL-K12 MD-11kW</t>
  </si>
  <si>
    <t>K12MD11</t>
  </si>
  <si>
    <t>SCL E11-TS GOR-C 30KW 400/690-50 V-Hz</t>
  </si>
  <si>
    <t>K11TS30</t>
  </si>
  <si>
    <t>SCL-K11 TS-22kW</t>
  </si>
  <si>
    <t>K11TS22</t>
  </si>
  <si>
    <t>SCL-K11 TS-18.5kW</t>
  </si>
  <si>
    <t>K11TS185</t>
  </si>
  <si>
    <t>SCL-K11 TS-15kW</t>
  </si>
  <si>
    <t>K11TS15</t>
  </si>
  <si>
    <t>SCL-K11 TD-18.5kW</t>
  </si>
  <si>
    <t>K11TD185</t>
  </si>
  <si>
    <t>SCL-K11 TD-15kW</t>
  </si>
  <si>
    <t>K11TD15</t>
  </si>
  <si>
    <t>SCL-K11 MS-9.2kW</t>
  </si>
  <si>
    <t>K11MS92</t>
  </si>
  <si>
    <t>SCL-K11 MS-7.5kW</t>
  </si>
  <si>
    <t>K11MS75</t>
  </si>
  <si>
    <t>SCL-K11 MS-18.5kW</t>
  </si>
  <si>
    <t>K11MS185</t>
  </si>
  <si>
    <t>SCL-K11 MS-15kW</t>
  </si>
  <si>
    <t>K11MS15</t>
  </si>
  <si>
    <t>R 48,810.59</t>
  </si>
  <si>
    <t>SCL-K11 MS-11kW</t>
  </si>
  <si>
    <t>K11MS11</t>
  </si>
  <si>
    <t>SCL-K11 MD-7.5kW</t>
  </si>
  <si>
    <t>K11MD75</t>
  </si>
  <si>
    <t>SCL-K11 MD-11kW</t>
  </si>
  <si>
    <t>K11MD11</t>
  </si>
  <si>
    <t>SCL-K10 TS-18.5kW</t>
  </si>
  <si>
    <t>K10TS185</t>
  </si>
  <si>
    <t>SCL-K10 TS-15kW</t>
  </si>
  <si>
    <t>K10TS15</t>
  </si>
  <si>
    <t>SCL-K10 TS-11kW</t>
  </si>
  <si>
    <t>K10TS11</t>
  </si>
  <si>
    <t>SCL-K10 TD-18.5kW</t>
  </si>
  <si>
    <t>K10TD185</t>
  </si>
  <si>
    <t>SCL-K10 TD-15kW</t>
  </si>
  <si>
    <t>K10TD15</t>
  </si>
  <si>
    <t>SCL-K10 T D-11kW</t>
  </si>
  <si>
    <t>K10TD11</t>
  </si>
  <si>
    <t>SCL-K10 MS-9.2kW</t>
  </si>
  <si>
    <t>K10MS92</t>
  </si>
  <si>
    <t>SCL-K10 MS-7.5kW</t>
  </si>
  <si>
    <t>K10MS75</t>
  </si>
  <si>
    <t>SCL-K10 MS-5.5kW</t>
  </si>
  <si>
    <t>K10MS55</t>
  </si>
  <si>
    <t>SCL-K10 MS-15kW</t>
  </si>
  <si>
    <t>K10MS15</t>
  </si>
  <si>
    <t>R 40,775.36</t>
  </si>
  <si>
    <t>SCL-K10 MS-11kW</t>
  </si>
  <si>
    <t>K10MS11</t>
  </si>
  <si>
    <t>SCL-K10 MD-9.2kW</t>
  </si>
  <si>
    <t>K10MD92</t>
  </si>
  <si>
    <t>SCL-K10 MD-7.5kW</t>
  </si>
  <si>
    <t>K10MD75</t>
  </si>
  <si>
    <t>R 64,921.97</t>
  </si>
  <si>
    <t>SCL-K09 TS-15kW</t>
  </si>
  <si>
    <t>K09TS15</t>
  </si>
  <si>
    <t>SCL-K09 TS-11kW</t>
  </si>
  <si>
    <t>K09TS11</t>
  </si>
  <si>
    <t>R 55,365.17</t>
  </si>
  <si>
    <t>SCL-K09 TD-15kW</t>
  </si>
  <si>
    <t>K09TD15</t>
  </si>
  <si>
    <t>SCL-K09 TD-11kW</t>
  </si>
  <si>
    <t>K09TD11</t>
  </si>
  <si>
    <t>SCL-K09 MS-9.2kW</t>
  </si>
  <si>
    <t>K09MS92</t>
  </si>
  <si>
    <t>SCL-K09 MS-7.5kW</t>
  </si>
  <si>
    <t>K09MS75</t>
  </si>
  <si>
    <t>R 37,510.41</t>
  </si>
  <si>
    <t>SCL-K09 MS-5.5kW</t>
  </si>
  <si>
    <t>K09MS55</t>
  </si>
  <si>
    <t>SCL-K09 MS-4kW</t>
  </si>
  <si>
    <t>K09MS4</t>
  </si>
  <si>
    <t>SCL-K09 MS-11kW</t>
  </si>
  <si>
    <t>K09MS11</t>
  </si>
  <si>
    <t>SCL-K09 MD-7.5kW</t>
  </si>
  <si>
    <t>K09MD75</t>
  </si>
  <si>
    <t>SCL-K09 MD-5.5kW</t>
  </si>
  <si>
    <t>K09MD55</t>
  </si>
  <si>
    <t>SCL-K08 TS-9.2kW</t>
  </si>
  <si>
    <t>K08TS92</t>
  </si>
  <si>
    <t>SCL-K08 TS-7.5kW</t>
  </si>
  <si>
    <t>K08TS75</t>
  </si>
  <si>
    <t>SCL-K08 TS-15kW</t>
  </si>
  <si>
    <t>K08TS15</t>
  </si>
  <si>
    <t>SCL-K08 TS-11kW</t>
  </si>
  <si>
    <t>K08TS11</t>
  </si>
  <si>
    <t>SCL-K08 TD-9.2kW</t>
  </si>
  <si>
    <t>K08TD92</t>
  </si>
  <si>
    <t>SCL-K08 TD-7.5kW</t>
  </si>
  <si>
    <t>K08TD75</t>
  </si>
  <si>
    <t>SCL-K08 TD-15kW</t>
  </si>
  <si>
    <t>K08TD15</t>
  </si>
  <si>
    <t>SCL-K08 TD-11kW</t>
  </si>
  <si>
    <t>K08TD11</t>
  </si>
  <si>
    <t>SCL-K08R MD MOR-7.5kw 380V</t>
  </si>
  <si>
    <t>K08RMD75</t>
  </si>
  <si>
    <t>SCL-K08 MS-9.2kW</t>
  </si>
  <si>
    <t>K08MS92</t>
  </si>
  <si>
    <t>R 30,692.13</t>
  </si>
  <si>
    <t>SCL-K08 MS-7.5kW</t>
  </si>
  <si>
    <t>K08MS75</t>
  </si>
  <si>
    <t>SCL-K08 MS-5.5kW</t>
  </si>
  <si>
    <t>K08MS55</t>
  </si>
  <si>
    <t>SCL-K08 MS-4kW</t>
  </si>
  <si>
    <t>K08MS4</t>
  </si>
  <si>
    <t>SCL-K07 TS-9.2kW</t>
  </si>
  <si>
    <t>K07TS92</t>
  </si>
  <si>
    <t>SCL-K07 TS-7.5kW</t>
  </si>
  <si>
    <t>K07TS75</t>
  </si>
  <si>
    <t>SCL-K07 TS-5.5kW</t>
  </si>
  <si>
    <t>K07TS55</t>
  </si>
  <si>
    <t>SCL-K07 TS-11kW</t>
  </si>
  <si>
    <t>K07TS11</t>
  </si>
  <si>
    <t>SCL-K07 TD-9.2kW</t>
  </si>
  <si>
    <t>K07TD92</t>
  </si>
  <si>
    <t>SCL-K07 TD-7.5kW</t>
  </si>
  <si>
    <t>K07TD75</t>
  </si>
  <si>
    <t>SCL-K07 TD-5.5kW</t>
  </si>
  <si>
    <t>K07TD55</t>
  </si>
  <si>
    <t>SCL-K07R MD-5.5kW</t>
  </si>
  <si>
    <t>K07RMD55</t>
  </si>
  <si>
    <t>SCL-K07R MD-4.0kW</t>
  </si>
  <si>
    <t>K07RMD4</t>
  </si>
  <si>
    <t>SCL-K07 MS-5.5kW</t>
  </si>
  <si>
    <t>K07MS55</t>
  </si>
  <si>
    <t>R 22,800.65</t>
  </si>
  <si>
    <t>SCL-K07 MS-4kW</t>
  </si>
  <si>
    <t>K07MS4</t>
  </si>
  <si>
    <t>SCL-K07 MS-3.0kW</t>
  </si>
  <si>
    <t>K07MS3</t>
  </si>
  <si>
    <t>SCL-K07 MS-2.2kW</t>
  </si>
  <si>
    <t>K07MS22</t>
  </si>
  <si>
    <t>SCL-K06 TS-7.5kW</t>
  </si>
  <si>
    <t>K06TS75</t>
  </si>
  <si>
    <t>SCL-K06 TS-5.5kW</t>
  </si>
  <si>
    <t>K06TS55</t>
  </si>
  <si>
    <t>SCL-K06 TS-4.0kW</t>
  </si>
  <si>
    <t>K06TS4</t>
  </si>
  <si>
    <t>SCL-K06 TD-7.5kW</t>
  </si>
  <si>
    <t>K06TD75</t>
  </si>
  <si>
    <t>SCL-K06 TD-5.5kW</t>
  </si>
  <si>
    <t>K06TD55</t>
  </si>
  <si>
    <t>SCL-K06 TD-4.0kW</t>
  </si>
  <si>
    <t>K06TD4</t>
  </si>
  <si>
    <t>R 11,126.36</t>
  </si>
  <si>
    <t>SCL-K06 MS-4W</t>
  </si>
  <si>
    <t>K06MS4</t>
  </si>
  <si>
    <t>SCL-K06 MS-3.0kW</t>
  </si>
  <si>
    <t>K06MS3</t>
  </si>
  <si>
    <t>SCL-K06 MS-2.2kW</t>
  </si>
  <si>
    <t>K06MS22</t>
  </si>
  <si>
    <t>SCL-K05 TS-4kW</t>
  </si>
  <si>
    <t>K05TS4</t>
  </si>
  <si>
    <t>SCL-K05 TS-3kW</t>
  </si>
  <si>
    <t>K05TS3</t>
  </si>
  <si>
    <t>SCL-K05 TD-4kW</t>
  </si>
  <si>
    <t>K05TD4</t>
  </si>
  <si>
    <t>SCL-K05 TD-3kW</t>
  </si>
  <si>
    <t>K05TD3</t>
  </si>
  <si>
    <t>SCL-K05 MS-3kW</t>
  </si>
  <si>
    <t>K05MS3T</t>
  </si>
  <si>
    <t>R 8,273.66</t>
  </si>
  <si>
    <t>SCL-K05 MS-2.2kW</t>
  </si>
  <si>
    <t>K05MS22T</t>
  </si>
  <si>
    <t>SCL-K04 MS-2.2kW-1-220V</t>
  </si>
  <si>
    <t>K05MS22S</t>
  </si>
  <si>
    <t>R 8,220.23</t>
  </si>
  <si>
    <t>SCL-K05 MS-1.5kW</t>
  </si>
  <si>
    <t>K05MS15T</t>
  </si>
  <si>
    <t>SCL-K05 MS-1.1kW</t>
  </si>
  <si>
    <t>K05MS11T</t>
  </si>
  <si>
    <t>SCL-K05 MS-1.1kW-1-220V</t>
  </si>
  <si>
    <t>K05MS11S</t>
  </si>
  <si>
    <t>SCL-K04 MS-1.5kW</t>
  </si>
  <si>
    <t>K04MS15T</t>
  </si>
  <si>
    <t>R 6,334.99</t>
  </si>
  <si>
    <t>SCL-K04 MS-1.1kW</t>
  </si>
  <si>
    <t>K04MS11T</t>
  </si>
  <si>
    <t>R 6,609.77</t>
  </si>
  <si>
    <t>SCL-K04 MS-1.1kW-1-220V</t>
  </si>
  <si>
    <t>K04MS11S</t>
  </si>
  <si>
    <t>SCL-K03 MS-0.55kW-1</t>
  </si>
  <si>
    <t>K03MS055S</t>
  </si>
  <si>
    <t>R 43,631.28</t>
  </si>
  <si>
    <t>K03MS II ATEX 3G/D II GOR-A ATEX II2G Ex db eb IIC T3 Gb kW 0,55 B34 IIC T3 +PTC V380 50 Hz IE2</t>
  </si>
  <si>
    <t>K03MS II ATEX</t>
  </si>
  <si>
    <t>WORK T BLACK L</t>
  </si>
  <si>
    <t>JTPOLY-6398B-600-04-L</t>
  </si>
  <si>
    <t>WORK T BLACK M</t>
  </si>
  <si>
    <t>JTPOLY-6398B-600-03-M</t>
  </si>
  <si>
    <t>JRAD 90 F400 'C / 2H</t>
  </si>
  <si>
    <t>JRAD90F400</t>
  </si>
  <si>
    <t>R 10,609.51</t>
  </si>
  <si>
    <t>JRAD 90 F300 'C / 2H</t>
  </si>
  <si>
    <t>JRAD90F300</t>
  </si>
  <si>
    <t>JRAD 70 F400 'C / 2H</t>
  </si>
  <si>
    <t>JRAD70F400</t>
  </si>
  <si>
    <t>R 10,200.65</t>
  </si>
  <si>
    <t>JRAD 70 F300 'C / 2H</t>
  </si>
  <si>
    <t>JRAD70F300</t>
  </si>
  <si>
    <t>JRAD 50 F400 'C / 2H</t>
  </si>
  <si>
    <t>JRAD50F400</t>
  </si>
  <si>
    <t>R 8,234.75</t>
  </si>
  <si>
    <t>JRAD 50 F300 'C / 2H</t>
  </si>
  <si>
    <t>JRAD50F300</t>
  </si>
  <si>
    <t>TUNGSTEN BOOT BLACK 9</t>
  </si>
  <si>
    <t>JN3002-TUNBOOT-600-00-09</t>
  </si>
  <si>
    <t>JN3002-TUNBOOT-600-00-07</t>
  </si>
  <si>
    <t>GRANITE CHELSEA BOOTS BLACK 7</t>
  </si>
  <si>
    <t>JN2002-GNTBOOT-500-00-07</t>
  </si>
  <si>
    <t>GRANITE CHELSEA BOOTS BLACK 6</t>
  </si>
  <si>
    <t>JN2002-GNTBOOT-500-00-06</t>
  </si>
  <si>
    <t>600mm 380V 2.2KW 1400rpm</t>
  </si>
  <si>
    <t>JG/S6</t>
  </si>
  <si>
    <t>BCC-2 315 Class 1 DIDW c/w 2.2kw 4P 380V - 2845RPM</t>
  </si>
  <si>
    <t>JC9756</t>
  </si>
  <si>
    <t>BCC-2 Class 1 DI2DW c/w 2,2kW 4P 400V - 2522RPM</t>
  </si>
  <si>
    <t>JC6202</t>
  </si>
  <si>
    <t>ONLY</t>
  </si>
  <si>
    <t>JC25776 SHAFT</t>
  </si>
  <si>
    <t>c/w TIMAKE PLUMMER BLOCK</t>
  </si>
  <si>
    <t>JC25776 BEARING SET</t>
  </si>
  <si>
    <t>R 25,000.00</t>
  </si>
  <si>
    <t>HPLV 630/0.71 c/w 4.0kw 2890rpm 525V Motor</t>
  </si>
  <si>
    <t>JB1948</t>
  </si>
  <si>
    <t>JAXI 500 F400 'C / 2H</t>
  </si>
  <si>
    <t>JAXI500F400</t>
  </si>
  <si>
    <t>JAXI 500 F300 'C / 2H</t>
  </si>
  <si>
    <t>JAXI500F300</t>
  </si>
  <si>
    <t>JAXI 450 F400 'C / 2H</t>
  </si>
  <si>
    <t>JAXI450F400</t>
  </si>
  <si>
    <t>JAXI 450 F300 'C / 2H</t>
  </si>
  <si>
    <t>JAXI450F300</t>
  </si>
  <si>
    <t>JAXI 400 F400 'C / 2H</t>
  </si>
  <si>
    <t>JAXI400F400</t>
  </si>
  <si>
    <t>JAXI 400 F300 'C / 2H</t>
  </si>
  <si>
    <t>JAXI400F300</t>
  </si>
  <si>
    <t>JAXI 355 F400 'C / 2H</t>
  </si>
  <si>
    <t>JAXI355F400</t>
  </si>
  <si>
    <t>JAXI 355 F300 'C / 2H</t>
  </si>
  <si>
    <t>JAXI355F300</t>
  </si>
  <si>
    <t>JAXI 315 F300 'C / 2H</t>
  </si>
  <si>
    <t>JAXI315F300</t>
  </si>
  <si>
    <t>JAXI 300 F400 'C / 2H</t>
  </si>
  <si>
    <t>JAXI300F400</t>
  </si>
  <si>
    <t>JASA-H18A4/JA2</t>
  </si>
  <si>
    <t>JA2 18000Btu</t>
  </si>
  <si>
    <t>R 24,840.00</t>
  </si>
  <si>
    <t>BCC-2 315 Class 1 AR 4A DIDW excl motor</t>
  </si>
  <si>
    <t>J96202-BCC-2315</t>
  </si>
  <si>
    <t>BCC-2 355 DIDW c/w 3.0kw 2P 380V</t>
  </si>
  <si>
    <t>J96093</t>
  </si>
  <si>
    <t>BCC-2 315 Class 1 DIDW c/w 2.2kw 4P 380V</t>
  </si>
  <si>
    <t>J95929</t>
  </si>
  <si>
    <t>Anti Vibration Mount-Set</t>
  </si>
  <si>
    <t>J89867 AVM</t>
  </si>
  <si>
    <t>R 74,600.00</t>
  </si>
  <si>
    <t>BCC-2 900/1.0 SISW c/w 7.5Kw 4P 380V</t>
  </si>
  <si>
    <t>J70889 FAN</t>
  </si>
  <si>
    <t>BCC-2 560 Shaft</t>
  </si>
  <si>
    <t>J57174SHT</t>
  </si>
  <si>
    <t>BCC-2 560 Inlet Cone</t>
  </si>
  <si>
    <t>J57174INC</t>
  </si>
  <si>
    <t>BCC-2 560 Impeller set</t>
  </si>
  <si>
    <t>J57174IMP</t>
  </si>
  <si>
    <t>BCC-2 560 Bearings</t>
  </si>
  <si>
    <t>J57174BRG</t>
  </si>
  <si>
    <t>BCC-2 450 c/w 5.5kw 4P 380V DIDW</t>
  </si>
  <si>
    <t>J48821</t>
  </si>
  <si>
    <t>R 18,956.52</t>
  </si>
  <si>
    <t>Attenuators</t>
  </si>
  <si>
    <t>Installation</t>
  </si>
  <si>
    <t>R 1,600.00</t>
  </si>
  <si>
    <t>18 Inch Inlet Cone</t>
  </si>
  <si>
    <t>INLET-CONE</t>
  </si>
  <si>
    <t>R 2,955.79</t>
  </si>
  <si>
    <t>INSPECTION TEST PALN (ITP)</t>
  </si>
  <si>
    <t>Induced Draft Plan</t>
  </si>
  <si>
    <t>Impeller shaft+2 keys. Stainless Steel</t>
  </si>
  <si>
    <t>Impeller shaft</t>
  </si>
  <si>
    <t>Spare Impeller</t>
  </si>
  <si>
    <t>Impeller Plate Mount Fans</t>
  </si>
  <si>
    <t>R 2,323.75</t>
  </si>
  <si>
    <t>24mm 090Frame 12 DEG</t>
  </si>
  <si>
    <t>Impeller 710mm 'B' 250A14R</t>
  </si>
  <si>
    <t>24mm 090Frame 15 DEG</t>
  </si>
  <si>
    <t>Impeller 630mm 'B' 250A14AR</t>
  </si>
  <si>
    <t>R 1,517.75</t>
  </si>
  <si>
    <t>24mm 090Frame 15DEG</t>
  </si>
  <si>
    <t>Impeller 630mm 'B' 150A10AR</t>
  </si>
  <si>
    <t>14mm 071Frame 12DEG</t>
  </si>
  <si>
    <t>Impeller 560mm 'B' 150A10AR</t>
  </si>
  <si>
    <t>24mm 090 Frame 10 DEG</t>
  </si>
  <si>
    <t>Impeller 0710mm 'B' 250A14AR</t>
  </si>
  <si>
    <t>24mm 090Frame 13 DEG</t>
  </si>
  <si>
    <t>Impeller 0710mm 'B' 150A10AR</t>
  </si>
  <si>
    <t>R 1,249.00</t>
  </si>
  <si>
    <t>LDA 800-9-A16</t>
  </si>
  <si>
    <t>IMP800LDA</t>
  </si>
  <si>
    <t>R 2,871.00</t>
  </si>
  <si>
    <t>LDP 560/250/12/1440-Form B - 15 degrees</t>
  </si>
  <si>
    <t>IMP560LDP</t>
  </si>
  <si>
    <t>R 5,000.00</t>
  </si>
  <si>
    <t>400diam LDP Impeller</t>
  </si>
  <si>
    <t>IMP400LDP</t>
  </si>
  <si>
    <t>400diam LDA Impeller</t>
  </si>
  <si>
    <t>IMP400LDA</t>
  </si>
  <si>
    <t>315diam LDA Impeller</t>
  </si>
  <si>
    <t>IMP315LDA</t>
  </si>
  <si>
    <t>c/w 18.5 kW 4 Pole 380 V</t>
  </si>
  <si>
    <t>IMP1220 Impeller</t>
  </si>
  <si>
    <t>R 2,993.25</t>
  </si>
  <si>
    <t>Impeller 1000mm 'B' 250A14AR 38mm 132Frame Deg00 - 25 DEG</t>
  </si>
  <si>
    <t>IMP1000B250A14AR38132</t>
  </si>
  <si>
    <t>R 2,594.15</t>
  </si>
  <si>
    <t>900/250/14 15 deg pitch 38mm bore form B Aluminium Blades</t>
  </si>
  <si>
    <t>IMP0900B250A14AR38</t>
  </si>
  <si>
    <t>R 2,505.75</t>
  </si>
  <si>
    <t>900/250/14 13 deg pitch 28mm bore form B Aluminium Blades</t>
  </si>
  <si>
    <t>IMP0900B250A14AR28</t>
  </si>
  <si>
    <t>R 2,597.70</t>
  </si>
  <si>
    <t>Impeller 0800mm 'B' 250A14AR 38mm 132Frame Deg00 - 35 DEG</t>
  </si>
  <si>
    <t>IMP0800B250A14AR38132</t>
  </si>
  <si>
    <t>R 1,612.00</t>
  </si>
  <si>
    <t>Impeller 0800mm 'B' 250A14AR 28mm 100Frame</t>
  </si>
  <si>
    <t>IMP0800B250A14AR28100</t>
  </si>
  <si>
    <t>R 1,901.25</t>
  </si>
  <si>
    <t>Impeller 0800mm 'B' 150A10PR 28mm 100Frame Deg 25</t>
  </si>
  <si>
    <t>IMP0800B150A10PR28100</t>
  </si>
  <si>
    <t>R 1,647.75</t>
  </si>
  <si>
    <t>Impeller 0800mm 'B' 150A10AR 28mm 100Frame Deg00 -14 DEG</t>
  </si>
  <si>
    <t>IMP0800B150A10AR28100.</t>
  </si>
  <si>
    <t>Impeller 0800mm 'B' 150A10AR 28mm 100Frame Deg00 - 25 DEG</t>
  </si>
  <si>
    <t>IMP0800B150A10AR28100</t>
  </si>
  <si>
    <t>Impeller 0710mm 'B' 250A14PR 24mm 090Frame</t>
  </si>
  <si>
    <t>IMP0710B250A14PR24090</t>
  </si>
  <si>
    <t>Impeller 0710mm 'B' 250A14AR 28mm 100Frame</t>
  </si>
  <si>
    <t>IMP0710B250A14AR28100</t>
  </si>
  <si>
    <t>R 1,324.50</t>
  </si>
  <si>
    <t>Impeller 0710mm 'B' 250A07PR 24mm 090Frame Deg00 -24 DEG</t>
  </si>
  <si>
    <t>IMP0710B250A07PR240903</t>
  </si>
  <si>
    <t>R 1,751.25</t>
  </si>
  <si>
    <t>Impeller 0710mm 'B' 150A10AR 28mm 100Frame Deg00 - 38 DEG</t>
  </si>
  <si>
    <t>IMP0710B150A10AR28100.</t>
  </si>
  <si>
    <t>Impeller 0710mm 'B' 150A10AR 28mm 100Frame Deg00 - 33 DEG</t>
  </si>
  <si>
    <t>IMP0710B150A10AR28100</t>
  </si>
  <si>
    <t>Impeller 0710mm 'B' 150A05PR 24mm 090Frame Deg00 -21 DEG</t>
  </si>
  <si>
    <t>IMP0710B150A05PR24090</t>
  </si>
  <si>
    <t>R 1,076.25</t>
  </si>
  <si>
    <t>Impeller 0710mm 'B' 150A05AR 28mm 100Frame Deg00 - 35 DEG</t>
  </si>
  <si>
    <t>IMP0710B150A05AR28100</t>
  </si>
  <si>
    <t>Impeller 0710mm 'A' 150A10AR 28mm 100Frame Deg00 - 38 DEG</t>
  </si>
  <si>
    <t>IMP0710A150A10AR28100</t>
  </si>
  <si>
    <t>R 1,860.00</t>
  </si>
  <si>
    <t>Impeller 0630mm 'B' 250A14PR 28mm 100Frame Deg00 - 30 DEG</t>
  </si>
  <si>
    <t>IMP0630B250A14PR28100</t>
  </si>
  <si>
    <t>R 2,502.50</t>
  </si>
  <si>
    <t>Impeller 0630mm 'B' 250A14AR 28mm 100Frame</t>
  </si>
  <si>
    <t>IMP0630B250A14AR28100</t>
  </si>
  <si>
    <t>Impeller 0630mm 'B' 250A14AR 24mm 090Frame</t>
  </si>
  <si>
    <t>IMP0630B250A14AR24090</t>
  </si>
  <si>
    <t>Impeller 0630mm 'B' 150A10AR 24mm 090Frame Deg00 -27 DEG</t>
  </si>
  <si>
    <t>IMP0630B150A10AR24090</t>
  </si>
  <si>
    <t>Impeller 0560mm 'B' 250A14PR 24mm 090Frame</t>
  </si>
  <si>
    <t>IMP0560B250A14PR24090</t>
  </si>
  <si>
    <t>R 2,104.70</t>
  </si>
  <si>
    <t>Impeller 0560mm 'B' 250A14AR19mm 080Frame</t>
  </si>
  <si>
    <t>IMP0560B250A14AR19080</t>
  </si>
  <si>
    <t>R 1,164.75</t>
  </si>
  <si>
    <t>Impeller 0560mm 'B' 150A10PR 19mm 080Frame Deg00 - 11 DEG</t>
  </si>
  <si>
    <t>IMP0560B150A10PR19080</t>
  </si>
  <si>
    <t>R 1,009.45</t>
  </si>
  <si>
    <t>Impeller 0560mm 'B' 150A10PR 14mm 071Frame</t>
  </si>
  <si>
    <t>IMP0560B150A10PR14071</t>
  </si>
  <si>
    <t>Impeller 0560mm 'B' 150A10AR 24mm 090Frame Deg00 - 28 DEG</t>
  </si>
  <si>
    <t>IMP0560B150A10AR24090.</t>
  </si>
  <si>
    <t>Impeller 0560mm 'B' 150A10AR 24mm 090Frame Deg00 - 33 DEG</t>
  </si>
  <si>
    <t>IMP0560B150A10AR24090</t>
  </si>
  <si>
    <t>Impeller 0560mm 'B' 150A10AR 19mm 080Frame Deg00 13 DEG FM3516</t>
  </si>
  <si>
    <t>IMP0560B150A10AR19080...</t>
  </si>
  <si>
    <t>Impeller 0560mm 'B' 150A10AR 19mm 080Frame Deg00 - 12 DEG</t>
  </si>
  <si>
    <t>IMP0560B150A10AR19080..</t>
  </si>
  <si>
    <t>Impeller 0560mm 'B' 150A10AR 19mm 080Frame Deg00 - 20 DEG</t>
  </si>
  <si>
    <t>IMP0560B150A10AR19080.</t>
  </si>
  <si>
    <t>R 1,634.50</t>
  </si>
  <si>
    <t>Impeller 0560mm 'B' 150A10AR 19mm 080Frame Deg00 - 15 DEG</t>
  </si>
  <si>
    <t>IMP0560B150A10AR19080</t>
  </si>
  <si>
    <t>Impeller 0560mm 'B' 150A10AR 14mm 071Frame Deg00 10 DEG FM3517</t>
  </si>
  <si>
    <t>IMP0560B150A10AR14071</t>
  </si>
  <si>
    <t>Impeller 0560mm 'B' 150A05PR 14mm 071Frame Deg00 20 DEG</t>
  </si>
  <si>
    <t>IMP0560B150A05PR14071</t>
  </si>
  <si>
    <t>Impeller 0560mm 'B' 150A05AR 28mm 100Frame Deg00 - 22 DEG</t>
  </si>
  <si>
    <t>IMP0560B150A05AR28100</t>
  </si>
  <si>
    <t>Impeller 0560mm 'B' 150A05AR 14mm 071Frame Deg00 - 20 DEG</t>
  </si>
  <si>
    <t>IMP0560B150A05AR14071</t>
  </si>
  <si>
    <t>Impeller 0500mm 'B' 150A10PR 14mm 071Frame Deg00 - 12 DEG</t>
  </si>
  <si>
    <t>IMP0500B150A10PR140711</t>
  </si>
  <si>
    <t>Impeller 0500mm 'B' 150A10PR 14mm 071Frame Deg00 - 18 DEG</t>
  </si>
  <si>
    <t>IMP0500B150A10PR14071</t>
  </si>
  <si>
    <t>R 1,571.25</t>
  </si>
  <si>
    <t>Impeller 0500mm 'B' 150A10AR 28mm 100Frame Deg00 -25 DEG</t>
  </si>
  <si>
    <t>IMP0500B150A10AR28100</t>
  </si>
  <si>
    <t>Impeller 0500mm 'B' 150A10AR 24mm 090Fram 16deg</t>
  </si>
  <si>
    <t>IMP0500B150A10AR24090.</t>
  </si>
  <si>
    <t>Impeller 0500mm 'B' 150A10AR 24mm 090Frame Deg16</t>
  </si>
  <si>
    <t>IMP0500B150A10AR24090</t>
  </si>
  <si>
    <t>Impeller 0500mm 'B' 150A10AR 19mm 071Frame Deg00 -28 DEG</t>
  </si>
  <si>
    <t>IMP0500B150A10AR19071</t>
  </si>
  <si>
    <t>Impeller 0500mm 'B' 150A10AR 14mm 071Frame Deg00 -10 DEG</t>
  </si>
  <si>
    <t>IMP0500B150A10AR14071</t>
  </si>
  <si>
    <t>Impeller 0500mm 'B' 150A05PR 14mm 071Frame Deg00 -17 DEG</t>
  </si>
  <si>
    <t>IMP0500B150A05PR14071</t>
  </si>
  <si>
    <t>Impeller 0500mm 'B' 150A05AR 24mm 090Frame Deg00 -14 DEG</t>
  </si>
  <si>
    <t>IMP0500B150A05AR24090</t>
  </si>
  <si>
    <t>Impeller 0500mm 'B' 150A05AR 19mm 080Frame Deg00 - 10 DEG</t>
  </si>
  <si>
    <t>IMP0500B150A05AR19080</t>
  </si>
  <si>
    <t>Impeller 0400mm 'B' 150A10PR 14mm 071Frame Deg00 19 DEG</t>
  </si>
  <si>
    <t>IMP0400B150A10PR14071</t>
  </si>
  <si>
    <t>Impeller 0400mm 'B' 150A05PR 24mm 090Frame - 29Deg</t>
  </si>
  <si>
    <t>IMP0400B150A05PR24090</t>
  </si>
  <si>
    <t>Impeller 0400mm 'B' 150A05PR 19mm 080Frame - 23Deg</t>
  </si>
  <si>
    <t>IMP0400B150A05PR19080</t>
  </si>
  <si>
    <t>Impeller 0400mm 'B' 150A05PR 14mm 071Frame Deg00 - 10 DEG</t>
  </si>
  <si>
    <t>IMP0400B150A05PR14071</t>
  </si>
  <si>
    <t>Impeller 0315mm 'B' 150A10PR 14mm 071Frame Deg00 21 DEG</t>
  </si>
  <si>
    <t>IMP0315B150A10PR14071</t>
  </si>
  <si>
    <t>Impeller 0315mm 'B' 150A10AR 14mm 071Frame Deg00 -26 DEG</t>
  </si>
  <si>
    <t>IMP0315B150A10AR14071</t>
  </si>
  <si>
    <t>Impeller 0315mm 'B' 150A05PR 14mm 071Frame Deg00 -10 DEG</t>
  </si>
  <si>
    <t>IMP0315B150A05PR14071</t>
  </si>
  <si>
    <t>R 2,119.00</t>
  </si>
  <si>
    <t>Set pitch, Crop &amp; Balance impeller</t>
  </si>
  <si>
    <t>Imp BI</t>
  </si>
  <si>
    <t>19mm 080Frame 15DEG</t>
  </si>
  <si>
    <t>Imepeller 560mm 'B' 250A14AR</t>
  </si>
  <si>
    <t>19mm 080Frame 12DEG</t>
  </si>
  <si>
    <t>Imepeller 560mm 'B' 250A10AR</t>
  </si>
  <si>
    <t>Light duty Impeller</t>
  </si>
  <si>
    <t>IM-CF</t>
  </si>
  <si>
    <t>Impeller 0500mm 'B' 150A10AR 24mm 090Frame Deg00(aluminium)</t>
  </si>
  <si>
    <t>IMA0500B150A10AR24090</t>
  </si>
  <si>
    <t>Cooling Spinner - 75mm ID - 180 OD</t>
  </si>
  <si>
    <t>ID75/180OD</t>
  </si>
  <si>
    <t>R 3,599.00</t>
  </si>
  <si>
    <t>Installation and Training</t>
  </si>
  <si>
    <t>I&amp;T</t>
  </si>
  <si>
    <t>800mm Dia Fan Guard</t>
  </si>
  <si>
    <t>HWP100/001-</t>
  </si>
  <si>
    <t>500mm Dia Fan Guard 3mm Spiral, 4mm Support, Mild Steel, Uncoated</t>
  </si>
  <si>
    <t>HWP100/001</t>
  </si>
  <si>
    <t>HV 1250 - 380V Motor</t>
  </si>
  <si>
    <t>HVMotor 380V</t>
  </si>
  <si>
    <t>HVJ-2S-</t>
  </si>
  <si>
    <t>HVJ2</t>
  </si>
  <si>
    <t>HVF 75 N</t>
  </si>
  <si>
    <t>HVF75N</t>
  </si>
  <si>
    <t>HVF 65 N</t>
  </si>
  <si>
    <t>HVF65N</t>
  </si>
  <si>
    <t>R 12,024.80</t>
  </si>
  <si>
    <t>HVF-105N c/w 0.75kW 850rpm 220v</t>
  </si>
  <si>
    <t>HVF - 105N</t>
  </si>
  <si>
    <t>105L-6</t>
  </si>
  <si>
    <t>HVF</t>
  </si>
  <si>
    <t>Extractor Fan c/w 0.75kw 380v</t>
  </si>
  <si>
    <t>HV9.5T</t>
  </si>
  <si>
    <t>R 6,021.00</t>
  </si>
  <si>
    <t>HV 9.5 - 220V 0.55KW</t>
  </si>
  <si>
    <t>HV9.5 Fan</t>
  </si>
  <si>
    <t>c/w 0.37Kw 450 rpm 380V</t>
  </si>
  <si>
    <t>HV8</t>
  </si>
  <si>
    <t>R 3,799.60</t>
  </si>
  <si>
    <t>HV 7 c/w 0.45kw 6P 380v</t>
  </si>
  <si>
    <t>HV7T</t>
  </si>
  <si>
    <t>HV 7 c/w 0.45kW 6Pole</t>
  </si>
  <si>
    <t>HV-7</t>
  </si>
  <si>
    <t>R 5,395.50</t>
  </si>
  <si>
    <t>HV5 c/w 0.55kw 380V</t>
  </si>
  <si>
    <t>HV5380V</t>
  </si>
  <si>
    <t>c/w 0.45KW/ 960RPM / 220V</t>
  </si>
  <si>
    <t>HV5.6 750x400x750</t>
  </si>
  <si>
    <t>R 6,515.60</t>
  </si>
  <si>
    <t>HV1250 c/w 1.1Kw 450 rpm 380V</t>
  </si>
  <si>
    <t>HV 12.5</t>
  </si>
  <si>
    <t>0.75kW 380V</t>
  </si>
  <si>
    <t>HV 11.2</t>
  </si>
  <si>
    <t>HV 6 c/w 0.45kw 6P</t>
  </si>
  <si>
    <t>HV</t>
  </si>
  <si>
    <t>R 28,000.00</t>
  </si>
  <si>
    <t>HPLV 710/1.0 SISW Ar 6A c/w 15Kw 2P 400V</t>
  </si>
  <si>
    <t>HPLV710152</t>
  </si>
  <si>
    <t>c/w 15Kw 2P 400V</t>
  </si>
  <si>
    <t>HPLV 710/0.75 SISW Ar 6A</t>
  </si>
  <si>
    <t>c/w 11kW 2Pole</t>
  </si>
  <si>
    <t>HPLV 630-1</t>
  </si>
  <si>
    <t>c/w 5.5 kW 2 Pole 380V Motor</t>
  </si>
  <si>
    <t>HPLV 630/0.71 SISW Ar 6A</t>
  </si>
  <si>
    <t>HPLV 560/1.0 SISW</t>
  </si>
  <si>
    <t>ARR 6A 7,5kW-2P MOTOR 525 V</t>
  </si>
  <si>
    <t>HPLV 560</t>
  </si>
  <si>
    <t>50-T-4 c/w 0.55KW 1400rpm 380V</t>
  </si>
  <si>
    <t>HJBM-Plus</t>
  </si>
  <si>
    <t>HIGH HEAT 5LT SILVER</t>
  </si>
  <si>
    <t>HIGH H</t>
  </si>
  <si>
    <t>Galvanised Holding Frame 610x610x55</t>
  </si>
  <si>
    <t>HF002</t>
  </si>
  <si>
    <t>R 3,171.49</t>
  </si>
  <si>
    <t>HEP.25.2T/H</t>
  </si>
  <si>
    <t>HEP.25.2TH</t>
  </si>
  <si>
    <t>VORT QBK HE 190 ES (300CFM)</t>
  </si>
  <si>
    <t>HE190ES</t>
  </si>
  <si>
    <t>R 1,880.00</t>
  </si>
  <si>
    <t>HDA9 - 315 Impeller to suit 0.37Kw 2pole Motor</t>
  </si>
  <si>
    <t>HDA9B315</t>
  </si>
  <si>
    <t>R 4,947.00</t>
  </si>
  <si>
    <t>HDA 1250 , 9Bladed , axial flow impeller</t>
  </si>
  <si>
    <t>HDA1250</t>
  </si>
  <si>
    <t>45-2T-2 400V 50/60HZ IE5</t>
  </si>
  <si>
    <t>HCT/EC</t>
  </si>
  <si>
    <t>HBF 45 T4</t>
  </si>
  <si>
    <t>R 65,293.00</t>
  </si>
  <si>
    <t>HBC-M 630 Ar 6A Direct Driven c/w 9.2KW 2P 380V</t>
  </si>
  <si>
    <t>HBCM630</t>
  </si>
  <si>
    <t>c/w 55 kW 4 Pole 525V Motor</t>
  </si>
  <si>
    <t>HBC-M 900(A)/0.99 SI Arr (6A) (HD04/04)</t>
  </si>
  <si>
    <t>30k W 4Pole 380 V Motor (Belt Driven Fan)</t>
  </si>
  <si>
    <t>HBC-M 710/1.0 (1A) Class 3</t>
  </si>
  <si>
    <t>c/w 18.5 kW 4 Pole 380 V (Direct Driven)</t>
  </si>
  <si>
    <t>HBC-M 630(B)/0.96</t>
  </si>
  <si>
    <t>c/w 132 kW 4 Pole 525 V (Direct Driven)</t>
  </si>
  <si>
    <t>HBC-M 1600(A)/0.93 SI Arr (6A) (HD04/04)</t>
  </si>
  <si>
    <t>c/w 110 kW 4 Pole 525 V</t>
  </si>
  <si>
    <t>HBC-M 1400(E)/0.83 SI Arr (6A) (HD04/04)</t>
  </si>
  <si>
    <t>R 2,672.70</t>
  </si>
  <si>
    <t>GOODS RETURNED HANDLING FEE - CHARGED AT 15%</t>
  </si>
  <si>
    <t>HANDLING FEE.</t>
  </si>
  <si>
    <t>WEATHER SEAL 6mm*25mm*5mt BLACK FOAM</t>
  </si>
  <si>
    <t>H20102</t>
  </si>
  <si>
    <t>R 1,304.00</t>
  </si>
  <si>
    <t>Shutter PVC Gravity for 450mmFan S/Frame</t>
  </si>
  <si>
    <t>GRM634</t>
  </si>
  <si>
    <t>Shutter PVC Gravity for 400mmFan S/Frame</t>
  </si>
  <si>
    <t>GRM535</t>
  </si>
  <si>
    <t>Shutter PVC Gravity for 250mmFan S/Frame</t>
  </si>
  <si>
    <t>GRM350</t>
  </si>
  <si>
    <t>Shutter PVC Gravity for 200mmFan S/Frame</t>
  </si>
  <si>
    <t>GRM300</t>
  </si>
  <si>
    <t>GM 35 S, UNIT, ACCOUSTIC HOOD</t>
  </si>
  <si>
    <t>GM35SG5IH</t>
  </si>
  <si>
    <t>R 6,385.50</t>
  </si>
  <si>
    <t>c/w 0.45kW 960RPM 380V Motor</t>
  </si>
  <si>
    <t>GLF7</t>
  </si>
  <si>
    <t>Galvanised Industrial Extractor Fan+ Grill &amp; Louvers 1380sq, 380V,1.1kw, 440rpm, 44000m3/hr</t>
  </si>
  <si>
    <t>R 5,320.00</t>
  </si>
  <si>
    <t>Box, NO MOTOR</t>
  </si>
  <si>
    <t>GLF12.5</t>
  </si>
  <si>
    <t>R 4,410.00</t>
  </si>
  <si>
    <t>380V Extraction &amp; Ventilation 380V, 0.55kW 1430rpm 7000m3/hr</t>
  </si>
  <si>
    <t>GL5</t>
  </si>
  <si>
    <t>Rolls Gasketing</t>
  </si>
  <si>
    <t>GAS001</t>
  </si>
  <si>
    <t>TERMINAL CAP</t>
  </si>
  <si>
    <t>GALV-TERMINAL CAP</t>
  </si>
  <si>
    <t>Galvanizing General 11 X FAN CASING</t>
  </si>
  <si>
    <t>GALVANISING</t>
  </si>
  <si>
    <t>R 5,110.48</t>
  </si>
  <si>
    <t>220V SI Centrifugal Fan</t>
  </si>
  <si>
    <t>G2E180EH0301</t>
  </si>
  <si>
    <t>GLOVES 2.5 GREEN WRIST</t>
  </si>
  <si>
    <t>G023</t>
  </si>
  <si>
    <t>c/w 22 kW 4 Pole 380 V Motor</t>
  </si>
  <si>
    <t>Fumex 1250.50.H.6.0220.4.3</t>
  </si>
  <si>
    <t>Fumax 900.32.4.E.4 c/w5.5kw 4P 380V</t>
  </si>
  <si>
    <t>FUMAX900</t>
  </si>
  <si>
    <t>Fumax 710.20.D c/w 3kw 4P 380V</t>
  </si>
  <si>
    <t>FUMAX710</t>
  </si>
  <si>
    <t>Fumax 630.20.D.8 c/w 1.5 kw 4P 380V</t>
  </si>
  <si>
    <t>FUMAX630</t>
  </si>
  <si>
    <t>UV print onto alu plates (40mm x65mm) block cut</t>
  </si>
  <si>
    <t>FUMAX40X65</t>
  </si>
  <si>
    <t>R 9,462.96</t>
  </si>
  <si>
    <t>Fumax 4000.15.B.4 C/W 1.5KW 2P 380V</t>
  </si>
  <si>
    <t>Fumax400</t>
  </si>
  <si>
    <t>1.5 kW 4 Pole 220 V</t>
  </si>
  <si>
    <t>Fumax-2 400 15.B.8</t>
  </si>
  <si>
    <t>UV print onto alu plates (105mm x105mm) block cut</t>
  </si>
  <si>
    <t>FUMAX105X105</t>
  </si>
  <si>
    <t>R 21,973.00</t>
  </si>
  <si>
    <t>c/w 7.7 kW 4 Pole 380 V Motor</t>
  </si>
  <si>
    <t>Fumax 900.20.E.8.0750.4.3</t>
  </si>
  <si>
    <t>c/w 5.5 kW 4 Pole 380 V</t>
  </si>
  <si>
    <t>Fumax 900.20.E.8.0550.4.3</t>
  </si>
  <si>
    <t>c/w 4 kW 4 Pole 380 V</t>
  </si>
  <si>
    <t>Fumax 900 32.E.8</t>
  </si>
  <si>
    <t>800 32.F.8 c/w 4 kW 4 Pole 380V</t>
  </si>
  <si>
    <t>Fumax 8004004</t>
  </si>
  <si>
    <t>c/w 4 kW 4 Pole 380 V Motor</t>
  </si>
  <si>
    <t>Fumax 800.32.E.8.0400.4.3</t>
  </si>
  <si>
    <t>R 12,391.00</t>
  </si>
  <si>
    <t>c/w 2.2 kW 4 Pole 380 V Motor</t>
  </si>
  <si>
    <t>Fumax 710.20.D.8.0220.4.3</t>
  </si>
  <si>
    <t>630 20.D.8 c/w 0.75 kW 4 Pole 380V</t>
  </si>
  <si>
    <t>Fumax 6300754</t>
  </si>
  <si>
    <t>R 9,248.00</t>
  </si>
  <si>
    <t>Fumax 630</t>
  </si>
  <si>
    <t>Fumax 560.20.D.8 C/W 3KW 2P 380V</t>
  </si>
  <si>
    <t>Fumax 560</t>
  </si>
  <si>
    <t>c/w 2.2kW 4 Pole 380 V</t>
  </si>
  <si>
    <t>Fumax 500 20.C.8</t>
  </si>
  <si>
    <t>1000 32.F.8 c/w 7.5kW 4 Pole 380V</t>
  </si>
  <si>
    <t>Fumax 10007504</t>
  </si>
  <si>
    <t>R 18,500.00</t>
  </si>
  <si>
    <t>c/w 18.5 kW 4 Pole 400 V Motor</t>
  </si>
  <si>
    <t>Fumax 1000.32.F.8.1850.4.3</t>
  </si>
  <si>
    <t>c/w 15 kW 4 Pole 380 V Motor</t>
  </si>
  <si>
    <t>Fumax 1000.32.F.8.1500.4.3</t>
  </si>
  <si>
    <t>c/w 11 kW 4 Pole 380 V Motor</t>
  </si>
  <si>
    <t>Fumax 1000.32.F.8.1100.4.3</t>
  </si>
  <si>
    <t>Fuel Surcharge</t>
  </si>
  <si>
    <t>fuel Surcharge</t>
  </si>
  <si>
    <t>R 22,673.90</t>
  </si>
  <si>
    <t>Fumax 800.32.E.8.300.4.3 c/w 3 kW 4 Pole 380V</t>
  </si>
  <si>
    <t>FT8003004</t>
  </si>
  <si>
    <t>R 13,600.00</t>
  </si>
  <si>
    <t>Funmax 710 20.D.8 c/w 1.1kw 4P 380 V Motor</t>
  </si>
  <si>
    <t>FT7101104</t>
  </si>
  <si>
    <t>Funmax 400 15.D.8 c/w 1.5kw 2P 380 V Motor</t>
  </si>
  <si>
    <t>FT4001502</t>
  </si>
  <si>
    <t>Fan Speed Controller</t>
  </si>
  <si>
    <t>FS C.25A</t>
  </si>
  <si>
    <t>DUCT WRAP 10m X 1200 X 25 X 23 FRK (silver)</t>
  </si>
  <si>
    <t>FRK-25</t>
  </si>
  <si>
    <t>R 4,900.00</t>
  </si>
  <si>
    <t>4.0KW 380V 9.5A</t>
  </si>
  <si>
    <t>FR500A-4T-4.0G/5.5P-H</t>
  </si>
  <si>
    <t>Fumax 900</t>
  </si>
  <si>
    <t>FMX900</t>
  </si>
  <si>
    <t>Fumax 500.20.C.8.300.2.3 c/w 3 kW 2 Pole 380V</t>
  </si>
  <si>
    <t>FMX5000302</t>
  </si>
  <si>
    <t>R 5,122.46</t>
  </si>
  <si>
    <t>7.5kW Stator Rewind to 525V</t>
  </si>
  <si>
    <t>FM- 003</t>
  </si>
  <si>
    <t>R 1,761.17</t>
  </si>
  <si>
    <t>PRINTER COPIES</t>
  </si>
  <si>
    <t>FM - PRINTER</t>
  </si>
  <si>
    <t>Charges SGS</t>
  </si>
  <si>
    <t>FM - Inspection</t>
  </si>
  <si>
    <t>IMPORT OUTPUT VAT</t>
  </si>
  <si>
    <t>FM - IMPORTS VAT</t>
  </si>
  <si>
    <t>R 40,874.42</t>
  </si>
  <si>
    <t>STOCK RECEIVED</t>
  </si>
  <si>
    <t>FM - IMPORTS</t>
  </si>
  <si>
    <t>R 124,895.31</t>
  </si>
  <si>
    <t>GOODS DELIVERED</t>
  </si>
  <si>
    <t>FM - EXPORT</t>
  </si>
  <si>
    <t>R 3,965.08</t>
  </si>
  <si>
    <t>2940 rpm SANS 60079-15</t>
  </si>
  <si>
    <t>FM - 004</t>
  </si>
  <si>
    <t>R 1,680.00</t>
  </si>
  <si>
    <t>WELDING FRAME H=2m x W=3m, Galvanised steel frame (25x25 square tube)</t>
  </si>
  <si>
    <t>FLEX-W/FRAME</t>
  </si>
  <si>
    <t>Inlet and Discharge Flexible Connections</t>
  </si>
  <si>
    <t>flex</t>
  </si>
  <si>
    <t>R 1,495.60</t>
  </si>
  <si>
    <t>FL9 - 4 Intake Filter</t>
  </si>
  <si>
    <t>FL9</t>
  </si>
  <si>
    <t>R 1,210.25</t>
  </si>
  <si>
    <t>FL8 - 3'</t>
  </si>
  <si>
    <t>FL8</t>
  </si>
  <si>
    <t>FL6 - 2'</t>
  </si>
  <si>
    <t>FL6</t>
  </si>
  <si>
    <t>FL5 - 1' 1/2</t>
  </si>
  <si>
    <t>FL5</t>
  </si>
  <si>
    <t>FL4 - 1' 1/4</t>
  </si>
  <si>
    <t>FL4</t>
  </si>
  <si>
    <t>RIGID POC FILTERS</t>
  </si>
  <si>
    <t>FILTERSS</t>
  </si>
  <si>
    <t>R 35,999.00</t>
  </si>
  <si>
    <t>Mini Desktop Fibre Laser - Mini Desktop Fibre Laser Marking Machine</t>
  </si>
  <si>
    <t>Fiber Laser</t>
  </si>
  <si>
    <t>Floor Fan</t>
  </si>
  <si>
    <t>FD40</t>
  </si>
  <si>
    <t>c/w 0.55 kW 6 Pole 380 V Motor</t>
  </si>
  <si>
    <t>FCC 21/1</t>
  </si>
  <si>
    <t>Flat Bar CQ 50x8mm 6M</t>
  </si>
  <si>
    <t>FBar-50x8mm-6M</t>
  </si>
  <si>
    <t>Filter box, wall sleeve and flashing</t>
  </si>
  <si>
    <t>FB</t>
  </si>
  <si>
    <t>Service Engineer x1</t>
  </si>
  <si>
    <t>Fan Testing</t>
  </si>
  <si>
    <t>500mm Dia</t>
  </si>
  <si>
    <t>Fan Screen</t>
  </si>
  <si>
    <t>Fan Size to 260 X 260 mm</t>
  </si>
  <si>
    <t>Fan Redusor</t>
  </si>
  <si>
    <t>FAN QCP</t>
  </si>
  <si>
    <t>FA8</t>
  </si>
  <si>
    <t>FA6</t>
  </si>
  <si>
    <t>FAC 400/3/4</t>
  </si>
  <si>
    <t>FA 400</t>
  </si>
  <si>
    <t>Donkin Fan Filter F6942 Set</t>
  </si>
  <si>
    <t>F6942 Filter</t>
  </si>
  <si>
    <t>Brackets - set motor mounting bracket (threaded rod)</t>
  </si>
  <si>
    <t>F)</t>
  </si>
  <si>
    <t>200MM METAL EXTRACT VALVE</t>
  </si>
  <si>
    <t>EVM200</t>
  </si>
  <si>
    <t>100MM METAL EXTRACT VALVE</t>
  </si>
  <si>
    <t>EVM100</t>
  </si>
  <si>
    <t>R 9,480.00</t>
  </si>
  <si>
    <t>Evaporative Air Cooler: 220V, 380W, 3 Speed, 8000m3/hr, 80Pa</t>
  </si>
  <si>
    <t>EVC-JH168</t>
  </si>
  <si>
    <t>Eurotherm A1 152mm - 10M</t>
  </si>
  <si>
    <t>EUA1152MM</t>
  </si>
  <si>
    <t>Smoke Damper &amp; 24v Actuator</t>
  </si>
  <si>
    <t>ESD-24V</t>
  </si>
  <si>
    <t>Smoke Damper &amp; 220v Actuator</t>
  </si>
  <si>
    <t>ESD-220V</t>
  </si>
  <si>
    <t>R 4,555.65</t>
  </si>
  <si>
    <t>5.5kw 4P 400V/690V B3T 132S IE1 Motor</t>
  </si>
  <si>
    <t>EML2303033</t>
  </si>
  <si>
    <t>5.5 kW 4 Pole 380 V (Foot Mount) Standard Motor</t>
  </si>
  <si>
    <t>Electric Motor</t>
  </si>
  <si>
    <t>4 way Ceiling Diffuser</t>
  </si>
  <si>
    <t>EG/02</t>
  </si>
  <si>
    <t>Disc Valve</t>
  </si>
  <si>
    <t>EG/01</t>
  </si>
  <si>
    <t>3040 l/s @ 300Pa (Set 710 Blades to 20 Degree)</t>
  </si>
  <si>
    <t>EAF 06.</t>
  </si>
  <si>
    <t>3040 l/s @ 300Pa</t>
  </si>
  <si>
    <t>EAF 06</t>
  </si>
  <si>
    <t>HCT/EC-45-2T-2 400V. 50/60Hz. IE5</t>
  </si>
  <si>
    <t>E1350433</t>
  </si>
  <si>
    <t>e12TS GOR-C + E.M. 30 KW GR 200-B5 + PTC (Motor included)</t>
  </si>
  <si>
    <t>e12TS30</t>
  </si>
  <si>
    <t>THT/CL-125-6/12T/9-10-F-400 400V.</t>
  </si>
  <si>
    <t>E1122845</t>
  </si>
  <si>
    <t>CMRS-800-6T-7.5/ALL</t>
  </si>
  <si>
    <t>E1098105</t>
  </si>
  <si>
    <t>CMRS-710-4T-20/ALL</t>
  </si>
  <si>
    <t>E1098100</t>
  </si>
  <si>
    <t>R 14,037.31</t>
  </si>
  <si>
    <t>CMP-514-2T UL/CSA 480V. 60Hz</t>
  </si>
  <si>
    <t>E1012489</t>
  </si>
  <si>
    <t>CHT-630-6T/ATEX/2D Ex tb 230/400V.</t>
  </si>
  <si>
    <t>E1007790</t>
  </si>
  <si>
    <t>BD-140 / INOX 316 - Inlet Transition</t>
  </si>
  <si>
    <t>E1006999</t>
  </si>
  <si>
    <t>18.5-22kw Size 160-B5</t>
  </si>
  <si>
    <t>E09TD GOR X M.E</t>
  </si>
  <si>
    <t>7.5-9 KW SIZE 132- B5</t>
  </si>
  <si>
    <t>E07TD GOR X M.E</t>
  </si>
  <si>
    <t>A-E 304 T - Wall Mounted Exhaust Fan</t>
  </si>
  <si>
    <t>E01-FAN6</t>
  </si>
  <si>
    <t>A-E 354 T - Wall Mounted Exhaust Fan</t>
  </si>
  <si>
    <t>E01-FAN5</t>
  </si>
  <si>
    <t>CA 150 MD E RF - Roof Top Exhaust Fan</t>
  </si>
  <si>
    <t>E01-FAN4</t>
  </si>
  <si>
    <t>ENKEL QBK 190 EC - Cassette Type Exhaust Fan</t>
  </si>
  <si>
    <t>E01-FAN3</t>
  </si>
  <si>
    <t>TORRETTE TR-A 355 T4 0.55KW ATEX Zone 1 - Explosion Proof Roof Top Exhaust Fan</t>
  </si>
  <si>
    <t>E01-FAN2</t>
  </si>
  <si>
    <t>Torrette TR-A 450 T4 2.2KW ATEX ZONE 1 - Explosion Proof Roof Top Exhaust Fan</t>
  </si>
  <si>
    <t>E01-FAN1</t>
  </si>
  <si>
    <t>Brackets - sets motor mounting brackets (threaded rod)</t>
  </si>
  <si>
    <t>E)</t>
  </si>
  <si>
    <t>R 1,694.00</t>
  </si>
  <si>
    <t>10 Meter Spiral Flexible Ducting</t>
  </si>
  <si>
    <t>Duct</t>
  </si>
  <si>
    <t>DRG 300x150 Mill c/w Powder Coating</t>
  </si>
  <si>
    <t>DTG/01</t>
  </si>
  <si>
    <t>DRILL SET HSS (2.3.4.5.6) 5PC</t>
  </si>
  <si>
    <t>DRILL BIT - SET (5pc)</t>
  </si>
  <si>
    <t>DOOR GRILLE 400/400 NS NA</t>
  </si>
  <si>
    <t>DRG4040</t>
  </si>
  <si>
    <t>DOOR GRILLE 400/300 NS NA</t>
  </si>
  <si>
    <t>DRG4030</t>
  </si>
  <si>
    <t>DREC 450</t>
  </si>
  <si>
    <t>DREC450</t>
  </si>
  <si>
    <t>DISPOSABLE POCKET FILTER 95% 600MM X 270MM X 600MM</t>
  </si>
  <si>
    <t>DPF95%/CUSTOM.</t>
  </si>
  <si>
    <t>DISPOSABLE POCKET FILTER 95% 600MM X 270MM X 300MM</t>
  </si>
  <si>
    <t>DPF95%/CUSTOM</t>
  </si>
  <si>
    <t>DISPOSABLE POCKET FILTER 95%</t>
  </si>
  <si>
    <t>DPF95%/600/600/600</t>
  </si>
  <si>
    <t>DPF95%/600/600/300</t>
  </si>
  <si>
    <t>VC DAMPER WITH QUADRANT KIT 150*150</t>
  </si>
  <si>
    <t>DMP - VCDQK</t>
  </si>
  <si>
    <t>100 Diam</t>
  </si>
  <si>
    <t>Delivery -</t>
  </si>
  <si>
    <t>CMVeco DD400-400P4 PPs LG 0 Fan, 380 Volt, 5,5 kW IE1 Standard Efficiency Motor @ 1400 rpm</t>
  </si>
  <si>
    <t>DD400</t>
  </si>
  <si>
    <t>CMVpro DD315-315P4 PPs LG 0 Fan, 380 Volt, 2,2 kW IE1 Standard Efficiency Motor @ 1400 rpm</t>
  </si>
  <si>
    <t>DD315</t>
  </si>
  <si>
    <t>CMVpro DD250-250P4 PPs LG 0 Fan, 380 Volt, 1.5 kW IE1 Standard Efficiency Motor @ 1400 rpm</t>
  </si>
  <si>
    <t>DD250</t>
  </si>
  <si>
    <t>DAXIS 350</t>
  </si>
  <si>
    <t>DAXIS350</t>
  </si>
  <si>
    <t>DAXIS 300</t>
  </si>
  <si>
    <t>DAXIS300</t>
  </si>
  <si>
    <t>DAXIS 250</t>
  </si>
  <si>
    <t>DAXIS250</t>
  </si>
  <si>
    <t>DAXIS 200</t>
  </si>
  <si>
    <t>DAXIS200</t>
  </si>
  <si>
    <t>CA02-02 50/60Hz 230V</t>
  </si>
  <si>
    <t>D4E180</t>
  </si>
  <si>
    <t>Lineo 125 Kit</t>
  </si>
  <si>
    <t>D10075</t>
  </si>
  <si>
    <t>RM 220/1/50 Speed Controller</t>
  </si>
  <si>
    <t>D100074</t>
  </si>
  <si>
    <t>CE250BB</t>
  </si>
  <si>
    <t>D100073</t>
  </si>
  <si>
    <t>MOTOR</t>
  </si>
  <si>
    <t>D100072</t>
  </si>
  <si>
    <t>VP 125K</t>
  </si>
  <si>
    <t>D100071</t>
  </si>
  <si>
    <t>VP 100K</t>
  </si>
  <si>
    <t>D100070</t>
  </si>
  <si>
    <t>D100069</t>
  </si>
  <si>
    <t>TT PRO 200</t>
  </si>
  <si>
    <t>D100068</t>
  </si>
  <si>
    <t>TT PRO 160</t>
  </si>
  <si>
    <t>D100067</t>
  </si>
  <si>
    <t>TT PRO 150</t>
  </si>
  <si>
    <t>D100066</t>
  </si>
  <si>
    <t>TT PRO 125</t>
  </si>
  <si>
    <t>D100065</t>
  </si>
  <si>
    <t>TT PRO 100</t>
  </si>
  <si>
    <t>D100064</t>
  </si>
  <si>
    <t>TT SILENT - M-100</t>
  </si>
  <si>
    <t>D100063</t>
  </si>
  <si>
    <t>VKV4E355 ROOF FAN</t>
  </si>
  <si>
    <t>D100062</t>
  </si>
  <si>
    <t>VKV4E450 ROOF FAN</t>
  </si>
  <si>
    <t>D100061</t>
  </si>
  <si>
    <t>TT SILENT M125</t>
  </si>
  <si>
    <t>D100060</t>
  </si>
  <si>
    <t>TT SILENT M250</t>
  </si>
  <si>
    <t>D100059</t>
  </si>
  <si>
    <t>KSB 250 BOX FAN</t>
  </si>
  <si>
    <t>D100058</t>
  </si>
  <si>
    <t>KSB 150 BOX FAN</t>
  </si>
  <si>
    <t>D100057</t>
  </si>
  <si>
    <t>KSB 200 BOX FAN</t>
  </si>
  <si>
    <t>D100056</t>
  </si>
  <si>
    <t>RELIEF VALVES</t>
  </si>
  <si>
    <t>D100055</t>
  </si>
  <si>
    <t>PRESSURE VALVES</t>
  </si>
  <si>
    <t>D100054</t>
  </si>
  <si>
    <t>D100053</t>
  </si>
  <si>
    <t>CHANNEL FILTERS</t>
  </si>
  <si>
    <t>D100052</t>
  </si>
  <si>
    <t>VFED-400-TA SPEED CONTROL</t>
  </si>
  <si>
    <t>D100051</t>
  </si>
  <si>
    <t>P2-10 SPEED CONTROL</t>
  </si>
  <si>
    <t>D100050</t>
  </si>
  <si>
    <t>TM-1.5N SENSOR</t>
  </si>
  <si>
    <t>D100049</t>
  </si>
  <si>
    <t>R55.0 SPEED CONTROL</t>
  </si>
  <si>
    <t>D100048</t>
  </si>
  <si>
    <t>R510.0TA SPEED CONTROL</t>
  </si>
  <si>
    <t>D100047</t>
  </si>
  <si>
    <t>Q150 QUIET LINE</t>
  </si>
  <si>
    <t>D100046</t>
  </si>
  <si>
    <t>MKV 2 MOUNTING BOX</t>
  </si>
  <si>
    <t>D100045</t>
  </si>
  <si>
    <t>MKM 3 MOUNTING BOX</t>
  </si>
  <si>
    <t>D100044</t>
  </si>
  <si>
    <t>R-1/010 SPEED CONTROL</t>
  </si>
  <si>
    <t>D100043</t>
  </si>
  <si>
    <t>RS-3-0-TA SPEED CONTROL</t>
  </si>
  <si>
    <t>D100042</t>
  </si>
  <si>
    <t>RS-4-O-PS SPEED CONTROL</t>
  </si>
  <si>
    <t>D100041</t>
  </si>
  <si>
    <t>PS-1-300 SPEED CONTROL</t>
  </si>
  <si>
    <t>D100040</t>
  </si>
  <si>
    <t>R 1,900.00</t>
  </si>
  <si>
    <t>560 Impeller</t>
  </si>
  <si>
    <t>D100039 - D31713</t>
  </si>
  <si>
    <t>R 1,650.00</t>
  </si>
  <si>
    <t>500 Impeller</t>
  </si>
  <si>
    <t>D100039 - D31689</t>
  </si>
  <si>
    <t>CONTROL UNIT</t>
  </si>
  <si>
    <t>D100039</t>
  </si>
  <si>
    <t>25 FL6</t>
  </si>
  <si>
    <t>D100038</t>
  </si>
  <si>
    <t>25 FL5</t>
  </si>
  <si>
    <t>D100037</t>
  </si>
  <si>
    <t>25 FLS</t>
  </si>
  <si>
    <t>D100036</t>
  </si>
  <si>
    <t>25 FA 8</t>
  </si>
  <si>
    <t>D100035</t>
  </si>
  <si>
    <t>25 FA 6</t>
  </si>
  <si>
    <t>D100034</t>
  </si>
  <si>
    <t>25 FA 5</t>
  </si>
  <si>
    <t>D100033</t>
  </si>
  <si>
    <t>FPZ FLEXIBLE SLEEVE</t>
  </si>
  <si>
    <t>D100032</t>
  </si>
  <si>
    <t>SCLK08 R-MD-75KW</t>
  </si>
  <si>
    <t>D100031</t>
  </si>
  <si>
    <t>SCLK03 MS-055-3</t>
  </si>
  <si>
    <t>D100030</t>
  </si>
  <si>
    <t>FM - OSTBERG</t>
  </si>
  <si>
    <t>CDC 150B</t>
  </si>
  <si>
    <t>D100028</t>
  </si>
  <si>
    <t>CDC 125A</t>
  </si>
  <si>
    <t>D100027</t>
  </si>
  <si>
    <t>FM - NICOTRA</t>
  </si>
  <si>
    <t>MBP 35 2.2KW 380V</t>
  </si>
  <si>
    <t>D100026</t>
  </si>
  <si>
    <t>BD 15/15 T6 2.2KW 230/400V</t>
  </si>
  <si>
    <t>D100025</t>
  </si>
  <si>
    <t>BD 12/9 M6 0.76KW 230V/58HZ STC</t>
  </si>
  <si>
    <t>D100024</t>
  </si>
  <si>
    <t>BD 12/12 T6 1.1KW 230V/400 50HZ LPC</t>
  </si>
  <si>
    <t>D100023</t>
  </si>
  <si>
    <t>DDM 10/8 600KW 6N 0220/01</t>
  </si>
  <si>
    <t>D100022</t>
  </si>
  <si>
    <t>DDM 10/8 245W 230V 6P 6M0648</t>
  </si>
  <si>
    <t>D100021</t>
  </si>
  <si>
    <t>R 10,531.00</t>
  </si>
  <si>
    <t>DDM 9/9 6P</t>
  </si>
  <si>
    <t>D100020</t>
  </si>
  <si>
    <t>R 2,681.25</t>
  </si>
  <si>
    <t>BD 9/9 - M4 0.35KW 230V - 500HZ STC</t>
  </si>
  <si>
    <t>D100019</t>
  </si>
  <si>
    <t>FM - SODECA</t>
  </si>
  <si>
    <t>CA-160-2T-2</t>
  </si>
  <si>
    <t>D100018</t>
  </si>
  <si>
    <t>NEOSILENT 150</t>
  </si>
  <si>
    <t>D100017</t>
  </si>
  <si>
    <t>R 2,891.25</t>
  </si>
  <si>
    <t>NEOSILENT 200</t>
  </si>
  <si>
    <t>D100016</t>
  </si>
  <si>
    <t>R 4,655.00</t>
  </si>
  <si>
    <t>CA-LINE-20</t>
  </si>
  <si>
    <t>D100015</t>
  </si>
  <si>
    <t>CA-LINE-15</t>
  </si>
  <si>
    <t>D100014</t>
  </si>
  <si>
    <t>CA-LINE-12</t>
  </si>
  <si>
    <t>D100013</t>
  </si>
  <si>
    <t>HAT-24-4M</t>
  </si>
  <si>
    <t>D100012</t>
  </si>
  <si>
    <t>SV-150-H</t>
  </si>
  <si>
    <t>D100011</t>
  </si>
  <si>
    <t>R 2,428.50</t>
  </si>
  <si>
    <t>VKAP 100 LD 3.0</t>
  </si>
  <si>
    <t>D100010</t>
  </si>
  <si>
    <t>CA/LINE 355 220-240V</t>
  </si>
  <si>
    <t>D100009</t>
  </si>
  <si>
    <t>HJBM 50 T4 0.55</t>
  </si>
  <si>
    <t>D100008</t>
  </si>
  <si>
    <t>HJBM 40 M4 0.25</t>
  </si>
  <si>
    <t>D100007</t>
  </si>
  <si>
    <t>HJBM PLUS 45 - T4 0.55KW</t>
  </si>
  <si>
    <t>D100006</t>
  </si>
  <si>
    <t>CAM-550-2T 5.5</t>
  </si>
  <si>
    <t>D100005</t>
  </si>
  <si>
    <t>HAT-35-2M</t>
  </si>
  <si>
    <t>D100004</t>
  </si>
  <si>
    <t>R 12,054.00</t>
  </si>
  <si>
    <t>HAT-35-4T</t>
  </si>
  <si>
    <t>D100003</t>
  </si>
  <si>
    <t>HAT-28-4M</t>
  </si>
  <si>
    <t>D100002</t>
  </si>
  <si>
    <t>R 1,741.97</t>
  </si>
  <si>
    <t>CMP-1128-4T</t>
  </si>
  <si>
    <t>D100001</t>
  </si>
  <si>
    <t>R 33,895.00</t>
  </si>
  <si>
    <t>UV250/1/6/F</t>
  </si>
  <si>
    <t>D100000</t>
  </si>
  <si>
    <t>Casings - 315mm Casing to Suit Above</t>
  </si>
  <si>
    <t>D)</t>
  </si>
  <si>
    <t>Neoprene Clamp 315</t>
  </si>
  <si>
    <t>CZ315C</t>
  </si>
  <si>
    <t>Neoprene Clamp - 200mm</t>
  </si>
  <si>
    <t>CZ200C</t>
  </si>
  <si>
    <t>CUB 560</t>
  </si>
  <si>
    <t>CUB560</t>
  </si>
  <si>
    <t>CUB 500</t>
  </si>
  <si>
    <t>CUB500</t>
  </si>
  <si>
    <t>CUB 450</t>
  </si>
  <si>
    <t>CUB450</t>
  </si>
  <si>
    <t>CUB 400</t>
  </si>
  <si>
    <t>CUB400</t>
  </si>
  <si>
    <t>CUB 355</t>
  </si>
  <si>
    <t>CUB355</t>
  </si>
  <si>
    <t>CUB 315</t>
  </si>
  <si>
    <t>CUB315</t>
  </si>
  <si>
    <t>CUB 250</t>
  </si>
  <si>
    <t>CUB250</t>
  </si>
  <si>
    <t>CUB 200</t>
  </si>
  <si>
    <t>CUB200</t>
  </si>
  <si>
    <t>CUB 160</t>
  </si>
  <si>
    <t>CUB160</t>
  </si>
  <si>
    <t>CUB 150</t>
  </si>
  <si>
    <t>CUB150</t>
  </si>
  <si>
    <t>CUB 125</t>
  </si>
  <si>
    <t>CUB125</t>
  </si>
  <si>
    <t>CUB 100</t>
  </si>
  <si>
    <t>CUB100</t>
  </si>
  <si>
    <t>c/w 1.1kW 4Pole 220v</t>
  </si>
  <si>
    <t>CTF-50</t>
  </si>
  <si>
    <t>CTF-40 c/w 1.1kw 2990rpm 380V</t>
  </si>
  <si>
    <t>CTF-40</t>
  </si>
  <si>
    <t>CTF-80 c/w 2.2kW 960rpm 220v</t>
  </si>
  <si>
    <t>CTF - 80</t>
  </si>
  <si>
    <t>c/w 1.8kW 4Pole 220v</t>
  </si>
  <si>
    <t>CTF - 60</t>
  </si>
  <si>
    <t>CTerm-Cap</t>
  </si>
  <si>
    <t>Attenuator 150x600mm</t>
  </si>
  <si>
    <t>CTA/02</t>
  </si>
  <si>
    <t>CTA/01</t>
  </si>
  <si>
    <t>CABTYRE 2,5MM2 4 CORE - BLACK</t>
  </si>
  <si>
    <t>CT2.50X4BK</t>
  </si>
  <si>
    <t>CABTYRE 1,5MM2 4 CORE BLACK</t>
  </si>
  <si>
    <t>CT1.50X4BK</t>
  </si>
  <si>
    <t>R 11,579.99</t>
  </si>
  <si>
    <t>Copper Sheet (2000x1000x1.5mm)</t>
  </si>
  <si>
    <t>CSH1000x1.5</t>
  </si>
  <si>
    <t>Wooden crates</t>
  </si>
  <si>
    <t>Crates</t>
  </si>
  <si>
    <t>CRADIK 560</t>
  </si>
  <si>
    <t>CRADIK560</t>
  </si>
  <si>
    <t>CRADIK 500</t>
  </si>
  <si>
    <t>CRADIK500</t>
  </si>
  <si>
    <t>CRADIK 450</t>
  </si>
  <si>
    <t>CRADIK450</t>
  </si>
  <si>
    <t>CRADIK 400</t>
  </si>
  <si>
    <t>CRADIK400</t>
  </si>
  <si>
    <t>CRADIK 355</t>
  </si>
  <si>
    <t>CRADIK355</t>
  </si>
  <si>
    <t>CRADIK 280</t>
  </si>
  <si>
    <t>CRADIK280</t>
  </si>
  <si>
    <t>CRADIK 250</t>
  </si>
  <si>
    <t>CRADIK250</t>
  </si>
  <si>
    <t>CRADIK 225</t>
  </si>
  <si>
    <t>CRADIK225</t>
  </si>
  <si>
    <t>CRADIK 190</t>
  </si>
  <si>
    <t>CRADIK190</t>
  </si>
  <si>
    <t>CRAD 560</t>
  </si>
  <si>
    <t>CRAD560</t>
  </si>
  <si>
    <t>CRAD 500</t>
  </si>
  <si>
    <t>CRAD500</t>
  </si>
  <si>
    <t>R 4,865.10</t>
  </si>
  <si>
    <t>CRAD 450</t>
  </si>
  <si>
    <t>CRAD450</t>
  </si>
  <si>
    <t>CRAD 400</t>
  </si>
  <si>
    <t>CRAD400</t>
  </si>
  <si>
    <t>CRAD 355</t>
  </si>
  <si>
    <t>CRAD355</t>
  </si>
  <si>
    <t>CRAD 280</t>
  </si>
  <si>
    <t>CRAD280</t>
  </si>
  <si>
    <t>CRAD 250</t>
  </si>
  <si>
    <t>CRAD250</t>
  </si>
  <si>
    <t>CRAD 225</t>
  </si>
  <si>
    <t>CRAD225</t>
  </si>
  <si>
    <t>CRAD 190</t>
  </si>
  <si>
    <t>CRAD190</t>
  </si>
  <si>
    <t>CPV/ATEX-160-4T/2D EX TB</t>
  </si>
  <si>
    <t>CPV/ATEX</t>
  </si>
  <si>
    <t>CPV2045/4T-IE3</t>
  </si>
  <si>
    <t>CPV</t>
  </si>
  <si>
    <t>DENIM WORK TROUSERS INDIGO 38</t>
  </si>
  <si>
    <t>CP77P-DNM12-104-00-38</t>
  </si>
  <si>
    <t>DENIM WORK TROUSERS INDIGO 32</t>
  </si>
  <si>
    <t>CP77P-DNM12-104-00-32</t>
  </si>
  <si>
    <t>VERSATEX WORK TROUSERS BOTTLE 44</t>
  </si>
  <si>
    <t>CP77P-DESMBO-201-00-44</t>
  </si>
  <si>
    <t>VERSATEX WORK TROUSERS BOTTLE 32</t>
  </si>
  <si>
    <t>CP77P-DESMBO-201-00-32</t>
  </si>
  <si>
    <t>VERSATEX WORK TROUSERS BOTTLE 28</t>
  </si>
  <si>
    <t>CP77P-DESMBO-201-00-28</t>
  </si>
  <si>
    <t>DDM 10/10</t>
  </si>
  <si>
    <t>Counter-Flanges</t>
  </si>
  <si>
    <t>R 1,118.23</t>
  </si>
  <si>
    <t>February Council Billing</t>
  </si>
  <si>
    <t>COUNCIL BILLINGG</t>
  </si>
  <si>
    <t>copper sheet (2000 x 1000 x 1.5mm) cut strips of 120mm across 2m length</t>
  </si>
  <si>
    <t>copper cut</t>
  </si>
  <si>
    <t>For 7-off Fans</t>
  </si>
  <si>
    <t>Control Panel</t>
  </si>
  <si>
    <t>MLM 36V Power Supply Unit</t>
  </si>
  <si>
    <t>CONT/0350/00960</t>
  </si>
  <si>
    <t>Report</t>
  </si>
  <si>
    <t>Compile</t>
  </si>
  <si>
    <t>R 246,629.57</t>
  </si>
  <si>
    <t>Mahindra 1.2T MX2 A/T</t>
  </si>
  <si>
    <t>Company Car</t>
  </si>
  <si>
    <t>Screws &amp; Springs for Combination Set Dasqua</t>
  </si>
  <si>
    <t>CN4PC-SS-DAS</t>
  </si>
  <si>
    <t>CMVpro DD250-250P4 PPs LG 0</t>
  </si>
  <si>
    <t>R 61,919.67</t>
  </si>
  <si>
    <t>CMVpro 400 P4 PPs Casing &amp; impeller RD 90 Fan c/w 5.5kw 4P 380V</t>
  </si>
  <si>
    <t>CMV400</t>
  </si>
  <si>
    <t>Vorticent CMS 35/14 T4 4KW (4600 CFM)</t>
  </si>
  <si>
    <t>CMS35</t>
  </si>
  <si>
    <t>Vorticent CMS 25/10 T4 0.75KW (1400 CFM)</t>
  </si>
  <si>
    <t>CMS25</t>
  </si>
  <si>
    <t>CMRS-400-2T-5.5 LG270-0-45-90-135-315</t>
  </si>
  <si>
    <t>CMRS-400-2T</t>
  </si>
  <si>
    <t>CMP 1128 4T</t>
  </si>
  <si>
    <t>CMP11254T</t>
  </si>
  <si>
    <t>cmp 922- 2T-3 2.2kw 2p</t>
  </si>
  <si>
    <t>cmp 922</t>
  </si>
  <si>
    <t>CMP 820 2M</t>
  </si>
  <si>
    <t>CMP</t>
  </si>
  <si>
    <t>75mm Galv Filter Clip</t>
  </si>
  <si>
    <t>CLIPS003</t>
  </si>
  <si>
    <t>Rectangular Fan</t>
  </si>
  <si>
    <t>CL/PLUS/EC-7040</t>
  </si>
  <si>
    <t>CL/PLUS/EC-6035</t>
  </si>
  <si>
    <t>VERSATEX TWO-TONE WORK JACKET NAVY/BOTTLE XL</t>
  </si>
  <si>
    <t>CJ77J-NAVBOT-101-04-XL</t>
  </si>
  <si>
    <t>VERSATEX TWO-TONE WORK JACKET NAVY/BOTTLE M</t>
  </si>
  <si>
    <t>CJ77J-NAVBOT-101-02-M</t>
  </si>
  <si>
    <t>VERSATEX TWO-TONE WORK JACKET NAVY/BOTTLE S</t>
  </si>
  <si>
    <t>CJ77J-NAVBOT-101-01-S</t>
  </si>
  <si>
    <t>DENIM WORK JACKET INDIGO L</t>
  </si>
  <si>
    <t>CJ77J-DNM12-104-03-L</t>
  </si>
  <si>
    <t>DENIM WORK JACKET INDIGO M</t>
  </si>
  <si>
    <t>CJ77J-DNM12-104-02-M</t>
  </si>
  <si>
    <t>CI-100-4T-F-300</t>
  </si>
  <si>
    <t>CHT-200-4M 230V.</t>
  </si>
  <si>
    <t>CHT</t>
  </si>
  <si>
    <t>to R 90</t>
  </si>
  <si>
    <t>changing Discharge position</t>
  </si>
  <si>
    <t>2.5 Amps Speed Controller</t>
  </si>
  <si>
    <t>CFD2.5</t>
  </si>
  <si>
    <t>CF9 - 4'</t>
  </si>
  <si>
    <t>CF9</t>
  </si>
  <si>
    <t>CF8 - 3'</t>
  </si>
  <si>
    <t>CF8</t>
  </si>
  <si>
    <t>CF6 - 2'</t>
  </si>
  <si>
    <t>CF6</t>
  </si>
  <si>
    <t>CF5 - 1' 1/2</t>
  </si>
  <si>
    <t>CF5</t>
  </si>
  <si>
    <t>CF4 - 1' 1/4</t>
  </si>
  <si>
    <t>CF4</t>
  </si>
  <si>
    <t>LCF 56 - 1440rpm - 4 Speed 220V</t>
  </si>
  <si>
    <t>CF/01</t>
  </si>
  <si>
    <t>280 CM BCC DIDW CENTRIFUGAL FAN</t>
  </si>
  <si>
    <t>Centrifugal Fan</t>
  </si>
  <si>
    <t>CE200</t>
  </si>
  <si>
    <t>CE 250</t>
  </si>
  <si>
    <t>CDXRT-250-3 230/400V. IE3</t>
  </si>
  <si>
    <t>CDXRT</t>
  </si>
  <si>
    <t>R 1,750.00</t>
  </si>
  <si>
    <t>Camera Replacement</t>
  </si>
  <si>
    <t>CCTV</t>
  </si>
  <si>
    <t>250 DIA SQUARE CONSTANT VOLUME DIFFUSER</t>
  </si>
  <si>
    <t>CCD25</t>
  </si>
  <si>
    <t>CASB-900-4T-30/ATEX/3G Ex ec 380/660V./ARR.9 60H</t>
  </si>
  <si>
    <t>CASB-900</t>
  </si>
  <si>
    <t>CASB-560-2T-25</t>
  </si>
  <si>
    <t>CAS-242-2T-0.5/INOX-316 230/400V.</t>
  </si>
  <si>
    <t>CAS..</t>
  </si>
  <si>
    <t>CAS-242-2T-0.5/INOX-316 230/400V</t>
  </si>
  <si>
    <t>CAS.</t>
  </si>
  <si>
    <t>CAS-248-2T-1.5/INOX-316 230/400V. IE3</t>
  </si>
  <si>
    <t>CAS</t>
  </si>
  <si>
    <t>New Capacitor suitable for 60hz 0.1kw 1430rpm 230V</t>
  </si>
  <si>
    <t>CAP0.14220</t>
  </si>
  <si>
    <t>CANCOLLAR SPIGOT 150 DIA</t>
  </si>
  <si>
    <t>CANCOLSPIG150</t>
  </si>
  <si>
    <t>CAMC-560-160 MA/2</t>
  </si>
  <si>
    <t>CAMC-560</t>
  </si>
  <si>
    <t>CAMC-360-80 B/2</t>
  </si>
  <si>
    <t>CAMC</t>
  </si>
  <si>
    <t>R 1,865.76</t>
  </si>
  <si>
    <t>CA9- 4'</t>
  </si>
  <si>
    <t>CA9</t>
  </si>
  <si>
    <t>R 1,171.87</t>
  </si>
  <si>
    <t>CA8 - 3'</t>
  </si>
  <si>
    <t>CA8</t>
  </si>
  <si>
    <t>CA6V - 2'</t>
  </si>
  <si>
    <t>CA6</t>
  </si>
  <si>
    <t>CA5V - 1' 1/2</t>
  </si>
  <si>
    <t>CA5</t>
  </si>
  <si>
    <t>CA4V - 1' 1/4</t>
  </si>
  <si>
    <t>CA4</t>
  </si>
  <si>
    <t>31 50/60HZ</t>
  </si>
  <si>
    <t>CA/Line/EC</t>
  </si>
  <si>
    <t>900 casing</t>
  </si>
  <si>
    <t>C900x500</t>
  </si>
  <si>
    <t>R 3,285.00</t>
  </si>
  <si>
    <t>R 2,044.20</t>
  </si>
  <si>
    <t>R 1,505.57</t>
  </si>
  <si>
    <t>R 1,402.45</t>
  </si>
  <si>
    <t>R 1,792.00</t>
  </si>
  <si>
    <t>R 1,180.84</t>
  </si>
  <si>
    <t>R 1,019.75</t>
  </si>
  <si>
    <t>R 1,491.01</t>
  </si>
  <si>
    <t>Casing size 462diamx470 Buffalo-Ungalvanised</t>
  </si>
  <si>
    <t>C462x470UG-B</t>
  </si>
  <si>
    <t>Casing size 462diamx470 Buffalo</t>
  </si>
  <si>
    <t>C462x470-B</t>
  </si>
  <si>
    <t>R 2,195.15</t>
  </si>
  <si>
    <t>2.0MX1.5MX3.MM KLINGERSIL C4324</t>
  </si>
  <si>
    <t>C4324</t>
  </si>
  <si>
    <t>R 1,241.00</t>
  </si>
  <si>
    <t>Casings - 400mm Casings to Suit above</t>
  </si>
  <si>
    <t>C)</t>
  </si>
  <si>
    <t>PLASTIC BUCKLES 12MM - (1000)</t>
  </si>
  <si>
    <t>BP01</t>
  </si>
  <si>
    <t>R 6,233.25</t>
  </si>
  <si>
    <t>Box fan 1250mm LOUV 220v 01.50kW S/S</t>
  </si>
  <si>
    <t>BF50L1.51HS</t>
  </si>
  <si>
    <t>Base Frame - HBC-M 630</t>
  </si>
  <si>
    <t>BF</t>
  </si>
  <si>
    <t>in house bending</t>
  </si>
  <si>
    <t>bending</t>
  </si>
  <si>
    <t>R 9,999.00</t>
  </si>
  <si>
    <t>MULTI BEND SYSTEM 50 R</t>
  </si>
  <si>
    <t>Bend System</t>
  </si>
  <si>
    <t>R 8,453.75</t>
  </si>
  <si>
    <t>Bellax 500 - 20 - C - 8 c/w 2,2KW 2P 220V</t>
  </si>
  <si>
    <t>Bellax500</t>
  </si>
  <si>
    <t>R 16,392.00</t>
  </si>
  <si>
    <t>Bellax 800 32-E-8 c/w 1.5kW 6Pole Motor</t>
  </si>
  <si>
    <t>Bellax 800</t>
  </si>
  <si>
    <t>R 7,868.00</t>
  </si>
  <si>
    <t>Bellax 630 20.D 8- c/w1.5kw 4P 220V</t>
  </si>
  <si>
    <t>Bellax 630</t>
  </si>
  <si>
    <t>Bellax 560 20.D 8 - c/w 1.5kw 4P 220v</t>
  </si>
  <si>
    <t>Bellax 560</t>
  </si>
  <si>
    <t>Bellax 400 c/w 0.25kW 4Pole 380v Motor</t>
  </si>
  <si>
    <t>Bellax 400</t>
  </si>
  <si>
    <t>R 6,267.00</t>
  </si>
  <si>
    <t>BCC DIDW CENTRIFUGAL FAN</t>
  </si>
  <si>
    <t>BDB-280 CM</t>
  </si>
  <si>
    <t>BC-L7ZDW (BCL720) c/w 3.0kw 4P 380V Motor</t>
  </si>
  <si>
    <t>BC-L7ZDW</t>
  </si>
  <si>
    <t>BCC36/0.8 SI CLASS 4 (1A) c/w 55kw 4Pole 380V (Belt-Driven)</t>
  </si>
  <si>
    <t>BCC36</t>
  </si>
  <si>
    <t>BCC 27/1.0 SISW AR 6A c/w 3.0Kw 6P 380V</t>
  </si>
  <si>
    <t>BCC27P28350</t>
  </si>
  <si>
    <t>BCC-2 400 DIDW c/w 5.5Kw 4P 380V - J96084</t>
  </si>
  <si>
    <t>BCC-2400</t>
  </si>
  <si>
    <t>Arrgt 2-A CL Fan Assembly. L180</t>
  </si>
  <si>
    <t>BCC-2 800 1.0 DIDW</t>
  </si>
  <si>
    <t>BCC-2 710/10 4Arr c/w 11kW 4Pole 380v Motor</t>
  </si>
  <si>
    <t>BCC-2 710/10</t>
  </si>
  <si>
    <t>c/w 15 kW 4 Pole 380 V Motor (Belt Driven)</t>
  </si>
  <si>
    <t>BCC-2 710/1.0 SI 1A</t>
  </si>
  <si>
    <t>c/w 30 kW 4 Pole 380 V (Belt Driven)</t>
  </si>
  <si>
    <t>BCC-2 710/1.0 DI CLASS 2 (2A)</t>
  </si>
  <si>
    <t>C/w 4kw 4pole 380v (Belt Driven)</t>
  </si>
  <si>
    <t>BCC-2 630/1.0S1 CLASS2 ARR(1A)</t>
  </si>
  <si>
    <t>c/w 11 kW 4 Pole 380 V</t>
  </si>
  <si>
    <t>BCC-2 630/1 DI 4A</t>
  </si>
  <si>
    <t>c/w 2.2kW 4Pole 380v Motor</t>
  </si>
  <si>
    <t>BCC-2 560</t>
  </si>
  <si>
    <t>c/w 15 kW 4 Pole 380 V (Belt Driven)</t>
  </si>
  <si>
    <t>BCC-2 500/1.0 DI CLASS 2 (2A)</t>
  </si>
  <si>
    <t>R 31,900.00</t>
  </si>
  <si>
    <t>4A c/w 7.5 kW 4 Pole 380V</t>
  </si>
  <si>
    <t>BCC-2 500/1.0</t>
  </si>
  <si>
    <t>2A DIDW c/w 5.5 kW 4 Pole 380V</t>
  </si>
  <si>
    <t>BCC-2 450/1.0</t>
  </si>
  <si>
    <t>4A DIDW Belt Driven c/w 3kW 4Pole 380v Motor</t>
  </si>
  <si>
    <t>BCC-2 400 1</t>
  </si>
  <si>
    <t>c/w 1.1 kW 2 Pole 380 V (Belt Driven)</t>
  </si>
  <si>
    <t>BCC-2 315/1.0</t>
  </si>
  <si>
    <t>560/1.0SISW1 c/w 4kw CLASS2 ARR(6A)T60</t>
  </si>
  <si>
    <t>BCC-2</t>
  </si>
  <si>
    <t>R 53,900.00</t>
  </si>
  <si>
    <t>BCC 15/0.75 CL2 Ar 1A c/w 4.0kw 4P 525V - J61923</t>
  </si>
  <si>
    <t>BCC15-J61923</t>
  </si>
  <si>
    <t>c/w 1.1 kW 4 Pole 380 V</t>
  </si>
  <si>
    <t>BCC12/0.75</t>
  </si>
  <si>
    <t>c/w 45kW 4 Pole 525 V</t>
  </si>
  <si>
    <t>BCC 45/1.0 (SISW 1A)</t>
  </si>
  <si>
    <t>c/w 18.5 kW 4 Pole 380 V Motor</t>
  </si>
  <si>
    <t>BCC 42/1 Arr2 (Belt driven)</t>
  </si>
  <si>
    <t>R 212,333.00</t>
  </si>
  <si>
    <t>BCC 39/0.99 SISW c/w 75Kw 4P 400V Motor</t>
  </si>
  <si>
    <t>BCC 39</t>
  </si>
  <si>
    <t>c/w 37 kW 4 Pole 380 V (Direct Driven)</t>
  </si>
  <si>
    <t>BCC 36/0.81 SI CLASS 3 (A6)</t>
  </si>
  <si>
    <t>Bcc 30/1.0 Class 1 (1A) SISW</t>
  </si>
  <si>
    <t>c/w 15 kW 4 Pole 380 V Motor (Direct Driven)</t>
  </si>
  <si>
    <t>BCC 30/0.75 Class 2 (6A)</t>
  </si>
  <si>
    <t>c/w 15 kW 4 Pole 380 V (Direct Driven)</t>
  </si>
  <si>
    <t>BCC 30/0.71 SI (ARR 6A)</t>
  </si>
  <si>
    <t>BCC 27/1.0 c/w 7.5kW 4Pole 380 v</t>
  </si>
  <si>
    <t>BCC 27/</t>
  </si>
  <si>
    <t>c/w 4KW 4P 380V</t>
  </si>
  <si>
    <t>BCC 24/0.93 SI</t>
  </si>
  <si>
    <t>R 43,708.00</t>
  </si>
  <si>
    <t>c/w 5.5 kW 4 Pole 380V (IP66)</t>
  </si>
  <si>
    <t>BCC 21/01 Class1 (2A) Belt Driven</t>
  </si>
  <si>
    <t>c/w 5.5 kW 4 Pole 380 V Motor</t>
  </si>
  <si>
    <t>BCC 18/01 Class1 (2A) Belt Driven</t>
  </si>
  <si>
    <t>4 kW 4 Pole 380 V</t>
  </si>
  <si>
    <t>BCC 18/01 Class1 (1A) SISW</t>
  </si>
  <si>
    <t>BCC 15/0.75kW arrangement 1A class 2 c/w 4kW 4Pole 525v fan Spped 3057rpm</t>
  </si>
  <si>
    <t>BCC 15</t>
  </si>
  <si>
    <t>BANDSAW BIMETAL M42 8/12T (2.480X1)</t>
  </si>
  <si>
    <t>BBF27X8/12T</t>
  </si>
  <si>
    <t>BBF19X10/14DOM</t>
  </si>
  <si>
    <t>BANDSAW BIMETAL M42 19x10/14T (3.050x1)</t>
  </si>
  <si>
    <t>BBC19X10/14T-2</t>
  </si>
  <si>
    <t>Impeller Balancing 2.5kg 4p</t>
  </si>
  <si>
    <t>Balance Impeller</t>
  </si>
  <si>
    <t>BAF 150</t>
  </si>
  <si>
    <t>BAF150</t>
  </si>
  <si>
    <t>BAF 125</t>
  </si>
  <si>
    <t>BAF125</t>
  </si>
  <si>
    <t>BAF 100</t>
  </si>
  <si>
    <t>BAF100</t>
  </si>
  <si>
    <t>Lineo 200 - Inline Exhaust Fan</t>
  </si>
  <si>
    <t>B-91-FAN7</t>
  </si>
  <si>
    <t>TORRETTE TRS 250 EC - Roof Top Exhaust Fan</t>
  </si>
  <si>
    <t>B-91-FAN6</t>
  </si>
  <si>
    <t>TORRETTE TRS 310 EC - Roof Top Exhaust Fan</t>
  </si>
  <si>
    <t>B-91-FAN5</t>
  </si>
  <si>
    <t>HTMV-90-4T-7.5/ATEX/2G Ex db 400/690V - Explosion Proof Roof Top Exhaust Fan</t>
  </si>
  <si>
    <t>B-91-FAN4</t>
  </si>
  <si>
    <t>TORRETTE TR-A 500 T4 3KW ATEX Zone 1 - Explosion Proof Roof Top Exhaust Fan</t>
  </si>
  <si>
    <t>B-91-FAN3</t>
  </si>
  <si>
    <t>HC-63-4T/H/ATEX/2G Ex db 230/400V - 60Hz - Explosion Proof Wall Mounted Centrifugal Exhaust Fan</t>
  </si>
  <si>
    <t>B-91-FAN2</t>
  </si>
  <si>
    <t>TORRETTE TR-A 710 T6 4KW ATEX Zone 1 - Explosion Proof Roof Top Centrifugal Exhaust Fan</t>
  </si>
  <si>
    <t>B-91-FAN1</t>
  </si>
  <si>
    <t>R 3,473.50</t>
  </si>
  <si>
    <t>IA Certification (Imported Equipment). Document Review and IA Certification Transfer Based on ATEX</t>
  </si>
  <si>
    <t>B3</t>
  </si>
  <si>
    <t>B-135-FAN8</t>
  </si>
  <si>
    <t>VORTICENT CMS 25/10 T4 0.75KW - Wall Mounted Centrifugal Exhaust Fan</t>
  </si>
  <si>
    <t>B-135-FAN7</t>
  </si>
  <si>
    <t>VORTICENT CMS 35/14 T4 4KW - Wall Mountex Centrifugal Exhaust Fan</t>
  </si>
  <si>
    <t>B-135-FAN6</t>
  </si>
  <si>
    <t>TORRETTE TR-A 500 T4 3KW ATEX Zone 1 - Explosion Proof Roof Top Centrifugal Exhaust Fan</t>
  </si>
  <si>
    <t>B-135-FAN5</t>
  </si>
  <si>
    <t>TORRETTE TRK-AR 500 T4 3KW - Roof Top Centrifugal Exhaust Fan</t>
  </si>
  <si>
    <t>B-135-FAN4</t>
  </si>
  <si>
    <t>TORRETTE TR-A 400 T4 1.1KW ATEX Zone 1 - Explosion Proof Roof Top Centrifugal Exhaust Fan</t>
  </si>
  <si>
    <t>B-135-FAN3</t>
  </si>
  <si>
    <t>B-135-FAN2</t>
  </si>
  <si>
    <t>TORRETTE TR-A 450 T4 2.2KW ATEX Zone 1 - Explosion Proof Roof Top Centrifugal Exhaust Fan</t>
  </si>
  <si>
    <t>B-135-FAN1</t>
  </si>
  <si>
    <t>HTMV-125-4T/9-40 400/690V.IE3 -60Hz - Roof Top Exhaust Fan</t>
  </si>
  <si>
    <t>B-124-FAN1</t>
  </si>
  <si>
    <t>BCC2 800/1.0D1 BELT DRIVEN C/W 15KW 4P 380V</t>
  </si>
  <si>
    <t>B1000</t>
  </si>
  <si>
    <t>Fire Damper c/w Link &amp; Quad 150mm</t>
  </si>
  <si>
    <t>B/02</t>
  </si>
  <si>
    <t>Volume Control Damper &amp; Quad 150mm</t>
  </si>
  <si>
    <t>B/01</t>
  </si>
  <si>
    <t>LDP/315/6/10/B/14mm - 0.55kW 2P</t>
  </si>
  <si>
    <t>B)</t>
  </si>
  <si>
    <t>R 4,520.64</t>
  </si>
  <si>
    <t>TAXIP F300: 450-5-25</t>
  </si>
  <si>
    <t>AXIP450</t>
  </si>
  <si>
    <t>R 3,264.00</t>
  </si>
  <si>
    <t>1000 X 500</t>
  </si>
  <si>
    <t>AWSL/1/1000X500/OP/0/P1/</t>
  </si>
  <si>
    <t>R 2,479.00</t>
  </si>
  <si>
    <t>600 X 600</t>
  </si>
  <si>
    <t>AWSL/1/ 600X600)P/0/P1/</t>
  </si>
  <si>
    <t>Anti-Vibration Rubber Mounts</t>
  </si>
  <si>
    <t>AVMs-</t>
  </si>
  <si>
    <t>Attenuator 200x600mm</t>
  </si>
  <si>
    <t>ATT/01</t>
  </si>
  <si>
    <t>R 2,000.00</t>
  </si>
  <si>
    <t>AT 12/9 SC - Single Unit, Belt drive C/W 4kW 4P 380V FM</t>
  </si>
  <si>
    <t>AT 12/9 SC/BD</t>
  </si>
  <si>
    <t>3001 ALU FOIL TAPE 48mm X 50m (30 micron)</t>
  </si>
  <si>
    <t>AT</t>
  </si>
  <si>
    <t>Building Casing &amp; Impeller</t>
  </si>
  <si>
    <t>Assembly</t>
  </si>
  <si>
    <t>AIRMAX-2.850 P</t>
  </si>
  <si>
    <t>AIRMAX2-850P</t>
  </si>
  <si>
    <t>AIRMAX-2.850 W</t>
  </si>
  <si>
    <t>AIRMAX2-850</t>
  </si>
  <si>
    <t>AIRMAX-2.750 W.EC</t>
  </si>
  <si>
    <t>AIRMAX2-750W</t>
  </si>
  <si>
    <t>AIRMAX-2.750 P.EC</t>
  </si>
  <si>
    <t>AIRMAX2-750P.EC</t>
  </si>
  <si>
    <t>AIRMAX-2.750 P</t>
  </si>
  <si>
    <t>AIRMAX2-750P</t>
  </si>
  <si>
    <t>AIRMAX-2.750 W</t>
  </si>
  <si>
    <t>AIRMAX2-750</t>
  </si>
  <si>
    <t>AIRMAX-2.650 W.EC</t>
  </si>
  <si>
    <t>AIRMAX2-650W</t>
  </si>
  <si>
    <t>AIRMAX-2.650 P. EC</t>
  </si>
  <si>
    <t>AIRMAX2-650P.EC</t>
  </si>
  <si>
    <t>AIRMAX-2.650 P</t>
  </si>
  <si>
    <t>AIRMAX2-650P</t>
  </si>
  <si>
    <t>AIRMAX-2.650 W</t>
  </si>
  <si>
    <t>AIRMAX2-650</t>
  </si>
  <si>
    <t>AIRMAX-2.500 P</t>
  </si>
  <si>
    <t>AIRMAX2-500P</t>
  </si>
  <si>
    <t>AIRMAX-2.500 W</t>
  </si>
  <si>
    <t>AIRMAX2-500</t>
  </si>
  <si>
    <t>Airmax-2.650.W - Wall Fan - 187 Watts - 230/1/50 - Twin Blade - Black (Pull Cord)</t>
  </si>
  <si>
    <t>Airmax-2.650.W.</t>
  </si>
  <si>
    <t>Airmax Poles &amp; Brackets</t>
  </si>
  <si>
    <t>Airmax PB</t>
  </si>
  <si>
    <t>R 3,716.18</t>
  </si>
  <si>
    <t>Dar Es Salaam</t>
  </si>
  <si>
    <t>Airfreight -</t>
  </si>
  <si>
    <t>ALFIX 4.0MM2 4 CORE+E S/LENGHT</t>
  </si>
  <si>
    <t>AF4.0X4+EWHSL</t>
  </si>
  <si>
    <t>WEATHER LOUVRE 520(W)*520(H) OPENING SIZE NATURALLY ANOD</t>
  </si>
  <si>
    <t>ADWL.</t>
  </si>
  <si>
    <t>WL 900(W)*600(H) NS NA</t>
  </si>
  <si>
    <t>ADWL--</t>
  </si>
  <si>
    <t>SINGLE DEFLECTION GRILLE 625(W)*625(H) OVER FLANGE NATURAL</t>
  </si>
  <si>
    <t>ADSD</t>
  </si>
  <si>
    <t>RA 1200(W)*600(H) NS PCW</t>
  </si>
  <si>
    <t>ADRA-</t>
  </si>
  <si>
    <t>Material Cutting Cost</t>
  </si>
  <si>
    <t>Additional Costs</t>
  </si>
  <si>
    <t>R 7,252.17</t>
  </si>
  <si>
    <t>Subscription (Accounting)</t>
  </si>
  <si>
    <t>Accounting</t>
  </si>
  <si>
    <t>119X119X38, 220V, GL, PLUG</t>
  </si>
  <si>
    <t>AC COMPACT FAN</t>
  </si>
  <si>
    <t>130, 220V, FORM V, KL</t>
  </si>
  <si>
    <t>AC AXIAL FAN</t>
  </si>
  <si>
    <t>ICC BASEMENT PARKING</t>
  </si>
  <si>
    <t>ABOVE FANS ARE FOR</t>
  </si>
  <si>
    <t>Volume Control Damper &amp; Quad 100mm</t>
  </si>
  <si>
    <t>AA</t>
  </si>
  <si>
    <t>Fire Damper c/w Link &amp; Quad 100mm</t>
  </si>
  <si>
    <t>A/02</t>
  </si>
  <si>
    <t>A/01</t>
  </si>
  <si>
    <t>R 1,308.00</t>
  </si>
  <si>
    <t>LDP/400/6/15/B/19mm - 0.75kW 2P</t>
  </si>
  <si>
    <t>A)</t>
  </si>
  <si>
    <t>AT 9/9 SC - Single Unit</t>
  </si>
  <si>
    <t>EMBROIDERY R50 R50</t>
  </si>
  <si>
    <t>99050-EMB-22-R50</t>
  </si>
  <si>
    <t>EMBROIDERY R40 R40</t>
  </si>
  <si>
    <t>99050-EMB-20-R40</t>
  </si>
  <si>
    <t>AT 9/7 SC - Single Unit</t>
  </si>
  <si>
    <t>PG-16 GLANDS : PG16 POLYMER CABLE GLAND GREY</t>
  </si>
  <si>
    <t>97-32</t>
  </si>
  <si>
    <t>PULLEY FRICTION BELT V-WEDGE 3 GROOVE SPA 1610 TAPER 95MM FENNER</t>
  </si>
  <si>
    <t>95X3SPA</t>
  </si>
  <si>
    <t>950 x 600 x 1200mm Silencer</t>
  </si>
  <si>
    <t>950x600x1200</t>
  </si>
  <si>
    <t>PULLEY FRICTION BELT V-WEDGE 3 GROOVE SPA 1610 TAPER 90MM FENNER</t>
  </si>
  <si>
    <t>90X3SPA</t>
  </si>
  <si>
    <t>Pulley Friction Belt V-wedge 2 Groo</t>
  </si>
  <si>
    <t>90X2SPZ</t>
  </si>
  <si>
    <t>R 6,224.00</t>
  </si>
  <si>
    <t>900 Diam Melinex Silencer 2.0D Podded</t>
  </si>
  <si>
    <t>900SM2.0DP</t>
  </si>
  <si>
    <t>900 Diam Melinex Silencer 2.0D</t>
  </si>
  <si>
    <t>900SM2.0D</t>
  </si>
  <si>
    <t>R 4,804.00</t>
  </si>
  <si>
    <t>900 Diam Melinex Silencer 1.5D</t>
  </si>
  <si>
    <t>900SM1.5D</t>
  </si>
  <si>
    <t>900 Diam Melinex Silencer 1.0D Podded</t>
  </si>
  <si>
    <t>900SM1.0DP</t>
  </si>
  <si>
    <t>900 Diam Melinex Silencer 1.0D</t>
  </si>
  <si>
    <t>900SM1.0D</t>
  </si>
  <si>
    <t>R 1,002.78</t>
  </si>
  <si>
    <t>Screen</t>
  </si>
  <si>
    <t>900SC</t>
  </si>
  <si>
    <t>900 Diam Silencer 2.0D Podded</t>
  </si>
  <si>
    <t>900S2.0DP</t>
  </si>
  <si>
    <t>R 5,099.00</t>
  </si>
  <si>
    <t>900 Diam Silencer 2.0D</t>
  </si>
  <si>
    <t>900S2.0D</t>
  </si>
  <si>
    <t>900 Diam Silencer 1.5D Podded</t>
  </si>
  <si>
    <t>900S1.5DP</t>
  </si>
  <si>
    <t>R 4,272.00</t>
  </si>
  <si>
    <t>900 Diam Silencer 1.5D</t>
  </si>
  <si>
    <t>900S1.5D</t>
  </si>
  <si>
    <t>900 Diam Silencer 1.0D Podded</t>
  </si>
  <si>
    <t>900S1.0DP</t>
  </si>
  <si>
    <t>900 Diam Silencer 1.0D</t>
  </si>
  <si>
    <t>900S1.0D</t>
  </si>
  <si>
    <t>CASING</t>
  </si>
  <si>
    <t>900 Casing Sheet - 2839 x 500 - 3mm</t>
  </si>
  <si>
    <t>900PLT500-3MM</t>
  </si>
  <si>
    <t>900 Casing Sheet - 2839 x 400 - 3mm</t>
  </si>
  <si>
    <t>900PLT400-3MM</t>
  </si>
  <si>
    <t>900 Diam Mounting Feet Ungalvanized</t>
  </si>
  <si>
    <t>1-0350-240 P08 - 900 Motor Bracket</t>
  </si>
  <si>
    <t>900MBP08</t>
  </si>
  <si>
    <t>R 2,911.14</t>
  </si>
  <si>
    <t>Majax-2 900.32.E.8 Spare Impeller</t>
  </si>
  <si>
    <t>900Impeller</t>
  </si>
  <si>
    <t>900 Diam Vertical Discharge BASE</t>
  </si>
  <si>
    <t>900HVJ-2SB</t>
  </si>
  <si>
    <t>R 4,053.73</t>
  </si>
  <si>
    <t>900 Diam Vertical Discharge Unit</t>
  </si>
  <si>
    <t>900HVJ-2S</t>
  </si>
  <si>
    <t>900 Diam Flexible Connection</t>
  </si>
  <si>
    <t>900FC</t>
  </si>
  <si>
    <t>900 Diam Counter Flange Ungalvanised</t>
  </si>
  <si>
    <t>900CFUG</t>
  </si>
  <si>
    <t>R 1,482.96</t>
  </si>
  <si>
    <t>EXTENDED WARRANTY</t>
  </si>
  <si>
    <t>CFD ANALYSIS</t>
  </si>
  <si>
    <t>R 7,076.00</t>
  </si>
  <si>
    <t>PULLEY FRICTION BELT V-WEDGE 3 GROOVE SPA 1210 TAPER 85MM FENNER</t>
  </si>
  <si>
    <t>85X3SPA</t>
  </si>
  <si>
    <t>830mm Diam podded silencer 1400 Long</t>
  </si>
  <si>
    <t>830SAP</t>
  </si>
  <si>
    <t>8UFAFCAP - Capacitor</t>
  </si>
  <si>
    <t>CABTYRE - 4MM X 4C CABTYRE CUT PE</t>
  </si>
  <si>
    <t>8-188</t>
  </si>
  <si>
    <t>R 1,598.00</t>
  </si>
  <si>
    <t>800 Wall Cowl Galvanized</t>
  </si>
  <si>
    <t>800WC</t>
  </si>
  <si>
    <t>800 Diam Melinex Silencer 2.0D Podded</t>
  </si>
  <si>
    <t>800SM2.0DP</t>
  </si>
  <si>
    <t>800 Diam Melinex Silencer 2.0D</t>
  </si>
  <si>
    <t>800SM2.0D</t>
  </si>
  <si>
    <t>R 4,192.00</t>
  </si>
  <si>
    <t>800 Diam Melinex Silencer 1.5D Podded</t>
  </si>
  <si>
    <t>800SM1.5DP</t>
  </si>
  <si>
    <t>R 3,582.00</t>
  </si>
  <si>
    <t>800 Diam Melinex Silencer 1.5D</t>
  </si>
  <si>
    <t>800SM1.5D</t>
  </si>
  <si>
    <t>800 Diam Melinex Silencer 1.0D Podded</t>
  </si>
  <si>
    <t>800SM1.0DP</t>
  </si>
  <si>
    <t>800 Diam Melinex Silencer 1.0D</t>
  </si>
  <si>
    <t>800SM1.0D</t>
  </si>
  <si>
    <t>800SC</t>
  </si>
  <si>
    <t>800mm Diam podded silencer 1400 Long</t>
  </si>
  <si>
    <t>800SAP</t>
  </si>
  <si>
    <t>R 5,439.00</t>
  </si>
  <si>
    <t>800 Diam Silencer 2.0D Podded</t>
  </si>
  <si>
    <t>800S2.0DP</t>
  </si>
  <si>
    <t>800 Diam Silencer 2.0D</t>
  </si>
  <si>
    <t>800S2.0D</t>
  </si>
  <si>
    <t>R 4,423.00</t>
  </si>
  <si>
    <t>800 Diam Silencer 1.5D Podded</t>
  </si>
  <si>
    <t>800S1.5DP</t>
  </si>
  <si>
    <t>800 Diam Silencer 1.5D</t>
  </si>
  <si>
    <t>800S1.5D</t>
  </si>
  <si>
    <t>R 3,395.00</t>
  </si>
  <si>
    <t>800 Diam Silencer 1.0D Podded</t>
  </si>
  <si>
    <t>800S1.0DP</t>
  </si>
  <si>
    <t>800 Diam Silencer 1.0D</t>
  </si>
  <si>
    <t>800S1.0D</t>
  </si>
  <si>
    <t>R 1,200.00</t>
  </si>
  <si>
    <t>800mm dia Fan Guard - Hot Dip Galvanised</t>
  </si>
  <si>
    <t>800S</t>
  </si>
  <si>
    <t>800 Casing Sheet - 2521 x 500 - 3mm</t>
  </si>
  <si>
    <t>800PLT500-3MM</t>
  </si>
  <si>
    <t>800 Casing Sheet - 2521 x 400 - 3mm</t>
  </si>
  <si>
    <t>800PLT400-3MM</t>
  </si>
  <si>
    <t>Casing, Impeller and Brackets</t>
  </si>
  <si>
    <t>800mm Dia</t>
  </si>
  <si>
    <t>800 Diam Mounting Feet Ungalvanized</t>
  </si>
  <si>
    <t>1-0350-240 P07 - 800 Motor Bracket</t>
  </si>
  <si>
    <t>800MBP07</t>
  </si>
  <si>
    <t>800IMP</t>
  </si>
  <si>
    <t>Inlet Cone</t>
  </si>
  <si>
    <t>800IC</t>
  </si>
  <si>
    <t>800 Diam Vertical Discharge BASE</t>
  </si>
  <si>
    <t>800HVJ-2SB</t>
  </si>
  <si>
    <t>R 1,699.00</t>
  </si>
  <si>
    <t>800 Diam Vertical Discharge Unit</t>
  </si>
  <si>
    <t>800HVJ-2S</t>
  </si>
  <si>
    <t>800 Diam Flexible Connection</t>
  </si>
  <si>
    <t>800FC</t>
  </si>
  <si>
    <t>Grille LS 0300x0300 White for fans 200-250-300</t>
  </si>
  <si>
    <t>8005LSW03000300</t>
  </si>
  <si>
    <t>Spare Impeller (800mm 'B' 150A10AR 28mm 100Frame 27 DEG - FM3176)</t>
  </si>
  <si>
    <t>800/150/10 SI</t>
  </si>
  <si>
    <t>End Washer - 43mm OD and 7mm ID - Plated</t>
  </si>
  <si>
    <t>7mmEW</t>
  </si>
  <si>
    <t>R 1,595.21</t>
  </si>
  <si>
    <t>AT 7/7 SC - Single Unit</t>
  </si>
  <si>
    <t>762 Silenced Stator Barrel c/w Stator</t>
  </si>
  <si>
    <t>762Silenced-Stator</t>
  </si>
  <si>
    <t>762 Silenced Motor Barrel</t>
  </si>
  <si>
    <t>762Silenced- Motor</t>
  </si>
  <si>
    <t>762 Impeller</t>
  </si>
  <si>
    <t>762IMP</t>
  </si>
  <si>
    <t>762 Grille</t>
  </si>
  <si>
    <t>762Grille</t>
  </si>
  <si>
    <t>762 Flameproof Track</t>
  </si>
  <si>
    <t>762Flame</t>
  </si>
  <si>
    <t>762 Assembly, and Miscellaneous</t>
  </si>
  <si>
    <t>762Assembly</t>
  </si>
  <si>
    <t>762mm 45KW 2P 525V Flameproof Auxiliary Fan</t>
  </si>
  <si>
    <t>762-45</t>
  </si>
  <si>
    <t>762mm 37kw 2P 525V Flameproof Auxiliary Fan</t>
  </si>
  <si>
    <t>762-37</t>
  </si>
  <si>
    <t>734 Special Screen - Hot Dip Galvinised</t>
  </si>
  <si>
    <t>734SSC</t>
  </si>
  <si>
    <t>HYAC5 CRIMP TOOL B : BOOTLACE CRIMPER</t>
  </si>
  <si>
    <t>73-191</t>
  </si>
  <si>
    <t>YCI607A HELLEMON T : RED HANDLE WIRE STRIPPER</t>
  </si>
  <si>
    <t>73-18</t>
  </si>
  <si>
    <t>PRA REDUCER STD BRASS 40M - 25F</t>
  </si>
  <si>
    <t>R 1,110.00</t>
  </si>
  <si>
    <t>Wall Cowl &amp; Screen</t>
  </si>
  <si>
    <t>710WC</t>
  </si>
  <si>
    <t>710 Diam Melinex Silencer 2.0D Podded</t>
  </si>
  <si>
    <t>710SM2.0DP</t>
  </si>
  <si>
    <t>710 Diam Melinex Silencer 2.0D</t>
  </si>
  <si>
    <t>710SM2.0D</t>
  </si>
  <si>
    <t>R 3,500.75</t>
  </si>
  <si>
    <t>R 3,331.00</t>
  </si>
  <si>
    <t>710 Diam Melinex Silencer 1.5D</t>
  </si>
  <si>
    <t>710SM1.5D</t>
  </si>
  <si>
    <t>710 Diam Melinex Silencer 1.0D Podded</t>
  </si>
  <si>
    <t>710SM1.0DP</t>
  </si>
  <si>
    <t>710 Diam Melinex Silencer 1.0D</t>
  </si>
  <si>
    <t>710SM1.0D</t>
  </si>
  <si>
    <t>Side Screen</t>
  </si>
  <si>
    <t>710SC</t>
  </si>
  <si>
    <t>R 4,484.00</t>
  </si>
  <si>
    <t>710 Diam Silencer 2.0D Podded</t>
  </si>
  <si>
    <t>710S2.0DP</t>
  </si>
  <si>
    <t>710 Diam Silencer 2.0D</t>
  </si>
  <si>
    <t>710S2.0D</t>
  </si>
  <si>
    <t>R 3,685.00</t>
  </si>
  <si>
    <t>710 Diam Silencer 1.5D</t>
  </si>
  <si>
    <t>710S1.5D</t>
  </si>
  <si>
    <t>710 Diam Silencer 1.0D Podded</t>
  </si>
  <si>
    <t>710S1.0DP</t>
  </si>
  <si>
    <t>710 Diam Silencer 1.0D</t>
  </si>
  <si>
    <t>710S1.0D</t>
  </si>
  <si>
    <t>710 Casing Sheet - 2238 x 500 - 3mm</t>
  </si>
  <si>
    <t>710PLT500-3MM</t>
  </si>
  <si>
    <t>710 Casing Sheet - 2238 x 400 - 3mm</t>
  </si>
  <si>
    <t>710PLT400-3MM</t>
  </si>
  <si>
    <t>1-0350-240 P06 - 710 Motor Bracket</t>
  </si>
  <si>
    <t>710MBP06</t>
  </si>
  <si>
    <t>Majax Inlet Cone c/w Screen</t>
  </si>
  <si>
    <t>710IC</t>
  </si>
  <si>
    <t>710 Diam Vertical Discharge BASE</t>
  </si>
  <si>
    <t>710HVJ-2SB</t>
  </si>
  <si>
    <t>R 1,592.00</t>
  </si>
  <si>
    <t>710 Diam Vertical Discharge Unit</t>
  </si>
  <si>
    <t>710HVJ-2S</t>
  </si>
  <si>
    <t>710 Diam Flexible Connection</t>
  </si>
  <si>
    <t>710FC</t>
  </si>
  <si>
    <t>Spare Impeller (710mm 'B' 150A10AR 28mm 100Frame 37 DEG - FM3173</t>
  </si>
  <si>
    <t>710/150/10 SI</t>
  </si>
  <si>
    <t>710 SI</t>
  </si>
  <si>
    <t>Weather Louvre</t>
  </si>
  <si>
    <t>710 LS</t>
  </si>
  <si>
    <t>Blades</t>
  </si>
  <si>
    <t>710 B</t>
  </si>
  <si>
    <t>LT10 - 10 Amps</t>
  </si>
  <si>
    <t>LT6 - 6Amps</t>
  </si>
  <si>
    <t>CDC315 - 7000072 - CDC315C</t>
  </si>
  <si>
    <t>R 2,024.25</t>
  </si>
  <si>
    <t>CDC315 - 7000067 - CDC315B</t>
  </si>
  <si>
    <t>CDC 250 - 7000059 - CDC250C</t>
  </si>
  <si>
    <t>CDC 200/0.8 - 7000057 - CDC200B</t>
  </si>
  <si>
    <t>CDC 200/0.8 - 7000053 - CDC200A</t>
  </si>
  <si>
    <t>CDC 160 - 7000048 - CDC160B</t>
  </si>
  <si>
    <t>CDC 150 - 7000043 - CDC 150C</t>
  </si>
  <si>
    <t>CDC 125 - 7000037 - CDC 125C</t>
  </si>
  <si>
    <t>CDC 100 - 7000034 - CDC 100C</t>
  </si>
  <si>
    <t>R 6,176.00</t>
  </si>
  <si>
    <t>4Pole 380V IE1 B3 Cast Iron Foot Mount</t>
  </si>
  <si>
    <t>7.5kW</t>
  </si>
  <si>
    <t>R 5,732.00</t>
  </si>
  <si>
    <t>R 5,973.00</t>
  </si>
  <si>
    <t>7.5kW 4P 400V B3 Alum QL3 Foot Mount</t>
  </si>
  <si>
    <t>7.543FM</t>
  </si>
  <si>
    <t>R 5,648.00</t>
  </si>
  <si>
    <t>7.5KW 2P 400V FOOT</t>
  </si>
  <si>
    <t>7.52FM</t>
  </si>
  <si>
    <t>6X4 HOT RUBBER CBK</t>
  </si>
  <si>
    <t>DD 12/12 - 6N0320 - 1100W 6P 400V 3Ph</t>
  </si>
  <si>
    <t>6N0320</t>
  </si>
  <si>
    <t>R 3,763.11</t>
  </si>
  <si>
    <t>DDM 10/10 E6G2503 1F 4P 1V</t>
  </si>
  <si>
    <t>6N02XF</t>
  </si>
  <si>
    <t>DDM 9/9 - 6N02R9 - 550W 4P 220V-1Ph</t>
  </si>
  <si>
    <t>6N02R9</t>
  </si>
  <si>
    <t>End Washer - 43mm OD and 6mm ID - Plated</t>
  </si>
  <si>
    <t>6mmEW</t>
  </si>
  <si>
    <t>DD9/9 4PIP - 370W</t>
  </si>
  <si>
    <t>6M06WA</t>
  </si>
  <si>
    <t>DD 9/9 - 6M0698 - 248W 6P 220V - 1Ph</t>
  </si>
  <si>
    <t>6M0698</t>
  </si>
  <si>
    <t>DD 9/9 - 6M0697 - 300W 4P 220V - 1Ph</t>
  </si>
  <si>
    <t>6M0697</t>
  </si>
  <si>
    <t>DD 9/7 - 6M0690 - 245W 6P 220V - 13Ph</t>
  </si>
  <si>
    <t>6M0690</t>
  </si>
  <si>
    <t>DD 10/10 - 6M0679 - 500W - 6P 220V - 1Ph</t>
  </si>
  <si>
    <t>6M0679</t>
  </si>
  <si>
    <t>DD 9/9 - 6M066N - 550W 4P 220V - 1Ph</t>
  </si>
  <si>
    <t>6M066N</t>
  </si>
  <si>
    <t>DD 10/8 - 6M0631 - 373W 4P 220V - 1Ph</t>
  </si>
  <si>
    <t>6M0631</t>
  </si>
  <si>
    <t>DD 9/7 - 6M0629 - 373W 4P 220V - 13Ph</t>
  </si>
  <si>
    <t>6M0629</t>
  </si>
  <si>
    <t>DD 10/10 - 6M061U - 550W 6P 220V - 1Ph</t>
  </si>
  <si>
    <t>6M061U</t>
  </si>
  <si>
    <t>DD 12/9 - 6M0607 - 590W 6P 400V - 3Ph</t>
  </si>
  <si>
    <t>6M0607</t>
  </si>
  <si>
    <t>DDMP8/7</t>
  </si>
  <si>
    <t>6M04A5</t>
  </si>
  <si>
    <t>DD 10/8 - 6M0312 - 245W 6P 220V - 1Ph</t>
  </si>
  <si>
    <t>6M0312</t>
  </si>
  <si>
    <t>R 3,484.63</t>
  </si>
  <si>
    <t>DDM 9/9 - 6M02R9 - 550W 4P 220V-1Ph</t>
  </si>
  <si>
    <t>6M02R9</t>
  </si>
  <si>
    <t>DDM 10/10 - 6M02R7 - 500W 6P 230V-1Ph</t>
  </si>
  <si>
    <t>6M02R7</t>
  </si>
  <si>
    <t>DDM 10/10 - 6M02P4 - 550W 4P 230V-1Ph</t>
  </si>
  <si>
    <t>6M02P4</t>
  </si>
  <si>
    <t>DDM 10/8 - 6M02H5 - 600W 4P 380V</t>
  </si>
  <si>
    <t>6M02H5</t>
  </si>
  <si>
    <t>DDM 10/8 - 6M02H4 - 550W 4P 230V-1Ph</t>
  </si>
  <si>
    <t>6M02H4</t>
  </si>
  <si>
    <t>DDM 10/10 - 6M02H0 - 600W 4P 220V-1Ph</t>
  </si>
  <si>
    <t>6M02H0</t>
  </si>
  <si>
    <t>DDM 7/7 - 6M0299 - 300W 4P 230V-1Ph</t>
  </si>
  <si>
    <t>6M0299</t>
  </si>
  <si>
    <t>DDM 9/7 - 6M0247 - 200W 6P 230V-1Ph</t>
  </si>
  <si>
    <t>6M0247</t>
  </si>
  <si>
    <t>R 5,313.20</t>
  </si>
  <si>
    <t>DDM 10/10 3F 6P 550W</t>
  </si>
  <si>
    <t>6M02149B</t>
  </si>
  <si>
    <t>DDM 9/7 - 6M020M - 550W 4P 230V-1Ph</t>
  </si>
  <si>
    <t>6M020M</t>
  </si>
  <si>
    <t>DDM 9/7 6M020K - 300W 4P 400V-3Ph</t>
  </si>
  <si>
    <t>6M020K</t>
  </si>
  <si>
    <t>Nicotra</t>
  </si>
  <si>
    <t>RDH 710 K2</t>
  </si>
  <si>
    <t>6H2108DZZ0000000</t>
  </si>
  <si>
    <t>RDHEO/0180</t>
  </si>
  <si>
    <t>6E21001</t>
  </si>
  <si>
    <t>DDMP 10/8 M6A4 DA8</t>
  </si>
  <si>
    <t>6DB0046ZZ0000000</t>
  </si>
  <si>
    <t>DDMP 8/9 T M6A1 DA5</t>
  </si>
  <si>
    <t>6DA005KZZ000000</t>
  </si>
  <si>
    <t>BEARING 3207 2RS</t>
  </si>
  <si>
    <t>630WC</t>
  </si>
  <si>
    <t>R 3,693.00</t>
  </si>
  <si>
    <t>630 Diam Melinex Silencer 2.0D Podded</t>
  </si>
  <si>
    <t>630SM2.0DP</t>
  </si>
  <si>
    <t>630 Diam Melinex Silencer 2.0D</t>
  </si>
  <si>
    <t>630SM2.0D</t>
  </si>
  <si>
    <t>R 3,010.00</t>
  </si>
  <si>
    <t>630 Diam Melinex Silencer 1.5D Podded</t>
  </si>
  <si>
    <t>630SM1.5DP</t>
  </si>
  <si>
    <t>R 2,175.00</t>
  </si>
  <si>
    <t>630 Diam Melinex Silencer 1.5D</t>
  </si>
  <si>
    <t>630SM1.5D</t>
  </si>
  <si>
    <t>R 2,400.00</t>
  </si>
  <si>
    <t>630 Diam Melinex Silencer 1.0D Podded</t>
  </si>
  <si>
    <t>630SM1.0DP</t>
  </si>
  <si>
    <t>630 Diam Melinex Silencer 1.0D</t>
  </si>
  <si>
    <t>630SM1.0D</t>
  </si>
  <si>
    <t>630SC</t>
  </si>
  <si>
    <t>R 3,701.20</t>
  </si>
  <si>
    <t>630 Diam Silencer 2.0D Podded</t>
  </si>
  <si>
    <t>630S2.0DP</t>
  </si>
  <si>
    <t>R 3,075.00</t>
  </si>
  <si>
    <t>630 Diam Silencer 2.0D</t>
  </si>
  <si>
    <t>630S2.0D</t>
  </si>
  <si>
    <t>630 Diam Silencer 1.5D</t>
  </si>
  <si>
    <t>630S1.5D</t>
  </si>
  <si>
    <t>630 Diam Silencer 1.0D Podded</t>
  </si>
  <si>
    <t>630S1.0DP</t>
  </si>
  <si>
    <t>630 Diam Silencer 1.0D</t>
  </si>
  <si>
    <t>630S1.0D</t>
  </si>
  <si>
    <t>630 Casing Sheet - 1987 x 500 - 3mm</t>
  </si>
  <si>
    <t>630PLT500-3MM</t>
  </si>
  <si>
    <t>630 Casing Sheet - 1987 x 400 - 3mm</t>
  </si>
  <si>
    <t>630PLT400-3MM</t>
  </si>
  <si>
    <t>Minevent 630 c/w 11kw 2P 400V</t>
  </si>
  <si>
    <t>630MV112P</t>
  </si>
  <si>
    <t>630 Diam Mounting Feet Ungalvanized</t>
  </si>
  <si>
    <t>1-0350-240 P05 - 630 Motor Bracket</t>
  </si>
  <si>
    <t>630MBP05</t>
  </si>
  <si>
    <t>630 Impeller - Balance and Machine</t>
  </si>
  <si>
    <t>630MB</t>
  </si>
  <si>
    <t>630 Diam Vertical Discharge BASE</t>
  </si>
  <si>
    <t>630HVJ-2SB</t>
  </si>
  <si>
    <t>R 1,437.00</t>
  </si>
  <si>
    <t>630 Diam Vertical Discharge Unit</t>
  </si>
  <si>
    <t>630HVJ-2S</t>
  </si>
  <si>
    <t>R 1,203.00</t>
  </si>
  <si>
    <t>630mm Horizontal Discharge Unit with flange and mesh</t>
  </si>
  <si>
    <t>630HD</t>
  </si>
  <si>
    <t>630 Diam Flexible Connection</t>
  </si>
  <si>
    <t>630FC</t>
  </si>
  <si>
    <t>UV 630/3/6 c/w 1.5 kW 6 Pole 380V</t>
  </si>
  <si>
    <t>630/3/6</t>
  </si>
  <si>
    <t>R 1,837.50</t>
  </si>
  <si>
    <t>630/250/7SI</t>
  </si>
  <si>
    <t>630/150/6 SI</t>
  </si>
  <si>
    <t>630/150/5 SI</t>
  </si>
  <si>
    <t>R 1,766.25</t>
  </si>
  <si>
    <t>Spare Impeller (0630mm 'B' 150A10AR 24mm 090Frame Deg 35 DEG - FM3180)</t>
  </si>
  <si>
    <t>630/150/10 SI</t>
  </si>
  <si>
    <t>R 2,200.00</t>
  </si>
  <si>
    <t>630.20.D.4</t>
  </si>
  <si>
    <t>Majax-2 Screen</t>
  </si>
  <si>
    <t>630 Screen</t>
  </si>
  <si>
    <t>Inlet Cone c/w Screen</t>
  </si>
  <si>
    <t>630 IC</t>
  </si>
  <si>
    <t>630mm Fan Guard</t>
  </si>
  <si>
    <t>DD 7/7 - 610633 - 147W 4P 230V-1Ph</t>
  </si>
  <si>
    <t>DD 12/9 - 610318 - 1100W 6P 400V - 3Ph</t>
  </si>
  <si>
    <t>DD 7-7 - 610303 - 62W 6P 230V-1Ph</t>
  </si>
  <si>
    <t>R 3,998.00</t>
  </si>
  <si>
    <t>AT18/18 AR 035 PHASE</t>
  </si>
  <si>
    <t>6038M104</t>
  </si>
  <si>
    <t>600WL</t>
  </si>
  <si>
    <t>600WC</t>
  </si>
  <si>
    <t>150NB T600 RINGS CUT IN ORDER TO MACHINE FLANGES</t>
  </si>
  <si>
    <t>600/150</t>
  </si>
  <si>
    <t>Sand Trap Air Louver</t>
  </si>
  <si>
    <t>560WC</t>
  </si>
  <si>
    <t>R 3,435.00</t>
  </si>
  <si>
    <t>560 Diam Melinex Silencer 2.0D Podded</t>
  </si>
  <si>
    <t>560 Diam Melinex Silencer 2.0D</t>
  </si>
  <si>
    <t>560SM2.0D</t>
  </si>
  <si>
    <t>R 2,486.15</t>
  </si>
  <si>
    <t>560 Diam Melinex Silencer 1.5D Podded</t>
  </si>
  <si>
    <t>560SM1.5DP</t>
  </si>
  <si>
    <t>560 Diam Melinex Silencer 1.5D</t>
  </si>
  <si>
    <t>560SM1.5D</t>
  </si>
  <si>
    <t>R 2,138.00</t>
  </si>
  <si>
    <t>560 Diam Melinex Silencer 1.0D Podded</t>
  </si>
  <si>
    <t>560SM1.0DP</t>
  </si>
  <si>
    <t>560 Diam Melinex Silencer 1.0D</t>
  </si>
  <si>
    <t>560SM1.0D</t>
  </si>
  <si>
    <t>560SC</t>
  </si>
  <si>
    <t>R 3,263.25</t>
  </si>
  <si>
    <t>560 Diam Silencer 2.0D Podded</t>
  </si>
  <si>
    <t>560S2.0DP</t>
  </si>
  <si>
    <t>560 Diam Silencer 2.0D</t>
  </si>
  <si>
    <t>560S2.0D</t>
  </si>
  <si>
    <t>R 2,617.00</t>
  </si>
  <si>
    <t>R 2,352.00</t>
  </si>
  <si>
    <t>560 Diam Silencer 1.5D</t>
  </si>
  <si>
    <t>560S1.5D</t>
  </si>
  <si>
    <t>560 Diam Silencer 1.0D Podded</t>
  </si>
  <si>
    <t>560S1.0DP</t>
  </si>
  <si>
    <t>560 Diam Silencer 1.0D</t>
  </si>
  <si>
    <t>560S1.0D</t>
  </si>
  <si>
    <t>560 Casing Sheet - 1767 x 500 - 3mm</t>
  </si>
  <si>
    <t>560PLT500-3MM</t>
  </si>
  <si>
    <t>560 Casing Sheet - 1767 x 400 - 3mm</t>
  </si>
  <si>
    <t>560PLT400-3MM</t>
  </si>
  <si>
    <t>1-0350-240 P04 - 560 Motor Bracket</t>
  </si>
  <si>
    <t>560MBP04</t>
  </si>
  <si>
    <t>Louvre Shutter</t>
  </si>
  <si>
    <t>560LS</t>
  </si>
  <si>
    <t>R 2,428.00</t>
  </si>
  <si>
    <t>Impeller 560/250/14 Aluminum - 20 deg pitch, Form B, 24mm Bore</t>
  </si>
  <si>
    <t>560IMP</t>
  </si>
  <si>
    <t>560 Diam Vertical Discharge BASE</t>
  </si>
  <si>
    <t>560HVJ-2SB</t>
  </si>
  <si>
    <t>R 1,239.00</t>
  </si>
  <si>
    <t>560 Diam Vertical Discharge Unit</t>
  </si>
  <si>
    <t>560HVJ-2S</t>
  </si>
  <si>
    <t>560 Diam Flexible Connection</t>
  </si>
  <si>
    <t>560FC</t>
  </si>
  <si>
    <t>Discharge Cowl</t>
  </si>
  <si>
    <t>560DC</t>
  </si>
  <si>
    <t>Spare Impeller (560mm 'B' 150A10AR 19mm 080Frame Deg 21 DEG - FM3181)</t>
  </si>
  <si>
    <t>560/150/10 SI</t>
  </si>
  <si>
    <t>Filter Box</t>
  </si>
  <si>
    <t>560 FB</t>
  </si>
  <si>
    <t>560 20.D.8</t>
  </si>
  <si>
    <t>549 Diam Counter Flange Ungalvanised - Buffalo</t>
  </si>
  <si>
    <t>549CFUG - B</t>
  </si>
  <si>
    <t>PRA REDUCER FLP Ex d/e 32M-25F</t>
  </si>
  <si>
    <t>MBP 35 2T c/w 2.2Kw 2880rpm 380V Motor</t>
  </si>
  <si>
    <t>R 2,472.00</t>
  </si>
  <si>
    <t>500 Diam Melinex Silencer 2.0D Podded</t>
  </si>
  <si>
    <t>500SM2.0DP</t>
  </si>
  <si>
    <t>500 Diam Melinex Silencer 2.0D</t>
  </si>
  <si>
    <t>500SM2.0D</t>
  </si>
  <si>
    <t>R 1,819.00</t>
  </si>
  <si>
    <t>500 Diam Melinex Silencer 1.5D Podded</t>
  </si>
  <si>
    <t>500SM1.5DP</t>
  </si>
  <si>
    <t>500 Diam Melinex Silencer 1.5D</t>
  </si>
  <si>
    <t>500SM1.5D</t>
  </si>
  <si>
    <t>500 Diam Melinex Silencer 1.0D Podded</t>
  </si>
  <si>
    <t>500SM1.0DP</t>
  </si>
  <si>
    <t>500 Diam Melinex Silencer 1.0D</t>
  </si>
  <si>
    <t>500SM1.0D</t>
  </si>
  <si>
    <t>500SC-</t>
  </si>
  <si>
    <t>R 2,608.00</t>
  </si>
  <si>
    <t>500 Diam Silencer 2.0D</t>
  </si>
  <si>
    <t>500S2.0D</t>
  </si>
  <si>
    <t>R 2,025.00</t>
  </si>
  <si>
    <t>500 Diam Silencer 1.5D</t>
  </si>
  <si>
    <t>500S1.5D</t>
  </si>
  <si>
    <t>R 1,575.00</t>
  </si>
  <si>
    <t>500 Diam Silencer 1.0D Podded</t>
  </si>
  <si>
    <t>500S1.0DP</t>
  </si>
  <si>
    <t>500 Diam Silencer 1.0D</t>
  </si>
  <si>
    <t>500S1.0D</t>
  </si>
  <si>
    <t>500 Casing Sheet - 1579 x 500 - 3mm</t>
  </si>
  <si>
    <t>500PLT500-3MM</t>
  </si>
  <si>
    <t>500 Casing Sheet - 1579 x 400 - 3mm</t>
  </si>
  <si>
    <t>500PLT400-3MM</t>
  </si>
  <si>
    <t>Zinc Filter Clips</t>
  </si>
  <si>
    <t>500mm Zinz -</t>
  </si>
  <si>
    <t>500mm Zinc -</t>
  </si>
  <si>
    <t>500 Diam Mounting Feet Ungalvanized</t>
  </si>
  <si>
    <t>1-0350-240 P03 - 500 Motor Bracket</t>
  </si>
  <si>
    <t>500MBP03</t>
  </si>
  <si>
    <t>R 1,630.00</t>
  </si>
  <si>
    <t>500IM</t>
  </si>
  <si>
    <t>500 Diam Vertical Discharge BASE</t>
  </si>
  <si>
    <t>500HVJ-2SB</t>
  </si>
  <si>
    <t>R 1,025.00</t>
  </si>
  <si>
    <t>500 Diam Vertical Discharge Unit</t>
  </si>
  <si>
    <t>500HVJ-2S</t>
  </si>
  <si>
    <t>500 Diam Flexible Connection</t>
  </si>
  <si>
    <t>500FC</t>
  </si>
  <si>
    <t>R 1,438.00</t>
  </si>
  <si>
    <t>500 Casing x 400mm Long - DO NOT DRILL MOTOR AND BRACKET HOLES</t>
  </si>
  <si>
    <t>500C400</t>
  </si>
  <si>
    <t>Bird Screen</t>
  </si>
  <si>
    <t>500BS</t>
  </si>
  <si>
    <t>520kW 220V VSD</t>
  </si>
  <si>
    <t>500220VSD</t>
  </si>
  <si>
    <t>500/560 Wall Cowl</t>
  </si>
  <si>
    <t>500/560WC</t>
  </si>
  <si>
    <t>500 Diam Side Screen (HOT DEEP GALV)</t>
  </si>
  <si>
    <t>500 SC</t>
  </si>
  <si>
    <t>500mm 5meter</t>
  </si>
  <si>
    <t>50 duct</t>
  </si>
  <si>
    <t>5.5kW 6P 380V Pad Mount Motor</t>
  </si>
  <si>
    <t>5.563PM</t>
  </si>
  <si>
    <t>R 4,869.00</t>
  </si>
  <si>
    <t>R 5,744.00</t>
  </si>
  <si>
    <t>R 4,393.13</t>
  </si>
  <si>
    <t>5.5KW 2P 400V FOOT MOUNT MOTOR</t>
  </si>
  <si>
    <t>5.523FM</t>
  </si>
  <si>
    <t>1000 Flanges Special request</t>
  </si>
  <si>
    <t>4mm plt</t>
  </si>
  <si>
    <t>4mm Grub Screw</t>
  </si>
  <si>
    <t>CATALOGO</t>
  </si>
  <si>
    <t>480MF</t>
  </si>
  <si>
    <t>Counter Flanges</t>
  </si>
  <si>
    <t>480CF</t>
  </si>
  <si>
    <t>4kW 6P 380V Pad Mount Motor</t>
  </si>
  <si>
    <t>463PM</t>
  </si>
  <si>
    <t>PRA GLAND FLP Exde BRASS CPR N0S M20</t>
  </si>
  <si>
    <t>450 Diam Melinex Silencer 2.0D Podded</t>
  </si>
  <si>
    <t>450SM2.0DP</t>
  </si>
  <si>
    <t>450 Diam Melinex Silencer 2.0D</t>
  </si>
  <si>
    <t>450SM2.0D</t>
  </si>
  <si>
    <t>450 Diam Melinex Silencer 1.5D Podded</t>
  </si>
  <si>
    <t>450SM1.5DP</t>
  </si>
  <si>
    <t>450 Diam Melinex Silencer 1.5D</t>
  </si>
  <si>
    <t>450SM1.5D</t>
  </si>
  <si>
    <t>450 Diam Melinex Silencer 1.0D Podded</t>
  </si>
  <si>
    <t>450SM1.0DP</t>
  </si>
  <si>
    <t>450 Diam Melinex Silencer 1.0D</t>
  </si>
  <si>
    <t>450SM1.0D</t>
  </si>
  <si>
    <t>450 Diam Silencer 2.0D Podded</t>
  </si>
  <si>
    <t>450S2.0DP</t>
  </si>
  <si>
    <t>450 Diam Silencer 2.0D</t>
  </si>
  <si>
    <t>450S2.0D</t>
  </si>
  <si>
    <t>450 Diam Silencer 1.5D Podded</t>
  </si>
  <si>
    <t>450S1.5DP</t>
  </si>
  <si>
    <t>450 Diam Silencer 1.5D</t>
  </si>
  <si>
    <t>450S1.5D</t>
  </si>
  <si>
    <t>450 Diam Silencer 1.0D Podded</t>
  </si>
  <si>
    <t>450S1.0DP</t>
  </si>
  <si>
    <t>450 Diam Silencer 1.0D</t>
  </si>
  <si>
    <t>450S1.0D</t>
  </si>
  <si>
    <t>450 Diam Mounting Feet</t>
  </si>
  <si>
    <t>450MF</t>
  </si>
  <si>
    <t>450 Diam Vertical Discharge BASE</t>
  </si>
  <si>
    <t>450HVJ-2SB</t>
  </si>
  <si>
    <t>450 Diam Vertical Discharge Unit</t>
  </si>
  <si>
    <t>450HVJ-2S</t>
  </si>
  <si>
    <t>450 Diam Flexible Connection</t>
  </si>
  <si>
    <t>450FC</t>
  </si>
  <si>
    <t>450 Diam Counter Flange</t>
  </si>
  <si>
    <t>450CF</t>
  </si>
  <si>
    <t>R 4,110.00</t>
  </si>
  <si>
    <t>R 4,128.00</t>
  </si>
  <si>
    <t>4KW 4 D112 ALU Foot 400V IE1 SN:</t>
  </si>
  <si>
    <t>443FM</t>
  </si>
  <si>
    <t>Round Terminal Block</t>
  </si>
  <si>
    <t>44.13.0010</t>
  </si>
  <si>
    <t>R 3,630.00</t>
  </si>
  <si>
    <t>R 3,107.62</t>
  </si>
  <si>
    <t>A-E 354 T</t>
  </si>
  <si>
    <t>R 2,758.05</t>
  </si>
  <si>
    <t>A-E 304 T</t>
  </si>
  <si>
    <t>R 4,363.48</t>
  </si>
  <si>
    <t>BD 12/12 T6 1.1KW 251520160</t>
  </si>
  <si>
    <t>R 7,098.60</t>
  </si>
  <si>
    <t>E 454 T ATEX II 2G/D h T3/125 X Gb/Db</t>
  </si>
  <si>
    <t>R 7,797.41</t>
  </si>
  <si>
    <t>E 454 M ATEX II 2G/D h T3/125 X Gb/Db</t>
  </si>
  <si>
    <t>R 7,245.65</t>
  </si>
  <si>
    <t>E 354 M ATEX II 2G/D h T3/125 X Gb/Db</t>
  </si>
  <si>
    <t>SPARE MOTOR SIZE 90 - 2.2kW 2 POLI - 230V-50Hz SINGLE-PHASE -CL.F TROP. IP55 + PTO</t>
  </si>
  <si>
    <t>4032+0037</t>
  </si>
  <si>
    <t>E 604 T ATEX II 2G/D h T3/125 X Gb/Db</t>
  </si>
  <si>
    <t>R 7,011.59</t>
  </si>
  <si>
    <t>E 504 T ATEX II 2G/D h T3/125 X Gb/Db</t>
  </si>
  <si>
    <t>E404 T ATEX</t>
  </si>
  <si>
    <t>R 5,930.81</t>
  </si>
  <si>
    <t>E 354 T ATEX II 2G/D h T3/125 X Gb/Db</t>
  </si>
  <si>
    <t>E 304 T ATEX II 2G/D h T3/125 X Gb/Db</t>
  </si>
  <si>
    <t>E 254 T ATEX II 2G/D h T3/125 X Gb/Db</t>
  </si>
  <si>
    <t>R 7,909.60</t>
  </si>
  <si>
    <t>E 404 M ATEX II 2G/D h T3/125 X Gb/Db</t>
  </si>
  <si>
    <t>R 7,004.13</t>
  </si>
  <si>
    <t>R 7,186.59</t>
  </si>
  <si>
    <t>E 304 M ATEX II 2G/D h T3/125 X Gb/Db</t>
  </si>
  <si>
    <t>E 254 M ATEX II 2G/D h T3/125 X Gb/Db</t>
  </si>
  <si>
    <t>Weather Louvre NS</t>
  </si>
  <si>
    <t>400X400WL</t>
  </si>
  <si>
    <t>400WL</t>
  </si>
  <si>
    <t>400 Diam Melinex Silencer 2.0D Podded</t>
  </si>
  <si>
    <t>400SM2.0DP</t>
  </si>
  <si>
    <t>400 Diam Melinex Silencer 2.0D</t>
  </si>
  <si>
    <t>400SM2.0D</t>
  </si>
  <si>
    <t>R 1,547.00</t>
  </si>
  <si>
    <t>400 Diam Melinex Silencer 1.5D Podded</t>
  </si>
  <si>
    <t>400SM1.5DP</t>
  </si>
  <si>
    <t>400 Diam Melinex Silencer 1.5D</t>
  </si>
  <si>
    <t>400SM1.5D</t>
  </si>
  <si>
    <t>400 Diam Melinex Silencer 1.0D Podded</t>
  </si>
  <si>
    <t>400SM1.0DP</t>
  </si>
  <si>
    <t>400 Diam Melinex Silencer 1.0D</t>
  </si>
  <si>
    <t>400SM1.0D</t>
  </si>
  <si>
    <t>400 Diam Side Screen</t>
  </si>
  <si>
    <t>400SC</t>
  </si>
  <si>
    <t>R 2,077.00</t>
  </si>
  <si>
    <t>400 Diam Silencer 2.0D</t>
  </si>
  <si>
    <t>400S2.0D</t>
  </si>
  <si>
    <t>R 1,632.00</t>
  </si>
  <si>
    <t>R 1,164.00</t>
  </si>
  <si>
    <t>400 Diam Silencer 1.5D</t>
  </si>
  <si>
    <t>400S1.5D</t>
  </si>
  <si>
    <t>R 1,456.00</t>
  </si>
  <si>
    <t>400 Diam Silencer 1.0D Podded</t>
  </si>
  <si>
    <t>400S1.0DP</t>
  </si>
  <si>
    <t>400 Diam Silencer 1.0D</t>
  </si>
  <si>
    <t>400S1.0D</t>
  </si>
  <si>
    <t>400 Casing Sheet - 1262 x 400 - 2mm</t>
  </si>
  <si>
    <t>400PLT400-2MM</t>
  </si>
  <si>
    <t>1-0350-240 P02 - 400 Motor Bracket</t>
  </si>
  <si>
    <t>400MBP02</t>
  </si>
  <si>
    <t>400 Diam Vertical Discharge BASE</t>
  </si>
  <si>
    <t>400HVJ-2SB</t>
  </si>
  <si>
    <t>400 Diam Vertical Discharge Unit</t>
  </si>
  <si>
    <t>400HVJ-2S</t>
  </si>
  <si>
    <t>400 Diam Flexible Connection</t>
  </si>
  <si>
    <t>400FC</t>
  </si>
  <si>
    <t>R 1,195.00</t>
  </si>
  <si>
    <t>400 Casing x 400mm Long - DO NOT DRILL MOTOR AND BRACKET HOLES</t>
  </si>
  <si>
    <t>400C400</t>
  </si>
  <si>
    <t>400BS</t>
  </si>
  <si>
    <t>CONTACT TIP BNZ STYLE M6 1.0MM</t>
  </si>
  <si>
    <t>R 7,000.00</t>
  </si>
  <si>
    <t>420kW 220V VSD</t>
  </si>
  <si>
    <t>400220VSD</t>
  </si>
  <si>
    <t>LINER 1.00MM AND 1.2MM 4 METRE</t>
  </si>
  <si>
    <t>TB 250 SHROUD</t>
  </si>
  <si>
    <t>25A TIP HOLDER M6</t>
  </si>
  <si>
    <t>Ablution ventilation</t>
  </si>
  <si>
    <t>R 4,071.00</t>
  </si>
  <si>
    <t>3Ph 380-400-415 Standard Efficiency IC418 - TEAO - B30L(D)</t>
  </si>
  <si>
    <t>4 kW 2P 112M</t>
  </si>
  <si>
    <t>R 2,650.00</t>
  </si>
  <si>
    <t>Program 2</t>
  </si>
  <si>
    <t>3mm plt - program 2</t>
  </si>
  <si>
    <t>R 2,334.00</t>
  </si>
  <si>
    <t>Bracket</t>
  </si>
  <si>
    <t>3mm galv plt - Bracket</t>
  </si>
  <si>
    <t>Mounting feet</t>
  </si>
  <si>
    <t>3mm galv plt</t>
  </si>
  <si>
    <t>program 1</t>
  </si>
  <si>
    <t>3mm gal plt - Program 1</t>
  </si>
  <si>
    <t>Evaporative Air Cooler: 3 Speed</t>
  </si>
  <si>
    <t>380W, 230V, 800m3/hr, 75lt</t>
  </si>
  <si>
    <t>3kW 6P 380V Pad Mount Motor</t>
  </si>
  <si>
    <t>363PM</t>
  </si>
  <si>
    <t>355 Diam Melinex Silencer 2.0D Podded</t>
  </si>
  <si>
    <t>355SM2.0DP</t>
  </si>
  <si>
    <t>355 Diam Melinex Silencer 2.0D</t>
  </si>
  <si>
    <t>355SM2.0D</t>
  </si>
  <si>
    <t>355 Diam Melinex Silencer 1.5D Podded</t>
  </si>
  <si>
    <t>355SM1.5DP</t>
  </si>
  <si>
    <t>355 Diam Melinex Silencer 1.5D</t>
  </si>
  <si>
    <t>355SM1.5D</t>
  </si>
  <si>
    <t>355 Diam Melinex Silencer 1.0D Podded</t>
  </si>
  <si>
    <t>355SM1.0DP</t>
  </si>
  <si>
    <t>355 Diam Melinex Silencer 1.0D</t>
  </si>
  <si>
    <t>355SM1.0D</t>
  </si>
  <si>
    <t>355 Diam Silencer 2.0D Podded</t>
  </si>
  <si>
    <t>355S2.0DP</t>
  </si>
  <si>
    <t>355 Diam Silencer 2.0D</t>
  </si>
  <si>
    <t>355S2.0D</t>
  </si>
  <si>
    <t>355 Diam Silencer 1.5D Podded</t>
  </si>
  <si>
    <t>355S1.5DP</t>
  </si>
  <si>
    <t>355 Diam Silencer 1.5D</t>
  </si>
  <si>
    <t>355S1.5D</t>
  </si>
  <si>
    <t>355 Diam Silencer 1.0D Podded</t>
  </si>
  <si>
    <t>355S1.0DP</t>
  </si>
  <si>
    <t>355 Diam Silencer 1.0D</t>
  </si>
  <si>
    <t>355S1.0D</t>
  </si>
  <si>
    <t>355 Diam Mounting Feet</t>
  </si>
  <si>
    <t>355MF</t>
  </si>
  <si>
    <t>355 Diam Vertical Discharge BASE</t>
  </si>
  <si>
    <t>355HVJ-2SB</t>
  </si>
  <si>
    <t>355 Diam Vertical Discharge Unit</t>
  </si>
  <si>
    <t>355HVJ-2S</t>
  </si>
  <si>
    <t>355 Diam Flexible Connection</t>
  </si>
  <si>
    <t>355FC</t>
  </si>
  <si>
    <t>355 Diam Counter Flange</t>
  </si>
  <si>
    <t>355CF</t>
  </si>
  <si>
    <t>c/w filter, 450 x 450 weather louvre &amp; double deflection grill</t>
  </si>
  <si>
    <t>350 x 350 filter box</t>
  </si>
  <si>
    <t>350 LV</t>
  </si>
  <si>
    <t>R 2,808.00</t>
  </si>
  <si>
    <t>R 3,406.00</t>
  </si>
  <si>
    <t>3kW 4P 380V Foot Mount Motor</t>
  </si>
  <si>
    <t>343FM</t>
  </si>
  <si>
    <t>C31/4T</t>
  </si>
  <si>
    <t>C30/4T</t>
  </si>
  <si>
    <t>R 3,150.00</t>
  </si>
  <si>
    <t>220V KL Plug - 250HL0601</t>
  </si>
  <si>
    <t>320 x 280 x 80</t>
  </si>
  <si>
    <t>R 4,799.00</t>
  </si>
  <si>
    <t>32*2 mm Round Tube Die Set (Die CLR 125mm)</t>
  </si>
  <si>
    <t>32*2-RTUBE</t>
  </si>
  <si>
    <t>315 Diam Tube Silencer 900L</t>
  </si>
  <si>
    <t>315T900</t>
  </si>
  <si>
    <t>315 Diam Tube Silencer 300L</t>
  </si>
  <si>
    <t>315T300</t>
  </si>
  <si>
    <t>315 Diam Melinex Silencer 2.0D Podded</t>
  </si>
  <si>
    <t>315SM2.0DP</t>
  </si>
  <si>
    <t>315 Diam Melinex Silencer 2.0D</t>
  </si>
  <si>
    <t>315SM2.0D</t>
  </si>
  <si>
    <t>R 1,270.00</t>
  </si>
  <si>
    <t>315 Diam Melinex Silencer 1.5D Podded</t>
  </si>
  <si>
    <t>315SM1.5DP</t>
  </si>
  <si>
    <t>315 Diam Melinex Silencer 1.5D</t>
  </si>
  <si>
    <t>315SM1.5D</t>
  </si>
  <si>
    <t>315 Diam Melinex Silencer 1.0D Podded</t>
  </si>
  <si>
    <t>315SM1.0DP</t>
  </si>
  <si>
    <t>315 Diam Melinex Silencer 1.0D</t>
  </si>
  <si>
    <t>315SM1.0D</t>
  </si>
  <si>
    <t>315mm Dia HDG Screen</t>
  </si>
  <si>
    <t>315SC</t>
  </si>
  <si>
    <t>R 1,695.00</t>
  </si>
  <si>
    <t>315 Diam Silencer 2.0D Podded</t>
  </si>
  <si>
    <t>315S2.0DP</t>
  </si>
  <si>
    <t>315 Diam Silencer 2.0D</t>
  </si>
  <si>
    <t>315S2.0D</t>
  </si>
  <si>
    <t>R 1,340.00</t>
  </si>
  <si>
    <t>315 Diam Silencer 1.5D</t>
  </si>
  <si>
    <t>315S1.5D</t>
  </si>
  <si>
    <t>R 1,425.00</t>
  </si>
  <si>
    <t>315 Diam Silencer 1.0D Podded</t>
  </si>
  <si>
    <t>315S1.0DP</t>
  </si>
  <si>
    <t>315 Diam Silencer 1.0D</t>
  </si>
  <si>
    <t>315S1.0D</t>
  </si>
  <si>
    <t>315 Casing Sheet - 995 x 315 - 2mm</t>
  </si>
  <si>
    <t>315PLT400-2MM</t>
  </si>
  <si>
    <t>1-0350-240-P01 - 315 Motor Bracket</t>
  </si>
  <si>
    <t>315MBP01</t>
  </si>
  <si>
    <t>315 Diam Vertical Discharge BASE</t>
  </si>
  <si>
    <t>315HVJ-2SB</t>
  </si>
  <si>
    <t>315 Diam Vertical Discharge Unit</t>
  </si>
  <si>
    <t>315HVJ-2S</t>
  </si>
  <si>
    <t>315 Diam Flexible Connection</t>
  </si>
  <si>
    <t>315FC</t>
  </si>
  <si>
    <t>315 LS</t>
  </si>
  <si>
    <t>30630189P16</t>
  </si>
  <si>
    <t>C 37/4 T ATEX II 2G/D h T3/125 X Gb/Db</t>
  </si>
  <si>
    <t>C 35/4 T ATEX II 2G/D h T3/125 X Gb/Db</t>
  </si>
  <si>
    <t>C 31/4 T ATEX II 2G/D h T3/125 X Gb/Db</t>
  </si>
  <si>
    <t>C 30/4 T ATEX II 2G/D h T3/125 X Gb/Db</t>
  </si>
  <si>
    <t>C 30/2 T ATEX II 2G/D h T3/125 X Gb/Db</t>
  </si>
  <si>
    <t>C 25/2 T ATEX II 2G/D h T3/125 X Gb/Db</t>
  </si>
  <si>
    <t>C 20/2 T ATEX II 2G/D h T3/125 X Gb/Db</t>
  </si>
  <si>
    <t>C 15/2 T ATEX II 2G/D h T3/125 X Gb/Db</t>
  </si>
  <si>
    <t>C 10/2 T ATEX II 2G/D h T3/125 X Gb/Db</t>
  </si>
  <si>
    <t>300WL</t>
  </si>
  <si>
    <t>R 6,000.00</t>
  </si>
  <si>
    <t>320kW 220V VSD</t>
  </si>
  <si>
    <t>300220VSD</t>
  </si>
  <si>
    <t>R 1,536.76</t>
  </si>
  <si>
    <t>HR Sheet CQ 3000x1500x3mm</t>
  </si>
  <si>
    <t>3000x1500x3mm</t>
  </si>
  <si>
    <t>R 1,052.26</t>
  </si>
  <si>
    <t>FM - HR SHEET CQ</t>
  </si>
  <si>
    <t>HR Sheet CQ 3000x1500x1.9mm</t>
  </si>
  <si>
    <t>3000x1500x1.9mm</t>
  </si>
  <si>
    <t>300 x 300 filter box</t>
  </si>
  <si>
    <t>DOOR GRILLE 300/300 NS NA</t>
  </si>
  <si>
    <t>300 X 300 DG</t>
  </si>
  <si>
    <t>Bending</t>
  </si>
  <si>
    <t>3 MM PLT</t>
  </si>
  <si>
    <t>5MM RED RING LUGS</t>
  </si>
  <si>
    <t>26-30</t>
  </si>
  <si>
    <t>4MM RED RING LUGS</t>
  </si>
  <si>
    <t>26-29</t>
  </si>
  <si>
    <t>DEUMIDO 20</t>
  </si>
  <si>
    <t>DEUMIDO 10</t>
  </si>
  <si>
    <t>HBA 112 T6 c/w 7.5Kw 6P 525V</t>
  </si>
  <si>
    <t>26016666640A</t>
  </si>
  <si>
    <t>RELIEF VALVE VRL9 GAS L50</t>
  </si>
  <si>
    <t>25VRL9G50</t>
  </si>
  <si>
    <t>Flow Relief Valve VRL6 HP GAS L50</t>
  </si>
  <si>
    <t>25VRL6HPG50</t>
  </si>
  <si>
    <t>25VRL6G50</t>
  </si>
  <si>
    <t>RELIEF VALVE VRL 6 GAS L50</t>
  </si>
  <si>
    <t>25VRL6 G50</t>
  </si>
  <si>
    <t>CHECK VALVE VC9</t>
  </si>
  <si>
    <t>25VC9</t>
  </si>
  <si>
    <t>CHECK VALVE VC 8</t>
  </si>
  <si>
    <t>25VC8</t>
  </si>
  <si>
    <t>NON-RETURN VALVE</t>
  </si>
  <si>
    <t>25VC10-</t>
  </si>
  <si>
    <t>Connector For Filter 4''</t>
  </si>
  <si>
    <t>25TR9</t>
  </si>
  <si>
    <t>CONNECTOR FOR FILTERS 3''</t>
  </si>
  <si>
    <t>25TR8</t>
  </si>
  <si>
    <t>Silencer SS 9 (4'') GAS L50</t>
  </si>
  <si>
    <t>25SS950</t>
  </si>
  <si>
    <t>SILENCER SS 8 3''</t>
  </si>
  <si>
    <t>25SS8</t>
  </si>
  <si>
    <t>Valve Holder G4'' INOX FOR VRL 6 L50</t>
  </si>
  <si>
    <t>25PV9650</t>
  </si>
  <si>
    <t>VALVE HOLDER G3'' INOX FOR VRL 6 L50</t>
  </si>
  <si>
    <t>25PV8650</t>
  </si>
  <si>
    <t>Valve Holder G5 INOX VRL 9 L50</t>
  </si>
  <si>
    <t>25PV10950</t>
  </si>
  <si>
    <t>Sleeve MP 8 with O-Ring</t>
  </si>
  <si>
    <t>25MP8</t>
  </si>
  <si>
    <t>Pressure Gauge 0/+1000 mbar</t>
  </si>
  <si>
    <t>25MC050</t>
  </si>
  <si>
    <t>PRESSURE GAUGE 0-600 M.BAR</t>
  </si>
  <si>
    <t>25MC040</t>
  </si>
  <si>
    <t>PRESSURE GAUGE 0.600 M BAR</t>
  </si>
  <si>
    <t>25MC 040</t>
  </si>
  <si>
    <t>Flexible Sleeve FM 8</t>
  </si>
  <si>
    <t>25FM8</t>
  </si>
  <si>
    <t>FLEXIBLE SLEEVE FM 10</t>
  </si>
  <si>
    <t>25FM10.</t>
  </si>
  <si>
    <t>Filter FL9</t>
  </si>
  <si>
    <t>25FL9</t>
  </si>
  <si>
    <t>FILTER FL8</t>
  </si>
  <si>
    <t>25FL8</t>
  </si>
  <si>
    <t>Filter FL10</t>
  </si>
  <si>
    <t>25FL10</t>
  </si>
  <si>
    <t>Filtro - FLANGIA DN100 - CON 2 PRESE DI PRESSIONE 1/4 GAS E TAPPI - Item Code: FF10J20</t>
  </si>
  <si>
    <t>25FF10J20</t>
  </si>
  <si>
    <t>Manifold Filter 5''</t>
  </si>
  <si>
    <t>25CA10</t>
  </si>
  <si>
    <t>M16 GR8 HEX NUT Z/BLUE</t>
  </si>
  <si>
    <t>M10 DIN 934 GRADE 8.8 HEX NUT - Satinless Steel</t>
  </si>
  <si>
    <t>Stop Start Panel - ABB</t>
  </si>
  <si>
    <t>TAPER LOCK BUSH METRIC 2517 35MM FENNER</t>
  </si>
  <si>
    <t>2517X35MM</t>
  </si>
  <si>
    <t>TAPER LOCK BUSH METRIC 2517 28MM FENNER</t>
  </si>
  <si>
    <t>2517X28MM</t>
  </si>
  <si>
    <t>TAPER LOCK BUSH METRIC 2517 25MM FENNER</t>
  </si>
  <si>
    <t>2517X25MM.</t>
  </si>
  <si>
    <t>250 Diam Tube Silencer 300L</t>
  </si>
  <si>
    <t>250T300</t>
  </si>
  <si>
    <t>250 Diam Tube Silencer 1200L</t>
  </si>
  <si>
    <t>250T1200</t>
  </si>
  <si>
    <t>250LS</t>
  </si>
  <si>
    <t>250/12 Hub - 42mm</t>
  </si>
  <si>
    <t>250/12 Hub - 38mm</t>
  </si>
  <si>
    <t>250/12 Hub - 19mm</t>
  </si>
  <si>
    <t>250/12 Clamp - 42mm</t>
  </si>
  <si>
    <t>25012CL42</t>
  </si>
  <si>
    <t>250/12 Clamp - 38mm</t>
  </si>
  <si>
    <t>25012CL38</t>
  </si>
  <si>
    <t>250/12 Clamp - to suit, 38mm and 42mm bore hubs</t>
  </si>
  <si>
    <t>PRA BLANKING PLUG FLP Exd 20mm</t>
  </si>
  <si>
    <t>Wall Cowl Galvanized</t>
  </si>
  <si>
    <t>250/355 WC</t>
  </si>
  <si>
    <t>250 WL</t>
  </si>
  <si>
    <t>R 2,699.00</t>
  </si>
  <si>
    <t>25,4*1.6-2mm Round Tube Die Set (Die CLR 93mm)</t>
  </si>
  <si>
    <t>25.4*6-2RTUBE</t>
  </si>
  <si>
    <t>24VDV, KL, Plug, 119x119x38mm, Compact fan</t>
  </si>
  <si>
    <t>24VDC</t>
  </si>
  <si>
    <t>M6 HEX NUT S/S 304 - A2</t>
  </si>
  <si>
    <t>M5 HEX NUTS S/S 304 - A2</t>
  </si>
  <si>
    <t>M16 HEX NUT S/S A2 304</t>
  </si>
  <si>
    <t>M12 HEX NUT S/S 304 - A2</t>
  </si>
  <si>
    <t>M6*16 A2 HEX SET SCREW</t>
  </si>
  <si>
    <t>M5*16 HEX SET SCREW S/S 304 - A2</t>
  </si>
  <si>
    <t>R 1,418.10</t>
  </si>
  <si>
    <t>HR Sheet CQ 2450x1225x4 mm</t>
  </si>
  <si>
    <t>2450x1225x4mm</t>
  </si>
  <si>
    <t>HR Sheet CQ 2450x1225x2mm</t>
  </si>
  <si>
    <t>2450x1225x2mm</t>
  </si>
  <si>
    <t>M16*90 A2 HEX SET SCREW</t>
  </si>
  <si>
    <t>M16*60 HEX SET SCREW S/S A2 - 304</t>
  </si>
  <si>
    <t>M16X120 A2 HEX SET SCREW</t>
  </si>
  <si>
    <t>M12*25 HEX SET SCREW S/S A2 - 304</t>
  </si>
  <si>
    <t>M10*25 HEX SET SCREW S/S 304 - A2</t>
  </si>
  <si>
    <t>M6 FLAT WASHER DIN 125A S/S 304 - A2 - (6.4X12.5X1.6)</t>
  </si>
  <si>
    <t>M5 FLAT WASHER DIN 125A S/S 304 - A2 -(5.3i/d X 10o/d X 1thk)</t>
  </si>
  <si>
    <t>M16 (17X30X3) FLAT WASHER DIN 125A S/S 304 - A2</t>
  </si>
  <si>
    <t>M12 FLAT WASHER DIN 125A - (13i/dX24o/dX2.5thk) S/S 304 - A2</t>
  </si>
  <si>
    <t>M10 (10.5X20X2) DIN 125 FLAT WASHER S/S 304 - A2</t>
  </si>
  <si>
    <t>M5*16 HT HEX SET SCREW Z/BLUE</t>
  </si>
  <si>
    <t>M16*80 HT HEX SET SCREW Z/BLUE</t>
  </si>
  <si>
    <t>M16*150 HT HEX SET SCREW ZINC BLUE</t>
  </si>
  <si>
    <t>M16*120 HT HEX SET SCREW Z/BLUE</t>
  </si>
  <si>
    <t>M16*120 HT HEX BOLT Z/BLUE</t>
  </si>
  <si>
    <t>M16 X 150 HT Setscrews</t>
  </si>
  <si>
    <t>22M16X150</t>
  </si>
  <si>
    <t>CA-FU 125</t>
  </si>
  <si>
    <t>R 16,260.00</t>
  </si>
  <si>
    <t>22kW 4P 380V Foot Mount Motor</t>
  </si>
  <si>
    <t>2243FM</t>
  </si>
  <si>
    <t>FG 150 FIXED GRILLE (VOR 22167)</t>
  </si>
  <si>
    <t>FG 100 FIXED GRILLE (VOR 22165)</t>
  </si>
  <si>
    <t>S 150 / 6 CEILING KIT</t>
  </si>
  <si>
    <t>S 120 / 5 CEILING KIT</t>
  </si>
  <si>
    <t>S 100 / 4 CEILING KIT</t>
  </si>
  <si>
    <t>M150/6 Spare Motor</t>
  </si>
  <si>
    <t>F 150 / 6 WINDOW KIT</t>
  </si>
  <si>
    <t>F 120 / 5 WINDOW KIT</t>
  </si>
  <si>
    <t>F 100 / 4 WINDOW KIT</t>
  </si>
  <si>
    <t>120/150 Wall Fixed Grills</t>
  </si>
  <si>
    <t>100 Wall Fans</t>
  </si>
  <si>
    <t>M8 . 4*20*3 FLAT WASHER Z/BLUE</t>
  </si>
  <si>
    <t>M10X25X2 FLAT WASHER Z/BLUE</t>
  </si>
  <si>
    <t>GV2 ME04</t>
  </si>
  <si>
    <t>TAPER LOCK BUSH METRIC 2012 38MM FENNER</t>
  </si>
  <si>
    <t>2012X38MM</t>
  </si>
  <si>
    <t>TAPER LOCK BUSH METRIC 2012 25MM FENNER</t>
  </si>
  <si>
    <t>2012X25MM.</t>
  </si>
  <si>
    <t>200 Diam Tube Silencer 900L</t>
  </si>
  <si>
    <t>200T900</t>
  </si>
  <si>
    <t>200 Diam Tube Silencer 300L</t>
  </si>
  <si>
    <t>200T300</t>
  </si>
  <si>
    <t>200 Diam Tube Silencer 1200L</t>
  </si>
  <si>
    <t>200T1200</t>
  </si>
  <si>
    <t>200LS</t>
  </si>
  <si>
    <t>220kW 220V VSD</t>
  </si>
  <si>
    <t>200220VSD</t>
  </si>
  <si>
    <t>2.2kW 6P 380V Pad Mount Motor</t>
  </si>
  <si>
    <t>2.263PM</t>
  </si>
  <si>
    <t>R 2,892.00</t>
  </si>
  <si>
    <t>R 2,433.00</t>
  </si>
  <si>
    <t>2.2kW 4P 380V Foot Mount Motor</t>
  </si>
  <si>
    <t>2.243FM</t>
  </si>
  <si>
    <t>R 2,304.00</t>
  </si>
  <si>
    <t>Speed controller</t>
  </si>
  <si>
    <t>2.2 kw VSD</t>
  </si>
  <si>
    <t>M8 FLAT WASHER DIN 125A ZINC BLUE (8 . 4ID*16OD*1 . 6THICK)</t>
  </si>
  <si>
    <t>M16 FLAT WASHER DIN 125A ZINC BLUE (17i/d x 30o/d X 3thk)</t>
  </si>
  <si>
    <t>M12 FLAT WASHER DIN 125A ZINC BLUE (13i/d x 24o/d x 2 .5 thk)</t>
  </si>
  <si>
    <t>M10 FLAT WASHER DIN 125A ZINC BLUE (10 .5i/dx20o/dX2thk)</t>
  </si>
  <si>
    <t>METAL DRY AUTOMATIC</t>
  </si>
  <si>
    <t>RENTAL MONTHLY</t>
  </si>
  <si>
    <t>18INLET-CONE</t>
  </si>
  <si>
    <t>AT 18/18 SC2 - Double Unit</t>
  </si>
  <si>
    <t>R 4,085.58</t>
  </si>
  <si>
    <t>AT 18/18 SC - Single Unit</t>
  </si>
  <si>
    <t>R 2,705.32</t>
  </si>
  <si>
    <t>AT 18/13 SC - Single Unit</t>
  </si>
  <si>
    <t>R 26,234.00</t>
  </si>
  <si>
    <t>WEG SMOKEX PAD W22 MOTOR</t>
  </si>
  <si>
    <t>18.5KW 4P 380V IP55 300 C/2HR</t>
  </si>
  <si>
    <t>LINEO 160 T</t>
  </si>
  <si>
    <t>LINEO 150 T</t>
  </si>
  <si>
    <t>LINEO 125 T</t>
  </si>
  <si>
    <t>LINEO 100 T</t>
  </si>
  <si>
    <t>LINEO 100 Q T</t>
  </si>
  <si>
    <t>R 3,038.84</t>
  </si>
  <si>
    <t>LINEO 315</t>
  </si>
  <si>
    <t>R 2,761.26</t>
  </si>
  <si>
    <t>LINEO 250</t>
  </si>
  <si>
    <t>R 1,821.31</t>
  </si>
  <si>
    <t>LINEO 200</t>
  </si>
  <si>
    <t>LINEO 200 T</t>
  </si>
  <si>
    <t>R 6,907.95</t>
  </si>
  <si>
    <t>LINEO 315 QUIET</t>
  </si>
  <si>
    <t>R 5,043.15</t>
  </si>
  <si>
    <t>LINEO 250 QUIET</t>
  </si>
  <si>
    <t>R 2,546.50</t>
  </si>
  <si>
    <t>LINEO 200 QUIET</t>
  </si>
  <si>
    <t>LINEO 160 QUIET</t>
  </si>
  <si>
    <t>R 1,776.63</t>
  </si>
  <si>
    <t>LINEO 150 QUIET</t>
  </si>
  <si>
    <t>R 1,573.88</t>
  </si>
  <si>
    <t>LINEO 125 QUIET</t>
  </si>
  <si>
    <t>R 1,383.67</t>
  </si>
  <si>
    <t>LINEO 100 QUIET</t>
  </si>
  <si>
    <t>LINEO 250 Q</t>
  </si>
  <si>
    <t>R 1,397.64</t>
  </si>
  <si>
    <t>LINEO 200 Q</t>
  </si>
  <si>
    <t>LINEO 160</t>
  </si>
  <si>
    <t>R 1,329.45</t>
  </si>
  <si>
    <t>LINEO 150</t>
  </si>
  <si>
    <t>R 1,177.92</t>
  </si>
  <si>
    <t>LINEO 125</t>
  </si>
  <si>
    <t>LINEO 100</t>
  </si>
  <si>
    <t>LINEO 100 Q</t>
  </si>
  <si>
    <t>LINEO 150 TVO</t>
  </si>
  <si>
    <t>LINEO 125 TVO</t>
  </si>
  <si>
    <t>LINEO 100 TVO</t>
  </si>
  <si>
    <t>LINEO 125 VO KIT</t>
  </si>
  <si>
    <t>LINEO 250 VO</t>
  </si>
  <si>
    <t>LINEO 1000 VO</t>
  </si>
  <si>
    <t>LINEO 160 VO</t>
  </si>
  <si>
    <t>LINEO 100 VO</t>
  </si>
  <si>
    <t>16X1 THREADED ROD 8 . 8 ZINC BLUE 16X1 975 8 .8 ZB</t>
  </si>
  <si>
    <t>PRA GLD FLP TTECH SWA D/COMP NO1 M20</t>
  </si>
  <si>
    <t>CA 200 MD E RF</t>
  </si>
  <si>
    <t>R 3,263.14</t>
  </si>
  <si>
    <t>CA 150 MD E RF</t>
  </si>
  <si>
    <t>TAPER LOCK BUSH METRIC 1610 38MM FENNER</t>
  </si>
  <si>
    <t>1610X38MM</t>
  </si>
  <si>
    <t>Taper Lock Bush Metric 1610 28mm FE</t>
  </si>
  <si>
    <t>1610X28MM.</t>
  </si>
  <si>
    <t>TAPER LOCK BUSH METRIC 1610 25MM FENNER</t>
  </si>
  <si>
    <t>1610X25MM.</t>
  </si>
  <si>
    <t>PULLEY FRICTION BELT V-WEDGE 3 GROOVE SPA 2517 TAPER 160MM FENNER</t>
  </si>
  <si>
    <t>160X3SPA</t>
  </si>
  <si>
    <t>Evaporative Air Cooler</t>
  </si>
  <si>
    <t>160W, 230V, 4500m3/hr, 40lt</t>
  </si>
  <si>
    <t>160 Diam Tube Silencer 600L</t>
  </si>
  <si>
    <t>160T600</t>
  </si>
  <si>
    <t>160 Diam Tube Silencer 300L</t>
  </si>
  <si>
    <t>160T300</t>
  </si>
  <si>
    <t>160/9 Hub - 28mm</t>
  </si>
  <si>
    <t>160/9 Hub - 24mm</t>
  </si>
  <si>
    <t>160/9 Hub - 19mm</t>
  </si>
  <si>
    <t>160/9 Hub - 14mm</t>
  </si>
  <si>
    <t>160/9 Clamp - 28mm</t>
  </si>
  <si>
    <t>1609CL28</t>
  </si>
  <si>
    <t>160/9 Clamp - to suit, 14mm, 19mm, 24mm and 28mm bore hubs</t>
  </si>
  <si>
    <t>R 2,555.16</t>
  </si>
  <si>
    <t>1600 Diam Melinex Silencer 2.0D Podded</t>
  </si>
  <si>
    <t>1600SM2.0DP</t>
  </si>
  <si>
    <t>1600 Diam Melinex Silencer 2.0D</t>
  </si>
  <si>
    <t>1600SM2.0D</t>
  </si>
  <si>
    <t>1600 Diam Melinex Silencer 1.5D Podded</t>
  </si>
  <si>
    <t>1600SM1.5DP</t>
  </si>
  <si>
    <t>1600 Diam Melinex Silencer 1.5D</t>
  </si>
  <si>
    <t>1600SM1.5D</t>
  </si>
  <si>
    <t>1600 Diam Melinex Silencer 1.0D Podded</t>
  </si>
  <si>
    <t>1600SM1.0DP</t>
  </si>
  <si>
    <t>1600 Diam Melinex Silencer 1.0D</t>
  </si>
  <si>
    <t>1600SM1.0D</t>
  </si>
  <si>
    <t>1600 Diam Silencer 2.0D Podded</t>
  </si>
  <si>
    <t>1600S2.0DP</t>
  </si>
  <si>
    <t>1600 Diam Silencer 2.0D</t>
  </si>
  <si>
    <t>1600S2.0D</t>
  </si>
  <si>
    <t>1600 Diam Silencer 1.5D Podded</t>
  </si>
  <si>
    <t>1600S1.5DP</t>
  </si>
  <si>
    <t>1600 Diam Silencer 1.5D</t>
  </si>
  <si>
    <t>1600S1.5D</t>
  </si>
  <si>
    <t>1600 Diam Silencer 1.0D Poded</t>
  </si>
  <si>
    <t>1600S1.0DP</t>
  </si>
  <si>
    <t>1600 Diam Silencer 1.0D</t>
  </si>
  <si>
    <t>1600S1.0D</t>
  </si>
  <si>
    <t>R 1,345.25</t>
  </si>
  <si>
    <t>1600 Diam Mounting Feet</t>
  </si>
  <si>
    <t>1600MF</t>
  </si>
  <si>
    <t>1600 Dia Inlet Cone Screen</t>
  </si>
  <si>
    <t>1600ICS</t>
  </si>
  <si>
    <t>1600 Dia Inlet Cone</t>
  </si>
  <si>
    <t>1600IC</t>
  </si>
  <si>
    <t>1600 Diam Vertical Discharge BASE</t>
  </si>
  <si>
    <t>1600HVJ-2SB</t>
  </si>
  <si>
    <t>1600 Diam Vertical Discharge Unit</t>
  </si>
  <si>
    <t>1600HVJ-2S</t>
  </si>
  <si>
    <t>R 12,757.61</t>
  </si>
  <si>
    <t>1600 Diam Flexible Connection</t>
  </si>
  <si>
    <t>1600FC</t>
  </si>
  <si>
    <t>R 19,419.25</t>
  </si>
  <si>
    <t>1600 Diam Counter Flange</t>
  </si>
  <si>
    <t>1600CF</t>
  </si>
  <si>
    <t>16 SQ MED SPRING WASHER Z/BLUE 16 7980 SS ZB</t>
  </si>
  <si>
    <t>Repair CMP-1025-2T-3 ( ROS Del Note 15928)</t>
  </si>
  <si>
    <t>AT 15/15 SC2 - Double Unit</t>
  </si>
  <si>
    <t>R 3,222.01</t>
  </si>
  <si>
    <t>AT 15/15 SC - Single Unit</t>
  </si>
  <si>
    <t>AT 15/11 SC - Single Unit</t>
  </si>
  <si>
    <t>TI8R BLK - T18R CABLE TIES BLACK 100MMX2</t>
  </si>
  <si>
    <t>150 Diam Tube Silencer 900L</t>
  </si>
  <si>
    <t>150T900</t>
  </si>
  <si>
    <t>150 Diam Tube Silencer 300L</t>
  </si>
  <si>
    <t>150T300</t>
  </si>
  <si>
    <t>R 3,995.00</t>
  </si>
  <si>
    <t>Style 15 Linkflex 100% (Inner &amp; Outer Tube) EPDM rubber bellows c/w mild steel electro</t>
  </si>
  <si>
    <t>150NB x 130mm</t>
  </si>
  <si>
    <t>CA/LINE/EC-35 50/60Hz.</t>
  </si>
  <si>
    <t>CA/LINE/EC-31 50/60Hz.</t>
  </si>
  <si>
    <t>R 21,976.78</t>
  </si>
  <si>
    <t>HTMH-71-4T-4 220/380V. 60Hz IE3</t>
  </si>
  <si>
    <t>R 1,130.43</t>
  </si>
  <si>
    <t>TERAL 17.5KG</t>
  </si>
  <si>
    <t>1500W</t>
  </si>
  <si>
    <t>R 5,844.91</t>
  </si>
  <si>
    <t>Tiracamino Chimney Fan for Chimney Tops</t>
  </si>
  <si>
    <t>and Discharge Screen</t>
  </si>
  <si>
    <t>1400mm Inlet</t>
  </si>
  <si>
    <t>1400mm Bellmouth</t>
  </si>
  <si>
    <t>1400mm BM</t>
  </si>
  <si>
    <t>Twin Stage Fan c/w 90kw 4Pole (1400rpm) 550V motor</t>
  </si>
  <si>
    <t>1400mm</t>
  </si>
  <si>
    <t>A 2100</t>
  </si>
  <si>
    <t>13mm X 8mm</t>
  </si>
  <si>
    <t>R 1,289.96</t>
  </si>
  <si>
    <t>MOTORE GM-63A4 B143F TC10 - TIRACAMINO MOTOR</t>
  </si>
  <si>
    <t>HGT-125-4T/12-60 400/690V. IE3</t>
  </si>
  <si>
    <t>R 102,240.00</t>
  </si>
  <si>
    <t>KIT BOXSMART-7100 - 230V. -2D</t>
  </si>
  <si>
    <t>R 85,950.00</t>
  </si>
  <si>
    <t>KIT BOXSMART-7100 - 230V. -1D</t>
  </si>
  <si>
    <t>SC-1250/1200</t>
  </si>
  <si>
    <t>HCT/EC- 63-4T-3 IE5</t>
  </si>
  <si>
    <t>OPT MICRO LCP DISPLAY W/O POTENTIOM</t>
  </si>
  <si>
    <t>132B0100</t>
  </si>
  <si>
    <t>CABTYRE - 6MM X 8 LUGS 10PKT</t>
  </si>
  <si>
    <t>CABTYRE - 6MM X 6 LUGS 10PKT</t>
  </si>
  <si>
    <t>KIT TC 230/9</t>
  </si>
  <si>
    <t>KIT TE 300/12 Roof Mounting</t>
  </si>
  <si>
    <t>KIT TE 230/9 Roof Mounting</t>
  </si>
  <si>
    <t>KIT TE 150/6 Roof Mounting</t>
  </si>
  <si>
    <t>12X1 THREADED ROD 8.8 ZINC BLUE 12X1 975 8.8 ZB</t>
  </si>
  <si>
    <t>PIR Sensor</t>
  </si>
  <si>
    <t>PIR</t>
  </si>
  <si>
    <t>C2.5 Speed Controller (to suit Lineo 250 to 315)</t>
  </si>
  <si>
    <t>C1.5 Speed Controller (to suit Lineo 100 to 200)</t>
  </si>
  <si>
    <t>AT 12/9 SC2 - Double Unit</t>
  </si>
  <si>
    <t>AT 12/9 SC - Single Unit</t>
  </si>
  <si>
    <t>CR5 Speed Controller</t>
  </si>
  <si>
    <t>CR5N Speed Controller</t>
  </si>
  <si>
    <t>SV/FILTER/EC- 200 F6+F8</t>
  </si>
  <si>
    <t>IRET INVERTER 400 8A</t>
  </si>
  <si>
    <t>IRET INVERTER 400 5A</t>
  </si>
  <si>
    <t>IRET INVERTER 400 3.6A</t>
  </si>
  <si>
    <t>IRET INVERTER 400 2.2A</t>
  </si>
  <si>
    <t>PS-125 20CV</t>
  </si>
  <si>
    <t>KIT BOXPDS SMART 900 4T 10 IE3</t>
  </si>
  <si>
    <t>R 46,620.00</t>
  </si>
  <si>
    <t>DAMPER BOX SMART 71/80</t>
  </si>
  <si>
    <t>CJK/FILTER/EC-500-F7+F9</t>
  </si>
  <si>
    <t>30/12 ARI</t>
  </si>
  <si>
    <t>SDECB/Z-300-4T-0.75</t>
  </si>
  <si>
    <t>SDECB/Z-280-4T-0.75</t>
  </si>
  <si>
    <t>SDECB/Z-260-4T-0.75</t>
  </si>
  <si>
    <t>THT/IMP-C-REV-63-2T-20-F-400 IE3</t>
  </si>
  <si>
    <t>THT/CL -125-6T/ 12-15-F-300 IE3</t>
  </si>
  <si>
    <t>R 8,325.00</t>
  </si>
  <si>
    <t>CUADRO MANDOS BOX SMART</t>
  </si>
  <si>
    <t>V 150/6 ARI LL S</t>
  </si>
  <si>
    <t>R 1,024.00</t>
  </si>
  <si>
    <t>V 150/6 AR LL S</t>
  </si>
  <si>
    <t>V 150/6 P LL S</t>
  </si>
  <si>
    <t>R 1,434.50</t>
  </si>
  <si>
    <t>V 150/6 ARI</t>
  </si>
  <si>
    <t>V 150/6 AR</t>
  </si>
  <si>
    <t>V 150/6 P</t>
  </si>
  <si>
    <t>125 TT Silent M Fan</t>
  </si>
  <si>
    <t>125TTSilentM</t>
  </si>
  <si>
    <t>125 Diam Tube Silencer 300L</t>
  </si>
  <si>
    <t>125T300</t>
  </si>
  <si>
    <t>1250 Diam Melinex Silencer 2.0D Podded</t>
  </si>
  <si>
    <t>1250SM2.0DP</t>
  </si>
  <si>
    <t>1250 Diam Melinex Silencer 2.0D</t>
  </si>
  <si>
    <t>1250SM2.0D</t>
  </si>
  <si>
    <t>1250 Diam Melinex Silencer 1.5D Podded</t>
  </si>
  <si>
    <t>1250SM1.5DP</t>
  </si>
  <si>
    <t>1250 Diam Melinex Silencer 1.5D</t>
  </si>
  <si>
    <t>1250SM1.5D</t>
  </si>
  <si>
    <t>1250 Diam Melinex Silencer 1.0D Podded</t>
  </si>
  <si>
    <t>1250SM1.0DP</t>
  </si>
  <si>
    <t>1250 Diam Melinex Silencer 1.0D</t>
  </si>
  <si>
    <t>1250SM1.0D</t>
  </si>
  <si>
    <t>1250 Diam Silencer 2.0D Podded</t>
  </si>
  <si>
    <t>1250S2.0DP</t>
  </si>
  <si>
    <t>1250 Diam Silencer 2.0D</t>
  </si>
  <si>
    <t>1250S2.0D</t>
  </si>
  <si>
    <t>1250 Diam Silencer 1.5D Podded</t>
  </si>
  <si>
    <t>1250S1.5DP</t>
  </si>
  <si>
    <t>1250 Diam Silencer 1.5D</t>
  </si>
  <si>
    <t>1250S1.5D</t>
  </si>
  <si>
    <t>1250 Diam Silencer 1.0D Podded</t>
  </si>
  <si>
    <t>1250S1.0DP</t>
  </si>
  <si>
    <t>1250 Diam Silencer 1.0D</t>
  </si>
  <si>
    <t>1250S1.0D</t>
  </si>
  <si>
    <t>R 1,135.05</t>
  </si>
  <si>
    <t>1250 Diam Mounting Feet</t>
  </si>
  <si>
    <t>1250MF</t>
  </si>
  <si>
    <t>1250IM</t>
  </si>
  <si>
    <t>1250 Diam Vertical Discharge BASE</t>
  </si>
  <si>
    <t>1250HVJ-2SB</t>
  </si>
  <si>
    <t>1250 Diam Vertical Discharge Unit</t>
  </si>
  <si>
    <t>1250HVJ-2S</t>
  </si>
  <si>
    <t>R 1,800.00</t>
  </si>
  <si>
    <t>1250 Diam Flexible Connection</t>
  </si>
  <si>
    <t>1250FC</t>
  </si>
  <si>
    <t>1250 Diam Counter Flange</t>
  </si>
  <si>
    <t>1250CF</t>
  </si>
  <si>
    <t>V 230/9 ARI LL S</t>
  </si>
  <si>
    <t>R 2,029.06</t>
  </si>
  <si>
    <t>V 230/9 AR LL S</t>
  </si>
  <si>
    <t>V 230/9 P LL S</t>
  </si>
  <si>
    <t>V 230/9 ARI</t>
  </si>
  <si>
    <t>R 1,729.24</t>
  </si>
  <si>
    <t>V 230/9 AR</t>
  </si>
  <si>
    <t>V 230/9 P</t>
  </si>
  <si>
    <t>V 300/12 ARI LL S</t>
  </si>
  <si>
    <t>V 300/12 AR LL S</t>
  </si>
  <si>
    <t>V 300/12 ARI</t>
  </si>
  <si>
    <t>R 2,540.94</t>
  </si>
  <si>
    <t>V 300/12 AR</t>
  </si>
  <si>
    <t>1220 Diam Silencer 1500mm Long</t>
  </si>
  <si>
    <t>1220SM1.23D</t>
  </si>
  <si>
    <t>1220SC</t>
  </si>
  <si>
    <t>32.F.4 Impeller</t>
  </si>
  <si>
    <t>1220IM</t>
  </si>
  <si>
    <t>AT 12/12 SC2 - Double Unit</t>
  </si>
  <si>
    <t>AT 12/12 SC - Single Unit</t>
  </si>
  <si>
    <t>TAPER LOCK BUSH METRIC 1210 28MM FENNER</t>
  </si>
  <si>
    <t>1210X28MM</t>
  </si>
  <si>
    <t>SUPER I T HCS (Humidity ctrl. system)</t>
  </si>
  <si>
    <t>MEDIO I T HCS ( Humidity ctrl. system)</t>
  </si>
  <si>
    <t>MICRO 100 I T HCS (Humidity ctrl. System)</t>
  </si>
  <si>
    <t>MICRO 100 I T ES (Energy Saving)</t>
  </si>
  <si>
    <t>MICRO 100 I ES (Energy Saving)</t>
  </si>
  <si>
    <t>SUPER I T</t>
  </si>
  <si>
    <t>R 1,932.21</t>
  </si>
  <si>
    <t>SUPER I</t>
  </si>
  <si>
    <t>MEDIO I T</t>
  </si>
  <si>
    <t>R 1,500.14</t>
  </si>
  <si>
    <t>MEDIO I</t>
  </si>
  <si>
    <t>MICRO 100 I T</t>
  </si>
  <si>
    <t>MICRO 100 I</t>
  </si>
  <si>
    <t>1200mm Diam podded silencer 1400 Long</t>
  </si>
  <si>
    <t>1200SAP</t>
  </si>
  <si>
    <t>Insurance</t>
  </si>
  <si>
    <t>Vort Press 140 ( built-in )</t>
  </si>
  <si>
    <t>Vort Press 110 ( surface mount )</t>
  </si>
  <si>
    <t>VORT PRESS 110 LL</t>
  </si>
  <si>
    <t>VORT QUADRO SUPER</t>
  </si>
  <si>
    <t>VORT QUADRO MEDIO</t>
  </si>
  <si>
    <t>PULLEY FRICTION BELT V-WEDGE 3 GROOVE SPA 2012 TAPER 118MM FENNER</t>
  </si>
  <si>
    <t>118X3SPA</t>
  </si>
  <si>
    <t>PULLEY FRICTION BELT V-WEDGE 2 GROOVESPA 1610 TAPER 118MM FENNER</t>
  </si>
  <si>
    <t>118X2SPA.</t>
  </si>
  <si>
    <t>M120/5 P</t>
  </si>
  <si>
    <t>R 7,897.17</t>
  </si>
  <si>
    <t>11KW 4 POLE 380V Pad Mount Motor</t>
  </si>
  <si>
    <t>M 150 / 6 A LL</t>
  </si>
  <si>
    <t>M 150 / 6 A</t>
  </si>
  <si>
    <t>M 150 / 6 T LL</t>
  </si>
  <si>
    <t>M 150 / 6 T</t>
  </si>
  <si>
    <t>M 150 / 6 LL</t>
  </si>
  <si>
    <t>HTMV-90-4T-7.5/ATEX/2G Ex db 380V. 60Hz</t>
  </si>
  <si>
    <t>M 150 / 6</t>
  </si>
  <si>
    <t>HTMV-125-4T/9-40/380V. 60Hz. IE3</t>
  </si>
  <si>
    <t>THT/CL-71-4T-3-F-300 230/400V. IE3</t>
  </si>
  <si>
    <t>THT-90-4T-5.5-14-F-300</t>
  </si>
  <si>
    <t>MEX 120/5 1S LLT</t>
  </si>
  <si>
    <t>MEX 120/5 LL IS</t>
  </si>
  <si>
    <t>M 120 / 5 A LL</t>
  </si>
  <si>
    <t>M 120 / 5 A</t>
  </si>
  <si>
    <t>MEX 100/4 1S LLT</t>
  </si>
  <si>
    <t>MEX 100/4 LL 1S</t>
  </si>
  <si>
    <t>M 120 / 5 T</t>
  </si>
  <si>
    <t>M 120 / 5 LL</t>
  </si>
  <si>
    <t>M 120 / 5</t>
  </si>
  <si>
    <t>PULLEY FRICTION BELT V-WEDGE 3 GROOVE SPA 2012 TAPER 112MM FENNER</t>
  </si>
  <si>
    <t>112X3SPA</t>
  </si>
  <si>
    <t>M 120 / 5 T LL</t>
  </si>
  <si>
    <t>ME 120/5 LL</t>
  </si>
  <si>
    <t>THT/CL-90-4T-10-F-300 IE3</t>
  </si>
  <si>
    <t>THT/CL-125-4T/6-25-F-300 400/690V. IE3</t>
  </si>
  <si>
    <t>THT/CL-125-4/8T/6-20-F-300 400V.</t>
  </si>
  <si>
    <t>ME 100 / 4 LL</t>
  </si>
  <si>
    <t>11Kw 2P 525V motor to suit 630 Fans</t>
  </si>
  <si>
    <t>M 100 / 4 A LL</t>
  </si>
  <si>
    <t>M 100 / 4 A</t>
  </si>
  <si>
    <t>M 100 / 4 T LL</t>
  </si>
  <si>
    <t>M 100 / 4 T</t>
  </si>
  <si>
    <t>M100/4</t>
  </si>
  <si>
    <t>M 100 / 4</t>
  </si>
  <si>
    <t>BMG MOTORLINE SPARES</t>
  </si>
  <si>
    <t>112 TBLOCK AL F</t>
  </si>
  <si>
    <t>MF 150/6 PIRLL</t>
  </si>
  <si>
    <t>VSD3/A-RFT-40-IP55</t>
  </si>
  <si>
    <t>MFO 120/5</t>
  </si>
  <si>
    <t>MFO 100/4</t>
  </si>
  <si>
    <t>MF 150 T LL</t>
  </si>
  <si>
    <t>MF 120 T LL</t>
  </si>
  <si>
    <t>MF 100 T LL</t>
  </si>
  <si>
    <t>MF 150 LL</t>
  </si>
  <si>
    <t>MF 120 LL</t>
  </si>
  <si>
    <t>MF 100 LL</t>
  </si>
  <si>
    <t>MF 150T</t>
  </si>
  <si>
    <t>MF 120 T</t>
  </si>
  <si>
    <t>MF 100T</t>
  </si>
  <si>
    <t>MF 150</t>
  </si>
  <si>
    <t>MF 120</t>
  </si>
  <si>
    <t>MF 100</t>
  </si>
  <si>
    <t>MG 150/6</t>
  </si>
  <si>
    <t>MG 120/5</t>
  </si>
  <si>
    <t>MG 90/3,5</t>
  </si>
  <si>
    <t>MGK 100/4 LL</t>
  </si>
  <si>
    <t>MG 150/6 LL T</t>
  </si>
  <si>
    <t>MG 150/6 LL</t>
  </si>
  <si>
    <t>MG 120/5 LL T</t>
  </si>
  <si>
    <t>MG 120/5 LL</t>
  </si>
  <si>
    <t>MG 100/4 LL T</t>
  </si>
  <si>
    <t>MG 100/4 LL</t>
  </si>
  <si>
    <t>CJFILTER/REC-600X900-450-CA</t>
  </si>
  <si>
    <t>R 12,087.41</t>
  </si>
  <si>
    <t>CMP-1128-2T-5.5/S/PIE RD 230/400V. IE3</t>
  </si>
  <si>
    <t>1100mm Diam podded silencer 1400 Long</t>
  </si>
  <si>
    <t>1100SAP</t>
  </si>
  <si>
    <t>R 1,388.54</t>
  </si>
  <si>
    <t>Rental Sharp BP 30C25 Copier</t>
  </si>
  <si>
    <t>PULLEY FRICTION BELT V-WEDGE 3 GROOVE SPA 1610 TAPER 106MM FENNER</t>
  </si>
  <si>
    <t>106X3SPA</t>
  </si>
  <si>
    <t>HCT-100-4T-15/AL 400/690V. IE3</t>
  </si>
  <si>
    <t>HTP-125-4T-75 c/w 55kW 4Pole 400V</t>
  </si>
  <si>
    <t>R 6,200.00</t>
  </si>
  <si>
    <t>Jewellery Laser head</t>
  </si>
  <si>
    <t>1064 Laser Head</t>
  </si>
  <si>
    <t>CAM-880-2T-40</t>
  </si>
  <si>
    <t>CAM-760-2T-15/E</t>
  </si>
  <si>
    <t>CAM 752-2T-10 c/w 7.5kW 400/690v IE3</t>
  </si>
  <si>
    <t>R 2,616.54</t>
  </si>
  <si>
    <t>NEOLINEO-315/V</t>
  </si>
  <si>
    <t>NEOLINEO-250/V</t>
  </si>
  <si>
    <t>NEOLINEO-200/V</t>
  </si>
  <si>
    <t>NEOLINEO-150/V</t>
  </si>
  <si>
    <t>NEOLINEO-125/V</t>
  </si>
  <si>
    <t>HGT-125-6T/9-10 400/690V. IE3</t>
  </si>
  <si>
    <t>INT/ATEX 16/3CA</t>
  </si>
  <si>
    <t>TUB-250</t>
  </si>
  <si>
    <t>TUB-225</t>
  </si>
  <si>
    <t>TUB-200</t>
  </si>
  <si>
    <t>TIRACANO</t>
  </si>
  <si>
    <t>CMP-616-4T/ATEX/2G Ex db 230/400V</t>
  </si>
  <si>
    <t>HCT/ATEX-56-4T-0.75/2G Ex eb</t>
  </si>
  <si>
    <t>HCT/ATEX-40-2T-1.5/2G Ex eb</t>
  </si>
  <si>
    <t>HCT-80-4T-5.5/ATEX/2G Ex db 230/400V</t>
  </si>
  <si>
    <t>HCT-71-4T-3/ATEX/2G Ex db 230/400V</t>
  </si>
  <si>
    <t>HCT-50-4T-0.75/ATEX/2G Ex db 230/400V</t>
  </si>
  <si>
    <t>HCT-40-2T-1.5/ATEX/2G Ex db 230/400V</t>
  </si>
  <si>
    <t>HCT-35-4T/ATEX/2G Ex db 230/400V</t>
  </si>
  <si>
    <t>SV-400/H 230V. 50/60Hz.</t>
  </si>
  <si>
    <t>SV-250/L 230V. 50/60Hz.</t>
  </si>
  <si>
    <t>CJBR-1850-4T 230/400V. IE3</t>
  </si>
  <si>
    <t>MTP</t>
  </si>
  <si>
    <t>FM-DP500</t>
  </si>
  <si>
    <t>FMC-C-501</t>
  </si>
  <si>
    <t>CJACUS/C-2</t>
  </si>
  <si>
    <t>PV-125</t>
  </si>
  <si>
    <t>PV-90</t>
  </si>
  <si>
    <t>CI-100-4/8T-F-400 400V</t>
  </si>
  <si>
    <t>HC-63-4T/H/ATEX/2G Ex db 380V. 60Hz</t>
  </si>
  <si>
    <t>HC-71-4T/H IE3</t>
  </si>
  <si>
    <t>HC-63-4T/H IE3</t>
  </si>
  <si>
    <t>HC-56-4T/H IE3</t>
  </si>
  <si>
    <t>HC-63-6T/H</t>
  </si>
  <si>
    <t>HC-63-6M/H</t>
  </si>
  <si>
    <t>HC-56-6T/H</t>
  </si>
  <si>
    <t>HC-56-6M/H</t>
  </si>
  <si>
    <t>HC-50-6T/H</t>
  </si>
  <si>
    <t>HC-50-6M/H</t>
  </si>
  <si>
    <t>R 5,554.99</t>
  </si>
  <si>
    <t>HC-50-4T/H</t>
  </si>
  <si>
    <t>R 2,783.25</t>
  </si>
  <si>
    <t>HC-50-4M/H</t>
  </si>
  <si>
    <t>HC-45-6T/H</t>
  </si>
  <si>
    <t>HC-45-6M/H</t>
  </si>
  <si>
    <t>HC-45-4T/H</t>
  </si>
  <si>
    <t>HC-45-4M/H</t>
  </si>
  <si>
    <t>HC-40-6T/H</t>
  </si>
  <si>
    <t>HC-40-6M/H</t>
  </si>
  <si>
    <t>HC-40-4T/H</t>
  </si>
  <si>
    <t>HC-40-4M/H</t>
  </si>
  <si>
    <t>HC-35-4T/H</t>
  </si>
  <si>
    <t>HC-35-4M/H</t>
  </si>
  <si>
    <t>HC-35-2T/H</t>
  </si>
  <si>
    <t>HC-31-4T/H</t>
  </si>
  <si>
    <t>HC-31-4M/H</t>
  </si>
  <si>
    <t>HC-31-2T/H</t>
  </si>
  <si>
    <t>HC-31-2M/H</t>
  </si>
  <si>
    <t>HC-25-4T/H</t>
  </si>
  <si>
    <t>R 2,562.68</t>
  </si>
  <si>
    <t>HC-25-4M/H</t>
  </si>
  <si>
    <t>HC-25-2T/H</t>
  </si>
  <si>
    <t>HC-25-2M/H</t>
  </si>
  <si>
    <t>HEP-35-2M/H</t>
  </si>
  <si>
    <t>HEP-31-2T</t>
  </si>
  <si>
    <t>R 4,286.20</t>
  </si>
  <si>
    <t>Sodeca</t>
  </si>
  <si>
    <t>HEP-31-2M/H 220-240V</t>
  </si>
  <si>
    <t>R 3,617.41</t>
  </si>
  <si>
    <t>HEP-25-2T/H 220-240/380-415V</t>
  </si>
  <si>
    <t>CMRG-1240-4T 230/400V IE3</t>
  </si>
  <si>
    <t>ANTI SPATTER 500ML</t>
  </si>
  <si>
    <t>CMP-1231-4T-4 IE3</t>
  </si>
  <si>
    <t>CMP1128 2T 4</t>
  </si>
  <si>
    <t>R 10,329.06</t>
  </si>
  <si>
    <t>CMP 1025 2T 3</t>
  </si>
  <si>
    <t>R 4,534.94</t>
  </si>
  <si>
    <t>CMP 820 2T</t>
  </si>
  <si>
    <t>R 4,085.56</t>
  </si>
  <si>
    <t>CMP 718 2T</t>
  </si>
  <si>
    <t>R 3,718.18</t>
  </si>
  <si>
    <t>CMP 820 4T</t>
  </si>
  <si>
    <t>CMP 718 2M</t>
  </si>
  <si>
    <t>CMP 616-4T</t>
  </si>
  <si>
    <t>R 2,781.53</t>
  </si>
  <si>
    <t>CMP 616 2T</t>
  </si>
  <si>
    <t>R 3,465.06</t>
  </si>
  <si>
    <t>CMP 616 2M</t>
  </si>
  <si>
    <t>R 2,171.16</t>
  </si>
  <si>
    <t>CMP 514 2T</t>
  </si>
  <si>
    <t>R 2,048.49</t>
  </si>
  <si>
    <t>CMP 514 2M</t>
  </si>
  <si>
    <t>R 1,814.80</t>
  </si>
  <si>
    <t>CMP 512 2T</t>
  </si>
  <si>
    <t>R 2,041.26</t>
  </si>
  <si>
    <t>CMP 512 2M</t>
  </si>
  <si>
    <t>R 2,087.48</t>
  </si>
  <si>
    <t>CMP-38-2M/E 230V</t>
  </si>
  <si>
    <t>CMP 38 2M</t>
  </si>
  <si>
    <t>R 1,500.00</t>
  </si>
  <si>
    <t>SQUARE COMBINATION SET 4PC DASQUA</t>
  </si>
  <si>
    <t>1012-2010-A</t>
  </si>
  <si>
    <t>CAS 863 - 2T</t>
  </si>
  <si>
    <t>CAS-463-2T-5.5/TODO INOX-304/ATEX/2G Ex eb 380V 60Hz</t>
  </si>
  <si>
    <t>CAS-463-2T-5.5/TODO INOX-304 380V. 60Hz</t>
  </si>
  <si>
    <t>ER70S MILD STEEL MIG WIRE 1.0MM</t>
  </si>
  <si>
    <t>CAS 463 - 2T - 7.5</t>
  </si>
  <si>
    <t>CAS 254 - 2T - 3</t>
  </si>
  <si>
    <t>AT 10/10 SC2 - Double Unit</t>
  </si>
  <si>
    <t>AT 10/10 SC - Single Unit</t>
  </si>
  <si>
    <t>CAM 752-2T-7.5 c/w 5.5kW 400/690v IE3</t>
  </si>
  <si>
    <t>R 23,609.05</t>
  </si>
  <si>
    <t>CAM 550 2T 7.5</t>
  </si>
  <si>
    <t>R 20,655.41</t>
  </si>
  <si>
    <t>CAM 550-2T-5.5 230/400V. IE3</t>
  </si>
  <si>
    <t>R 16,164.90</t>
  </si>
  <si>
    <t>CAM 545 2T 4 c/w 3.0kw 2P 400V</t>
  </si>
  <si>
    <t>CAM 540 2T</t>
  </si>
  <si>
    <t>CA-160-2T-2 230/400V. IE3</t>
  </si>
  <si>
    <t>100 Diam Tube Silencer 300L</t>
  </si>
  <si>
    <t>100T300</t>
  </si>
  <si>
    <t>R 2,020.00</t>
  </si>
  <si>
    <t>100NB x 135mm Style 10 Linkflex 100% (Inner &amp; Outer Tube) EPDM rubber bellows c/w mild steel</t>
  </si>
  <si>
    <t>100NB x 135mm</t>
  </si>
  <si>
    <t>CBD-2828-4M 3/4/HE</t>
  </si>
  <si>
    <t>CMAT 531-2T</t>
  </si>
  <si>
    <t>CMA-545-2T-4 c/w 3.0KW 2P 400V</t>
  </si>
  <si>
    <t>R 13,272.68</t>
  </si>
  <si>
    <t>CMA-531-2T-3 IE3</t>
  </si>
  <si>
    <t>CMA-531-2T-2 IE3</t>
  </si>
  <si>
    <t>CMA-531-2T-1.5 IE3</t>
  </si>
  <si>
    <t>R 7,791.64</t>
  </si>
  <si>
    <t>CMA-528-2T-1 IE3</t>
  </si>
  <si>
    <t>R 8,327.85</t>
  </si>
  <si>
    <t>CMA-528-2T-1.5 IE3</t>
  </si>
  <si>
    <t>CMA-531-2M-2</t>
  </si>
  <si>
    <t>CMA-528-2M - 1.5</t>
  </si>
  <si>
    <t>R 6,651.52</t>
  </si>
  <si>
    <t>CMA-527-2T</t>
  </si>
  <si>
    <t>R 7,066.18</t>
  </si>
  <si>
    <t>CMA-527-2M</t>
  </si>
  <si>
    <t>R 5,404.64</t>
  </si>
  <si>
    <t>CMA-426-2T</t>
  </si>
  <si>
    <t>R 5,517.96</t>
  </si>
  <si>
    <t>CMA-426-2M</t>
  </si>
  <si>
    <t>R 4,514.14</t>
  </si>
  <si>
    <t>CMA-325-2T</t>
  </si>
  <si>
    <t>R 4,925.31</t>
  </si>
  <si>
    <t>CMA-325-2M</t>
  </si>
  <si>
    <t>R 4,151.17</t>
  </si>
  <si>
    <t>CMA-324-2T</t>
  </si>
  <si>
    <t>R 4,501.77</t>
  </si>
  <si>
    <t>CMA-324-2M</t>
  </si>
  <si>
    <t>CMA-218-2T</t>
  </si>
  <si>
    <t>CMA-218-2M</t>
  </si>
  <si>
    <t>CJDXR-450-4 230/400V. IE3</t>
  </si>
  <si>
    <t>CJDXR-400-4 230/400V. IE3</t>
  </si>
  <si>
    <t>CJDXR-400-3 230/400V. IE3</t>
  </si>
  <si>
    <t>CJDXR-355-1.5 230/400V IE3</t>
  </si>
  <si>
    <t>CJDXR-315-1 230/400V. IE3</t>
  </si>
  <si>
    <t>CPV-1020-2T/ATEX/EXII2G Ex d</t>
  </si>
  <si>
    <t>CPV-1020-4T/ATEX/EXII2G Ex d</t>
  </si>
  <si>
    <t>CPV -1942-4T-10 IE3</t>
  </si>
  <si>
    <t>CPV-1840-4T IE3</t>
  </si>
  <si>
    <t>CPV-1630-4T IE3</t>
  </si>
  <si>
    <t>R 13,153.05</t>
  </si>
  <si>
    <t>CPV 1325 2TIE3</t>
  </si>
  <si>
    <t>R 8,659.74</t>
  </si>
  <si>
    <t>CPV 1020 2TIE3</t>
  </si>
  <si>
    <t>R 11,004.10</t>
  </si>
  <si>
    <t>CPV 1325 4T</t>
  </si>
  <si>
    <t>R 7,554.39</t>
  </si>
  <si>
    <t>CPV 1020 4T</t>
  </si>
  <si>
    <t>BIC - 254</t>
  </si>
  <si>
    <t>SR-1800/1200/1200</t>
  </si>
  <si>
    <t>SC-900/1200</t>
  </si>
  <si>
    <t>VSD3/A-RFT-7.5</t>
  </si>
  <si>
    <t>VSD3/ARFT-30</t>
  </si>
  <si>
    <t>VSD3/A-RFT-10</t>
  </si>
  <si>
    <t>ACE-150</t>
  </si>
  <si>
    <t>ACE - 125</t>
  </si>
  <si>
    <t>BAC - 1250</t>
  </si>
  <si>
    <t>BAC-900</t>
  </si>
  <si>
    <t>RPA-20</t>
  </si>
  <si>
    <t>RT-90</t>
  </si>
  <si>
    <t>RT-125</t>
  </si>
  <si>
    <t>PS-90</t>
  </si>
  <si>
    <t>PS-125/20CV</t>
  </si>
  <si>
    <t>BTUB-1250</t>
  </si>
  <si>
    <t>BTUB-900</t>
  </si>
  <si>
    <t>B-150</t>
  </si>
  <si>
    <t>B-125</t>
  </si>
  <si>
    <t>R/THT-90-1</t>
  </si>
  <si>
    <t>HT-80-4T 230/400V. IE3</t>
  </si>
  <si>
    <t>HCDF 56 - 4T - Flameproof</t>
  </si>
  <si>
    <t>HCDF 50 - 4T - Flameproof</t>
  </si>
  <si>
    <t>HCDF 45 - 4T - Flameproof</t>
  </si>
  <si>
    <t>HCDF 40 - 4T - Flameproof</t>
  </si>
  <si>
    <t>HCDF 35 - 4T - Flameproof</t>
  </si>
  <si>
    <t>R 10,228.92</t>
  </si>
  <si>
    <t>HCDF-31-4T / ATEX / EXII2G Ex d</t>
  </si>
  <si>
    <t>HTM-63-4T IE3</t>
  </si>
  <si>
    <t>HTM-56-4T</t>
  </si>
  <si>
    <t>HTM-56-4M</t>
  </si>
  <si>
    <t>HTM-45-4T</t>
  </si>
  <si>
    <t>HTM-45-4M</t>
  </si>
  <si>
    <t>HCT-90-4T-7.5/PL IE3</t>
  </si>
  <si>
    <t>HCT-80-4T-5.5/PL IE3</t>
  </si>
  <si>
    <t>HCT-40-4T-0.33/PL</t>
  </si>
  <si>
    <t>1000 Diam Melinex Silencer 2.0D Podded</t>
  </si>
  <si>
    <t>1000SM2.0DP</t>
  </si>
  <si>
    <t>1000 Diam Melinex Silencer 2.0D</t>
  </si>
  <si>
    <t>1000SM2.0D</t>
  </si>
  <si>
    <t>R 5,620.00</t>
  </si>
  <si>
    <t>1000 Diam Melinex Silencer 1.5D Podded</t>
  </si>
  <si>
    <t>1000SM1.5DP</t>
  </si>
  <si>
    <t>1000 Diam Melinex Silencer 1.5D</t>
  </si>
  <si>
    <t>1000SM1.5D</t>
  </si>
  <si>
    <t>1000 Diam Melinex Silencer 1.0D Podded</t>
  </si>
  <si>
    <t>1000SM1.0DP</t>
  </si>
  <si>
    <t>R 4,463.00</t>
  </si>
  <si>
    <t>1000 Diam Melinex Silencer 1.0D</t>
  </si>
  <si>
    <t>1000SM1.0D</t>
  </si>
  <si>
    <t>1000mm Diam podded silencer 1400 Long</t>
  </si>
  <si>
    <t>1000SAP</t>
  </si>
  <si>
    <t>R 7,900.00</t>
  </si>
  <si>
    <t>1000 Diam Silencer 2.0D Podded</t>
  </si>
  <si>
    <t>1000S2.0DP</t>
  </si>
  <si>
    <t>1000 Diam Silencer 2.0D</t>
  </si>
  <si>
    <t>1000S2.0D</t>
  </si>
  <si>
    <t>R 6,255.00</t>
  </si>
  <si>
    <t>1000 Diam Silencer 1.5D Podded</t>
  </si>
  <si>
    <t>1000S1.5DP</t>
  </si>
  <si>
    <t>1000 Diam Silencer 1.5D</t>
  </si>
  <si>
    <t>1000S1.5D</t>
  </si>
  <si>
    <t>1000 Diam Silencer 1.0D Podded</t>
  </si>
  <si>
    <t>1000S1.0DP</t>
  </si>
  <si>
    <t>1000 Diam Silencer 1.0D</t>
  </si>
  <si>
    <t>1000S1.0D</t>
  </si>
  <si>
    <t>1000 Casing Sheet - 3153 x 800 - 4mm</t>
  </si>
  <si>
    <t>1000PLT800-4MM</t>
  </si>
  <si>
    <t>1000 Casing Sheet - 3153 x 500 - 3mm</t>
  </si>
  <si>
    <t>1000PLT500-3MM</t>
  </si>
  <si>
    <t>1000 Casing Sheet - 3153 x 400 - 3mm</t>
  </si>
  <si>
    <t>1000PLT400-3MM</t>
  </si>
  <si>
    <t>1000 Diam Mounting Feet Ungalvanized</t>
  </si>
  <si>
    <t>1000MFUG</t>
  </si>
  <si>
    <t>1000 Diam Mounting Feet</t>
  </si>
  <si>
    <t>1000MF</t>
  </si>
  <si>
    <t>1-0350-240 P09 - 1000 Motor Bracket</t>
  </si>
  <si>
    <t>1000MBP09</t>
  </si>
  <si>
    <t>Majax-2 Inlet Cone Screen</t>
  </si>
  <si>
    <t>1000ILC</t>
  </si>
  <si>
    <t>Majax Inlet Cone</t>
  </si>
  <si>
    <t>1000IC</t>
  </si>
  <si>
    <t>1000 Diam Vertical Discharge BASE</t>
  </si>
  <si>
    <t>1000HVJ-2SB</t>
  </si>
  <si>
    <t>1000 Diam Vertical Discharge Unit</t>
  </si>
  <si>
    <t>1000HVJ-2S</t>
  </si>
  <si>
    <t>1000 Diam Flexible Connection</t>
  </si>
  <si>
    <t>1000FC</t>
  </si>
  <si>
    <t>1000 Diam Counter Flange Ungalvanised</t>
  </si>
  <si>
    <t>1000CFUG</t>
  </si>
  <si>
    <t>1000 Diam Counter Flange</t>
  </si>
  <si>
    <t>1000CF</t>
  </si>
  <si>
    <t>Back Draft Demper</t>
  </si>
  <si>
    <t>1000BDD</t>
  </si>
  <si>
    <t>SOLAR HELMET ADJUSTABLE (84-210300-11</t>
  </si>
  <si>
    <t>OPTECH INNER LENS 108 X 51</t>
  </si>
  <si>
    <t>OPTECH OUTER LENS 110 X 90</t>
  </si>
  <si>
    <t>HCT-35-4T/PL</t>
  </si>
  <si>
    <t>HCT-35-4M/PL</t>
  </si>
  <si>
    <t>HCT-35-2T/PL</t>
  </si>
  <si>
    <t>HCT-35-2M/PL</t>
  </si>
  <si>
    <t>HCT-31-4T/PL</t>
  </si>
  <si>
    <t>SILENT BLOCK THT-90-4T-5.5-14-F-300</t>
  </si>
  <si>
    <t>HCT-31-4M/PL</t>
  </si>
  <si>
    <t>HCT-31-2T/PL</t>
  </si>
  <si>
    <t>HCT-31-2M/PL</t>
  </si>
  <si>
    <t>HCT-25-4T/PL</t>
  </si>
  <si>
    <t>HCT-25-4M/PL</t>
  </si>
  <si>
    <t>HCT-25-2T/PL</t>
  </si>
  <si>
    <t>HCT-25-2M/PL</t>
  </si>
  <si>
    <t>HCD 35 4M</t>
  </si>
  <si>
    <t>HCD 30 4M</t>
  </si>
  <si>
    <t>R 1,635.63</t>
  </si>
  <si>
    <t>HCD-30-4M 230V. 50/60Hz</t>
  </si>
  <si>
    <t>R 1,648.12</t>
  </si>
  <si>
    <t>HCD 25 4M</t>
  </si>
  <si>
    <t>HCD 20 4M</t>
  </si>
  <si>
    <t>FILTER F7 - REPLACEMENT FOR CJK/FILTER/EC-500-F7+9</t>
  </si>
  <si>
    <t>TURBINA CMP 616 14 LG (Impeller for CMP616-2T-0.75 230/400V)</t>
  </si>
  <si>
    <t>Monthly Retainer - March 2025</t>
  </si>
  <si>
    <t>SILENTBLOCKS FOR THT-125-4/8T/6-27-F300 400V</t>
  </si>
  <si>
    <t>Impeller 0560mm 'B' 250A14PR19mm 080Frame</t>
  </si>
  <si>
    <t>1000 X 500 MM</t>
  </si>
  <si>
    <t>Inlet Silencer 1000 1.5D (1000mm Diameter to reduce noise on the dischargeside)</t>
  </si>
  <si>
    <t>1000 SIL</t>
  </si>
  <si>
    <t>1000 LS</t>
  </si>
  <si>
    <t>Impeller 1000Dia</t>
  </si>
  <si>
    <t>1000 IMP</t>
  </si>
  <si>
    <t>Majax Inlet Cone &amp; Screen</t>
  </si>
  <si>
    <t>1000 ICS</t>
  </si>
  <si>
    <t>1000SC 1000mm Diam HDG Screen</t>
  </si>
  <si>
    <t>1000 HDG</t>
  </si>
  <si>
    <t>R 2,853.04</t>
  </si>
  <si>
    <t>1.5KW 8P 380V Pad Mount Motor</t>
  </si>
  <si>
    <t>1.583PM</t>
  </si>
  <si>
    <t>R 2,681.00</t>
  </si>
  <si>
    <t>1.5kW 6P 380V Pad Mount Motor</t>
  </si>
  <si>
    <t>1.563PM</t>
  </si>
  <si>
    <t>R 2,120.00</t>
  </si>
  <si>
    <t>1.5KW 4P 220V Pad Mount Motor</t>
  </si>
  <si>
    <t>1.541PM</t>
  </si>
  <si>
    <t>R 2,229.00</t>
  </si>
  <si>
    <t>380V VSD</t>
  </si>
  <si>
    <t>1.5 kW 4Pole</t>
  </si>
  <si>
    <t>R 2,430.00</t>
  </si>
  <si>
    <t>1.1kW 6P 380V Pad Mount Motor</t>
  </si>
  <si>
    <t>1.163PM</t>
  </si>
  <si>
    <t>R 1,805.00</t>
  </si>
  <si>
    <t>R 1,864.00</t>
  </si>
  <si>
    <t>1.1kW 4P 400V B3 QL3</t>
  </si>
  <si>
    <t>1.143FM</t>
  </si>
  <si>
    <t>R 2,276.00</t>
  </si>
  <si>
    <t>1.1kW 4P 220V Pad Mount Motor</t>
  </si>
  <si>
    <t>1.141PM</t>
  </si>
  <si>
    <t>R 1,874.00</t>
  </si>
  <si>
    <t>R 1,623.00</t>
  </si>
  <si>
    <t>1.1Kw 2P 380V Pad Mount Motor</t>
  </si>
  <si>
    <t>1.1.2Pad</t>
  </si>
  <si>
    <t>R 1,004.00</t>
  </si>
  <si>
    <t>Change IP Rating - Motor Size 90Watts 2Pole 380V to IP 65</t>
  </si>
  <si>
    <t>1 IP 65</t>
  </si>
  <si>
    <t>AFROX PICKELING PASTE AOX 1LT</t>
  </si>
  <si>
    <t>053575</t>
  </si>
  <si>
    <t>R 12,812.25</t>
  </si>
  <si>
    <t>02880</t>
  </si>
  <si>
    <t>HVF/75N c/w 0.24kW 750mm 220V</t>
  </si>
  <si>
    <t>009</t>
  </si>
  <si>
    <t>Majax-2 800 32-E-8 Belt drive c/w 4.0kw 4P 1150rpm 380V</t>
  </si>
  <si>
    <t>008</t>
  </si>
  <si>
    <t>SPARE MOTOR - TIRACAMINO - Vortice Spare Motor for Tiracamino 0.12kW 4P 230V</t>
  </si>
  <si>
    <t>0010</t>
  </si>
  <si>
    <t>R 2,710.00</t>
  </si>
  <si>
    <t>Variable Speed Controller</t>
  </si>
  <si>
    <t>0.75kW VSD</t>
  </si>
  <si>
    <t>R 1,834.00</t>
  </si>
  <si>
    <t>0.75kW 6P 380V Pad Mount Motor</t>
  </si>
  <si>
    <t>0.7563PM</t>
  </si>
  <si>
    <t>R 1,593.00</t>
  </si>
  <si>
    <t>0.75Kw 220v Pad Mount</t>
  </si>
  <si>
    <t>0.7541PM</t>
  </si>
  <si>
    <t>0.75Kw 220v Foot Mount</t>
  </si>
  <si>
    <t>0.7541FM</t>
  </si>
  <si>
    <t>R 1,591.00</t>
  </si>
  <si>
    <t>0.75Kw 2Pole 380V Pad Mount</t>
  </si>
  <si>
    <t>0.752P</t>
  </si>
  <si>
    <t>R 1,641.00</t>
  </si>
  <si>
    <t>0.55kW 6P 380V Pad Mount Motor</t>
  </si>
  <si>
    <t>0.5563PM</t>
  </si>
  <si>
    <t>R 1,535.00</t>
  </si>
  <si>
    <t>R 1,480.00</t>
  </si>
  <si>
    <t>MOTORS</t>
  </si>
  <si>
    <t>0.55KW 4P 220V Pad Mount Motor</t>
  </si>
  <si>
    <t>0.5541PM</t>
  </si>
  <si>
    <t>R 1,359.00</t>
  </si>
  <si>
    <t>0.55Kw 2P 380V Pad Motor</t>
  </si>
  <si>
    <t>0.552P</t>
  </si>
  <si>
    <t>R 1,400.00</t>
  </si>
  <si>
    <t>0.37kW 6P 380V Pad Mount Motor</t>
  </si>
  <si>
    <t>0.3763PM</t>
  </si>
  <si>
    <t>R 1,226.00</t>
  </si>
  <si>
    <t>R 1,430.00</t>
  </si>
  <si>
    <t>0.37KW 4P 220V Pad Mount Motor</t>
  </si>
  <si>
    <t>0.3741PM</t>
  </si>
  <si>
    <t>R 1,309.00</t>
  </si>
  <si>
    <t>R 1,248.00</t>
  </si>
  <si>
    <t>DUCT</t>
  </si>
  <si>
    <t>300mm Diameter-10 meter Long</t>
  </si>
  <si>
    <t>.30 Duct</t>
  </si>
  <si>
    <t>Avg. Cost</t>
  </si>
  <si>
    <t>Last Cost</t>
  </si>
  <si>
    <t>500PLT400-2MM</t>
  </si>
  <si>
    <t>500 Casing Sheet - 1579 x 400 - 2mm</t>
  </si>
  <si>
    <t>560PLT400-2MM</t>
  </si>
  <si>
    <t>560 Casing Sheet - 1767 x 400 - 2mm</t>
  </si>
  <si>
    <t>630PLT400-2MM</t>
  </si>
  <si>
    <t>630 Casing Sheet - 1987 x 400 - 2mm</t>
  </si>
  <si>
    <t>710PLT400-2MM</t>
  </si>
  <si>
    <t>710 Casing Sheet - 2238 x 400 - 2mm</t>
  </si>
  <si>
    <t>800PLT400-2MM</t>
  </si>
  <si>
    <t>800 Casing Sheet - 2521 x 400 - 2mm</t>
  </si>
  <si>
    <t>800PLT500-2MM</t>
  </si>
  <si>
    <t>800 Casing Sheet - 2521 x 500 - 2mm</t>
  </si>
  <si>
    <t>Order Value</t>
  </si>
  <si>
    <t>Stock Value</t>
  </si>
  <si>
    <t>Casing Size 900diamx500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</si>
</sst>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 wrapText="1"/>
    </xf>
    <xf numFmtId="44" fontId="0" fillId="0" borderId="1" xfId="0" applyNumberFormat="1" applyBorder="1" applyAlignment="1">
      <alignment horizontal="right" vertical="center"/>
    </xf>
    <xf numFmtId="44" fontId="0" fillId="0" borderId="0" xfId="0" applyNumberFormat="1" applyAlignment="1">
      <alignment horizontal="right" vertical="center"/>
    </xf>
    <xf numFmtId="44" fontId="0" fillId="0" borderId="0" xfId="0" applyNumberFormat="1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4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44" fontId="0" fillId="0" borderId="0" xfId="0" applyNumberFormat="1" applyAlignment="1">
      <alignment horizontal="center"/>
    </xf>
    <xf numFmtId="4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  <xf numFmtId="44" fontId="0" fillId="0" borderId="3" xfId="0" applyNumberFormat="1" applyBorder="1" applyAlignment="1">
      <alignment horizontal="center"/>
    </xf>
    <xf numFmtId="44" fontId="0" fillId="0" borderId="3" xfId="0" applyNumberFormat="1" applyBorder="1"/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4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8" fontId="0" fillId="0" borderId="0" xfId="0" applyNumberFormat="1" applyAlignment="1">
      <alignment vertical="top" wrapText="1"/>
    </xf>
    <xf numFmtId="0" fontId="0" fillId="0" borderId="0" xfId="0" quotePrefix="1" applyAlignment="1">
      <alignment vertical="top" wrapText="1"/>
    </xf>
    <xf numFmtId="16" fontId="0" fillId="0" borderId="0" xfId="0" applyNumberFormat="1" applyAlignment="1">
      <alignment vertical="top" wrapText="1"/>
    </xf>
    <xf numFmtId="11" fontId="0" fillId="0" borderId="0" xfId="0" applyNumberFormat="1" applyAlignment="1">
      <alignment vertical="top" wrapText="1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44" fontId="1" fillId="0" borderId="5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44" fontId="0" fillId="0" borderId="7" xfId="0" applyNumberFormat="1" applyBorder="1" applyAlignment="1">
      <alignment horizontal="right" vertical="center"/>
    </xf>
    <xf numFmtId="0" fontId="0" fillId="5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44" fontId="0" fillId="0" borderId="5" xfId="0" applyNumberForma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7" xfId="0" applyNumberFormat="1" applyBorder="1" applyAlignment="1">
      <alignment horizontal="center" vertical="center" wrapText="1"/>
    </xf>
    <xf numFmtId="44" fontId="1" fillId="0" borderId="5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44" fontId="0" fillId="0" borderId="6" xfId="0" applyNumberFormat="1" applyBorder="1" applyAlignment="1">
      <alignment horizontal="center" vertical="center" wrapText="1"/>
    </xf>
    <xf numFmtId="44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vertical="center" wrapText="1"/>
    </xf>
    <xf numFmtId="44" fontId="0" fillId="0" borderId="7" xfId="0" applyNumberFormat="1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44" fontId="0" fillId="0" borderId="8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Normal 2" xfId="1" xr:uid="{095E2A50-F742-418B-A8EA-50148899E6BC}"/>
  </cellStyles>
  <dxfs count="73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numFmt numFmtId="34" formatCode="_-&quot;R&quot;* #,##0.00_-;\-&quot;R&quot;* #,##0.00_-;_-&quot;R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&quot;* #,##0.00_-;\-&quot;R&quot;* #,##0.00_-;_-&quot;R&quot;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&quot;* #,##0.00_-;\-&quot;R&quot;* #,##0.00_-;_-&quot;R&quot;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&quot;* #,##0.00_-;\-&quot;R&quot;* #,##0.00_-;_-&quot;R&quot;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6446E-2EC9-4E0E-8A24-42E3A5FCA221}" name="wshopcalc" displayName="wshopcalc" ref="A1:O250" totalsRowShown="0" headerRowDxfId="72" dataDxfId="70" headerRowBorderDxfId="71" tableBorderDxfId="69">
  <autoFilter ref="A1:O250" xr:uid="{F296446E-2EC9-4E0E-8A24-42E3A5FCA221}"/>
  <tableColumns count="15">
    <tableColumn id="1" xr3:uid="{29C85B9C-BE43-4C9E-A6DE-3649F0541389}" name="Code" dataDxfId="68"/>
    <tableColumn id="2" xr3:uid="{8B2A302B-8E27-40F0-9E5D-7297931D0447}" name="Description" dataDxfId="67"/>
    <tableColumn id="3" xr3:uid="{EF9C03B1-EE8A-44F4-9F5C-2468D4D525C9}" name="Category" dataDxfId="66"/>
    <tableColumn id="4" xr3:uid="{1A8F45B8-EDCF-490C-A6E8-A6006C6AC9AE}" name="Cost Price" dataDxfId="65"/>
    <tableColumn id="5" xr3:uid="{D2FB9FA2-5597-48C9-9BBA-1529B5BF3CB1}" name="Avg Monthly Usage (AMU)" dataDxfId="64"/>
    <tableColumn id="6" xr3:uid="{22E53053-2FAF-40D3-AC17-97CCE80FF24F}" name="Lead Time (months)" dataDxfId="63"/>
    <tableColumn id="7" xr3:uid="{8BBBF6D1-6559-4588-A1E9-697B3E60D122}" name="Safety Factor (months)" dataDxfId="62"/>
    <tableColumn id="8" xr3:uid="{482DCA80-1C4C-4140-8CED-4207C05C5007}" name="Review Period (months)" dataDxfId="61"/>
    <tableColumn id="9" xr3:uid="{CC9F17C2-A964-45F4-BA38-7F52E6869020}" name="Safety Stock" dataDxfId="60">
      <calculatedColumnFormula>MROUND(E2*G2,1)</calculatedColumnFormula>
    </tableColumn>
    <tableColumn id="10" xr3:uid="{9FD5085F-69D3-4054-B94F-20BADE819579}" name="Lead Time Demand" dataDxfId="59">
      <calculatedColumnFormula>MROUND(E2*F2,1)</calculatedColumnFormula>
    </tableColumn>
    <tableColumn id="11" xr3:uid="{6A5A1D1A-3CBF-40A1-BABB-773A99BE1AC5}" name="Reorder Point (ROP)" dataDxfId="58">
      <calculatedColumnFormula>MROUND(I2+J2,1)</calculatedColumnFormula>
    </tableColumn>
    <tableColumn id="12" xr3:uid="{A600BF60-0675-4644-97C6-0AFDF479F67F}" name="Maximum Stock (MAX)" dataDxfId="57">
      <calculatedColumnFormula>MROUND(E2*(F2+G2+H2),1)</calculatedColumnFormula>
    </tableColumn>
    <tableColumn id="13" xr3:uid="{41EA5805-99E6-4460-A1E4-087D74CDC755}" name="Current Stock" dataDxfId="56"/>
    <tableColumn id="14" xr3:uid="{86E6AC9B-DE44-4B55-BD53-7E8342A08AE1}" name="On Order" dataDxfId="55"/>
    <tableColumn id="15" xr3:uid="{CC5680AC-6B8D-4193-80A7-C87B16830E12}" name="Order Quantity" dataDxfId="54">
      <calculatedColumnFormula>IF(M2&lt;=K2,L2-M2-N2,0)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16E2E-1DA9-42FD-A59E-B006E50918FE}" name="wshoprpt" displayName="wshoprpt" ref="A1:L251" totalsRowCount="1" headerRowDxfId="53" dataDxfId="51" headerRowBorderDxfId="52" tableBorderDxfId="50">
  <autoFilter ref="A1:L250" xr:uid="{B0016E2E-1DA9-42FD-A59E-B006E50918FE}">
    <filterColumn colId="1">
      <customFilters>
        <customFilter operator="notEqual" val="*ungalvanised*"/>
      </customFilters>
    </filterColumn>
    <filterColumn colId="2">
      <filters>
        <filter val="CASING"/>
        <filter val="FM - CASING"/>
      </filters>
    </filterColumn>
  </autoFilter>
  <tableColumns count="12">
    <tableColumn id="1" xr3:uid="{800E1757-BA84-4CF1-A7E7-E230A5CE9EEC}" name="Code" dataDxfId="49" totalsRowDxfId="48"/>
    <tableColumn id="2" xr3:uid="{8806F732-EE8B-41AC-BB6C-6EDB910B8E0A}" name="Description" dataDxfId="47" totalsRowDxfId="46"/>
    <tableColumn id="3" xr3:uid="{EEBD5811-2855-410D-899B-01536A63800E}" name="Category" dataDxfId="45" totalsRowDxfId="44"/>
    <tableColumn id="4" xr3:uid="{31AD7065-E678-450F-B314-1B80156D1E45}" name="Cost Price" dataDxfId="43" totalsRowDxfId="42"/>
    <tableColumn id="5" xr3:uid="{6D47A2CA-AAED-4DC4-ADF5-F76EBB996517}" name="Safety Stock" dataDxfId="41" totalsRowDxfId="40">
      <calculatedColumnFormula>wshopcalc[[#This Row],[Safety Stock]]</calculatedColumnFormula>
    </tableColumn>
    <tableColumn id="6" xr3:uid="{0578000E-E324-4094-92A3-FF52B8E99A04}" name="Reorder Point (ROP)" dataDxfId="39" totalsRowDxfId="38">
      <calculatedColumnFormula>wshopcalc[[#This Row],[Reorder Point (ROP)]]</calculatedColumnFormula>
    </tableColumn>
    <tableColumn id="7" xr3:uid="{49153F7C-45FA-48D8-B5A4-A31C09C254E9}" name="Maximum Stock (MAX)" dataDxfId="37" totalsRowDxfId="36">
      <calculatedColumnFormula>wshopcalc[[#This Row],[Maximum Stock (MAX)]]</calculatedColumnFormula>
    </tableColumn>
    <tableColumn id="8" xr3:uid="{B1B6B734-CD5C-4564-A2F3-A7DC8A2F4532}" name="Current Stock" dataDxfId="35" totalsRowDxfId="34"/>
    <tableColumn id="9" xr3:uid="{859ECC31-A7FF-4EEC-98CA-53C3ECE14F32}" name="On Order" dataDxfId="33" totalsRowDxfId="32">
      <calculatedColumnFormula>wshopcalc[[#This Row],[On Order]]</calculatedColumnFormula>
    </tableColumn>
    <tableColumn id="10" xr3:uid="{B3B15AFF-1304-4B30-95B0-F1388A310E99}" name="Order Quantity" dataDxfId="31" totalsRowDxfId="30">
      <calculatedColumnFormula>IF(H2&lt;=F2,G2-H2-I2,0)</calculatedColumnFormula>
    </tableColumn>
    <tableColumn id="12" xr3:uid="{296B3F55-099B-4457-97CE-DBDA21EB38F2}" name="Stock Value" totalsRowFunction="sum" dataDxfId="29" totalsRowDxfId="28">
      <calculatedColumnFormula>wshoprpt[[#This Row],[Current Stock]]*wshoprpt[[#This Row],[Cost Price]]</calculatedColumnFormula>
    </tableColumn>
    <tableColumn id="11" xr3:uid="{501ABA0A-6ED9-43E0-9593-87C5A4D965E4}" name="Order Value" totalsRowFunction="sum" dataDxfId="27" totalsRowDxfId="26">
      <calculatedColumnFormula>wshoprpt[[#This Row],[Order Quantity]]*wshoprpt[[#This Row],[Cost Price]]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E923EE-3F65-41B5-8A08-3CAC33CAE0D8}" name="Table1" displayName="Table1" ref="A1:I22" totalsRowShown="0" headerRowDxfId="25" dataDxfId="24" tableBorderDxfId="23">
  <autoFilter ref="A1:I22" xr:uid="{D6E923EE-3F65-41B5-8A08-3CAC33CAE0D8}"/>
  <sortState xmlns:xlrd2="http://schemas.microsoft.com/office/spreadsheetml/2017/richdata2" ref="B2:I22">
    <sortCondition ref="I1:I22"/>
  </sortState>
  <tableColumns count="9">
    <tableColumn id="9" xr3:uid="{D7B88BFE-E029-4F65-95BE-77D25877B6DA}" name="PO#" dataDxfId="22"/>
    <tableColumn id="1" xr3:uid="{822ED61C-3DEE-43E8-9C2B-A8BA7FCFB320}" name="Code" dataDxfId="21" totalsRowDxfId="20"/>
    <tableColumn id="2" xr3:uid="{E18EDEB1-894D-432C-9742-83B295570525}" name="Description" dataDxfId="19" totalsRowDxfId="18"/>
    <tableColumn id="3" xr3:uid="{22489D2E-74E8-4285-850F-BA12622210B1}" name="Category" dataDxfId="17" totalsRowDxfId="16"/>
    <tableColumn id="4" xr3:uid="{A96178D6-204C-4DA3-A9BC-2FCA9410DEC6}" name="Actom Cost Price" dataDxfId="15" totalsRowDxfId="14"/>
    <tableColumn id="5" xr3:uid="{AE9A61D4-3D81-4657-ABC4-C0CADDA78BAB}" name="Order Quantity" dataDxfId="13" totalsRowDxfId="12"/>
    <tableColumn id="7" xr3:uid="{C3C3F43C-0ECA-4119-A1C5-EC87606E1B70}" name="Total" dataDxfId="11" totalsRowDxfId="10">
      <calculatedColumnFormula>Table1[[#This Row],[Order Quantity]]*Table1[[#This Row],[Actom Cost Price]]</calculatedColumnFormula>
    </tableColumn>
    <tableColumn id="8" xr3:uid="{81C9AACB-2039-4D7E-B676-072F78B8FD33}" name="Column1" dataDxfId="9" totalsRowDxfId="8"/>
    <tableColumn id="6" xr3:uid="{7166C511-C34E-4EF9-8533-AE9B489AC348}" name="Availability" dataDxfId="7" totalsRow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545F-D4A7-441A-9B73-CB2027018336}">
  <sheetPr>
    <pageSetUpPr fitToPage="1"/>
  </sheetPr>
  <dimension ref="A1:O250"/>
  <sheetViews>
    <sheetView zoomScale="90" zoomScaleNormal="90" workbookViewId="0">
      <pane xSplit="2" ySplit="1" topLeftCell="C191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RowHeight="14.4" x14ac:dyDescent="0.3"/>
  <cols>
    <col min="1" max="1" width="26.33203125" style="12" customWidth="1"/>
    <col min="2" max="2" width="65.77734375" style="4" bestFit="1" customWidth="1"/>
    <col min="3" max="3" width="15.21875" style="13" bestFit="1" customWidth="1"/>
    <col min="4" max="4" width="13.109375" style="16" customWidth="1"/>
    <col min="5" max="15" width="11.77734375" style="4" customWidth="1"/>
    <col min="16" max="16384" width="8.88671875" style="4"/>
  </cols>
  <sheetData>
    <row r="1" spans="1:15" ht="43.2" x14ac:dyDescent="0.3">
      <c r="A1" s="56" t="s">
        <v>0</v>
      </c>
      <c r="B1" s="57" t="s">
        <v>1</v>
      </c>
      <c r="C1" s="58" t="s">
        <v>2</v>
      </c>
      <c r="D1" s="59" t="s">
        <v>462</v>
      </c>
      <c r="E1" s="58" t="s">
        <v>463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  <c r="K1" s="58" t="s">
        <v>9</v>
      </c>
      <c r="L1" s="58" t="s">
        <v>10</v>
      </c>
      <c r="M1" s="67" t="s">
        <v>3</v>
      </c>
      <c r="N1" s="58" t="s">
        <v>11</v>
      </c>
      <c r="O1" s="60" t="s">
        <v>12</v>
      </c>
    </row>
    <row r="2" spans="1:15" x14ac:dyDescent="0.3">
      <c r="A2" s="5" t="s">
        <v>72</v>
      </c>
      <c r="B2" s="6" t="s">
        <v>73</v>
      </c>
      <c r="C2" s="8" t="s">
        <v>14</v>
      </c>
      <c r="D2" s="15">
        <v>0.15</v>
      </c>
      <c r="E2" s="8">
        <v>50</v>
      </c>
      <c r="F2" s="8">
        <v>1</v>
      </c>
      <c r="G2" s="8">
        <v>0.5</v>
      </c>
      <c r="H2" s="8">
        <v>1</v>
      </c>
      <c r="I2" s="8">
        <f t="shared" ref="I2:I33" si="0">MROUND(E2*G2,1)</f>
        <v>25</v>
      </c>
      <c r="J2" s="8">
        <f t="shared" ref="J2:J33" si="1">MROUND(E2*F2,1)</f>
        <v>50</v>
      </c>
      <c r="K2" s="8">
        <f t="shared" ref="K2:K33" si="2">MROUND(I2+J2,1)</f>
        <v>75</v>
      </c>
      <c r="L2" s="8">
        <f t="shared" ref="L2:L33" si="3">MROUND(E2*(F2+G2+H2),1)</f>
        <v>125</v>
      </c>
      <c r="M2" s="49">
        <v>600</v>
      </c>
      <c r="N2" s="8">
        <v>0</v>
      </c>
      <c r="O2" s="55">
        <f t="shared" ref="O2:O33" si="4">IF(M2&lt;=K2,L2-M2-N2,0)</f>
        <v>0</v>
      </c>
    </row>
    <row r="3" spans="1:15" x14ac:dyDescent="0.3">
      <c r="A3" s="5">
        <v>258032</v>
      </c>
      <c r="B3" s="6" t="s">
        <v>19</v>
      </c>
      <c r="C3" s="8" t="s">
        <v>14</v>
      </c>
      <c r="D3" s="15">
        <v>0.15</v>
      </c>
      <c r="E3" s="8">
        <v>100</v>
      </c>
      <c r="F3" s="8">
        <v>1</v>
      </c>
      <c r="G3" s="8">
        <v>0.5</v>
      </c>
      <c r="H3" s="8">
        <v>1</v>
      </c>
      <c r="I3" s="8">
        <f t="shared" si="0"/>
        <v>50</v>
      </c>
      <c r="J3" s="8">
        <f t="shared" si="1"/>
        <v>100</v>
      </c>
      <c r="K3" s="8">
        <f t="shared" si="2"/>
        <v>150</v>
      </c>
      <c r="L3" s="8">
        <f t="shared" si="3"/>
        <v>250</v>
      </c>
      <c r="M3" s="49">
        <v>158</v>
      </c>
      <c r="N3" s="8">
        <v>0</v>
      </c>
      <c r="O3" s="55">
        <f t="shared" si="4"/>
        <v>0</v>
      </c>
    </row>
    <row r="4" spans="1:15" x14ac:dyDescent="0.3">
      <c r="A4" s="5">
        <v>258306</v>
      </c>
      <c r="B4" s="6" t="s">
        <v>21</v>
      </c>
      <c r="C4" s="8" t="s">
        <v>14</v>
      </c>
      <c r="D4" s="15">
        <v>0.2</v>
      </c>
      <c r="E4" s="8">
        <v>50</v>
      </c>
      <c r="F4" s="8">
        <v>1</v>
      </c>
      <c r="G4" s="8">
        <v>0.5</v>
      </c>
      <c r="H4" s="8">
        <v>1</v>
      </c>
      <c r="I4" s="8">
        <f t="shared" si="0"/>
        <v>25</v>
      </c>
      <c r="J4" s="8">
        <f t="shared" si="1"/>
        <v>50</v>
      </c>
      <c r="K4" s="8">
        <f t="shared" si="2"/>
        <v>75</v>
      </c>
      <c r="L4" s="8">
        <f t="shared" si="3"/>
        <v>125</v>
      </c>
      <c r="M4" s="49">
        <v>443</v>
      </c>
      <c r="N4" s="8">
        <v>0</v>
      </c>
      <c r="O4" s="55">
        <f t="shared" si="4"/>
        <v>0</v>
      </c>
    </row>
    <row r="5" spans="1:15" x14ac:dyDescent="0.3">
      <c r="A5" s="5" t="s">
        <v>68</v>
      </c>
      <c r="B5" s="6" t="s">
        <v>69</v>
      </c>
      <c r="C5" s="8" t="s">
        <v>14</v>
      </c>
      <c r="D5" s="15">
        <v>0.4</v>
      </c>
      <c r="E5" s="8">
        <v>50</v>
      </c>
      <c r="F5" s="8">
        <v>1</v>
      </c>
      <c r="G5" s="8">
        <v>0.5</v>
      </c>
      <c r="H5" s="8">
        <v>1</v>
      </c>
      <c r="I5" s="8">
        <f t="shared" si="0"/>
        <v>25</v>
      </c>
      <c r="J5" s="8">
        <f t="shared" si="1"/>
        <v>50</v>
      </c>
      <c r="K5" s="8">
        <f t="shared" si="2"/>
        <v>75</v>
      </c>
      <c r="L5" s="8">
        <f t="shared" si="3"/>
        <v>125</v>
      </c>
      <c r="M5" s="49">
        <v>41</v>
      </c>
      <c r="N5" s="8">
        <v>0</v>
      </c>
      <c r="O5" s="55">
        <f t="shared" si="4"/>
        <v>84</v>
      </c>
    </row>
    <row r="6" spans="1:15" x14ac:dyDescent="0.3">
      <c r="A6" s="5" t="s">
        <v>70</v>
      </c>
      <c r="B6" s="6" t="s">
        <v>71</v>
      </c>
      <c r="C6" s="8" t="s">
        <v>14</v>
      </c>
      <c r="D6" s="15">
        <v>1</v>
      </c>
      <c r="E6" s="8">
        <v>50</v>
      </c>
      <c r="F6" s="8">
        <v>1</v>
      </c>
      <c r="G6" s="8">
        <v>0.5</v>
      </c>
      <c r="H6" s="8">
        <v>1</v>
      </c>
      <c r="I6" s="8">
        <f t="shared" si="0"/>
        <v>25</v>
      </c>
      <c r="J6" s="8">
        <f t="shared" si="1"/>
        <v>50</v>
      </c>
      <c r="K6" s="8">
        <f t="shared" si="2"/>
        <v>75</v>
      </c>
      <c r="L6" s="8">
        <f t="shared" si="3"/>
        <v>125</v>
      </c>
      <c r="M6" s="49">
        <v>150</v>
      </c>
      <c r="N6" s="8">
        <v>0</v>
      </c>
      <c r="O6" s="55">
        <f t="shared" si="4"/>
        <v>0</v>
      </c>
    </row>
    <row r="7" spans="1:15" x14ac:dyDescent="0.3">
      <c r="A7" s="5" t="s">
        <v>74</v>
      </c>
      <c r="B7" s="6" t="s">
        <v>75</v>
      </c>
      <c r="C7" s="8" t="s">
        <v>14</v>
      </c>
      <c r="D7" s="15">
        <v>0.08</v>
      </c>
      <c r="E7" s="8">
        <v>260</v>
      </c>
      <c r="F7" s="8">
        <v>1</v>
      </c>
      <c r="G7" s="8">
        <v>0.5</v>
      </c>
      <c r="H7" s="8">
        <v>1</v>
      </c>
      <c r="I7" s="8">
        <f t="shared" si="0"/>
        <v>130</v>
      </c>
      <c r="J7" s="8">
        <f t="shared" si="1"/>
        <v>260</v>
      </c>
      <c r="K7" s="8">
        <f t="shared" si="2"/>
        <v>390</v>
      </c>
      <c r="L7" s="8">
        <f t="shared" si="3"/>
        <v>650</v>
      </c>
      <c r="M7" s="49">
        <v>192</v>
      </c>
      <c r="N7" s="8">
        <v>0</v>
      </c>
      <c r="O7" s="55">
        <f t="shared" si="4"/>
        <v>458</v>
      </c>
    </row>
    <row r="8" spans="1:15" x14ac:dyDescent="0.3">
      <c r="A8" s="5" t="s">
        <v>76</v>
      </c>
      <c r="B8" s="6" t="s">
        <v>77</v>
      </c>
      <c r="C8" s="8" t="s">
        <v>14</v>
      </c>
      <c r="D8" s="15">
        <v>0.12</v>
      </c>
      <c r="E8" s="8">
        <v>50</v>
      </c>
      <c r="F8" s="8">
        <v>1</v>
      </c>
      <c r="G8" s="8">
        <v>0.5</v>
      </c>
      <c r="H8" s="8">
        <v>1</v>
      </c>
      <c r="I8" s="8">
        <f t="shared" si="0"/>
        <v>25</v>
      </c>
      <c r="J8" s="8">
        <f t="shared" si="1"/>
        <v>50</v>
      </c>
      <c r="K8" s="8">
        <f t="shared" si="2"/>
        <v>75</v>
      </c>
      <c r="L8" s="8">
        <f t="shared" si="3"/>
        <v>125</v>
      </c>
      <c r="M8" s="49">
        <v>360</v>
      </c>
      <c r="N8" s="8">
        <v>0</v>
      </c>
      <c r="O8" s="55">
        <f t="shared" si="4"/>
        <v>0</v>
      </c>
    </row>
    <row r="9" spans="1:15" x14ac:dyDescent="0.3">
      <c r="A9" s="5" t="s">
        <v>78</v>
      </c>
      <c r="B9" s="6" t="s">
        <v>79</v>
      </c>
      <c r="C9" s="8" t="s">
        <v>14</v>
      </c>
      <c r="D9" s="15">
        <v>0.6</v>
      </c>
      <c r="E9" s="8">
        <v>50</v>
      </c>
      <c r="F9" s="8">
        <v>1</v>
      </c>
      <c r="G9" s="8">
        <v>0.5</v>
      </c>
      <c r="H9" s="8">
        <v>1</v>
      </c>
      <c r="I9" s="8">
        <f t="shared" si="0"/>
        <v>25</v>
      </c>
      <c r="J9" s="8">
        <f t="shared" si="1"/>
        <v>50</v>
      </c>
      <c r="K9" s="8">
        <f t="shared" si="2"/>
        <v>75</v>
      </c>
      <c r="L9" s="8">
        <f t="shared" si="3"/>
        <v>125</v>
      </c>
      <c r="M9" s="49">
        <v>1234</v>
      </c>
      <c r="N9" s="8">
        <v>0</v>
      </c>
      <c r="O9" s="55">
        <f t="shared" si="4"/>
        <v>0</v>
      </c>
    </row>
    <row r="10" spans="1:15" x14ac:dyDescent="0.3">
      <c r="A10" s="5" t="s">
        <v>464</v>
      </c>
      <c r="B10" s="6" t="s">
        <v>465</v>
      </c>
      <c r="C10" s="8" t="s">
        <v>14</v>
      </c>
      <c r="D10" s="15">
        <v>0.65</v>
      </c>
      <c r="E10" s="8">
        <v>155</v>
      </c>
      <c r="F10" s="8">
        <v>1</v>
      </c>
      <c r="G10" s="8">
        <v>0.5</v>
      </c>
      <c r="H10" s="8">
        <v>1</v>
      </c>
      <c r="I10" s="8">
        <f t="shared" si="0"/>
        <v>78</v>
      </c>
      <c r="J10" s="8">
        <f t="shared" si="1"/>
        <v>155</v>
      </c>
      <c r="K10" s="8">
        <f t="shared" si="2"/>
        <v>233</v>
      </c>
      <c r="L10" s="8">
        <f t="shared" si="3"/>
        <v>388</v>
      </c>
      <c r="M10" s="49">
        <v>450</v>
      </c>
      <c r="N10" s="8">
        <v>0</v>
      </c>
      <c r="O10" s="55">
        <f t="shared" si="4"/>
        <v>0</v>
      </c>
    </row>
    <row r="11" spans="1:15" x14ac:dyDescent="0.3">
      <c r="A11" s="5" t="s">
        <v>80</v>
      </c>
      <c r="B11" s="6" t="s">
        <v>81</v>
      </c>
      <c r="C11" s="8" t="s">
        <v>14</v>
      </c>
      <c r="D11" s="15">
        <v>3</v>
      </c>
      <c r="E11" s="8">
        <v>50</v>
      </c>
      <c r="F11" s="8">
        <v>1</v>
      </c>
      <c r="G11" s="8">
        <v>0.5</v>
      </c>
      <c r="H11" s="8">
        <v>1</v>
      </c>
      <c r="I11" s="8">
        <f t="shared" si="0"/>
        <v>25</v>
      </c>
      <c r="J11" s="8">
        <f t="shared" si="1"/>
        <v>50</v>
      </c>
      <c r="K11" s="8">
        <f t="shared" si="2"/>
        <v>75</v>
      </c>
      <c r="L11" s="8">
        <f t="shared" si="3"/>
        <v>125</v>
      </c>
      <c r="M11" s="49">
        <v>293</v>
      </c>
      <c r="N11" s="8">
        <v>0</v>
      </c>
      <c r="O11" s="55">
        <f t="shared" si="4"/>
        <v>0</v>
      </c>
    </row>
    <row r="12" spans="1:15" x14ac:dyDescent="0.3">
      <c r="A12" s="5" t="s">
        <v>82</v>
      </c>
      <c r="B12" s="6" t="s">
        <v>83</v>
      </c>
      <c r="C12" s="8" t="s">
        <v>14</v>
      </c>
      <c r="D12" s="15">
        <v>0.8</v>
      </c>
      <c r="E12" s="8">
        <v>50</v>
      </c>
      <c r="F12" s="8">
        <v>1</v>
      </c>
      <c r="G12" s="8">
        <v>0.5</v>
      </c>
      <c r="H12" s="8">
        <v>1</v>
      </c>
      <c r="I12" s="8">
        <f t="shared" si="0"/>
        <v>25</v>
      </c>
      <c r="J12" s="8">
        <f t="shared" si="1"/>
        <v>50</v>
      </c>
      <c r="K12" s="8">
        <f t="shared" si="2"/>
        <v>75</v>
      </c>
      <c r="L12" s="8">
        <f t="shared" si="3"/>
        <v>125</v>
      </c>
      <c r="M12" s="49">
        <v>40</v>
      </c>
      <c r="N12" s="8">
        <v>0</v>
      </c>
      <c r="O12" s="55">
        <f t="shared" si="4"/>
        <v>85</v>
      </c>
    </row>
    <row r="13" spans="1:15" x14ac:dyDescent="0.3">
      <c r="A13" s="5" t="s">
        <v>84</v>
      </c>
      <c r="B13" s="6" t="s">
        <v>85</v>
      </c>
      <c r="C13" s="8" t="s">
        <v>14</v>
      </c>
      <c r="D13" s="15">
        <v>0.3</v>
      </c>
      <c r="E13" s="8">
        <v>80</v>
      </c>
      <c r="F13" s="8">
        <v>1</v>
      </c>
      <c r="G13" s="8">
        <v>0.5</v>
      </c>
      <c r="H13" s="8">
        <v>1</v>
      </c>
      <c r="I13" s="8">
        <f t="shared" si="0"/>
        <v>40</v>
      </c>
      <c r="J13" s="8">
        <f t="shared" si="1"/>
        <v>80</v>
      </c>
      <c r="K13" s="8">
        <f t="shared" si="2"/>
        <v>120</v>
      </c>
      <c r="L13" s="8">
        <f t="shared" si="3"/>
        <v>200</v>
      </c>
      <c r="M13" s="49">
        <v>500</v>
      </c>
      <c r="N13" s="8">
        <v>0</v>
      </c>
      <c r="O13" s="55">
        <f t="shared" si="4"/>
        <v>0</v>
      </c>
    </row>
    <row r="14" spans="1:15" x14ac:dyDescent="0.3">
      <c r="A14" s="5" t="s">
        <v>86</v>
      </c>
      <c r="B14" s="6" t="s">
        <v>87</v>
      </c>
      <c r="C14" s="8" t="s">
        <v>14</v>
      </c>
      <c r="D14" s="15">
        <v>1.8</v>
      </c>
      <c r="E14" s="8">
        <v>50</v>
      </c>
      <c r="F14" s="8">
        <v>1</v>
      </c>
      <c r="G14" s="8">
        <v>0.5</v>
      </c>
      <c r="H14" s="8">
        <v>1</v>
      </c>
      <c r="I14" s="8">
        <f t="shared" si="0"/>
        <v>25</v>
      </c>
      <c r="J14" s="8">
        <f t="shared" si="1"/>
        <v>50</v>
      </c>
      <c r="K14" s="8">
        <f t="shared" si="2"/>
        <v>75</v>
      </c>
      <c r="L14" s="8">
        <f t="shared" si="3"/>
        <v>125</v>
      </c>
      <c r="M14" s="49">
        <v>450</v>
      </c>
      <c r="N14" s="8">
        <v>0</v>
      </c>
      <c r="O14" s="55">
        <f t="shared" si="4"/>
        <v>0</v>
      </c>
    </row>
    <row r="15" spans="1:15" x14ac:dyDescent="0.3">
      <c r="A15" s="5" t="s">
        <v>88</v>
      </c>
      <c r="B15" s="6" t="s">
        <v>89</v>
      </c>
      <c r="C15" s="8" t="s">
        <v>14</v>
      </c>
      <c r="D15" s="15">
        <v>0.12</v>
      </c>
      <c r="E15" s="8">
        <v>115</v>
      </c>
      <c r="F15" s="8">
        <v>1</v>
      </c>
      <c r="G15" s="8">
        <v>0.5</v>
      </c>
      <c r="H15" s="8">
        <v>1</v>
      </c>
      <c r="I15" s="8">
        <f t="shared" si="0"/>
        <v>58</v>
      </c>
      <c r="J15" s="8">
        <f t="shared" si="1"/>
        <v>115</v>
      </c>
      <c r="K15" s="8">
        <f t="shared" si="2"/>
        <v>173</v>
      </c>
      <c r="L15" s="8">
        <f t="shared" si="3"/>
        <v>288</v>
      </c>
      <c r="M15" s="49">
        <v>1196</v>
      </c>
      <c r="N15" s="8">
        <v>0</v>
      </c>
      <c r="O15" s="55">
        <f t="shared" si="4"/>
        <v>0</v>
      </c>
    </row>
    <row r="16" spans="1:15" x14ac:dyDescent="0.3">
      <c r="A16" s="5" t="s">
        <v>90</v>
      </c>
      <c r="B16" s="6" t="s">
        <v>91</v>
      </c>
      <c r="C16" s="8" t="s">
        <v>14</v>
      </c>
      <c r="D16" s="15">
        <v>0.4</v>
      </c>
      <c r="E16" s="8">
        <v>50</v>
      </c>
      <c r="F16" s="8">
        <v>1</v>
      </c>
      <c r="G16" s="8">
        <v>0.5</v>
      </c>
      <c r="H16" s="8">
        <v>1</v>
      </c>
      <c r="I16" s="8">
        <f t="shared" si="0"/>
        <v>25</v>
      </c>
      <c r="J16" s="8">
        <f t="shared" si="1"/>
        <v>50</v>
      </c>
      <c r="K16" s="8">
        <f t="shared" si="2"/>
        <v>75</v>
      </c>
      <c r="L16" s="8">
        <f t="shared" si="3"/>
        <v>125</v>
      </c>
      <c r="M16" s="49">
        <v>130</v>
      </c>
      <c r="N16" s="8">
        <v>0</v>
      </c>
      <c r="O16" s="55">
        <f t="shared" si="4"/>
        <v>0</v>
      </c>
    </row>
    <row r="17" spans="1:15" x14ac:dyDescent="0.3">
      <c r="A17" s="5" t="s">
        <v>92</v>
      </c>
      <c r="B17" s="6" t="s">
        <v>93</v>
      </c>
      <c r="C17" s="8" t="s">
        <v>14</v>
      </c>
      <c r="D17" s="15">
        <v>0.3</v>
      </c>
      <c r="E17" s="8">
        <v>100</v>
      </c>
      <c r="F17" s="8">
        <v>1</v>
      </c>
      <c r="G17" s="8">
        <v>0.5</v>
      </c>
      <c r="H17" s="8">
        <v>1</v>
      </c>
      <c r="I17" s="8">
        <f t="shared" si="0"/>
        <v>50</v>
      </c>
      <c r="J17" s="8">
        <f t="shared" si="1"/>
        <v>100</v>
      </c>
      <c r="K17" s="8">
        <f t="shared" si="2"/>
        <v>150</v>
      </c>
      <c r="L17" s="8">
        <f t="shared" si="3"/>
        <v>250</v>
      </c>
      <c r="M17" s="49">
        <v>854</v>
      </c>
      <c r="N17" s="8">
        <v>0</v>
      </c>
      <c r="O17" s="55">
        <f t="shared" si="4"/>
        <v>0</v>
      </c>
    </row>
    <row r="18" spans="1:15" x14ac:dyDescent="0.3">
      <c r="A18" s="5" t="s">
        <v>94</v>
      </c>
      <c r="B18" s="6" t="s">
        <v>94</v>
      </c>
      <c r="C18" s="8" t="s">
        <v>14</v>
      </c>
      <c r="D18" s="15">
        <v>0.9</v>
      </c>
      <c r="E18" s="8">
        <v>100</v>
      </c>
      <c r="F18" s="8">
        <v>1</v>
      </c>
      <c r="G18" s="8">
        <v>0.5</v>
      </c>
      <c r="H18" s="8">
        <v>1</v>
      </c>
      <c r="I18" s="8">
        <f t="shared" si="0"/>
        <v>50</v>
      </c>
      <c r="J18" s="8">
        <f t="shared" si="1"/>
        <v>100</v>
      </c>
      <c r="K18" s="8">
        <f t="shared" si="2"/>
        <v>150</v>
      </c>
      <c r="L18" s="8">
        <f t="shared" si="3"/>
        <v>250</v>
      </c>
      <c r="M18" s="49">
        <v>580</v>
      </c>
      <c r="N18" s="8">
        <v>0</v>
      </c>
      <c r="O18" s="55">
        <f t="shared" si="4"/>
        <v>0</v>
      </c>
    </row>
    <row r="19" spans="1:15" x14ac:dyDescent="0.3">
      <c r="A19" s="5" t="s">
        <v>95</v>
      </c>
      <c r="B19" s="6" t="s">
        <v>96</v>
      </c>
      <c r="C19" s="8" t="s">
        <v>14</v>
      </c>
      <c r="D19" s="15">
        <v>1</v>
      </c>
      <c r="E19" s="8">
        <v>50</v>
      </c>
      <c r="F19" s="8">
        <v>1</v>
      </c>
      <c r="G19" s="8">
        <v>0.5</v>
      </c>
      <c r="H19" s="8">
        <v>1</v>
      </c>
      <c r="I19" s="8">
        <f t="shared" si="0"/>
        <v>25</v>
      </c>
      <c r="J19" s="8">
        <f t="shared" si="1"/>
        <v>50</v>
      </c>
      <c r="K19" s="8">
        <f t="shared" si="2"/>
        <v>75</v>
      </c>
      <c r="L19" s="8">
        <f t="shared" si="3"/>
        <v>125</v>
      </c>
      <c r="M19" s="49">
        <v>107</v>
      </c>
      <c r="N19" s="8">
        <v>0</v>
      </c>
      <c r="O19" s="55">
        <f t="shared" si="4"/>
        <v>0</v>
      </c>
    </row>
    <row r="20" spans="1:15" x14ac:dyDescent="0.3">
      <c r="A20" s="5" t="s">
        <v>97</v>
      </c>
      <c r="B20" s="6" t="s">
        <v>98</v>
      </c>
      <c r="C20" s="8" t="s">
        <v>14</v>
      </c>
      <c r="D20" s="15">
        <v>2</v>
      </c>
      <c r="E20" s="8">
        <v>50</v>
      </c>
      <c r="F20" s="8">
        <v>1</v>
      </c>
      <c r="G20" s="8">
        <v>0.5</v>
      </c>
      <c r="H20" s="8">
        <v>1</v>
      </c>
      <c r="I20" s="8">
        <f t="shared" si="0"/>
        <v>25</v>
      </c>
      <c r="J20" s="8">
        <f t="shared" si="1"/>
        <v>50</v>
      </c>
      <c r="K20" s="8">
        <f t="shared" si="2"/>
        <v>75</v>
      </c>
      <c r="L20" s="8">
        <f t="shared" si="3"/>
        <v>125</v>
      </c>
      <c r="M20" s="49">
        <v>400</v>
      </c>
      <c r="N20" s="8">
        <v>0</v>
      </c>
      <c r="O20" s="55">
        <f t="shared" si="4"/>
        <v>0</v>
      </c>
    </row>
    <row r="21" spans="1:15" x14ac:dyDescent="0.3">
      <c r="A21" s="5" t="s">
        <v>99</v>
      </c>
      <c r="B21" s="6" t="s">
        <v>100</v>
      </c>
      <c r="C21" s="8" t="s">
        <v>14</v>
      </c>
      <c r="D21" s="15">
        <v>2</v>
      </c>
      <c r="E21" s="8">
        <v>10</v>
      </c>
      <c r="F21" s="8">
        <v>1</v>
      </c>
      <c r="G21" s="8">
        <v>0.5</v>
      </c>
      <c r="H21" s="8">
        <v>1</v>
      </c>
      <c r="I21" s="8">
        <f t="shared" si="0"/>
        <v>5</v>
      </c>
      <c r="J21" s="8">
        <f t="shared" si="1"/>
        <v>10</v>
      </c>
      <c r="K21" s="8">
        <f t="shared" si="2"/>
        <v>15</v>
      </c>
      <c r="L21" s="8">
        <f t="shared" si="3"/>
        <v>25</v>
      </c>
      <c r="M21" s="49">
        <v>19</v>
      </c>
      <c r="N21" s="8">
        <v>0</v>
      </c>
      <c r="O21" s="55">
        <f t="shared" si="4"/>
        <v>0</v>
      </c>
    </row>
    <row r="22" spans="1:15" x14ac:dyDescent="0.3">
      <c r="A22" s="5">
        <v>237756</v>
      </c>
      <c r="B22" s="6" t="s">
        <v>13</v>
      </c>
      <c r="C22" s="7" t="s">
        <v>14</v>
      </c>
      <c r="D22" s="15">
        <v>1.8</v>
      </c>
      <c r="E22" s="8">
        <v>100</v>
      </c>
      <c r="F22" s="8">
        <v>1</v>
      </c>
      <c r="G22" s="8">
        <v>0.5</v>
      </c>
      <c r="H22" s="8">
        <v>1</v>
      </c>
      <c r="I22" s="8">
        <f t="shared" si="0"/>
        <v>50</v>
      </c>
      <c r="J22" s="8">
        <f t="shared" si="1"/>
        <v>100</v>
      </c>
      <c r="K22" s="8">
        <f t="shared" si="2"/>
        <v>150</v>
      </c>
      <c r="L22" s="8">
        <f t="shared" si="3"/>
        <v>250</v>
      </c>
      <c r="M22" s="49">
        <v>200</v>
      </c>
      <c r="N22" s="8">
        <v>0</v>
      </c>
      <c r="O22" s="55">
        <f t="shared" si="4"/>
        <v>0</v>
      </c>
    </row>
    <row r="23" spans="1:15" x14ac:dyDescent="0.3">
      <c r="A23" s="5" t="s">
        <v>23</v>
      </c>
      <c r="B23" s="6" t="s">
        <v>24</v>
      </c>
      <c r="C23" s="8" t="s">
        <v>14</v>
      </c>
      <c r="D23" s="15">
        <v>0.2</v>
      </c>
      <c r="E23" s="8">
        <v>200</v>
      </c>
      <c r="F23" s="8">
        <v>1</v>
      </c>
      <c r="G23" s="8">
        <v>0.5</v>
      </c>
      <c r="H23" s="8">
        <v>1</v>
      </c>
      <c r="I23" s="8">
        <f t="shared" si="0"/>
        <v>100</v>
      </c>
      <c r="J23" s="8">
        <f t="shared" si="1"/>
        <v>200</v>
      </c>
      <c r="K23" s="8">
        <f t="shared" si="2"/>
        <v>300</v>
      </c>
      <c r="L23" s="8">
        <f t="shared" si="3"/>
        <v>500</v>
      </c>
      <c r="M23" s="49">
        <v>2118</v>
      </c>
      <c r="N23" s="8">
        <v>0</v>
      </c>
      <c r="O23" s="55">
        <f t="shared" si="4"/>
        <v>0</v>
      </c>
    </row>
    <row r="24" spans="1:15" x14ac:dyDescent="0.3">
      <c r="A24" s="5" t="s">
        <v>25</v>
      </c>
      <c r="B24" s="6" t="s">
        <v>26</v>
      </c>
      <c r="C24" s="8" t="s">
        <v>14</v>
      </c>
      <c r="D24" s="15">
        <v>0.65</v>
      </c>
      <c r="E24" s="8">
        <v>100</v>
      </c>
      <c r="F24" s="8">
        <v>1</v>
      </c>
      <c r="G24" s="8">
        <v>0.5</v>
      </c>
      <c r="H24" s="8">
        <v>1</v>
      </c>
      <c r="I24" s="8">
        <f t="shared" si="0"/>
        <v>50</v>
      </c>
      <c r="J24" s="8">
        <f t="shared" si="1"/>
        <v>100</v>
      </c>
      <c r="K24" s="8">
        <f t="shared" si="2"/>
        <v>150</v>
      </c>
      <c r="L24" s="8">
        <f t="shared" si="3"/>
        <v>250</v>
      </c>
      <c r="M24" s="49">
        <v>1986</v>
      </c>
      <c r="N24" s="8">
        <v>0</v>
      </c>
      <c r="O24" s="55">
        <f t="shared" si="4"/>
        <v>0</v>
      </c>
    </row>
    <row r="25" spans="1:15" x14ac:dyDescent="0.3">
      <c r="A25" s="5" t="s">
        <v>27</v>
      </c>
      <c r="B25" s="6" t="s">
        <v>28</v>
      </c>
      <c r="C25" s="8" t="s">
        <v>14</v>
      </c>
      <c r="D25" s="15">
        <v>1.8</v>
      </c>
      <c r="E25" s="8">
        <v>50</v>
      </c>
      <c r="F25" s="8">
        <v>1</v>
      </c>
      <c r="G25" s="8">
        <v>0.5</v>
      </c>
      <c r="H25" s="8">
        <v>1</v>
      </c>
      <c r="I25" s="8">
        <f t="shared" si="0"/>
        <v>25</v>
      </c>
      <c r="J25" s="8">
        <f t="shared" si="1"/>
        <v>50</v>
      </c>
      <c r="K25" s="8">
        <f t="shared" si="2"/>
        <v>75</v>
      </c>
      <c r="L25" s="8">
        <f t="shared" si="3"/>
        <v>125</v>
      </c>
      <c r="M25" s="49">
        <v>242</v>
      </c>
      <c r="N25" s="8">
        <v>0</v>
      </c>
      <c r="O25" s="55">
        <f t="shared" si="4"/>
        <v>0</v>
      </c>
    </row>
    <row r="26" spans="1:15" x14ac:dyDescent="0.3">
      <c r="A26" s="5" t="s">
        <v>29</v>
      </c>
      <c r="B26" s="6" t="s">
        <v>30</v>
      </c>
      <c r="C26" s="8" t="s">
        <v>14</v>
      </c>
      <c r="D26" s="15">
        <v>1.8</v>
      </c>
      <c r="E26" s="8">
        <v>100</v>
      </c>
      <c r="F26" s="8">
        <v>1</v>
      </c>
      <c r="G26" s="8">
        <v>0.5</v>
      </c>
      <c r="H26" s="8">
        <v>1</v>
      </c>
      <c r="I26" s="8">
        <f t="shared" si="0"/>
        <v>50</v>
      </c>
      <c r="J26" s="8">
        <f t="shared" si="1"/>
        <v>100</v>
      </c>
      <c r="K26" s="8">
        <f t="shared" si="2"/>
        <v>150</v>
      </c>
      <c r="L26" s="8">
        <f t="shared" si="3"/>
        <v>250</v>
      </c>
      <c r="M26" s="49">
        <v>800</v>
      </c>
      <c r="N26" s="8">
        <v>0</v>
      </c>
      <c r="O26" s="55">
        <f t="shared" si="4"/>
        <v>0</v>
      </c>
    </row>
    <row r="27" spans="1:15" x14ac:dyDescent="0.3">
      <c r="A27" s="5" t="s">
        <v>31</v>
      </c>
      <c r="B27" s="6" t="s">
        <v>32</v>
      </c>
      <c r="C27" s="8" t="s">
        <v>14</v>
      </c>
      <c r="D27" s="15">
        <v>0.5</v>
      </c>
      <c r="E27" s="8">
        <v>200</v>
      </c>
      <c r="F27" s="8">
        <v>1</v>
      </c>
      <c r="G27" s="8">
        <v>0.5</v>
      </c>
      <c r="H27" s="8">
        <v>1</v>
      </c>
      <c r="I27" s="8">
        <f t="shared" si="0"/>
        <v>100</v>
      </c>
      <c r="J27" s="8">
        <f t="shared" si="1"/>
        <v>200</v>
      </c>
      <c r="K27" s="8">
        <f t="shared" si="2"/>
        <v>300</v>
      </c>
      <c r="L27" s="8">
        <f t="shared" si="3"/>
        <v>500</v>
      </c>
      <c r="M27" s="49">
        <v>921</v>
      </c>
      <c r="N27" s="8">
        <v>0</v>
      </c>
      <c r="O27" s="55">
        <f t="shared" si="4"/>
        <v>0</v>
      </c>
    </row>
    <row r="28" spans="1:15" x14ac:dyDescent="0.3">
      <c r="A28" s="5" t="s">
        <v>33</v>
      </c>
      <c r="B28" s="6" t="s">
        <v>34</v>
      </c>
      <c r="C28" s="8" t="s">
        <v>14</v>
      </c>
      <c r="D28" s="15">
        <v>1.8</v>
      </c>
      <c r="E28" s="8">
        <v>50</v>
      </c>
      <c r="F28" s="8">
        <v>1</v>
      </c>
      <c r="G28" s="8">
        <v>0.5</v>
      </c>
      <c r="H28" s="8">
        <v>1</v>
      </c>
      <c r="I28" s="8">
        <f t="shared" si="0"/>
        <v>25</v>
      </c>
      <c r="J28" s="8">
        <f t="shared" si="1"/>
        <v>50</v>
      </c>
      <c r="K28" s="8">
        <f t="shared" si="2"/>
        <v>75</v>
      </c>
      <c r="L28" s="8">
        <f t="shared" si="3"/>
        <v>125</v>
      </c>
      <c r="M28" s="49">
        <v>99</v>
      </c>
      <c r="N28" s="8">
        <v>0</v>
      </c>
      <c r="O28" s="55">
        <f t="shared" si="4"/>
        <v>0</v>
      </c>
    </row>
    <row r="29" spans="1:15" x14ac:dyDescent="0.3">
      <c r="A29" s="5" t="s">
        <v>35</v>
      </c>
      <c r="B29" s="6" t="s">
        <v>36</v>
      </c>
      <c r="C29" s="8" t="s">
        <v>14</v>
      </c>
      <c r="D29" s="15">
        <v>4</v>
      </c>
      <c r="E29" s="8">
        <v>50</v>
      </c>
      <c r="F29" s="8">
        <v>1</v>
      </c>
      <c r="G29" s="8">
        <v>0.5</v>
      </c>
      <c r="H29" s="8">
        <v>1</v>
      </c>
      <c r="I29" s="8">
        <f t="shared" si="0"/>
        <v>25</v>
      </c>
      <c r="J29" s="8">
        <f t="shared" si="1"/>
        <v>50</v>
      </c>
      <c r="K29" s="8">
        <f t="shared" si="2"/>
        <v>75</v>
      </c>
      <c r="L29" s="8">
        <f t="shared" si="3"/>
        <v>125</v>
      </c>
      <c r="M29" s="49">
        <v>300</v>
      </c>
      <c r="N29" s="8">
        <v>0</v>
      </c>
      <c r="O29" s="55">
        <f t="shared" si="4"/>
        <v>0</v>
      </c>
    </row>
    <row r="30" spans="1:15" x14ac:dyDescent="0.3">
      <c r="A30" s="5" t="s">
        <v>37</v>
      </c>
      <c r="B30" s="6" t="s">
        <v>38</v>
      </c>
      <c r="C30" s="8" t="s">
        <v>14</v>
      </c>
      <c r="D30" s="15">
        <v>2.6</v>
      </c>
      <c r="E30" s="8">
        <v>50</v>
      </c>
      <c r="F30" s="8">
        <v>1</v>
      </c>
      <c r="G30" s="8">
        <v>0.5</v>
      </c>
      <c r="H30" s="8">
        <v>1</v>
      </c>
      <c r="I30" s="8">
        <f t="shared" si="0"/>
        <v>25</v>
      </c>
      <c r="J30" s="8">
        <f t="shared" si="1"/>
        <v>50</v>
      </c>
      <c r="K30" s="8">
        <f t="shared" si="2"/>
        <v>75</v>
      </c>
      <c r="L30" s="8">
        <f t="shared" si="3"/>
        <v>125</v>
      </c>
      <c r="M30" s="49">
        <v>5</v>
      </c>
      <c r="N30" s="8">
        <v>0</v>
      </c>
      <c r="O30" s="55">
        <f t="shared" si="4"/>
        <v>120</v>
      </c>
    </row>
    <row r="31" spans="1:15" x14ac:dyDescent="0.3">
      <c r="A31" s="5" t="s">
        <v>39</v>
      </c>
      <c r="B31" s="6" t="s">
        <v>40</v>
      </c>
      <c r="C31" s="8" t="s">
        <v>14</v>
      </c>
      <c r="D31" s="15">
        <v>4</v>
      </c>
      <c r="E31" s="8">
        <v>50</v>
      </c>
      <c r="F31" s="8">
        <v>1</v>
      </c>
      <c r="G31" s="8">
        <v>0.5</v>
      </c>
      <c r="H31" s="8">
        <v>1</v>
      </c>
      <c r="I31" s="8">
        <f t="shared" si="0"/>
        <v>25</v>
      </c>
      <c r="J31" s="8">
        <f t="shared" si="1"/>
        <v>50</v>
      </c>
      <c r="K31" s="8">
        <f t="shared" si="2"/>
        <v>75</v>
      </c>
      <c r="L31" s="8">
        <f t="shared" si="3"/>
        <v>125</v>
      </c>
      <c r="M31" s="49">
        <v>22</v>
      </c>
      <c r="N31" s="8">
        <v>0</v>
      </c>
      <c r="O31" s="55">
        <f t="shared" si="4"/>
        <v>103</v>
      </c>
    </row>
    <row r="32" spans="1:15" x14ac:dyDescent="0.3">
      <c r="A32" s="5">
        <v>237993</v>
      </c>
      <c r="B32" s="6" t="s">
        <v>15</v>
      </c>
      <c r="C32" s="7" t="s">
        <v>14</v>
      </c>
      <c r="D32" s="15">
        <v>4</v>
      </c>
      <c r="E32" s="8">
        <v>50</v>
      </c>
      <c r="F32" s="8">
        <v>1</v>
      </c>
      <c r="G32" s="8">
        <v>0.5</v>
      </c>
      <c r="H32" s="8">
        <v>1</v>
      </c>
      <c r="I32" s="8">
        <f t="shared" si="0"/>
        <v>25</v>
      </c>
      <c r="J32" s="8">
        <f t="shared" si="1"/>
        <v>50</v>
      </c>
      <c r="K32" s="8">
        <f t="shared" si="2"/>
        <v>75</v>
      </c>
      <c r="L32" s="8">
        <f t="shared" si="3"/>
        <v>125</v>
      </c>
      <c r="M32" s="49">
        <v>489</v>
      </c>
      <c r="N32" s="8">
        <v>0</v>
      </c>
      <c r="O32" s="55">
        <f t="shared" si="4"/>
        <v>0</v>
      </c>
    </row>
    <row r="33" spans="1:15" x14ac:dyDescent="0.3">
      <c r="A33" s="5">
        <v>238028</v>
      </c>
      <c r="B33" s="6" t="s">
        <v>16</v>
      </c>
      <c r="C33" s="7" t="s">
        <v>14</v>
      </c>
      <c r="D33" s="15">
        <v>4.4000000000000004</v>
      </c>
      <c r="E33" s="8">
        <v>50</v>
      </c>
      <c r="F33" s="8">
        <v>1</v>
      </c>
      <c r="G33" s="8">
        <v>0.5</v>
      </c>
      <c r="H33" s="8">
        <v>1</v>
      </c>
      <c r="I33" s="8">
        <f t="shared" si="0"/>
        <v>25</v>
      </c>
      <c r="J33" s="8">
        <f t="shared" si="1"/>
        <v>50</v>
      </c>
      <c r="K33" s="8">
        <f t="shared" si="2"/>
        <v>75</v>
      </c>
      <c r="L33" s="8">
        <f t="shared" si="3"/>
        <v>125</v>
      </c>
      <c r="M33" s="49">
        <v>198</v>
      </c>
      <c r="N33" s="8">
        <v>0</v>
      </c>
      <c r="O33" s="55">
        <f t="shared" si="4"/>
        <v>0</v>
      </c>
    </row>
    <row r="34" spans="1:15" x14ac:dyDescent="0.3">
      <c r="A34" s="5">
        <v>238062</v>
      </c>
      <c r="B34" s="6" t="s">
        <v>17</v>
      </c>
      <c r="C34" s="7" t="s">
        <v>14</v>
      </c>
      <c r="D34" s="15">
        <v>5.9</v>
      </c>
      <c r="E34" s="8">
        <v>50</v>
      </c>
      <c r="F34" s="8">
        <v>1</v>
      </c>
      <c r="G34" s="8">
        <v>0.5</v>
      </c>
      <c r="H34" s="8">
        <v>1</v>
      </c>
      <c r="I34" s="8">
        <f t="shared" ref="I34:I52" si="5">MROUND(E34*G34,1)</f>
        <v>25</v>
      </c>
      <c r="J34" s="8">
        <f t="shared" ref="J34:J52" si="6">MROUND(E34*F34,1)</f>
        <v>50</v>
      </c>
      <c r="K34" s="8">
        <f t="shared" ref="K34:K52" si="7">MROUND(I34+J34,1)</f>
        <v>75</v>
      </c>
      <c r="L34" s="8">
        <f t="shared" ref="L34:L52" si="8">MROUND(E34*(F34+G34+H34),1)</f>
        <v>125</v>
      </c>
      <c r="M34" s="49">
        <v>603</v>
      </c>
      <c r="N34" s="8">
        <v>0</v>
      </c>
      <c r="O34" s="55">
        <f t="shared" ref="O34:O52" si="9">IF(M34&lt;=K34,L34-M34-N34,0)</f>
        <v>0</v>
      </c>
    </row>
    <row r="35" spans="1:15" x14ac:dyDescent="0.3">
      <c r="A35" s="5">
        <v>258205</v>
      </c>
      <c r="B35" s="6" t="s">
        <v>20</v>
      </c>
      <c r="C35" s="8" t="s">
        <v>14</v>
      </c>
      <c r="D35" s="15">
        <v>0.9</v>
      </c>
      <c r="E35" s="8">
        <v>50</v>
      </c>
      <c r="F35" s="8">
        <v>1</v>
      </c>
      <c r="G35" s="8">
        <v>0.5</v>
      </c>
      <c r="H35" s="8">
        <v>1</v>
      </c>
      <c r="I35" s="8">
        <f t="shared" si="5"/>
        <v>25</v>
      </c>
      <c r="J35" s="8">
        <f t="shared" si="6"/>
        <v>50</v>
      </c>
      <c r="K35" s="8">
        <f t="shared" si="7"/>
        <v>75</v>
      </c>
      <c r="L35" s="8">
        <f t="shared" si="8"/>
        <v>125</v>
      </c>
      <c r="M35" s="49">
        <v>242</v>
      </c>
      <c r="N35" s="8">
        <v>0</v>
      </c>
      <c r="O35" s="55">
        <f t="shared" si="9"/>
        <v>0</v>
      </c>
    </row>
    <row r="36" spans="1:15" x14ac:dyDescent="0.3">
      <c r="A36" s="5">
        <v>267215</v>
      </c>
      <c r="B36" s="6" t="s">
        <v>22</v>
      </c>
      <c r="C36" s="8" t="s">
        <v>14</v>
      </c>
      <c r="D36" s="15">
        <v>1</v>
      </c>
      <c r="E36" s="8">
        <v>200</v>
      </c>
      <c r="F36" s="8">
        <v>1</v>
      </c>
      <c r="G36" s="8">
        <v>0.5</v>
      </c>
      <c r="H36" s="8">
        <v>1</v>
      </c>
      <c r="I36" s="8">
        <f t="shared" si="5"/>
        <v>100</v>
      </c>
      <c r="J36" s="8">
        <f t="shared" si="6"/>
        <v>200</v>
      </c>
      <c r="K36" s="8">
        <f t="shared" si="7"/>
        <v>300</v>
      </c>
      <c r="L36" s="8">
        <f t="shared" si="8"/>
        <v>500</v>
      </c>
      <c r="M36" s="49">
        <v>483</v>
      </c>
      <c r="N36" s="8">
        <v>0</v>
      </c>
      <c r="O36" s="55">
        <f t="shared" si="9"/>
        <v>0</v>
      </c>
    </row>
    <row r="37" spans="1:15" x14ac:dyDescent="0.3">
      <c r="A37" s="5" t="s">
        <v>41</v>
      </c>
      <c r="B37" s="6" t="s">
        <v>42</v>
      </c>
      <c r="C37" s="8" t="s">
        <v>14</v>
      </c>
      <c r="D37" s="15">
        <v>3</v>
      </c>
      <c r="E37" s="8">
        <v>50</v>
      </c>
      <c r="F37" s="8">
        <v>1</v>
      </c>
      <c r="G37" s="8">
        <v>0.5</v>
      </c>
      <c r="H37" s="8">
        <v>1</v>
      </c>
      <c r="I37" s="8">
        <f t="shared" si="5"/>
        <v>25</v>
      </c>
      <c r="J37" s="8">
        <f t="shared" si="6"/>
        <v>50</v>
      </c>
      <c r="K37" s="8">
        <f t="shared" si="7"/>
        <v>75</v>
      </c>
      <c r="L37" s="8">
        <f t="shared" si="8"/>
        <v>125</v>
      </c>
      <c r="M37" s="49">
        <v>93</v>
      </c>
      <c r="N37" s="8">
        <v>0</v>
      </c>
      <c r="O37" s="55">
        <f t="shared" si="9"/>
        <v>0</v>
      </c>
    </row>
    <row r="38" spans="1:15" x14ac:dyDescent="0.3">
      <c r="A38" s="5" t="s">
        <v>43</v>
      </c>
      <c r="B38" s="6" t="s">
        <v>44</v>
      </c>
      <c r="C38" s="8" t="s">
        <v>14</v>
      </c>
      <c r="D38" s="15">
        <v>0.3</v>
      </c>
      <c r="E38" s="8">
        <v>50</v>
      </c>
      <c r="F38" s="8">
        <v>1</v>
      </c>
      <c r="G38" s="8">
        <v>0.5</v>
      </c>
      <c r="H38" s="8">
        <v>1</v>
      </c>
      <c r="I38" s="8">
        <f t="shared" si="5"/>
        <v>25</v>
      </c>
      <c r="J38" s="8">
        <f t="shared" si="6"/>
        <v>50</v>
      </c>
      <c r="K38" s="8">
        <f t="shared" si="7"/>
        <v>75</v>
      </c>
      <c r="L38" s="8">
        <f t="shared" si="8"/>
        <v>125</v>
      </c>
      <c r="M38" s="49">
        <v>434</v>
      </c>
      <c r="N38" s="8">
        <v>0</v>
      </c>
      <c r="O38" s="55">
        <f t="shared" si="9"/>
        <v>0</v>
      </c>
    </row>
    <row r="39" spans="1:15" x14ac:dyDescent="0.3">
      <c r="A39" s="5" t="s">
        <v>45</v>
      </c>
      <c r="B39" s="6" t="s">
        <v>46</v>
      </c>
      <c r="C39" s="8" t="s">
        <v>14</v>
      </c>
      <c r="D39" s="15">
        <v>3</v>
      </c>
      <c r="E39" s="8">
        <v>50</v>
      </c>
      <c r="F39" s="8">
        <v>1</v>
      </c>
      <c r="G39" s="8">
        <v>0.5</v>
      </c>
      <c r="H39" s="8">
        <v>1</v>
      </c>
      <c r="I39" s="8">
        <f t="shared" si="5"/>
        <v>25</v>
      </c>
      <c r="J39" s="8">
        <f t="shared" si="6"/>
        <v>50</v>
      </c>
      <c r="K39" s="8">
        <f t="shared" si="7"/>
        <v>75</v>
      </c>
      <c r="L39" s="8">
        <f t="shared" si="8"/>
        <v>125</v>
      </c>
      <c r="M39" s="49">
        <v>725</v>
      </c>
      <c r="N39" s="8">
        <v>0</v>
      </c>
      <c r="O39" s="55">
        <f t="shared" si="9"/>
        <v>0</v>
      </c>
    </row>
    <row r="40" spans="1:15" x14ac:dyDescent="0.3">
      <c r="A40" s="5" t="s">
        <v>47</v>
      </c>
      <c r="B40" s="6" t="s">
        <v>48</v>
      </c>
      <c r="C40" s="8" t="s">
        <v>14</v>
      </c>
      <c r="D40" s="15">
        <v>0.8</v>
      </c>
      <c r="E40" s="8">
        <v>200</v>
      </c>
      <c r="F40" s="8">
        <v>1</v>
      </c>
      <c r="G40" s="8">
        <v>0.5</v>
      </c>
      <c r="H40" s="8">
        <v>1</v>
      </c>
      <c r="I40" s="8">
        <f t="shared" si="5"/>
        <v>100</v>
      </c>
      <c r="J40" s="8">
        <f t="shared" si="6"/>
        <v>200</v>
      </c>
      <c r="K40" s="8">
        <f t="shared" si="7"/>
        <v>300</v>
      </c>
      <c r="L40" s="8">
        <f t="shared" si="8"/>
        <v>500</v>
      </c>
      <c r="M40" s="49">
        <v>223</v>
      </c>
      <c r="N40" s="8">
        <v>0</v>
      </c>
      <c r="O40" s="55">
        <f t="shared" si="9"/>
        <v>277</v>
      </c>
    </row>
    <row r="41" spans="1:15" x14ac:dyDescent="0.3">
      <c r="A41" s="5" t="s">
        <v>49</v>
      </c>
      <c r="B41" s="6" t="s">
        <v>50</v>
      </c>
      <c r="C41" s="8" t="s">
        <v>14</v>
      </c>
      <c r="D41" s="15">
        <v>3</v>
      </c>
      <c r="E41" s="8">
        <v>50</v>
      </c>
      <c r="F41" s="8">
        <v>1</v>
      </c>
      <c r="G41" s="8">
        <v>0.5</v>
      </c>
      <c r="H41" s="8">
        <v>1</v>
      </c>
      <c r="I41" s="8">
        <f t="shared" si="5"/>
        <v>25</v>
      </c>
      <c r="J41" s="8">
        <f t="shared" si="6"/>
        <v>50</v>
      </c>
      <c r="K41" s="8">
        <f t="shared" si="7"/>
        <v>75</v>
      </c>
      <c r="L41" s="8">
        <f t="shared" si="8"/>
        <v>125</v>
      </c>
      <c r="M41" s="49">
        <v>188</v>
      </c>
      <c r="N41" s="8">
        <v>0</v>
      </c>
      <c r="O41" s="55">
        <f t="shared" si="9"/>
        <v>0</v>
      </c>
    </row>
    <row r="42" spans="1:15" x14ac:dyDescent="0.3">
      <c r="A42" s="5" t="s">
        <v>51</v>
      </c>
      <c r="B42" s="6" t="s">
        <v>52</v>
      </c>
      <c r="C42" s="8" t="s">
        <v>14</v>
      </c>
      <c r="D42" s="15">
        <v>1.3</v>
      </c>
      <c r="E42" s="8">
        <v>50</v>
      </c>
      <c r="F42" s="8">
        <v>1</v>
      </c>
      <c r="G42" s="8">
        <v>0.5</v>
      </c>
      <c r="H42" s="8">
        <v>1</v>
      </c>
      <c r="I42" s="8">
        <f t="shared" si="5"/>
        <v>25</v>
      </c>
      <c r="J42" s="8">
        <f t="shared" si="6"/>
        <v>50</v>
      </c>
      <c r="K42" s="8">
        <f t="shared" si="7"/>
        <v>75</v>
      </c>
      <c r="L42" s="8">
        <f t="shared" si="8"/>
        <v>125</v>
      </c>
      <c r="M42" s="49">
        <v>0</v>
      </c>
      <c r="N42" s="8">
        <v>0</v>
      </c>
      <c r="O42" s="55">
        <f t="shared" si="9"/>
        <v>125</v>
      </c>
    </row>
    <row r="43" spans="1:15" x14ac:dyDescent="0.3">
      <c r="A43" s="5" t="s">
        <v>62</v>
      </c>
      <c r="B43" s="6" t="s">
        <v>63</v>
      </c>
      <c r="C43" s="8" t="s">
        <v>14</v>
      </c>
      <c r="D43" s="15">
        <v>0.65</v>
      </c>
      <c r="E43" s="8">
        <v>50</v>
      </c>
      <c r="F43" s="8">
        <v>1</v>
      </c>
      <c r="G43" s="8">
        <v>0.5</v>
      </c>
      <c r="H43" s="8">
        <v>1</v>
      </c>
      <c r="I43" s="8">
        <f t="shared" si="5"/>
        <v>25</v>
      </c>
      <c r="J43" s="8">
        <f t="shared" si="6"/>
        <v>50</v>
      </c>
      <c r="K43" s="8">
        <f t="shared" si="7"/>
        <v>75</v>
      </c>
      <c r="L43" s="8">
        <f t="shared" si="8"/>
        <v>125</v>
      </c>
      <c r="M43" s="49">
        <v>129</v>
      </c>
      <c r="N43" s="8">
        <v>0</v>
      </c>
      <c r="O43" s="55">
        <f t="shared" si="9"/>
        <v>0</v>
      </c>
    </row>
    <row r="44" spans="1:15" x14ac:dyDescent="0.3">
      <c r="A44" s="5">
        <v>238152</v>
      </c>
      <c r="B44" s="6" t="s">
        <v>18</v>
      </c>
      <c r="C44" s="7" t="s">
        <v>14</v>
      </c>
      <c r="D44" s="15">
        <v>12.5</v>
      </c>
      <c r="E44" s="8">
        <v>50</v>
      </c>
      <c r="F44" s="8">
        <v>1</v>
      </c>
      <c r="G44" s="8">
        <v>0.5</v>
      </c>
      <c r="H44" s="8">
        <v>1</v>
      </c>
      <c r="I44" s="8">
        <f t="shared" si="5"/>
        <v>25</v>
      </c>
      <c r="J44" s="8">
        <f t="shared" si="6"/>
        <v>50</v>
      </c>
      <c r="K44" s="8">
        <f t="shared" si="7"/>
        <v>75</v>
      </c>
      <c r="L44" s="8">
        <f t="shared" si="8"/>
        <v>125</v>
      </c>
      <c r="M44" s="49">
        <v>43</v>
      </c>
      <c r="N44" s="8">
        <v>0</v>
      </c>
      <c r="O44" s="55">
        <f t="shared" si="9"/>
        <v>82</v>
      </c>
    </row>
    <row r="45" spans="1:15" x14ac:dyDescent="0.3">
      <c r="A45" s="5" t="s">
        <v>53</v>
      </c>
      <c r="B45" s="6" t="s">
        <v>54</v>
      </c>
      <c r="C45" s="8" t="s">
        <v>14</v>
      </c>
      <c r="D45" s="15">
        <v>0.8</v>
      </c>
      <c r="E45" s="8">
        <v>300</v>
      </c>
      <c r="F45" s="8">
        <v>1</v>
      </c>
      <c r="G45" s="8">
        <v>0.5</v>
      </c>
      <c r="H45" s="8">
        <v>1</v>
      </c>
      <c r="I45" s="8">
        <f t="shared" si="5"/>
        <v>150</v>
      </c>
      <c r="J45" s="8">
        <f t="shared" si="6"/>
        <v>300</v>
      </c>
      <c r="K45" s="8">
        <f t="shared" si="7"/>
        <v>450</v>
      </c>
      <c r="L45" s="8">
        <f t="shared" si="8"/>
        <v>750</v>
      </c>
      <c r="M45" s="49">
        <v>535</v>
      </c>
      <c r="N45" s="8">
        <v>0</v>
      </c>
      <c r="O45" s="55">
        <f t="shared" si="9"/>
        <v>0</v>
      </c>
    </row>
    <row r="46" spans="1:15" x14ac:dyDescent="0.3">
      <c r="A46" s="5" t="s">
        <v>55</v>
      </c>
      <c r="B46" s="6" t="s">
        <v>56</v>
      </c>
      <c r="C46" s="8" t="s">
        <v>14</v>
      </c>
      <c r="D46" s="15">
        <v>1.8</v>
      </c>
      <c r="E46" s="8">
        <v>250</v>
      </c>
      <c r="F46" s="8">
        <v>1</v>
      </c>
      <c r="G46" s="8">
        <v>0.5</v>
      </c>
      <c r="H46" s="8">
        <v>1</v>
      </c>
      <c r="I46" s="8">
        <f t="shared" si="5"/>
        <v>125</v>
      </c>
      <c r="J46" s="8">
        <f t="shared" si="6"/>
        <v>250</v>
      </c>
      <c r="K46" s="8">
        <f t="shared" si="7"/>
        <v>375</v>
      </c>
      <c r="L46" s="8">
        <f t="shared" si="8"/>
        <v>625</v>
      </c>
      <c r="M46" s="49">
        <v>163</v>
      </c>
      <c r="N46" s="8">
        <v>0</v>
      </c>
      <c r="O46" s="55">
        <f t="shared" si="9"/>
        <v>462</v>
      </c>
    </row>
    <row r="47" spans="1:15" x14ac:dyDescent="0.3">
      <c r="A47" s="5" t="s">
        <v>57</v>
      </c>
      <c r="B47" s="6" t="s">
        <v>57</v>
      </c>
      <c r="C47" s="8" t="s">
        <v>14</v>
      </c>
      <c r="D47" s="15">
        <v>1.8</v>
      </c>
      <c r="E47" s="8">
        <v>50</v>
      </c>
      <c r="F47" s="8">
        <v>1</v>
      </c>
      <c r="G47" s="8">
        <v>0.5</v>
      </c>
      <c r="H47" s="8">
        <v>1</v>
      </c>
      <c r="I47" s="8">
        <f t="shared" si="5"/>
        <v>25</v>
      </c>
      <c r="J47" s="8">
        <f t="shared" si="6"/>
        <v>50</v>
      </c>
      <c r="K47" s="8">
        <f t="shared" si="7"/>
        <v>75</v>
      </c>
      <c r="L47" s="8">
        <f t="shared" si="8"/>
        <v>125</v>
      </c>
      <c r="M47" s="49">
        <v>317</v>
      </c>
      <c r="N47" s="8">
        <v>0</v>
      </c>
      <c r="O47" s="55">
        <f t="shared" si="9"/>
        <v>0</v>
      </c>
    </row>
    <row r="48" spans="1:15" x14ac:dyDescent="0.3">
      <c r="A48" s="5" t="s">
        <v>58</v>
      </c>
      <c r="B48" s="6" t="s">
        <v>59</v>
      </c>
      <c r="C48" s="8" t="s">
        <v>14</v>
      </c>
      <c r="D48" s="15">
        <v>18</v>
      </c>
      <c r="E48" s="8">
        <v>100</v>
      </c>
      <c r="F48" s="8">
        <v>1</v>
      </c>
      <c r="G48" s="8">
        <v>0.5</v>
      </c>
      <c r="H48" s="8">
        <v>1</v>
      </c>
      <c r="I48" s="8">
        <f t="shared" si="5"/>
        <v>50</v>
      </c>
      <c r="J48" s="8">
        <f t="shared" si="6"/>
        <v>100</v>
      </c>
      <c r="K48" s="8">
        <f t="shared" si="7"/>
        <v>150</v>
      </c>
      <c r="L48" s="8">
        <f t="shared" si="8"/>
        <v>250</v>
      </c>
      <c r="M48" s="49">
        <v>197</v>
      </c>
      <c r="N48" s="8">
        <v>0</v>
      </c>
      <c r="O48" s="55">
        <f t="shared" si="9"/>
        <v>0</v>
      </c>
    </row>
    <row r="49" spans="1:15" x14ac:dyDescent="0.3">
      <c r="A49" s="5" t="s">
        <v>60</v>
      </c>
      <c r="B49" s="6" t="s">
        <v>61</v>
      </c>
      <c r="C49" s="8" t="s">
        <v>14</v>
      </c>
      <c r="D49" s="15">
        <v>5.8</v>
      </c>
      <c r="E49" s="8">
        <v>100</v>
      </c>
      <c r="F49" s="8">
        <v>1</v>
      </c>
      <c r="G49" s="8">
        <v>0.5</v>
      </c>
      <c r="H49" s="8">
        <v>1</v>
      </c>
      <c r="I49" s="8">
        <f t="shared" si="5"/>
        <v>50</v>
      </c>
      <c r="J49" s="8">
        <f t="shared" si="6"/>
        <v>100</v>
      </c>
      <c r="K49" s="8">
        <f t="shared" si="7"/>
        <v>150</v>
      </c>
      <c r="L49" s="8">
        <f t="shared" si="8"/>
        <v>250</v>
      </c>
      <c r="M49" s="49">
        <v>157</v>
      </c>
      <c r="N49" s="8">
        <v>0</v>
      </c>
      <c r="O49" s="55">
        <f t="shared" si="9"/>
        <v>0</v>
      </c>
    </row>
    <row r="50" spans="1:15" x14ac:dyDescent="0.3">
      <c r="A50" s="5" t="s">
        <v>64</v>
      </c>
      <c r="B50" s="6" t="s">
        <v>65</v>
      </c>
      <c r="C50" s="7" t="s">
        <v>14</v>
      </c>
      <c r="D50" s="15">
        <v>75</v>
      </c>
      <c r="E50" s="8">
        <v>2</v>
      </c>
      <c r="F50" s="8">
        <v>1</v>
      </c>
      <c r="G50" s="8">
        <v>0.5</v>
      </c>
      <c r="H50" s="8">
        <v>1</v>
      </c>
      <c r="I50" s="8">
        <f t="shared" si="5"/>
        <v>1</v>
      </c>
      <c r="J50" s="8">
        <f t="shared" si="6"/>
        <v>2</v>
      </c>
      <c r="K50" s="8">
        <f t="shared" si="7"/>
        <v>3</v>
      </c>
      <c r="L50" s="8">
        <f t="shared" si="8"/>
        <v>5</v>
      </c>
      <c r="M50" s="49">
        <v>4</v>
      </c>
      <c r="N50" s="8">
        <v>0</v>
      </c>
      <c r="O50" s="55">
        <f t="shared" si="9"/>
        <v>0</v>
      </c>
    </row>
    <row r="51" spans="1:15" x14ac:dyDescent="0.3">
      <c r="A51" s="5" t="s">
        <v>66</v>
      </c>
      <c r="B51" s="6" t="s">
        <v>67</v>
      </c>
      <c r="C51" s="8" t="s">
        <v>14</v>
      </c>
      <c r="D51" s="15">
        <v>12</v>
      </c>
      <c r="E51" s="8">
        <v>50</v>
      </c>
      <c r="F51" s="8">
        <v>1</v>
      </c>
      <c r="G51" s="8">
        <v>0.5</v>
      </c>
      <c r="H51" s="8">
        <v>1</v>
      </c>
      <c r="I51" s="8">
        <f t="shared" si="5"/>
        <v>25</v>
      </c>
      <c r="J51" s="8">
        <f t="shared" si="6"/>
        <v>50</v>
      </c>
      <c r="K51" s="8">
        <f t="shared" si="7"/>
        <v>75</v>
      </c>
      <c r="L51" s="8">
        <f t="shared" si="8"/>
        <v>125</v>
      </c>
      <c r="M51" s="49">
        <v>255</v>
      </c>
      <c r="N51" s="8">
        <v>0</v>
      </c>
      <c r="O51" s="55">
        <f t="shared" si="9"/>
        <v>0</v>
      </c>
    </row>
    <row r="52" spans="1:15" x14ac:dyDescent="0.3">
      <c r="A52" s="5" t="s">
        <v>101</v>
      </c>
      <c r="B52" s="6" t="s">
        <v>102</v>
      </c>
      <c r="C52" s="8" t="s">
        <v>14</v>
      </c>
      <c r="D52" s="15">
        <v>0.3</v>
      </c>
      <c r="E52" s="8">
        <v>150</v>
      </c>
      <c r="F52" s="8">
        <v>1</v>
      </c>
      <c r="G52" s="8">
        <v>0.5</v>
      </c>
      <c r="H52" s="8">
        <v>1</v>
      </c>
      <c r="I52" s="8">
        <f t="shared" si="5"/>
        <v>75</v>
      </c>
      <c r="J52" s="8">
        <f t="shared" si="6"/>
        <v>150</v>
      </c>
      <c r="K52" s="8">
        <f t="shared" si="7"/>
        <v>225</v>
      </c>
      <c r="L52" s="8">
        <f t="shared" si="8"/>
        <v>375</v>
      </c>
      <c r="M52" s="49">
        <v>500</v>
      </c>
      <c r="N52" s="8">
        <v>0</v>
      </c>
      <c r="O52" s="55">
        <f t="shared" si="9"/>
        <v>0</v>
      </c>
    </row>
    <row r="53" spans="1:15" x14ac:dyDescent="0.3">
      <c r="A53" s="5" t="s">
        <v>103</v>
      </c>
      <c r="B53" s="6" t="s">
        <v>104</v>
      </c>
      <c r="C53" s="8" t="s">
        <v>105</v>
      </c>
      <c r="D53" s="15">
        <v>936</v>
      </c>
      <c r="E53" s="8">
        <v>4</v>
      </c>
      <c r="F53" s="8">
        <v>1</v>
      </c>
      <c r="G53" s="8">
        <v>0.5</v>
      </c>
      <c r="H53" s="8">
        <v>1</v>
      </c>
      <c r="I53" s="8">
        <f t="shared" ref="I53" si="10">MROUND(E53*G53,1)</f>
        <v>2</v>
      </c>
      <c r="J53" s="8">
        <f t="shared" ref="J53" si="11">MROUND(E53*F53,1)</f>
        <v>4</v>
      </c>
      <c r="K53" s="8">
        <f t="shared" ref="K53" si="12">MROUND(I53+J53,1)</f>
        <v>6</v>
      </c>
      <c r="L53" s="8">
        <f t="shared" ref="L53" si="13">MROUND(E53*(F53+G53+H53),1)</f>
        <v>10</v>
      </c>
      <c r="M53" s="49">
        <v>8</v>
      </c>
      <c r="N53" s="8">
        <v>2</v>
      </c>
      <c r="O53" s="55">
        <f t="shared" ref="O53" si="14">IF(M53&lt;=K53,L53-M53-N53,0)</f>
        <v>0</v>
      </c>
    </row>
    <row r="54" spans="1:15" x14ac:dyDescent="0.3">
      <c r="A54" s="5" t="s">
        <v>108</v>
      </c>
      <c r="B54" s="6" t="s">
        <v>109</v>
      </c>
      <c r="C54" s="8" t="s">
        <v>105</v>
      </c>
      <c r="D54" s="15">
        <v>1241</v>
      </c>
      <c r="E54" s="8">
        <v>4</v>
      </c>
      <c r="F54" s="8">
        <v>1</v>
      </c>
      <c r="G54" s="8">
        <v>0.5</v>
      </c>
      <c r="H54" s="8">
        <v>1</v>
      </c>
      <c r="I54" s="8">
        <f t="shared" ref="I54:I79" si="15">MROUND(E54*G54,1)</f>
        <v>2</v>
      </c>
      <c r="J54" s="8">
        <f t="shared" ref="J54:J79" si="16">MROUND(E54*F54,1)</f>
        <v>4</v>
      </c>
      <c r="K54" s="8">
        <f t="shared" ref="K54:K79" si="17">MROUND(I54+J54,1)</f>
        <v>6</v>
      </c>
      <c r="L54" s="8">
        <f t="shared" ref="L54:L79" si="18">MROUND(E54*(F54+G54+H54),1)</f>
        <v>10</v>
      </c>
      <c r="M54" s="49">
        <v>5</v>
      </c>
      <c r="N54" s="8">
        <v>2</v>
      </c>
      <c r="O54" s="55">
        <f t="shared" ref="O54:O79" si="19">IF(M54&lt;=K54,L54-M54-N54,0)</f>
        <v>3</v>
      </c>
    </row>
    <row r="55" spans="1:15" x14ac:dyDescent="0.3">
      <c r="A55" s="5" t="s">
        <v>112</v>
      </c>
      <c r="B55" s="6" t="s">
        <v>113</v>
      </c>
      <c r="C55" s="8" t="s">
        <v>105</v>
      </c>
      <c r="D55" s="15">
        <v>1344.6</v>
      </c>
      <c r="E55" s="8">
        <v>4</v>
      </c>
      <c r="F55" s="8">
        <v>1</v>
      </c>
      <c r="G55" s="8">
        <v>0.5</v>
      </c>
      <c r="H55" s="8">
        <v>1</v>
      </c>
      <c r="I55" s="8">
        <f t="shared" si="15"/>
        <v>2</v>
      </c>
      <c r="J55" s="8">
        <f t="shared" si="16"/>
        <v>4</v>
      </c>
      <c r="K55" s="8">
        <f t="shared" si="17"/>
        <v>6</v>
      </c>
      <c r="L55" s="8">
        <f t="shared" si="18"/>
        <v>10</v>
      </c>
      <c r="M55" s="49">
        <v>2</v>
      </c>
      <c r="N55" s="8">
        <v>3</v>
      </c>
      <c r="O55" s="55">
        <f t="shared" si="19"/>
        <v>5</v>
      </c>
    </row>
    <row r="56" spans="1:15" x14ac:dyDescent="0.3">
      <c r="A56" s="5" t="s">
        <v>116</v>
      </c>
      <c r="B56" s="6" t="s">
        <v>117</v>
      </c>
      <c r="C56" s="8" t="s">
        <v>105</v>
      </c>
      <c r="D56" s="15">
        <v>1494</v>
      </c>
      <c r="E56" s="8">
        <v>2</v>
      </c>
      <c r="F56" s="8">
        <v>1</v>
      </c>
      <c r="G56" s="8">
        <v>0.5</v>
      </c>
      <c r="H56" s="8">
        <v>1</v>
      </c>
      <c r="I56" s="8">
        <f t="shared" si="15"/>
        <v>1</v>
      </c>
      <c r="J56" s="8">
        <f t="shared" si="16"/>
        <v>2</v>
      </c>
      <c r="K56" s="8">
        <f t="shared" si="17"/>
        <v>3</v>
      </c>
      <c r="L56" s="8">
        <f t="shared" si="18"/>
        <v>5</v>
      </c>
      <c r="M56" s="49">
        <v>3</v>
      </c>
      <c r="N56" s="8">
        <v>0</v>
      </c>
      <c r="O56" s="55">
        <f t="shared" si="19"/>
        <v>2</v>
      </c>
    </row>
    <row r="57" spans="1:15" x14ac:dyDescent="0.3">
      <c r="A57" s="5" t="s">
        <v>120</v>
      </c>
      <c r="B57" s="6" t="s">
        <v>121</v>
      </c>
      <c r="C57" s="8" t="s">
        <v>105</v>
      </c>
      <c r="D57" s="15">
        <v>1702</v>
      </c>
      <c r="E57" s="8">
        <v>3</v>
      </c>
      <c r="F57" s="8">
        <v>1</v>
      </c>
      <c r="G57" s="8">
        <v>0.5</v>
      </c>
      <c r="H57" s="8">
        <v>1</v>
      </c>
      <c r="I57" s="8">
        <f t="shared" si="15"/>
        <v>2</v>
      </c>
      <c r="J57" s="8">
        <f t="shared" si="16"/>
        <v>3</v>
      </c>
      <c r="K57" s="8">
        <f t="shared" si="17"/>
        <v>5</v>
      </c>
      <c r="L57" s="8">
        <f t="shared" si="18"/>
        <v>8</v>
      </c>
      <c r="M57" s="49">
        <v>8</v>
      </c>
      <c r="N57" s="8">
        <v>0</v>
      </c>
      <c r="O57" s="55">
        <f t="shared" si="19"/>
        <v>0</v>
      </c>
    </row>
    <row r="58" spans="1:15" x14ac:dyDescent="0.3">
      <c r="A58" s="5" t="s">
        <v>124</v>
      </c>
      <c r="B58" s="6" t="s">
        <v>125</v>
      </c>
      <c r="C58" s="8" t="s">
        <v>105</v>
      </c>
      <c r="D58" s="15">
        <v>1792</v>
      </c>
      <c r="E58" s="8">
        <v>3</v>
      </c>
      <c r="F58" s="8">
        <v>1</v>
      </c>
      <c r="G58" s="8">
        <v>0.5</v>
      </c>
      <c r="H58" s="8">
        <v>1</v>
      </c>
      <c r="I58" s="8">
        <f t="shared" si="15"/>
        <v>2</v>
      </c>
      <c r="J58" s="8">
        <f t="shared" si="16"/>
        <v>3</v>
      </c>
      <c r="K58" s="8">
        <f t="shared" si="17"/>
        <v>5</v>
      </c>
      <c r="L58" s="8">
        <f t="shared" si="18"/>
        <v>8</v>
      </c>
      <c r="M58" s="49">
        <v>2</v>
      </c>
      <c r="N58" s="8">
        <v>0</v>
      </c>
      <c r="O58" s="55">
        <f t="shared" si="19"/>
        <v>6</v>
      </c>
    </row>
    <row r="59" spans="1:15" x14ac:dyDescent="0.3">
      <c r="A59" s="5" t="s">
        <v>128</v>
      </c>
      <c r="B59" s="6" t="s">
        <v>129</v>
      </c>
      <c r="C59" s="8" t="s">
        <v>105</v>
      </c>
      <c r="D59" s="15">
        <v>1971</v>
      </c>
      <c r="E59" s="8">
        <v>2</v>
      </c>
      <c r="F59" s="8">
        <v>1</v>
      </c>
      <c r="G59" s="8">
        <v>0.5</v>
      </c>
      <c r="H59" s="8">
        <v>1</v>
      </c>
      <c r="I59" s="8">
        <f t="shared" si="15"/>
        <v>1</v>
      </c>
      <c r="J59" s="8">
        <f t="shared" si="16"/>
        <v>2</v>
      </c>
      <c r="K59" s="8">
        <f t="shared" si="17"/>
        <v>3</v>
      </c>
      <c r="L59" s="8">
        <f t="shared" si="18"/>
        <v>5</v>
      </c>
      <c r="M59" s="49">
        <v>6</v>
      </c>
      <c r="N59" s="8">
        <v>0</v>
      </c>
      <c r="O59" s="55">
        <f t="shared" si="19"/>
        <v>0</v>
      </c>
    </row>
    <row r="60" spans="1:15" x14ac:dyDescent="0.3">
      <c r="A60" s="5" t="s">
        <v>132</v>
      </c>
      <c r="B60" s="6" t="s">
        <v>133</v>
      </c>
      <c r="C60" s="8" t="s">
        <v>105</v>
      </c>
      <c r="D60" s="15">
        <v>2298</v>
      </c>
      <c r="E60" s="8">
        <v>2</v>
      </c>
      <c r="F60" s="8">
        <v>1</v>
      </c>
      <c r="G60" s="8">
        <v>0.5</v>
      </c>
      <c r="H60" s="8">
        <v>1</v>
      </c>
      <c r="I60" s="8">
        <f t="shared" si="15"/>
        <v>1</v>
      </c>
      <c r="J60" s="8">
        <f t="shared" si="16"/>
        <v>2</v>
      </c>
      <c r="K60" s="8">
        <f t="shared" si="17"/>
        <v>3</v>
      </c>
      <c r="L60" s="8">
        <f t="shared" si="18"/>
        <v>5</v>
      </c>
      <c r="M60" s="49">
        <v>3</v>
      </c>
      <c r="N60" s="8">
        <v>0</v>
      </c>
      <c r="O60" s="55">
        <f t="shared" si="19"/>
        <v>2</v>
      </c>
    </row>
    <row r="61" spans="1:15" x14ac:dyDescent="0.3">
      <c r="A61" s="5" t="s">
        <v>136</v>
      </c>
      <c r="B61" s="6" t="s">
        <v>137</v>
      </c>
      <c r="C61" s="8" t="s">
        <v>105</v>
      </c>
      <c r="D61" s="15">
        <v>2158</v>
      </c>
      <c r="E61" s="8">
        <v>2</v>
      </c>
      <c r="F61" s="8">
        <v>1</v>
      </c>
      <c r="G61" s="8">
        <v>0.5</v>
      </c>
      <c r="H61" s="8">
        <v>1</v>
      </c>
      <c r="I61" s="8">
        <f t="shared" si="15"/>
        <v>1</v>
      </c>
      <c r="J61" s="8">
        <f t="shared" si="16"/>
        <v>2</v>
      </c>
      <c r="K61" s="8">
        <f t="shared" si="17"/>
        <v>3</v>
      </c>
      <c r="L61" s="8">
        <f t="shared" si="18"/>
        <v>5</v>
      </c>
      <c r="M61" s="49">
        <v>9</v>
      </c>
      <c r="N61" s="8">
        <v>0</v>
      </c>
      <c r="O61" s="55">
        <f t="shared" si="19"/>
        <v>0</v>
      </c>
    </row>
    <row r="62" spans="1:15" x14ac:dyDescent="0.3">
      <c r="A62" s="5" t="s">
        <v>140</v>
      </c>
      <c r="B62" s="6" t="s">
        <v>141</v>
      </c>
      <c r="C62" s="8" t="s">
        <v>105</v>
      </c>
      <c r="D62" s="15">
        <v>2516</v>
      </c>
      <c r="E62" s="8">
        <v>2</v>
      </c>
      <c r="F62" s="8">
        <v>1</v>
      </c>
      <c r="G62" s="8">
        <v>0.5</v>
      </c>
      <c r="H62" s="8">
        <v>1</v>
      </c>
      <c r="I62" s="8">
        <f t="shared" si="15"/>
        <v>1</v>
      </c>
      <c r="J62" s="8">
        <f t="shared" si="16"/>
        <v>2</v>
      </c>
      <c r="K62" s="8">
        <f t="shared" si="17"/>
        <v>3</v>
      </c>
      <c r="L62" s="8">
        <f t="shared" si="18"/>
        <v>5</v>
      </c>
      <c r="M62" s="49">
        <v>3</v>
      </c>
      <c r="N62" s="8">
        <v>0</v>
      </c>
      <c r="O62" s="55">
        <f t="shared" si="19"/>
        <v>2</v>
      </c>
    </row>
    <row r="63" spans="1:15" x14ac:dyDescent="0.3">
      <c r="A63" s="5" t="s">
        <v>144</v>
      </c>
      <c r="B63" s="6" t="s">
        <v>145</v>
      </c>
      <c r="C63" s="8" t="s">
        <v>105</v>
      </c>
      <c r="D63" s="15">
        <v>2817</v>
      </c>
      <c r="E63" s="8">
        <v>2</v>
      </c>
      <c r="F63" s="8">
        <v>1</v>
      </c>
      <c r="G63" s="8">
        <v>0.5</v>
      </c>
      <c r="H63" s="8">
        <v>1</v>
      </c>
      <c r="I63" s="8">
        <f t="shared" si="15"/>
        <v>1</v>
      </c>
      <c r="J63" s="8">
        <f t="shared" si="16"/>
        <v>2</v>
      </c>
      <c r="K63" s="8">
        <f t="shared" si="17"/>
        <v>3</v>
      </c>
      <c r="L63" s="8">
        <f t="shared" si="18"/>
        <v>5</v>
      </c>
      <c r="M63" s="49">
        <v>6</v>
      </c>
      <c r="N63" s="8">
        <v>1</v>
      </c>
      <c r="O63" s="55">
        <f t="shared" si="19"/>
        <v>0</v>
      </c>
    </row>
    <row r="64" spans="1:15" x14ac:dyDescent="0.3">
      <c r="A64" s="5" t="s">
        <v>148</v>
      </c>
      <c r="B64" s="6" t="s">
        <v>149</v>
      </c>
      <c r="C64" s="8" t="s">
        <v>105</v>
      </c>
      <c r="D64" s="15">
        <v>3285</v>
      </c>
      <c r="E64" s="8">
        <v>2</v>
      </c>
      <c r="F64" s="8">
        <v>1</v>
      </c>
      <c r="G64" s="8">
        <v>0.5</v>
      </c>
      <c r="H64" s="8">
        <v>1</v>
      </c>
      <c r="I64" s="8">
        <f t="shared" si="15"/>
        <v>1</v>
      </c>
      <c r="J64" s="8">
        <f t="shared" si="16"/>
        <v>2</v>
      </c>
      <c r="K64" s="8">
        <f t="shared" si="17"/>
        <v>3</v>
      </c>
      <c r="L64" s="8">
        <f t="shared" si="18"/>
        <v>5</v>
      </c>
      <c r="M64" s="49">
        <v>0</v>
      </c>
      <c r="N64" s="8">
        <v>2</v>
      </c>
      <c r="O64" s="55">
        <f t="shared" si="19"/>
        <v>3</v>
      </c>
    </row>
    <row r="65" spans="1:15" x14ac:dyDescent="0.3">
      <c r="A65" s="9" t="s">
        <v>150</v>
      </c>
      <c r="B65" s="6" t="s">
        <v>152</v>
      </c>
      <c r="C65" s="8" t="s">
        <v>105</v>
      </c>
      <c r="D65" s="15">
        <v>3285</v>
      </c>
      <c r="E65" s="8">
        <v>0</v>
      </c>
      <c r="F65" s="8">
        <v>1</v>
      </c>
      <c r="G65" s="8">
        <v>0.5</v>
      </c>
      <c r="H65" s="8">
        <v>1</v>
      </c>
      <c r="I65" s="8">
        <f t="shared" si="15"/>
        <v>0</v>
      </c>
      <c r="J65" s="8">
        <f t="shared" si="16"/>
        <v>0</v>
      </c>
      <c r="K65" s="8">
        <f t="shared" si="17"/>
        <v>0</v>
      </c>
      <c r="L65" s="8">
        <f t="shared" si="18"/>
        <v>0</v>
      </c>
      <c r="M65" s="49">
        <v>0</v>
      </c>
      <c r="N65" s="8">
        <v>0</v>
      </c>
      <c r="O65" s="55">
        <f t="shared" si="19"/>
        <v>0</v>
      </c>
    </row>
    <row r="66" spans="1:15" x14ac:dyDescent="0.3">
      <c r="A66" s="9" t="s">
        <v>3652</v>
      </c>
      <c r="B66" s="6" t="s">
        <v>5605</v>
      </c>
      <c r="C66" s="8" t="s">
        <v>105</v>
      </c>
      <c r="D66" s="15">
        <v>4386</v>
      </c>
      <c r="E66" s="8">
        <v>1</v>
      </c>
      <c r="F66" s="8">
        <v>1</v>
      </c>
      <c r="G66" s="8">
        <v>0.5</v>
      </c>
      <c r="H66" s="8">
        <v>1</v>
      </c>
      <c r="I66" s="8">
        <f t="shared" si="15"/>
        <v>1</v>
      </c>
      <c r="J66" s="8">
        <f t="shared" si="16"/>
        <v>1</v>
      </c>
      <c r="K66" s="8">
        <f t="shared" si="17"/>
        <v>2</v>
      </c>
      <c r="L66" s="8">
        <f t="shared" si="18"/>
        <v>3</v>
      </c>
      <c r="M66" s="49">
        <v>1</v>
      </c>
      <c r="N66" s="8">
        <v>0</v>
      </c>
      <c r="O66" s="55">
        <f t="shared" si="19"/>
        <v>2</v>
      </c>
    </row>
    <row r="67" spans="1:15" x14ac:dyDescent="0.3">
      <c r="A67" s="9" t="s">
        <v>159</v>
      </c>
      <c r="B67" s="6" t="s">
        <v>160</v>
      </c>
      <c r="C67" s="8" t="s">
        <v>105</v>
      </c>
      <c r="D67" s="15">
        <v>72.63</v>
      </c>
      <c r="E67" s="8">
        <v>33</v>
      </c>
      <c r="F67" s="8">
        <v>1</v>
      </c>
      <c r="G67" s="8">
        <v>0.5</v>
      </c>
      <c r="H67" s="8">
        <v>1</v>
      </c>
      <c r="I67" s="8">
        <f t="shared" si="15"/>
        <v>17</v>
      </c>
      <c r="J67" s="8">
        <f t="shared" si="16"/>
        <v>33</v>
      </c>
      <c r="K67" s="8">
        <f t="shared" si="17"/>
        <v>50</v>
      </c>
      <c r="L67" s="8">
        <f t="shared" si="18"/>
        <v>83</v>
      </c>
      <c r="M67" s="49">
        <v>28</v>
      </c>
      <c r="N67" s="8">
        <v>24</v>
      </c>
      <c r="O67" s="55">
        <f t="shared" si="19"/>
        <v>31</v>
      </c>
    </row>
    <row r="68" spans="1:15" x14ac:dyDescent="0.3">
      <c r="A68" s="5" t="s">
        <v>106</v>
      </c>
      <c r="B68" s="6" t="s">
        <v>107</v>
      </c>
      <c r="C68" s="8" t="s">
        <v>105</v>
      </c>
      <c r="D68" s="15">
        <v>794.72249999999997</v>
      </c>
      <c r="E68" s="8">
        <v>0</v>
      </c>
      <c r="F68" s="8">
        <v>1</v>
      </c>
      <c r="G68" s="8">
        <v>0.5</v>
      </c>
      <c r="H68" s="8">
        <v>1</v>
      </c>
      <c r="I68" s="8">
        <f t="shared" si="15"/>
        <v>0</v>
      </c>
      <c r="J68" s="8">
        <f t="shared" si="16"/>
        <v>0</v>
      </c>
      <c r="K68" s="8">
        <f t="shared" si="17"/>
        <v>0</v>
      </c>
      <c r="L68" s="8">
        <f t="shared" si="18"/>
        <v>0</v>
      </c>
      <c r="M68" s="49">
        <v>0</v>
      </c>
      <c r="N68" s="8">
        <v>0</v>
      </c>
      <c r="O68" s="55">
        <f t="shared" si="19"/>
        <v>0</v>
      </c>
    </row>
    <row r="69" spans="1:15" x14ac:dyDescent="0.3">
      <c r="A69" s="5" t="s">
        <v>110</v>
      </c>
      <c r="B69" s="6" t="s">
        <v>111</v>
      </c>
      <c r="C69" s="8" t="s">
        <v>105</v>
      </c>
      <c r="D69" s="15">
        <v>1061.5999999999999</v>
      </c>
      <c r="E69" s="8">
        <v>0</v>
      </c>
      <c r="F69" s="8">
        <v>1</v>
      </c>
      <c r="G69" s="8">
        <v>0.5</v>
      </c>
      <c r="H69" s="8">
        <v>1</v>
      </c>
      <c r="I69" s="8">
        <f t="shared" si="15"/>
        <v>0</v>
      </c>
      <c r="J69" s="8">
        <f t="shared" si="16"/>
        <v>0</v>
      </c>
      <c r="K69" s="8">
        <f t="shared" si="17"/>
        <v>0</v>
      </c>
      <c r="L69" s="8">
        <f t="shared" si="18"/>
        <v>0</v>
      </c>
      <c r="M69" s="49">
        <v>0</v>
      </c>
      <c r="N69" s="8">
        <v>0</v>
      </c>
      <c r="O69" s="55">
        <f t="shared" si="19"/>
        <v>0</v>
      </c>
    </row>
    <row r="70" spans="1:15" x14ac:dyDescent="0.3">
      <c r="A70" s="5" t="s">
        <v>114</v>
      </c>
      <c r="B70" s="6" t="s">
        <v>115</v>
      </c>
      <c r="C70" s="8" t="s">
        <v>105</v>
      </c>
      <c r="D70" s="15">
        <v>1120.3500000000001</v>
      </c>
      <c r="E70" s="8">
        <v>0</v>
      </c>
      <c r="F70" s="8">
        <v>1</v>
      </c>
      <c r="G70" s="8">
        <v>0.5</v>
      </c>
      <c r="H70" s="8">
        <v>1</v>
      </c>
      <c r="I70" s="8">
        <f t="shared" si="15"/>
        <v>0</v>
      </c>
      <c r="J70" s="8">
        <f t="shared" si="16"/>
        <v>0</v>
      </c>
      <c r="K70" s="8">
        <f t="shared" si="17"/>
        <v>0</v>
      </c>
      <c r="L70" s="8">
        <f t="shared" si="18"/>
        <v>0</v>
      </c>
      <c r="M70" s="49">
        <v>0</v>
      </c>
      <c r="N70" s="8">
        <v>0</v>
      </c>
      <c r="O70" s="55">
        <f t="shared" si="19"/>
        <v>0</v>
      </c>
    </row>
    <row r="71" spans="1:15" x14ac:dyDescent="0.3">
      <c r="A71" s="5" t="s">
        <v>118</v>
      </c>
      <c r="B71" s="6" t="s">
        <v>119</v>
      </c>
      <c r="C71" s="8" t="s">
        <v>105</v>
      </c>
      <c r="D71" s="15">
        <v>1269.75</v>
      </c>
      <c r="E71" s="8">
        <v>0</v>
      </c>
      <c r="F71" s="8">
        <v>1</v>
      </c>
      <c r="G71" s="8">
        <v>0.5</v>
      </c>
      <c r="H71" s="8">
        <v>1</v>
      </c>
      <c r="I71" s="8">
        <f t="shared" si="15"/>
        <v>0</v>
      </c>
      <c r="J71" s="8">
        <f t="shared" si="16"/>
        <v>0</v>
      </c>
      <c r="K71" s="8">
        <f t="shared" si="17"/>
        <v>0</v>
      </c>
      <c r="L71" s="8">
        <f t="shared" si="18"/>
        <v>0</v>
      </c>
      <c r="M71" s="49">
        <v>0</v>
      </c>
      <c r="N71" s="8">
        <v>0</v>
      </c>
      <c r="O71" s="55">
        <f t="shared" si="19"/>
        <v>0</v>
      </c>
    </row>
    <row r="72" spans="1:15" x14ac:dyDescent="0.3">
      <c r="A72" s="5" t="s">
        <v>122</v>
      </c>
      <c r="B72" s="6" t="s">
        <v>123</v>
      </c>
      <c r="C72" s="8" t="s">
        <v>105</v>
      </c>
      <c r="D72" s="15">
        <v>1450.84</v>
      </c>
      <c r="E72" s="8">
        <v>0</v>
      </c>
      <c r="F72" s="8">
        <v>1</v>
      </c>
      <c r="G72" s="8">
        <v>0.5</v>
      </c>
      <c r="H72" s="8">
        <v>1</v>
      </c>
      <c r="I72" s="8">
        <f t="shared" si="15"/>
        <v>0</v>
      </c>
      <c r="J72" s="8">
        <f t="shared" si="16"/>
        <v>0</v>
      </c>
      <c r="K72" s="8">
        <f t="shared" si="17"/>
        <v>0</v>
      </c>
      <c r="L72" s="8">
        <f t="shared" si="18"/>
        <v>0</v>
      </c>
      <c r="M72" s="49">
        <v>0</v>
      </c>
      <c r="N72" s="8">
        <v>0</v>
      </c>
      <c r="O72" s="55">
        <f t="shared" si="19"/>
        <v>0</v>
      </c>
    </row>
    <row r="73" spans="1:15" x14ac:dyDescent="0.3">
      <c r="A73" s="5" t="s">
        <v>126</v>
      </c>
      <c r="B73" s="6" t="s">
        <v>127</v>
      </c>
      <c r="C73" s="8" t="s">
        <v>105</v>
      </c>
      <c r="D73" s="15">
        <v>1515.7239999999999</v>
      </c>
      <c r="E73" s="8">
        <v>0</v>
      </c>
      <c r="F73" s="8">
        <v>1</v>
      </c>
      <c r="G73" s="8">
        <v>0.5</v>
      </c>
      <c r="H73" s="8">
        <v>1</v>
      </c>
      <c r="I73" s="8">
        <f t="shared" si="15"/>
        <v>0</v>
      </c>
      <c r="J73" s="8">
        <f t="shared" si="16"/>
        <v>0</v>
      </c>
      <c r="K73" s="8">
        <f t="shared" si="17"/>
        <v>0</v>
      </c>
      <c r="L73" s="8">
        <f t="shared" si="18"/>
        <v>0</v>
      </c>
      <c r="M73" s="49">
        <v>0</v>
      </c>
      <c r="N73" s="8">
        <v>0</v>
      </c>
      <c r="O73" s="55">
        <f t="shared" si="19"/>
        <v>0</v>
      </c>
    </row>
    <row r="74" spans="1:15" x14ac:dyDescent="0.3">
      <c r="A74" s="5" t="s">
        <v>130</v>
      </c>
      <c r="B74" s="6" t="s">
        <v>131</v>
      </c>
      <c r="C74" s="8" t="s">
        <v>105</v>
      </c>
      <c r="D74" s="15">
        <v>1688.4449999999999</v>
      </c>
      <c r="E74" s="8">
        <v>0</v>
      </c>
      <c r="F74" s="8">
        <v>1</v>
      </c>
      <c r="G74" s="8">
        <v>0.5</v>
      </c>
      <c r="H74" s="8">
        <v>1</v>
      </c>
      <c r="I74" s="8">
        <f t="shared" si="15"/>
        <v>0</v>
      </c>
      <c r="J74" s="8">
        <f t="shared" si="16"/>
        <v>0</v>
      </c>
      <c r="K74" s="8">
        <f t="shared" si="17"/>
        <v>0</v>
      </c>
      <c r="L74" s="8">
        <f t="shared" si="18"/>
        <v>0</v>
      </c>
      <c r="M74" s="49">
        <v>0</v>
      </c>
      <c r="N74" s="8">
        <v>0</v>
      </c>
      <c r="O74" s="55">
        <f t="shared" si="19"/>
        <v>0</v>
      </c>
    </row>
    <row r="75" spans="1:15" x14ac:dyDescent="0.3">
      <c r="A75" s="5" t="s">
        <v>134</v>
      </c>
      <c r="B75" s="6" t="s">
        <v>135</v>
      </c>
      <c r="C75" s="8" t="s">
        <v>105</v>
      </c>
      <c r="D75" s="15">
        <v>1987.1895</v>
      </c>
      <c r="E75" s="8">
        <v>0</v>
      </c>
      <c r="F75" s="8">
        <v>1</v>
      </c>
      <c r="G75" s="8">
        <v>0.5</v>
      </c>
      <c r="H75" s="8">
        <v>1</v>
      </c>
      <c r="I75" s="8">
        <f t="shared" si="15"/>
        <v>0</v>
      </c>
      <c r="J75" s="8">
        <f t="shared" si="16"/>
        <v>0</v>
      </c>
      <c r="K75" s="8">
        <f t="shared" si="17"/>
        <v>0</v>
      </c>
      <c r="L75" s="8">
        <f t="shared" si="18"/>
        <v>0</v>
      </c>
      <c r="M75" s="49">
        <v>0</v>
      </c>
      <c r="N75" s="8">
        <v>0</v>
      </c>
      <c r="O75" s="55">
        <f t="shared" si="19"/>
        <v>0</v>
      </c>
    </row>
    <row r="76" spans="1:15" x14ac:dyDescent="0.3">
      <c r="A76" s="5" t="s">
        <v>138</v>
      </c>
      <c r="B76" s="6" t="s">
        <v>139</v>
      </c>
      <c r="C76" s="8" t="s">
        <v>105</v>
      </c>
      <c r="D76" s="15">
        <v>1839.5650000000001</v>
      </c>
      <c r="E76" s="8">
        <v>0</v>
      </c>
      <c r="F76" s="8">
        <v>1</v>
      </c>
      <c r="G76" s="8">
        <v>0.5</v>
      </c>
      <c r="H76" s="8">
        <v>1</v>
      </c>
      <c r="I76" s="8">
        <f t="shared" si="15"/>
        <v>0</v>
      </c>
      <c r="J76" s="8">
        <f t="shared" si="16"/>
        <v>0</v>
      </c>
      <c r="K76" s="8">
        <f t="shared" si="17"/>
        <v>0</v>
      </c>
      <c r="L76" s="8">
        <f t="shared" si="18"/>
        <v>0</v>
      </c>
      <c r="M76" s="49">
        <v>0</v>
      </c>
      <c r="N76" s="8">
        <v>0</v>
      </c>
      <c r="O76" s="55">
        <f t="shared" si="19"/>
        <v>0</v>
      </c>
    </row>
    <row r="77" spans="1:15" x14ac:dyDescent="0.3">
      <c r="A77" s="5" t="s">
        <v>142</v>
      </c>
      <c r="B77" s="6" t="s">
        <v>143</v>
      </c>
      <c r="C77" s="8" t="s">
        <v>105</v>
      </c>
      <c r="D77" s="15">
        <v>2165.7215000000001</v>
      </c>
      <c r="E77" s="8">
        <v>0</v>
      </c>
      <c r="F77" s="8">
        <v>1</v>
      </c>
      <c r="G77" s="8">
        <v>0.5</v>
      </c>
      <c r="H77" s="8">
        <v>1</v>
      </c>
      <c r="I77" s="8">
        <f t="shared" si="15"/>
        <v>0</v>
      </c>
      <c r="J77" s="8">
        <f t="shared" si="16"/>
        <v>0</v>
      </c>
      <c r="K77" s="8">
        <f t="shared" si="17"/>
        <v>0</v>
      </c>
      <c r="L77" s="8">
        <f t="shared" si="18"/>
        <v>0</v>
      </c>
      <c r="M77" s="49">
        <v>0</v>
      </c>
      <c r="N77" s="8">
        <v>0</v>
      </c>
      <c r="O77" s="55">
        <f t="shared" si="19"/>
        <v>0</v>
      </c>
    </row>
    <row r="78" spans="1:15" x14ac:dyDescent="0.3">
      <c r="A78" s="5" t="s">
        <v>146</v>
      </c>
      <c r="B78" s="6" t="s">
        <v>147</v>
      </c>
      <c r="C78" s="8" t="s">
        <v>105</v>
      </c>
      <c r="D78" s="15">
        <v>2458.1999999999998</v>
      </c>
      <c r="E78" s="8">
        <v>0</v>
      </c>
      <c r="F78" s="8">
        <v>1</v>
      </c>
      <c r="G78" s="8">
        <v>0.5</v>
      </c>
      <c r="H78" s="8">
        <v>1</v>
      </c>
      <c r="I78" s="8">
        <f t="shared" si="15"/>
        <v>0</v>
      </c>
      <c r="J78" s="8">
        <f t="shared" si="16"/>
        <v>0</v>
      </c>
      <c r="K78" s="8">
        <f t="shared" si="17"/>
        <v>0</v>
      </c>
      <c r="L78" s="8">
        <f t="shared" si="18"/>
        <v>0</v>
      </c>
      <c r="M78" s="49">
        <v>0</v>
      </c>
      <c r="N78" s="8">
        <v>0</v>
      </c>
      <c r="O78" s="55">
        <f t="shared" si="19"/>
        <v>0</v>
      </c>
    </row>
    <row r="79" spans="1:15" x14ac:dyDescent="0.3">
      <c r="A79" s="5" t="s">
        <v>153</v>
      </c>
      <c r="B79" s="6" t="s">
        <v>154</v>
      </c>
      <c r="C79" s="8" t="s">
        <v>105</v>
      </c>
      <c r="D79" s="15">
        <v>2890.3199999999997</v>
      </c>
      <c r="E79" s="8">
        <v>0</v>
      </c>
      <c r="F79" s="8">
        <v>1</v>
      </c>
      <c r="G79" s="8">
        <v>0.5</v>
      </c>
      <c r="H79" s="8">
        <v>1</v>
      </c>
      <c r="I79" s="8">
        <f t="shared" si="15"/>
        <v>0</v>
      </c>
      <c r="J79" s="8">
        <f t="shared" si="16"/>
        <v>0</v>
      </c>
      <c r="K79" s="8">
        <f t="shared" si="17"/>
        <v>0</v>
      </c>
      <c r="L79" s="8">
        <f t="shared" si="18"/>
        <v>0</v>
      </c>
      <c r="M79" s="49">
        <v>0</v>
      </c>
      <c r="N79" s="8">
        <v>0</v>
      </c>
      <c r="O79" s="55">
        <f t="shared" si="19"/>
        <v>0</v>
      </c>
    </row>
    <row r="80" spans="1:15" x14ac:dyDescent="0.3">
      <c r="A80" s="9" t="s">
        <v>150</v>
      </c>
      <c r="B80" s="6" t="s">
        <v>151</v>
      </c>
      <c r="C80" s="8" t="s">
        <v>105</v>
      </c>
      <c r="D80" s="15">
        <v>2890.3199999999997</v>
      </c>
      <c r="E80" s="8">
        <v>0</v>
      </c>
      <c r="F80" s="8">
        <v>1</v>
      </c>
      <c r="G80" s="8">
        <v>0.5</v>
      </c>
      <c r="H80" s="8">
        <v>1</v>
      </c>
      <c r="I80" s="8">
        <f t="shared" ref="I80:I116" si="20">MROUND(E80*G80,1)</f>
        <v>0</v>
      </c>
      <c r="J80" s="8">
        <f t="shared" ref="J80:J116" si="21">MROUND(E80*F80,1)</f>
        <v>0</v>
      </c>
      <c r="K80" s="8">
        <f t="shared" ref="K80:K116" si="22">MROUND(I80+J80,1)</f>
        <v>0</v>
      </c>
      <c r="L80" s="8">
        <f t="shared" ref="L80:L116" si="23">MROUND(E80*(F80+G80+H80),1)</f>
        <v>0</v>
      </c>
      <c r="M80" s="49">
        <v>0</v>
      </c>
      <c r="N80" s="8">
        <v>0</v>
      </c>
      <c r="O80" s="55">
        <f t="shared" ref="O80:O116" si="24">IF(M80&lt;=K80,L80-M80-N80,0)</f>
        <v>0</v>
      </c>
    </row>
    <row r="81" spans="1:15" x14ac:dyDescent="0.3">
      <c r="A81" s="9" t="s">
        <v>157</v>
      </c>
      <c r="B81" s="6" t="s">
        <v>158</v>
      </c>
      <c r="C81" s="8" t="s">
        <v>105</v>
      </c>
      <c r="D81" s="15">
        <v>3357.35</v>
      </c>
      <c r="E81" s="8">
        <v>0</v>
      </c>
      <c r="F81" s="8">
        <v>1</v>
      </c>
      <c r="G81" s="8">
        <v>0.5</v>
      </c>
      <c r="H81" s="8">
        <v>1</v>
      </c>
      <c r="I81" s="8">
        <f t="shared" si="20"/>
        <v>0</v>
      </c>
      <c r="J81" s="8">
        <f t="shared" si="21"/>
        <v>0</v>
      </c>
      <c r="K81" s="8">
        <f t="shared" si="22"/>
        <v>0</v>
      </c>
      <c r="L81" s="8">
        <f t="shared" si="23"/>
        <v>0</v>
      </c>
      <c r="M81" s="49">
        <v>0</v>
      </c>
      <c r="N81" s="8">
        <v>0</v>
      </c>
      <c r="O81" s="55">
        <f t="shared" si="24"/>
        <v>0</v>
      </c>
    </row>
    <row r="82" spans="1:15" x14ac:dyDescent="0.3">
      <c r="A82" s="5" t="s">
        <v>161</v>
      </c>
      <c r="B82" s="6" t="s">
        <v>162</v>
      </c>
      <c r="C82" s="8" t="s">
        <v>163</v>
      </c>
      <c r="D82" s="15">
        <v>80</v>
      </c>
      <c r="E82" s="8">
        <v>24</v>
      </c>
      <c r="F82" s="8">
        <v>1</v>
      </c>
      <c r="G82" s="8">
        <v>0.5</v>
      </c>
      <c r="H82" s="8">
        <v>1</v>
      </c>
      <c r="I82" s="8">
        <f t="shared" si="20"/>
        <v>12</v>
      </c>
      <c r="J82" s="8">
        <f t="shared" si="21"/>
        <v>24</v>
      </c>
      <c r="K82" s="8">
        <f t="shared" si="22"/>
        <v>36</v>
      </c>
      <c r="L82" s="8">
        <f t="shared" si="23"/>
        <v>60</v>
      </c>
      <c r="M82" s="49">
        <v>36</v>
      </c>
      <c r="N82" s="8">
        <v>0</v>
      </c>
      <c r="O82" s="55">
        <f t="shared" si="24"/>
        <v>24</v>
      </c>
    </row>
    <row r="83" spans="1:15" x14ac:dyDescent="0.3">
      <c r="A83" s="5" t="s">
        <v>166</v>
      </c>
      <c r="B83" s="6" t="s">
        <v>167</v>
      </c>
      <c r="C83" s="8" t="s">
        <v>163</v>
      </c>
      <c r="D83" s="15">
        <v>85</v>
      </c>
      <c r="E83" s="8">
        <v>8</v>
      </c>
      <c r="F83" s="8">
        <v>1</v>
      </c>
      <c r="G83" s="8">
        <v>0.5</v>
      </c>
      <c r="H83" s="8">
        <v>1</v>
      </c>
      <c r="I83" s="8">
        <f t="shared" ref="I83:I89" si="25">MROUND(E83*G83,1)</f>
        <v>4</v>
      </c>
      <c r="J83" s="8">
        <f t="shared" ref="J83:J89" si="26">MROUND(E83*F83,1)</f>
        <v>8</v>
      </c>
      <c r="K83" s="8">
        <f t="shared" ref="K83:K89" si="27">MROUND(I83+J83,1)</f>
        <v>12</v>
      </c>
      <c r="L83" s="8">
        <f t="shared" ref="L83:L89" si="28">MROUND(E83*(F83+G83+H83),1)</f>
        <v>20</v>
      </c>
      <c r="M83" s="49">
        <v>34</v>
      </c>
      <c r="N83" s="8">
        <v>0</v>
      </c>
      <c r="O83" s="55">
        <f t="shared" ref="O83:O89" si="29">IF(M83&lt;=K83,L83-M83-N83,0)</f>
        <v>0</v>
      </c>
    </row>
    <row r="84" spans="1:15" x14ac:dyDescent="0.3">
      <c r="A84" s="5" t="s">
        <v>170</v>
      </c>
      <c r="B84" s="6" t="s">
        <v>171</v>
      </c>
      <c r="C84" s="8" t="s">
        <v>163</v>
      </c>
      <c r="D84" s="15">
        <v>100</v>
      </c>
      <c r="E84" s="8">
        <v>16</v>
      </c>
      <c r="F84" s="8">
        <v>1</v>
      </c>
      <c r="G84" s="8">
        <v>0.5</v>
      </c>
      <c r="H84" s="8">
        <v>1</v>
      </c>
      <c r="I84" s="8">
        <f t="shared" si="25"/>
        <v>8</v>
      </c>
      <c r="J84" s="8">
        <f t="shared" si="26"/>
        <v>16</v>
      </c>
      <c r="K84" s="8">
        <f t="shared" si="27"/>
        <v>24</v>
      </c>
      <c r="L84" s="8">
        <f t="shared" si="28"/>
        <v>40</v>
      </c>
      <c r="M84" s="49">
        <v>18</v>
      </c>
      <c r="N84" s="8">
        <v>0</v>
      </c>
      <c r="O84" s="55">
        <f t="shared" si="29"/>
        <v>22</v>
      </c>
    </row>
    <row r="85" spans="1:15" x14ac:dyDescent="0.3">
      <c r="A85" s="5" t="s">
        <v>176</v>
      </c>
      <c r="B85" s="6" t="s">
        <v>177</v>
      </c>
      <c r="C85" s="8" t="s">
        <v>163</v>
      </c>
      <c r="D85" s="15">
        <v>108</v>
      </c>
      <c r="E85" s="8">
        <v>10</v>
      </c>
      <c r="F85" s="8">
        <v>1</v>
      </c>
      <c r="G85" s="8">
        <v>0.5</v>
      </c>
      <c r="H85" s="8">
        <v>1</v>
      </c>
      <c r="I85" s="8">
        <f t="shared" si="25"/>
        <v>5</v>
      </c>
      <c r="J85" s="8">
        <f t="shared" si="26"/>
        <v>10</v>
      </c>
      <c r="K85" s="8">
        <f t="shared" si="27"/>
        <v>15</v>
      </c>
      <c r="L85" s="8">
        <f t="shared" si="28"/>
        <v>25</v>
      </c>
      <c r="M85" s="49">
        <v>23</v>
      </c>
      <c r="N85" s="8">
        <v>0</v>
      </c>
      <c r="O85" s="55">
        <f t="shared" si="29"/>
        <v>0</v>
      </c>
    </row>
    <row r="86" spans="1:15" x14ac:dyDescent="0.3">
      <c r="A86" s="5" t="s">
        <v>180</v>
      </c>
      <c r="B86" s="6" t="s">
        <v>181</v>
      </c>
      <c r="C86" s="8" t="s">
        <v>163</v>
      </c>
      <c r="D86" s="15">
        <v>114</v>
      </c>
      <c r="E86" s="8">
        <v>12</v>
      </c>
      <c r="F86" s="8">
        <v>1</v>
      </c>
      <c r="G86" s="8">
        <v>0.5</v>
      </c>
      <c r="H86" s="8">
        <v>1</v>
      </c>
      <c r="I86" s="8">
        <f t="shared" si="25"/>
        <v>6</v>
      </c>
      <c r="J86" s="8">
        <f t="shared" si="26"/>
        <v>12</v>
      </c>
      <c r="K86" s="8">
        <f t="shared" si="27"/>
        <v>18</v>
      </c>
      <c r="L86" s="8">
        <f t="shared" si="28"/>
        <v>30</v>
      </c>
      <c r="M86" s="49">
        <v>12</v>
      </c>
      <c r="N86" s="8">
        <v>0</v>
      </c>
      <c r="O86" s="55">
        <f t="shared" si="29"/>
        <v>18</v>
      </c>
    </row>
    <row r="87" spans="1:15" x14ac:dyDescent="0.3">
      <c r="A87" s="5" t="s">
        <v>184</v>
      </c>
      <c r="B87" s="6" t="s">
        <v>185</v>
      </c>
      <c r="C87" s="8" t="s">
        <v>163</v>
      </c>
      <c r="D87" s="15">
        <v>128</v>
      </c>
      <c r="E87" s="8">
        <v>6</v>
      </c>
      <c r="F87" s="8">
        <v>1</v>
      </c>
      <c r="G87" s="8">
        <v>0.5</v>
      </c>
      <c r="H87" s="8">
        <v>1</v>
      </c>
      <c r="I87" s="8">
        <f t="shared" si="25"/>
        <v>3</v>
      </c>
      <c r="J87" s="8">
        <f t="shared" si="26"/>
        <v>6</v>
      </c>
      <c r="K87" s="8">
        <f t="shared" si="27"/>
        <v>9</v>
      </c>
      <c r="L87" s="8">
        <f t="shared" si="28"/>
        <v>15</v>
      </c>
      <c r="M87" s="49">
        <v>29</v>
      </c>
      <c r="N87" s="8">
        <v>0</v>
      </c>
      <c r="O87" s="55">
        <f t="shared" si="29"/>
        <v>0</v>
      </c>
    </row>
    <row r="88" spans="1:15" x14ac:dyDescent="0.3">
      <c r="A88" s="5" t="s">
        <v>188</v>
      </c>
      <c r="B88" s="6" t="s">
        <v>189</v>
      </c>
      <c r="C88" s="8" t="s">
        <v>163</v>
      </c>
      <c r="D88" s="15">
        <v>165.5</v>
      </c>
      <c r="E88" s="8">
        <v>4</v>
      </c>
      <c r="F88" s="8">
        <v>1</v>
      </c>
      <c r="G88" s="8">
        <v>0.5</v>
      </c>
      <c r="H88" s="8">
        <v>1</v>
      </c>
      <c r="I88" s="8">
        <f t="shared" si="25"/>
        <v>2</v>
      </c>
      <c r="J88" s="8">
        <f t="shared" si="26"/>
        <v>4</v>
      </c>
      <c r="K88" s="8">
        <f t="shared" si="27"/>
        <v>6</v>
      </c>
      <c r="L88" s="8">
        <f t="shared" si="28"/>
        <v>10</v>
      </c>
      <c r="M88" s="49">
        <v>18</v>
      </c>
      <c r="N88" s="8">
        <v>0</v>
      </c>
      <c r="O88" s="55">
        <f t="shared" si="29"/>
        <v>0</v>
      </c>
    </row>
    <row r="89" spans="1:15" x14ac:dyDescent="0.3">
      <c r="A89" s="5" t="s">
        <v>192</v>
      </c>
      <c r="B89" s="6" t="s">
        <v>193</v>
      </c>
      <c r="C89" s="8" t="s">
        <v>163</v>
      </c>
      <c r="D89" s="15">
        <v>403.65000000000003</v>
      </c>
      <c r="E89" s="8">
        <v>2</v>
      </c>
      <c r="F89" s="8">
        <v>1</v>
      </c>
      <c r="G89" s="8">
        <v>0.5</v>
      </c>
      <c r="H89" s="8">
        <v>1</v>
      </c>
      <c r="I89" s="8">
        <f t="shared" si="25"/>
        <v>1</v>
      </c>
      <c r="J89" s="8">
        <f t="shared" si="26"/>
        <v>2</v>
      </c>
      <c r="K89" s="8">
        <f t="shared" si="27"/>
        <v>3</v>
      </c>
      <c r="L89" s="8">
        <f t="shared" si="28"/>
        <v>5</v>
      </c>
      <c r="M89" s="49">
        <v>2</v>
      </c>
      <c r="N89" s="8">
        <v>0</v>
      </c>
      <c r="O89" s="55">
        <f t="shared" si="29"/>
        <v>3</v>
      </c>
    </row>
    <row r="90" spans="1:15" x14ac:dyDescent="0.3">
      <c r="A90" s="5" t="s">
        <v>164</v>
      </c>
      <c r="B90" s="6" t="s">
        <v>165</v>
      </c>
      <c r="C90" s="8" t="s">
        <v>163</v>
      </c>
      <c r="D90" s="15">
        <v>80</v>
      </c>
      <c r="E90" s="8">
        <v>24</v>
      </c>
      <c r="F90" s="8">
        <v>1</v>
      </c>
      <c r="G90" s="8">
        <v>0.5</v>
      </c>
      <c r="H90" s="8">
        <v>1</v>
      </c>
      <c r="I90" s="8">
        <f t="shared" si="20"/>
        <v>12</v>
      </c>
      <c r="J90" s="8">
        <f t="shared" si="21"/>
        <v>24</v>
      </c>
      <c r="K90" s="8">
        <f t="shared" si="22"/>
        <v>36</v>
      </c>
      <c r="L90" s="8">
        <f t="shared" si="23"/>
        <v>60</v>
      </c>
      <c r="M90" s="49">
        <v>64</v>
      </c>
      <c r="N90" s="8">
        <v>0</v>
      </c>
      <c r="O90" s="55">
        <f t="shared" si="24"/>
        <v>0</v>
      </c>
    </row>
    <row r="91" spans="1:15" x14ac:dyDescent="0.3">
      <c r="A91" s="5" t="s">
        <v>168</v>
      </c>
      <c r="B91" s="6" t="s">
        <v>169</v>
      </c>
      <c r="C91" s="8" t="s">
        <v>163</v>
      </c>
      <c r="D91" s="15">
        <v>85</v>
      </c>
      <c r="E91" s="8">
        <v>8</v>
      </c>
      <c r="F91" s="8">
        <v>1</v>
      </c>
      <c r="G91" s="8">
        <v>0.5</v>
      </c>
      <c r="H91" s="8">
        <v>1</v>
      </c>
      <c r="I91" s="8">
        <f t="shared" si="20"/>
        <v>4</v>
      </c>
      <c r="J91" s="8">
        <f t="shared" si="21"/>
        <v>8</v>
      </c>
      <c r="K91" s="8">
        <f t="shared" si="22"/>
        <v>12</v>
      </c>
      <c r="L91" s="8">
        <f t="shared" si="23"/>
        <v>20</v>
      </c>
      <c r="M91" s="49">
        <v>84</v>
      </c>
      <c r="N91" s="8">
        <v>0</v>
      </c>
      <c r="O91" s="55">
        <f t="shared" si="24"/>
        <v>0</v>
      </c>
    </row>
    <row r="92" spans="1:15" x14ac:dyDescent="0.3">
      <c r="A92" s="5" t="s">
        <v>172</v>
      </c>
      <c r="B92" s="6" t="s">
        <v>173</v>
      </c>
      <c r="C92" s="8" t="s">
        <v>163</v>
      </c>
      <c r="D92" s="15">
        <v>100</v>
      </c>
      <c r="E92" s="8">
        <v>16</v>
      </c>
      <c r="F92" s="8">
        <v>1</v>
      </c>
      <c r="G92" s="8">
        <v>0.5</v>
      </c>
      <c r="H92" s="8">
        <v>1</v>
      </c>
      <c r="I92" s="8">
        <f t="shared" si="20"/>
        <v>8</v>
      </c>
      <c r="J92" s="8">
        <f t="shared" si="21"/>
        <v>16</v>
      </c>
      <c r="K92" s="8">
        <f t="shared" si="22"/>
        <v>24</v>
      </c>
      <c r="L92" s="8">
        <f t="shared" si="23"/>
        <v>40</v>
      </c>
      <c r="M92" s="49">
        <v>17</v>
      </c>
      <c r="N92" s="8">
        <v>0</v>
      </c>
      <c r="O92" s="55">
        <f t="shared" si="24"/>
        <v>23</v>
      </c>
    </row>
    <row r="93" spans="1:15" x14ac:dyDescent="0.3">
      <c r="A93" s="5" t="s">
        <v>174</v>
      </c>
      <c r="B93" s="6" t="s">
        <v>175</v>
      </c>
      <c r="C93" s="8" t="s">
        <v>163</v>
      </c>
      <c r="D93" s="15">
        <v>108</v>
      </c>
      <c r="E93" s="8">
        <v>0</v>
      </c>
      <c r="F93" s="8">
        <v>1</v>
      </c>
      <c r="G93" s="8">
        <v>0.5</v>
      </c>
      <c r="H93" s="8">
        <v>1</v>
      </c>
      <c r="I93" s="8">
        <f t="shared" si="20"/>
        <v>0</v>
      </c>
      <c r="J93" s="8">
        <f t="shared" si="21"/>
        <v>0</v>
      </c>
      <c r="K93" s="8">
        <f t="shared" si="22"/>
        <v>0</v>
      </c>
      <c r="L93" s="8">
        <f t="shared" si="23"/>
        <v>0</v>
      </c>
      <c r="M93" s="49">
        <v>4</v>
      </c>
      <c r="N93" s="8">
        <v>0</v>
      </c>
      <c r="O93" s="55">
        <f t="shared" si="24"/>
        <v>0</v>
      </c>
    </row>
    <row r="94" spans="1:15" x14ac:dyDescent="0.3">
      <c r="A94" s="5" t="s">
        <v>178</v>
      </c>
      <c r="B94" s="6" t="s">
        <v>179</v>
      </c>
      <c r="C94" s="8" t="s">
        <v>163</v>
      </c>
      <c r="D94" s="15">
        <v>108</v>
      </c>
      <c r="E94" s="8">
        <v>10</v>
      </c>
      <c r="F94" s="8">
        <v>1</v>
      </c>
      <c r="G94" s="8">
        <v>0.5</v>
      </c>
      <c r="H94" s="8">
        <v>1</v>
      </c>
      <c r="I94" s="8">
        <f t="shared" si="20"/>
        <v>5</v>
      </c>
      <c r="J94" s="8">
        <f t="shared" si="21"/>
        <v>10</v>
      </c>
      <c r="K94" s="8">
        <f t="shared" si="22"/>
        <v>15</v>
      </c>
      <c r="L94" s="8">
        <f t="shared" si="23"/>
        <v>25</v>
      </c>
      <c r="M94" s="49">
        <v>8</v>
      </c>
      <c r="N94" s="8">
        <v>0</v>
      </c>
      <c r="O94" s="55">
        <f t="shared" si="24"/>
        <v>17</v>
      </c>
    </row>
    <row r="95" spans="1:15" x14ac:dyDescent="0.3">
      <c r="A95" s="5" t="s">
        <v>182</v>
      </c>
      <c r="B95" s="6" t="s">
        <v>183</v>
      </c>
      <c r="C95" s="8" t="s">
        <v>163</v>
      </c>
      <c r="D95" s="15">
        <v>114</v>
      </c>
      <c r="E95" s="8">
        <v>12</v>
      </c>
      <c r="F95" s="8">
        <v>1</v>
      </c>
      <c r="G95" s="8">
        <v>0.5</v>
      </c>
      <c r="H95" s="8">
        <v>1</v>
      </c>
      <c r="I95" s="8">
        <f t="shared" si="20"/>
        <v>6</v>
      </c>
      <c r="J95" s="8">
        <f t="shared" si="21"/>
        <v>12</v>
      </c>
      <c r="K95" s="8">
        <f t="shared" si="22"/>
        <v>18</v>
      </c>
      <c r="L95" s="8">
        <f t="shared" si="23"/>
        <v>30</v>
      </c>
      <c r="M95" s="49">
        <v>15</v>
      </c>
      <c r="N95" s="8">
        <v>0</v>
      </c>
      <c r="O95" s="55">
        <f t="shared" si="24"/>
        <v>15</v>
      </c>
    </row>
    <row r="96" spans="1:15" x14ac:dyDescent="0.3">
      <c r="A96" s="5" t="s">
        <v>186</v>
      </c>
      <c r="B96" s="6" t="s">
        <v>187</v>
      </c>
      <c r="C96" s="8" t="s">
        <v>163</v>
      </c>
      <c r="D96" s="15">
        <v>128</v>
      </c>
      <c r="E96" s="8">
        <v>6</v>
      </c>
      <c r="F96" s="8">
        <v>1</v>
      </c>
      <c r="G96" s="8">
        <v>0.5</v>
      </c>
      <c r="H96" s="8">
        <v>1</v>
      </c>
      <c r="I96" s="8">
        <f t="shared" si="20"/>
        <v>3</v>
      </c>
      <c r="J96" s="8">
        <f t="shared" si="21"/>
        <v>6</v>
      </c>
      <c r="K96" s="8">
        <f t="shared" si="22"/>
        <v>9</v>
      </c>
      <c r="L96" s="8">
        <f t="shared" si="23"/>
        <v>15</v>
      </c>
      <c r="M96" s="49">
        <v>13</v>
      </c>
      <c r="N96" s="8">
        <v>0</v>
      </c>
      <c r="O96" s="55">
        <f t="shared" si="24"/>
        <v>0</v>
      </c>
    </row>
    <row r="97" spans="1:15" x14ac:dyDescent="0.3">
      <c r="A97" s="5" t="s">
        <v>190</v>
      </c>
      <c r="B97" s="6" t="s">
        <v>191</v>
      </c>
      <c r="C97" s="8" t="s">
        <v>163</v>
      </c>
      <c r="D97" s="15">
        <v>165.5</v>
      </c>
      <c r="E97" s="8">
        <v>4</v>
      </c>
      <c r="F97" s="8">
        <v>1</v>
      </c>
      <c r="G97" s="8">
        <v>0.5</v>
      </c>
      <c r="H97" s="8">
        <v>1</v>
      </c>
      <c r="I97" s="8">
        <f t="shared" si="20"/>
        <v>2</v>
      </c>
      <c r="J97" s="8">
        <f t="shared" si="21"/>
        <v>4</v>
      </c>
      <c r="K97" s="8">
        <f t="shared" si="22"/>
        <v>6</v>
      </c>
      <c r="L97" s="8">
        <f t="shared" si="23"/>
        <v>10</v>
      </c>
      <c r="M97" s="49">
        <v>14</v>
      </c>
      <c r="N97" s="8">
        <v>0</v>
      </c>
      <c r="O97" s="55">
        <f t="shared" si="24"/>
        <v>0</v>
      </c>
    </row>
    <row r="98" spans="1:15" x14ac:dyDescent="0.3">
      <c r="A98" s="5" t="s">
        <v>194</v>
      </c>
      <c r="B98" s="6" t="s">
        <v>195</v>
      </c>
      <c r="C98" s="8" t="s">
        <v>196</v>
      </c>
      <c r="D98" s="15">
        <v>44.29</v>
      </c>
      <c r="E98" s="8">
        <v>75</v>
      </c>
      <c r="F98" s="8">
        <v>1</v>
      </c>
      <c r="G98" s="8">
        <v>0.5</v>
      </c>
      <c r="H98" s="8">
        <v>1</v>
      </c>
      <c r="I98" s="8">
        <f t="shared" si="20"/>
        <v>38</v>
      </c>
      <c r="J98" s="8">
        <f t="shared" si="21"/>
        <v>75</v>
      </c>
      <c r="K98" s="8">
        <f t="shared" si="22"/>
        <v>113</v>
      </c>
      <c r="L98" s="8">
        <f t="shared" si="23"/>
        <v>188</v>
      </c>
      <c r="M98" s="49">
        <v>52</v>
      </c>
      <c r="N98" s="8">
        <v>0</v>
      </c>
      <c r="O98" s="55">
        <f>MROUND(IF(M98&lt;=K98,L98-M98-N98,0),50)</f>
        <v>150</v>
      </c>
    </row>
    <row r="99" spans="1:15" x14ac:dyDescent="0.3">
      <c r="A99" s="5" t="s">
        <v>197</v>
      </c>
      <c r="B99" s="6" t="s">
        <v>198</v>
      </c>
      <c r="C99" s="8" t="s">
        <v>196</v>
      </c>
      <c r="D99" s="15">
        <v>58.37</v>
      </c>
      <c r="E99" s="8">
        <v>65</v>
      </c>
      <c r="F99" s="8">
        <v>1</v>
      </c>
      <c r="G99" s="8">
        <v>0.5</v>
      </c>
      <c r="H99" s="8">
        <v>1</v>
      </c>
      <c r="I99" s="8">
        <f t="shared" si="20"/>
        <v>33</v>
      </c>
      <c r="J99" s="8">
        <f t="shared" si="21"/>
        <v>65</v>
      </c>
      <c r="K99" s="8">
        <f t="shared" si="22"/>
        <v>98</v>
      </c>
      <c r="L99" s="8">
        <f t="shared" si="23"/>
        <v>163</v>
      </c>
      <c r="M99" s="49">
        <v>32</v>
      </c>
      <c r="N99" s="8">
        <v>0</v>
      </c>
      <c r="O99" s="55">
        <f>MROUND(IF(M99&lt;=K99,L99-M99-N99,0),50)</f>
        <v>150</v>
      </c>
    </row>
    <row r="100" spans="1:15" x14ac:dyDescent="0.3">
      <c r="A100" s="5" t="s">
        <v>199</v>
      </c>
      <c r="B100" s="6" t="s">
        <v>200</v>
      </c>
      <c r="C100" s="8" t="s">
        <v>201</v>
      </c>
      <c r="D100" s="15">
        <v>235</v>
      </c>
      <c r="E100" s="8">
        <v>20</v>
      </c>
      <c r="F100" s="8">
        <v>1</v>
      </c>
      <c r="G100" s="8">
        <v>0.5</v>
      </c>
      <c r="H100" s="8">
        <v>1</v>
      </c>
      <c r="I100" s="8">
        <f t="shared" si="20"/>
        <v>10</v>
      </c>
      <c r="J100" s="8">
        <f t="shared" si="21"/>
        <v>20</v>
      </c>
      <c r="K100" s="8">
        <f t="shared" si="22"/>
        <v>30</v>
      </c>
      <c r="L100" s="8">
        <f t="shared" si="23"/>
        <v>50</v>
      </c>
      <c r="M100" s="49">
        <v>35</v>
      </c>
      <c r="N100" s="8">
        <v>0</v>
      </c>
      <c r="O100" s="55">
        <f t="shared" si="24"/>
        <v>0</v>
      </c>
    </row>
    <row r="101" spans="1:15" x14ac:dyDescent="0.3">
      <c r="A101" s="5" t="s">
        <v>202</v>
      </c>
      <c r="B101" s="6" t="s">
        <v>203</v>
      </c>
      <c r="C101" s="8" t="s">
        <v>201</v>
      </c>
      <c r="D101" s="15">
        <v>270</v>
      </c>
      <c r="E101" s="8">
        <v>10</v>
      </c>
      <c r="F101" s="8">
        <v>1</v>
      </c>
      <c r="G101" s="8">
        <v>0.5</v>
      </c>
      <c r="H101" s="8">
        <v>1</v>
      </c>
      <c r="I101" s="8">
        <f t="shared" si="20"/>
        <v>5</v>
      </c>
      <c r="J101" s="8">
        <f t="shared" si="21"/>
        <v>10</v>
      </c>
      <c r="K101" s="8">
        <f t="shared" si="22"/>
        <v>15</v>
      </c>
      <c r="L101" s="8">
        <f t="shared" si="23"/>
        <v>25</v>
      </c>
      <c r="M101" s="49">
        <v>4</v>
      </c>
      <c r="N101" s="8">
        <v>0</v>
      </c>
      <c r="O101" s="55">
        <f t="shared" si="24"/>
        <v>21</v>
      </c>
    </row>
    <row r="102" spans="1:15" x14ac:dyDescent="0.3">
      <c r="A102" s="5" t="s">
        <v>204</v>
      </c>
      <c r="B102" s="6" t="s">
        <v>205</v>
      </c>
      <c r="C102" s="8" t="s">
        <v>201</v>
      </c>
      <c r="D102" s="15">
        <v>270</v>
      </c>
      <c r="E102" s="8">
        <v>6</v>
      </c>
      <c r="F102" s="8">
        <v>1</v>
      </c>
      <c r="G102" s="8">
        <v>0.5</v>
      </c>
      <c r="H102" s="8">
        <v>1</v>
      </c>
      <c r="I102" s="8">
        <f t="shared" si="20"/>
        <v>3</v>
      </c>
      <c r="J102" s="8">
        <f t="shared" si="21"/>
        <v>6</v>
      </c>
      <c r="K102" s="8">
        <f t="shared" si="22"/>
        <v>9</v>
      </c>
      <c r="L102" s="8">
        <f t="shared" si="23"/>
        <v>15</v>
      </c>
      <c r="M102" s="49">
        <v>10</v>
      </c>
      <c r="N102" s="8">
        <v>0</v>
      </c>
      <c r="O102" s="55">
        <f t="shared" si="24"/>
        <v>0</v>
      </c>
    </row>
    <row r="103" spans="1:15" x14ac:dyDescent="0.3">
      <c r="A103" s="5" t="s">
        <v>206</v>
      </c>
      <c r="B103" s="6" t="s">
        <v>207</v>
      </c>
      <c r="C103" s="8" t="s">
        <v>201</v>
      </c>
      <c r="D103" s="15">
        <v>270</v>
      </c>
      <c r="E103" s="8">
        <v>6</v>
      </c>
      <c r="F103" s="8">
        <v>1</v>
      </c>
      <c r="G103" s="8">
        <v>0.5</v>
      </c>
      <c r="H103" s="8">
        <v>1</v>
      </c>
      <c r="I103" s="8">
        <f t="shared" si="20"/>
        <v>3</v>
      </c>
      <c r="J103" s="8">
        <f t="shared" si="21"/>
        <v>6</v>
      </c>
      <c r="K103" s="8">
        <f t="shared" si="22"/>
        <v>9</v>
      </c>
      <c r="L103" s="8">
        <f t="shared" si="23"/>
        <v>15</v>
      </c>
      <c r="M103" s="49">
        <v>10</v>
      </c>
      <c r="N103" s="8">
        <v>0</v>
      </c>
      <c r="O103" s="55">
        <f t="shared" si="24"/>
        <v>0</v>
      </c>
    </row>
    <row r="104" spans="1:15" x14ac:dyDescent="0.3">
      <c r="A104" s="5" t="s">
        <v>208</v>
      </c>
      <c r="B104" s="6" t="s">
        <v>209</v>
      </c>
      <c r="C104" s="8" t="s">
        <v>201</v>
      </c>
      <c r="D104" s="15">
        <v>270</v>
      </c>
      <c r="E104" s="8">
        <v>6</v>
      </c>
      <c r="F104" s="8">
        <v>1</v>
      </c>
      <c r="G104" s="8">
        <v>0.5</v>
      </c>
      <c r="H104" s="8">
        <v>1</v>
      </c>
      <c r="I104" s="8">
        <f t="shared" si="20"/>
        <v>3</v>
      </c>
      <c r="J104" s="8">
        <f t="shared" si="21"/>
        <v>6</v>
      </c>
      <c r="K104" s="8">
        <f t="shared" si="22"/>
        <v>9</v>
      </c>
      <c r="L104" s="8">
        <f t="shared" si="23"/>
        <v>15</v>
      </c>
      <c r="M104" s="49">
        <v>17</v>
      </c>
      <c r="N104" s="8">
        <v>0</v>
      </c>
      <c r="O104" s="55">
        <f t="shared" si="24"/>
        <v>0</v>
      </c>
    </row>
    <row r="105" spans="1:15" x14ac:dyDescent="0.3">
      <c r="A105" s="5" t="s">
        <v>210</v>
      </c>
      <c r="B105" s="6" t="s">
        <v>211</v>
      </c>
      <c r="C105" s="8" t="s">
        <v>201</v>
      </c>
      <c r="D105" s="15">
        <v>297</v>
      </c>
      <c r="E105" s="8">
        <v>4</v>
      </c>
      <c r="F105" s="8">
        <v>1</v>
      </c>
      <c r="G105" s="8">
        <v>0.5</v>
      </c>
      <c r="H105" s="8">
        <v>1</v>
      </c>
      <c r="I105" s="8">
        <f t="shared" si="20"/>
        <v>2</v>
      </c>
      <c r="J105" s="8">
        <f t="shared" si="21"/>
        <v>4</v>
      </c>
      <c r="K105" s="8">
        <f t="shared" si="22"/>
        <v>6</v>
      </c>
      <c r="L105" s="8">
        <f t="shared" si="23"/>
        <v>10</v>
      </c>
      <c r="M105" s="49">
        <v>30</v>
      </c>
      <c r="N105" s="8">
        <v>0</v>
      </c>
      <c r="O105" s="55">
        <f t="shared" si="24"/>
        <v>0</v>
      </c>
    </row>
    <row r="106" spans="1:15" x14ac:dyDescent="0.3">
      <c r="A106" s="5" t="s">
        <v>212</v>
      </c>
      <c r="B106" s="6" t="s">
        <v>213</v>
      </c>
      <c r="C106" s="8" t="s">
        <v>201</v>
      </c>
      <c r="D106" s="15">
        <v>384</v>
      </c>
      <c r="E106" s="8">
        <v>0.2</v>
      </c>
      <c r="F106" s="8">
        <v>1</v>
      </c>
      <c r="G106" s="8">
        <v>0.5</v>
      </c>
      <c r="H106" s="8">
        <v>1</v>
      </c>
      <c r="I106" s="8">
        <f t="shared" si="20"/>
        <v>0</v>
      </c>
      <c r="J106" s="8">
        <f t="shared" si="21"/>
        <v>0</v>
      </c>
      <c r="K106" s="8">
        <f t="shared" si="22"/>
        <v>0</v>
      </c>
      <c r="L106" s="8">
        <f t="shared" si="23"/>
        <v>1</v>
      </c>
      <c r="M106" s="49">
        <v>0</v>
      </c>
      <c r="N106" s="8">
        <v>0</v>
      </c>
      <c r="O106" s="55">
        <f t="shared" si="24"/>
        <v>1</v>
      </c>
    </row>
    <row r="107" spans="1:15" x14ac:dyDescent="0.3">
      <c r="A107" s="5" t="s">
        <v>214</v>
      </c>
      <c r="B107" s="6" t="s">
        <v>215</v>
      </c>
      <c r="C107" s="8" t="s">
        <v>201</v>
      </c>
      <c r="D107" s="15">
        <v>384</v>
      </c>
      <c r="E107" s="8">
        <v>2</v>
      </c>
      <c r="F107" s="8">
        <v>1</v>
      </c>
      <c r="G107" s="8">
        <v>0.5</v>
      </c>
      <c r="H107" s="8">
        <v>1</v>
      </c>
      <c r="I107" s="8">
        <f t="shared" si="20"/>
        <v>1</v>
      </c>
      <c r="J107" s="8">
        <f t="shared" si="21"/>
        <v>2</v>
      </c>
      <c r="K107" s="8">
        <f t="shared" si="22"/>
        <v>3</v>
      </c>
      <c r="L107" s="8">
        <f t="shared" si="23"/>
        <v>5</v>
      </c>
      <c r="M107" s="49">
        <v>17</v>
      </c>
      <c r="N107" s="8">
        <v>0</v>
      </c>
      <c r="O107" s="55">
        <f t="shared" si="24"/>
        <v>0</v>
      </c>
    </row>
    <row r="108" spans="1:15" x14ac:dyDescent="0.3">
      <c r="A108" s="5" t="s">
        <v>216</v>
      </c>
      <c r="B108" s="6" t="s">
        <v>217</v>
      </c>
      <c r="C108" s="8" t="s">
        <v>201</v>
      </c>
      <c r="D108" s="15">
        <v>384</v>
      </c>
      <c r="E108" s="8">
        <v>1</v>
      </c>
      <c r="F108" s="8">
        <v>1</v>
      </c>
      <c r="G108" s="8">
        <v>0.5</v>
      </c>
      <c r="H108" s="8">
        <v>1</v>
      </c>
      <c r="I108" s="8">
        <f t="shared" si="20"/>
        <v>1</v>
      </c>
      <c r="J108" s="8">
        <f t="shared" si="21"/>
        <v>1</v>
      </c>
      <c r="K108" s="8">
        <f t="shared" si="22"/>
        <v>2</v>
      </c>
      <c r="L108" s="8">
        <f t="shared" si="23"/>
        <v>3</v>
      </c>
      <c r="M108" s="49">
        <v>7</v>
      </c>
      <c r="N108" s="8">
        <v>0</v>
      </c>
      <c r="O108" s="55">
        <f t="shared" si="24"/>
        <v>0</v>
      </c>
    </row>
    <row r="109" spans="1:15" x14ac:dyDescent="0.3">
      <c r="A109" s="5" t="s">
        <v>218</v>
      </c>
      <c r="B109" s="6" t="s">
        <v>219</v>
      </c>
      <c r="C109" s="8" t="s">
        <v>201</v>
      </c>
      <c r="D109" s="15">
        <v>384</v>
      </c>
      <c r="E109" s="8">
        <v>0.3</v>
      </c>
      <c r="F109" s="8">
        <v>1</v>
      </c>
      <c r="G109" s="8">
        <v>0.5</v>
      </c>
      <c r="H109" s="8">
        <v>1</v>
      </c>
      <c r="I109" s="8">
        <f t="shared" si="20"/>
        <v>0</v>
      </c>
      <c r="J109" s="8">
        <f t="shared" si="21"/>
        <v>0</v>
      </c>
      <c r="K109" s="8">
        <f t="shared" si="22"/>
        <v>0</v>
      </c>
      <c r="L109" s="8">
        <f t="shared" si="23"/>
        <v>1</v>
      </c>
      <c r="M109" s="49">
        <v>0</v>
      </c>
      <c r="N109" s="8">
        <v>0</v>
      </c>
      <c r="O109" s="55">
        <f t="shared" si="24"/>
        <v>1</v>
      </c>
    </row>
    <row r="110" spans="1:15" x14ac:dyDescent="0.3">
      <c r="A110" s="5" t="s">
        <v>220</v>
      </c>
      <c r="B110" s="6" t="s">
        <v>221</v>
      </c>
      <c r="C110" s="8" t="s">
        <v>201</v>
      </c>
      <c r="D110" s="15">
        <v>384</v>
      </c>
      <c r="E110" s="8">
        <v>0.3</v>
      </c>
      <c r="F110" s="8">
        <v>1</v>
      </c>
      <c r="G110" s="8">
        <v>0.5</v>
      </c>
      <c r="H110" s="8">
        <v>1</v>
      </c>
      <c r="I110" s="8">
        <f t="shared" si="20"/>
        <v>0</v>
      </c>
      <c r="J110" s="8">
        <f t="shared" si="21"/>
        <v>0</v>
      </c>
      <c r="K110" s="8">
        <f t="shared" si="22"/>
        <v>0</v>
      </c>
      <c r="L110" s="8">
        <f t="shared" si="23"/>
        <v>1</v>
      </c>
      <c r="M110" s="49">
        <v>6</v>
      </c>
      <c r="N110" s="8">
        <v>0</v>
      </c>
      <c r="O110" s="55">
        <f t="shared" si="24"/>
        <v>0</v>
      </c>
    </row>
    <row r="111" spans="1:15" x14ac:dyDescent="0.3">
      <c r="A111" s="5" t="s">
        <v>222</v>
      </c>
      <c r="B111" s="6" t="s">
        <v>223</v>
      </c>
      <c r="C111" s="8" t="s">
        <v>201</v>
      </c>
      <c r="D111" s="15">
        <v>85</v>
      </c>
      <c r="E111" s="8">
        <v>90</v>
      </c>
      <c r="F111" s="8">
        <v>1</v>
      </c>
      <c r="G111" s="8">
        <v>0.5</v>
      </c>
      <c r="H111" s="8">
        <v>1</v>
      </c>
      <c r="I111" s="8">
        <f t="shared" si="20"/>
        <v>45</v>
      </c>
      <c r="J111" s="8">
        <f t="shared" si="21"/>
        <v>90</v>
      </c>
      <c r="K111" s="8">
        <f t="shared" si="22"/>
        <v>135</v>
      </c>
      <c r="L111" s="8">
        <f t="shared" si="23"/>
        <v>225</v>
      </c>
      <c r="M111" s="49">
        <v>122</v>
      </c>
      <c r="N111" s="8">
        <v>0</v>
      </c>
      <c r="O111" s="55">
        <f t="shared" si="24"/>
        <v>103</v>
      </c>
    </row>
    <row r="112" spans="1:15" x14ac:dyDescent="0.3">
      <c r="A112" s="5" t="s">
        <v>224</v>
      </c>
      <c r="B112" s="6" t="s">
        <v>225</v>
      </c>
      <c r="C112" s="8" t="s">
        <v>201</v>
      </c>
      <c r="D112" s="15">
        <v>11</v>
      </c>
      <c r="E112" s="8">
        <v>16</v>
      </c>
      <c r="F112" s="8">
        <v>1</v>
      </c>
      <c r="G112" s="8">
        <v>0.5</v>
      </c>
      <c r="H112" s="8">
        <v>1</v>
      </c>
      <c r="I112" s="8">
        <f t="shared" si="20"/>
        <v>8</v>
      </c>
      <c r="J112" s="8">
        <f t="shared" si="21"/>
        <v>16</v>
      </c>
      <c r="K112" s="8">
        <f t="shared" si="22"/>
        <v>24</v>
      </c>
      <c r="L112" s="8">
        <f t="shared" si="23"/>
        <v>40</v>
      </c>
      <c r="M112" s="49">
        <v>68</v>
      </c>
      <c r="N112" s="8">
        <v>0</v>
      </c>
      <c r="O112" s="55">
        <f t="shared" si="24"/>
        <v>0</v>
      </c>
    </row>
    <row r="113" spans="1:15" x14ac:dyDescent="0.3">
      <c r="A113" s="6" t="s">
        <v>226</v>
      </c>
      <c r="B113" s="6" t="s">
        <v>227</v>
      </c>
      <c r="C113" s="8" t="s">
        <v>201</v>
      </c>
      <c r="D113" s="15">
        <v>4.5999999999999996</v>
      </c>
      <c r="E113" s="8">
        <v>30</v>
      </c>
      <c r="F113" s="8">
        <v>1</v>
      </c>
      <c r="G113" s="8">
        <v>0.5</v>
      </c>
      <c r="H113" s="8">
        <v>1</v>
      </c>
      <c r="I113" s="8">
        <f t="shared" si="20"/>
        <v>15</v>
      </c>
      <c r="J113" s="8">
        <f t="shared" si="21"/>
        <v>30</v>
      </c>
      <c r="K113" s="8">
        <f t="shared" si="22"/>
        <v>45</v>
      </c>
      <c r="L113" s="8">
        <f t="shared" si="23"/>
        <v>75</v>
      </c>
      <c r="M113" s="49">
        <v>54</v>
      </c>
      <c r="N113" s="8">
        <v>0</v>
      </c>
      <c r="O113" s="55">
        <f t="shared" si="24"/>
        <v>0</v>
      </c>
    </row>
    <row r="114" spans="1:15" x14ac:dyDescent="0.3">
      <c r="A114" s="6" t="s">
        <v>228</v>
      </c>
      <c r="B114" s="6" t="s">
        <v>229</v>
      </c>
      <c r="C114" s="8" t="s">
        <v>201</v>
      </c>
      <c r="D114" s="15">
        <v>4.8499999999999996</v>
      </c>
      <c r="E114" s="8">
        <v>20</v>
      </c>
      <c r="F114" s="8">
        <v>1</v>
      </c>
      <c r="G114" s="8">
        <v>0.5</v>
      </c>
      <c r="H114" s="8">
        <v>1</v>
      </c>
      <c r="I114" s="8">
        <f t="shared" si="20"/>
        <v>10</v>
      </c>
      <c r="J114" s="8">
        <f t="shared" si="21"/>
        <v>20</v>
      </c>
      <c r="K114" s="8">
        <f t="shared" si="22"/>
        <v>30</v>
      </c>
      <c r="L114" s="8">
        <f t="shared" si="23"/>
        <v>50</v>
      </c>
      <c r="M114" s="49">
        <v>92</v>
      </c>
      <c r="N114" s="8">
        <v>0</v>
      </c>
      <c r="O114" s="55">
        <f t="shared" si="24"/>
        <v>0</v>
      </c>
    </row>
    <row r="115" spans="1:15" x14ac:dyDescent="0.3">
      <c r="A115" s="5" t="s">
        <v>230</v>
      </c>
      <c r="B115" s="6" t="s">
        <v>231</v>
      </c>
      <c r="C115" s="8" t="s">
        <v>201</v>
      </c>
      <c r="D115" s="15">
        <v>42</v>
      </c>
      <c r="E115" s="8">
        <v>60</v>
      </c>
      <c r="F115" s="8">
        <v>1</v>
      </c>
      <c r="G115" s="8">
        <v>0.5</v>
      </c>
      <c r="H115" s="8">
        <v>1</v>
      </c>
      <c r="I115" s="8">
        <f t="shared" si="20"/>
        <v>30</v>
      </c>
      <c r="J115" s="8">
        <f t="shared" si="21"/>
        <v>60</v>
      </c>
      <c r="K115" s="8">
        <f t="shared" si="22"/>
        <v>90</v>
      </c>
      <c r="L115" s="8">
        <f t="shared" si="23"/>
        <v>150</v>
      </c>
      <c r="M115" s="49">
        <v>127</v>
      </c>
      <c r="N115" s="8">
        <v>0</v>
      </c>
      <c r="O115" s="55">
        <f t="shared" si="24"/>
        <v>0</v>
      </c>
    </row>
    <row r="116" spans="1:15" x14ac:dyDescent="0.3">
      <c r="A116" s="5" t="s">
        <v>232</v>
      </c>
      <c r="B116" s="6" t="s">
        <v>233</v>
      </c>
      <c r="C116" s="8" t="s">
        <v>201</v>
      </c>
      <c r="D116" s="15">
        <v>11</v>
      </c>
      <c r="E116" s="8">
        <v>16</v>
      </c>
      <c r="F116" s="8">
        <v>1</v>
      </c>
      <c r="G116" s="8">
        <v>0.5</v>
      </c>
      <c r="H116" s="8">
        <v>1</v>
      </c>
      <c r="I116" s="8">
        <f t="shared" si="20"/>
        <v>8</v>
      </c>
      <c r="J116" s="8">
        <f t="shared" si="21"/>
        <v>16</v>
      </c>
      <c r="K116" s="8">
        <f t="shared" si="22"/>
        <v>24</v>
      </c>
      <c r="L116" s="8">
        <f t="shared" si="23"/>
        <v>40</v>
      </c>
      <c r="M116" s="49">
        <v>92</v>
      </c>
      <c r="N116" s="8">
        <v>0</v>
      </c>
      <c r="O116" s="55">
        <f t="shared" si="24"/>
        <v>0</v>
      </c>
    </row>
    <row r="117" spans="1:15" x14ac:dyDescent="0.3">
      <c r="A117" s="5" t="s">
        <v>239</v>
      </c>
      <c r="B117" s="6" t="s">
        <v>240</v>
      </c>
      <c r="C117" s="8" t="s">
        <v>236</v>
      </c>
      <c r="D117" s="15">
        <v>141.608115942029</v>
      </c>
      <c r="E117" s="8">
        <v>6</v>
      </c>
      <c r="F117" s="8">
        <v>1</v>
      </c>
      <c r="G117" s="8">
        <v>0.5</v>
      </c>
      <c r="H117" s="8">
        <v>1</v>
      </c>
      <c r="I117" s="8">
        <f t="shared" ref="I117:I134" si="30">MROUND(E117*G117,1)</f>
        <v>3</v>
      </c>
      <c r="J117" s="8">
        <f t="shared" ref="J117:J134" si="31">MROUND(E117*F117,1)</f>
        <v>6</v>
      </c>
      <c r="K117" s="8">
        <f t="shared" ref="K117:K134" si="32">MROUND(I117+J117,1)</f>
        <v>9</v>
      </c>
      <c r="L117" s="8">
        <f t="shared" ref="L117:L134" si="33">MROUND(E117*(F117+G117+H117),1)</f>
        <v>15</v>
      </c>
      <c r="M117" s="49">
        <v>12</v>
      </c>
      <c r="N117" s="8">
        <v>0</v>
      </c>
      <c r="O117" s="55">
        <f t="shared" ref="O117:O134" si="34">IF(M117&lt;=K117,L117-M117-N117,0)</f>
        <v>0</v>
      </c>
    </row>
    <row r="118" spans="1:15" x14ac:dyDescent="0.3">
      <c r="A118" s="5" t="s">
        <v>243</v>
      </c>
      <c r="B118" s="6" t="s">
        <v>244</v>
      </c>
      <c r="C118" s="8" t="s">
        <v>236</v>
      </c>
      <c r="D118" s="15">
        <v>144.44811594202901</v>
      </c>
      <c r="E118" s="8">
        <v>6</v>
      </c>
      <c r="F118" s="8">
        <v>1</v>
      </c>
      <c r="G118" s="8">
        <v>0.5</v>
      </c>
      <c r="H118" s="8">
        <v>1</v>
      </c>
      <c r="I118" s="8">
        <f t="shared" si="30"/>
        <v>3</v>
      </c>
      <c r="J118" s="8">
        <f t="shared" si="31"/>
        <v>6</v>
      </c>
      <c r="K118" s="8">
        <f t="shared" si="32"/>
        <v>9</v>
      </c>
      <c r="L118" s="8">
        <f t="shared" si="33"/>
        <v>15</v>
      </c>
      <c r="M118" s="49">
        <v>10</v>
      </c>
      <c r="N118" s="8">
        <v>0</v>
      </c>
      <c r="O118" s="55">
        <f t="shared" si="34"/>
        <v>0</v>
      </c>
    </row>
    <row r="119" spans="1:15" x14ac:dyDescent="0.3">
      <c r="A119" s="5" t="s">
        <v>247</v>
      </c>
      <c r="B119" s="6" t="s">
        <v>248</v>
      </c>
      <c r="C119" s="8" t="s">
        <v>236</v>
      </c>
      <c r="D119" s="15">
        <v>159.84811594202901</v>
      </c>
      <c r="E119" s="8">
        <v>2</v>
      </c>
      <c r="F119" s="8">
        <v>1</v>
      </c>
      <c r="G119" s="8">
        <v>0.5</v>
      </c>
      <c r="H119" s="8">
        <v>1</v>
      </c>
      <c r="I119" s="8">
        <f t="shared" si="30"/>
        <v>1</v>
      </c>
      <c r="J119" s="8">
        <f t="shared" si="31"/>
        <v>2</v>
      </c>
      <c r="K119" s="8">
        <f t="shared" si="32"/>
        <v>3</v>
      </c>
      <c r="L119" s="8">
        <f t="shared" si="33"/>
        <v>5</v>
      </c>
      <c r="M119" s="49">
        <v>13</v>
      </c>
      <c r="N119" s="8">
        <v>0</v>
      </c>
      <c r="O119" s="55">
        <f t="shared" si="34"/>
        <v>0</v>
      </c>
    </row>
    <row r="120" spans="1:15" x14ac:dyDescent="0.3">
      <c r="A120" s="5" t="s">
        <v>251</v>
      </c>
      <c r="B120" s="6" t="s">
        <v>252</v>
      </c>
      <c r="C120" s="8" t="s">
        <v>236</v>
      </c>
      <c r="D120" s="15">
        <v>169.40811594202899</v>
      </c>
      <c r="E120" s="8">
        <f>40*0.05</f>
        <v>2</v>
      </c>
      <c r="F120" s="8">
        <v>1</v>
      </c>
      <c r="G120" s="8">
        <v>0.5</v>
      </c>
      <c r="H120" s="8">
        <v>1</v>
      </c>
      <c r="I120" s="8">
        <f t="shared" si="30"/>
        <v>1</v>
      </c>
      <c r="J120" s="8">
        <f t="shared" si="31"/>
        <v>2</v>
      </c>
      <c r="K120" s="8">
        <f t="shared" si="32"/>
        <v>3</v>
      </c>
      <c r="L120" s="8">
        <f t="shared" si="33"/>
        <v>5</v>
      </c>
      <c r="M120" s="49">
        <v>20</v>
      </c>
      <c r="N120" s="8">
        <v>0</v>
      </c>
      <c r="O120" s="55">
        <f t="shared" si="34"/>
        <v>0</v>
      </c>
    </row>
    <row r="121" spans="1:15" x14ac:dyDescent="0.3">
      <c r="A121" s="5" t="s">
        <v>255</v>
      </c>
      <c r="B121" s="6" t="s">
        <v>256</v>
      </c>
      <c r="C121" s="8" t="s">
        <v>236</v>
      </c>
      <c r="D121" s="15">
        <v>181.12811594202901</v>
      </c>
      <c r="E121" s="8">
        <v>2</v>
      </c>
      <c r="F121" s="8">
        <v>1</v>
      </c>
      <c r="G121" s="8">
        <v>0.5</v>
      </c>
      <c r="H121" s="8">
        <v>1</v>
      </c>
      <c r="I121" s="8">
        <f t="shared" si="30"/>
        <v>1</v>
      </c>
      <c r="J121" s="8">
        <f t="shared" si="31"/>
        <v>2</v>
      </c>
      <c r="K121" s="8">
        <f t="shared" si="32"/>
        <v>3</v>
      </c>
      <c r="L121" s="8">
        <f t="shared" si="33"/>
        <v>5</v>
      </c>
      <c r="M121" s="49">
        <v>36</v>
      </c>
      <c r="N121" s="8">
        <v>4</v>
      </c>
      <c r="O121" s="55">
        <f t="shared" si="34"/>
        <v>0</v>
      </c>
    </row>
    <row r="122" spans="1:15" x14ac:dyDescent="0.3">
      <c r="A122" s="5" t="s">
        <v>259</v>
      </c>
      <c r="B122" s="6" t="s">
        <v>260</v>
      </c>
      <c r="C122" s="8" t="s">
        <v>236</v>
      </c>
      <c r="D122" s="15">
        <v>212.608115942029</v>
      </c>
      <c r="E122" s="8">
        <v>2</v>
      </c>
      <c r="F122" s="8">
        <v>1</v>
      </c>
      <c r="G122" s="8">
        <v>0.5</v>
      </c>
      <c r="H122" s="8">
        <v>1</v>
      </c>
      <c r="I122" s="8">
        <f t="shared" si="30"/>
        <v>1</v>
      </c>
      <c r="J122" s="8">
        <f t="shared" si="31"/>
        <v>2</v>
      </c>
      <c r="K122" s="8">
        <f t="shared" si="32"/>
        <v>3</v>
      </c>
      <c r="L122" s="8">
        <f t="shared" si="33"/>
        <v>5</v>
      </c>
      <c r="M122" s="49">
        <v>46</v>
      </c>
      <c r="N122" s="8">
        <v>5</v>
      </c>
      <c r="O122" s="55">
        <f t="shared" si="34"/>
        <v>0</v>
      </c>
    </row>
    <row r="123" spans="1:15" x14ac:dyDescent="0.3">
      <c r="A123" s="5" t="s">
        <v>263</v>
      </c>
      <c r="B123" s="6" t="s">
        <v>264</v>
      </c>
      <c r="C123" s="8" t="s">
        <v>236</v>
      </c>
      <c r="D123" s="15">
        <v>228.84811594202901</v>
      </c>
      <c r="E123" s="8">
        <v>2</v>
      </c>
      <c r="F123" s="8">
        <v>1</v>
      </c>
      <c r="G123" s="8">
        <v>0.5</v>
      </c>
      <c r="H123" s="8">
        <v>1</v>
      </c>
      <c r="I123" s="8">
        <f t="shared" si="30"/>
        <v>1</v>
      </c>
      <c r="J123" s="8">
        <f t="shared" si="31"/>
        <v>2</v>
      </c>
      <c r="K123" s="8">
        <f t="shared" si="32"/>
        <v>3</v>
      </c>
      <c r="L123" s="8">
        <f t="shared" si="33"/>
        <v>5</v>
      </c>
      <c r="M123" s="49">
        <v>36</v>
      </c>
      <c r="N123" s="8">
        <v>6</v>
      </c>
      <c r="O123" s="55">
        <f t="shared" si="34"/>
        <v>0</v>
      </c>
    </row>
    <row r="124" spans="1:15" x14ac:dyDescent="0.3">
      <c r="A124" s="5" t="s">
        <v>267</v>
      </c>
      <c r="B124" s="6" t="s">
        <v>268</v>
      </c>
      <c r="C124" s="8" t="s">
        <v>236</v>
      </c>
      <c r="D124" s="15">
        <v>247.00811594202901</v>
      </c>
      <c r="E124" s="8">
        <v>2</v>
      </c>
      <c r="F124" s="8">
        <v>1</v>
      </c>
      <c r="G124" s="8">
        <v>0.5</v>
      </c>
      <c r="H124" s="8">
        <v>1</v>
      </c>
      <c r="I124" s="8">
        <f t="shared" si="30"/>
        <v>1</v>
      </c>
      <c r="J124" s="8">
        <f t="shared" si="31"/>
        <v>2</v>
      </c>
      <c r="K124" s="8">
        <f t="shared" si="32"/>
        <v>3</v>
      </c>
      <c r="L124" s="8">
        <f t="shared" si="33"/>
        <v>5</v>
      </c>
      <c r="M124" s="49">
        <v>3</v>
      </c>
      <c r="N124" s="8">
        <v>4</v>
      </c>
      <c r="O124" s="55">
        <f t="shared" si="34"/>
        <v>-2</v>
      </c>
    </row>
    <row r="125" spans="1:15" x14ac:dyDescent="0.3">
      <c r="A125" s="5" t="s">
        <v>234</v>
      </c>
      <c r="B125" s="6" t="s">
        <v>235</v>
      </c>
      <c r="C125" s="8" t="s">
        <v>236</v>
      </c>
      <c r="D125" s="15">
        <v>264.68811594202896</v>
      </c>
      <c r="E125" s="8">
        <v>2</v>
      </c>
      <c r="F125" s="8">
        <v>1</v>
      </c>
      <c r="G125" s="8">
        <v>0.5</v>
      </c>
      <c r="H125" s="8">
        <v>1</v>
      </c>
      <c r="I125" s="8">
        <f t="shared" si="30"/>
        <v>1</v>
      </c>
      <c r="J125" s="8">
        <f t="shared" si="31"/>
        <v>2</v>
      </c>
      <c r="K125" s="8">
        <f t="shared" si="32"/>
        <v>3</v>
      </c>
      <c r="L125" s="8">
        <f t="shared" si="33"/>
        <v>5</v>
      </c>
      <c r="M125" s="49">
        <v>3</v>
      </c>
      <c r="N125" s="8">
        <v>0</v>
      </c>
      <c r="O125" s="55">
        <f t="shared" si="34"/>
        <v>2</v>
      </c>
    </row>
    <row r="126" spans="1:15" x14ac:dyDescent="0.3">
      <c r="A126" s="5" t="s">
        <v>269</v>
      </c>
      <c r="B126" s="6" t="s">
        <v>270</v>
      </c>
      <c r="C126" s="8" t="s">
        <v>236</v>
      </c>
      <c r="D126" s="15">
        <v>300</v>
      </c>
      <c r="E126" s="8">
        <v>0</v>
      </c>
      <c r="F126" s="8">
        <v>1</v>
      </c>
      <c r="G126" s="8">
        <v>0.5</v>
      </c>
      <c r="H126" s="8">
        <v>1</v>
      </c>
      <c r="I126" s="8">
        <f t="shared" si="30"/>
        <v>0</v>
      </c>
      <c r="J126" s="8">
        <f t="shared" si="31"/>
        <v>0</v>
      </c>
      <c r="K126" s="8">
        <f t="shared" si="32"/>
        <v>0</v>
      </c>
      <c r="L126" s="8">
        <f t="shared" si="33"/>
        <v>0</v>
      </c>
      <c r="M126" s="49">
        <v>1</v>
      </c>
      <c r="N126" s="8">
        <v>0</v>
      </c>
      <c r="O126" s="55">
        <f t="shared" si="34"/>
        <v>0</v>
      </c>
    </row>
    <row r="127" spans="1:15" x14ac:dyDescent="0.3">
      <c r="A127" s="5" t="s">
        <v>237</v>
      </c>
      <c r="B127" s="6" t="s">
        <v>238</v>
      </c>
      <c r="C127" s="8" t="s">
        <v>236</v>
      </c>
      <c r="D127" s="15">
        <v>311</v>
      </c>
      <c r="E127" s="8">
        <v>0</v>
      </c>
      <c r="F127" s="8">
        <v>1</v>
      </c>
      <c r="G127" s="8">
        <v>0.5</v>
      </c>
      <c r="H127" s="8">
        <v>1</v>
      </c>
      <c r="I127" s="8">
        <f t="shared" si="30"/>
        <v>0</v>
      </c>
      <c r="J127" s="8">
        <f t="shared" si="31"/>
        <v>0</v>
      </c>
      <c r="K127" s="8">
        <f t="shared" si="32"/>
        <v>0</v>
      </c>
      <c r="L127" s="8">
        <f t="shared" si="33"/>
        <v>0</v>
      </c>
      <c r="M127" s="49">
        <v>1</v>
      </c>
      <c r="N127" s="8">
        <v>0</v>
      </c>
      <c r="O127" s="55">
        <f t="shared" si="34"/>
        <v>0</v>
      </c>
    </row>
    <row r="128" spans="1:15" x14ac:dyDescent="0.3">
      <c r="A128" s="5" t="s">
        <v>241</v>
      </c>
      <c r="B128" s="6" t="s">
        <v>242</v>
      </c>
      <c r="C128" s="8" t="s">
        <v>236</v>
      </c>
      <c r="D128" s="15">
        <v>31.96</v>
      </c>
      <c r="E128" s="8">
        <v>0</v>
      </c>
      <c r="F128" s="8">
        <v>1</v>
      </c>
      <c r="G128" s="8">
        <v>0.5</v>
      </c>
      <c r="H128" s="8">
        <v>1</v>
      </c>
      <c r="I128" s="8">
        <f t="shared" si="30"/>
        <v>0</v>
      </c>
      <c r="J128" s="8">
        <f t="shared" si="31"/>
        <v>0</v>
      </c>
      <c r="K128" s="8">
        <f t="shared" si="32"/>
        <v>0</v>
      </c>
      <c r="L128" s="8">
        <f t="shared" si="33"/>
        <v>0</v>
      </c>
      <c r="M128" s="49">
        <v>0</v>
      </c>
      <c r="N128" s="8">
        <v>0</v>
      </c>
      <c r="O128" s="55">
        <f t="shared" si="34"/>
        <v>0</v>
      </c>
    </row>
    <row r="129" spans="1:15" x14ac:dyDescent="0.3">
      <c r="A129" s="5" t="s">
        <v>245</v>
      </c>
      <c r="B129" s="6" t="s">
        <v>246</v>
      </c>
      <c r="C129" s="8" t="s">
        <v>236</v>
      </c>
      <c r="D129" s="15">
        <v>32.67</v>
      </c>
      <c r="E129" s="8">
        <v>0</v>
      </c>
      <c r="F129" s="8">
        <v>1</v>
      </c>
      <c r="G129" s="8">
        <v>0.5</v>
      </c>
      <c r="H129" s="8">
        <v>1</v>
      </c>
      <c r="I129" s="8">
        <f t="shared" si="30"/>
        <v>0</v>
      </c>
      <c r="J129" s="8">
        <f t="shared" si="31"/>
        <v>0</v>
      </c>
      <c r="K129" s="8">
        <f t="shared" si="32"/>
        <v>0</v>
      </c>
      <c r="L129" s="8">
        <f t="shared" si="33"/>
        <v>0</v>
      </c>
      <c r="M129" s="49">
        <v>0</v>
      </c>
      <c r="N129" s="8">
        <v>0</v>
      </c>
      <c r="O129" s="55">
        <f t="shared" si="34"/>
        <v>0</v>
      </c>
    </row>
    <row r="130" spans="1:15" x14ac:dyDescent="0.3">
      <c r="A130" s="5" t="s">
        <v>249</v>
      </c>
      <c r="B130" s="6" t="s">
        <v>250</v>
      </c>
      <c r="C130" s="8" t="s">
        <v>236</v>
      </c>
      <c r="D130" s="15">
        <v>36.520000000000003</v>
      </c>
      <c r="E130" s="8">
        <v>0</v>
      </c>
      <c r="F130" s="8">
        <v>1</v>
      </c>
      <c r="G130" s="8">
        <v>0.5</v>
      </c>
      <c r="H130" s="8">
        <v>1</v>
      </c>
      <c r="I130" s="8">
        <f t="shared" si="30"/>
        <v>0</v>
      </c>
      <c r="J130" s="8">
        <f t="shared" si="31"/>
        <v>0</v>
      </c>
      <c r="K130" s="8">
        <f t="shared" si="32"/>
        <v>0</v>
      </c>
      <c r="L130" s="8">
        <f t="shared" si="33"/>
        <v>0</v>
      </c>
      <c r="M130" s="49">
        <v>0</v>
      </c>
      <c r="N130" s="8">
        <v>0</v>
      </c>
      <c r="O130" s="55">
        <f t="shared" si="34"/>
        <v>0</v>
      </c>
    </row>
    <row r="131" spans="1:15" x14ac:dyDescent="0.3">
      <c r="A131" s="5" t="s">
        <v>253</v>
      </c>
      <c r="B131" s="6" t="s">
        <v>254</v>
      </c>
      <c r="C131" s="8" t="s">
        <v>236</v>
      </c>
      <c r="D131" s="15">
        <v>38.909999999999997</v>
      </c>
      <c r="E131" s="8">
        <v>0</v>
      </c>
      <c r="F131" s="8">
        <v>1</v>
      </c>
      <c r="G131" s="8">
        <v>0.5</v>
      </c>
      <c r="H131" s="8">
        <v>1</v>
      </c>
      <c r="I131" s="8">
        <f t="shared" si="30"/>
        <v>0</v>
      </c>
      <c r="J131" s="8">
        <f t="shared" si="31"/>
        <v>0</v>
      </c>
      <c r="K131" s="8">
        <f t="shared" si="32"/>
        <v>0</v>
      </c>
      <c r="L131" s="8">
        <f t="shared" si="33"/>
        <v>0</v>
      </c>
      <c r="M131" s="49">
        <v>0</v>
      </c>
      <c r="N131" s="8">
        <v>0</v>
      </c>
      <c r="O131" s="55">
        <f t="shared" si="34"/>
        <v>0</v>
      </c>
    </row>
    <row r="132" spans="1:15" x14ac:dyDescent="0.3">
      <c r="A132" s="5" t="s">
        <v>257</v>
      </c>
      <c r="B132" s="6" t="s">
        <v>258</v>
      </c>
      <c r="C132" s="8" t="s">
        <v>236</v>
      </c>
      <c r="D132" s="15">
        <v>41.84</v>
      </c>
      <c r="E132" s="8">
        <v>0</v>
      </c>
      <c r="F132" s="8">
        <v>1</v>
      </c>
      <c r="G132" s="8">
        <v>0.5</v>
      </c>
      <c r="H132" s="8">
        <v>1</v>
      </c>
      <c r="I132" s="8">
        <f t="shared" si="30"/>
        <v>0</v>
      </c>
      <c r="J132" s="8">
        <f t="shared" si="31"/>
        <v>0</v>
      </c>
      <c r="K132" s="8">
        <f t="shared" si="32"/>
        <v>0</v>
      </c>
      <c r="L132" s="8">
        <f t="shared" si="33"/>
        <v>0</v>
      </c>
      <c r="M132" s="49">
        <v>0</v>
      </c>
      <c r="N132" s="8">
        <v>0</v>
      </c>
      <c r="O132" s="55">
        <f t="shared" si="34"/>
        <v>0</v>
      </c>
    </row>
    <row r="133" spans="1:15" x14ac:dyDescent="0.3">
      <c r="A133" s="5" t="s">
        <v>261</v>
      </c>
      <c r="B133" s="6" t="s">
        <v>262</v>
      </c>
      <c r="C133" s="8" t="s">
        <v>236</v>
      </c>
      <c r="D133" s="15">
        <v>49.71</v>
      </c>
      <c r="E133" s="8">
        <v>0</v>
      </c>
      <c r="F133" s="8">
        <v>1</v>
      </c>
      <c r="G133" s="8">
        <v>0.5</v>
      </c>
      <c r="H133" s="8">
        <v>1</v>
      </c>
      <c r="I133" s="8">
        <f t="shared" si="30"/>
        <v>0</v>
      </c>
      <c r="J133" s="8">
        <f t="shared" si="31"/>
        <v>0</v>
      </c>
      <c r="K133" s="8">
        <f t="shared" si="32"/>
        <v>0</v>
      </c>
      <c r="L133" s="8">
        <f t="shared" si="33"/>
        <v>0</v>
      </c>
      <c r="M133" s="49">
        <v>0</v>
      </c>
      <c r="N133" s="8">
        <v>0</v>
      </c>
      <c r="O133" s="55">
        <f t="shared" si="34"/>
        <v>0</v>
      </c>
    </row>
    <row r="134" spans="1:15" x14ac:dyDescent="0.3">
      <c r="A134" s="5" t="s">
        <v>265</v>
      </c>
      <c r="B134" s="6" t="s">
        <v>266</v>
      </c>
      <c r="C134" s="8" t="s">
        <v>236</v>
      </c>
      <c r="D134" s="15">
        <v>53.77</v>
      </c>
      <c r="E134" s="8">
        <v>0</v>
      </c>
      <c r="F134" s="8">
        <v>1</v>
      </c>
      <c r="G134" s="8">
        <v>0.5</v>
      </c>
      <c r="H134" s="8">
        <v>1</v>
      </c>
      <c r="I134" s="8">
        <f t="shared" si="30"/>
        <v>0</v>
      </c>
      <c r="J134" s="8">
        <f t="shared" si="31"/>
        <v>0</v>
      </c>
      <c r="K134" s="8">
        <f t="shared" si="32"/>
        <v>0</v>
      </c>
      <c r="L134" s="8">
        <f t="shared" si="33"/>
        <v>0</v>
      </c>
      <c r="M134" s="49">
        <v>0</v>
      </c>
      <c r="N134" s="8">
        <v>0</v>
      </c>
      <c r="O134" s="55">
        <f t="shared" si="34"/>
        <v>0</v>
      </c>
    </row>
    <row r="135" spans="1:15" x14ac:dyDescent="0.3">
      <c r="A135" s="5" t="s">
        <v>271</v>
      </c>
      <c r="B135" s="6" t="s">
        <v>272</v>
      </c>
      <c r="C135" s="8" t="s">
        <v>236</v>
      </c>
      <c r="D135" s="15">
        <v>58.31</v>
      </c>
      <c r="E135" s="8">
        <v>0</v>
      </c>
      <c r="F135" s="8">
        <v>1</v>
      </c>
      <c r="G135" s="8">
        <v>0.5</v>
      </c>
      <c r="H135" s="8">
        <v>1</v>
      </c>
      <c r="I135" s="8">
        <f t="shared" ref="I135:I195" si="35">MROUND(E135*G135,1)</f>
        <v>0</v>
      </c>
      <c r="J135" s="8">
        <f t="shared" ref="J135:J195" si="36">MROUND(E135*F135,1)</f>
        <v>0</v>
      </c>
      <c r="K135" s="8">
        <f t="shared" ref="K135:K195" si="37">MROUND(I135+J135,1)</f>
        <v>0</v>
      </c>
      <c r="L135" s="8">
        <f t="shared" ref="L135:L195" si="38">MROUND(E135*(F135+G135+H135),1)</f>
        <v>0</v>
      </c>
      <c r="M135" s="49">
        <v>0</v>
      </c>
      <c r="N135" s="8">
        <v>0</v>
      </c>
      <c r="O135" s="55">
        <f t="shared" ref="O135:O195" si="39">IF(M135&lt;=K135,L135-M135-N135,0)</f>
        <v>0</v>
      </c>
    </row>
    <row r="136" spans="1:15" x14ac:dyDescent="0.3">
      <c r="A136" s="5" t="s">
        <v>276</v>
      </c>
      <c r="B136" s="6" t="s">
        <v>277</v>
      </c>
      <c r="C136" s="8" t="s">
        <v>275</v>
      </c>
      <c r="D136" s="15">
        <v>36.718115942028987</v>
      </c>
      <c r="E136" s="8">
        <v>18</v>
      </c>
      <c r="F136" s="8">
        <v>1</v>
      </c>
      <c r="G136" s="8">
        <v>0.5</v>
      </c>
      <c r="H136" s="8">
        <v>1</v>
      </c>
      <c r="I136" s="8">
        <f t="shared" ref="I136:I152" si="40">MROUND(E136*G136,1)</f>
        <v>9</v>
      </c>
      <c r="J136" s="8">
        <f t="shared" ref="J136:J152" si="41">MROUND(E136*F136,1)</f>
        <v>18</v>
      </c>
      <c r="K136" s="8">
        <f t="shared" ref="K136:K152" si="42">MROUND(I136+J136,1)</f>
        <v>27</v>
      </c>
      <c r="L136" s="8">
        <f t="shared" ref="L136:L152" si="43">MROUND(E136*(F136+G136+H136),1)</f>
        <v>45</v>
      </c>
      <c r="M136" s="49">
        <v>30</v>
      </c>
      <c r="N136" s="8">
        <v>0</v>
      </c>
      <c r="O136" s="55">
        <f t="shared" ref="O136:O152" si="44">IF(M136&lt;=K136,L136-M136-N136,0)</f>
        <v>0</v>
      </c>
    </row>
    <row r="137" spans="1:15" x14ac:dyDescent="0.3">
      <c r="A137" s="5" t="s">
        <v>280</v>
      </c>
      <c r="B137" s="6" t="s">
        <v>281</v>
      </c>
      <c r="C137" s="8" t="s">
        <v>275</v>
      </c>
      <c r="D137" s="15">
        <v>51.068115942028982</v>
      </c>
      <c r="E137" s="8">
        <v>18</v>
      </c>
      <c r="F137" s="8">
        <v>1</v>
      </c>
      <c r="G137" s="8">
        <v>0.5</v>
      </c>
      <c r="H137" s="8">
        <v>1</v>
      </c>
      <c r="I137" s="8">
        <f t="shared" si="40"/>
        <v>9</v>
      </c>
      <c r="J137" s="8">
        <f t="shared" si="41"/>
        <v>18</v>
      </c>
      <c r="K137" s="8">
        <f t="shared" si="42"/>
        <v>27</v>
      </c>
      <c r="L137" s="8">
        <f t="shared" si="43"/>
        <v>45</v>
      </c>
      <c r="M137" s="49">
        <v>12</v>
      </c>
      <c r="N137" s="8">
        <v>0</v>
      </c>
      <c r="O137" s="55">
        <f t="shared" si="44"/>
        <v>33</v>
      </c>
    </row>
    <row r="138" spans="1:15" x14ac:dyDescent="0.3">
      <c r="A138" s="5" t="s">
        <v>284</v>
      </c>
      <c r="B138" s="6" t="s">
        <v>285</v>
      </c>
      <c r="C138" s="8" t="s">
        <v>275</v>
      </c>
      <c r="D138" s="15">
        <v>75.318115942028982</v>
      </c>
      <c r="E138" s="8">
        <v>14</v>
      </c>
      <c r="F138" s="8">
        <v>1</v>
      </c>
      <c r="G138" s="8">
        <v>0.5</v>
      </c>
      <c r="H138" s="8">
        <v>1</v>
      </c>
      <c r="I138" s="8">
        <f t="shared" si="40"/>
        <v>7</v>
      </c>
      <c r="J138" s="8">
        <f t="shared" si="41"/>
        <v>14</v>
      </c>
      <c r="K138" s="8">
        <f t="shared" si="42"/>
        <v>21</v>
      </c>
      <c r="L138" s="8">
        <f t="shared" si="43"/>
        <v>35</v>
      </c>
      <c r="M138" s="49">
        <v>92</v>
      </c>
      <c r="N138" s="8">
        <v>0</v>
      </c>
      <c r="O138" s="55">
        <f t="shared" si="44"/>
        <v>0</v>
      </c>
    </row>
    <row r="139" spans="1:15" x14ac:dyDescent="0.3">
      <c r="A139" s="5" t="s">
        <v>288</v>
      </c>
      <c r="B139" s="6" t="s">
        <v>289</v>
      </c>
      <c r="C139" s="8" t="s">
        <v>275</v>
      </c>
      <c r="D139" s="15">
        <v>117.24811594202899</v>
      </c>
      <c r="E139" s="8">
        <v>21</v>
      </c>
      <c r="F139" s="8">
        <v>1</v>
      </c>
      <c r="G139" s="8">
        <v>0.5</v>
      </c>
      <c r="H139" s="8">
        <v>1</v>
      </c>
      <c r="I139" s="8">
        <f t="shared" si="40"/>
        <v>11</v>
      </c>
      <c r="J139" s="8">
        <f t="shared" si="41"/>
        <v>21</v>
      </c>
      <c r="K139" s="8">
        <f t="shared" si="42"/>
        <v>32</v>
      </c>
      <c r="L139" s="8">
        <f t="shared" si="43"/>
        <v>53</v>
      </c>
      <c r="M139" s="49">
        <v>89</v>
      </c>
      <c r="N139" s="8">
        <v>0</v>
      </c>
      <c r="O139" s="55">
        <f t="shared" si="44"/>
        <v>0</v>
      </c>
    </row>
    <row r="140" spans="1:15" x14ac:dyDescent="0.3">
      <c r="A140" s="5" t="s">
        <v>290</v>
      </c>
      <c r="B140" s="6" t="s">
        <v>291</v>
      </c>
      <c r="C140" s="8" t="s">
        <v>275</v>
      </c>
      <c r="D140" s="15">
        <v>132.918115942029</v>
      </c>
      <c r="E140" s="8">
        <v>22</v>
      </c>
      <c r="F140" s="8">
        <v>1</v>
      </c>
      <c r="G140" s="8">
        <v>0.5</v>
      </c>
      <c r="H140" s="8">
        <v>1</v>
      </c>
      <c r="I140" s="8">
        <f t="shared" si="40"/>
        <v>11</v>
      </c>
      <c r="J140" s="8">
        <f t="shared" si="41"/>
        <v>22</v>
      </c>
      <c r="K140" s="8">
        <f t="shared" si="42"/>
        <v>33</v>
      </c>
      <c r="L140" s="8">
        <f t="shared" si="43"/>
        <v>55</v>
      </c>
      <c r="M140" s="49">
        <v>55</v>
      </c>
      <c r="N140" s="8">
        <v>8</v>
      </c>
      <c r="O140" s="55">
        <f t="shared" si="44"/>
        <v>0</v>
      </c>
    </row>
    <row r="141" spans="1:15" x14ac:dyDescent="0.3">
      <c r="A141" s="5" t="s">
        <v>294</v>
      </c>
      <c r="B141" s="6" t="s">
        <v>295</v>
      </c>
      <c r="C141" s="8" t="s">
        <v>275</v>
      </c>
      <c r="D141" s="15">
        <v>124.85811594202899</v>
      </c>
      <c r="E141" s="8">
        <v>14</v>
      </c>
      <c r="F141" s="8">
        <v>1</v>
      </c>
      <c r="G141" s="8">
        <v>0.5</v>
      </c>
      <c r="H141" s="8">
        <v>1</v>
      </c>
      <c r="I141" s="8">
        <f t="shared" si="40"/>
        <v>7</v>
      </c>
      <c r="J141" s="8">
        <f t="shared" si="41"/>
        <v>14</v>
      </c>
      <c r="K141" s="8">
        <f t="shared" si="42"/>
        <v>21</v>
      </c>
      <c r="L141" s="8">
        <f t="shared" si="43"/>
        <v>35</v>
      </c>
      <c r="M141" s="49">
        <v>66</v>
      </c>
      <c r="N141" s="8">
        <v>11</v>
      </c>
      <c r="O141" s="55">
        <f t="shared" si="44"/>
        <v>0</v>
      </c>
    </row>
    <row r="142" spans="1:15" x14ac:dyDescent="0.3">
      <c r="A142" s="5" t="s">
        <v>298</v>
      </c>
      <c r="B142" s="6" t="s">
        <v>299</v>
      </c>
      <c r="C142" s="8" t="s">
        <v>275</v>
      </c>
      <c r="D142" s="15">
        <v>154.11811594202899</v>
      </c>
      <c r="E142" s="8">
        <v>10</v>
      </c>
      <c r="F142" s="8">
        <v>1</v>
      </c>
      <c r="G142" s="8">
        <v>0.5</v>
      </c>
      <c r="H142" s="8">
        <v>1</v>
      </c>
      <c r="I142" s="8">
        <f t="shared" si="40"/>
        <v>5</v>
      </c>
      <c r="J142" s="8">
        <f t="shared" si="41"/>
        <v>10</v>
      </c>
      <c r="K142" s="8">
        <f t="shared" si="42"/>
        <v>15</v>
      </c>
      <c r="L142" s="8">
        <f t="shared" si="43"/>
        <v>25</v>
      </c>
      <c r="M142" s="49">
        <v>61</v>
      </c>
      <c r="N142" s="8">
        <v>13</v>
      </c>
      <c r="O142" s="55">
        <f t="shared" si="44"/>
        <v>0</v>
      </c>
    </row>
    <row r="143" spans="1:15" x14ac:dyDescent="0.3">
      <c r="A143" s="5" t="s">
        <v>302</v>
      </c>
      <c r="B143" s="6" t="s">
        <v>303</v>
      </c>
      <c r="C143" s="8" t="s">
        <v>275</v>
      </c>
      <c r="D143" s="15">
        <v>178.768115942029</v>
      </c>
      <c r="E143" s="8">
        <v>5</v>
      </c>
      <c r="F143" s="8">
        <v>1</v>
      </c>
      <c r="G143" s="8">
        <v>0.5</v>
      </c>
      <c r="H143" s="8">
        <v>1</v>
      </c>
      <c r="I143" s="8">
        <f t="shared" si="40"/>
        <v>3</v>
      </c>
      <c r="J143" s="8">
        <f t="shared" si="41"/>
        <v>5</v>
      </c>
      <c r="K143" s="8">
        <f t="shared" si="42"/>
        <v>8</v>
      </c>
      <c r="L143" s="8">
        <f t="shared" si="43"/>
        <v>13</v>
      </c>
      <c r="M143" s="49">
        <v>24</v>
      </c>
      <c r="N143" s="8">
        <v>10</v>
      </c>
      <c r="O143" s="55">
        <f t="shared" si="44"/>
        <v>0</v>
      </c>
    </row>
    <row r="144" spans="1:15" x14ac:dyDescent="0.3">
      <c r="A144" s="9" t="s">
        <v>273</v>
      </c>
      <c r="B144" s="6" t="s">
        <v>274</v>
      </c>
      <c r="C144" s="8" t="s">
        <v>275</v>
      </c>
      <c r="D144" s="15">
        <v>197</v>
      </c>
      <c r="E144" s="8">
        <v>4</v>
      </c>
      <c r="F144" s="8">
        <v>1</v>
      </c>
      <c r="G144" s="8">
        <v>0.5</v>
      </c>
      <c r="H144" s="8">
        <v>1</v>
      </c>
      <c r="I144" s="8">
        <f t="shared" si="40"/>
        <v>2</v>
      </c>
      <c r="J144" s="8">
        <f t="shared" si="41"/>
        <v>4</v>
      </c>
      <c r="K144" s="8">
        <f t="shared" si="42"/>
        <v>6</v>
      </c>
      <c r="L144" s="8">
        <f t="shared" si="43"/>
        <v>10</v>
      </c>
      <c r="M144" s="49">
        <v>18</v>
      </c>
      <c r="N144" s="8">
        <v>0</v>
      </c>
      <c r="O144" s="55">
        <f t="shared" si="44"/>
        <v>0</v>
      </c>
    </row>
    <row r="145" spans="1:15" x14ac:dyDescent="0.3">
      <c r="A145" s="9" t="s">
        <v>278</v>
      </c>
      <c r="B145" s="6" t="s">
        <v>279</v>
      </c>
      <c r="C145" s="8" t="s">
        <v>275</v>
      </c>
      <c r="D145" s="15">
        <v>22.95</v>
      </c>
      <c r="E145" s="8">
        <v>0</v>
      </c>
      <c r="F145" s="8">
        <v>1</v>
      </c>
      <c r="G145" s="8">
        <v>0.5</v>
      </c>
      <c r="H145" s="8">
        <v>1</v>
      </c>
      <c r="I145" s="8">
        <f t="shared" si="40"/>
        <v>0</v>
      </c>
      <c r="J145" s="8">
        <f t="shared" si="41"/>
        <v>0</v>
      </c>
      <c r="K145" s="8">
        <f t="shared" si="42"/>
        <v>0</v>
      </c>
      <c r="L145" s="8">
        <f t="shared" si="43"/>
        <v>0</v>
      </c>
      <c r="M145" s="49">
        <v>0</v>
      </c>
      <c r="N145" s="8">
        <v>0</v>
      </c>
      <c r="O145" s="55">
        <f t="shared" si="44"/>
        <v>0</v>
      </c>
    </row>
    <row r="146" spans="1:15" x14ac:dyDescent="0.3">
      <c r="A146" s="9" t="s">
        <v>282</v>
      </c>
      <c r="B146" s="6" t="s">
        <v>283</v>
      </c>
      <c r="C146" s="8" t="s">
        <v>275</v>
      </c>
      <c r="D146" s="15">
        <v>37.299999999999997</v>
      </c>
      <c r="E146" s="8">
        <v>0</v>
      </c>
      <c r="F146" s="8">
        <v>1</v>
      </c>
      <c r="G146" s="8">
        <v>0.5</v>
      </c>
      <c r="H146" s="8">
        <v>1</v>
      </c>
      <c r="I146" s="8">
        <f t="shared" si="40"/>
        <v>0</v>
      </c>
      <c r="J146" s="8">
        <f t="shared" si="41"/>
        <v>0</v>
      </c>
      <c r="K146" s="8">
        <f t="shared" si="42"/>
        <v>0</v>
      </c>
      <c r="L146" s="8">
        <f t="shared" si="43"/>
        <v>0</v>
      </c>
      <c r="M146" s="49">
        <v>0</v>
      </c>
      <c r="N146" s="8">
        <v>0</v>
      </c>
      <c r="O146" s="55">
        <f t="shared" si="44"/>
        <v>0</v>
      </c>
    </row>
    <row r="147" spans="1:15" x14ac:dyDescent="0.3">
      <c r="A147" s="12" t="s">
        <v>286</v>
      </c>
      <c r="B147" s="6" t="s">
        <v>287</v>
      </c>
      <c r="C147" s="8" t="s">
        <v>275</v>
      </c>
      <c r="D147" s="15">
        <v>61.55</v>
      </c>
      <c r="E147" s="8">
        <v>0</v>
      </c>
      <c r="F147" s="8">
        <v>1</v>
      </c>
      <c r="G147" s="8">
        <v>0.5</v>
      </c>
      <c r="H147" s="8">
        <v>1</v>
      </c>
      <c r="I147" s="8">
        <f t="shared" si="40"/>
        <v>0</v>
      </c>
      <c r="J147" s="8">
        <f t="shared" si="41"/>
        <v>0</v>
      </c>
      <c r="K147" s="8">
        <f t="shared" si="42"/>
        <v>0</v>
      </c>
      <c r="L147" s="8">
        <f t="shared" si="43"/>
        <v>0</v>
      </c>
      <c r="M147" s="49">
        <v>0</v>
      </c>
      <c r="N147" s="8">
        <v>0</v>
      </c>
      <c r="O147" s="55">
        <f t="shared" si="44"/>
        <v>0</v>
      </c>
    </row>
    <row r="148" spans="1:15" x14ac:dyDescent="0.3">
      <c r="A148" s="5" t="s">
        <v>466</v>
      </c>
      <c r="B148" s="6" t="s">
        <v>467</v>
      </c>
      <c r="C148" s="8" t="s">
        <v>275</v>
      </c>
      <c r="D148" s="15">
        <v>103.48</v>
      </c>
      <c r="E148" s="8">
        <v>0</v>
      </c>
      <c r="F148" s="8">
        <v>1</v>
      </c>
      <c r="G148" s="8">
        <v>0.5</v>
      </c>
      <c r="H148" s="8">
        <v>1</v>
      </c>
      <c r="I148" s="8">
        <f t="shared" si="40"/>
        <v>0</v>
      </c>
      <c r="J148" s="8">
        <f t="shared" si="41"/>
        <v>0</v>
      </c>
      <c r="K148" s="8">
        <f t="shared" si="42"/>
        <v>0</v>
      </c>
      <c r="L148" s="8">
        <f t="shared" si="43"/>
        <v>0</v>
      </c>
      <c r="M148" s="49">
        <v>0</v>
      </c>
      <c r="N148" s="8">
        <v>0</v>
      </c>
      <c r="O148" s="55">
        <f t="shared" si="44"/>
        <v>0</v>
      </c>
    </row>
    <row r="149" spans="1:15" x14ac:dyDescent="0.3">
      <c r="A149" s="9" t="s">
        <v>292</v>
      </c>
      <c r="B149" s="6" t="s">
        <v>293</v>
      </c>
      <c r="C149" s="8" t="s">
        <v>275</v>
      </c>
      <c r="D149" s="15">
        <v>121.15</v>
      </c>
      <c r="E149" s="8">
        <v>0</v>
      </c>
      <c r="F149" s="8">
        <v>1</v>
      </c>
      <c r="G149" s="8">
        <v>0.5</v>
      </c>
      <c r="H149" s="8">
        <v>1</v>
      </c>
      <c r="I149" s="8">
        <f t="shared" si="40"/>
        <v>0</v>
      </c>
      <c r="J149" s="8">
        <f t="shared" si="41"/>
        <v>0</v>
      </c>
      <c r="K149" s="8">
        <f t="shared" si="42"/>
        <v>0</v>
      </c>
      <c r="L149" s="8">
        <f t="shared" si="43"/>
        <v>0</v>
      </c>
      <c r="M149" s="49">
        <v>0</v>
      </c>
      <c r="N149" s="8">
        <v>0</v>
      </c>
      <c r="O149" s="55">
        <f t="shared" si="44"/>
        <v>0</v>
      </c>
    </row>
    <row r="150" spans="1:15" x14ac:dyDescent="0.3">
      <c r="A150" s="12" t="s">
        <v>296</v>
      </c>
      <c r="B150" s="6" t="s">
        <v>297</v>
      </c>
      <c r="C150" s="8" t="s">
        <v>275</v>
      </c>
      <c r="D150" s="15">
        <v>111.09</v>
      </c>
      <c r="E150" s="8">
        <v>0</v>
      </c>
      <c r="F150" s="8">
        <v>1</v>
      </c>
      <c r="G150" s="8">
        <v>0.5</v>
      </c>
      <c r="H150" s="8">
        <v>1</v>
      </c>
      <c r="I150" s="8">
        <f t="shared" si="40"/>
        <v>0</v>
      </c>
      <c r="J150" s="8">
        <f t="shared" si="41"/>
        <v>0</v>
      </c>
      <c r="K150" s="8">
        <f t="shared" si="42"/>
        <v>0</v>
      </c>
      <c r="L150" s="8">
        <f t="shared" si="43"/>
        <v>0</v>
      </c>
      <c r="M150" s="49">
        <v>0</v>
      </c>
      <c r="N150" s="8">
        <v>0</v>
      </c>
      <c r="O150" s="55">
        <f t="shared" si="44"/>
        <v>0</v>
      </c>
    </row>
    <row r="151" spans="1:15" x14ac:dyDescent="0.3">
      <c r="A151" s="9" t="s">
        <v>300</v>
      </c>
      <c r="B151" s="6" t="s">
        <v>301</v>
      </c>
      <c r="C151" s="8" t="s">
        <v>275</v>
      </c>
      <c r="D151" s="15">
        <v>148.35</v>
      </c>
      <c r="E151" s="8">
        <v>0</v>
      </c>
      <c r="F151" s="8">
        <v>1</v>
      </c>
      <c r="G151" s="8">
        <v>0.5</v>
      </c>
      <c r="H151" s="8">
        <v>1</v>
      </c>
      <c r="I151" s="8">
        <f t="shared" si="40"/>
        <v>0</v>
      </c>
      <c r="J151" s="8">
        <f t="shared" si="41"/>
        <v>0</v>
      </c>
      <c r="K151" s="8">
        <f t="shared" si="42"/>
        <v>0</v>
      </c>
      <c r="L151" s="8">
        <f t="shared" si="43"/>
        <v>0</v>
      </c>
      <c r="M151" s="49">
        <v>0</v>
      </c>
      <c r="N151" s="8">
        <v>0</v>
      </c>
      <c r="O151" s="55">
        <f t="shared" si="44"/>
        <v>0</v>
      </c>
    </row>
    <row r="152" spans="1:15" x14ac:dyDescent="0.3">
      <c r="A152" s="9" t="s">
        <v>304</v>
      </c>
      <c r="B152" s="6" t="s">
        <v>305</v>
      </c>
      <c r="C152" s="8" t="s">
        <v>275</v>
      </c>
      <c r="D152" s="15">
        <v>165.66</v>
      </c>
      <c r="E152" s="8">
        <v>0</v>
      </c>
      <c r="F152" s="8">
        <v>1</v>
      </c>
      <c r="G152" s="8">
        <v>0.5</v>
      </c>
      <c r="H152" s="8">
        <v>1</v>
      </c>
      <c r="I152" s="8">
        <f t="shared" si="40"/>
        <v>0</v>
      </c>
      <c r="J152" s="8">
        <f t="shared" si="41"/>
        <v>0</v>
      </c>
      <c r="K152" s="8">
        <f t="shared" si="42"/>
        <v>0</v>
      </c>
      <c r="L152" s="8">
        <f t="shared" si="43"/>
        <v>0</v>
      </c>
      <c r="M152" s="49">
        <v>0</v>
      </c>
      <c r="N152" s="8">
        <v>0</v>
      </c>
      <c r="O152" s="55">
        <f t="shared" si="44"/>
        <v>0</v>
      </c>
    </row>
    <row r="153" spans="1:15" x14ac:dyDescent="0.3">
      <c r="A153" s="5" t="s">
        <v>306</v>
      </c>
      <c r="B153" s="6" t="s">
        <v>307</v>
      </c>
      <c r="C153" s="8" t="s">
        <v>308</v>
      </c>
      <c r="D153" s="15">
        <v>1138</v>
      </c>
      <c r="E153" s="8">
        <v>2</v>
      </c>
      <c r="F153" s="8">
        <v>2</v>
      </c>
      <c r="G153" s="8">
        <v>1</v>
      </c>
      <c r="H153" s="8">
        <v>1</v>
      </c>
      <c r="I153" s="8">
        <f t="shared" si="35"/>
        <v>2</v>
      </c>
      <c r="J153" s="8">
        <f t="shared" si="36"/>
        <v>4</v>
      </c>
      <c r="K153" s="8">
        <f t="shared" si="37"/>
        <v>6</v>
      </c>
      <c r="L153" s="8">
        <f t="shared" si="38"/>
        <v>8</v>
      </c>
      <c r="M153" s="49">
        <v>8</v>
      </c>
      <c r="N153" s="8">
        <v>0</v>
      </c>
      <c r="O153" s="55">
        <f t="shared" si="39"/>
        <v>0</v>
      </c>
    </row>
    <row r="154" spans="1:15" x14ac:dyDescent="0.3">
      <c r="A154" s="5" t="s">
        <v>309</v>
      </c>
      <c r="B154" s="6" t="s">
        <v>310</v>
      </c>
      <c r="C154" s="8" t="s">
        <v>308</v>
      </c>
      <c r="D154" s="15">
        <v>1193</v>
      </c>
      <c r="E154" s="8">
        <v>3</v>
      </c>
      <c r="F154" s="8">
        <v>2</v>
      </c>
      <c r="G154" s="8">
        <v>1</v>
      </c>
      <c r="H154" s="8">
        <v>1</v>
      </c>
      <c r="I154" s="8">
        <f t="shared" si="35"/>
        <v>3</v>
      </c>
      <c r="J154" s="8">
        <f t="shared" si="36"/>
        <v>6</v>
      </c>
      <c r="K154" s="8">
        <f t="shared" si="37"/>
        <v>9</v>
      </c>
      <c r="L154" s="8">
        <f t="shared" si="38"/>
        <v>12</v>
      </c>
      <c r="M154" s="49">
        <v>13</v>
      </c>
      <c r="N154" s="8">
        <v>0</v>
      </c>
      <c r="O154" s="55">
        <f t="shared" si="39"/>
        <v>0</v>
      </c>
    </row>
    <row r="155" spans="1:15" x14ac:dyDescent="0.3">
      <c r="A155" s="5" t="s">
        <v>311</v>
      </c>
      <c r="B155" s="6" t="s">
        <v>312</v>
      </c>
      <c r="C155" s="8" t="s">
        <v>308</v>
      </c>
      <c r="D155" s="15">
        <v>1226</v>
      </c>
      <c r="E155" s="8">
        <v>3</v>
      </c>
      <c r="F155" s="8">
        <v>2</v>
      </c>
      <c r="G155" s="8">
        <v>1</v>
      </c>
      <c r="H155" s="8">
        <v>1</v>
      </c>
      <c r="I155" s="8">
        <f t="shared" si="35"/>
        <v>3</v>
      </c>
      <c r="J155" s="8">
        <f t="shared" si="36"/>
        <v>6</v>
      </c>
      <c r="K155" s="8">
        <f t="shared" si="37"/>
        <v>9</v>
      </c>
      <c r="L155" s="8">
        <f t="shared" si="38"/>
        <v>12</v>
      </c>
      <c r="M155" s="49">
        <v>13</v>
      </c>
      <c r="N155" s="8">
        <v>0</v>
      </c>
      <c r="O155" s="55">
        <f t="shared" si="39"/>
        <v>0</v>
      </c>
    </row>
    <row r="156" spans="1:15" x14ac:dyDescent="0.3">
      <c r="A156" s="5" t="s">
        <v>313</v>
      </c>
      <c r="B156" s="6" t="s">
        <v>314</v>
      </c>
      <c r="C156" s="8" t="s">
        <v>308</v>
      </c>
      <c r="D156" s="15">
        <v>1277</v>
      </c>
      <c r="E156" s="8">
        <v>3</v>
      </c>
      <c r="F156" s="8">
        <v>2</v>
      </c>
      <c r="G156" s="8">
        <v>1</v>
      </c>
      <c r="H156" s="8">
        <v>1</v>
      </c>
      <c r="I156" s="8">
        <f t="shared" si="35"/>
        <v>3</v>
      </c>
      <c r="J156" s="8">
        <f t="shared" si="36"/>
        <v>6</v>
      </c>
      <c r="K156" s="8">
        <f t="shared" si="37"/>
        <v>9</v>
      </c>
      <c r="L156" s="8">
        <f t="shared" si="38"/>
        <v>12</v>
      </c>
      <c r="M156" s="49">
        <v>10</v>
      </c>
      <c r="N156" s="8">
        <v>0</v>
      </c>
      <c r="O156" s="55">
        <f t="shared" si="39"/>
        <v>0</v>
      </c>
    </row>
    <row r="157" spans="1:15" x14ac:dyDescent="0.3">
      <c r="A157" s="5" t="s">
        <v>315</v>
      </c>
      <c r="B157" s="6" t="s">
        <v>316</v>
      </c>
      <c r="C157" s="8" t="s">
        <v>308</v>
      </c>
      <c r="D157" s="15">
        <v>1535</v>
      </c>
      <c r="E157" s="8">
        <f>60*0.05</f>
        <v>3</v>
      </c>
      <c r="F157" s="8">
        <v>2</v>
      </c>
      <c r="G157" s="8">
        <v>1</v>
      </c>
      <c r="H157" s="8">
        <v>1</v>
      </c>
      <c r="I157" s="8">
        <f t="shared" si="35"/>
        <v>3</v>
      </c>
      <c r="J157" s="8">
        <f t="shared" si="36"/>
        <v>6</v>
      </c>
      <c r="K157" s="8">
        <f t="shared" si="37"/>
        <v>9</v>
      </c>
      <c r="L157" s="8">
        <f t="shared" si="38"/>
        <v>12</v>
      </c>
      <c r="M157" s="49">
        <v>17</v>
      </c>
      <c r="N157" s="8">
        <v>0</v>
      </c>
      <c r="O157" s="55">
        <f t="shared" si="39"/>
        <v>0</v>
      </c>
    </row>
    <row r="158" spans="1:15" x14ac:dyDescent="0.3">
      <c r="A158" s="5" t="s">
        <v>317</v>
      </c>
      <c r="B158" s="6" t="s">
        <v>318</v>
      </c>
      <c r="C158" s="8" t="s">
        <v>308</v>
      </c>
      <c r="D158" s="15">
        <v>1641</v>
      </c>
      <c r="E158" s="8">
        <v>1</v>
      </c>
      <c r="F158" s="8">
        <v>2</v>
      </c>
      <c r="G158" s="8">
        <v>1</v>
      </c>
      <c r="H158" s="8">
        <v>1</v>
      </c>
      <c r="I158" s="8">
        <f t="shared" si="35"/>
        <v>1</v>
      </c>
      <c r="J158" s="8">
        <f t="shared" si="36"/>
        <v>2</v>
      </c>
      <c r="K158" s="8">
        <f t="shared" si="37"/>
        <v>3</v>
      </c>
      <c r="L158" s="8">
        <f t="shared" si="38"/>
        <v>4</v>
      </c>
      <c r="M158" s="49">
        <v>4</v>
      </c>
      <c r="N158" s="8">
        <v>0</v>
      </c>
      <c r="O158" s="55">
        <f t="shared" si="39"/>
        <v>0</v>
      </c>
    </row>
    <row r="159" spans="1:15" x14ac:dyDescent="0.3">
      <c r="A159" s="5" t="s">
        <v>319</v>
      </c>
      <c r="B159" s="6" t="s">
        <v>320</v>
      </c>
      <c r="C159" s="8" t="s">
        <v>308</v>
      </c>
      <c r="D159" s="15">
        <v>1768</v>
      </c>
      <c r="E159" s="8">
        <v>2</v>
      </c>
      <c r="F159" s="8">
        <v>2</v>
      </c>
      <c r="G159" s="8">
        <v>1</v>
      </c>
      <c r="H159" s="8">
        <v>1</v>
      </c>
      <c r="I159" s="8">
        <f t="shared" si="35"/>
        <v>2</v>
      </c>
      <c r="J159" s="8">
        <f t="shared" si="36"/>
        <v>4</v>
      </c>
      <c r="K159" s="8">
        <f t="shared" si="37"/>
        <v>6</v>
      </c>
      <c r="L159" s="8">
        <f t="shared" si="38"/>
        <v>8</v>
      </c>
      <c r="M159" s="49">
        <v>4</v>
      </c>
      <c r="N159" s="8">
        <v>0</v>
      </c>
      <c r="O159" s="55">
        <f t="shared" si="39"/>
        <v>4</v>
      </c>
    </row>
    <row r="160" spans="1:15" x14ac:dyDescent="0.3">
      <c r="A160" s="5" t="s">
        <v>321</v>
      </c>
      <c r="B160" s="6" t="s">
        <v>322</v>
      </c>
      <c r="C160" s="8" t="s">
        <v>308</v>
      </c>
      <c r="D160" s="15">
        <v>1874</v>
      </c>
      <c r="E160" s="8">
        <v>1</v>
      </c>
      <c r="F160" s="8">
        <v>2</v>
      </c>
      <c r="G160" s="8">
        <v>1</v>
      </c>
      <c r="H160" s="8">
        <v>1</v>
      </c>
      <c r="I160" s="8">
        <f t="shared" si="35"/>
        <v>1</v>
      </c>
      <c r="J160" s="8">
        <f t="shared" si="36"/>
        <v>2</v>
      </c>
      <c r="K160" s="8">
        <f t="shared" si="37"/>
        <v>3</v>
      </c>
      <c r="L160" s="8">
        <f t="shared" si="38"/>
        <v>4</v>
      </c>
      <c r="M160" s="49">
        <v>0</v>
      </c>
      <c r="N160" s="8">
        <v>2</v>
      </c>
      <c r="O160" s="55">
        <f t="shared" si="39"/>
        <v>2</v>
      </c>
    </row>
    <row r="161" spans="1:15" x14ac:dyDescent="0.3">
      <c r="A161" s="5" t="s">
        <v>323</v>
      </c>
      <c r="B161" s="6" t="s">
        <v>324</v>
      </c>
      <c r="C161" s="8" t="s">
        <v>308</v>
      </c>
      <c r="D161" s="15">
        <v>1805</v>
      </c>
      <c r="E161" s="8">
        <v>4</v>
      </c>
      <c r="F161" s="8">
        <v>2</v>
      </c>
      <c r="G161" s="8">
        <v>1</v>
      </c>
      <c r="H161" s="8">
        <v>1</v>
      </c>
      <c r="I161" s="8">
        <f t="shared" si="35"/>
        <v>4</v>
      </c>
      <c r="J161" s="8">
        <f t="shared" si="36"/>
        <v>8</v>
      </c>
      <c r="K161" s="8">
        <f t="shared" si="37"/>
        <v>12</v>
      </c>
      <c r="L161" s="8">
        <f t="shared" si="38"/>
        <v>16</v>
      </c>
      <c r="M161" s="49">
        <v>0</v>
      </c>
      <c r="N161" s="8">
        <v>5</v>
      </c>
      <c r="O161" s="55">
        <f t="shared" si="39"/>
        <v>11</v>
      </c>
    </row>
    <row r="162" spans="1:15" x14ac:dyDescent="0.3">
      <c r="A162" s="5" t="s">
        <v>325</v>
      </c>
      <c r="B162" s="6" t="s">
        <v>326</v>
      </c>
      <c r="C162" s="8" t="s">
        <v>308</v>
      </c>
      <c r="D162" s="15">
        <v>1829</v>
      </c>
      <c r="E162" s="8">
        <v>1</v>
      </c>
      <c r="F162" s="8">
        <v>2</v>
      </c>
      <c r="G162" s="8">
        <v>1</v>
      </c>
      <c r="H162" s="8">
        <v>1</v>
      </c>
      <c r="I162" s="8">
        <f t="shared" si="35"/>
        <v>1</v>
      </c>
      <c r="J162" s="8">
        <f t="shared" si="36"/>
        <v>2</v>
      </c>
      <c r="K162" s="8">
        <f t="shared" si="37"/>
        <v>3</v>
      </c>
      <c r="L162" s="8">
        <f t="shared" si="38"/>
        <v>4</v>
      </c>
      <c r="M162" s="49">
        <v>2</v>
      </c>
      <c r="N162" s="8">
        <v>0</v>
      </c>
      <c r="O162" s="55">
        <f t="shared" si="39"/>
        <v>2</v>
      </c>
    </row>
    <row r="163" spans="1:15" x14ac:dyDescent="0.3">
      <c r="A163" s="5" t="s">
        <v>327</v>
      </c>
      <c r="B163" s="6" t="s">
        <v>328</v>
      </c>
      <c r="C163" s="8" t="s">
        <v>308</v>
      </c>
      <c r="D163" s="15">
        <v>2182</v>
      </c>
      <c r="E163" s="8">
        <v>3</v>
      </c>
      <c r="F163" s="8">
        <v>2</v>
      </c>
      <c r="G163" s="8">
        <v>1</v>
      </c>
      <c r="H163" s="8">
        <v>1</v>
      </c>
      <c r="I163" s="8">
        <f t="shared" si="35"/>
        <v>3</v>
      </c>
      <c r="J163" s="8">
        <f t="shared" si="36"/>
        <v>6</v>
      </c>
      <c r="K163" s="8">
        <f t="shared" si="37"/>
        <v>9</v>
      </c>
      <c r="L163" s="8">
        <f t="shared" si="38"/>
        <v>12</v>
      </c>
      <c r="M163" s="49">
        <v>0</v>
      </c>
      <c r="N163" s="8">
        <v>0</v>
      </c>
      <c r="O163" s="55">
        <f t="shared" si="39"/>
        <v>12</v>
      </c>
    </row>
    <row r="164" spans="1:15" x14ac:dyDescent="0.3">
      <c r="A164" s="5" t="s">
        <v>331</v>
      </c>
      <c r="B164" s="6" t="s">
        <v>332</v>
      </c>
      <c r="C164" s="8" t="s">
        <v>308</v>
      </c>
      <c r="D164" s="15">
        <v>2304</v>
      </c>
      <c r="E164" s="8">
        <v>1</v>
      </c>
      <c r="F164" s="8">
        <v>2</v>
      </c>
      <c r="G164" s="8">
        <v>1</v>
      </c>
      <c r="H164" s="8">
        <v>1</v>
      </c>
      <c r="I164" s="8">
        <f t="shared" si="35"/>
        <v>1</v>
      </c>
      <c r="J164" s="8">
        <f t="shared" si="36"/>
        <v>2</v>
      </c>
      <c r="K164" s="8">
        <f t="shared" si="37"/>
        <v>3</v>
      </c>
      <c r="L164" s="8">
        <f t="shared" si="38"/>
        <v>4</v>
      </c>
      <c r="M164" s="49">
        <v>2</v>
      </c>
      <c r="N164" s="8">
        <v>0</v>
      </c>
      <c r="O164" s="55">
        <f t="shared" si="39"/>
        <v>2</v>
      </c>
    </row>
    <row r="165" spans="1:15" x14ac:dyDescent="0.3">
      <c r="A165" s="5" t="s">
        <v>333</v>
      </c>
      <c r="B165" s="6" t="s">
        <v>334</v>
      </c>
      <c r="C165" s="8" t="s">
        <v>308</v>
      </c>
      <c r="D165" s="15">
        <v>2892</v>
      </c>
      <c r="E165" s="8">
        <v>3</v>
      </c>
      <c r="F165" s="8">
        <v>2</v>
      </c>
      <c r="G165" s="8">
        <v>1</v>
      </c>
      <c r="H165" s="8">
        <v>1</v>
      </c>
      <c r="I165" s="8">
        <f t="shared" si="35"/>
        <v>3</v>
      </c>
      <c r="J165" s="8">
        <f t="shared" si="36"/>
        <v>6</v>
      </c>
      <c r="K165" s="8">
        <f t="shared" si="37"/>
        <v>9</v>
      </c>
      <c r="L165" s="8">
        <f t="shared" si="38"/>
        <v>12</v>
      </c>
      <c r="M165" s="49">
        <v>2</v>
      </c>
      <c r="N165" s="8">
        <v>4</v>
      </c>
      <c r="O165" s="55">
        <f t="shared" si="39"/>
        <v>6</v>
      </c>
    </row>
    <row r="166" spans="1:15" x14ac:dyDescent="0.3">
      <c r="A166" s="5" t="s">
        <v>335</v>
      </c>
      <c r="B166" s="6" t="s">
        <v>336</v>
      </c>
      <c r="C166" s="8" t="s">
        <v>308</v>
      </c>
      <c r="D166" s="15">
        <v>3150</v>
      </c>
      <c r="E166" s="8">
        <v>1</v>
      </c>
      <c r="F166" s="8">
        <v>2</v>
      </c>
      <c r="G166" s="8">
        <v>1</v>
      </c>
      <c r="H166" s="8">
        <v>1</v>
      </c>
      <c r="I166" s="8">
        <f t="shared" si="35"/>
        <v>1</v>
      </c>
      <c r="J166" s="8">
        <f t="shared" si="36"/>
        <v>2</v>
      </c>
      <c r="K166" s="8">
        <f t="shared" si="37"/>
        <v>3</v>
      </c>
      <c r="L166" s="8">
        <f t="shared" si="38"/>
        <v>4</v>
      </c>
      <c r="M166" s="49">
        <v>1</v>
      </c>
      <c r="N166" s="8">
        <v>0</v>
      </c>
      <c r="O166" s="55">
        <f t="shared" si="39"/>
        <v>3</v>
      </c>
    </row>
    <row r="167" spans="1:15" x14ac:dyDescent="0.3">
      <c r="A167" s="5" t="s">
        <v>337</v>
      </c>
      <c r="B167" s="6" t="s">
        <v>338</v>
      </c>
      <c r="C167" s="8" t="s">
        <v>308</v>
      </c>
      <c r="D167" s="15">
        <v>2808</v>
      </c>
      <c r="E167" s="8">
        <v>3</v>
      </c>
      <c r="F167" s="8">
        <v>2</v>
      </c>
      <c r="G167" s="8">
        <v>1</v>
      </c>
      <c r="H167" s="8">
        <v>1</v>
      </c>
      <c r="I167" s="8">
        <f t="shared" si="35"/>
        <v>3</v>
      </c>
      <c r="J167" s="8">
        <f t="shared" si="36"/>
        <v>6</v>
      </c>
      <c r="K167" s="8">
        <f t="shared" si="37"/>
        <v>9</v>
      </c>
      <c r="L167" s="8">
        <f t="shared" si="38"/>
        <v>12</v>
      </c>
      <c r="M167" s="49">
        <v>9</v>
      </c>
      <c r="N167" s="8">
        <v>0</v>
      </c>
      <c r="O167" s="55">
        <f t="shared" si="39"/>
        <v>3</v>
      </c>
    </row>
    <row r="168" spans="1:15" x14ac:dyDescent="0.3">
      <c r="A168" s="5" t="s">
        <v>339</v>
      </c>
      <c r="B168" s="6" t="s">
        <v>340</v>
      </c>
      <c r="C168" s="8" t="s">
        <v>308</v>
      </c>
      <c r="D168" s="15">
        <v>3630</v>
      </c>
      <c r="E168" s="8">
        <v>2</v>
      </c>
      <c r="F168" s="8">
        <v>2</v>
      </c>
      <c r="G168" s="8">
        <v>1</v>
      </c>
      <c r="H168" s="8">
        <v>1</v>
      </c>
      <c r="I168" s="8">
        <f t="shared" si="35"/>
        <v>2</v>
      </c>
      <c r="J168" s="8">
        <f t="shared" si="36"/>
        <v>4</v>
      </c>
      <c r="K168" s="8">
        <f t="shared" si="37"/>
        <v>6</v>
      </c>
      <c r="L168" s="8">
        <f t="shared" si="38"/>
        <v>8</v>
      </c>
      <c r="M168" s="49">
        <v>3</v>
      </c>
      <c r="N168" s="8">
        <v>0</v>
      </c>
      <c r="O168" s="55">
        <f t="shared" si="39"/>
        <v>5</v>
      </c>
    </row>
    <row r="169" spans="1:15" x14ac:dyDescent="0.3">
      <c r="A169" s="5" t="s">
        <v>341</v>
      </c>
      <c r="B169" s="6" t="s">
        <v>342</v>
      </c>
      <c r="C169" s="8" t="s">
        <v>308</v>
      </c>
      <c r="D169" s="15">
        <v>3630</v>
      </c>
      <c r="E169" s="8">
        <v>2</v>
      </c>
      <c r="F169" s="8">
        <v>2</v>
      </c>
      <c r="G169" s="8">
        <v>1</v>
      </c>
      <c r="H169" s="8">
        <v>1</v>
      </c>
      <c r="I169" s="8">
        <f t="shared" si="35"/>
        <v>2</v>
      </c>
      <c r="J169" s="8">
        <f t="shared" si="36"/>
        <v>4</v>
      </c>
      <c r="K169" s="8">
        <f t="shared" si="37"/>
        <v>6</v>
      </c>
      <c r="L169" s="8">
        <f t="shared" si="38"/>
        <v>8</v>
      </c>
      <c r="M169" s="49">
        <v>7</v>
      </c>
      <c r="N169" s="8">
        <v>1</v>
      </c>
      <c r="O169" s="55">
        <f t="shared" si="39"/>
        <v>0</v>
      </c>
    </row>
    <row r="170" spans="1:15" x14ac:dyDescent="0.3">
      <c r="A170" s="5" t="s">
        <v>343</v>
      </c>
      <c r="B170" s="6" t="s">
        <v>344</v>
      </c>
      <c r="C170" s="8" t="s">
        <v>308</v>
      </c>
      <c r="D170" s="15">
        <v>5744</v>
      </c>
      <c r="E170" s="8">
        <v>1</v>
      </c>
      <c r="F170" s="8">
        <v>1</v>
      </c>
      <c r="G170" s="8">
        <v>1</v>
      </c>
      <c r="H170" s="8">
        <v>1</v>
      </c>
      <c r="I170" s="8">
        <f t="shared" si="35"/>
        <v>1</v>
      </c>
      <c r="J170" s="8">
        <f t="shared" si="36"/>
        <v>1</v>
      </c>
      <c r="K170" s="8">
        <f t="shared" si="37"/>
        <v>2</v>
      </c>
      <c r="L170" s="8">
        <f t="shared" si="38"/>
        <v>3</v>
      </c>
      <c r="M170" s="49">
        <v>0</v>
      </c>
      <c r="N170" s="8">
        <v>0</v>
      </c>
      <c r="O170" s="55">
        <f t="shared" si="39"/>
        <v>3</v>
      </c>
    </row>
    <row r="171" spans="1:15" x14ac:dyDescent="0.3">
      <c r="A171" s="5" t="s">
        <v>345</v>
      </c>
      <c r="B171" s="6" t="s">
        <v>346</v>
      </c>
      <c r="C171" s="8" t="s">
        <v>308</v>
      </c>
      <c r="D171" s="15">
        <v>4869</v>
      </c>
      <c r="E171" s="8">
        <v>1</v>
      </c>
      <c r="F171" s="8">
        <v>1</v>
      </c>
      <c r="G171" s="8">
        <v>1</v>
      </c>
      <c r="H171" s="8">
        <v>1</v>
      </c>
      <c r="I171" s="8">
        <f t="shared" si="35"/>
        <v>1</v>
      </c>
      <c r="J171" s="8">
        <f t="shared" si="36"/>
        <v>1</v>
      </c>
      <c r="K171" s="8">
        <f t="shared" si="37"/>
        <v>2</v>
      </c>
      <c r="L171" s="8">
        <f t="shared" si="38"/>
        <v>3</v>
      </c>
      <c r="M171" s="49">
        <v>2</v>
      </c>
      <c r="N171" s="8">
        <v>0</v>
      </c>
      <c r="O171" s="55">
        <f t="shared" si="39"/>
        <v>1</v>
      </c>
    </row>
    <row r="172" spans="1:15" x14ac:dyDescent="0.3">
      <c r="A172" s="5" t="s">
        <v>347</v>
      </c>
      <c r="B172" s="6" t="s">
        <v>348</v>
      </c>
      <c r="C172" s="8" t="s">
        <v>308</v>
      </c>
      <c r="D172" s="15">
        <v>1200</v>
      </c>
      <c r="E172" s="8">
        <v>0.25</v>
      </c>
      <c r="F172" s="8">
        <v>1</v>
      </c>
      <c r="G172" s="8">
        <v>1</v>
      </c>
      <c r="H172" s="8">
        <v>1</v>
      </c>
      <c r="I172" s="8">
        <f t="shared" si="35"/>
        <v>0</v>
      </c>
      <c r="J172" s="8">
        <f t="shared" si="36"/>
        <v>0</v>
      </c>
      <c r="K172" s="8">
        <f t="shared" si="37"/>
        <v>0</v>
      </c>
      <c r="L172" s="8">
        <f t="shared" si="38"/>
        <v>1</v>
      </c>
      <c r="M172" s="49">
        <v>0</v>
      </c>
      <c r="N172" s="8">
        <v>0</v>
      </c>
      <c r="O172" s="55">
        <f t="shared" si="39"/>
        <v>1</v>
      </c>
    </row>
    <row r="173" spans="1:15" x14ac:dyDescent="0.3">
      <c r="A173" s="5" t="s">
        <v>349</v>
      </c>
      <c r="B173" s="6" t="s">
        <v>350</v>
      </c>
      <c r="C173" s="8" t="s">
        <v>308</v>
      </c>
      <c r="D173" s="15">
        <v>5225</v>
      </c>
      <c r="E173" s="8">
        <f>10*0.05</f>
        <v>0.5</v>
      </c>
      <c r="F173" s="8">
        <v>1</v>
      </c>
      <c r="G173" s="8">
        <v>1</v>
      </c>
      <c r="H173" s="8">
        <v>1</v>
      </c>
      <c r="I173" s="8">
        <f t="shared" si="35"/>
        <v>1</v>
      </c>
      <c r="J173" s="8">
        <f t="shared" si="36"/>
        <v>1</v>
      </c>
      <c r="K173" s="8">
        <f t="shared" si="37"/>
        <v>2</v>
      </c>
      <c r="L173" s="8">
        <f t="shared" si="38"/>
        <v>2</v>
      </c>
      <c r="M173" s="49">
        <v>2</v>
      </c>
      <c r="N173" s="8">
        <v>0</v>
      </c>
      <c r="O173" s="55">
        <f t="shared" si="39"/>
        <v>0</v>
      </c>
    </row>
    <row r="174" spans="1:15" x14ac:dyDescent="0.3">
      <c r="A174" s="5" t="s">
        <v>351</v>
      </c>
      <c r="B174" s="6" t="s">
        <v>352</v>
      </c>
      <c r="C174" s="8" t="s">
        <v>308</v>
      </c>
      <c r="D174" s="15">
        <v>0</v>
      </c>
      <c r="E174" s="8">
        <v>0</v>
      </c>
      <c r="F174" s="8">
        <v>1</v>
      </c>
      <c r="G174" s="8">
        <v>1</v>
      </c>
      <c r="H174" s="8">
        <v>1</v>
      </c>
      <c r="I174" s="8">
        <f t="shared" si="35"/>
        <v>0</v>
      </c>
      <c r="J174" s="8">
        <f t="shared" si="36"/>
        <v>0</v>
      </c>
      <c r="K174" s="8">
        <f t="shared" si="37"/>
        <v>0</v>
      </c>
      <c r="L174" s="8">
        <f t="shared" si="38"/>
        <v>0</v>
      </c>
      <c r="M174" s="49">
        <v>0</v>
      </c>
      <c r="N174" s="8">
        <v>0</v>
      </c>
      <c r="O174" s="55">
        <f t="shared" si="39"/>
        <v>0</v>
      </c>
    </row>
    <row r="175" spans="1:15" x14ac:dyDescent="0.3">
      <c r="A175" s="5" t="s">
        <v>353</v>
      </c>
      <c r="B175" s="6" t="s">
        <v>354</v>
      </c>
      <c r="C175" s="8" t="s">
        <v>308</v>
      </c>
      <c r="D175" s="15">
        <v>7076</v>
      </c>
      <c r="E175" s="8">
        <v>0</v>
      </c>
      <c r="F175" s="8">
        <v>1</v>
      </c>
      <c r="G175" s="8">
        <v>1</v>
      </c>
      <c r="H175" s="8">
        <v>1</v>
      </c>
      <c r="I175" s="8">
        <f t="shared" si="35"/>
        <v>0</v>
      </c>
      <c r="J175" s="8">
        <f t="shared" si="36"/>
        <v>0</v>
      </c>
      <c r="K175" s="8">
        <f t="shared" si="37"/>
        <v>0</v>
      </c>
      <c r="L175" s="8">
        <f t="shared" si="38"/>
        <v>0</v>
      </c>
      <c r="M175" s="49">
        <v>0</v>
      </c>
      <c r="N175" s="8">
        <v>0</v>
      </c>
      <c r="O175" s="55">
        <f t="shared" si="39"/>
        <v>0</v>
      </c>
    </row>
    <row r="176" spans="1:15" x14ac:dyDescent="0.3">
      <c r="A176" s="5" t="s">
        <v>329</v>
      </c>
      <c r="B176" s="6" t="s">
        <v>330</v>
      </c>
      <c r="C176" s="8" t="s">
        <v>308</v>
      </c>
      <c r="D176" s="15">
        <v>7897.17</v>
      </c>
      <c r="E176" s="8">
        <f>3*0.05</f>
        <v>0.15000000000000002</v>
      </c>
      <c r="F176" s="8">
        <v>2</v>
      </c>
      <c r="G176" s="8">
        <v>1</v>
      </c>
      <c r="H176" s="8">
        <v>1</v>
      </c>
      <c r="I176" s="8">
        <f>MROUND(E176*G176,1)</f>
        <v>0</v>
      </c>
      <c r="J176" s="8">
        <f>MROUND(E176*F176,1)</f>
        <v>0</v>
      </c>
      <c r="K176" s="8">
        <f>MROUND(I176+J176,1)</f>
        <v>0</v>
      </c>
      <c r="L176" s="8">
        <f>MROUND(E176*(F176+G176+H176),1)</f>
        <v>1</v>
      </c>
      <c r="M176" s="49">
        <v>0</v>
      </c>
      <c r="N176" s="8">
        <v>0</v>
      </c>
      <c r="O176" s="55">
        <f>IF(M176&lt;=K176,L176-M176-N176,0)</f>
        <v>1</v>
      </c>
    </row>
    <row r="177" spans="1:15" x14ac:dyDescent="0.3">
      <c r="A177" s="5" t="s">
        <v>355</v>
      </c>
      <c r="B177" s="6" t="s">
        <v>356</v>
      </c>
      <c r="C177" s="8" t="s">
        <v>357</v>
      </c>
      <c r="D177" s="15">
        <v>1340</v>
      </c>
      <c r="E177" s="8">
        <v>8</v>
      </c>
      <c r="F177" s="8">
        <v>1</v>
      </c>
      <c r="G177" s="8">
        <v>0.5</v>
      </c>
      <c r="H177" s="8">
        <v>1</v>
      </c>
      <c r="I177" s="8">
        <f t="shared" si="35"/>
        <v>4</v>
      </c>
      <c r="J177" s="8">
        <f t="shared" si="36"/>
        <v>8</v>
      </c>
      <c r="K177" s="8">
        <f t="shared" si="37"/>
        <v>12</v>
      </c>
      <c r="L177" s="8">
        <f t="shared" si="38"/>
        <v>20</v>
      </c>
      <c r="M177" s="49">
        <v>6</v>
      </c>
      <c r="N177" s="8">
        <v>0</v>
      </c>
      <c r="O177" s="55">
        <f t="shared" si="39"/>
        <v>14</v>
      </c>
    </row>
    <row r="178" spans="1:15" x14ac:dyDescent="0.3">
      <c r="A178" s="5" t="s">
        <v>360</v>
      </c>
      <c r="B178" s="6" t="s">
        <v>361</v>
      </c>
      <c r="C178" s="8" t="s">
        <v>357</v>
      </c>
      <c r="D178" s="15">
        <v>1632</v>
      </c>
      <c r="E178" s="8">
        <v>6</v>
      </c>
      <c r="F178" s="8">
        <v>1</v>
      </c>
      <c r="G178" s="8">
        <v>0.5</v>
      </c>
      <c r="H178" s="8">
        <v>1</v>
      </c>
      <c r="I178" s="8">
        <f t="shared" si="35"/>
        <v>3</v>
      </c>
      <c r="J178" s="8">
        <f t="shared" si="36"/>
        <v>6</v>
      </c>
      <c r="K178" s="8">
        <f t="shared" si="37"/>
        <v>9</v>
      </c>
      <c r="L178" s="8">
        <f t="shared" si="38"/>
        <v>15</v>
      </c>
      <c r="M178" s="49">
        <v>2</v>
      </c>
      <c r="N178" s="8">
        <v>0</v>
      </c>
      <c r="O178" s="55">
        <f t="shared" si="39"/>
        <v>13</v>
      </c>
    </row>
    <row r="179" spans="1:15" x14ac:dyDescent="0.3">
      <c r="A179" s="5" t="s">
        <v>364</v>
      </c>
      <c r="B179" s="6" t="s">
        <v>365</v>
      </c>
      <c r="C179" s="8" t="s">
        <v>357</v>
      </c>
      <c r="D179" s="15">
        <v>2025</v>
      </c>
      <c r="E179" s="8">
        <v>4</v>
      </c>
      <c r="F179" s="8">
        <v>1</v>
      </c>
      <c r="G179" s="8">
        <v>0.5</v>
      </c>
      <c r="H179" s="8">
        <v>1</v>
      </c>
      <c r="I179" s="8">
        <f t="shared" si="35"/>
        <v>2</v>
      </c>
      <c r="J179" s="8">
        <f t="shared" si="36"/>
        <v>4</v>
      </c>
      <c r="K179" s="8">
        <f t="shared" si="37"/>
        <v>6</v>
      </c>
      <c r="L179" s="8">
        <f t="shared" si="38"/>
        <v>10</v>
      </c>
      <c r="M179" s="49">
        <v>0</v>
      </c>
      <c r="N179" s="8">
        <v>0</v>
      </c>
      <c r="O179" s="55">
        <f t="shared" si="39"/>
        <v>10</v>
      </c>
    </row>
    <row r="180" spans="1:15" x14ac:dyDescent="0.3">
      <c r="A180" s="5" t="s">
        <v>368</v>
      </c>
      <c r="B180" s="6" t="s">
        <v>369</v>
      </c>
      <c r="C180" s="8" t="s">
        <v>357</v>
      </c>
      <c r="D180" s="15">
        <v>2617</v>
      </c>
      <c r="E180" s="8">
        <v>6</v>
      </c>
      <c r="F180" s="8">
        <v>1</v>
      </c>
      <c r="G180" s="8">
        <v>0.5</v>
      </c>
      <c r="H180" s="8">
        <v>1</v>
      </c>
      <c r="I180" s="8">
        <f t="shared" si="35"/>
        <v>3</v>
      </c>
      <c r="J180" s="8">
        <f t="shared" si="36"/>
        <v>6</v>
      </c>
      <c r="K180" s="8">
        <f t="shared" si="37"/>
        <v>9</v>
      </c>
      <c r="L180" s="8">
        <f t="shared" si="38"/>
        <v>15</v>
      </c>
      <c r="M180" s="49">
        <v>9</v>
      </c>
      <c r="N180" s="8">
        <v>0</v>
      </c>
      <c r="O180" s="55">
        <f t="shared" si="39"/>
        <v>6</v>
      </c>
    </row>
    <row r="181" spans="1:15" x14ac:dyDescent="0.3">
      <c r="A181" s="5" t="s">
        <v>372</v>
      </c>
      <c r="B181" s="6" t="s">
        <v>373</v>
      </c>
      <c r="C181" s="8" t="s">
        <v>357</v>
      </c>
      <c r="D181" s="15">
        <v>3010</v>
      </c>
      <c r="E181" s="8">
        <v>5</v>
      </c>
      <c r="F181" s="8">
        <v>1</v>
      </c>
      <c r="G181" s="8">
        <v>0.5</v>
      </c>
      <c r="H181" s="8">
        <v>1</v>
      </c>
      <c r="I181" s="8">
        <f t="shared" si="35"/>
        <v>3</v>
      </c>
      <c r="J181" s="8">
        <f t="shared" si="36"/>
        <v>5</v>
      </c>
      <c r="K181" s="8">
        <f t="shared" si="37"/>
        <v>8</v>
      </c>
      <c r="L181" s="8">
        <f t="shared" si="38"/>
        <v>13</v>
      </c>
      <c r="M181" s="49">
        <v>8</v>
      </c>
      <c r="N181" s="8">
        <v>0</v>
      </c>
      <c r="O181" s="55">
        <f t="shared" si="39"/>
        <v>5</v>
      </c>
    </row>
    <row r="182" spans="1:15" x14ac:dyDescent="0.3">
      <c r="A182" s="5" t="s">
        <v>374</v>
      </c>
      <c r="B182" s="6" t="s">
        <v>375</v>
      </c>
      <c r="C182" s="8" t="s">
        <v>357</v>
      </c>
      <c r="D182" s="15">
        <v>3685</v>
      </c>
      <c r="E182" s="8">
        <v>3</v>
      </c>
      <c r="F182" s="8">
        <v>1</v>
      </c>
      <c r="G182" s="8">
        <v>0.5</v>
      </c>
      <c r="H182" s="8">
        <v>1</v>
      </c>
      <c r="I182" s="8">
        <f>MROUND(E182*G182,1)</f>
        <v>2</v>
      </c>
      <c r="J182" s="8">
        <f>MROUND(E182*F182,1)</f>
        <v>3</v>
      </c>
      <c r="K182" s="8">
        <f>MROUND(I182+J182,1)</f>
        <v>5</v>
      </c>
      <c r="L182" s="8">
        <f>MROUND(E182*(F182+G182+H182),1)</f>
        <v>8</v>
      </c>
      <c r="M182" s="49">
        <v>4</v>
      </c>
      <c r="N182" s="8">
        <v>0</v>
      </c>
      <c r="O182" s="55">
        <f>IF(M182&lt;=K182,L182-M182-N182,0)</f>
        <v>4</v>
      </c>
    </row>
    <row r="183" spans="1:15" x14ac:dyDescent="0.3">
      <c r="A183" s="5" t="s">
        <v>358</v>
      </c>
      <c r="B183" s="6" t="s">
        <v>359</v>
      </c>
      <c r="C183" s="8" t="s">
        <v>357</v>
      </c>
      <c r="D183" s="15">
        <v>0</v>
      </c>
      <c r="E183" s="8">
        <v>0</v>
      </c>
      <c r="F183" s="8">
        <v>1</v>
      </c>
      <c r="G183" s="8">
        <v>0.5</v>
      </c>
      <c r="H183" s="8">
        <v>1</v>
      </c>
      <c r="I183" s="8">
        <f>MROUND(E183*G183,1)</f>
        <v>0</v>
      </c>
      <c r="J183" s="8">
        <f>MROUND(E183*F183,1)</f>
        <v>0</v>
      </c>
      <c r="K183" s="8">
        <f>MROUND(I183+J183,1)</f>
        <v>0</v>
      </c>
      <c r="L183" s="8">
        <f>MROUND(E183*(F183+G183+H183),1)</f>
        <v>0</v>
      </c>
      <c r="M183" s="49">
        <v>1</v>
      </c>
      <c r="N183" s="8">
        <v>0</v>
      </c>
      <c r="O183" s="55">
        <f>IF(M183&lt;=K183,L183-M183-N183,0)</f>
        <v>0</v>
      </c>
    </row>
    <row r="184" spans="1:15" x14ac:dyDescent="0.3">
      <c r="A184" s="5" t="s">
        <v>362</v>
      </c>
      <c r="B184" s="6" t="s">
        <v>363</v>
      </c>
      <c r="C184" s="8" t="s">
        <v>357</v>
      </c>
      <c r="D184" s="15">
        <v>2077</v>
      </c>
      <c r="E184" s="8">
        <v>0</v>
      </c>
      <c r="F184" s="8">
        <v>1</v>
      </c>
      <c r="G184" s="8">
        <v>0.5</v>
      </c>
      <c r="H184" s="8">
        <v>1</v>
      </c>
      <c r="I184" s="8">
        <f>MROUND(E184*G184,1)</f>
        <v>0</v>
      </c>
      <c r="J184" s="8">
        <f>MROUND(E184*F184,1)</f>
        <v>0</v>
      </c>
      <c r="K184" s="8">
        <f>MROUND(I184+J184,1)</f>
        <v>0</v>
      </c>
      <c r="L184" s="8">
        <f>MROUND(E184*(F184+G184+H184),1)</f>
        <v>0</v>
      </c>
      <c r="M184" s="49">
        <v>4</v>
      </c>
      <c r="N184" s="8">
        <v>0</v>
      </c>
      <c r="O184" s="55">
        <f>IF(M184&lt;=K184,L184-M184-N184,0)</f>
        <v>0</v>
      </c>
    </row>
    <row r="185" spans="1:15" x14ac:dyDescent="0.3">
      <c r="A185" s="5" t="s">
        <v>366</v>
      </c>
      <c r="B185" s="6" t="s">
        <v>367</v>
      </c>
      <c r="C185" s="8" t="s">
        <v>357</v>
      </c>
      <c r="D185" s="15">
        <v>2608</v>
      </c>
      <c r="E185" s="8">
        <v>0</v>
      </c>
      <c r="F185" s="8">
        <v>1</v>
      </c>
      <c r="G185" s="8">
        <v>0.5</v>
      </c>
      <c r="H185" s="8">
        <v>1</v>
      </c>
      <c r="I185" s="8">
        <f>MROUND(E185*G185,1)</f>
        <v>0</v>
      </c>
      <c r="J185" s="8">
        <f>MROUND(E185*F185,1)</f>
        <v>0</v>
      </c>
      <c r="K185" s="8">
        <f>MROUND(I185+J185,1)</f>
        <v>0</v>
      </c>
      <c r="L185" s="8">
        <f>MROUND(E185*(F185+G185+H185),1)</f>
        <v>0</v>
      </c>
      <c r="M185" s="49">
        <v>7</v>
      </c>
      <c r="N185" s="8">
        <v>0</v>
      </c>
      <c r="O185" s="55">
        <f>IF(M185&lt;=K185,L185-M185-N185,0)</f>
        <v>0</v>
      </c>
    </row>
    <row r="186" spans="1:15" x14ac:dyDescent="0.3">
      <c r="A186" s="5" t="s">
        <v>370</v>
      </c>
      <c r="B186" s="6" t="s">
        <v>371</v>
      </c>
      <c r="C186" s="8" t="s">
        <v>357</v>
      </c>
      <c r="D186" s="15">
        <v>3435</v>
      </c>
      <c r="E186" s="8">
        <v>0</v>
      </c>
      <c r="F186" s="8">
        <v>1</v>
      </c>
      <c r="G186" s="8">
        <v>0.5</v>
      </c>
      <c r="H186" s="8">
        <v>1</v>
      </c>
      <c r="I186" s="8">
        <f>MROUND(E186*G186,1)</f>
        <v>0</v>
      </c>
      <c r="J186" s="8">
        <f>MROUND(E186*F186,1)</f>
        <v>0</v>
      </c>
      <c r="K186" s="8">
        <f>MROUND(I186+J186,1)</f>
        <v>0</v>
      </c>
      <c r="L186" s="8">
        <f>MROUND(E186*(F186+G186+H186),1)</f>
        <v>0</v>
      </c>
      <c r="M186" s="49">
        <v>4</v>
      </c>
      <c r="N186" s="8">
        <v>0</v>
      </c>
      <c r="O186" s="55">
        <f>IF(M186&lt;=K186,L186-M186-N186,0)</f>
        <v>0</v>
      </c>
    </row>
    <row r="187" spans="1:15" x14ac:dyDescent="0.3">
      <c r="A187" s="5" t="s">
        <v>376</v>
      </c>
      <c r="B187" s="6" t="s">
        <v>377</v>
      </c>
      <c r="C187" s="8" t="s">
        <v>357</v>
      </c>
      <c r="D187" s="15">
        <v>3500.75</v>
      </c>
      <c r="E187" s="8">
        <v>0</v>
      </c>
      <c r="F187" s="8">
        <v>1</v>
      </c>
      <c r="G187" s="8">
        <v>0.5</v>
      </c>
      <c r="H187" s="8">
        <v>1</v>
      </c>
      <c r="I187" s="8">
        <f t="shared" si="35"/>
        <v>0</v>
      </c>
      <c r="J187" s="8">
        <f t="shared" si="36"/>
        <v>0</v>
      </c>
      <c r="K187" s="8">
        <f t="shared" si="37"/>
        <v>0</v>
      </c>
      <c r="L187" s="8">
        <f t="shared" si="38"/>
        <v>0</v>
      </c>
      <c r="M187" s="49">
        <v>2</v>
      </c>
      <c r="N187" s="8">
        <v>0</v>
      </c>
      <c r="O187" s="55">
        <f t="shared" si="39"/>
        <v>0</v>
      </c>
    </row>
    <row r="188" spans="1:15" x14ac:dyDescent="0.3">
      <c r="A188" s="5" t="s">
        <v>378</v>
      </c>
      <c r="B188" s="6" t="s">
        <v>379</v>
      </c>
      <c r="C188" s="8" t="s">
        <v>357</v>
      </c>
      <c r="D188" s="15">
        <v>4804</v>
      </c>
      <c r="E188" s="8">
        <v>0</v>
      </c>
      <c r="F188" s="8">
        <v>1</v>
      </c>
      <c r="G188" s="8">
        <v>0.5</v>
      </c>
      <c r="H188" s="8">
        <v>1</v>
      </c>
      <c r="I188" s="8">
        <f t="shared" si="35"/>
        <v>0</v>
      </c>
      <c r="J188" s="8">
        <f t="shared" si="36"/>
        <v>0</v>
      </c>
      <c r="K188" s="8">
        <f t="shared" si="37"/>
        <v>0</v>
      </c>
      <c r="L188" s="8">
        <f t="shared" si="38"/>
        <v>0</v>
      </c>
      <c r="M188" s="49">
        <v>3</v>
      </c>
      <c r="N188" s="8">
        <v>0</v>
      </c>
      <c r="O188" s="55">
        <f t="shared" si="39"/>
        <v>0</v>
      </c>
    </row>
    <row r="189" spans="1:15" x14ac:dyDescent="0.3">
      <c r="A189" s="5" t="s">
        <v>380</v>
      </c>
      <c r="B189" s="6" t="s">
        <v>381</v>
      </c>
      <c r="C189" s="8" t="s">
        <v>382</v>
      </c>
      <c r="D189" s="15">
        <v>341</v>
      </c>
      <c r="E189" s="8">
        <v>2</v>
      </c>
      <c r="F189" s="8">
        <v>1</v>
      </c>
      <c r="G189" s="8">
        <v>0.5</v>
      </c>
      <c r="H189" s="8">
        <v>1</v>
      </c>
      <c r="I189" s="8">
        <f t="shared" si="35"/>
        <v>1</v>
      </c>
      <c r="J189" s="8">
        <f t="shared" si="36"/>
        <v>2</v>
      </c>
      <c r="K189" s="8">
        <f t="shared" si="37"/>
        <v>3</v>
      </c>
      <c r="L189" s="8">
        <f t="shared" si="38"/>
        <v>5</v>
      </c>
      <c r="M189" s="49">
        <v>0</v>
      </c>
      <c r="N189" s="8">
        <v>0</v>
      </c>
      <c r="O189" s="55">
        <f t="shared" si="39"/>
        <v>5</v>
      </c>
    </row>
    <row r="190" spans="1:15" x14ac:dyDescent="0.3">
      <c r="A190" s="5" t="s">
        <v>383</v>
      </c>
      <c r="B190" s="6" t="s">
        <v>384</v>
      </c>
      <c r="C190" s="8" t="s">
        <v>382</v>
      </c>
      <c r="D190" s="15">
        <v>448</v>
      </c>
      <c r="E190" s="8">
        <v>1</v>
      </c>
      <c r="F190" s="8">
        <v>1</v>
      </c>
      <c r="G190" s="8">
        <v>0.5</v>
      </c>
      <c r="H190" s="8">
        <v>1</v>
      </c>
      <c r="I190" s="8">
        <f t="shared" si="35"/>
        <v>1</v>
      </c>
      <c r="J190" s="8">
        <f t="shared" si="36"/>
        <v>1</v>
      </c>
      <c r="K190" s="8">
        <f t="shared" si="37"/>
        <v>2</v>
      </c>
      <c r="L190" s="8">
        <f t="shared" si="38"/>
        <v>3</v>
      </c>
      <c r="M190" s="49">
        <v>4</v>
      </c>
      <c r="N190" s="8">
        <v>0</v>
      </c>
      <c r="O190" s="55">
        <f t="shared" si="39"/>
        <v>0</v>
      </c>
    </row>
    <row r="191" spans="1:15" x14ac:dyDescent="0.3">
      <c r="A191" s="5" t="s">
        <v>385</v>
      </c>
      <c r="B191" s="6" t="s">
        <v>386</v>
      </c>
      <c r="C191" s="8" t="s">
        <v>382</v>
      </c>
      <c r="D191" s="15">
        <v>478</v>
      </c>
      <c r="E191" s="8">
        <v>6</v>
      </c>
      <c r="F191" s="8">
        <v>1</v>
      </c>
      <c r="G191" s="8">
        <v>0.5</v>
      </c>
      <c r="H191" s="8">
        <v>1</v>
      </c>
      <c r="I191" s="8">
        <f t="shared" si="35"/>
        <v>3</v>
      </c>
      <c r="J191" s="8">
        <f t="shared" si="36"/>
        <v>6</v>
      </c>
      <c r="K191" s="8">
        <f t="shared" si="37"/>
        <v>9</v>
      </c>
      <c r="L191" s="8">
        <f t="shared" si="38"/>
        <v>15</v>
      </c>
      <c r="M191" s="49">
        <v>11</v>
      </c>
      <c r="N191" s="8">
        <v>0</v>
      </c>
      <c r="O191" s="55">
        <f t="shared" si="39"/>
        <v>0</v>
      </c>
    </row>
    <row r="192" spans="1:15" x14ac:dyDescent="0.3">
      <c r="A192" s="5" t="s">
        <v>387</v>
      </c>
      <c r="B192" s="6" t="s">
        <v>388</v>
      </c>
      <c r="C192" s="8" t="s">
        <v>382</v>
      </c>
      <c r="D192" s="15">
        <v>250</v>
      </c>
      <c r="E192" s="8">
        <v>10</v>
      </c>
      <c r="F192" s="8">
        <v>1</v>
      </c>
      <c r="G192" s="8">
        <v>0.5</v>
      </c>
      <c r="H192" s="8">
        <v>1</v>
      </c>
      <c r="I192" s="8">
        <f t="shared" si="35"/>
        <v>5</v>
      </c>
      <c r="J192" s="8">
        <f t="shared" si="36"/>
        <v>10</v>
      </c>
      <c r="K192" s="8">
        <f t="shared" si="37"/>
        <v>15</v>
      </c>
      <c r="L192" s="8">
        <f t="shared" si="38"/>
        <v>25</v>
      </c>
      <c r="M192" s="49">
        <v>6</v>
      </c>
      <c r="N192" s="8">
        <v>0</v>
      </c>
      <c r="O192" s="55">
        <f t="shared" si="39"/>
        <v>19</v>
      </c>
    </row>
    <row r="193" spans="1:15" x14ac:dyDescent="0.3">
      <c r="A193" s="5" t="s">
        <v>389</v>
      </c>
      <c r="B193" s="6" t="s">
        <v>390</v>
      </c>
      <c r="C193" s="8" t="s">
        <v>382</v>
      </c>
      <c r="D193" s="15">
        <v>595</v>
      </c>
      <c r="E193" s="8">
        <v>8</v>
      </c>
      <c r="F193" s="8">
        <v>1</v>
      </c>
      <c r="G193" s="8">
        <v>0.5</v>
      </c>
      <c r="H193" s="8">
        <v>1</v>
      </c>
      <c r="I193" s="8">
        <f t="shared" si="35"/>
        <v>4</v>
      </c>
      <c r="J193" s="8">
        <f t="shared" si="36"/>
        <v>8</v>
      </c>
      <c r="K193" s="8">
        <f t="shared" si="37"/>
        <v>12</v>
      </c>
      <c r="L193" s="8">
        <f t="shared" si="38"/>
        <v>20</v>
      </c>
      <c r="M193" s="49">
        <v>6</v>
      </c>
      <c r="N193" s="8">
        <v>0</v>
      </c>
      <c r="O193" s="55">
        <f t="shared" si="39"/>
        <v>14</v>
      </c>
    </row>
    <row r="194" spans="1:15" x14ac:dyDescent="0.3">
      <c r="A194" s="5" t="s">
        <v>391</v>
      </c>
      <c r="B194" s="6" t="s">
        <v>392</v>
      </c>
      <c r="C194" s="8" t="s">
        <v>382</v>
      </c>
      <c r="D194" s="15">
        <v>679</v>
      </c>
      <c r="E194" s="8">
        <v>18</v>
      </c>
      <c r="F194" s="8">
        <v>1</v>
      </c>
      <c r="G194" s="8">
        <v>0.5</v>
      </c>
      <c r="H194" s="8">
        <v>1</v>
      </c>
      <c r="I194" s="8">
        <f t="shared" si="35"/>
        <v>9</v>
      </c>
      <c r="J194" s="8">
        <f t="shared" si="36"/>
        <v>18</v>
      </c>
      <c r="K194" s="8">
        <f t="shared" si="37"/>
        <v>27</v>
      </c>
      <c r="L194" s="8">
        <f t="shared" si="38"/>
        <v>45</v>
      </c>
      <c r="M194" s="49">
        <v>29</v>
      </c>
      <c r="N194" s="8">
        <v>0</v>
      </c>
      <c r="O194" s="55">
        <f t="shared" si="39"/>
        <v>0</v>
      </c>
    </row>
    <row r="195" spans="1:15" x14ac:dyDescent="0.3">
      <c r="A195" s="5" t="s">
        <v>393</v>
      </c>
      <c r="B195" s="6" t="s">
        <v>394</v>
      </c>
      <c r="C195" s="8" t="s">
        <v>382</v>
      </c>
      <c r="D195" s="15">
        <v>731</v>
      </c>
      <c r="E195" s="8">
        <v>3</v>
      </c>
      <c r="F195" s="8">
        <v>1</v>
      </c>
      <c r="G195" s="8">
        <v>0.5</v>
      </c>
      <c r="H195" s="8">
        <v>1</v>
      </c>
      <c r="I195" s="8">
        <f t="shared" si="35"/>
        <v>2</v>
      </c>
      <c r="J195" s="8">
        <f t="shared" si="36"/>
        <v>3</v>
      </c>
      <c r="K195" s="8">
        <f t="shared" si="37"/>
        <v>5</v>
      </c>
      <c r="L195" s="8">
        <f t="shared" si="38"/>
        <v>8</v>
      </c>
      <c r="M195" s="49">
        <v>0</v>
      </c>
      <c r="N195" s="8">
        <v>0</v>
      </c>
      <c r="O195" s="55">
        <f t="shared" si="39"/>
        <v>8</v>
      </c>
    </row>
    <row r="196" spans="1:15" x14ac:dyDescent="0.3">
      <c r="A196" s="5" t="s">
        <v>395</v>
      </c>
      <c r="B196" s="6" t="s">
        <v>396</v>
      </c>
      <c r="C196" s="8" t="s">
        <v>397</v>
      </c>
      <c r="D196" s="15">
        <v>30</v>
      </c>
      <c r="E196" s="8">
        <v>2</v>
      </c>
      <c r="F196" s="8">
        <v>1</v>
      </c>
      <c r="G196" s="8">
        <v>0.5</v>
      </c>
      <c r="H196" s="8">
        <v>1</v>
      </c>
      <c r="I196" s="8">
        <f t="shared" ref="I196:I228" si="45">MROUND(E196*G196,1)</f>
        <v>1</v>
      </c>
      <c r="J196" s="8">
        <f t="shared" ref="J196:J228" si="46">MROUND(E196*F196,1)</f>
        <v>2</v>
      </c>
      <c r="K196" s="8">
        <f t="shared" ref="K196:K228" si="47">MROUND(I196+J196,1)</f>
        <v>3</v>
      </c>
      <c r="L196" s="8">
        <f t="shared" ref="L196:L228" si="48">MROUND(E196*(F196+G196+H196),1)</f>
        <v>5</v>
      </c>
      <c r="M196" s="49">
        <v>16</v>
      </c>
      <c r="N196" s="8">
        <v>0</v>
      </c>
      <c r="O196" s="55">
        <f t="shared" ref="O196:O228" si="49">IF(M196&lt;=K196,L196-M196-N196,0)</f>
        <v>0</v>
      </c>
    </row>
    <row r="197" spans="1:15" x14ac:dyDescent="0.3">
      <c r="A197" s="10" t="s">
        <v>398</v>
      </c>
      <c r="B197" s="6" t="s">
        <v>399</v>
      </c>
      <c r="C197" s="8" t="s">
        <v>397</v>
      </c>
      <c r="D197" s="15">
        <v>0.24</v>
      </c>
      <c r="E197" s="8">
        <v>50</v>
      </c>
      <c r="F197" s="8">
        <v>1</v>
      </c>
      <c r="G197" s="8">
        <v>1</v>
      </c>
      <c r="H197" s="8">
        <v>1</v>
      </c>
      <c r="I197" s="8">
        <f t="shared" si="45"/>
        <v>50</v>
      </c>
      <c r="J197" s="8">
        <f t="shared" si="46"/>
        <v>50</v>
      </c>
      <c r="K197" s="8">
        <f t="shared" si="47"/>
        <v>100</v>
      </c>
      <c r="L197" s="8">
        <f t="shared" si="48"/>
        <v>150</v>
      </c>
      <c r="M197" s="49">
        <v>200</v>
      </c>
      <c r="N197" s="8">
        <v>0</v>
      </c>
      <c r="O197" s="55">
        <f t="shared" si="49"/>
        <v>0</v>
      </c>
    </row>
    <row r="198" spans="1:15" x14ac:dyDescent="0.3">
      <c r="A198" s="5" t="s">
        <v>400</v>
      </c>
      <c r="B198" s="6" t="s">
        <v>401</v>
      </c>
      <c r="C198" s="8" t="s">
        <v>397</v>
      </c>
      <c r="D198" s="15">
        <v>0.24</v>
      </c>
      <c r="E198" s="8">
        <v>50</v>
      </c>
      <c r="F198" s="8">
        <v>1</v>
      </c>
      <c r="G198" s="8">
        <v>1</v>
      </c>
      <c r="H198" s="8">
        <v>1</v>
      </c>
      <c r="I198" s="8">
        <f t="shared" si="45"/>
        <v>50</v>
      </c>
      <c r="J198" s="8">
        <f t="shared" si="46"/>
        <v>50</v>
      </c>
      <c r="K198" s="8">
        <f t="shared" si="47"/>
        <v>100</v>
      </c>
      <c r="L198" s="8">
        <f t="shared" si="48"/>
        <v>150</v>
      </c>
      <c r="M198" s="49">
        <v>800</v>
      </c>
      <c r="N198" s="8">
        <v>0</v>
      </c>
      <c r="O198" s="55">
        <f t="shared" si="49"/>
        <v>0</v>
      </c>
    </row>
    <row r="199" spans="1:15" x14ac:dyDescent="0.3">
      <c r="A199" s="5" t="s">
        <v>402</v>
      </c>
      <c r="B199" s="6" t="s">
        <v>403</v>
      </c>
      <c r="C199" s="8" t="s">
        <v>397</v>
      </c>
      <c r="D199" s="15">
        <v>30</v>
      </c>
      <c r="E199" s="8">
        <v>10</v>
      </c>
      <c r="F199" s="8">
        <v>1</v>
      </c>
      <c r="G199" s="8">
        <v>0.5</v>
      </c>
      <c r="H199" s="8">
        <v>1</v>
      </c>
      <c r="I199" s="8">
        <f t="shared" si="45"/>
        <v>5</v>
      </c>
      <c r="J199" s="8">
        <f t="shared" si="46"/>
        <v>10</v>
      </c>
      <c r="K199" s="8">
        <f t="shared" si="47"/>
        <v>15</v>
      </c>
      <c r="L199" s="8">
        <f t="shared" si="48"/>
        <v>25</v>
      </c>
      <c r="M199" s="49">
        <v>21</v>
      </c>
      <c r="N199" s="8">
        <v>0</v>
      </c>
      <c r="O199" s="55">
        <f t="shared" si="49"/>
        <v>0</v>
      </c>
    </row>
    <row r="200" spans="1:15" x14ac:dyDescent="0.3">
      <c r="A200" s="5" t="s">
        <v>404</v>
      </c>
      <c r="B200" s="6" t="s">
        <v>405</v>
      </c>
      <c r="C200" s="8" t="s">
        <v>397</v>
      </c>
      <c r="D200" s="15">
        <v>30</v>
      </c>
      <c r="E200" s="8">
        <v>10</v>
      </c>
      <c r="F200" s="8">
        <v>1</v>
      </c>
      <c r="G200" s="8">
        <v>0.5</v>
      </c>
      <c r="H200" s="8">
        <v>1</v>
      </c>
      <c r="I200" s="8">
        <f t="shared" si="45"/>
        <v>5</v>
      </c>
      <c r="J200" s="8">
        <f t="shared" si="46"/>
        <v>10</v>
      </c>
      <c r="K200" s="8">
        <f t="shared" si="47"/>
        <v>15</v>
      </c>
      <c r="L200" s="8">
        <f t="shared" si="48"/>
        <v>25</v>
      </c>
      <c r="M200" s="49">
        <v>32</v>
      </c>
      <c r="N200" s="8">
        <v>0</v>
      </c>
      <c r="O200" s="55">
        <f t="shared" si="49"/>
        <v>0</v>
      </c>
    </row>
    <row r="201" spans="1:15" x14ac:dyDescent="0.3">
      <c r="A201" s="5" t="s">
        <v>406</v>
      </c>
      <c r="B201" s="6" t="s">
        <v>407</v>
      </c>
      <c r="C201" s="8" t="s">
        <v>397</v>
      </c>
      <c r="D201" s="15">
        <v>30</v>
      </c>
      <c r="E201" s="8">
        <v>10</v>
      </c>
      <c r="F201" s="8">
        <v>1</v>
      </c>
      <c r="G201" s="8">
        <v>0.5</v>
      </c>
      <c r="H201" s="8">
        <v>1</v>
      </c>
      <c r="I201" s="8">
        <f t="shared" si="45"/>
        <v>5</v>
      </c>
      <c r="J201" s="8">
        <f t="shared" si="46"/>
        <v>10</v>
      </c>
      <c r="K201" s="8">
        <f t="shared" si="47"/>
        <v>15</v>
      </c>
      <c r="L201" s="8">
        <f t="shared" si="48"/>
        <v>25</v>
      </c>
      <c r="M201" s="49">
        <v>44</v>
      </c>
      <c r="N201" s="8">
        <v>0</v>
      </c>
      <c r="O201" s="55">
        <f t="shared" si="49"/>
        <v>0</v>
      </c>
    </row>
    <row r="202" spans="1:15" x14ac:dyDescent="0.3">
      <c r="A202" s="5" t="s">
        <v>408</v>
      </c>
      <c r="B202" s="6" t="s">
        <v>409</v>
      </c>
      <c r="C202" s="8" t="s">
        <v>397</v>
      </c>
      <c r="D202" s="15">
        <v>210</v>
      </c>
      <c r="E202" s="8">
        <v>2</v>
      </c>
      <c r="F202" s="8">
        <v>1</v>
      </c>
      <c r="G202" s="8">
        <v>0.5</v>
      </c>
      <c r="H202" s="8">
        <v>1</v>
      </c>
      <c r="I202" s="8">
        <f t="shared" si="45"/>
        <v>1</v>
      </c>
      <c r="J202" s="8">
        <f t="shared" si="46"/>
        <v>2</v>
      </c>
      <c r="K202" s="8">
        <f t="shared" si="47"/>
        <v>3</v>
      </c>
      <c r="L202" s="8">
        <f t="shared" si="48"/>
        <v>5</v>
      </c>
      <c r="M202" s="49">
        <v>0</v>
      </c>
      <c r="N202" s="8">
        <v>0</v>
      </c>
      <c r="O202" s="55">
        <f t="shared" si="49"/>
        <v>5</v>
      </c>
    </row>
    <row r="203" spans="1:15" x14ac:dyDescent="0.3">
      <c r="A203" s="5" t="s">
        <v>410</v>
      </c>
      <c r="B203" s="6" t="s">
        <v>411</v>
      </c>
      <c r="C203" s="8" t="s">
        <v>397</v>
      </c>
      <c r="D203" s="15">
        <v>4</v>
      </c>
      <c r="E203" s="8">
        <v>10</v>
      </c>
      <c r="F203" s="8">
        <v>1</v>
      </c>
      <c r="G203" s="8">
        <v>0.5</v>
      </c>
      <c r="H203" s="8">
        <v>1</v>
      </c>
      <c r="I203" s="8">
        <f t="shared" si="45"/>
        <v>5</v>
      </c>
      <c r="J203" s="8">
        <f t="shared" si="46"/>
        <v>10</v>
      </c>
      <c r="K203" s="8">
        <f t="shared" si="47"/>
        <v>15</v>
      </c>
      <c r="L203" s="8">
        <f t="shared" si="48"/>
        <v>25</v>
      </c>
      <c r="M203" s="49">
        <v>50</v>
      </c>
      <c r="N203" s="8">
        <v>0</v>
      </c>
      <c r="O203" s="55">
        <f t="shared" si="49"/>
        <v>0</v>
      </c>
    </row>
    <row r="204" spans="1:15" x14ac:dyDescent="0.3">
      <c r="A204" s="5" t="s">
        <v>412</v>
      </c>
      <c r="B204" s="6" t="s">
        <v>413</v>
      </c>
      <c r="C204" s="8" t="s">
        <v>397</v>
      </c>
      <c r="D204" s="15">
        <v>12</v>
      </c>
      <c r="E204" s="8">
        <v>10</v>
      </c>
      <c r="F204" s="8">
        <v>1</v>
      </c>
      <c r="G204" s="8">
        <v>0.5</v>
      </c>
      <c r="H204" s="8">
        <v>1</v>
      </c>
      <c r="I204" s="8">
        <f t="shared" si="45"/>
        <v>5</v>
      </c>
      <c r="J204" s="8">
        <f t="shared" si="46"/>
        <v>10</v>
      </c>
      <c r="K204" s="8">
        <f t="shared" si="47"/>
        <v>15</v>
      </c>
      <c r="L204" s="8">
        <f t="shared" si="48"/>
        <v>25</v>
      </c>
      <c r="M204" s="49">
        <v>24</v>
      </c>
      <c r="N204" s="8">
        <v>0</v>
      </c>
      <c r="O204" s="55">
        <f t="shared" si="49"/>
        <v>0</v>
      </c>
    </row>
    <row r="205" spans="1:15" x14ac:dyDescent="0.3">
      <c r="A205" s="5" t="s">
        <v>414</v>
      </c>
      <c r="B205" s="6" t="s">
        <v>415</v>
      </c>
      <c r="C205" s="8" t="s">
        <v>397</v>
      </c>
      <c r="D205" s="15">
        <v>18</v>
      </c>
      <c r="E205" s="8">
        <v>8</v>
      </c>
      <c r="F205" s="8">
        <v>1</v>
      </c>
      <c r="G205" s="8">
        <v>0.5</v>
      </c>
      <c r="H205" s="8">
        <v>1</v>
      </c>
      <c r="I205" s="8">
        <f t="shared" si="45"/>
        <v>4</v>
      </c>
      <c r="J205" s="8">
        <f t="shared" si="46"/>
        <v>8</v>
      </c>
      <c r="K205" s="8">
        <f t="shared" si="47"/>
        <v>12</v>
      </c>
      <c r="L205" s="8">
        <f t="shared" si="48"/>
        <v>20</v>
      </c>
      <c r="M205" s="49">
        <v>15</v>
      </c>
      <c r="N205" s="8">
        <v>0</v>
      </c>
      <c r="O205" s="55">
        <f t="shared" si="49"/>
        <v>0</v>
      </c>
    </row>
    <row r="206" spans="1:15" x14ac:dyDescent="0.3">
      <c r="A206" s="5" t="s">
        <v>416</v>
      </c>
      <c r="B206" s="6" t="s">
        <v>417</v>
      </c>
      <c r="C206" s="8" t="s">
        <v>397</v>
      </c>
      <c r="D206" s="15">
        <v>32</v>
      </c>
      <c r="E206" s="8">
        <v>10</v>
      </c>
      <c r="F206" s="8">
        <v>1</v>
      </c>
      <c r="G206" s="8">
        <v>0.5</v>
      </c>
      <c r="H206" s="8">
        <v>1</v>
      </c>
      <c r="I206" s="8">
        <f t="shared" si="45"/>
        <v>5</v>
      </c>
      <c r="J206" s="8">
        <f t="shared" si="46"/>
        <v>10</v>
      </c>
      <c r="K206" s="8">
        <f t="shared" si="47"/>
        <v>15</v>
      </c>
      <c r="L206" s="8">
        <f t="shared" si="48"/>
        <v>25</v>
      </c>
      <c r="M206" s="49">
        <v>20</v>
      </c>
      <c r="N206" s="8">
        <v>0</v>
      </c>
      <c r="O206" s="55">
        <f t="shared" si="49"/>
        <v>0</v>
      </c>
    </row>
    <row r="207" spans="1:15" x14ac:dyDescent="0.3">
      <c r="A207" s="5" t="s">
        <v>418</v>
      </c>
      <c r="B207" s="6" t="s">
        <v>419</v>
      </c>
      <c r="C207" s="8" t="s">
        <v>397</v>
      </c>
      <c r="D207" s="15">
        <v>12</v>
      </c>
      <c r="E207" s="8">
        <v>1</v>
      </c>
      <c r="F207" s="8">
        <v>1</v>
      </c>
      <c r="G207" s="8">
        <v>0.5</v>
      </c>
      <c r="H207" s="8">
        <v>1</v>
      </c>
      <c r="I207" s="8">
        <f t="shared" si="45"/>
        <v>1</v>
      </c>
      <c r="J207" s="8">
        <f t="shared" si="46"/>
        <v>1</v>
      </c>
      <c r="K207" s="8">
        <f t="shared" si="47"/>
        <v>2</v>
      </c>
      <c r="L207" s="8">
        <f t="shared" si="48"/>
        <v>3</v>
      </c>
      <c r="M207" s="49">
        <v>0</v>
      </c>
      <c r="N207" s="8">
        <v>0</v>
      </c>
      <c r="O207" s="55">
        <f t="shared" si="49"/>
        <v>3</v>
      </c>
    </row>
    <row r="208" spans="1:15" x14ac:dyDescent="0.3">
      <c r="A208" s="5" t="s">
        <v>420</v>
      </c>
      <c r="B208" s="6" t="s">
        <v>421</v>
      </c>
      <c r="C208" s="8" t="s">
        <v>397</v>
      </c>
      <c r="D208" s="15">
        <v>4.3</v>
      </c>
      <c r="E208" s="8">
        <v>4</v>
      </c>
      <c r="F208" s="8">
        <v>1</v>
      </c>
      <c r="G208" s="8">
        <v>0.5</v>
      </c>
      <c r="H208" s="8">
        <v>1</v>
      </c>
      <c r="I208" s="8">
        <f t="shared" si="45"/>
        <v>2</v>
      </c>
      <c r="J208" s="8">
        <f t="shared" si="46"/>
        <v>4</v>
      </c>
      <c r="K208" s="8">
        <f t="shared" si="47"/>
        <v>6</v>
      </c>
      <c r="L208" s="8">
        <f t="shared" si="48"/>
        <v>10</v>
      </c>
      <c r="M208" s="49">
        <v>1</v>
      </c>
      <c r="N208" s="8">
        <v>0</v>
      </c>
      <c r="O208" s="55">
        <f t="shared" si="49"/>
        <v>9</v>
      </c>
    </row>
    <row r="209" spans="1:15" x14ac:dyDescent="0.3">
      <c r="A209" s="5" t="s">
        <v>422</v>
      </c>
      <c r="B209" s="6" t="s">
        <v>423</v>
      </c>
      <c r="C209" s="8" t="s">
        <v>397</v>
      </c>
      <c r="D209" s="15">
        <v>15</v>
      </c>
      <c r="E209" s="8">
        <v>4</v>
      </c>
      <c r="F209" s="8">
        <v>1</v>
      </c>
      <c r="G209" s="8">
        <v>0.5</v>
      </c>
      <c r="H209" s="8">
        <v>1</v>
      </c>
      <c r="I209" s="8">
        <f t="shared" si="45"/>
        <v>2</v>
      </c>
      <c r="J209" s="8">
        <f t="shared" si="46"/>
        <v>4</v>
      </c>
      <c r="K209" s="8">
        <f t="shared" si="47"/>
        <v>6</v>
      </c>
      <c r="L209" s="8">
        <f t="shared" si="48"/>
        <v>10</v>
      </c>
      <c r="M209" s="49">
        <v>1</v>
      </c>
      <c r="N209" s="8">
        <v>0</v>
      </c>
      <c r="O209" s="55">
        <f t="shared" si="49"/>
        <v>9</v>
      </c>
    </row>
    <row r="210" spans="1:15" x14ac:dyDescent="0.3">
      <c r="A210" s="5" t="s">
        <v>424</v>
      </c>
      <c r="B210" s="6" t="s">
        <v>425</v>
      </c>
      <c r="C210" s="8" t="s">
        <v>397</v>
      </c>
      <c r="D210" s="15">
        <v>18</v>
      </c>
      <c r="E210" s="8">
        <v>4</v>
      </c>
      <c r="F210" s="8">
        <v>1</v>
      </c>
      <c r="G210" s="8">
        <v>0.5</v>
      </c>
      <c r="H210" s="8">
        <v>1</v>
      </c>
      <c r="I210" s="8">
        <f t="shared" si="45"/>
        <v>2</v>
      </c>
      <c r="J210" s="8">
        <f t="shared" si="46"/>
        <v>4</v>
      </c>
      <c r="K210" s="8">
        <f t="shared" si="47"/>
        <v>6</v>
      </c>
      <c r="L210" s="8">
        <f t="shared" si="48"/>
        <v>10</v>
      </c>
      <c r="M210" s="49">
        <v>1</v>
      </c>
      <c r="N210" s="8">
        <v>0</v>
      </c>
      <c r="O210" s="55">
        <f t="shared" si="49"/>
        <v>9</v>
      </c>
    </row>
    <row r="211" spans="1:15" x14ac:dyDescent="0.3">
      <c r="A211" s="5" t="s">
        <v>426</v>
      </c>
      <c r="B211" s="6" t="s">
        <v>427</v>
      </c>
      <c r="C211" s="8" t="s">
        <v>397</v>
      </c>
      <c r="D211" s="15">
        <v>20</v>
      </c>
      <c r="E211" s="8">
        <v>4</v>
      </c>
      <c r="F211" s="8">
        <v>1</v>
      </c>
      <c r="G211" s="8">
        <v>0.5</v>
      </c>
      <c r="H211" s="8">
        <v>1</v>
      </c>
      <c r="I211" s="8">
        <f t="shared" si="45"/>
        <v>2</v>
      </c>
      <c r="J211" s="8">
        <f t="shared" si="46"/>
        <v>4</v>
      </c>
      <c r="K211" s="8">
        <f t="shared" si="47"/>
        <v>6</v>
      </c>
      <c r="L211" s="8">
        <f t="shared" si="48"/>
        <v>10</v>
      </c>
      <c r="M211" s="49">
        <v>1</v>
      </c>
      <c r="N211" s="8">
        <v>0</v>
      </c>
      <c r="O211" s="55">
        <f t="shared" si="49"/>
        <v>9</v>
      </c>
    </row>
    <row r="212" spans="1:15" x14ac:dyDescent="0.3">
      <c r="A212" s="5" t="s">
        <v>428</v>
      </c>
      <c r="B212" s="6" t="s">
        <v>429</v>
      </c>
      <c r="C212" s="8" t="s">
        <v>397</v>
      </c>
      <c r="D212" s="15">
        <v>291.06</v>
      </c>
      <c r="E212" s="8">
        <v>2</v>
      </c>
      <c r="F212" s="8">
        <v>1</v>
      </c>
      <c r="G212" s="8">
        <v>0.5</v>
      </c>
      <c r="H212" s="8">
        <v>1</v>
      </c>
      <c r="I212" s="8">
        <f t="shared" si="45"/>
        <v>1</v>
      </c>
      <c r="J212" s="8">
        <f t="shared" si="46"/>
        <v>2</v>
      </c>
      <c r="K212" s="8">
        <f t="shared" si="47"/>
        <v>3</v>
      </c>
      <c r="L212" s="8">
        <f t="shared" si="48"/>
        <v>5</v>
      </c>
      <c r="M212" s="49">
        <v>6</v>
      </c>
      <c r="N212" s="8">
        <v>0</v>
      </c>
      <c r="O212" s="55">
        <f t="shared" si="49"/>
        <v>0</v>
      </c>
    </row>
    <row r="213" spans="1:15" x14ac:dyDescent="0.3">
      <c r="A213" s="5" t="s">
        <v>430</v>
      </c>
      <c r="B213" s="6" t="s">
        <v>431</v>
      </c>
      <c r="C213" s="8" t="s">
        <v>397</v>
      </c>
      <c r="D213" s="15">
        <v>31.55</v>
      </c>
      <c r="E213" s="8">
        <v>25</v>
      </c>
      <c r="F213" s="8">
        <v>1</v>
      </c>
      <c r="G213" s="8">
        <v>0.5</v>
      </c>
      <c r="H213" s="8">
        <v>1</v>
      </c>
      <c r="I213" s="8">
        <f t="shared" si="45"/>
        <v>13</v>
      </c>
      <c r="J213" s="8">
        <f t="shared" si="46"/>
        <v>25</v>
      </c>
      <c r="K213" s="8">
        <f t="shared" si="47"/>
        <v>38</v>
      </c>
      <c r="L213" s="8">
        <f t="shared" si="48"/>
        <v>63</v>
      </c>
      <c r="M213" s="49">
        <v>150</v>
      </c>
      <c r="N213" s="8">
        <v>0</v>
      </c>
      <c r="O213" s="55">
        <f t="shared" si="49"/>
        <v>0</v>
      </c>
    </row>
    <row r="214" spans="1:15" x14ac:dyDescent="0.3">
      <c r="A214" s="5" t="s">
        <v>432</v>
      </c>
      <c r="B214" s="6" t="s">
        <v>433</v>
      </c>
      <c r="C214" s="8" t="s">
        <v>397</v>
      </c>
      <c r="D214" s="15">
        <v>85</v>
      </c>
      <c r="E214" s="8">
        <v>4</v>
      </c>
      <c r="F214" s="8">
        <v>1</v>
      </c>
      <c r="G214" s="8">
        <v>0.5</v>
      </c>
      <c r="H214" s="8">
        <v>1</v>
      </c>
      <c r="I214" s="8">
        <f t="shared" si="45"/>
        <v>2</v>
      </c>
      <c r="J214" s="8">
        <f t="shared" si="46"/>
        <v>4</v>
      </c>
      <c r="K214" s="8">
        <f t="shared" si="47"/>
        <v>6</v>
      </c>
      <c r="L214" s="8">
        <f t="shared" si="48"/>
        <v>10</v>
      </c>
      <c r="M214" s="49">
        <v>6</v>
      </c>
      <c r="N214" s="8">
        <v>0</v>
      </c>
      <c r="O214" s="55">
        <f t="shared" si="49"/>
        <v>4</v>
      </c>
    </row>
    <row r="215" spans="1:15" x14ac:dyDescent="0.3">
      <c r="A215" s="5" t="s">
        <v>434</v>
      </c>
      <c r="B215" s="6" t="s">
        <v>435</v>
      </c>
      <c r="C215" s="8" t="s">
        <v>397</v>
      </c>
      <c r="D215" s="15">
        <v>6.48</v>
      </c>
      <c r="E215" s="8">
        <f>300*0.05</f>
        <v>15</v>
      </c>
      <c r="F215" s="8">
        <v>1</v>
      </c>
      <c r="G215" s="8">
        <v>0.5</v>
      </c>
      <c r="H215" s="8">
        <v>1</v>
      </c>
      <c r="I215" s="8">
        <f t="shared" si="45"/>
        <v>8</v>
      </c>
      <c r="J215" s="8">
        <f t="shared" si="46"/>
        <v>15</v>
      </c>
      <c r="K215" s="8">
        <f t="shared" si="47"/>
        <v>23</v>
      </c>
      <c r="L215" s="8">
        <f t="shared" si="48"/>
        <v>38</v>
      </c>
      <c r="M215" s="49">
        <v>200</v>
      </c>
      <c r="N215" s="8">
        <v>0</v>
      </c>
      <c r="O215" s="55">
        <f t="shared" si="49"/>
        <v>0</v>
      </c>
    </row>
    <row r="216" spans="1:15" x14ac:dyDescent="0.3">
      <c r="A216" s="5" t="s">
        <v>436</v>
      </c>
      <c r="B216" s="6" t="s">
        <v>437</v>
      </c>
      <c r="C216" s="8" t="s">
        <v>397</v>
      </c>
      <c r="D216" s="15">
        <v>6.48</v>
      </c>
      <c r="E216" s="8">
        <f>300*0.05</f>
        <v>15</v>
      </c>
      <c r="F216" s="8">
        <v>1</v>
      </c>
      <c r="G216" s="8">
        <v>0.5</v>
      </c>
      <c r="H216" s="8">
        <v>1</v>
      </c>
      <c r="I216" s="8">
        <f t="shared" si="45"/>
        <v>8</v>
      </c>
      <c r="J216" s="8">
        <f t="shared" si="46"/>
        <v>15</v>
      </c>
      <c r="K216" s="8">
        <f t="shared" si="47"/>
        <v>23</v>
      </c>
      <c r="L216" s="8">
        <f t="shared" si="48"/>
        <v>38</v>
      </c>
      <c r="M216" s="49">
        <v>30</v>
      </c>
      <c r="N216" s="8">
        <v>0</v>
      </c>
      <c r="O216" s="55">
        <f t="shared" si="49"/>
        <v>0</v>
      </c>
    </row>
    <row r="217" spans="1:15" x14ac:dyDescent="0.3">
      <c r="A217" s="5" t="s">
        <v>438</v>
      </c>
      <c r="B217" s="6" t="s">
        <v>439</v>
      </c>
      <c r="C217" s="8" t="s">
        <v>397</v>
      </c>
      <c r="D217" s="15">
        <v>5.22</v>
      </c>
      <c r="E217" s="8">
        <f>300*0.05</f>
        <v>15</v>
      </c>
      <c r="F217" s="8">
        <v>1</v>
      </c>
      <c r="G217" s="8">
        <v>0.5</v>
      </c>
      <c r="H217" s="8">
        <v>1</v>
      </c>
      <c r="I217" s="8">
        <f t="shared" si="45"/>
        <v>8</v>
      </c>
      <c r="J217" s="8">
        <f t="shared" si="46"/>
        <v>15</v>
      </c>
      <c r="K217" s="8">
        <f t="shared" si="47"/>
        <v>23</v>
      </c>
      <c r="L217" s="8">
        <f t="shared" si="48"/>
        <v>38</v>
      </c>
      <c r="M217" s="49">
        <v>500</v>
      </c>
      <c r="N217" s="8">
        <v>0</v>
      </c>
      <c r="O217" s="55">
        <f t="shared" si="49"/>
        <v>0</v>
      </c>
    </row>
    <row r="218" spans="1:15" x14ac:dyDescent="0.3">
      <c r="A218" s="5" t="s">
        <v>440</v>
      </c>
      <c r="B218" s="6" t="s">
        <v>441</v>
      </c>
      <c r="C218" s="8" t="s">
        <v>397</v>
      </c>
      <c r="D218" s="15">
        <v>7.11</v>
      </c>
      <c r="E218" s="8">
        <v>5</v>
      </c>
      <c r="F218" s="8">
        <v>1</v>
      </c>
      <c r="G218" s="8">
        <v>0.5</v>
      </c>
      <c r="H218" s="8">
        <v>1</v>
      </c>
      <c r="I218" s="8">
        <f t="shared" si="45"/>
        <v>3</v>
      </c>
      <c r="J218" s="8">
        <f t="shared" si="46"/>
        <v>5</v>
      </c>
      <c r="K218" s="8">
        <f t="shared" si="47"/>
        <v>8</v>
      </c>
      <c r="L218" s="8">
        <f t="shared" si="48"/>
        <v>13</v>
      </c>
      <c r="M218" s="49">
        <v>300</v>
      </c>
      <c r="N218" s="8">
        <v>0</v>
      </c>
      <c r="O218" s="55">
        <f t="shared" si="49"/>
        <v>0</v>
      </c>
    </row>
    <row r="219" spans="1:15" x14ac:dyDescent="0.3">
      <c r="A219" s="5" t="s">
        <v>442</v>
      </c>
      <c r="B219" s="6" t="s">
        <v>443</v>
      </c>
      <c r="C219" s="8" t="s">
        <v>397</v>
      </c>
      <c r="D219" s="15">
        <v>243.48</v>
      </c>
      <c r="E219" s="8">
        <v>2</v>
      </c>
      <c r="F219" s="8">
        <v>1</v>
      </c>
      <c r="G219" s="8">
        <v>0.5</v>
      </c>
      <c r="H219" s="8">
        <v>1</v>
      </c>
      <c r="I219" s="8">
        <f t="shared" si="45"/>
        <v>1</v>
      </c>
      <c r="J219" s="8">
        <f t="shared" si="46"/>
        <v>2</v>
      </c>
      <c r="K219" s="8">
        <f t="shared" si="47"/>
        <v>3</v>
      </c>
      <c r="L219" s="8">
        <f t="shared" si="48"/>
        <v>5</v>
      </c>
      <c r="M219" s="49">
        <v>2</v>
      </c>
      <c r="N219" s="8">
        <v>0</v>
      </c>
      <c r="O219" s="55">
        <f t="shared" si="49"/>
        <v>3</v>
      </c>
    </row>
    <row r="220" spans="1:15" x14ac:dyDescent="0.3">
      <c r="A220" s="11" t="s">
        <v>444</v>
      </c>
      <c r="B220" s="6" t="s">
        <v>445</v>
      </c>
      <c r="C220" s="8" t="s">
        <v>397</v>
      </c>
      <c r="D220" s="15">
        <v>0.63</v>
      </c>
      <c r="E220" s="8">
        <v>80</v>
      </c>
      <c r="F220" s="8">
        <v>1</v>
      </c>
      <c r="G220" s="8">
        <v>0.5</v>
      </c>
      <c r="H220" s="8">
        <v>1</v>
      </c>
      <c r="I220" s="8">
        <f t="shared" si="45"/>
        <v>40</v>
      </c>
      <c r="J220" s="8">
        <f t="shared" si="46"/>
        <v>80</v>
      </c>
      <c r="K220" s="8">
        <f t="shared" si="47"/>
        <v>120</v>
      </c>
      <c r="L220" s="8">
        <f t="shared" si="48"/>
        <v>200</v>
      </c>
      <c r="M220" s="49">
        <v>1000</v>
      </c>
      <c r="N220" s="8">
        <v>0</v>
      </c>
      <c r="O220" s="55">
        <f t="shared" si="49"/>
        <v>0</v>
      </c>
    </row>
    <row r="221" spans="1:15" x14ac:dyDescent="0.3">
      <c r="A221" s="5" t="s">
        <v>446</v>
      </c>
      <c r="B221" s="6" t="s">
        <v>447</v>
      </c>
      <c r="C221" s="8" t="s">
        <v>397</v>
      </c>
      <c r="D221" s="15">
        <v>0.7</v>
      </c>
      <c r="E221" s="8">
        <v>80</v>
      </c>
      <c r="F221" s="8">
        <v>1</v>
      </c>
      <c r="G221" s="8">
        <v>0.5</v>
      </c>
      <c r="H221" s="8">
        <v>1</v>
      </c>
      <c r="I221" s="8">
        <f t="shared" si="45"/>
        <v>40</v>
      </c>
      <c r="J221" s="8">
        <f t="shared" si="46"/>
        <v>80</v>
      </c>
      <c r="K221" s="8">
        <f t="shared" si="47"/>
        <v>120</v>
      </c>
      <c r="L221" s="8">
        <f t="shared" si="48"/>
        <v>200</v>
      </c>
      <c r="M221" s="49">
        <v>800</v>
      </c>
      <c r="N221" s="8">
        <v>0</v>
      </c>
      <c r="O221" s="55">
        <f t="shared" si="49"/>
        <v>0</v>
      </c>
    </row>
    <row r="222" spans="1:15" x14ac:dyDescent="0.3">
      <c r="A222" s="11" t="s">
        <v>448</v>
      </c>
      <c r="B222" s="6" t="s">
        <v>449</v>
      </c>
      <c r="C222" s="8" t="s">
        <v>397</v>
      </c>
      <c r="D222" s="15">
        <v>0.91</v>
      </c>
      <c r="E222" s="8">
        <v>20</v>
      </c>
      <c r="F222" s="8">
        <v>1</v>
      </c>
      <c r="G222" s="8">
        <v>0.5</v>
      </c>
      <c r="H222" s="8">
        <v>1</v>
      </c>
      <c r="I222" s="8">
        <f t="shared" si="45"/>
        <v>10</v>
      </c>
      <c r="J222" s="8">
        <f t="shared" si="46"/>
        <v>20</v>
      </c>
      <c r="K222" s="8">
        <f t="shared" si="47"/>
        <v>30</v>
      </c>
      <c r="L222" s="8">
        <f t="shared" si="48"/>
        <v>50</v>
      </c>
      <c r="M222" s="49">
        <v>300</v>
      </c>
      <c r="N222" s="8">
        <v>0</v>
      </c>
      <c r="O222" s="55">
        <f t="shared" si="49"/>
        <v>0</v>
      </c>
    </row>
    <row r="223" spans="1:15" x14ac:dyDescent="0.3">
      <c r="A223" s="9" t="s">
        <v>450</v>
      </c>
      <c r="B223" s="6" t="s">
        <v>451</v>
      </c>
      <c r="C223" s="8" t="s">
        <v>397</v>
      </c>
      <c r="D223" s="15">
        <v>1.69</v>
      </c>
      <c r="E223" s="8">
        <v>25</v>
      </c>
      <c r="F223" s="8">
        <v>1</v>
      </c>
      <c r="G223" s="8">
        <v>0.5</v>
      </c>
      <c r="H223" s="8">
        <v>1</v>
      </c>
      <c r="I223" s="8">
        <f t="shared" si="45"/>
        <v>13</v>
      </c>
      <c r="J223" s="8">
        <f t="shared" si="46"/>
        <v>25</v>
      </c>
      <c r="K223" s="8">
        <f t="shared" si="47"/>
        <v>38</v>
      </c>
      <c r="L223" s="8">
        <f t="shared" si="48"/>
        <v>63</v>
      </c>
      <c r="M223" s="49">
        <v>150</v>
      </c>
      <c r="N223" s="8">
        <v>0</v>
      </c>
      <c r="O223" s="55">
        <f t="shared" si="49"/>
        <v>0</v>
      </c>
    </row>
    <row r="224" spans="1:15" x14ac:dyDescent="0.3">
      <c r="A224" s="5" t="s">
        <v>452</v>
      </c>
      <c r="B224" s="6" t="s">
        <v>453</v>
      </c>
      <c r="C224" s="8" t="s">
        <v>397</v>
      </c>
      <c r="D224" s="15">
        <v>496.99</v>
      </c>
      <c r="E224" s="8">
        <v>50</v>
      </c>
      <c r="F224" s="8">
        <v>1</v>
      </c>
      <c r="G224" s="8">
        <v>0.5</v>
      </c>
      <c r="H224" s="8">
        <v>1</v>
      </c>
      <c r="I224" s="8">
        <f t="shared" si="45"/>
        <v>25</v>
      </c>
      <c r="J224" s="8">
        <f t="shared" si="46"/>
        <v>50</v>
      </c>
      <c r="K224" s="8">
        <f t="shared" si="47"/>
        <v>75</v>
      </c>
      <c r="L224" s="8">
        <f t="shared" si="48"/>
        <v>125</v>
      </c>
      <c r="M224" s="49">
        <v>1100</v>
      </c>
      <c r="N224" s="8">
        <v>0</v>
      </c>
      <c r="O224" s="55">
        <f t="shared" si="49"/>
        <v>0</v>
      </c>
    </row>
    <row r="225" spans="1:15" x14ac:dyDescent="0.3">
      <c r="A225" s="5" t="s">
        <v>454</v>
      </c>
      <c r="B225" s="6" t="s">
        <v>455</v>
      </c>
      <c r="C225" s="8" t="s">
        <v>397</v>
      </c>
      <c r="D225" s="15">
        <v>77.05</v>
      </c>
      <c r="E225" s="8">
        <v>30</v>
      </c>
      <c r="F225" s="8">
        <v>1</v>
      </c>
      <c r="G225" s="8">
        <v>0.5</v>
      </c>
      <c r="H225" s="8">
        <v>1</v>
      </c>
      <c r="I225" s="8">
        <f t="shared" si="45"/>
        <v>15</v>
      </c>
      <c r="J225" s="8">
        <f t="shared" si="46"/>
        <v>30</v>
      </c>
      <c r="K225" s="8">
        <f t="shared" si="47"/>
        <v>45</v>
      </c>
      <c r="L225" s="8">
        <f t="shared" si="48"/>
        <v>75</v>
      </c>
      <c r="M225" s="49">
        <v>131</v>
      </c>
      <c r="N225" s="8">
        <v>0</v>
      </c>
      <c r="O225" s="55">
        <f t="shared" si="49"/>
        <v>0</v>
      </c>
    </row>
    <row r="226" spans="1:15" x14ac:dyDescent="0.3">
      <c r="A226" s="5" t="s">
        <v>456</v>
      </c>
      <c r="B226" s="6" t="s">
        <v>457</v>
      </c>
      <c r="C226" s="8" t="s">
        <v>397</v>
      </c>
      <c r="D226" s="15">
        <v>169.6</v>
      </c>
      <c r="E226" s="8">
        <v>12</v>
      </c>
      <c r="F226" s="8">
        <v>1</v>
      </c>
      <c r="G226" s="8">
        <v>0.5</v>
      </c>
      <c r="H226" s="8">
        <v>1</v>
      </c>
      <c r="I226" s="8">
        <f t="shared" si="45"/>
        <v>6</v>
      </c>
      <c r="J226" s="8">
        <f t="shared" si="46"/>
        <v>12</v>
      </c>
      <c r="K226" s="8">
        <f t="shared" si="47"/>
        <v>18</v>
      </c>
      <c r="L226" s="8">
        <f t="shared" si="48"/>
        <v>30</v>
      </c>
      <c r="M226" s="49">
        <v>11</v>
      </c>
      <c r="N226" s="8">
        <v>0</v>
      </c>
      <c r="O226" s="55">
        <f t="shared" si="49"/>
        <v>19</v>
      </c>
    </row>
    <row r="227" spans="1:15" x14ac:dyDescent="0.3">
      <c r="A227" s="5" t="s">
        <v>458</v>
      </c>
      <c r="B227" s="6" t="s">
        <v>459</v>
      </c>
      <c r="C227" s="8" t="s">
        <v>397</v>
      </c>
      <c r="D227" s="15">
        <v>670.43</v>
      </c>
      <c r="E227" s="8">
        <v>10</v>
      </c>
      <c r="F227" s="8">
        <v>1</v>
      </c>
      <c r="G227" s="8">
        <v>0.5</v>
      </c>
      <c r="H227" s="8">
        <v>1</v>
      </c>
      <c r="I227" s="8">
        <f t="shared" si="45"/>
        <v>5</v>
      </c>
      <c r="J227" s="8">
        <f t="shared" si="46"/>
        <v>10</v>
      </c>
      <c r="K227" s="8">
        <f t="shared" si="47"/>
        <v>15</v>
      </c>
      <c r="L227" s="8">
        <f t="shared" si="48"/>
        <v>25</v>
      </c>
      <c r="M227" s="49">
        <v>10</v>
      </c>
      <c r="N227" s="8">
        <v>0</v>
      </c>
      <c r="O227" s="55">
        <f t="shared" si="49"/>
        <v>15</v>
      </c>
    </row>
    <row r="228" spans="1:15" x14ac:dyDescent="0.3">
      <c r="A228" s="5" t="s">
        <v>460</v>
      </c>
      <c r="B228" s="6" t="s">
        <v>461</v>
      </c>
      <c r="C228" s="8" t="s">
        <v>397</v>
      </c>
      <c r="D228" s="15">
        <v>0</v>
      </c>
      <c r="E228" s="8">
        <v>10</v>
      </c>
      <c r="F228" s="8">
        <v>1</v>
      </c>
      <c r="G228" s="8">
        <v>0.5</v>
      </c>
      <c r="H228" s="8">
        <v>1</v>
      </c>
      <c r="I228" s="8">
        <f t="shared" si="45"/>
        <v>5</v>
      </c>
      <c r="J228" s="8">
        <f t="shared" si="46"/>
        <v>10</v>
      </c>
      <c r="K228" s="8">
        <f t="shared" si="47"/>
        <v>15</v>
      </c>
      <c r="L228" s="8">
        <f t="shared" si="48"/>
        <v>25</v>
      </c>
      <c r="M228" s="49">
        <v>0</v>
      </c>
      <c r="N228" s="8">
        <v>0</v>
      </c>
      <c r="O228" s="55">
        <f t="shared" si="49"/>
        <v>25</v>
      </c>
    </row>
    <row r="229" spans="1:15" x14ac:dyDescent="0.3">
      <c r="A229" s="5" t="s">
        <v>468</v>
      </c>
      <c r="B229" s="6" t="s">
        <v>469</v>
      </c>
      <c r="C229" s="8" t="s">
        <v>397</v>
      </c>
      <c r="D229" s="15">
        <v>279.60000000000002</v>
      </c>
      <c r="E229" s="8">
        <f>100*0.05</f>
        <v>5</v>
      </c>
      <c r="F229" s="8">
        <v>1</v>
      </c>
      <c r="G229" s="8">
        <v>0.5</v>
      </c>
      <c r="H229" s="8">
        <v>1</v>
      </c>
      <c r="I229" s="8">
        <f>MROUND(E229*G229,1)</f>
        <v>3</v>
      </c>
      <c r="J229" s="8">
        <f>MROUND(E229*F229,1)</f>
        <v>5</v>
      </c>
      <c r="K229" s="8">
        <f>MROUND(I229+J229,1)</f>
        <v>8</v>
      </c>
      <c r="L229" s="8">
        <f>MROUND(E229*(F229+G229+H229),1)</f>
        <v>13</v>
      </c>
      <c r="M229" s="49">
        <v>12</v>
      </c>
      <c r="N229" s="8">
        <v>0</v>
      </c>
      <c r="O229" s="55">
        <f>IF(M229&lt;=K229,L229-M229-N229,0)</f>
        <v>0</v>
      </c>
    </row>
    <row r="230" spans="1:15" x14ac:dyDescent="0.3">
      <c r="A230" s="5" t="s">
        <v>4636</v>
      </c>
      <c r="B230" s="6" t="s">
        <v>4635</v>
      </c>
      <c r="C230" s="8" t="s">
        <v>3945</v>
      </c>
      <c r="D230" s="15">
        <v>133</v>
      </c>
      <c r="E230" s="8">
        <v>0</v>
      </c>
      <c r="F230" s="8">
        <v>1</v>
      </c>
      <c r="G230" s="8">
        <v>0.5</v>
      </c>
      <c r="H230" s="8">
        <v>1</v>
      </c>
      <c r="I230" s="8">
        <f t="shared" ref="I230:I248" si="50">MROUND(E230*G230,1)</f>
        <v>0</v>
      </c>
      <c r="J230" s="8">
        <f t="shared" ref="J230:J248" si="51">MROUND(E230*F230,1)</f>
        <v>0</v>
      </c>
      <c r="K230" s="8">
        <f t="shared" ref="K230:K248" si="52">MROUND(I230+J230,1)</f>
        <v>0</v>
      </c>
      <c r="L230" s="8">
        <f t="shared" ref="L230:L248" si="53">MROUND(E230*(F230+G230+H230),1)</f>
        <v>0</v>
      </c>
      <c r="M230" s="49">
        <v>5</v>
      </c>
      <c r="N230" s="8">
        <v>0</v>
      </c>
      <c r="O230" s="55">
        <f t="shared" ref="O230:O248" si="54">IF(M230&lt;=K230,L230-M230-N230,0)</f>
        <v>0</v>
      </c>
    </row>
    <row r="231" spans="1:15" x14ac:dyDescent="0.3">
      <c r="A231" s="5" t="s">
        <v>4516</v>
      </c>
      <c r="B231" s="6" t="s">
        <v>4515</v>
      </c>
      <c r="C231" s="8" t="s">
        <v>3945</v>
      </c>
      <c r="D231" s="15">
        <v>213</v>
      </c>
      <c r="E231" s="8">
        <v>0</v>
      </c>
      <c r="F231" s="8">
        <v>1</v>
      </c>
      <c r="G231" s="8">
        <v>0.5</v>
      </c>
      <c r="H231" s="8">
        <v>1</v>
      </c>
      <c r="I231" s="8">
        <f t="shared" si="50"/>
        <v>0</v>
      </c>
      <c r="J231" s="8">
        <f t="shared" si="51"/>
        <v>0</v>
      </c>
      <c r="K231" s="8">
        <f t="shared" si="52"/>
        <v>0</v>
      </c>
      <c r="L231" s="8">
        <f t="shared" si="53"/>
        <v>0</v>
      </c>
      <c r="M231" s="49">
        <v>1</v>
      </c>
      <c r="N231" s="8">
        <v>0</v>
      </c>
      <c r="O231" s="55">
        <f t="shared" si="54"/>
        <v>0</v>
      </c>
    </row>
    <row r="232" spans="1:15" x14ac:dyDescent="0.3">
      <c r="A232" s="5" t="s">
        <v>5591</v>
      </c>
      <c r="B232" s="6" t="s">
        <v>5592</v>
      </c>
      <c r="C232" s="8" t="s">
        <v>3945</v>
      </c>
      <c r="D232" s="15">
        <v>400</v>
      </c>
      <c r="E232" s="8">
        <v>0</v>
      </c>
      <c r="F232" s="8">
        <v>1</v>
      </c>
      <c r="G232" s="8">
        <v>0.5</v>
      </c>
      <c r="H232" s="8">
        <v>1</v>
      </c>
      <c r="I232" s="8">
        <f t="shared" ref="I232" si="55">MROUND(E232*G232,1)</f>
        <v>0</v>
      </c>
      <c r="J232" s="8">
        <f t="shared" ref="J232" si="56">MROUND(E232*F232,1)</f>
        <v>0</v>
      </c>
      <c r="K232" s="8">
        <f t="shared" ref="K232" si="57">MROUND(I232+J232,1)</f>
        <v>0</v>
      </c>
      <c r="L232" s="8">
        <f t="shared" ref="L232" si="58">MROUND(E232*(F232+G232+H232),1)</f>
        <v>0</v>
      </c>
      <c r="M232" s="49">
        <v>2</v>
      </c>
      <c r="N232" s="8">
        <v>0</v>
      </c>
      <c r="O232" s="55">
        <f t="shared" ref="O232" si="59">IF(M232&lt;=K232,L232-M232-N232,0)</f>
        <v>0</v>
      </c>
    </row>
    <row r="233" spans="1:15" x14ac:dyDescent="0.3">
      <c r="A233" s="5" t="s">
        <v>4370</v>
      </c>
      <c r="B233" s="6" t="s">
        <v>4369</v>
      </c>
      <c r="C233" s="8" t="s">
        <v>3945</v>
      </c>
      <c r="D233" s="15">
        <v>400</v>
      </c>
      <c r="E233" s="8">
        <v>0</v>
      </c>
      <c r="F233" s="8">
        <v>1</v>
      </c>
      <c r="G233" s="8">
        <v>0.5</v>
      </c>
      <c r="H233" s="8">
        <v>1</v>
      </c>
      <c r="I233" s="8">
        <f t="shared" si="50"/>
        <v>0</v>
      </c>
      <c r="J233" s="8">
        <f t="shared" si="51"/>
        <v>0</v>
      </c>
      <c r="K233" s="8">
        <f t="shared" si="52"/>
        <v>0</v>
      </c>
      <c r="L233" s="8">
        <f t="shared" si="53"/>
        <v>0</v>
      </c>
      <c r="M233" s="49">
        <v>2</v>
      </c>
      <c r="N233" s="8">
        <v>0</v>
      </c>
      <c r="O233" s="55">
        <f t="shared" si="54"/>
        <v>0</v>
      </c>
    </row>
    <row r="234" spans="1:15" x14ac:dyDescent="0.3">
      <c r="A234" s="5" t="s">
        <v>4368</v>
      </c>
      <c r="B234" s="6" t="s">
        <v>4367</v>
      </c>
      <c r="C234" s="8" t="s">
        <v>3945</v>
      </c>
      <c r="D234" s="15">
        <v>400</v>
      </c>
      <c r="E234" s="8">
        <v>0</v>
      </c>
      <c r="F234" s="8">
        <v>1</v>
      </c>
      <c r="G234" s="8">
        <v>0.5</v>
      </c>
      <c r="H234" s="8">
        <v>1</v>
      </c>
      <c r="I234" s="8">
        <f t="shared" si="50"/>
        <v>0</v>
      </c>
      <c r="J234" s="8">
        <f t="shared" si="51"/>
        <v>0</v>
      </c>
      <c r="K234" s="8">
        <f t="shared" si="52"/>
        <v>0</v>
      </c>
      <c r="L234" s="8">
        <f t="shared" si="53"/>
        <v>0</v>
      </c>
      <c r="M234" s="49">
        <v>0</v>
      </c>
      <c r="N234" s="8">
        <v>0</v>
      </c>
      <c r="O234" s="55">
        <f t="shared" si="54"/>
        <v>0</v>
      </c>
    </row>
    <row r="235" spans="1:15" x14ac:dyDescent="0.3">
      <c r="A235" s="5" t="s">
        <v>5593</v>
      </c>
      <c r="B235" s="6" t="s">
        <v>5594</v>
      </c>
      <c r="C235" s="8" t="s">
        <v>3945</v>
      </c>
      <c r="D235" s="15">
        <v>447</v>
      </c>
      <c r="E235" s="8">
        <v>0</v>
      </c>
      <c r="F235" s="8">
        <v>1</v>
      </c>
      <c r="G235" s="8">
        <v>0.5</v>
      </c>
      <c r="H235" s="8">
        <v>1</v>
      </c>
      <c r="I235" s="8">
        <f t="shared" ref="I235" si="60">MROUND(E235*G235,1)</f>
        <v>0</v>
      </c>
      <c r="J235" s="8">
        <f t="shared" ref="J235" si="61">MROUND(E235*F235,1)</f>
        <v>0</v>
      </c>
      <c r="K235" s="8">
        <f t="shared" ref="K235" si="62">MROUND(I235+J235,1)</f>
        <v>0</v>
      </c>
      <c r="L235" s="8">
        <f t="shared" ref="L235" si="63">MROUND(E235*(F235+G235+H235),1)</f>
        <v>0</v>
      </c>
      <c r="M235" s="49">
        <v>2</v>
      </c>
      <c r="N235" s="8">
        <v>0</v>
      </c>
      <c r="O235" s="55">
        <f t="shared" ref="O235" si="64">IF(M235&lt;=K235,L235-M235-N235,0)</f>
        <v>0</v>
      </c>
    </row>
    <row r="236" spans="1:15" x14ac:dyDescent="0.3">
      <c r="A236" s="5" t="s">
        <v>4315</v>
      </c>
      <c r="B236" s="6" t="s">
        <v>4314</v>
      </c>
      <c r="C236" s="8" t="s">
        <v>3945</v>
      </c>
      <c r="D236" s="15">
        <v>447</v>
      </c>
      <c r="E236" s="8">
        <v>0</v>
      </c>
      <c r="F236" s="8">
        <v>1</v>
      </c>
      <c r="G236" s="8">
        <v>0.5</v>
      </c>
      <c r="H236" s="8">
        <v>1</v>
      </c>
      <c r="I236" s="8">
        <f t="shared" si="50"/>
        <v>0</v>
      </c>
      <c r="J236" s="8">
        <f t="shared" si="51"/>
        <v>0</v>
      </c>
      <c r="K236" s="8">
        <f t="shared" si="52"/>
        <v>0</v>
      </c>
      <c r="L236" s="8">
        <f t="shared" si="53"/>
        <v>0</v>
      </c>
      <c r="M236" s="49">
        <v>5</v>
      </c>
      <c r="N236" s="8">
        <v>0</v>
      </c>
      <c r="O236" s="55">
        <f t="shared" si="54"/>
        <v>0</v>
      </c>
    </row>
    <row r="237" spans="1:15" x14ac:dyDescent="0.3">
      <c r="A237" s="5" t="s">
        <v>4313</v>
      </c>
      <c r="B237" s="6" t="s">
        <v>4312</v>
      </c>
      <c r="C237" s="8" t="s">
        <v>3945</v>
      </c>
      <c r="D237" s="15">
        <v>559</v>
      </c>
      <c r="E237" s="8">
        <v>0</v>
      </c>
      <c r="F237" s="8">
        <v>1</v>
      </c>
      <c r="G237" s="8">
        <v>0.5</v>
      </c>
      <c r="H237" s="8">
        <v>1</v>
      </c>
      <c r="I237" s="8">
        <f t="shared" si="50"/>
        <v>0</v>
      </c>
      <c r="J237" s="8">
        <f t="shared" si="51"/>
        <v>0</v>
      </c>
      <c r="K237" s="8">
        <f t="shared" si="52"/>
        <v>0</v>
      </c>
      <c r="L237" s="8">
        <f t="shared" si="53"/>
        <v>0</v>
      </c>
      <c r="M237" s="49">
        <v>0</v>
      </c>
      <c r="N237" s="8">
        <v>0</v>
      </c>
      <c r="O237" s="55">
        <f t="shared" si="54"/>
        <v>0</v>
      </c>
    </row>
    <row r="238" spans="1:15" x14ac:dyDescent="0.3">
      <c r="A238" s="5" t="s">
        <v>5595</v>
      </c>
      <c r="B238" s="6" t="s">
        <v>5596</v>
      </c>
      <c r="C238" s="8" t="s">
        <v>3945</v>
      </c>
      <c r="D238" s="15">
        <v>503</v>
      </c>
      <c r="E238" s="8">
        <v>0</v>
      </c>
      <c r="F238" s="8">
        <v>1</v>
      </c>
      <c r="G238" s="8">
        <v>0.5</v>
      </c>
      <c r="H238" s="8">
        <v>1</v>
      </c>
      <c r="I238" s="8">
        <f t="shared" ref="I238" si="65">MROUND(E238*G238,1)</f>
        <v>0</v>
      </c>
      <c r="J238" s="8">
        <f t="shared" ref="J238" si="66">MROUND(E238*F238,1)</f>
        <v>0</v>
      </c>
      <c r="K238" s="8">
        <f t="shared" ref="K238" si="67">MROUND(I238+J238,1)</f>
        <v>0</v>
      </c>
      <c r="L238" s="8">
        <f t="shared" ref="L238" si="68">MROUND(E238*(F238+G238+H238),1)</f>
        <v>0</v>
      </c>
      <c r="M238" s="49">
        <v>3</v>
      </c>
      <c r="N238" s="8">
        <v>0</v>
      </c>
      <c r="O238" s="55">
        <f t="shared" ref="O238" si="69">IF(M238&lt;=K238,L238-M238-N238,0)</f>
        <v>0</v>
      </c>
    </row>
    <row r="239" spans="1:15" x14ac:dyDescent="0.3">
      <c r="A239" s="5" t="s">
        <v>4238</v>
      </c>
      <c r="B239" s="6" t="s">
        <v>4237</v>
      </c>
      <c r="C239" s="8" t="s">
        <v>3945</v>
      </c>
      <c r="D239" s="15">
        <v>503</v>
      </c>
      <c r="E239" s="8">
        <v>0</v>
      </c>
      <c r="F239" s="8">
        <v>1</v>
      </c>
      <c r="G239" s="8">
        <v>0.5</v>
      </c>
      <c r="H239" s="8">
        <v>1</v>
      </c>
      <c r="I239" s="8">
        <f t="shared" si="50"/>
        <v>0</v>
      </c>
      <c r="J239" s="8">
        <f t="shared" si="51"/>
        <v>0</v>
      </c>
      <c r="K239" s="8">
        <f t="shared" si="52"/>
        <v>0</v>
      </c>
      <c r="L239" s="8">
        <f t="shared" si="53"/>
        <v>0</v>
      </c>
      <c r="M239" s="49">
        <v>5</v>
      </c>
      <c r="N239" s="8">
        <v>0</v>
      </c>
      <c r="O239" s="55">
        <f t="shared" si="54"/>
        <v>0</v>
      </c>
    </row>
    <row r="240" spans="1:15" x14ac:dyDescent="0.3">
      <c r="A240" s="5" t="s">
        <v>4236</v>
      </c>
      <c r="B240" s="6" t="s">
        <v>4235</v>
      </c>
      <c r="C240" s="8" t="s">
        <v>3945</v>
      </c>
      <c r="D240" s="15">
        <v>628</v>
      </c>
      <c r="E240" s="8">
        <v>0</v>
      </c>
      <c r="F240" s="8">
        <v>1</v>
      </c>
      <c r="G240" s="8">
        <v>0.5</v>
      </c>
      <c r="H240" s="8">
        <v>1</v>
      </c>
      <c r="I240" s="8">
        <f t="shared" si="50"/>
        <v>0</v>
      </c>
      <c r="J240" s="8">
        <f t="shared" si="51"/>
        <v>0</v>
      </c>
      <c r="K240" s="8">
        <f t="shared" si="52"/>
        <v>0</v>
      </c>
      <c r="L240" s="8">
        <f t="shared" si="53"/>
        <v>0</v>
      </c>
      <c r="M240" s="49">
        <v>0</v>
      </c>
      <c r="N240" s="8">
        <v>0</v>
      </c>
      <c r="O240" s="55">
        <f t="shared" si="54"/>
        <v>0</v>
      </c>
    </row>
    <row r="241" spans="1:15" x14ac:dyDescent="0.3">
      <c r="A241" s="5" t="s">
        <v>5597</v>
      </c>
      <c r="B241" s="6" t="s">
        <v>5598</v>
      </c>
      <c r="C241" s="8" t="s">
        <v>3945</v>
      </c>
      <c r="D241" s="15">
        <v>566</v>
      </c>
      <c r="E241" s="8">
        <v>0</v>
      </c>
      <c r="F241" s="8">
        <v>1</v>
      </c>
      <c r="G241" s="8">
        <v>0.5</v>
      </c>
      <c r="H241" s="8">
        <v>1</v>
      </c>
      <c r="I241" s="8">
        <f t="shared" ref="I241" si="70">MROUND(E241*G241,1)</f>
        <v>0</v>
      </c>
      <c r="J241" s="8">
        <f t="shared" ref="J241" si="71">MROUND(E241*F241,1)</f>
        <v>0</v>
      </c>
      <c r="K241" s="8">
        <f t="shared" ref="K241" si="72">MROUND(I241+J241,1)</f>
        <v>0</v>
      </c>
      <c r="L241" s="8">
        <f t="shared" ref="L241" si="73">MROUND(E241*(F241+G241+H241),1)</f>
        <v>0</v>
      </c>
      <c r="M241" s="49">
        <v>3</v>
      </c>
      <c r="N241" s="8">
        <v>0</v>
      </c>
      <c r="O241" s="55">
        <f t="shared" ref="O241" si="74">IF(M241&lt;=K241,L241-M241-N241,0)</f>
        <v>0</v>
      </c>
    </row>
    <row r="242" spans="1:15" x14ac:dyDescent="0.3">
      <c r="A242" s="5" t="s">
        <v>4096</v>
      </c>
      <c r="B242" s="6" t="s">
        <v>4095</v>
      </c>
      <c r="C242" s="8" t="s">
        <v>3945</v>
      </c>
      <c r="D242" s="15">
        <v>566</v>
      </c>
      <c r="E242" s="8">
        <v>0</v>
      </c>
      <c r="F242" s="8">
        <v>1</v>
      </c>
      <c r="G242" s="8">
        <v>0.5</v>
      </c>
      <c r="H242" s="8">
        <v>1</v>
      </c>
      <c r="I242" s="8">
        <f t="shared" si="50"/>
        <v>0</v>
      </c>
      <c r="J242" s="8">
        <f t="shared" si="51"/>
        <v>0</v>
      </c>
      <c r="K242" s="8">
        <f t="shared" si="52"/>
        <v>0</v>
      </c>
      <c r="L242" s="8">
        <f t="shared" si="53"/>
        <v>0</v>
      </c>
      <c r="M242" s="49">
        <v>4</v>
      </c>
      <c r="N242" s="8">
        <v>0</v>
      </c>
      <c r="O242" s="55">
        <f t="shared" si="54"/>
        <v>0</v>
      </c>
    </row>
    <row r="243" spans="1:15" x14ac:dyDescent="0.3">
      <c r="A243" s="5" t="s">
        <v>4094</v>
      </c>
      <c r="B243" s="6" t="s">
        <v>4093</v>
      </c>
      <c r="C243" s="8" t="s">
        <v>3945</v>
      </c>
      <c r="D243" s="15">
        <v>703</v>
      </c>
      <c r="E243" s="8">
        <v>0</v>
      </c>
      <c r="F243" s="8">
        <v>1</v>
      </c>
      <c r="G243" s="8">
        <v>0.5</v>
      </c>
      <c r="H243" s="8">
        <v>1</v>
      </c>
      <c r="I243" s="8">
        <f t="shared" si="50"/>
        <v>0</v>
      </c>
      <c r="J243" s="8">
        <f t="shared" si="51"/>
        <v>0</v>
      </c>
      <c r="K243" s="8">
        <f t="shared" si="52"/>
        <v>0</v>
      </c>
      <c r="L243" s="8">
        <f t="shared" si="53"/>
        <v>0</v>
      </c>
      <c r="M243" s="49">
        <v>0</v>
      </c>
      <c r="N243" s="8">
        <v>0</v>
      </c>
      <c r="O243" s="55">
        <f t="shared" si="54"/>
        <v>0</v>
      </c>
    </row>
    <row r="244" spans="1:15" x14ac:dyDescent="0.3">
      <c r="A244" s="5" t="s">
        <v>5599</v>
      </c>
      <c r="B244" s="6" t="s">
        <v>5600</v>
      </c>
      <c r="C244" s="8" t="s">
        <v>3945</v>
      </c>
      <c r="D244" s="15">
        <v>637</v>
      </c>
      <c r="E244" s="8">
        <v>0</v>
      </c>
      <c r="F244" s="8">
        <v>1</v>
      </c>
      <c r="G244" s="8">
        <v>0.5</v>
      </c>
      <c r="H244" s="8">
        <v>1</v>
      </c>
      <c r="I244" s="8">
        <f t="shared" ref="I244" si="75">MROUND(E244*G244,1)</f>
        <v>0</v>
      </c>
      <c r="J244" s="8">
        <f t="shared" ref="J244" si="76">MROUND(E244*F244,1)</f>
        <v>0</v>
      </c>
      <c r="K244" s="8">
        <f t="shared" ref="K244" si="77">MROUND(I244+J244,1)</f>
        <v>0</v>
      </c>
      <c r="L244" s="8">
        <f t="shared" ref="L244" si="78">MROUND(E244*(F244+G244+H244),1)</f>
        <v>0</v>
      </c>
      <c r="M244" s="49">
        <v>1</v>
      </c>
      <c r="N244" s="8">
        <v>0</v>
      </c>
      <c r="O244" s="55">
        <f t="shared" ref="O244" si="79">IF(M244&lt;=K244,L244-M244-N244,0)</f>
        <v>0</v>
      </c>
    </row>
    <row r="245" spans="1:15" x14ac:dyDescent="0.3">
      <c r="A245" s="5" t="s">
        <v>4017</v>
      </c>
      <c r="B245" s="6" t="s">
        <v>4016</v>
      </c>
      <c r="C245" s="8" t="s">
        <v>3945</v>
      </c>
      <c r="D245" s="15">
        <v>637</v>
      </c>
      <c r="E245" s="8">
        <v>0</v>
      </c>
      <c r="F245" s="8">
        <v>1</v>
      </c>
      <c r="G245" s="8">
        <v>0.5</v>
      </c>
      <c r="H245" s="8">
        <v>1</v>
      </c>
      <c r="I245" s="8">
        <f t="shared" si="50"/>
        <v>0</v>
      </c>
      <c r="J245" s="8">
        <f t="shared" si="51"/>
        <v>0</v>
      </c>
      <c r="K245" s="8">
        <f t="shared" si="52"/>
        <v>0</v>
      </c>
      <c r="L245" s="8">
        <f t="shared" si="53"/>
        <v>0</v>
      </c>
      <c r="M245" s="49">
        <v>2</v>
      </c>
      <c r="N245" s="8">
        <v>0</v>
      </c>
      <c r="O245" s="55">
        <f t="shared" si="54"/>
        <v>0</v>
      </c>
    </row>
    <row r="246" spans="1:15" x14ac:dyDescent="0.3">
      <c r="A246" s="5" t="s">
        <v>5601</v>
      </c>
      <c r="B246" s="6" t="s">
        <v>5602</v>
      </c>
      <c r="C246" s="8" t="s">
        <v>3945</v>
      </c>
      <c r="D246" s="15">
        <v>797</v>
      </c>
      <c r="E246" s="8">
        <v>0</v>
      </c>
      <c r="F246" s="8">
        <v>1</v>
      </c>
      <c r="G246" s="8">
        <v>0.5</v>
      </c>
      <c r="H246" s="8">
        <v>1</v>
      </c>
      <c r="I246" s="8">
        <f t="shared" ref="I246" si="80">MROUND(E246*G246,1)</f>
        <v>0</v>
      </c>
      <c r="J246" s="8">
        <f t="shared" ref="J246" si="81">MROUND(E246*F246,1)</f>
        <v>0</v>
      </c>
      <c r="K246" s="8">
        <f t="shared" ref="K246" si="82">MROUND(I246+J246,1)</f>
        <v>0</v>
      </c>
      <c r="L246" s="8">
        <f t="shared" ref="L246" si="83">MROUND(E246*(F246+G246+H246),1)</f>
        <v>0</v>
      </c>
      <c r="M246" s="49">
        <v>1</v>
      </c>
      <c r="N246" s="8">
        <v>0</v>
      </c>
      <c r="O246" s="55">
        <f t="shared" ref="O246" si="84">IF(M246&lt;=K246,L246-M246-N246,0)</f>
        <v>0</v>
      </c>
    </row>
    <row r="247" spans="1:15" x14ac:dyDescent="0.3">
      <c r="A247" s="5" t="s">
        <v>4015</v>
      </c>
      <c r="B247" s="6" t="s">
        <v>4014</v>
      </c>
      <c r="C247" s="8" t="s">
        <v>3945</v>
      </c>
      <c r="D247" s="15">
        <v>797</v>
      </c>
      <c r="E247" s="8">
        <v>0</v>
      </c>
      <c r="F247" s="8">
        <v>1</v>
      </c>
      <c r="G247" s="8">
        <v>0.5</v>
      </c>
      <c r="H247" s="8">
        <v>1</v>
      </c>
      <c r="I247" s="8">
        <f t="shared" si="50"/>
        <v>0</v>
      </c>
      <c r="J247" s="8">
        <f t="shared" si="51"/>
        <v>0</v>
      </c>
      <c r="K247" s="8">
        <f t="shared" si="52"/>
        <v>0</v>
      </c>
      <c r="L247" s="8">
        <f t="shared" si="53"/>
        <v>0</v>
      </c>
      <c r="M247" s="49">
        <v>3</v>
      </c>
      <c r="N247" s="8">
        <v>0</v>
      </c>
      <c r="O247" s="55">
        <f t="shared" si="54"/>
        <v>0</v>
      </c>
    </row>
    <row r="248" spans="1:15" x14ac:dyDescent="0.3">
      <c r="A248" s="5" t="s">
        <v>3947</v>
      </c>
      <c r="B248" s="6" t="s">
        <v>3946</v>
      </c>
      <c r="C248" s="8" t="s">
        <v>3945</v>
      </c>
      <c r="D248" s="15">
        <v>897</v>
      </c>
      <c r="E248" s="8">
        <v>0</v>
      </c>
      <c r="F248" s="8">
        <v>1</v>
      </c>
      <c r="G248" s="8">
        <v>0.5</v>
      </c>
      <c r="H248" s="8">
        <v>1</v>
      </c>
      <c r="I248" s="8">
        <f t="shared" si="50"/>
        <v>0</v>
      </c>
      <c r="J248" s="8">
        <f t="shared" si="51"/>
        <v>0</v>
      </c>
      <c r="K248" s="8">
        <f t="shared" si="52"/>
        <v>0</v>
      </c>
      <c r="L248" s="8">
        <f t="shared" si="53"/>
        <v>0</v>
      </c>
      <c r="M248" s="49">
        <v>5</v>
      </c>
      <c r="N248" s="8">
        <v>0</v>
      </c>
      <c r="O248" s="55">
        <f t="shared" si="54"/>
        <v>0</v>
      </c>
    </row>
    <row r="249" spans="1:15" x14ac:dyDescent="0.3">
      <c r="A249" s="5" t="s">
        <v>5452</v>
      </c>
      <c r="B249" s="6" t="s">
        <v>5451</v>
      </c>
      <c r="C249" s="8" t="s">
        <v>3945</v>
      </c>
      <c r="D249" s="15">
        <v>797</v>
      </c>
      <c r="E249" s="8">
        <v>0</v>
      </c>
      <c r="F249" s="8">
        <v>1</v>
      </c>
      <c r="G249" s="8">
        <v>0.5</v>
      </c>
      <c r="H249" s="8">
        <v>1</v>
      </c>
      <c r="I249" s="8">
        <f>MROUND(E249*G249,1)</f>
        <v>0</v>
      </c>
      <c r="J249" s="8">
        <f>MROUND(E249*F249,1)</f>
        <v>0</v>
      </c>
      <c r="K249" s="8">
        <f>MROUND(I249+J249,1)</f>
        <v>0</v>
      </c>
      <c r="L249" s="8">
        <f>MROUND(E249*(F249+G249+H249),1)</f>
        <v>0</v>
      </c>
      <c r="M249" s="49">
        <v>0</v>
      </c>
      <c r="N249" s="8">
        <v>0</v>
      </c>
      <c r="O249" s="55">
        <f>IF(M249&lt;=K249,L249-M249-N249,0)</f>
        <v>0</v>
      </c>
    </row>
    <row r="250" spans="1:15" x14ac:dyDescent="0.3">
      <c r="A250" s="61" t="s">
        <v>5450</v>
      </c>
      <c r="B250" s="62" t="s">
        <v>5449</v>
      </c>
      <c r="C250" s="63" t="s">
        <v>3945</v>
      </c>
      <c r="D250" s="64">
        <v>997</v>
      </c>
      <c r="E250" s="63">
        <v>0</v>
      </c>
      <c r="F250" s="63">
        <v>1</v>
      </c>
      <c r="G250" s="63">
        <v>0.5</v>
      </c>
      <c r="H250" s="63">
        <v>1</v>
      </c>
      <c r="I250" s="63">
        <f>MROUND(E250*G250,1)</f>
        <v>0</v>
      </c>
      <c r="J250" s="63">
        <f>MROUND(E250*F250,1)</f>
        <v>0</v>
      </c>
      <c r="K250" s="63">
        <f>MROUND(I250+J250,1)</f>
        <v>0</v>
      </c>
      <c r="L250" s="63">
        <f>MROUND(E250*(F250+G250+H250),1)</f>
        <v>0</v>
      </c>
      <c r="M250" s="65">
        <v>0</v>
      </c>
      <c r="N250" s="63">
        <v>0</v>
      </c>
      <c r="O250" s="66">
        <f>IF(M250&lt;=K250,L250-M250-N250,0)</f>
        <v>0</v>
      </c>
    </row>
  </sheetData>
  <pageMargins left="0.23622047244094491" right="0.23622047244094491" top="0.74803149606299213" bottom="0.74803149606299213" header="0.31496062992125984" footer="0.31496062992125984"/>
  <pageSetup paperSize="9" scale="7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D4E1-4225-402B-9D2D-348C3A4FBC9D}">
  <sheetPr>
    <pageSetUpPr fitToPage="1"/>
  </sheetPr>
  <dimension ref="A1:L251"/>
  <sheetViews>
    <sheetView zoomScale="90" zoomScaleNormal="90" workbookViewId="0">
      <pane xSplit="2" ySplit="1" topLeftCell="C53" activePane="bottomRight" state="frozen"/>
      <selection pane="topRight" activeCell="C1" sqref="C1"/>
      <selection pane="bottomLeft" activeCell="A2" sqref="A2"/>
      <selection pane="bottomRight" activeCell="A57" sqref="A57:XFD57"/>
    </sheetView>
  </sheetViews>
  <sheetFormatPr defaultRowHeight="14.4" x14ac:dyDescent="0.3"/>
  <cols>
    <col min="1" max="1" width="26.33203125" style="78" customWidth="1"/>
    <col min="2" max="2" width="41.88671875" style="72" customWidth="1"/>
    <col min="3" max="3" width="15.21875" style="83" bestFit="1" customWidth="1"/>
    <col min="4" max="4" width="10.77734375" style="84" customWidth="1"/>
    <col min="5" max="10" width="10.77734375" style="72" customWidth="1"/>
    <col min="11" max="11" width="16.109375" style="72" bestFit="1" customWidth="1"/>
    <col min="12" max="12" width="16.44140625" style="72" bestFit="1" customWidth="1"/>
    <col min="13" max="16384" width="8.88671875" style="72"/>
  </cols>
  <sheetData>
    <row r="1" spans="1:12" ht="43.2" x14ac:dyDescent="0.3">
      <c r="A1" s="56" t="s">
        <v>0</v>
      </c>
      <c r="B1" s="58" t="s">
        <v>1</v>
      </c>
      <c r="C1" s="58" t="s">
        <v>2</v>
      </c>
      <c r="D1" s="71" t="s">
        <v>462</v>
      </c>
      <c r="E1" s="58" t="s">
        <v>7</v>
      </c>
      <c r="F1" s="58" t="s">
        <v>9</v>
      </c>
      <c r="G1" s="58" t="s">
        <v>10</v>
      </c>
      <c r="H1" s="67" t="s">
        <v>3</v>
      </c>
      <c r="I1" s="58" t="s">
        <v>11</v>
      </c>
      <c r="J1" s="60" t="s">
        <v>12</v>
      </c>
      <c r="K1" s="60" t="s">
        <v>5604</v>
      </c>
      <c r="L1" s="58" t="s">
        <v>5603</v>
      </c>
    </row>
    <row r="2" spans="1:12" hidden="1" x14ac:dyDescent="0.3">
      <c r="A2" s="5" t="s">
        <v>72</v>
      </c>
      <c r="B2" s="73" t="s">
        <v>73</v>
      </c>
      <c r="C2" s="8" t="s">
        <v>14</v>
      </c>
      <c r="D2" s="74">
        <v>0.15</v>
      </c>
      <c r="E2" s="8">
        <f>wshopcalc[[#This Row],[Safety Stock]]</f>
        <v>25</v>
      </c>
      <c r="F2" s="8">
        <f>wshopcalc[[#This Row],[Reorder Point (ROP)]]</f>
        <v>75</v>
      </c>
      <c r="G2" s="8">
        <f>wshopcalc[[#This Row],[Maximum Stock (MAX)]]</f>
        <v>125</v>
      </c>
      <c r="H2" s="49">
        <f>wshopcalc[[#This Row],[Current Stock]]</f>
        <v>600</v>
      </c>
      <c r="I2" s="8">
        <f>wshopcalc[[#This Row],[On Order]]</f>
        <v>0</v>
      </c>
      <c r="J2" s="75">
        <f t="shared" ref="J2:J65" si="0">IF(H2&lt;=F2,G2-H2-I2,0)</f>
        <v>0</v>
      </c>
      <c r="K2" s="76">
        <f>wshoprpt[[#This Row],[Current Stock]]*wshoprpt[[#This Row],[Cost Price]]</f>
        <v>90</v>
      </c>
      <c r="L2" s="68">
        <f>wshoprpt[[#This Row],[Order Quantity]]*wshoprpt[[#This Row],[Cost Price]]</f>
        <v>0</v>
      </c>
    </row>
    <row r="3" spans="1:12" hidden="1" x14ac:dyDescent="0.3">
      <c r="A3" s="5">
        <v>258032</v>
      </c>
      <c r="B3" s="73" t="s">
        <v>19</v>
      </c>
      <c r="C3" s="8" t="s">
        <v>14</v>
      </c>
      <c r="D3" s="74">
        <v>0.15</v>
      </c>
      <c r="E3" s="8">
        <f>wshopcalc[[#This Row],[Safety Stock]]</f>
        <v>50</v>
      </c>
      <c r="F3" s="8">
        <f>wshopcalc[[#This Row],[Reorder Point (ROP)]]</f>
        <v>150</v>
      </c>
      <c r="G3" s="8">
        <f>wshopcalc[[#This Row],[Maximum Stock (MAX)]]</f>
        <v>250</v>
      </c>
      <c r="H3" s="49">
        <f>wshopcalc[[#This Row],[Current Stock]]</f>
        <v>158</v>
      </c>
      <c r="I3" s="8">
        <f>wshopcalc[[#This Row],[On Order]]</f>
        <v>0</v>
      </c>
      <c r="J3" s="75">
        <f t="shared" si="0"/>
        <v>0</v>
      </c>
      <c r="K3" s="77">
        <f>wshoprpt[[#This Row],[Current Stock]]*wshoprpt[[#This Row],[Cost Price]]</f>
        <v>23.7</v>
      </c>
      <c r="L3" s="69">
        <f>wshoprpt[[#This Row],[Order Quantity]]*wshoprpt[[#This Row],[Cost Price]]</f>
        <v>0</v>
      </c>
    </row>
    <row r="4" spans="1:12" hidden="1" x14ac:dyDescent="0.3">
      <c r="A4" s="5">
        <v>258306</v>
      </c>
      <c r="B4" s="73" t="s">
        <v>21</v>
      </c>
      <c r="C4" s="8" t="s">
        <v>14</v>
      </c>
      <c r="D4" s="74">
        <v>0.2</v>
      </c>
      <c r="E4" s="8">
        <f>wshopcalc[[#This Row],[Safety Stock]]</f>
        <v>25</v>
      </c>
      <c r="F4" s="8">
        <f>wshopcalc[[#This Row],[Reorder Point (ROP)]]</f>
        <v>75</v>
      </c>
      <c r="G4" s="8">
        <f>wshopcalc[[#This Row],[Maximum Stock (MAX)]]</f>
        <v>125</v>
      </c>
      <c r="H4" s="49">
        <f>wshopcalc[[#This Row],[Current Stock]]</f>
        <v>443</v>
      </c>
      <c r="I4" s="8">
        <f>wshopcalc[[#This Row],[On Order]]</f>
        <v>0</v>
      </c>
      <c r="J4" s="75">
        <f t="shared" si="0"/>
        <v>0</v>
      </c>
      <c r="K4" s="77">
        <f>wshoprpt[[#This Row],[Current Stock]]*wshoprpt[[#This Row],[Cost Price]]</f>
        <v>88.600000000000009</v>
      </c>
      <c r="L4" s="69">
        <f>wshoprpt[[#This Row],[Order Quantity]]*wshoprpt[[#This Row],[Cost Price]]</f>
        <v>0</v>
      </c>
    </row>
    <row r="5" spans="1:12" ht="28.8" hidden="1" x14ac:dyDescent="0.3">
      <c r="A5" s="5" t="s">
        <v>68</v>
      </c>
      <c r="B5" s="73" t="s">
        <v>69</v>
      </c>
      <c r="C5" s="8" t="s">
        <v>14</v>
      </c>
      <c r="D5" s="74">
        <v>0.4</v>
      </c>
      <c r="E5" s="8">
        <f>wshopcalc[[#This Row],[Safety Stock]]</f>
        <v>25</v>
      </c>
      <c r="F5" s="8">
        <f>wshopcalc[[#This Row],[Reorder Point (ROP)]]</f>
        <v>75</v>
      </c>
      <c r="G5" s="8">
        <f>wshopcalc[[#This Row],[Maximum Stock (MAX)]]</f>
        <v>125</v>
      </c>
      <c r="H5" s="49">
        <f>wshopcalc[[#This Row],[Current Stock]]</f>
        <v>41</v>
      </c>
      <c r="I5" s="8">
        <f>wshopcalc[[#This Row],[On Order]]</f>
        <v>0</v>
      </c>
      <c r="J5" s="75">
        <f t="shared" si="0"/>
        <v>84</v>
      </c>
      <c r="K5" s="77">
        <f>wshoprpt[[#This Row],[Current Stock]]*wshoprpt[[#This Row],[Cost Price]]</f>
        <v>16.400000000000002</v>
      </c>
      <c r="L5" s="69">
        <f>wshoprpt[[#This Row],[Order Quantity]]*wshoprpt[[#This Row],[Cost Price]]</f>
        <v>33.6</v>
      </c>
    </row>
    <row r="6" spans="1:12" hidden="1" x14ac:dyDescent="0.3">
      <c r="A6" s="5" t="s">
        <v>70</v>
      </c>
      <c r="B6" s="73" t="s">
        <v>71</v>
      </c>
      <c r="C6" s="8" t="s">
        <v>14</v>
      </c>
      <c r="D6" s="74">
        <v>1</v>
      </c>
      <c r="E6" s="8">
        <f>wshopcalc[[#This Row],[Safety Stock]]</f>
        <v>25</v>
      </c>
      <c r="F6" s="8">
        <f>wshopcalc[[#This Row],[Reorder Point (ROP)]]</f>
        <v>75</v>
      </c>
      <c r="G6" s="8">
        <f>wshopcalc[[#This Row],[Maximum Stock (MAX)]]</f>
        <v>125</v>
      </c>
      <c r="H6" s="49">
        <f>wshopcalc[[#This Row],[Current Stock]]</f>
        <v>150</v>
      </c>
      <c r="I6" s="8">
        <f>wshopcalc[[#This Row],[On Order]]</f>
        <v>0</v>
      </c>
      <c r="J6" s="75">
        <f t="shared" si="0"/>
        <v>0</v>
      </c>
      <c r="K6" s="77">
        <f>wshoprpt[[#This Row],[Current Stock]]*wshoprpt[[#This Row],[Cost Price]]</f>
        <v>150</v>
      </c>
      <c r="L6" s="69">
        <f>wshoprpt[[#This Row],[Order Quantity]]*wshoprpt[[#This Row],[Cost Price]]</f>
        <v>0</v>
      </c>
    </row>
    <row r="7" spans="1:12" ht="28.8" hidden="1" x14ac:dyDescent="0.3">
      <c r="A7" s="5" t="s">
        <v>74</v>
      </c>
      <c r="B7" s="73" t="s">
        <v>75</v>
      </c>
      <c r="C7" s="8" t="s">
        <v>14</v>
      </c>
      <c r="D7" s="74">
        <v>0.08</v>
      </c>
      <c r="E7" s="8">
        <f>wshopcalc[[#This Row],[Safety Stock]]</f>
        <v>130</v>
      </c>
      <c r="F7" s="8">
        <f>wshopcalc[[#This Row],[Reorder Point (ROP)]]</f>
        <v>390</v>
      </c>
      <c r="G7" s="8">
        <f>wshopcalc[[#This Row],[Maximum Stock (MAX)]]</f>
        <v>650</v>
      </c>
      <c r="H7" s="49">
        <f>wshopcalc[[#This Row],[Current Stock]]</f>
        <v>192</v>
      </c>
      <c r="I7" s="8">
        <f>wshopcalc[[#This Row],[On Order]]</f>
        <v>0</v>
      </c>
      <c r="J7" s="75">
        <f t="shared" si="0"/>
        <v>458</v>
      </c>
      <c r="K7" s="77">
        <f>wshoprpt[[#This Row],[Current Stock]]*wshoprpt[[#This Row],[Cost Price]]</f>
        <v>15.36</v>
      </c>
      <c r="L7" s="69">
        <f>wshoprpt[[#This Row],[Order Quantity]]*wshoprpt[[#This Row],[Cost Price]]</f>
        <v>36.64</v>
      </c>
    </row>
    <row r="8" spans="1:12" hidden="1" x14ac:dyDescent="0.3">
      <c r="A8" s="5" t="s">
        <v>76</v>
      </c>
      <c r="B8" s="73" t="s">
        <v>77</v>
      </c>
      <c r="C8" s="8" t="s">
        <v>14</v>
      </c>
      <c r="D8" s="74">
        <v>0.12</v>
      </c>
      <c r="E8" s="8">
        <f>wshopcalc[[#This Row],[Safety Stock]]</f>
        <v>25</v>
      </c>
      <c r="F8" s="8">
        <f>wshopcalc[[#This Row],[Reorder Point (ROP)]]</f>
        <v>75</v>
      </c>
      <c r="G8" s="8">
        <f>wshopcalc[[#This Row],[Maximum Stock (MAX)]]</f>
        <v>125</v>
      </c>
      <c r="H8" s="49">
        <f>wshopcalc[[#This Row],[Current Stock]]</f>
        <v>360</v>
      </c>
      <c r="I8" s="8">
        <f>wshopcalc[[#This Row],[On Order]]</f>
        <v>0</v>
      </c>
      <c r="J8" s="75">
        <f t="shared" si="0"/>
        <v>0</v>
      </c>
      <c r="K8" s="77">
        <f>wshoprpt[[#This Row],[Current Stock]]*wshoprpt[[#This Row],[Cost Price]]</f>
        <v>43.199999999999996</v>
      </c>
      <c r="L8" s="69">
        <f>wshoprpt[[#This Row],[Order Quantity]]*wshoprpt[[#This Row],[Cost Price]]</f>
        <v>0</v>
      </c>
    </row>
    <row r="9" spans="1:12" ht="28.8" hidden="1" x14ac:dyDescent="0.3">
      <c r="A9" s="5" t="s">
        <v>78</v>
      </c>
      <c r="B9" s="73" t="s">
        <v>79</v>
      </c>
      <c r="C9" s="8" t="s">
        <v>14</v>
      </c>
      <c r="D9" s="74">
        <v>0.6</v>
      </c>
      <c r="E9" s="8">
        <f>wshopcalc[[#This Row],[Safety Stock]]</f>
        <v>25</v>
      </c>
      <c r="F9" s="8">
        <f>wshopcalc[[#This Row],[Reorder Point (ROP)]]</f>
        <v>75</v>
      </c>
      <c r="G9" s="8">
        <f>wshopcalc[[#This Row],[Maximum Stock (MAX)]]</f>
        <v>125</v>
      </c>
      <c r="H9" s="49">
        <f>wshopcalc[[#This Row],[Current Stock]]</f>
        <v>1234</v>
      </c>
      <c r="I9" s="8">
        <f>wshopcalc[[#This Row],[On Order]]</f>
        <v>0</v>
      </c>
      <c r="J9" s="75">
        <f t="shared" si="0"/>
        <v>0</v>
      </c>
      <c r="K9" s="77">
        <f>wshoprpt[[#This Row],[Current Stock]]*wshoprpt[[#This Row],[Cost Price]]</f>
        <v>740.4</v>
      </c>
      <c r="L9" s="69">
        <f>wshoprpt[[#This Row],[Order Quantity]]*wshoprpt[[#This Row],[Cost Price]]</f>
        <v>0</v>
      </c>
    </row>
    <row r="10" spans="1:12" hidden="1" x14ac:dyDescent="0.3">
      <c r="A10" s="5" t="s">
        <v>464</v>
      </c>
      <c r="B10" s="73" t="s">
        <v>465</v>
      </c>
      <c r="C10" s="8" t="s">
        <v>14</v>
      </c>
      <c r="D10" s="74">
        <v>0.65</v>
      </c>
      <c r="E10" s="8">
        <f>wshopcalc[[#This Row],[Safety Stock]]</f>
        <v>78</v>
      </c>
      <c r="F10" s="8">
        <f>wshopcalc[[#This Row],[Reorder Point (ROP)]]</f>
        <v>233</v>
      </c>
      <c r="G10" s="8">
        <f>wshopcalc[[#This Row],[Maximum Stock (MAX)]]</f>
        <v>388</v>
      </c>
      <c r="H10" s="49">
        <f>wshopcalc[[#This Row],[Current Stock]]</f>
        <v>450</v>
      </c>
      <c r="I10" s="8">
        <f>wshopcalc[[#This Row],[On Order]]</f>
        <v>0</v>
      </c>
      <c r="J10" s="75">
        <f t="shared" si="0"/>
        <v>0</v>
      </c>
      <c r="K10" s="77">
        <f>wshoprpt[[#This Row],[Current Stock]]*wshoprpt[[#This Row],[Cost Price]]</f>
        <v>292.5</v>
      </c>
      <c r="L10" s="69">
        <f>wshoprpt[[#This Row],[Order Quantity]]*wshoprpt[[#This Row],[Cost Price]]</f>
        <v>0</v>
      </c>
    </row>
    <row r="11" spans="1:12" hidden="1" x14ac:dyDescent="0.3">
      <c r="A11" s="5" t="s">
        <v>80</v>
      </c>
      <c r="B11" s="73" t="s">
        <v>81</v>
      </c>
      <c r="C11" s="8" t="s">
        <v>14</v>
      </c>
      <c r="D11" s="74">
        <v>3</v>
      </c>
      <c r="E11" s="8">
        <f>wshopcalc[[#This Row],[Safety Stock]]</f>
        <v>25</v>
      </c>
      <c r="F11" s="8">
        <f>wshopcalc[[#This Row],[Reorder Point (ROP)]]</f>
        <v>75</v>
      </c>
      <c r="G11" s="8">
        <f>wshopcalc[[#This Row],[Maximum Stock (MAX)]]</f>
        <v>125</v>
      </c>
      <c r="H11" s="49">
        <f>wshopcalc[[#This Row],[Current Stock]]</f>
        <v>293</v>
      </c>
      <c r="I11" s="8">
        <f>wshopcalc[[#This Row],[On Order]]</f>
        <v>0</v>
      </c>
      <c r="J11" s="75">
        <f t="shared" si="0"/>
        <v>0</v>
      </c>
      <c r="K11" s="77">
        <f>wshoprpt[[#This Row],[Current Stock]]*wshoprpt[[#This Row],[Cost Price]]</f>
        <v>879</v>
      </c>
      <c r="L11" s="69">
        <f>wshoprpt[[#This Row],[Order Quantity]]*wshoprpt[[#This Row],[Cost Price]]</f>
        <v>0</v>
      </c>
    </row>
    <row r="12" spans="1:12" hidden="1" x14ac:dyDescent="0.3">
      <c r="A12" s="5" t="s">
        <v>82</v>
      </c>
      <c r="B12" s="73" t="s">
        <v>83</v>
      </c>
      <c r="C12" s="8" t="s">
        <v>14</v>
      </c>
      <c r="D12" s="74">
        <v>0.8</v>
      </c>
      <c r="E12" s="8">
        <f>wshopcalc[[#This Row],[Safety Stock]]</f>
        <v>25</v>
      </c>
      <c r="F12" s="8">
        <f>wshopcalc[[#This Row],[Reorder Point (ROP)]]</f>
        <v>75</v>
      </c>
      <c r="G12" s="8">
        <f>wshopcalc[[#This Row],[Maximum Stock (MAX)]]</f>
        <v>125</v>
      </c>
      <c r="H12" s="49">
        <f>wshopcalc[[#This Row],[Current Stock]]</f>
        <v>40</v>
      </c>
      <c r="I12" s="8">
        <f>wshopcalc[[#This Row],[On Order]]</f>
        <v>0</v>
      </c>
      <c r="J12" s="75">
        <f t="shared" si="0"/>
        <v>85</v>
      </c>
      <c r="K12" s="77">
        <f>wshoprpt[[#This Row],[Current Stock]]*wshoprpt[[#This Row],[Cost Price]]</f>
        <v>32</v>
      </c>
      <c r="L12" s="69">
        <f>wshoprpt[[#This Row],[Order Quantity]]*wshoprpt[[#This Row],[Cost Price]]</f>
        <v>68</v>
      </c>
    </row>
    <row r="13" spans="1:12" hidden="1" x14ac:dyDescent="0.3">
      <c r="A13" s="5" t="s">
        <v>84</v>
      </c>
      <c r="B13" s="73" t="s">
        <v>85</v>
      </c>
      <c r="C13" s="8" t="s">
        <v>14</v>
      </c>
      <c r="D13" s="74">
        <v>0.3</v>
      </c>
      <c r="E13" s="8">
        <f>wshopcalc[[#This Row],[Safety Stock]]</f>
        <v>40</v>
      </c>
      <c r="F13" s="8">
        <f>wshopcalc[[#This Row],[Reorder Point (ROP)]]</f>
        <v>120</v>
      </c>
      <c r="G13" s="8">
        <f>wshopcalc[[#This Row],[Maximum Stock (MAX)]]</f>
        <v>200</v>
      </c>
      <c r="H13" s="49">
        <f>wshopcalc[[#This Row],[Current Stock]]</f>
        <v>500</v>
      </c>
      <c r="I13" s="8">
        <f>wshopcalc[[#This Row],[On Order]]</f>
        <v>0</v>
      </c>
      <c r="J13" s="75">
        <f t="shared" si="0"/>
        <v>0</v>
      </c>
      <c r="K13" s="77">
        <f>wshoprpt[[#This Row],[Current Stock]]*wshoprpt[[#This Row],[Cost Price]]</f>
        <v>150</v>
      </c>
      <c r="L13" s="69">
        <f>wshoprpt[[#This Row],[Order Quantity]]*wshoprpt[[#This Row],[Cost Price]]</f>
        <v>0</v>
      </c>
    </row>
    <row r="14" spans="1:12" hidden="1" x14ac:dyDescent="0.3">
      <c r="A14" s="5" t="s">
        <v>86</v>
      </c>
      <c r="B14" s="73" t="s">
        <v>87</v>
      </c>
      <c r="C14" s="8" t="s">
        <v>14</v>
      </c>
      <c r="D14" s="74">
        <v>1.8</v>
      </c>
      <c r="E14" s="8">
        <f>wshopcalc[[#This Row],[Safety Stock]]</f>
        <v>25</v>
      </c>
      <c r="F14" s="8">
        <f>wshopcalc[[#This Row],[Reorder Point (ROP)]]</f>
        <v>75</v>
      </c>
      <c r="G14" s="8">
        <f>wshopcalc[[#This Row],[Maximum Stock (MAX)]]</f>
        <v>125</v>
      </c>
      <c r="H14" s="49">
        <f>wshopcalc[[#This Row],[Current Stock]]</f>
        <v>450</v>
      </c>
      <c r="I14" s="8">
        <f>wshopcalc[[#This Row],[On Order]]</f>
        <v>0</v>
      </c>
      <c r="J14" s="75">
        <f t="shared" si="0"/>
        <v>0</v>
      </c>
      <c r="K14" s="77">
        <f>wshoprpt[[#This Row],[Current Stock]]*wshoprpt[[#This Row],[Cost Price]]</f>
        <v>810</v>
      </c>
      <c r="L14" s="69">
        <f>wshoprpt[[#This Row],[Order Quantity]]*wshoprpt[[#This Row],[Cost Price]]</f>
        <v>0</v>
      </c>
    </row>
    <row r="15" spans="1:12" ht="28.8" hidden="1" x14ac:dyDescent="0.3">
      <c r="A15" s="5" t="s">
        <v>88</v>
      </c>
      <c r="B15" s="73" t="s">
        <v>89</v>
      </c>
      <c r="C15" s="8" t="s">
        <v>14</v>
      </c>
      <c r="D15" s="74">
        <v>0.12</v>
      </c>
      <c r="E15" s="8">
        <f>wshopcalc[[#This Row],[Safety Stock]]</f>
        <v>58</v>
      </c>
      <c r="F15" s="8">
        <f>wshopcalc[[#This Row],[Reorder Point (ROP)]]</f>
        <v>173</v>
      </c>
      <c r="G15" s="8">
        <f>wshopcalc[[#This Row],[Maximum Stock (MAX)]]</f>
        <v>288</v>
      </c>
      <c r="H15" s="49">
        <f>wshopcalc[[#This Row],[Current Stock]]</f>
        <v>1196</v>
      </c>
      <c r="I15" s="8">
        <f>wshopcalc[[#This Row],[On Order]]</f>
        <v>0</v>
      </c>
      <c r="J15" s="75">
        <f t="shared" si="0"/>
        <v>0</v>
      </c>
      <c r="K15" s="77">
        <f>wshoprpt[[#This Row],[Current Stock]]*wshoprpt[[#This Row],[Cost Price]]</f>
        <v>143.51999999999998</v>
      </c>
      <c r="L15" s="69">
        <f>wshoprpt[[#This Row],[Order Quantity]]*wshoprpt[[#This Row],[Cost Price]]</f>
        <v>0</v>
      </c>
    </row>
    <row r="16" spans="1:12" hidden="1" x14ac:dyDescent="0.3">
      <c r="A16" s="5" t="s">
        <v>90</v>
      </c>
      <c r="B16" s="73" t="s">
        <v>91</v>
      </c>
      <c r="C16" s="8" t="s">
        <v>14</v>
      </c>
      <c r="D16" s="74">
        <v>0.4</v>
      </c>
      <c r="E16" s="8">
        <f>wshopcalc[[#This Row],[Safety Stock]]</f>
        <v>25</v>
      </c>
      <c r="F16" s="8">
        <f>wshopcalc[[#This Row],[Reorder Point (ROP)]]</f>
        <v>75</v>
      </c>
      <c r="G16" s="8">
        <f>wshopcalc[[#This Row],[Maximum Stock (MAX)]]</f>
        <v>125</v>
      </c>
      <c r="H16" s="49">
        <f>wshopcalc[[#This Row],[Current Stock]]</f>
        <v>130</v>
      </c>
      <c r="I16" s="8">
        <f>wshopcalc[[#This Row],[On Order]]</f>
        <v>0</v>
      </c>
      <c r="J16" s="75">
        <f t="shared" si="0"/>
        <v>0</v>
      </c>
      <c r="K16" s="77">
        <f>wshoprpt[[#This Row],[Current Stock]]*wshoprpt[[#This Row],[Cost Price]]</f>
        <v>52</v>
      </c>
      <c r="L16" s="69">
        <f>wshoprpt[[#This Row],[Order Quantity]]*wshoprpt[[#This Row],[Cost Price]]</f>
        <v>0</v>
      </c>
    </row>
    <row r="17" spans="1:12" hidden="1" x14ac:dyDescent="0.3">
      <c r="A17" s="5" t="s">
        <v>92</v>
      </c>
      <c r="B17" s="73" t="s">
        <v>93</v>
      </c>
      <c r="C17" s="8" t="s">
        <v>14</v>
      </c>
      <c r="D17" s="74">
        <v>0.3</v>
      </c>
      <c r="E17" s="8">
        <f>wshopcalc[[#This Row],[Safety Stock]]</f>
        <v>50</v>
      </c>
      <c r="F17" s="8">
        <f>wshopcalc[[#This Row],[Reorder Point (ROP)]]</f>
        <v>150</v>
      </c>
      <c r="G17" s="8">
        <f>wshopcalc[[#This Row],[Maximum Stock (MAX)]]</f>
        <v>250</v>
      </c>
      <c r="H17" s="49">
        <f>wshopcalc[[#This Row],[Current Stock]]</f>
        <v>854</v>
      </c>
      <c r="I17" s="8">
        <f>wshopcalc[[#This Row],[On Order]]</f>
        <v>0</v>
      </c>
      <c r="J17" s="75">
        <f t="shared" si="0"/>
        <v>0</v>
      </c>
      <c r="K17" s="77">
        <f>wshoprpt[[#This Row],[Current Stock]]*wshoprpt[[#This Row],[Cost Price]]</f>
        <v>256.2</v>
      </c>
      <c r="L17" s="69">
        <f>wshoprpt[[#This Row],[Order Quantity]]*wshoprpt[[#This Row],[Cost Price]]</f>
        <v>0</v>
      </c>
    </row>
    <row r="18" spans="1:12" hidden="1" x14ac:dyDescent="0.3">
      <c r="A18" s="5" t="s">
        <v>94</v>
      </c>
      <c r="B18" s="73" t="s">
        <v>94</v>
      </c>
      <c r="C18" s="8" t="s">
        <v>14</v>
      </c>
      <c r="D18" s="74">
        <v>0.9</v>
      </c>
      <c r="E18" s="8">
        <f>wshopcalc[[#This Row],[Safety Stock]]</f>
        <v>50</v>
      </c>
      <c r="F18" s="8">
        <f>wshopcalc[[#This Row],[Reorder Point (ROP)]]</f>
        <v>150</v>
      </c>
      <c r="G18" s="8">
        <f>wshopcalc[[#This Row],[Maximum Stock (MAX)]]</f>
        <v>250</v>
      </c>
      <c r="H18" s="49">
        <f>wshopcalc[[#This Row],[Current Stock]]</f>
        <v>580</v>
      </c>
      <c r="I18" s="8">
        <f>wshopcalc[[#This Row],[On Order]]</f>
        <v>0</v>
      </c>
      <c r="J18" s="75">
        <f t="shared" si="0"/>
        <v>0</v>
      </c>
      <c r="K18" s="77">
        <f>wshoprpt[[#This Row],[Current Stock]]*wshoprpt[[#This Row],[Cost Price]]</f>
        <v>522</v>
      </c>
      <c r="L18" s="69">
        <f>wshoprpt[[#This Row],[Order Quantity]]*wshoprpt[[#This Row],[Cost Price]]</f>
        <v>0</v>
      </c>
    </row>
    <row r="19" spans="1:12" ht="28.8" hidden="1" x14ac:dyDescent="0.3">
      <c r="A19" s="5" t="s">
        <v>95</v>
      </c>
      <c r="B19" s="73" t="s">
        <v>96</v>
      </c>
      <c r="C19" s="8" t="s">
        <v>14</v>
      </c>
      <c r="D19" s="74">
        <v>1</v>
      </c>
      <c r="E19" s="8">
        <f>wshopcalc[[#This Row],[Safety Stock]]</f>
        <v>25</v>
      </c>
      <c r="F19" s="8">
        <f>wshopcalc[[#This Row],[Reorder Point (ROP)]]</f>
        <v>75</v>
      </c>
      <c r="G19" s="8">
        <f>wshopcalc[[#This Row],[Maximum Stock (MAX)]]</f>
        <v>125</v>
      </c>
      <c r="H19" s="49">
        <f>wshopcalc[[#This Row],[Current Stock]]</f>
        <v>107</v>
      </c>
      <c r="I19" s="8">
        <f>wshopcalc[[#This Row],[On Order]]</f>
        <v>0</v>
      </c>
      <c r="J19" s="75">
        <f t="shared" si="0"/>
        <v>0</v>
      </c>
      <c r="K19" s="77">
        <f>wshoprpt[[#This Row],[Current Stock]]*wshoprpt[[#This Row],[Cost Price]]</f>
        <v>107</v>
      </c>
      <c r="L19" s="69">
        <f>wshoprpt[[#This Row],[Order Quantity]]*wshoprpt[[#This Row],[Cost Price]]</f>
        <v>0</v>
      </c>
    </row>
    <row r="20" spans="1:12" hidden="1" x14ac:dyDescent="0.3">
      <c r="A20" s="5" t="s">
        <v>97</v>
      </c>
      <c r="B20" s="73" t="s">
        <v>98</v>
      </c>
      <c r="C20" s="8" t="s">
        <v>14</v>
      </c>
      <c r="D20" s="74">
        <v>2</v>
      </c>
      <c r="E20" s="8">
        <f>wshopcalc[[#This Row],[Safety Stock]]</f>
        <v>25</v>
      </c>
      <c r="F20" s="8">
        <f>wshopcalc[[#This Row],[Reorder Point (ROP)]]</f>
        <v>75</v>
      </c>
      <c r="G20" s="8">
        <f>wshopcalc[[#This Row],[Maximum Stock (MAX)]]</f>
        <v>125</v>
      </c>
      <c r="H20" s="49">
        <f>wshopcalc[[#This Row],[Current Stock]]</f>
        <v>400</v>
      </c>
      <c r="I20" s="8">
        <f>wshopcalc[[#This Row],[On Order]]</f>
        <v>0</v>
      </c>
      <c r="J20" s="75">
        <f t="shared" si="0"/>
        <v>0</v>
      </c>
      <c r="K20" s="77">
        <f>wshoprpt[[#This Row],[Current Stock]]*wshoprpt[[#This Row],[Cost Price]]</f>
        <v>800</v>
      </c>
      <c r="L20" s="69">
        <f>wshoprpt[[#This Row],[Order Quantity]]*wshoprpt[[#This Row],[Cost Price]]</f>
        <v>0</v>
      </c>
    </row>
    <row r="21" spans="1:12" hidden="1" x14ac:dyDescent="0.3">
      <c r="A21" s="5" t="s">
        <v>99</v>
      </c>
      <c r="B21" s="73" t="s">
        <v>100</v>
      </c>
      <c r="C21" s="8" t="s">
        <v>14</v>
      </c>
      <c r="D21" s="74">
        <v>2</v>
      </c>
      <c r="E21" s="8">
        <f>wshopcalc[[#This Row],[Safety Stock]]</f>
        <v>5</v>
      </c>
      <c r="F21" s="8">
        <f>wshopcalc[[#This Row],[Reorder Point (ROP)]]</f>
        <v>15</v>
      </c>
      <c r="G21" s="8">
        <f>wshopcalc[[#This Row],[Maximum Stock (MAX)]]</f>
        <v>25</v>
      </c>
      <c r="H21" s="49">
        <f>wshopcalc[[#This Row],[Current Stock]]</f>
        <v>19</v>
      </c>
      <c r="I21" s="8">
        <f>wshopcalc[[#This Row],[On Order]]</f>
        <v>0</v>
      </c>
      <c r="J21" s="75">
        <f t="shared" si="0"/>
        <v>0</v>
      </c>
      <c r="K21" s="77">
        <f>wshoprpt[[#This Row],[Current Stock]]*wshoprpt[[#This Row],[Cost Price]]</f>
        <v>38</v>
      </c>
      <c r="L21" s="69">
        <f>wshoprpt[[#This Row],[Order Quantity]]*wshoprpt[[#This Row],[Cost Price]]</f>
        <v>0</v>
      </c>
    </row>
    <row r="22" spans="1:12" hidden="1" x14ac:dyDescent="0.3">
      <c r="A22" s="5">
        <v>237756</v>
      </c>
      <c r="B22" s="73" t="s">
        <v>13</v>
      </c>
      <c r="C22" s="8" t="s">
        <v>14</v>
      </c>
      <c r="D22" s="74">
        <v>1.8</v>
      </c>
      <c r="E22" s="8">
        <f>wshopcalc[[#This Row],[Safety Stock]]</f>
        <v>50</v>
      </c>
      <c r="F22" s="8">
        <f>wshopcalc[[#This Row],[Reorder Point (ROP)]]</f>
        <v>150</v>
      </c>
      <c r="G22" s="8">
        <f>wshopcalc[[#This Row],[Maximum Stock (MAX)]]</f>
        <v>250</v>
      </c>
      <c r="H22" s="49">
        <f>wshopcalc[[#This Row],[Current Stock]]</f>
        <v>200</v>
      </c>
      <c r="I22" s="8">
        <f>wshopcalc[[#This Row],[On Order]]</f>
        <v>0</v>
      </c>
      <c r="J22" s="75">
        <f t="shared" si="0"/>
        <v>0</v>
      </c>
      <c r="K22" s="77">
        <f>wshoprpt[[#This Row],[Current Stock]]*wshoprpt[[#This Row],[Cost Price]]</f>
        <v>360</v>
      </c>
      <c r="L22" s="69">
        <f>wshoprpt[[#This Row],[Order Quantity]]*wshoprpt[[#This Row],[Cost Price]]</f>
        <v>0</v>
      </c>
    </row>
    <row r="23" spans="1:12" ht="28.8" hidden="1" x14ac:dyDescent="0.3">
      <c r="A23" s="5" t="s">
        <v>23</v>
      </c>
      <c r="B23" s="73" t="s">
        <v>24</v>
      </c>
      <c r="C23" s="8" t="s">
        <v>14</v>
      </c>
      <c r="D23" s="74">
        <v>0.2</v>
      </c>
      <c r="E23" s="8">
        <f>wshopcalc[[#This Row],[Safety Stock]]</f>
        <v>100</v>
      </c>
      <c r="F23" s="8">
        <f>wshopcalc[[#This Row],[Reorder Point (ROP)]]</f>
        <v>300</v>
      </c>
      <c r="G23" s="8">
        <f>wshopcalc[[#This Row],[Maximum Stock (MAX)]]</f>
        <v>500</v>
      </c>
      <c r="H23" s="49">
        <f>wshopcalc[[#This Row],[Current Stock]]</f>
        <v>2118</v>
      </c>
      <c r="I23" s="8">
        <f>wshopcalc[[#This Row],[On Order]]</f>
        <v>0</v>
      </c>
      <c r="J23" s="75">
        <f t="shared" si="0"/>
        <v>0</v>
      </c>
      <c r="K23" s="77">
        <f>wshoprpt[[#This Row],[Current Stock]]*wshoprpt[[#This Row],[Cost Price]]</f>
        <v>423.6</v>
      </c>
      <c r="L23" s="69">
        <f>wshoprpt[[#This Row],[Order Quantity]]*wshoprpt[[#This Row],[Cost Price]]</f>
        <v>0</v>
      </c>
    </row>
    <row r="24" spans="1:12" ht="28.8" hidden="1" x14ac:dyDescent="0.3">
      <c r="A24" s="5" t="s">
        <v>25</v>
      </c>
      <c r="B24" s="73" t="s">
        <v>26</v>
      </c>
      <c r="C24" s="8" t="s">
        <v>14</v>
      </c>
      <c r="D24" s="74">
        <v>0.65</v>
      </c>
      <c r="E24" s="8">
        <f>wshopcalc[[#This Row],[Safety Stock]]</f>
        <v>50</v>
      </c>
      <c r="F24" s="8">
        <f>wshopcalc[[#This Row],[Reorder Point (ROP)]]</f>
        <v>150</v>
      </c>
      <c r="G24" s="8">
        <f>wshopcalc[[#This Row],[Maximum Stock (MAX)]]</f>
        <v>250</v>
      </c>
      <c r="H24" s="49">
        <f>wshopcalc[[#This Row],[Current Stock]]</f>
        <v>1986</v>
      </c>
      <c r="I24" s="8">
        <f>wshopcalc[[#This Row],[On Order]]</f>
        <v>0</v>
      </c>
      <c r="J24" s="75">
        <f t="shared" si="0"/>
        <v>0</v>
      </c>
      <c r="K24" s="77">
        <f>wshoprpt[[#This Row],[Current Stock]]*wshoprpt[[#This Row],[Cost Price]]</f>
        <v>1290.9000000000001</v>
      </c>
      <c r="L24" s="69">
        <f>wshoprpt[[#This Row],[Order Quantity]]*wshoprpt[[#This Row],[Cost Price]]</f>
        <v>0</v>
      </c>
    </row>
    <row r="25" spans="1:12" hidden="1" x14ac:dyDescent="0.3">
      <c r="A25" s="5" t="s">
        <v>27</v>
      </c>
      <c r="B25" s="73" t="s">
        <v>28</v>
      </c>
      <c r="C25" s="8" t="s">
        <v>14</v>
      </c>
      <c r="D25" s="74">
        <v>1.8</v>
      </c>
      <c r="E25" s="8">
        <f>wshopcalc[[#This Row],[Safety Stock]]</f>
        <v>25</v>
      </c>
      <c r="F25" s="8">
        <f>wshopcalc[[#This Row],[Reorder Point (ROP)]]</f>
        <v>75</v>
      </c>
      <c r="G25" s="8">
        <f>wshopcalc[[#This Row],[Maximum Stock (MAX)]]</f>
        <v>125</v>
      </c>
      <c r="H25" s="49">
        <f>wshopcalc[[#This Row],[Current Stock]]</f>
        <v>242</v>
      </c>
      <c r="I25" s="8">
        <f>wshopcalc[[#This Row],[On Order]]</f>
        <v>0</v>
      </c>
      <c r="J25" s="75">
        <f t="shared" si="0"/>
        <v>0</v>
      </c>
      <c r="K25" s="77">
        <f>wshoprpt[[#This Row],[Current Stock]]*wshoprpt[[#This Row],[Cost Price]]</f>
        <v>435.6</v>
      </c>
      <c r="L25" s="69">
        <f>wshoprpt[[#This Row],[Order Quantity]]*wshoprpt[[#This Row],[Cost Price]]</f>
        <v>0</v>
      </c>
    </row>
    <row r="26" spans="1:12" ht="28.8" hidden="1" x14ac:dyDescent="0.3">
      <c r="A26" s="5" t="s">
        <v>29</v>
      </c>
      <c r="B26" s="73" t="s">
        <v>30</v>
      </c>
      <c r="C26" s="8" t="s">
        <v>14</v>
      </c>
      <c r="D26" s="74">
        <v>1.8</v>
      </c>
      <c r="E26" s="8">
        <f>wshopcalc[[#This Row],[Safety Stock]]</f>
        <v>50</v>
      </c>
      <c r="F26" s="8">
        <f>wshopcalc[[#This Row],[Reorder Point (ROP)]]</f>
        <v>150</v>
      </c>
      <c r="G26" s="8">
        <f>wshopcalc[[#This Row],[Maximum Stock (MAX)]]</f>
        <v>250</v>
      </c>
      <c r="H26" s="49">
        <f>wshopcalc[[#This Row],[Current Stock]]</f>
        <v>800</v>
      </c>
      <c r="I26" s="8">
        <f>wshopcalc[[#This Row],[On Order]]</f>
        <v>0</v>
      </c>
      <c r="J26" s="75">
        <f t="shared" si="0"/>
        <v>0</v>
      </c>
      <c r="K26" s="77">
        <f>wshoprpt[[#This Row],[Current Stock]]*wshoprpt[[#This Row],[Cost Price]]</f>
        <v>1440</v>
      </c>
      <c r="L26" s="69">
        <f>wshoprpt[[#This Row],[Order Quantity]]*wshoprpt[[#This Row],[Cost Price]]</f>
        <v>0</v>
      </c>
    </row>
    <row r="27" spans="1:12" hidden="1" x14ac:dyDescent="0.3">
      <c r="A27" s="5" t="s">
        <v>31</v>
      </c>
      <c r="B27" s="73" t="s">
        <v>32</v>
      </c>
      <c r="C27" s="8" t="s">
        <v>14</v>
      </c>
      <c r="D27" s="74">
        <v>0.5</v>
      </c>
      <c r="E27" s="8">
        <f>wshopcalc[[#This Row],[Safety Stock]]</f>
        <v>100</v>
      </c>
      <c r="F27" s="8">
        <f>wshopcalc[[#This Row],[Reorder Point (ROP)]]</f>
        <v>300</v>
      </c>
      <c r="G27" s="8">
        <f>wshopcalc[[#This Row],[Maximum Stock (MAX)]]</f>
        <v>500</v>
      </c>
      <c r="H27" s="49">
        <f>wshopcalc[[#This Row],[Current Stock]]</f>
        <v>921</v>
      </c>
      <c r="I27" s="8">
        <f>wshopcalc[[#This Row],[On Order]]</f>
        <v>0</v>
      </c>
      <c r="J27" s="75">
        <f t="shared" si="0"/>
        <v>0</v>
      </c>
      <c r="K27" s="77">
        <f>wshoprpt[[#This Row],[Current Stock]]*wshoprpt[[#This Row],[Cost Price]]</f>
        <v>460.5</v>
      </c>
      <c r="L27" s="69">
        <f>wshoprpt[[#This Row],[Order Quantity]]*wshoprpt[[#This Row],[Cost Price]]</f>
        <v>0</v>
      </c>
    </row>
    <row r="28" spans="1:12" hidden="1" x14ac:dyDescent="0.3">
      <c r="A28" s="5" t="s">
        <v>33</v>
      </c>
      <c r="B28" s="73" t="s">
        <v>34</v>
      </c>
      <c r="C28" s="8" t="s">
        <v>14</v>
      </c>
      <c r="D28" s="74">
        <v>1.8</v>
      </c>
      <c r="E28" s="8">
        <f>wshopcalc[[#This Row],[Safety Stock]]</f>
        <v>25</v>
      </c>
      <c r="F28" s="8">
        <f>wshopcalc[[#This Row],[Reorder Point (ROP)]]</f>
        <v>75</v>
      </c>
      <c r="G28" s="8">
        <f>wshopcalc[[#This Row],[Maximum Stock (MAX)]]</f>
        <v>125</v>
      </c>
      <c r="H28" s="49">
        <f>wshopcalc[[#This Row],[Current Stock]]</f>
        <v>99</v>
      </c>
      <c r="I28" s="8">
        <f>wshopcalc[[#This Row],[On Order]]</f>
        <v>0</v>
      </c>
      <c r="J28" s="75">
        <f t="shared" si="0"/>
        <v>0</v>
      </c>
      <c r="K28" s="77">
        <f>wshoprpt[[#This Row],[Current Stock]]*wshoprpt[[#This Row],[Cost Price]]</f>
        <v>178.20000000000002</v>
      </c>
      <c r="L28" s="69">
        <f>wshoprpt[[#This Row],[Order Quantity]]*wshoprpt[[#This Row],[Cost Price]]</f>
        <v>0</v>
      </c>
    </row>
    <row r="29" spans="1:12" hidden="1" x14ac:dyDescent="0.3">
      <c r="A29" s="5" t="s">
        <v>35</v>
      </c>
      <c r="B29" s="73" t="s">
        <v>36</v>
      </c>
      <c r="C29" s="8" t="s">
        <v>14</v>
      </c>
      <c r="D29" s="74">
        <v>4</v>
      </c>
      <c r="E29" s="8">
        <f>wshopcalc[[#This Row],[Safety Stock]]</f>
        <v>25</v>
      </c>
      <c r="F29" s="8">
        <f>wshopcalc[[#This Row],[Reorder Point (ROP)]]</f>
        <v>75</v>
      </c>
      <c r="G29" s="8">
        <f>wshopcalc[[#This Row],[Maximum Stock (MAX)]]</f>
        <v>125</v>
      </c>
      <c r="H29" s="49">
        <f>wshopcalc[[#This Row],[Current Stock]]</f>
        <v>300</v>
      </c>
      <c r="I29" s="8">
        <f>wshopcalc[[#This Row],[On Order]]</f>
        <v>0</v>
      </c>
      <c r="J29" s="75">
        <f t="shared" si="0"/>
        <v>0</v>
      </c>
      <c r="K29" s="77">
        <f>wshoprpt[[#This Row],[Current Stock]]*wshoprpt[[#This Row],[Cost Price]]</f>
        <v>1200</v>
      </c>
      <c r="L29" s="69">
        <f>wshoprpt[[#This Row],[Order Quantity]]*wshoprpt[[#This Row],[Cost Price]]</f>
        <v>0</v>
      </c>
    </row>
    <row r="30" spans="1:12" hidden="1" x14ac:dyDescent="0.3">
      <c r="A30" s="5" t="s">
        <v>37</v>
      </c>
      <c r="B30" s="73" t="s">
        <v>38</v>
      </c>
      <c r="C30" s="8" t="s">
        <v>14</v>
      </c>
      <c r="D30" s="74">
        <v>2.6</v>
      </c>
      <c r="E30" s="8">
        <f>wshopcalc[[#This Row],[Safety Stock]]</f>
        <v>25</v>
      </c>
      <c r="F30" s="8">
        <f>wshopcalc[[#This Row],[Reorder Point (ROP)]]</f>
        <v>75</v>
      </c>
      <c r="G30" s="8">
        <f>wshopcalc[[#This Row],[Maximum Stock (MAX)]]</f>
        <v>125</v>
      </c>
      <c r="H30" s="49">
        <f>wshopcalc[[#This Row],[Current Stock]]</f>
        <v>5</v>
      </c>
      <c r="I30" s="8">
        <f>wshopcalc[[#This Row],[On Order]]</f>
        <v>0</v>
      </c>
      <c r="J30" s="75">
        <f t="shared" si="0"/>
        <v>120</v>
      </c>
      <c r="K30" s="77">
        <f>wshoprpt[[#This Row],[Current Stock]]*wshoprpt[[#This Row],[Cost Price]]</f>
        <v>13</v>
      </c>
      <c r="L30" s="69">
        <f>wshoprpt[[#This Row],[Order Quantity]]*wshoprpt[[#This Row],[Cost Price]]</f>
        <v>312</v>
      </c>
    </row>
    <row r="31" spans="1:12" hidden="1" x14ac:dyDescent="0.3">
      <c r="A31" s="5" t="s">
        <v>39</v>
      </c>
      <c r="B31" s="73" t="s">
        <v>40</v>
      </c>
      <c r="C31" s="8" t="s">
        <v>14</v>
      </c>
      <c r="D31" s="74">
        <v>4</v>
      </c>
      <c r="E31" s="8">
        <f>wshopcalc[[#This Row],[Safety Stock]]</f>
        <v>25</v>
      </c>
      <c r="F31" s="8">
        <f>wshopcalc[[#This Row],[Reorder Point (ROP)]]</f>
        <v>75</v>
      </c>
      <c r="G31" s="8">
        <f>wshopcalc[[#This Row],[Maximum Stock (MAX)]]</f>
        <v>125</v>
      </c>
      <c r="H31" s="49">
        <f>wshopcalc[[#This Row],[Current Stock]]</f>
        <v>22</v>
      </c>
      <c r="I31" s="8">
        <f>wshopcalc[[#This Row],[On Order]]</f>
        <v>0</v>
      </c>
      <c r="J31" s="75">
        <f t="shared" si="0"/>
        <v>103</v>
      </c>
      <c r="K31" s="77">
        <f>wshoprpt[[#This Row],[Current Stock]]*wshoprpt[[#This Row],[Cost Price]]</f>
        <v>88</v>
      </c>
      <c r="L31" s="69">
        <f>wshoprpt[[#This Row],[Order Quantity]]*wshoprpt[[#This Row],[Cost Price]]</f>
        <v>412</v>
      </c>
    </row>
    <row r="32" spans="1:12" hidden="1" x14ac:dyDescent="0.3">
      <c r="A32" s="5">
        <v>237993</v>
      </c>
      <c r="B32" s="73" t="s">
        <v>15</v>
      </c>
      <c r="C32" s="8" t="s">
        <v>14</v>
      </c>
      <c r="D32" s="74">
        <v>4</v>
      </c>
      <c r="E32" s="8">
        <f>wshopcalc[[#This Row],[Safety Stock]]</f>
        <v>25</v>
      </c>
      <c r="F32" s="8">
        <f>wshopcalc[[#This Row],[Reorder Point (ROP)]]</f>
        <v>75</v>
      </c>
      <c r="G32" s="8">
        <f>wshopcalc[[#This Row],[Maximum Stock (MAX)]]</f>
        <v>125</v>
      </c>
      <c r="H32" s="49">
        <f>wshopcalc[[#This Row],[Current Stock]]</f>
        <v>489</v>
      </c>
      <c r="I32" s="8">
        <f>wshopcalc[[#This Row],[On Order]]</f>
        <v>0</v>
      </c>
      <c r="J32" s="75">
        <f t="shared" si="0"/>
        <v>0</v>
      </c>
      <c r="K32" s="77">
        <f>wshoprpt[[#This Row],[Current Stock]]*wshoprpt[[#This Row],[Cost Price]]</f>
        <v>1956</v>
      </c>
      <c r="L32" s="69">
        <f>wshoprpt[[#This Row],[Order Quantity]]*wshoprpt[[#This Row],[Cost Price]]</f>
        <v>0</v>
      </c>
    </row>
    <row r="33" spans="1:12" hidden="1" x14ac:dyDescent="0.3">
      <c r="A33" s="5">
        <v>238028</v>
      </c>
      <c r="B33" s="73" t="s">
        <v>16</v>
      </c>
      <c r="C33" s="8" t="s">
        <v>14</v>
      </c>
      <c r="D33" s="74">
        <v>4.4000000000000004</v>
      </c>
      <c r="E33" s="8">
        <f>wshopcalc[[#This Row],[Safety Stock]]</f>
        <v>25</v>
      </c>
      <c r="F33" s="8">
        <f>wshopcalc[[#This Row],[Reorder Point (ROP)]]</f>
        <v>75</v>
      </c>
      <c r="G33" s="8">
        <f>wshopcalc[[#This Row],[Maximum Stock (MAX)]]</f>
        <v>125</v>
      </c>
      <c r="H33" s="49">
        <f>wshopcalc[[#This Row],[Current Stock]]</f>
        <v>198</v>
      </c>
      <c r="I33" s="8">
        <f>wshopcalc[[#This Row],[On Order]]</f>
        <v>0</v>
      </c>
      <c r="J33" s="75">
        <f t="shared" si="0"/>
        <v>0</v>
      </c>
      <c r="K33" s="77">
        <f>wshoprpt[[#This Row],[Current Stock]]*wshoprpt[[#This Row],[Cost Price]]</f>
        <v>871.2</v>
      </c>
      <c r="L33" s="69">
        <f>wshoprpt[[#This Row],[Order Quantity]]*wshoprpt[[#This Row],[Cost Price]]</f>
        <v>0</v>
      </c>
    </row>
    <row r="34" spans="1:12" hidden="1" x14ac:dyDescent="0.3">
      <c r="A34" s="5">
        <v>238062</v>
      </c>
      <c r="B34" s="73" t="s">
        <v>17</v>
      </c>
      <c r="C34" s="8" t="s">
        <v>14</v>
      </c>
      <c r="D34" s="74">
        <v>5.9</v>
      </c>
      <c r="E34" s="8">
        <f>wshopcalc[[#This Row],[Safety Stock]]</f>
        <v>25</v>
      </c>
      <c r="F34" s="8">
        <f>wshopcalc[[#This Row],[Reorder Point (ROP)]]</f>
        <v>75</v>
      </c>
      <c r="G34" s="8">
        <f>wshopcalc[[#This Row],[Maximum Stock (MAX)]]</f>
        <v>125</v>
      </c>
      <c r="H34" s="49">
        <f>wshopcalc[[#This Row],[Current Stock]]</f>
        <v>603</v>
      </c>
      <c r="I34" s="8">
        <f>wshopcalc[[#This Row],[On Order]]</f>
        <v>0</v>
      </c>
      <c r="J34" s="75">
        <f t="shared" si="0"/>
        <v>0</v>
      </c>
      <c r="K34" s="77">
        <f>wshoprpt[[#This Row],[Current Stock]]*wshoprpt[[#This Row],[Cost Price]]</f>
        <v>3557.7000000000003</v>
      </c>
      <c r="L34" s="69">
        <f>wshoprpt[[#This Row],[Order Quantity]]*wshoprpt[[#This Row],[Cost Price]]</f>
        <v>0</v>
      </c>
    </row>
    <row r="35" spans="1:12" hidden="1" x14ac:dyDescent="0.3">
      <c r="A35" s="5">
        <v>258205</v>
      </c>
      <c r="B35" s="73" t="s">
        <v>20</v>
      </c>
      <c r="C35" s="8" t="s">
        <v>14</v>
      </c>
      <c r="D35" s="74">
        <v>0.9</v>
      </c>
      <c r="E35" s="8">
        <f>wshopcalc[[#This Row],[Safety Stock]]</f>
        <v>25</v>
      </c>
      <c r="F35" s="8">
        <f>wshopcalc[[#This Row],[Reorder Point (ROP)]]</f>
        <v>75</v>
      </c>
      <c r="G35" s="8">
        <f>wshopcalc[[#This Row],[Maximum Stock (MAX)]]</f>
        <v>125</v>
      </c>
      <c r="H35" s="49">
        <f>wshopcalc[[#This Row],[Current Stock]]</f>
        <v>242</v>
      </c>
      <c r="I35" s="8">
        <f>wshopcalc[[#This Row],[On Order]]</f>
        <v>0</v>
      </c>
      <c r="J35" s="75">
        <f t="shared" si="0"/>
        <v>0</v>
      </c>
      <c r="K35" s="77">
        <f>wshoprpt[[#This Row],[Current Stock]]*wshoprpt[[#This Row],[Cost Price]]</f>
        <v>217.8</v>
      </c>
      <c r="L35" s="69">
        <f>wshoprpt[[#This Row],[Order Quantity]]*wshoprpt[[#This Row],[Cost Price]]</f>
        <v>0</v>
      </c>
    </row>
    <row r="36" spans="1:12" hidden="1" x14ac:dyDescent="0.3">
      <c r="A36" s="5">
        <v>267215</v>
      </c>
      <c r="B36" s="73" t="s">
        <v>22</v>
      </c>
      <c r="C36" s="8" t="s">
        <v>14</v>
      </c>
      <c r="D36" s="74">
        <v>1</v>
      </c>
      <c r="E36" s="8">
        <f>wshopcalc[[#This Row],[Safety Stock]]</f>
        <v>100</v>
      </c>
      <c r="F36" s="8">
        <f>wshopcalc[[#This Row],[Reorder Point (ROP)]]</f>
        <v>300</v>
      </c>
      <c r="G36" s="8">
        <f>wshopcalc[[#This Row],[Maximum Stock (MAX)]]</f>
        <v>500</v>
      </c>
      <c r="H36" s="49">
        <f>wshopcalc[[#This Row],[Current Stock]]</f>
        <v>483</v>
      </c>
      <c r="I36" s="8">
        <f>wshopcalc[[#This Row],[On Order]]</f>
        <v>0</v>
      </c>
      <c r="J36" s="75">
        <f t="shared" si="0"/>
        <v>0</v>
      </c>
      <c r="K36" s="77">
        <f>wshoprpt[[#This Row],[Current Stock]]*wshoprpt[[#This Row],[Cost Price]]</f>
        <v>483</v>
      </c>
      <c r="L36" s="69">
        <f>wshoprpt[[#This Row],[Order Quantity]]*wshoprpt[[#This Row],[Cost Price]]</f>
        <v>0</v>
      </c>
    </row>
    <row r="37" spans="1:12" ht="28.8" hidden="1" x14ac:dyDescent="0.3">
      <c r="A37" s="5" t="s">
        <v>41</v>
      </c>
      <c r="B37" s="73" t="s">
        <v>42</v>
      </c>
      <c r="C37" s="8" t="s">
        <v>14</v>
      </c>
      <c r="D37" s="74">
        <v>3</v>
      </c>
      <c r="E37" s="8">
        <f>wshopcalc[[#This Row],[Safety Stock]]</f>
        <v>25</v>
      </c>
      <c r="F37" s="8">
        <f>wshopcalc[[#This Row],[Reorder Point (ROP)]]</f>
        <v>75</v>
      </c>
      <c r="G37" s="8">
        <f>wshopcalc[[#This Row],[Maximum Stock (MAX)]]</f>
        <v>125</v>
      </c>
      <c r="H37" s="49">
        <f>wshopcalc[[#This Row],[Current Stock]]</f>
        <v>93</v>
      </c>
      <c r="I37" s="8">
        <f>wshopcalc[[#This Row],[On Order]]</f>
        <v>0</v>
      </c>
      <c r="J37" s="75">
        <f t="shared" si="0"/>
        <v>0</v>
      </c>
      <c r="K37" s="77">
        <f>wshoprpt[[#This Row],[Current Stock]]*wshoprpt[[#This Row],[Cost Price]]</f>
        <v>279</v>
      </c>
      <c r="L37" s="69">
        <f>wshoprpt[[#This Row],[Order Quantity]]*wshoprpt[[#This Row],[Cost Price]]</f>
        <v>0</v>
      </c>
    </row>
    <row r="38" spans="1:12" hidden="1" x14ac:dyDescent="0.3">
      <c r="A38" s="5" t="s">
        <v>43</v>
      </c>
      <c r="B38" s="73" t="s">
        <v>44</v>
      </c>
      <c r="C38" s="8" t="s">
        <v>14</v>
      </c>
      <c r="D38" s="74">
        <v>0.3</v>
      </c>
      <c r="E38" s="8">
        <f>wshopcalc[[#This Row],[Safety Stock]]</f>
        <v>25</v>
      </c>
      <c r="F38" s="8">
        <f>wshopcalc[[#This Row],[Reorder Point (ROP)]]</f>
        <v>75</v>
      </c>
      <c r="G38" s="8">
        <f>wshopcalc[[#This Row],[Maximum Stock (MAX)]]</f>
        <v>125</v>
      </c>
      <c r="H38" s="49">
        <f>wshopcalc[[#This Row],[Current Stock]]</f>
        <v>434</v>
      </c>
      <c r="I38" s="8">
        <f>wshopcalc[[#This Row],[On Order]]</f>
        <v>0</v>
      </c>
      <c r="J38" s="75">
        <f t="shared" si="0"/>
        <v>0</v>
      </c>
      <c r="K38" s="77">
        <f>wshoprpt[[#This Row],[Current Stock]]*wshoprpt[[#This Row],[Cost Price]]</f>
        <v>130.19999999999999</v>
      </c>
      <c r="L38" s="69">
        <f>wshoprpt[[#This Row],[Order Quantity]]*wshoprpt[[#This Row],[Cost Price]]</f>
        <v>0</v>
      </c>
    </row>
    <row r="39" spans="1:12" ht="28.8" hidden="1" x14ac:dyDescent="0.3">
      <c r="A39" s="5" t="s">
        <v>45</v>
      </c>
      <c r="B39" s="73" t="s">
        <v>46</v>
      </c>
      <c r="C39" s="8" t="s">
        <v>14</v>
      </c>
      <c r="D39" s="74">
        <v>3</v>
      </c>
      <c r="E39" s="8">
        <f>wshopcalc[[#This Row],[Safety Stock]]</f>
        <v>25</v>
      </c>
      <c r="F39" s="8">
        <f>wshopcalc[[#This Row],[Reorder Point (ROP)]]</f>
        <v>75</v>
      </c>
      <c r="G39" s="8">
        <f>wshopcalc[[#This Row],[Maximum Stock (MAX)]]</f>
        <v>125</v>
      </c>
      <c r="H39" s="49">
        <f>wshopcalc[[#This Row],[Current Stock]]</f>
        <v>725</v>
      </c>
      <c r="I39" s="8">
        <f>wshopcalc[[#This Row],[On Order]]</f>
        <v>0</v>
      </c>
      <c r="J39" s="75">
        <f t="shared" si="0"/>
        <v>0</v>
      </c>
      <c r="K39" s="77">
        <f>wshoprpt[[#This Row],[Current Stock]]*wshoprpt[[#This Row],[Cost Price]]</f>
        <v>2175</v>
      </c>
      <c r="L39" s="69">
        <f>wshoprpt[[#This Row],[Order Quantity]]*wshoprpt[[#This Row],[Cost Price]]</f>
        <v>0</v>
      </c>
    </row>
    <row r="40" spans="1:12" hidden="1" x14ac:dyDescent="0.3">
      <c r="A40" s="5" t="s">
        <v>47</v>
      </c>
      <c r="B40" s="73" t="s">
        <v>48</v>
      </c>
      <c r="C40" s="8" t="s">
        <v>14</v>
      </c>
      <c r="D40" s="74">
        <v>0.8</v>
      </c>
      <c r="E40" s="8">
        <f>wshopcalc[[#This Row],[Safety Stock]]</f>
        <v>100</v>
      </c>
      <c r="F40" s="8">
        <f>wshopcalc[[#This Row],[Reorder Point (ROP)]]</f>
        <v>300</v>
      </c>
      <c r="G40" s="8">
        <f>wshopcalc[[#This Row],[Maximum Stock (MAX)]]</f>
        <v>500</v>
      </c>
      <c r="H40" s="49">
        <f>wshopcalc[[#This Row],[Current Stock]]</f>
        <v>223</v>
      </c>
      <c r="I40" s="8">
        <f>wshopcalc[[#This Row],[On Order]]</f>
        <v>0</v>
      </c>
      <c r="J40" s="75">
        <f t="shared" si="0"/>
        <v>277</v>
      </c>
      <c r="K40" s="77">
        <f>wshoprpt[[#This Row],[Current Stock]]*wshoprpt[[#This Row],[Cost Price]]</f>
        <v>178.4</v>
      </c>
      <c r="L40" s="69">
        <f>wshoprpt[[#This Row],[Order Quantity]]*wshoprpt[[#This Row],[Cost Price]]</f>
        <v>221.60000000000002</v>
      </c>
    </row>
    <row r="41" spans="1:12" hidden="1" x14ac:dyDescent="0.3">
      <c r="A41" s="5" t="s">
        <v>49</v>
      </c>
      <c r="B41" s="73" t="s">
        <v>50</v>
      </c>
      <c r="C41" s="8" t="s">
        <v>14</v>
      </c>
      <c r="D41" s="74">
        <v>3</v>
      </c>
      <c r="E41" s="8">
        <f>wshopcalc[[#This Row],[Safety Stock]]</f>
        <v>25</v>
      </c>
      <c r="F41" s="8">
        <f>wshopcalc[[#This Row],[Reorder Point (ROP)]]</f>
        <v>75</v>
      </c>
      <c r="G41" s="8">
        <f>wshopcalc[[#This Row],[Maximum Stock (MAX)]]</f>
        <v>125</v>
      </c>
      <c r="H41" s="49">
        <f>wshopcalc[[#This Row],[Current Stock]]</f>
        <v>188</v>
      </c>
      <c r="I41" s="8">
        <f>wshopcalc[[#This Row],[On Order]]</f>
        <v>0</v>
      </c>
      <c r="J41" s="75">
        <f t="shared" si="0"/>
        <v>0</v>
      </c>
      <c r="K41" s="77">
        <f>wshoprpt[[#This Row],[Current Stock]]*wshoprpt[[#This Row],[Cost Price]]</f>
        <v>564</v>
      </c>
      <c r="L41" s="69">
        <f>wshoprpt[[#This Row],[Order Quantity]]*wshoprpt[[#This Row],[Cost Price]]</f>
        <v>0</v>
      </c>
    </row>
    <row r="42" spans="1:12" hidden="1" x14ac:dyDescent="0.3">
      <c r="A42" s="5" t="s">
        <v>51</v>
      </c>
      <c r="B42" s="73" t="s">
        <v>52</v>
      </c>
      <c r="C42" s="8" t="s">
        <v>14</v>
      </c>
      <c r="D42" s="74">
        <v>1.3</v>
      </c>
      <c r="E42" s="8">
        <f>wshopcalc[[#This Row],[Safety Stock]]</f>
        <v>25</v>
      </c>
      <c r="F42" s="8">
        <f>wshopcalc[[#This Row],[Reorder Point (ROP)]]</f>
        <v>75</v>
      </c>
      <c r="G42" s="8">
        <f>wshopcalc[[#This Row],[Maximum Stock (MAX)]]</f>
        <v>125</v>
      </c>
      <c r="H42" s="49">
        <f>wshopcalc[[#This Row],[Current Stock]]</f>
        <v>0</v>
      </c>
      <c r="I42" s="8">
        <f>wshopcalc[[#This Row],[On Order]]</f>
        <v>0</v>
      </c>
      <c r="J42" s="75">
        <f t="shared" si="0"/>
        <v>125</v>
      </c>
      <c r="K42" s="77">
        <f>wshoprpt[[#This Row],[Current Stock]]*wshoprpt[[#This Row],[Cost Price]]</f>
        <v>0</v>
      </c>
      <c r="L42" s="69">
        <f>wshoprpt[[#This Row],[Order Quantity]]*wshoprpt[[#This Row],[Cost Price]]</f>
        <v>162.5</v>
      </c>
    </row>
    <row r="43" spans="1:12" hidden="1" x14ac:dyDescent="0.3">
      <c r="A43" s="5" t="s">
        <v>62</v>
      </c>
      <c r="B43" s="73" t="s">
        <v>63</v>
      </c>
      <c r="C43" s="8" t="s">
        <v>14</v>
      </c>
      <c r="D43" s="74">
        <v>0.65</v>
      </c>
      <c r="E43" s="8">
        <f>wshopcalc[[#This Row],[Safety Stock]]</f>
        <v>25</v>
      </c>
      <c r="F43" s="8">
        <f>wshopcalc[[#This Row],[Reorder Point (ROP)]]</f>
        <v>75</v>
      </c>
      <c r="G43" s="8">
        <f>wshopcalc[[#This Row],[Maximum Stock (MAX)]]</f>
        <v>125</v>
      </c>
      <c r="H43" s="49">
        <f>wshopcalc[[#This Row],[Current Stock]]</f>
        <v>129</v>
      </c>
      <c r="I43" s="8">
        <f>wshopcalc[[#This Row],[On Order]]</f>
        <v>0</v>
      </c>
      <c r="J43" s="75">
        <f t="shared" si="0"/>
        <v>0</v>
      </c>
      <c r="K43" s="77">
        <f>wshoprpt[[#This Row],[Current Stock]]*wshoprpt[[#This Row],[Cost Price]]</f>
        <v>83.850000000000009</v>
      </c>
      <c r="L43" s="69">
        <f>wshoprpt[[#This Row],[Order Quantity]]*wshoprpt[[#This Row],[Cost Price]]</f>
        <v>0</v>
      </c>
    </row>
    <row r="44" spans="1:12" hidden="1" x14ac:dyDescent="0.3">
      <c r="A44" s="5">
        <v>238152</v>
      </c>
      <c r="B44" s="73" t="s">
        <v>18</v>
      </c>
      <c r="C44" s="8" t="s">
        <v>14</v>
      </c>
      <c r="D44" s="74">
        <v>12.5</v>
      </c>
      <c r="E44" s="8">
        <f>wshopcalc[[#This Row],[Safety Stock]]</f>
        <v>25</v>
      </c>
      <c r="F44" s="8">
        <f>wshopcalc[[#This Row],[Reorder Point (ROP)]]</f>
        <v>75</v>
      </c>
      <c r="G44" s="8">
        <f>wshopcalc[[#This Row],[Maximum Stock (MAX)]]</f>
        <v>125</v>
      </c>
      <c r="H44" s="49">
        <f>wshopcalc[[#This Row],[Current Stock]]</f>
        <v>43</v>
      </c>
      <c r="I44" s="8">
        <f>wshopcalc[[#This Row],[On Order]]</f>
        <v>0</v>
      </c>
      <c r="J44" s="75">
        <f t="shared" si="0"/>
        <v>82</v>
      </c>
      <c r="K44" s="77">
        <f>wshoprpt[[#This Row],[Current Stock]]*wshoprpt[[#This Row],[Cost Price]]</f>
        <v>537.5</v>
      </c>
      <c r="L44" s="69">
        <f>wshoprpt[[#This Row],[Order Quantity]]*wshoprpt[[#This Row],[Cost Price]]</f>
        <v>1025</v>
      </c>
    </row>
    <row r="45" spans="1:12" ht="28.8" hidden="1" x14ac:dyDescent="0.3">
      <c r="A45" s="5" t="s">
        <v>53</v>
      </c>
      <c r="B45" s="73" t="s">
        <v>54</v>
      </c>
      <c r="C45" s="8" t="s">
        <v>14</v>
      </c>
      <c r="D45" s="74">
        <v>0.8</v>
      </c>
      <c r="E45" s="8">
        <f>wshopcalc[[#This Row],[Safety Stock]]</f>
        <v>150</v>
      </c>
      <c r="F45" s="8">
        <f>wshopcalc[[#This Row],[Reorder Point (ROP)]]</f>
        <v>450</v>
      </c>
      <c r="G45" s="8">
        <f>wshopcalc[[#This Row],[Maximum Stock (MAX)]]</f>
        <v>750</v>
      </c>
      <c r="H45" s="49">
        <f>wshopcalc[[#This Row],[Current Stock]]</f>
        <v>535</v>
      </c>
      <c r="I45" s="8">
        <f>wshopcalc[[#This Row],[On Order]]</f>
        <v>0</v>
      </c>
      <c r="J45" s="75">
        <f t="shared" si="0"/>
        <v>0</v>
      </c>
      <c r="K45" s="77">
        <f>wshoprpt[[#This Row],[Current Stock]]*wshoprpt[[#This Row],[Cost Price]]</f>
        <v>428</v>
      </c>
      <c r="L45" s="69">
        <f>wshoprpt[[#This Row],[Order Quantity]]*wshoprpt[[#This Row],[Cost Price]]</f>
        <v>0</v>
      </c>
    </row>
    <row r="46" spans="1:12" hidden="1" x14ac:dyDescent="0.3">
      <c r="A46" s="5" t="s">
        <v>55</v>
      </c>
      <c r="B46" s="73" t="s">
        <v>56</v>
      </c>
      <c r="C46" s="8" t="s">
        <v>14</v>
      </c>
      <c r="D46" s="74">
        <v>1.8</v>
      </c>
      <c r="E46" s="8">
        <f>wshopcalc[[#This Row],[Safety Stock]]</f>
        <v>125</v>
      </c>
      <c r="F46" s="8">
        <f>wshopcalc[[#This Row],[Reorder Point (ROP)]]</f>
        <v>375</v>
      </c>
      <c r="G46" s="8">
        <f>wshopcalc[[#This Row],[Maximum Stock (MAX)]]</f>
        <v>625</v>
      </c>
      <c r="H46" s="49">
        <f>wshopcalc[[#This Row],[Current Stock]]</f>
        <v>163</v>
      </c>
      <c r="I46" s="8">
        <f>wshopcalc[[#This Row],[On Order]]</f>
        <v>0</v>
      </c>
      <c r="J46" s="75">
        <f t="shared" si="0"/>
        <v>462</v>
      </c>
      <c r="K46" s="77">
        <f>wshoprpt[[#This Row],[Current Stock]]*wshoprpt[[#This Row],[Cost Price]]</f>
        <v>293.40000000000003</v>
      </c>
      <c r="L46" s="69">
        <f>wshoprpt[[#This Row],[Order Quantity]]*wshoprpt[[#This Row],[Cost Price]]</f>
        <v>831.6</v>
      </c>
    </row>
    <row r="47" spans="1:12" hidden="1" x14ac:dyDescent="0.3">
      <c r="A47" s="5" t="s">
        <v>57</v>
      </c>
      <c r="B47" s="73" t="s">
        <v>57</v>
      </c>
      <c r="C47" s="8" t="s">
        <v>14</v>
      </c>
      <c r="D47" s="74">
        <v>1.8</v>
      </c>
      <c r="E47" s="8">
        <f>wshopcalc[[#This Row],[Safety Stock]]</f>
        <v>25</v>
      </c>
      <c r="F47" s="8">
        <f>wshopcalc[[#This Row],[Reorder Point (ROP)]]</f>
        <v>75</v>
      </c>
      <c r="G47" s="8">
        <f>wshopcalc[[#This Row],[Maximum Stock (MAX)]]</f>
        <v>125</v>
      </c>
      <c r="H47" s="49">
        <f>wshopcalc[[#This Row],[Current Stock]]</f>
        <v>317</v>
      </c>
      <c r="I47" s="8">
        <f>wshopcalc[[#This Row],[On Order]]</f>
        <v>0</v>
      </c>
      <c r="J47" s="75">
        <f t="shared" si="0"/>
        <v>0</v>
      </c>
      <c r="K47" s="77">
        <f>wshoprpt[[#This Row],[Current Stock]]*wshoprpt[[#This Row],[Cost Price]]</f>
        <v>570.6</v>
      </c>
      <c r="L47" s="69">
        <f>wshoprpt[[#This Row],[Order Quantity]]*wshoprpt[[#This Row],[Cost Price]]</f>
        <v>0</v>
      </c>
    </row>
    <row r="48" spans="1:12" hidden="1" x14ac:dyDescent="0.3">
      <c r="A48" s="5" t="s">
        <v>58</v>
      </c>
      <c r="B48" s="73" t="s">
        <v>59</v>
      </c>
      <c r="C48" s="8" t="s">
        <v>14</v>
      </c>
      <c r="D48" s="74">
        <v>18</v>
      </c>
      <c r="E48" s="8">
        <f>wshopcalc[[#This Row],[Safety Stock]]</f>
        <v>50</v>
      </c>
      <c r="F48" s="8">
        <f>wshopcalc[[#This Row],[Reorder Point (ROP)]]</f>
        <v>150</v>
      </c>
      <c r="G48" s="8">
        <f>wshopcalc[[#This Row],[Maximum Stock (MAX)]]</f>
        <v>250</v>
      </c>
      <c r="H48" s="49">
        <f>wshopcalc[[#This Row],[Current Stock]]</f>
        <v>197</v>
      </c>
      <c r="I48" s="8">
        <f>wshopcalc[[#This Row],[On Order]]</f>
        <v>0</v>
      </c>
      <c r="J48" s="75">
        <f t="shared" si="0"/>
        <v>0</v>
      </c>
      <c r="K48" s="77">
        <f>wshoprpt[[#This Row],[Current Stock]]*wshoprpt[[#This Row],[Cost Price]]</f>
        <v>3546</v>
      </c>
      <c r="L48" s="69">
        <f>wshoprpt[[#This Row],[Order Quantity]]*wshoprpt[[#This Row],[Cost Price]]</f>
        <v>0</v>
      </c>
    </row>
    <row r="49" spans="1:12" hidden="1" x14ac:dyDescent="0.3">
      <c r="A49" s="5" t="s">
        <v>60</v>
      </c>
      <c r="B49" s="73" t="s">
        <v>61</v>
      </c>
      <c r="C49" s="8" t="s">
        <v>14</v>
      </c>
      <c r="D49" s="74">
        <v>5.8</v>
      </c>
      <c r="E49" s="8">
        <f>wshopcalc[[#This Row],[Safety Stock]]</f>
        <v>50</v>
      </c>
      <c r="F49" s="8">
        <f>wshopcalc[[#This Row],[Reorder Point (ROP)]]</f>
        <v>150</v>
      </c>
      <c r="G49" s="8">
        <f>wshopcalc[[#This Row],[Maximum Stock (MAX)]]</f>
        <v>250</v>
      </c>
      <c r="H49" s="49">
        <f>wshopcalc[[#This Row],[Current Stock]]</f>
        <v>157</v>
      </c>
      <c r="I49" s="8">
        <f>wshopcalc[[#This Row],[On Order]]</f>
        <v>0</v>
      </c>
      <c r="J49" s="75">
        <f t="shared" si="0"/>
        <v>0</v>
      </c>
      <c r="K49" s="77">
        <f>wshoprpt[[#This Row],[Current Stock]]*wshoprpt[[#This Row],[Cost Price]]</f>
        <v>910.6</v>
      </c>
      <c r="L49" s="69">
        <f>wshoprpt[[#This Row],[Order Quantity]]*wshoprpt[[#This Row],[Cost Price]]</f>
        <v>0</v>
      </c>
    </row>
    <row r="50" spans="1:12" ht="28.8" hidden="1" x14ac:dyDescent="0.3">
      <c r="A50" s="5" t="s">
        <v>64</v>
      </c>
      <c r="B50" s="73" t="s">
        <v>65</v>
      </c>
      <c r="C50" s="8" t="s">
        <v>14</v>
      </c>
      <c r="D50" s="74">
        <v>75</v>
      </c>
      <c r="E50" s="8">
        <f>wshopcalc[[#This Row],[Safety Stock]]</f>
        <v>1</v>
      </c>
      <c r="F50" s="8">
        <f>wshopcalc[[#This Row],[Reorder Point (ROP)]]</f>
        <v>3</v>
      </c>
      <c r="G50" s="8">
        <f>wshopcalc[[#This Row],[Maximum Stock (MAX)]]</f>
        <v>5</v>
      </c>
      <c r="H50" s="49">
        <f>wshopcalc[[#This Row],[Current Stock]]</f>
        <v>4</v>
      </c>
      <c r="I50" s="8">
        <f>wshopcalc[[#This Row],[On Order]]</f>
        <v>0</v>
      </c>
      <c r="J50" s="75">
        <f t="shared" si="0"/>
        <v>0</v>
      </c>
      <c r="K50" s="77">
        <f>wshoprpt[[#This Row],[Current Stock]]*wshoprpt[[#This Row],[Cost Price]]</f>
        <v>300</v>
      </c>
      <c r="L50" s="69">
        <f>wshoprpt[[#This Row],[Order Quantity]]*wshoprpt[[#This Row],[Cost Price]]</f>
        <v>0</v>
      </c>
    </row>
    <row r="51" spans="1:12" hidden="1" x14ac:dyDescent="0.3">
      <c r="A51" s="5" t="s">
        <v>66</v>
      </c>
      <c r="B51" s="73" t="s">
        <v>67</v>
      </c>
      <c r="C51" s="8" t="s">
        <v>14</v>
      </c>
      <c r="D51" s="74">
        <v>12</v>
      </c>
      <c r="E51" s="8">
        <f>wshopcalc[[#This Row],[Safety Stock]]</f>
        <v>25</v>
      </c>
      <c r="F51" s="8">
        <f>wshopcalc[[#This Row],[Reorder Point (ROP)]]</f>
        <v>75</v>
      </c>
      <c r="G51" s="8">
        <f>wshopcalc[[#This Row],[Maximum Stock (MAX)]]</f>
        <v>125</v>
      </c>
      <c r="H51" s="49">
        <f>wshopcalc[[#This Row],[Current Stock]]</f>
        <v>255</v>
      </c>
      <c r="I51" s="8">
        <f>wshopcalc[[#This Row],[On Order]]</f>
        <v>0</v>
      </c>
      <c r="J51" s="75">
        <f t="shared" si="0"/>
        <v>0</v>
      </c>
      <c r="K51" s="77">
        <f>wshoprpt[[#This Row],[Current Stock]]*wshoprpt[[#This Row],[Cost Price]]</f>
        <v>3060</v>
      </c>
      <c r="L51" s="69">
        <f>wshoprpt[[#This Row],[Order Quantity]]*wshoprpt[[#This Row],[Cost Price]]</f>
        <v>0</v>
      </c>
    </row>
    <row r="52" spans="1:12" ht="28.8" hidden="1" x14ac:dyDescent="0.3">
      <c r="A52" s="5" t="s">
        <v>101</v>
      </c>
      <c r="B52" s="73" t="s">
        <v>102</v>
      </c>
      <c r="C52" s="8" t="s">
        <v>14</v>
      </c>
      <c r="D52" s="74">
        <v>0.3</v>
      </c>
      <c r="E52" s="8">
        <f>wshopcalc[[#This Row],[Safety Stock]]</f>
        <v>75</v>
      </c>
      <c r="F52" s="8">
        <f>wshopcalc[[#This Row],[Reorder Point (ROP)]]</f>
        <v>225</v>
      </c>
      <c r="G52" s="8">
        <f>wshopcalc[[#This Row],[Maximum Stock (MAX)]]</f>
        <v>375</v>
      </c>
      <c r="H52" s="49">
        <f>wshopcalc[[#This Row],[Current Stock]]</f>
        <v>500</v>
      </c>
      <c r="I52" s="8">
        <f>wshopcalc[[#This Row],[On Order]]</f>
        <v>0</v>
      </c>
      <c r="J52" s="75">
        <f t="shared" si="0"/>
        <v>0</v>
      </c>
      <c r="K52" s="77">
        <f>wshoprpt[[#This Row],[Current Stock]]*wshoprpt[[#This Row],[Cost Price]]</f>
        <v>150</v>
      </c>
      <c r="L52" s="69">
        <f>wshoprpt[[#This Row],[Order Quantity]]*wshoprpt[[#This Row],[Cost Price]]</f>
        <v>0</v>
      </c>
    </row>
    <row r="53" spans="1:12" x14ac:dyDescent="0.3">
      <c r="A53" s="5" t="s">
        <v>103</v>
      </c>
      <c r="B53" s="73" t="s">
        <v>104</v>
      </c>
      <c r="C53" s="8" t="s">
        <v>105</v>
      </c>
      <c r="D53" s="74">
        <v>936</v>
      </c>
      <c r="E53" s="8">
        <f>wshopcalc[[#This Row],[Safety Stock]]</f>
        <v>2</v>
      </c>
      <c r="F53" s="8">
        <f>wshopcalc[[#This Row],[Reorder Point (ROP)]]</f>
        <v>6</v>
      </c>
      <c r="G53" s="8">
        <f>wshopcalc[[#This Row],[Maximum Stock (MAX)]]</f>
        <v>10</v>
      </c>
      <c r="H53" s="49">
        <f>wshopcalc[[#This Row],[Current Stock]]</f>
        <v>8</v>
      </c>
      <c r="I53" s="8">
        <f>wshopcalc[[#This Row],[On Order]]</f>
        <v>2</v>
      </c>
      <c r="J53" s="75">
        <f t="shared" si="0"/>
        <v>0</v>
      </c>
      <c r="K53" s="77">
        <f>wshoprpt[[#This Row],[Current Stock]]*wshoprpt[[#This Row],[Cost Price]]</f>
        <v>7488</v>
      </c>
      <c r="L53" s="69">
        <f>wshoprpt[[#This Row],[Order Quantity]]*wshoprpt[[#This Row],[Cost Price]]</f>
        <v>0</v>
      </c>
    </row>
    <row r="54" spans="1:12" x14ac:dyDescent="0.3">
      <c r="A54" s="5" t="s">
        <v>108</v>
      </c>
      <c r="B54" s="73" t="s">
        <v>109</v>
      </c>
      <c r="C54" s="8" t="s">
        <v>105</v>
      </c>
      <c r="D54" s="74">
        <v>1241</v>
      </c>
      <c r="E54" s="8">
        <f>wshopcalc[[#This Row],[Safety Stock]]</f>
        <v>2</v>
      </c>
      <c r="F54" s="8">
        <f>wshopcalc[[#This Row],[Reorder Point (ROP)]]</f>
        <v>6</v>
      </c>
      <c r="G54" s="8">
        <f>wshopcalc[[#This Row],[Maximum Stock (MAX)]]</f>
        <v>10</v>
      </c>
      <c r="H54" s="49">
        <f>wshopcalc[[#This Row],[Current Stock]]</f>
        <v>5</v>
      </c>
      <c r="I54" s="8">
        <f>wshopcalc[[#This Row],[On Order]]</f>
        <v>2</v>
      </c>
      <c r="J54" s="75">
        <f t="shared" si="0"/>
        <v>3</v>
      </c>
      <c r="K54" s="77">
        <f>wshoprpt[[#This Row],[Current Stock]]*wshoprpt[[#This Row],[Cost Price]]</f>
        <v>6205</v>
      </c>
      <c r="L54" s="69">
        <f>wshoprpt[[#This Row],[Order Quantity]]*wshoprpt[[#This Row],[Cost Price]]</f>
        <v>3723</v>
      </c>
    </row>
    <row r="55" spans="1:12" x14ac:dyDescent="0.3">
      <c r="A55" s="5" t="s">
        <v>112</v>
      </c>
      <c r="B55" s="73" t="s">
        <v>113</v>
      </c>
      <c r="C55" s="8" t="s">
        <v>105</v>
      </c>
      <c r="D55" s="74">
        <v>1344.6</v>
      </c>
      <c r="E55" s="8">
        <f>wshopcalc[[#This Row],[Safety Stock]]</f>
        <v>2</v>
      </c>
      <c r="F55" s="8">
        <f>wshopcalc[[#This Row],[Reorder Point (ROP)]]</f>
        <v>6</v>
      </c>
      <c r="G55" s="8">
        <f>wshopcalc[[#This Row],[Maximum Stock (MAX)]]</f>
        <v>10</v>
      </c>
      <c r="H55" s="49">
        <f>wshopcalc[[#This Row],[Current Stock]]</f>
        <v>2</v>
      </c>
      <c r="I55" s="8">
        <f>wshopcalc[[#This Row],[On Order]]</f>
        <v>3</v>
      </c>
      <c r="J55" s="75">
        <f t="shared" si="0"/>
        <v>5</v>
      </c>
      <c r="K55" s="77">
        <f>wshoprpt[[#This Row],[Current Stock]]*wshoprpt[[#This Row],[Cost Price]]</f>
        <v>2689.2</v>
      </c>
      <c r="L55" s="69">
        <f>wshoprpt[[#This Row],[Order Quantity]]*wshoprpt[[#This Row],[Cost Price]]</f>
        <v>6723</v>
      </c>
    </row>
    <row r="56" spans="1:12" x14ac:dyDescent="0.3">
      <c r="A56" s="5" t="s">
        <v>116</v>
      </c>
      <c r="B56" s="73" t="s">
        <v>117</v>
      </c>
      <c r="C56" s="8" t="s">
        <v>105</v>
      </c>
      <c r="D56" s="74">
        <v>1494</v>
      </c>
      <c r="E56" s="8">
        <f>wshopcalc[[#This Row],[Safety Stock]]</f>
        <v>1</v>
      </c>
      <c r="F56" s="8">
        <f>wshopcalc[[#This Row],[Reorder Point (ROP)]]</f>
        <v>3</v>
      </c>
      <c r="G56" s="8">
        <f>wshopcalc[[#This Row],[Maximum Stock (MAX)]]</f>
        <v>5</v>
      </c>
      <c r="H56" s="49">
        <f>wshopcalc[[#This Row],[Current Stock]]</f>
        <v>3</v>
      </c>
      <c r="I56" s="8">
        <f>wshopcalc[[#This Row],[On Order]]</f>
        <v>0</v>
      </c>
      <c r="J56" s="75">
        <f t="shared" si="0"/>
        <v>2</v>
      </c>
      <c r="K56" s="77">
        <f>wshoprpt[[#This Row],[Current Stock]]*wshoprpt[[#This Row],[Cost Price]]</f>
        <v>4482</v>
      </c>
      <c r="L56" s="69">
        <f>wshoprpt[[#This Row],[Order Quantity]]*wshoprpt[[#This Row],[Cost Price]]</f>
        <v>2988</v>
      </c>
    </row>
    <row r="57" spans="1:12" x14ac:dyDescent="0.3">
      <c r="A57" s="5" t="s">
        <v>120</v>
      </c>
      <c r="B57" s="73" t="s">
        <v>121</v>
      </c>
      <c r="C57" s="8" t="s">
        <v>105</v>
      </c>
      <c r="D57" s="74">
        <v>1702</v>
      </c>
      <c r="E57" s="8">
        <f>wshopcalc[[#This Row],[Safety Stock]]</f>
        <v>2</v>
      </c>
      <c r="F57" s="8">
        <f>wshopcalc[[#This Row],[Reorder Point (ROP)]]</f>
        <v>5</v>
      </c>
      <c r="G57" s="8">
        <f>wshopcalc[[#This Row],[Maximum Stock (MAX)]]</f>
        <v>8</v>
      </c>
      <c r="H57" s="49">
        <f>wshopcalc[[#This Row],[Current Stock]]</f>
        <v>8</v>
      </c>
      <c r="I57" s="8">
        <f>wshopcalc[[#This Row],[On Order]]</f>
        <v>0</v>
      </c>
      <c r="J57" s="75">
        <f t="shared" si="0"/>
        <v>0</v>
      </c>
      <c r="K57" s="77">
        <f>wshoprpt[[#This Row],[Current Stock]]*wshoprpt[[#This Row],[Cost Price]]</f>
        <v>13616</v>
      </c>
      <c r="L57" s="69">
        <f>wshoprpt[[#This Row],[Order Quantity]]*wshoprpt[[#This Row],[Cost Price]]</f>
        <v>0</v>
      </c>
    </row>
    <row r="58" spans="1:12" x14ac:dyDescent="0.3">
      <c r="A58" s="5" t="s">
        <v>124</v>
      </c>
      <c r="B58" s="73" t="s">
        <v>125</v>
      </c>
      <c r="C58" s="8" t="s">
        <v>105</v>
      </c>
      <c r="D58" s="74">
        <v>1792</v>
      </c>
      <c r="E58" s="8">
        <f>wshopcalc[[#This Row],[Safety Stock]]</f>
        <v>2</v>
      </c>
      <c r="F58" s="8">
        <f>wshopcalc[[#This Row],[Reorder Point (ROP)]]</f>
        <v>5</v>
      </c>
      <c r="G58" s="8">
        <f>wshopcalc[[#This Row],[Maximum Stock (MAX)]]</f>
        <v>8</v>
      </c>
      <c r="H58" s="49">
        <f>wshopcalc[[#This Row],[Current Stock]]</f>
        <v>2</v>
      </c>
      <c r="I58" s="8">
        <f>wshopcalc[[#This Row],[On Order]]</f>
        <v>0</v>
      </c>
      <c r="J58" s="75">
        <f t="shared" si="0"/>
        <v>6</v>
      </c>
      <c r="K58" s="77">
        <f>wshoprpt[[#This Row],[Current Stock]]*wshoprpt[[#This Row],[Cost Price]]</f>
        <v>3584</v>
      </c>
      <c r="L58" s="69">
        <f>wshoprpt[[#This Row],[Order Quantity]]*wshoprpt[[#This Row],[Cost Price]]</f>
        <v>10752</v>
      </c>
    </row>
    <row r="59" spans="1:12" x14ac:dyDescent="0.3">
      <c r="A59" s="5" t="s">
        <v>128</v>
      </c>
      <c r="B59" s="73" t="s">
        <v>129</v>
      </c>
      <c r="C59" s="8" t="s">
        <v>105</v>
      </c>
      <c r="D59" s="74">
        <v>1971</v>
      </c>
      <c r="E59" s="8">
        <f>wshopcalc[[#This Row],[Safety Stock]]</f>
        <v>1</v>
      </c>
      <c r="F59" s="8">
        <f>wshopcalc[[#This Row],[Reorder Point (ROP)]]</f>
        <v>3</v>
      </c>
      <c r="G59" s="8">
        <f>wshopcalc[[#This Row],[Maximum Stock (MAX)]]</f>
        <v>5</v>
      </c>
      <c r="H59" s="49">
        <f>wshopcalc[[#This Row],[Current Stock]]</f>
        <v>6</v>
      </c>
      <c r="I59" s="8">
        <f>wshopcalc[[#This Row],[On Order]]</f>
        <v>0</v>
      </c>
      <c r="J59" s="75">
        <f t="shared" si="0"/>
        <v>0</v>
      </c>
      <c r="K59" s="77">
        <f>wshoprpt[[#This Row],[Current Stock]]*wshoprpt[[#This Row],[Cost Price]]</f>
        <v>11826</v>
      </c>
      <c r="L59" s="69">
        <f>wshoprpt[[#This Row],[Order Quantity]]*wshoprpt[[#This Row],[Cost Price]]</f>
        <v>0</v>
      </c>
    </row>
    <row r="60" spans="1:12" x14ac:dyDescent="0.3">
      <c r="A60" s="5" t="s">
        <v>132</v>
      </c>
      <c r="B60" s="73" t="s">
        <v>133</v>
      </c>
      <c r="C60" s="8" t="s">
        <v>105</v>
      </c>
      <c r="D60" s="74">
        <v>2298</v>
      </c>
      <c r="E60" s="8">
        <f>wshopcalc[[#This Row],[Safety Stock]]</f>
        <v>1</v>
      </c>
      <c r="F60" s="8">
        <f>wshopcalc[[#This Row],[Reorder Point (ROP)]]</f>
        <v>3</v>
      </c>
      <c r="G60" s="8">
        <f>wshopcalc[[#This Row],[Maximum Stock (MAX)]]</f>
        <v>5</v>
      </c>
      <c r="H60" s="49">
        <f>wshopcalc[[#This Row],[Current Stock]]</f>
        <v>3</v>
      </c>
      <c r="I60" s="8">
        <f>wshopcalc[[#This Row],[On Order]]</f>
        <v>0</v>
      </c>
      <c r="J60" s="75">
        <f t="shared" si="0"/>
        <v>2</v>
      </c>
      <c r="K60" s="77">
        <f>wshoprpt[[#This Row],[Current Stock]]*wshoprpt[[#This Row],[Cost Price]]</f>
        <v>6894</v>
      </c>
      <c r="L60" s="69">
        <f>wshoprpt[[#This Row],[Order Quantity]]*wshoprpt[[#This Row],[Cost Price]]</f>
        <v>4596</v>
      </c>
    </row>
    <row r="61" spans="1:12" x14ac:dyDescent="0.3">
      <c r="A61" s="5" t="s">
        <v>136</v>
      </c>
      <c r="B61" s="73" t="s">
        <v>137</v>
      </c>
      <c r="C61" s="8" t="s">
        <v>105</v>
      </c>
      <c r="D61" s="74">
        <v>2158</v>
      </c>
      <c r="E61" s="8">
        <f>wshopcalc[[#This Row],[Safety Stock]]</f>
        <v>1</v>
      </c>
      <c r="F61" s="8">
        <f>wshopcalc[[#This Row],[Reorder Point (ROP)]]</f>
        <v>3</v>
      </c>
      <c r="G61" s="8">
        <f>wshopcalc[[#This Row],[Maximum Stock (MAX)]]</f>
        <v>5</v>
      </c>
      <c r="H61" s="49">
        <f>wshopcalc[[#This Row],[Current Stock]]</f>
        <v>9</v>
      </c>
      <c r="I61" s="8">
        <f>wshopcalc[[#This Row],[On Order]]</f>
        <v>0</v>
      </c>
      <c r="J61" s="75">
        <f t="shared" si="0"/>
        <v>0</v>
      </c>
      <c r="K61" s="77">
        <f>wshoprpt[[#This Row],[Current Stock]]*wshoprpt[[#This Row],[Cost Price]]</f>
        <v>19422</v>
      </c>
      <c r="L61" s="69">
        <f>wshoprpt[[#This Row],[Order Quantity]]*wshoprpt[[#This Row],[Cost Price]]</f>
        <v>0</v>
      </c>
    </row>
    <row r="62" spans="1:12" x14ac:dyDescent="0.3">
      <c r="A62" s="5" t="s">
        <v>140</v>
      </c>
      <c r="B62" s="73" t="s">
        <v>141</v>
      </c>
      <c r="C62" s="8" t="s">
        <v>105</v>
      </c>
      <c r="D62" s="74">
        <v>2516</v>
      </c>
      <c r="E62" s="8">
        <f>wshopcalc[[#This Row],[Safety Stock]]</f>
        <v>1</v>
      </c>
      <c r="F62" s="8">
        <f>wshopcalc[[#This Row],[Reorder Point (ROP)]]</f>
        <v>3</v>
      </c>
      <c r="G62" s="8">
        <f>wshopcalc[[#This Row],[Maximum Stock (MAX)]]</f>
        <v>5</v>
      </c>
      <c r="H62" s="49">
        <f>wshopcalc[[#This Row],[Current Stock]]</f>
        <v>3</v>
      </c>
      <c r="I62" s="8">
        <f>wshopcalc[[#This Row],[On Order]]</f>
        <v>0</v>
      </c>
      <c r="J62" s="75">
        <f t="shared" si="0"/>
        <v>2</v>
      </c>
      <c r="K62" s="77">
        <f>wshoprpt[[#This Row],[Current Stock]]*wshoprpt[[#This Row],[Cost Price]]</f>
        <v>7548</v>
      </c>
      <c r="L62" s="69">
        <f>wshoprpt[[#This Row],[Order Quantity]]*wshoprpt[[#This Row],[Cost Price]]</f>
        <v>5032</v>
      </c>
    </row>
    <row r="63" spans="1:12" x14ac:dyDescent="0.3">
      <c r="A63" s="5" t="s">
        <v>144</v>
      </c>
      <c r="B63" s="73" t="s">
        <v>145</v>
      </c>
      <c r="C63" s="8" t="s">
        <v>105</v>
      </c>
      <c r="D63" s="74">
        <v>2817</v>
      </c>
      <c r="E63" s="8">
        <f>wshopcalc[[#This Row],[Safety Stock]]</f>
        <v>1</v>
      </c>
      <c r="F63" s="8">
        <f>wshopcalc[[#This Row],[Reorder Point (ROP)]]</f>
        <v>3</v>
      </c>
      <c r="G63" s="8">
        <f>wshopcalc[[#This Row],[Maximum Stock (MAX)]]</f>
        <v>5</v>
      </c>
      <c r="H63" s="49">
        <f>wshopcalc[[#This Row],[Current Stock]]</f>
        <v>6</v>
      </c>
      <c r="I63" s="8">
        <f>wshopcalc[[#This Row],[On Order]]</f>
        <v>1</v>
      </c>
      <c r="J63" s="75">
        <f t="shared" si="0"/>
        <v>0</v>
      </c>
      <c r="K63" s="77">
        <f>wshoprpt[[#This Row],[Current Stock]]*wshoprpt[[#This Row],[Cost Price]]</f>
        <v>16902</v>
      </c>
      <c r="L63" s="69">
        <f>wshoprpt[[#This Row],[Order Quantity]]*wshoprpt[[#This Row],[Cost Price]]</f>
        <v>0</v>
      </c>
    </row>
    <row r="64" spans="1:12" x14ac:dyDescent="0.3">
      <c r="A64" s="5" t="s">
        <v>148</v>
      </c>
      <c r="B64" s="73" t="s">
        <v>149</v>
      </c>
      <c r="C64" s="8" t="s">
        <v>105</v>
      </c>
      <c r="D64" s="74">
        <v>3285</v>
      </c>
      <c r="E64" s="8">
        <f>wshopcalc[[#This Row],[Safety Stock]]</f>
        <v>1</v>
      </c>
      <c r="F64" s="8">
        <f>wshopcalc[[#This Row],[Reorder Point (ROP)]]</f>
        <v>3</v>
      </c>
      <c r="G64" s="8">
        <f>wshopcalc[[#This Row],[Maximum Stock (MAX)]]</f>
        <v>5</v>
      </c>
      <c r="H64" s="49">
        <f>wshopcalc[[#This Row],[Current Stock]]</f>
        <v>0</v>
      </c>
      <c r="I64" s="8">
        <f>wshopcalc[[#This Row],[On Order]]</f>
        <v>2</v>
      </c>
      <c r="J64" s="75">
        <f t="shared" si="0"/>
        <v>3</v>
      </c>
      <c r="K64" s="77">
        <f>wshoprpt[[#This Row],[Current Stock]]*wshoprpt[[#This Row],[Cost Price]]</f>
        <v>0</v>
      </c>
      <c r="L64" s="69">
        <f>wshoprpt[[#This Row],[Order Quantity]]*wshoprpt[[#This Row],[Cost Price]]</f>
        <v>9855</v>
      </c>
    </row>
    <row r="65" spans="1:12" x14ac:dyDescent="0.3">
      <c r="A65" s="5" t="s">
        <v>150</v>
      </c>
      <c r="B65" s="73" t="s">
        <v>152</v>
      </c>
      <c r="C65" s="8" t="s">
        <v>105</v>
      </c>
      <c r="D65" s="74">
        <v>3285</v>
      </c>
      <c r="E65" s="8">
        <f>wshopcalc[[#This Row],[Safety Stock]]</f>
        <v>0</v>
      </c>
      <c r="F65" s="8">
        <f>wshopcalc[[#This Row],[Reorder Point (ROP)]]</f>
        <v>0</v>
      </c>
      <c r="G65" s="8">
        <f>wshopcalc[[#This Row],[Maximum Stock (MAX)]]</f>
        <v>0</v>
      </c>
      <c r="H65" s="49">
        <f>wshopcalc[[#This Row],[Current Stock]]</f>
        <v>0</v>
      </c>
      <c r="I65" s="8">
        <f>wshopcalc[[#This Row],[On Order]]</f>
        <v>0</v>
      </c>
      <c r="J65" s="75">
        <f t="shared" si="0"/>
        <v>0</v>
      </c>
      <c r="K65" s="77">
        <f>wshoprpt[[#This Row],[Current Stock]]*wshoprpt[[#This Row],[Cost Price]]</f>
        <v>0</v>
      </c>
      <c r="L65" s="69">
        <f>wshoprpt[[#This Row],[Order Quantity]]*wshoprpt[[#This Row],[Cost Price]]</f>
        <v>0</v>
      </c>
    </row>
    <row r="66" spans="1:12" x14ac:dyDescent="0.3">
      <c r="A66" s="5" t="s">
        <v>3652</v>
      </c>
      <c r="B66" s="73" t="s">
        <v>5605</v>
      </c>
      <c r="C66" s="8" t="s">
        <v>105</v>
      </c>
      <c r="D66" s="74">
        <v>4386</v>
      </c>
      <c r="E66" s="8">
        <f>wshopcalc[[#This Row],[Safety Stock]]</f>
        <v>1</v>
      </c>
      <c r="F66" s="8">
        <f>wshopcalc[[#This Row],[Reorder Point (ROP)]]</f>
        <v>2</v>
      </c>
      <c r="G66" s="8">
        <f>wshopcalc[[#This Row],[Maximum Stock (MAX)]]</f>
        <v>3</v>
      </c>
      <c r="H66" s="49">
        <f>wshopcalc[[#This Row],[Current Stock]]</f>
        <v>1</v>
      </c>
      <c r="I66" s="8">
        <f>wshopcalc[[#This Row],[On Order]]</f>
        <v>0</v>
      </c>
      <c r="J66" s="75">
        <f t="shared" ref="J66:J129" si="1">IF(H66&lt;=F66,G66-H66-I66,0)</f>
        <v>2</v>
      </c>
      <c r="K66" s="77">
        <f>wshoprpt[[#This Row],[Current Stock]]*wshoprpt[[#This Row],[Cost Price]]</f>
        <v>4386</v>
      </c>
      <c r="L66" s="69">
        <f>wshoprpt[[#This Row],[Order Quantity]]*wshoprpt[[#This Row],[Cost Price]]</f>
        <v>8772</v>
      </c>
    </row>
    <row r="67" spans="1:12" x14ac:dyDescent="0.3">
      <c r="A67" s="5" t="s">
        <v>159</v>
      </c>
      <c r="B67" s="73" t="s">
        <v>160</v>
      </c>
      <c r="C67" s="8" t="s">
        <v>105</v>
      </c>
      <c r="D67" s="74">
        <v>0</v>
      </c>
      <c r="E67" s="8">
        <f>wshopcalc[[#This Row],[Safety Stock]]</f>
        <v>17</v>
      </c>
      <c r="F67" s="8">
        <f>wshopcalc[[#This Row],[Reorder Point (ROP)]]</f>
        <v>50</v>
      </c>
      <c r="G67" s="8">
        <f>wshopcalc[[#This Row],[Maximum Stock (MAX)]]</f>
        <v>83</v>
      </c>
      <c r="H67" s="49">
        <f>wshopcalc[[#This Row],[Current Stock]]</f>
        <v>28</v>
      </c>
      <c r="I67" s="8">
        <f>wshopcalc[[#This Row],[On Order]]</f>
        <v>24</v>
      </c>
      <c r="J67" s="75">
        <f t="shared" si="1"/>
        <v>31</v>
      </c>
      <c r="K67" s="77">
        <f>wshoprpt[[#This Row],[Current Stock]]*wshoprpt[[#This Row],[Cost Price]]</f>
        <v>0</v>
      </c>
      <c r="L67" s="69">
        <f>wshoprpt[[#This Row],[Order Quantity]]*wshoprpt[[#This Row],[Cost Price]]</f>
        <v>0</v>
      </c>
    </row>
    <row r="68" spans="1:12" hidden="1" x14ac:dyDescent="0.3">
      <c r="A68" s="5" t="s">
        <v>106</v>
      </c>
      <c r="B68" s="73" t="s">
        <v>107</v>
      </c>
      <c r="C68" s="8" t="s">
        <v>105</v>
      </c>
      <c r="D68" s="74">
        <v>794.72249999999997</v>
      </c>
      <c r="E68" s="8">
        <f>wshopcalc[[#This Row],[Safety Stock]]</f>
        <v>0</v>
      </c>
      <c r="F68" s="8">
        <f>wshopcalc[[#This Row],[Reorder Point (ROP)]]</f>
        <v>0</v>
      </c>
      <c r="G68" s="8">
        <f>wshopcalc[[#This Row],[Maximum Stock (MAX)]]</f>
        <v>0</v>
      </c>
      <c r="H68" s="49">
        <f>wshopcalc[[#This Row],[Current Stock]]</f>
        <v>0</v>
      </c>
      <c r="I68" s="8">
        <f>wshopcalc[[#This Row],[On Order]]</f>
        <v>0</v>
      </c>
      <c r="J68" s="75">
        <f t="shared" si="1"/>
        <v>0</v>
      </c>
      <c r="K68" s="77">
        <f>wshoprpt[[#This Row],[Current Stock]]*wshoprpt[[#This Row],[Cost Price]]</f>
        <v>0</v>
      </c>
      <c r="L68" s="69">
        <f>wshoprpt[[#This Row],[Order Quantity]]*wshoprpt[[#This Row],[Cost Price]]</f>
        <v>0</v>
      </c>
    </row>
    <row r="69" spans="1:12" hidden="1" x14ac:dyDescent="0.3">
      <c r="A69" s="5" t="s">
        <v>110</v>
      </c>
      <c r="B69" s="73" t="s">
        <v>111</v>
      </c>
      <c r="C69" s="8" t="s">
        <v>105</v>
      </c>
      <c r="D69" s="74">
        <v>1061.5999999999999</v>
      </c>
      <c r="E69" s="8">
        <f>wshopcalc[[#This Row],[Safety Stock]]</f>
        <v>0</v>
      </c>
      <c r="F69" s="8">
        <f>wshopcalc[[#This Row],[Reorder Point (ROP)]]</f>
        <v>0</v>
      </c>
      <c r="G69" s="8">
        <f>wshopcalc[[#This Row],[Maximum Stock (MAX)]]</f>
        <v>0</v>
      </c>
      <c r="H69" s="49">
        <f>wshopcalc[[#This Row],[Current Stock]]</f>
        <v>0</v>
      </c>
      <c r="I69" s="8">
        <f>wshopcalc[[#This Row],[On Order]]</f>
        <v>0</v>
      </c>
      <c r="J69" s="75">
        <f t="shared" si="1"/>
        <v>0</v>
      </c>
      <c r="K69" s="77">
        <f>wshoprpt[[#This Row],[Current Stock]]*wshoprpt[[#This Row],[Cost Price]]</f>
        <v>0</v>
      </c>
      <c r="L69" s="69">
        <f>wshoprpt[[#This Row],[Order Quantity]]*wshoprpt[[#This Row],[Cost Price]]</f>
        <v>0</v>
      </c>
    </row>
    <row r="70" spans="1:12" hidden="1" x14ac:dyDescent="0.3">
      <c r="A70" s="5" t="s">
        <v>114</v>
      </c>
      <c r="B70" s="73" t="s">
        <v>115</v>
      </c>
      <c r="C70" s="8" t="s">
        <v>105</v>
      </c>
      <c r="D70" s="74">
        <v>1120.3500000000001</v>
      </c>
      <c r="E70" s="8">
        <f>wshopcalc[[#This Row],[Safety Stock]]</f>
        <v>0</v>
      </c>
      <c r="F70" s="8">
        <f>wshopcalc[[#This Row],[Reorder Point (ROP)]]</f>
        <v>0</v>
      </c>
      <c r="G70" s="8">
        <f>wshopcalc[[#This Row],[Maximum Stock (MAX)]]</f>
        <v>0</v>
      </c>
      <c r="H70" s="49">
        <f>wshopcalc[[#This Row],[Current Stock]]</f>
        <v>0</v>
      </c>
      <c r="I70" s="8">
        <f>wshopcalc[[#This Row],[On Order]]</f>
        <v>0</v>
      </c>
      <c r="J70" s="75">
        <f t="shared" si="1"/>
        <v>0</v>
      </c>
      <c r="K70" s="77">
        <f>wshoprpt[[#This Row],[Current Stock]]*wshoprpt[[#This Row],[Cost Price]]</f>
        <v>0</v>
      </c>
      <c r="L70" s="69">
        <f>wshoprpt[[#This Row],[Order Quantity]]*wshoprpt[[#This Row],[Cost Price]]</f>
        <v>0</v>
      </c>
    </row>
    <row r="71" spans="1:12" hidden="1" x14ac:dyDescent="0.3">
      <c r="A71" s="5" t="s">
        <v>118</v>
      </c>
      <c r="B71" s="73" t="s">
        <v>119</v>
      </c>
      <c r="C71" s="8" t="s">
        <v>105</v>
      </c>
      <c r="D71" s="74">
        <v>1269.75</v>
      </c>
      <c r="E71" s="8">
        <f>wshopcalc[[#This Row],[Safety Stock]]</f>
        <v>0</v>
      </c>
      <c r="F71" s="8">
        <f>wshopcalc[[#This Row],[Reorder Point (ROP)]]</f>
        <v>0</v>
      </c>
      <c r="G71" s="8">
        <f>wshopcalc[[#This Row],[Maximum Stock (MAX)]]</f>
        <v>0</v>
      </c>
      <c r="H71" s="49">
        <f>wshopcalc[[#This Row],[Current Stock]]</f>
        <v>0</v>
      </c>
      <c r="I71" s="8">
        <f>wshopcalc[[#This Row],[On Order]]</f>
        <v>0</v>
      </c>
      <c r="J71" s="75">
        <f t="shared" si="1"/>
        <v>0</v>
      </c>
      <c r="K71" s="77">
        <f>wshoprpt[[#This Row],[Current Stock]]*wshoprpt[[#This Row],[Cost Price]]</f>
        <v>0</v>
      </c>
      <c r="L71" s="69">
        <f>wshoprpt[[#This Row],[Order Quantity]]*wshoprpt[[#This Row],[Cost Price]]</f>
        <v>0</v>
      </c>
    </row>
    <row r="72" spans="1:12" hidden="1" x14ac:dyDescent="0.3">
      <c r="A72" s="5" t="s">
        <v>122</v>
      </c>
      <c r="B72" s="73" t="s">
        <v>123</v>
      </c>
      <c r="C72" s="8" t="s">
        <v>105</v>
      </c>
      <c r="D72" s="74">
        <v>1450.84</v>
      </c>
      <c r="E72" s="8">
        <f>wshopcalc[[#This Row],[Safety Stock]]</f>
        <v>0</v>
      </c>
      <c r="F72" s="8">
        <f>wshopcalc[[#This Row],[Reorder Point (ROP)]]</f>
        <v>0</v>
      </c>
      <c r="G72" s="8">
        <f>wshopcalc[[#This Row],[Maximum Stock (MAX)]]</f>
        <v>0</v>
      </c>
      <c r="H72" s="49">
        <f>wshopcalc[[#This Row],[Current Stock]]</f>
        <v>0</v>
      </c>
      <c r="I72" s="8">
        <f>wshopcalc[[#This Row],[On Order]]</f>
        <v>0</v>
      </c>
      <c r="J72" s="75">
        <f t="shared" si="1"/>
        <v>0</v>
      </c>
      <c r="K72" s="77">
        <f>wshoprpt[[#This Row],[Current Stock]]*wshoprpt[[#This Row],[Cost Price]]</f>
        <v>0</v>
      </c>
      <c r="L72" s="69">
        <f>wshoprpt[[#This Row],[Order Quantity]]*wshoprpt[[#This Row],[Cost Price]]</f>
        <v>0</v>
      </c>
    </row>
    <row r="73" spans="1:12" hidden="1" x14ac:dyDescent="0.3">
      <c r="A73" s="5" t="s">
        <v>126</v>
      </c>
      <c r="B73" s="73" t="s">
        <v>127</v>
      </c>
      <c r="C73" s="8" t="s">
        <v>105</v>
      </c>
      <c r="D73" s="74">
        <v>1515.7239999999999</v>
      </c>
      <c r="E73" s="8">
        <f>wshopcalc[[#This Row],[Safety Stock]]</f>
        <v>0</v>
      </c>
      <c r="F73" s="8">
        <f>wshopcalc[[#This Row],[Reorder Point (ROP)]]</f>
        <v>0</v>
      </c>
      <c r="G73" s="8">
        <f>wshopcalc[[#This Row],[Maximum Stock (MAX)]]</f>
        <v>0</v>
      </c>
      <c r="H73" s="49">
        <f>wshopcalc[[#This Row],[Current Stock]]</f>
        <v>0</v>
      </c>
      <c r="I73" s="8">
        <f>wshopcalc[[#This Row],[On Order]]</f>
        <v>0</v>
      </c>
      <c r="J73" s="75">
        <f t="shared" si="1"/>
        <v>0</v>
      </c>
      <c r="K73" s="77">
        <f>wshoprpt[[#This Row],[Current Stock]]*wshoprpt[[#This Row],[Cost Price]]</f>
        <v>0</v>
      </c>
      <c r="L73" s="69">
        <f>wshoprpt[[#This Row],[Order Quantity]]*wshoprpt[[#This Row],[Cost Price]]</f>
        <v>0</v>
      </c>
    </row>
    <row r="74" spans="1:12" hidden="1" x14ac:dyDescent="0.3">
      <c r="A74" s="5" t="s">
        <v>130</v>
      </c>
      <c r="B74" s="73" t="s">
        <v>131</v>
      </c>
      <c r="C74" s="8" t="s">
        <v>105</v>
      </c>
      <c r="D74" s="74">
        <v>1688.4449999999999</v>
      </c>
      <c r="E74" s="8">
        <f>wshopcalc[[#This Row],[Safety Stock]]</f>
        <v>0</v>
      </c>
      <c r="F74" s="8">
        <f>wshopcalc[[#This Row],[Reorder Point (ROP)]]</f>
        <v>0</v>
      </c>
      <c r="G74" s="8">
        <f>wshopcalc[[#This Row],[Maximum Stock (MAX)]]</f>
        <v>0</v>
      </c>
      <c r="H74" s="49">
        <f>wshopcalc[[#This Row],[Current Stock]]</f>
        <v>0</v>
      </c>
      <c r="I74" s="8">
        <f>wshopcalc[[#This Row],[On Order]]</f>
        <v>0</v>
      </c>
      <c r="J74" s="75">
        <f t="shared" si="1"/>
        <v>0</v>
      </c>
      <c r="K74" s="77">
        <f>wshoprpt[[#This Row],[Current Stock]]*wshoprpt[[#This Row],[Cost Price]]</f>
        <v>0</v>
      </c>
      <c r="L74" s="69">
        <f>wshoprpt[[#This Row],[Order Quantity]]*wshoprpt[[#This Row],[Cost Price]]</f>
        <v>0</v>
      </c>
    </row>
    <row r="75" spans="1:12" hidden="1" x14ac:dyDescent="0.3">
      <c r="A75" s="5" t="s">
        <v>134</v>
      </c>
      <c r="B75" s="73" t="s">
        <v>135</v>
      </c>
      <c r="C75" s="8" t="s">
        <v>105</v>
      </c>
      <c r="D75" s="74">
        <v>1987.1895</v>
      </c>
      <c r="E75" s="8">
        <f>wshopcalc[[#This Row],[Safety Stock]]</f>
        <v>0</v>
      </c>
      <c r="F75" s="8">
        <f>wshopcalc[[#This Row],[Reorder Point (ROP)]]</f>
        <v>0</v>
      </c>
      <c r="G75" s="8">
        <f>wshopcalc[[#This Row],[Maximum Stock (MAX)]]</f>
        <v>0</v>
      </c>
      <c r="H75" s="49">
        <f>wshopcalc[[#This Row],[Current Stock]]</f>
        <v>0</v>
      </c>
      <c r="I75" s="8">
        <f>wshopcalc[[#This Row],[On Order]]</f>
        <v>0</v>
      </c>
      <c r="J75" s="75">
        <f t="shared" si="1"/>
        <v>0</v>
      </c>
      <c r="K75" s="77">
        <f>wshoprpt[[#This Row],[Current Stock]]*wshoprpt[[#This Row],[Cost Price]]</f>
        <v>0</v>
      </c>
      <c r="L75" s="69">
        <f>wshoprpt[[#This Row],[Order Quantity]]*wshoprpt[[#This Row],[Cost Price]]</f>
        <v>0</v>
      </c>
    </row>
    <row r="76" spans="1:12" hidden="1" x14ac:dyDescent="0.3">
      <c r="A76" s="5" t="s">
        <v>138</v>
      </c>
      <c r="B76" s="73" t="s">
        <v>139</v>
      </c>
      <c r="C76" s="8" t="s">
        <v>105</v>
      </c>
      <c r="D76" s="74">
        <v>1839.5650000000001</v>
      </c>
      <c r="E76" s="8">
        <f>wshopcalc[[#This Row],[Safety Stock]]</f>
        <v>0</v>
      </c>
      <c r="F76" s="8">
        <f>wshopcalc[[#This Row],[Reorder Point (ROP)]]</f>
        <v>0</v>
      </c>
      <c r="G76" s="8">
        <f>wshopcalc[[#This Row],[Maximum Stock (MAX)]]</f>
        <v>0</v>
      </c>
      <c r="H76" s="49">
        <f>wshopcalc[[#This Row],[Current Stock]]</f>
        <v>0</v>
      </c>
      <c r="I76" s="8">
        <f>wshopcalc[[#This Row],[On Order]]</f>
        <v>0</v>
      </c>
      <c r="J76" s="75">
        <f t="shared" si="1"/>
        <v>0</v>
      </c>
      <c r="K76" s="77">
        <f>wshoprpt[[#This Row],[Current Stock]]*wshoprpt[[#This Row],[Cost Price]]</f>
        <v>0</v>
      </c>
      <c r="L76" s="69">
        <f>wshoprpt[[#This Row],[Order Quantity]]*wshoprpt[[#This Row],[Cost Price]]</f>
        <v>0</v>
      </c>
    </row>
    <row r="77" spans="1:12" hidden="1" x14ac:dyDescent="0.3">
      <c r="A77" s="5" t="s">
        <v>142</v>
      </c>
      <c r="B77" s="73" t="s">
        <v>143</v>
      </c>
      <c r="C77" s="8" t="s">
        <v>105</v>
      </c>
      <c r="D77" s="74">
        <v>2165.7215000000001</v>
      </c>
      <c r="E77" s="8">
        <f>wshopcalc[[#This Row],[Safety Stock]]</f>
        <v>0</v>
      </c>
      <c r="F77" s="8">
        <f>wshopcalc[[#This Row],[Reorder Point (ROP)]]</f>
        <v>0</v>
      </c>
      <c r="G77" s="8">
        <f>wshopcalc[[#This Row],[Maximum Stock (MAX)]]</f>
        <v>0</v>
      </c>
      <c r="H77" s="49">
        <f>wshopcalc[[#This Row],[Current Stock]]</f>
        <v>0</v>
      </c>
      <c r="I77" s="8">
        <f>wshopcalc[[#This Row],[On Order]]</f>
        <v>0</v>
      </c>
      <c r="J77" s="75">
        <f t="shared" si="1"/>
        <v>0</v>
      </c>
      <c r="K77" s="77">
        <f>wshoprpt[[#This Row],[Current Stock]]*wshoprpt[[#This Row],[Cost Price]]</f>
        <v>0</v>
      </c>
      <c r="L77" s="69">
        <f>wshoprpt[[#This Row],[Order Quantity]]*wshoprpt[[#This Row],[Cost Price]]</f>
        <v>0</v>
      </c>
    </row>
    <row r="78" spans="1:12" hidden="1" x14ac:dyDescent="0.3">
      <c r="A78" s="5" t="s">
        <v>146</v>
      </c>
      <c r="B78" s="73" t="s">
        <v>147</v>
      </c>
      <c r="C78" s="8" t="s">
        <v>105</v>
      </c>
      <c r="D78" s="74">
        <v>2458.1999999999998</v>
      </c>
      <c r="E78" s="8">
        <f>wshopcalc[[#This Row],[Safety Stock]]</f>
        <v>0</v>
      </c>
      <c r="F78" s="8">
        <f>wshopcalc[[#This Row],[Reorder Point (ROP)]]</f>
        <v>0</v>
      </c>
      <c r="G78" s="8">
        <f>wshopcalc[[#This Row],[Maximum Stock (MAX)]]</f>
        <v>0</v>
      </c>
      <c r="H78" s="49">
        <f>wshopcalc[[#This Row],[Current Stock]]</f>
        <v>0</v>
      </c>
      <c r="I78" s="8">
        <f>wshopcalc[[#This Row],[On Order]]</f>
        <v>0</v>
      </c>
      <c r="J78" s="75">
        <f t="shared" si="1"/>
        <v>0</v>
      </c>
      <c r="K78" s="77">
        <f>wshoprpt[[#This Row],[Current Stock]]*wshoprpt[[#This Row],[Cost Price]]</f>
        <v>0</v>
      </c>
      <c r="L78" s="69">
        <f>wshoprpt[[#This Row],[Order Quantity]]*wshoprpt[[#This Row],[Cost Price]]</f>
        <v>0</v>
      </c>
    </row>
    <row r="79" spans="1:12" hidden="1" x14ac:dyDescent="0.3">
      <c r="A79" s="5" t="s">
        <v>153</v>
      </c>
      <c r="B79" s="73" t="s">
        <v>154</v>
      </c>
      <c r="C79" s="8" t="s">
        <v>105</v>
      </c>
      <c r="D79" s="74">
        <v>2890.3199999999997</v>
      </c>
      <c r="E79" s="8">
        <f>wshopcalc[[#This Row],[Safety Stock]]</f>
        <v>0</v>
      </c>
      <c r="F79" s="8">
        <f>wshopcalc[[#This Row],[Reorder Point (ROP)]]</f>
        <v>0</v>
      </c>
      <c r="G79" s="8">
        <f>wshopcalc[[#This Row],[Maximum Stock (MAX)]]</f>
        <v>0</v>
      </c>
      <c r="H79" s="49">
        <f>wshopcalc[[#This Row],[Current Stock]]</f>
        <v>0</v>
      </c>
      <c r="I79" s="8">
        <f>wshopcalc[[#This Row],[On Order]]</f>
        <v>0</v>
      </c>
      <c r="J79" s="75">
        <f t="shared" si="1"/>
        <v>0</v>
      </c>
      <c r="K79" s="77">
        <f>wshoprpt[[#This Row],[Current Stock]]*wshoprpt[[#This Row],[Cost Price]]</f>
        <v>0</v>
      </c>
      <c r="L79" s="69">
        <f>wshoprpt[[#This Row],[Order Quantity]]*wshoprpt[[#This Row],[Cost Price]]</f>
        <v>0</v>
      </c>
    </row>
    <row r="80" spans="1:12" ht="28.8" hidden="1" x14ac:dyDescent="0.3">
      <c r="A80" s="5" t="s">
        <v>150</v>
      </c>
      <c r="B80" s="73" t="s">
        <v>151</v>
      </c>
      <c r="C80" s="8" t="s">
        <v>105</v>
      </c>
      <c r="D80" s="74">
        <v>2890.3199999999997</v>
      </c>
      <c r="E80" s="8">
        <f>wshopcalc[[#This Row],[Safety Stock]]</f>
        <v>0</v>
      </c>
      <c r="F80" s="8">
        <f>wshopcalc[[#This Row],[Reorder Point (ROP)]]</f>
        <v>0</v>
      </c>
      <c r="G80" s="8">
        <f>wshopcalc[[#This Row],[Maximum Stock (MAX)]]</f>
        <v>0</v>
      </c>
      <c r="H80" s="49">
        <f>wshopcalc[[#This Row],[Current Stock]]</f>
        <v>0</v>
      </c>
      <c r="I80" s="8">
        <f>wshopcalc[[#This Row],[On Order]]</f>
        <v>0</v>
      </c>
      <c r="J80" s="75">
        <f t="shared" si="1"/>
        <v>0</v>
      </c>
      <c r="K80" s="77">
        <f>wshoprpt[[#This Row],[Current Stock]]*wshoprpt[[#This Row],[Cost Price]]</f>
        <v>0</v>
      </c>
      <c r="L80" s="69">
        <f>wshoprpt[[#This Row],[Order Quantity]]*wshoprpt[[#This Row],[Cost Price]]</f>
        <v>0</v>
      </c>
    </row>
    <row r="81" spans="1:12" hidden="1" x14ac:dyDescent="0.3">
      <c r="A81" s="5" t="s">
        <v>157</v>
      </c>
      <c r="B81" s="73" t="s">
        <v>158</v>
      </c>
      <c r="C81" s="8" t="s">
        <v>105</v>
      </c>
      <c r="D81" s="74">
        <v>3357.35</v>
      </c>
      <c r="E81" s="8">
        <f>wshopcalc[[#This Row],[Safety Stock]]</f>
        <v>0</v>
      </c>
      <c r="F81" s="8">
        <f>wshopcalc[[#This Row],[Reorder Point (ROP)]]</f>
        <v>0</v>
      </c>
      <c r="G81" s="8">
        <f>wshopcalc[[#This Row],[Maximum Stock (MAX)]]</f>
        <v>0</v>
      </c>
      <c r="H81" s="49">
        <f>wshopcalc[[#This Row],[Current Stock]]</f>
        <v>0</v>
      </c>
      <c r="I81" s="8">
        <f>wshopcalc[[#This Row],[On Order]]</f>
        <v>0</v>
      </c>
      <c r="J81" s="75">
        <f t="shared" si="1"/>
        <v>0</v>
      </c>
      <c r="K81" s="77">
        <f>wshoprpt[[#This Row],[Current Stock]]*wshoprpt[[#This Row],[Cost Price]]</f>
        <v>0</v>
      </c>
      <c r="L81" s="69">
        <f>wshoprpt[[#This Row],[Order Quantity]]*wshoprpt[[#This Row],[Cost Price]]</f>
        <v>0</v>
      </c>
    </row>
    <row r="82" spans="1:12" hidden="1" x14ac:dyDescent="0.3">
      <c r="A82" s="5" t="s">
        <v>161</v>
      </c>
      <c r="B82" s="73" t="s">
        <v>162</v>
      </c>
      <c r="C82" s="8" t="s">
        <v>163</v>
      </c>
      <c r="D82" s="74">
        <v>80</v>
      </c>
      <c r="E82" s="8">
        <f>wshopcalc[[#This Row],[Safety Stock]]</f>
        <v>12</v>
      </c>
      <c r="F82" s="8">
        <f>wshopcalc[[#This Row],[Reorder Point (ROP)]]</f>
        <v>36</v>
      </c>
      <c r="G82" s="8">
        <f>wshopcalc[[#This Row],[Maximum Stock (MAX)]]</f>
        <v>60</v>
      </c>
      <c r="H82" s="49">
        <f>wshopcalc[[#This Row],[Current Stock]]</f>
        <v>36</v>
      </c>
      <c r="I82" s="8">
        <f>wshopcalc[[#This Row],[On Order]]</f>
        <v>0</v>
      </c>
      <c r="J82" s="75">
        <f t="shared" si="1"/>
        <v>24</v>
      </c>
      <c r="K82" s="77">
        <f>wshoprpt[[#This Row],[Current Stock]]*wshoprpt[[#This Row],[Cost Price]]</f>
        <v>2880</v>
      </c>
      <c r="L82" s="69">
        <f>wshoprpt[[#This Row],[Order Quantity]]*wshoprpt[[#This Row],[Cost Price]]</f>
        <v>1920</v>
      </c>
    </row>
    <row r="83" spans="1:12" hidden="1" x14ac:dyDescent="0.3">
      <c r="A83" s="5" t="s">
        <v>166</v>
      </c>
      <c r="B83" s="73" t="s">
        <v>167</v>
      </c>
      <c r="C83" s="8" t="s">
        <v>163</v>
      </c>
      <c r="D83" s="74">
        <v>85</v>
      </c>
      <c r="E83" s="8">
        <f>wshopcalc[[#This Row],[Safety Stock]]</f>
        <v>4</v>
      </c>
      <c r="F83" s="8">
        <f>wshopcalc[[#This Row],[Reorder Point (ROP)]]</f>
        <v>12</v>
      </c>
      <c r="G83" s="8">
        <f>wshopcalc[[#This Row],[Maximum Stock (MAX)]]</f>
        <v>20</v>
      </c>
      <c r="H83" s="49">
        <f>wshopcalc[[#This Row],[Current Stock]]</f>
        <v>34</v>
      </c>
      <c r="I83" s="8">
        <f>wshopcalc[[#This Row],[On Order]]</f>
        <v>0</v>
      </c>
      <c r="J83" s="75">
        <f t="shared" si="1"/>
        <v>0</v>
      </c>
      <c r="K83" s="77">
        <f>wshoprpt[[#This Row],[Current Stock]]*wshoprpt[[#This Row],[Cost Price]]</f>
        <v>2890</v>
      </c>
      <c r="L83" s="69">
        <f>wshoprpt[[#This Row],[Order Quantity]]*wshoprpt[[#This Row],[Cost Price]]</f>
        <v>0</v>
      </c>
    </row>
    <row r="84" spans="1:12" hidden="1" x14ac:dyDescent="0.3">
      <c r="A84" s="5" t="s">
        <v>170</v>
      </c>
      <c r="B84" s="73" t="s">
        <v>171</v>
      </c>
      <c r="C84" s="8" t="s">
        <v>163</v>
      </c>
      <c r="D84" s="74">
        <v>100</v>
      </c>
      <c r="E84" s="8">
        <f>wshopcalc[[#This Row],[Safety Stock]]</f>
        <v>8</v>
      </c>
      <c r="F84" s="8">
        <f>wshopcalc[[#This Row],[Reorder Point (ROP)]]</f>
        <v>24</v>
      </c>
      <c r="G84" s="8">
        <f>wshopcalc[[#This Row],[Maximum Stock (MAX)]]</f>
        <v>40</v>
      </c>
      <c r="H84" s="49">
        <f>wshopcalc[[#This Row],[Current Stock]]</f>
        <v>18</v>
      </c>
      <c r="I84" s="8">
        <f>wshopcalc[[#This Row],[On Order]]</f>
        <v>0</v>
      </c>
      <c r="J84" s="75">
        <f t="shared" si="1"/>
        <v>22</v>
      </c>
      <c r="K84" s="77">
        <f>wshoprpt[[#This Row],[Current Stock]]*wshoprpt[[#This Row],[Cost Price]]</f>
        <v>1800</v>
      </c>
      <c r="L84" s="69">
        <f>wshoprpt[[#This Row],[Order Quantity]]*wshoprpt[[#This Row],[Cost Price]]</f>
        <v>2200</v>
      </c>
    </row>
    <row r="85" spans="1:12" hidden="1" x14ac:dyDescent="0.3">
      <c r="A85" s="5" t="s">
        <v>176</v>
      </c>
      <c r="B85" s="73" t="s">
        <v>177</v>
      </c>
      <c r="C85" s="8" t="s">
        <v>163</v>
      </c>
      <c r="D85" s="74">
        <v>108</v>
      </c>
      <c r="E85" s="8">
        <f>wshopcalc[[#This Row],[Safety Stock]]</f>
        <v>5</v>
      </c>
      <c r="F85" s="8">
        <f>wshopcalc[[#This Row],[Reorder Point (ROP)]]</f>
        <v>15</v>
      </c>
      <c r="G85" s="8">
        <f>wshopcalc[[#This Row],[Maximum Stock (MAX)]]</f>
        <v>25</v>
      </c>
      <c r="H85" s="49">
        <f>wshopcalc[[#This Row],[Current Stock]]</f>
        <v>23</v>
      </c>
      <c r="I85" s="8">
        <f>wshopcalc[[#This Row],[On Order]]</f>
        <v>0</v>
      </c>
      <c r="J85" s="75">
        <f t="shared" si="1"/>
        <v>0</v>
      </c>
      <c r="K85" s="77">
        <f>wshoprpt[[#This Row],[Current Stock]]*wshoprpt[[#This Row],[Cost Price]]</f>
        <v>2484</v>
      </c>
      <c r="L85" s="69">
        <f>wshoprpt[[#This Row],[Order Quantity]]*wshoprpt[[#This Row],[Cost Price]]</f>
        <v>0</v>
      </c>
    </row>
    <row r="86" spans="1:12" hidden="1" x14ac:dyDescent="0.3">
      <c r="A86" s="5" t="s">
        <v>180</v>
      </c>
      <c r="B86" s="73" t="s">
        <v>181</v>
      </c>
      <c r="C86" s="8" t="s">
        <v>163</v>
      </c>
      <c r="D86" s="74">
        <v>114</v>
      </c>
      <c r="E86" s="8">
        <f>wshopcalc[[#This Row],[Safety Stock]]</f>
        <v>6</v>
      </c>
      <c r="F86" s="8">
        <f>wshopcalc[[#This Row],[Reorder Point (ROP)]]</f>
        <v>18</v>
      </c>
      <c r="G86" s="8">
        <f>wshopcalc[[#This Row],[Maximum Stock (MAX)]]</f>
        <v>30</v>
      </c>
      <c r="H86" s="49">
        <f>wshopcalc[[#This Row],[Current Stock]]</f>
        <v>12</v>
      </c>
      <c r="I86" s="8">
        <f>wshopcalc[[#This Row],[On Order]]</f>
        <v>0</v>
      </c>
      <c r="J86" s="75">
        <f t="shared" si="1"/>
        <v>18</v>
      </c>
      <c r="K86" s="77">
        <f>wshoprpt[[#This Row],[Current Stock]]*wshoprpt[[#This Row],[Cost Price]]</f>
        <v>1368</v>
      </c>
      <c r="L86" s="69">
        <f>wshoprpt[[#This Row],[Order Quantity]]*wshoprpt[[#This Row],[Cost Price]]</f>
        <v>2052</v>
      </c>
    </row>
    <row r="87" spans="1:12" hidden="1" x14ac:dyDescent="0.3">
      <c r="A87" s="5" t="s">
        <v>184</v>
      </c>
      <c r="B87" s="73" t="s">
        <v>185</v>
      </c>
      <c r="C87" s="8" t="s">
        <v>163</v>
      </c>
      <c r="D87" s="74">
        <v>128</v>
      </c>
      <c r="E87" s="8">
        <f>wshopcalc[[#This Row],[Safety Stock]]</f>
        <v>3</v>
      </c>
      <c r="F87" s="8">
        <f>wshopcalc[[#This Row],[Reorder Point (ROP)]]</f>
        <v>9</v>
      </c>
      <c r="G87" s="8">
        <f>wshopcalc[[#This Row],[Maximum Stock (MAX)]]</f>
        <v>15</v>
      </c>
      <c r="H87" s="49">
        <f>wshopcalc[[#This Row],[Current Stock]]</f>
        <v>29</v>
      </c>
      <c r="I87" s="8">
        <f>wshopcalc[[#This Row],[On Order]]</f>
        <v>0</v>
      </c>
      <c r="J87" s="75">
        <f t="shared" si="1"/>
        <v>0</v>
      </c>
      <c r="K87" s="77">
        <f>wshoprpt[[#This Row],[Current Stock]]*wshoprpt[[#This Row],[Cost Price]]</f>
        <v>3712</v>
      </c>
      <c r="L87" s="69">
        <f>wshoprpt[[#This Row],[Order Quantity]]*wshoprpt[[#This Row],[Cost Price]]</f>
        <v>0</v>
      </c>
    </row>
    <row r="88" spans="1:12" hidden="1" x14ac:dyDescent="0.3">
      <c r="A88" s="5" t="s">
        <v>188</v>
      </c>
      <c r="B88" s="73" t="s">
        <v>189</v>
      </c>
      <c r="C88" s="8" t="s">
        <v>163</v>
      </c>
      <c r="D88" s="74">
        <v>165.5</v>
      </c>
      <c r="E88" s="8">
        <f>wshopcalc[[#This Row],[Safety Stock]]</f>
        <v>2</v>
      </c>
      <c r="F88" s="8">
        <f>wshopcalc[[#This Row],[Reorder Point (ROP)]]</f>
        <v>6</v>
      </c>
      <c r="G88" s="8">
        <f>wshopcalc[[#This Row],[Maximum Stock (MAX)]]</f>
        <v>10</v>
      </c>
      <c r="H88" s="49">
        <f>wshopcalc[[#This Row],[Current Stock]]</f>
        <v>18</v>
      </c>
      <c r="I88" s="8">
        <f>wshopcalc[[#This Row],[On Order]]</f>
        <v>0</v>
      </c>
      <c r="J88" s="75">
        <f t="shared" si="1"/>
        <v>0</v>
      </c>
      <c r="K88" s="77">
        <f>wshoprpt[[#This Row],[Current Stock]]*wshoprpt[[#This Row],[Cost Price]]</f>
        <v>2979</v>
      </c>
      <c r="L88" s="69">
        <f>wshoprpt[[#This Row],[Order Quantity]]*wshoprpt[[#This Row],[Cost Price]]</f>
        <v>0</v>
      </c>
    </row>
    <row r="89" spans="1:12" hidden="1" x14ac:dyDescent="0.3">
      <c r="A89" s="5" t="s">
        <v>192</v>
      </c>
      <c r="B89" s="73" t="s">
        <v>193</v>
      </c>
      <c r="C89" s="8" t="s">
        <v>163</v>
      </c>
      <c r="D89" s="74">
        <v>403.65000000000003</v>
      </c>
      <c r="E89" s="8">
        <f>wshopcalc[[#This Row],[Safety Stock]]</f>
        <v>1</v>
      </c>
      <c r="F89" s="8">
        <f>wshopcalc[[#This Row],[Reorder Point (ROP)]]</f>
        <v>3</v>
      </c>
      <c r="G89" s="8">
        <f>wshopcalc[[#This Row],[Maximum Stock (MAX)]]</f>
        <v>5</v>
      </c>
      <c r="H89" s="49">
        <f>wshopcalc[[#This Row],[Current Stock]]</f>
        <v>2</v>
      </c>
      <c r="I89" s="8">
        <f>wshopcalc[[#This Row],[On Order]]</f>
        <v>0</v>
      </c>
      <c r="J89" s="75">
        <f t="shared" si="1"/>
        <v>3</v>
      </c>
      <c r="K89" s="77">
        <f>wshoprpt[[#This Row],[Current Stock]]*wshoprpt[[#This Row],[Cost Price]]</f>
        <v>807.30000000000007</v>
      </c>
      <c r="L89" s="69">
        <f>wshoprpt[[#This Row],[Order Quantity]]*wshoprpt[[#This Row],[Cost Price]]</f>
        <v>1210.95</v>
      </c>
    </row>
    <row r="90" spans="1:12" hidden="1" x14ac:dyDescent="0.3">
      <c r="A90" s="5" t="s">
        <v>164</v>
      </c>
      <c r="B90" s="73" t="s">
        <v>165</v>
      </c>
      <c r="C90" s="8" t="s">
        <v>163</v>
      </c>
      <c r="D90" s="74">
        <v>80</v>
      </c>
      <c r="E90" s="8">
        <f>wshopcalc[[#This Row],[Safety Stock]]</f>
        <v>12</v>
      </c>
      <c r="F90" s="8">
        <f>wshopcalc[[#This Row],[Reorder Point (ROP)]]</f>
        <v>36</v>
      </c>
      <c r="G90" s="8">
        <f>wshopcalc[[#This Row],[Maximum Stock (MAX)]]</f>
        <v>60</v>
      </c>
      <c r="H90" s="49">
        <f>wshopcalc[[#This Row],[Current Stock]]</f>
        <v>64</v>
      </c>
      <c r="I90" s="8">
        <f>wshopcalc[[#This Row],[On Order]]</f>
        <v>0</v>
      </c>
      <c r="J90" s="75">
        <f t="shared" si="1"/>
        <v>0</v>
      </c>
      <c r="K90" s="77">
        <f>wshoprpt[[#This Row],[Current Stock]]*wshoprpt[[#This Row],[Cost Price]]</f>
        <v>5120</v>
      </c>
      <c r="L90" s="69">
        <f>wshoprpt[[#This Row],[Order Quantity]]*wshoprpt[[#This Row],[Cost Price]]</f>
        <v>0</v>
      </c>
    </row>
    <row r="91" spans="1:12" hidden="1" x14ac:dyDescent="0.3">
      <c r="A91" s="5" t="s">
        <v>168</v>
      </c>
      <c r="B91" s="73" t="s">
        <v>169</v>
      </c>
      <c r="C91" s="8" t="s">
        <v>163</v>
      </c>
      <c r="D91" s="74">
        <v>85</v>
      </c>
      <c r="E91" s="8">
        <f>wshopcalc[[#This Row],[Safety Stock]]</f>
        <v>4</v>
      </c>
      <c r="F91" s="8">
        <f>wshopcalc[[#This Row],[Reorder Point (ROP)]]</f>
        <v>12</v>
      </c>
      <c r="G91" s="8">
        <f>wshopcalc[[#This Row],[Maximum Stock (MAX)]]</f>
        <v>20</v>
      </c>
      <c r="H91" s="49">
        <f>wshopcalc[[#This Row],[Current Stock]]</f>
        <v>84</v>
      </c>
      <c r="I91" s="8">
        <f>wshopcalc[[#This Row],[On Order]]</f>
        <v>0</v>
      </c>
      <c r="J91" s="75">
        <f t="shared" si="1"/>
        <v>0</v>
      </c>
      <c r="K91" s="77">
        <f>wshoprpt[[#This Row],[Current Stock]]*wshoprpt[[#This Row],[Cost Price]]</f>
        <v>7140</v>
      </c>
      <c r="L91" s="69">
        <f>wshoprpt[[#This Row],[Order Quantity]]*wshoprpt[[#This Row],[Cost Price]]</f>
        <v>0</v>
      </c>
    </row>
    <row r="92" spans="1:12" hidden="1" x14ac:dyDescent="0.3">
      <c r="A92" s="5" t="s">
        <v>172</v>
      </c>
      <c r="B92" s="73" t="s">
        <v>173</v>
      </c>
      <c r="C92" s="8" t="s">
        <v>163</v>
      </c>
      <c r="D92" s="74">
        <v>100</v>
      </c>
      <c r="E92" s="8">
        <f>wshopcalc[[#This Row],[Safety Stock]]</f>
        <v>8</v>
      </c>
      <c r="F92" s="8">
        <f>wshopcalc[[#This Row],[Reorder Point (ROP)]]</f>
        <v>24</v>
      </c>
      <c r="G92" s="8">
        <f>wshopcalc[[#This Row],[Maximum Stock (MAX)]]</f>
        <v>40</v>
      </c>
      <c r="H92" s="49">
        <f>wshopcalc[[#This Row],[Current Stock]]</f>
        <v>17</v>
      </c>
      <c r="I92" s="8">
        <f>wshopcalc[[#This Row],[On Order]]</f>
        <v>0</v>
      </c>
      <c r="J92" s="75">
        <f t="shared" si="1"/>
        <v>23</v>
      </c>
      <c r="K92" s="77">
        <f>wshoprpt[[#This Row],[Current Stock]]*wshoprpt[[#This Row],[Cost Price]]</f>
        <v>1700</v>
      </c>
      <c r="L92" s="69">
        <f>wshoprpt[[#This Row],[Order Quantity]]*wshoprpt[[#This Row],[Cost Price]]</f>
        <v>2300</v>
      </c>
    </row>
    <row r="93" spans="1:12" hidden="1" x14ac:dyDescent="0.3">
      <c r="A93" s="5" t="s">
        <v>174</v>
      </c>
      <c r="B93" s="73" t="s">
        <v>175</v>
      </c>
      <c r="C93" s="8" t="s">
        <v>163</v>
      </c>
      <c r="D93" s="74">
        <v>108</v>
      </c>
      <c r="E93" s="8">
        <f>wshopcalc[[#This Row],[Safety Stock]]</f>
        <v>0</v>
      </c>
      <c r="F93" s="8">
        <f>wshopcalc[[#This Row],[Reorder Point (ROP)]]</f>
        <v>0</v>
      </c>
      <c r="G93" s="8">
        <f>wshopcalc[[#This Row],[Maximum Stock (MAX)]]</f>
        <v>0</v>
      </c>
      <c r="H93" s="49">
        <f>wshopcalc[[#This Row],[Current Stock]]</f>
        <v>4</v>
      </c>
      <c r="I93" s="8">
        <f>wshopcalc[[#This Row],[On Order]]</f>
        <v>0</v>
      </c>
      <c r="J93" s="75">
        <f t="shared" si="1"/>
        <v>0</v>
      </c>
      <c r="K93" s="77">
        <f>wshoprpt[[#This Row],[Current Stock]]*wshoprpt[[#This Row],[Cost Price]]</f>
        <v>432</v>
      </c>
      <c r="L93" s="69">
        <f>wshoprpt[[#This Row],[Order Quantity]]*wshoprpt[[#This Row],[Cost Price]]</f>
        <v>0</v>
      </c>
    </row>
    <row r="94" spans="1:12" hidden="1" x14ac:dyDescent="0.3">
      <c r="A94" s="5" t="s">
        <v>178</v>
      </c>
      <c r="B94" s="73" t="s">
        <v>179</v>
      </c>
      <c r="C94" s="8" t="s">
        <v>163</v>
      </c>
      <c r="D94" s="74">
        <v>108</v>
      </c>
      <c r="E94" s="8">
        <f>wshopcalc[[#This Row],[Safety Stock]]</f>
        <v>5</v>
      </c>
      <c r="F94" s="8">
        <f>wshopcalc[[#This Row],[Reorder Point (ROP)]]</f>
        <v>15</v>
      </c>
      <c r="G94" s="8">
        <f>wshopcalc[[#This Row],[Maximum Stock (MAX)]]</f>
        <v>25</v>
      </c>
      <c r="H94" s="49">
        <f>wshopcalc[[#This Row],[Current Stock]]</f>
        <v>8</v>
      </c>
      <c r="I94" s="8">
        <f>wshopcalc[[#This Row],[On Order]]</f>
        <v>0</v>
      </c>
      <c r="J94" s="75">
        <f t="shared" si="1"/>
        <v>17</v>
      </c>
      <c r="K94" s="77">
        <f>wshoprpt[[#This Row],[Current Stock]]*wshoprpt[[#This Row],[Cost Price]]</f>
        <v>864</v>
      </c>
      <c r="L94" s="69">
        <f>wshoprpt[[#This Row],[Order Quantity]]*wshoprpt[[#This Row],[Cost Price]]</f>
        <v>1836</v>
      </c>
    </row>
    <row r="95" spans="1:12" hidden="1" x14ac:dyDescent="0.3">
      <c r="A95" s="5" t="s">
        <v>182</v>
      </c>
      <c r="B95" s="73" t="s">
        <v>183</v>
      </c>
      <c r="C95" s="8" t="s">
        <v>163</v>
      </c>
      <c r="D95" s="74">
        <v>114</v>
      </c>
      <c r="E95" s="8">
        <f>wshopcalc[[#This Row],[Safety Stock]]</f>
        <v>6</v>
      </c>
      <c r="F95" s="8">
        <f>wshopcalc[[#This Row],[Reorder Point (ROP)]]</f>
        <v>18</v>
      </c>
      <c r="G95" s="8">
        <f>wshopcalc[[#This Row],[Maximum Stock (MAX)]]</f>
        <v>30</v>
      </c>
      <c r="H95" s="49">
        <f>wshopcalc[[#This Row],[Current Stock]]</f>
        <v>15</v>
      </c>
      <c r="I95" s="8">
        <f>wshopcalc[[#This Row],[On Order]]</f>
        <v>0</v>
      </c>
      <c r="J95" s="75">
        <f t="shared" si="1"/>
        <v>15</v>
      </c>
      <c r="K95" s="77">
        <f>wshoprpt[[#This Row],[Current Stock]]*wshoprpt[[#This Row],[Cost Price]]</f>
        <v>1710</v>
      </c>
      <c r="L95" s="69">
        <f>wshoprpt[[#This Row],[Order Quantity]]*wshoprpt[[#This Row],[Cost Price]]</f>
        <v>1710</v>
      </c>
    </row>
    <row r="96" spans="1:12" hidden="1" x14ac:dyDescent="0.3">
      <c r="A96" s="5" t="s">
        <v>186</v>
      </c>
      <c r="B96" s="73" t="s">
        <v>187</v>
      </c>
      <c r="C96" s="8" t="s">
        <v>163</v>
      </c>
      <c r="D96" s="74">
        <v>128</v>
      </c>
      <c r="E96" s="8">
        <f>wshopcalc[[#This Row],[Safety Stock]]</f>
        <v>3</v>
      </c>
      <c r="F96" s="8">
        <f>wshopcalc[[#This Row],[Reorder Point (ROP)]]</f>
        <v>9</v>
      </c>
      <c r="G96" s="8">
        <f>wshopcalc[[#This Row],[Maximum Stock (MAX)]]</f>
        <v>15</v>
      </c>
      <c r="H96" s="49">
        <f>wshopcalc[[#This Row],[Current Stock]]</f>
        <v>13</v>
      </c>
      <c r="I96" s="8">
        <f>wshopcalc[[#This Row],[On Order]]</f>
        <v>0</v>
      </c>
      <c r="J96" s="75">
        <f t="shared" si="1"/>
        <v>0</v>
      </c>
      <c r="K96" s="77">
        <f>wshoprpt[[#This Row],[Current Stock]]*wshoprpt[[#This Row],[Cost Price]]</f>
        <v>1664</v>
      </c>
      <c r="L96" s="69">
        <f>wshoprpt[[#This Row],[Order Quantity]]*wshoprpt[[#This Row],[Cost Price]]</f>
        <v>0</v>
      </c>
    </row>
    <row r="97" spans="1:12" hidden="1" x14ac:dyDescent="0.3">
      <c r="A97" s="5" t="s">
        <v>190</v>
      </c>
      <c r="B97" s="73" t="s">
        <v>191</v>
      </c>
      <c r="C97" s="8" t="s">
        <v>163</v>
      </c>
      <c r="D97" s="74">
        <v>165.5</v>
      </c>
      <c r="E97" s="8">
        <f>wshopcalc[[#This Row],[Safety Stock]]</f>
        <v>2</v>
      </c>
      <c r="F97" s="8">
        <f>wshopcalc[[#This Row],[Reorder Point (ROP)]]</f>
        <v>6</v>
      </c>
      <c r="G97" s="8">
        <f>wshopcalc[[#This Row],[Maximum Stock (MAX)]]</f>
        <v>10</v>
      </c>
      <c r="H97" s="49">
        <f>wshopcalc[[#This Row],[Current Stock]]</f>
        <v>14</v>
      </c>
      <c r="I97" s="8">
        <f>wshopcalc[[#This Row],[On Order]]</f>
        <v>0</v>
      </c>
      <c r="J97" s="75">
        <f t="shared" si="1"/>
        <v>0</v>
      </c>
      <c r="K97" s="77">
        <f>wshoprpt[[#This Row],[Current Stock]]*wshoprpt[[#This Row],[Cost Price]]</f>
        <v>2317</v>
      </c>
      <c r="L97" s="69">
        <f>wshoprpt[[#This Row],[Order Quantity]]*wshoprpt[[#This Row],[Cost Price]]</f>
        <v>0</v>
      </c>
    </row>
    <row r="98" spans="1:12" hidden="1" x14ac:dyDescent="0.3">
      <c r="A98" s="5" t="s">
        <v>194</v>
      </c>
      <c r="B98" s="73" t="s">
        <v>195</v>
      </c>
      <c r="C98" s="8" t="s">
        <v>196</v>
      </c>
      <c r="D98" s="74">
        <v>44.29</v>
      </c>
      <c r="E98" s="8">
        <f>wshopcalc[[#This Row],[Safety Stock]]</f>
        <v>38</v>
      </c>
      <c r="F98" s="8">
        <f>wshopcalc[[#This Row],[Reorder Point (ROP)]]</f>
        <v>113</v>
      </c>
      <c r="G98" s="8">
        <f>wshopcalc[[#This Row],[Maximum Stock (MAX)]]</f>
        <v>188</v>
      </c>
      <c r="H98" s="49">
        <f>wshopcalc[[#This Row],[Current Stock]]</f>
        <v>52</v>
      </c>
      <c r="I98" s="8">
        <f>wshopcalc[[#This Row],[On Order]]</f>
        <v>0</v>
      </c>
      <c r="J98" s="75">
        <f>MROUND(IF(H98&lt;=F98,G98-H98-I98,0),50)</f>
        <v>150</v>
      </c>
      <c r="K98" s="77">
        <f>wshoprpt[[#This Row],[Current Stock]]*wshoprpt[[#This Row],[Cost Price]]</f>
        <v>2303.08</v>
      </c>
      <c r="L98" s="69">
        <f>wshoprpt[[#This Row],[Order Quantity]]*wshoprpt[[#This Row],[Cost Price]]</f>
        <v>6643.5</v>
      </c>
    </row>
    <row r="99" spans="1:12" hidden="1" x14ac:dyDescent="0.3">
      <c r="A99" s="5" t="s">
        <v>197</v>
      </c>
      <c r="B99" s="73" t="s">
        <v>198</v>
      </c>
      <c r="C99" s="8" t="s">
        <v>196</v>
      </c>
      <c r="D99" s="74">
        <v>58.37</v>
      </c>
      <c r="E99" s="8">
        <f>wshopcalc[[#This Row],[Safety Stock]]</f>
        <v>33</v>
      </c>
      <c r="F99" s="8">
        <f>wshopcalc[[#This Row],[Reorder Point (ROP)]]</f>
        <v>98</v>
      </c>
      <c r="G99" s="8">
        <f>wshopcalc[[#This Row],[Maximum Stock (MAX)]]</f>
        <v>163</v>
      </c>
      <c r="H99" s="49">
        <f>wshopcalc[[#This Row],[Current Stock]]</f>
        <v>32</v>
      </c>
      <c r="I99" s="8">
        <f>wshopcalc[[#This Row],[On Order]]</f>
        <v>0</v>
      </c>
      <c r="J99" s="75">
        <f>MROUND(IF(H99&lt;=F99,G99-H99-I99,0),50)</f>
        <v>150</v>
      </c>
      <c r="K99" s="77">
        <f>wshoprpt[[#This Row],[Current Stock]]*wshoprpt[[#This Row],[Cost Price]]</f>
        <v>1867.84</v>
      </c>
      <c r="L99" s="69">
        <f>wshoprpt[[#This Row],[Order Quantity]]*wshoprpt[[#This Row],[Cost Price]]</f>
        <v>8755.5</v>
      </c>
    </row>
    <row r="100" spans="1:12" ht="28.8" hidden="1" x14ac:dyDescent="0.3">
      <c r="A100" s="5" t="s">
        <v>199</v>
      </c>
      <c r="B100" s="73" t="s">
        <v>200</v>
      </c>
      <c r="C100" s="8" t="s">
        <v>201</v>
      </c>
      <c r="D100" s="74">
        <v>235</v>
      </c>
      <c r="E100" s="8">
        <f>wshopcalc[[#This Row],[Safety Stock]]</f>
        <v>10</v>
      </c>
      <c r="F100" s="8">
        <f>wshopcalc[[#This Row],[Reorder Point (ROP)]]</f>
        <v>30</v>
      </c>
      <c r="G100" s="8">
        <f>wshopcalc[[#This Row],[Maximum Stock (MAX)]]</f>
        <v>50</v>
      </c>
      <c r="H100" s="49">
        <f>wshopcalc[[#This Row],[Current Stock]]</f>
        <v>35</v>
      </c>
      <c r="I100" s="8">
        <f>wshopcalc[[#This Row],[On Order]]</f>
        <v>0</v>
      </c>
      <c r="J100" s="75">
        <f t="shared" si="1"/>
        <v>0</v>
      </c>
      <c r="K100" s="77">
        <f>wshoprpt[[#This Row],[Current Stock]]*wshoprpt[[#This Row],[Cost Price]]</f>
        <v>8225</v>
      </c>
      <c r="L100" s="69">
        <f>wshoprpt[[#This Row],[Order Quantity]]*wshoprpt[[#This Row],[Cost Price]]</f>
        <v>0</v>
      </c>
    </row>
    <row r="101" spans="1:12" hidden="1" x14ac:dyDescent="0.3">
      <c r="A101" s="5" t="s">
        <v>202</v>
      </c>
      <c r="B101" s="73" t="s">
        <v>203</v>
      </c>
      <c r="C101" s="8" t="s">
        <v>201</v>
      </c>
      <c r="D101" s="74">
        <v>270</v>
      </c>
      <c r="E101" s="8">
        <f>wshopcalc[[#This Row],[Safety Stock]]</f>
        <v>5</v>
      </c>
      <c r="F101" s="8">
        <f>wshopcalc[[#This Row],[Reorder Point (ROP)]]</f>
        <v>15</v>
      </c>
      <c r="G101" s="8">
        <f>wshopcalc[[#This Row],[Maximum Stock (MAX)]]</f>
        <v>25</v>
      </c>
      <c r="H101" s="49">
        <f>wshopcalc[[#This Row],[Current Stock]]</f>
        <v>4</v>
      </c>
      <c r="I101" s="8">
        <f>wshopcalc[[#This Row],[On Order]]</f>
        <v>0</v>
      </c>
      <c r="J101" s="75">
        <f t="shared" si="1"/>
        <v>21</v>
      </c>
      <c r="K101" s="77">
        <f>wshoprpt[[#This Row],[Current Stock]]*wshoprpt[[#This Row],[Cost Price]]</f>
        <v>1080</v>
      </c>
      <c r="L101" s="69">
        <f>wshoprpt[[#This Row],[Order Quantity]]*wshoprpt[[#This Row],[Cost Price]]</f>
        <v>5670</v>
      </c>
    </row>
    <row r="102" spans="1:12" hidden="1" x14ac:dyDescent="0.3">
      <c r="A102" s="5" t="s">
        <v>204</v>
      </c>
      <c r="B102" s="73" t="s">
        <v>205</v>
      </c>
      <c r="C102" s="8" t="s">
        <v>201</v>
      </c>
      <c r="D102" s="74">
        <v>270</v>
      </c>
      <c r="E102" s="8">
        <f>wshopcalc[[#This Row],[Safety Stock]]</f>
        <v>3</v>
      </c>
      <c r="F102" s="8">
        <f>wshopcalc[[#This Row],[Reorder Point (ROP)]]</f>
        <v>9</v>
      </c>
      <c r="G102" s="8">
        <f>wshopcalc[[#This Row],[Maximum Stock (MAX)]]</f>
        <v>15</v>
      </c>
      <c r="H102" s="49">
        <f>wshopcalc[[#This Row],[Current Stock]]</f>
        <v>10</v>
      </c>
      <c r="I102" s="8">
        <f>wshopcalc[[#This Row],[On Order]]</f>
        <v>0</v>
      </c>
      <c r="J102" s="75">
        <f t="shared" si="1"/>
        <v>0</v>
      </c>
      <c r="K102" s="77">
        <f>wshoprpt[[#This Row],[Current Stock]]*wshoprpt[[#This Row],[Cost Price]]</f>
        <v>2700</v>
      </c>
      <c r="L102" s="69">
        <f>wshoprpt[[#This Row],[Order Quantity]]*wshoprpt[[#This Row],[Cost Price]]</f>
        <v>0</v>
      </c>
    </row>
    <row r="103" spans="1:12" hidden="1" x14ac:dyDescent="0.3">
      <c r="A103" s="5" t="s">
        <v>206</v>
      </c>
      <c r="B103" s="73" t="s">
        <v>207</v>
      </c>
      <c r="C103" s="8" t="s">
        <v>201</v>
      </c>
      <c r="D103" s="74">
        <v>270</v>
      </c>
      <c r="E103" s="8">
        <f>wshopcalc[[#This Row],[Safety Stock]]</f>
        <v>3</v>
      </c>
      <c r="F103" s="8">
        <f>wshopcalc[[#This Row],[Reorder Point (ROP)]]</f>
        <v>9</v>
      </c>
      <c r="G103" s="8">
        <f>wshopcalc[[#This Row],[Maximum Stock (MAX)]]</f>
        <v>15</v>
      </c>
      <c r="H103" s="49">
        <f>wshopcalc[[#This Row],[Current Stock]]</f>
        <v>10</v>
      </c>
      <c r="I103" s="8">
        <f>wshopcalc[[#This Row],[On Order]]</f>
        <v>0</v>
      </c>
      <c r="J103" s="75">
        <f t="shared" si="1"/>
        <v>0</v>
      </c>
      <c r="K103" s="77">
        <f>wshoprpt[[#This Row],[Current Stock]]*wshoprpt[[#This Row],[Cost Price]]</f>
        <v>2700</v>
      </c>
      <c r="L103" s="69">
        <f>wshoprpt[[#This Row],[Order Quantity]]*wshoprpt[[#This Row],[Cost Price]]</f>
        <v>0</v>
      </c>
    </row>
    <row r="104" spans="1:12" hidden="1" x14ac:dyDescent="0.3">
      <c r="A104" s="5" t="s">
        <v>208</v>
      </c>
      <c r="B104" s="73" t="s">
        <v>209</v>
      </c>
      <c r="C104" s="8" t="s">
        <v>201</v>
      </c>
      <c r="D104" s="74">
        <v>270</v>
      </c>
      <c r="E104" s="8">
        <f>wshopcalc[[#This Row],[Safety Stock]]</f>
        <v>3</v>
      </c>
      <c r="F104" s="8">
        <f>wshopcalc[[#This Row],[Reorder Point (ROP)]]</f>
        <v>9</v>
      </c>
      <c r="G104" s="8">
        <f>wshopcalc[[#This Row],[Maximum Stock (MAX)]]</f>
        <v>15</v>
      </c>
      <c r="H104" s="49">
        <f>wshopcalc[[#This Row],[Current Stock]]</f>
        <v>17</v>
      </c>
      <c r="I104" s="8">
        <f>wshopcalc[[#This Row],[On Order]]</f>
        <v>0</v>
      </c>
      <c r="J104" s="75">
        <f t="shared" si="1"/>
        <v>0</v>
      </c>
      <c r="K104" s="77">
        <f>wshoprpt[[#This Row],[Current Stock]]*wshoprpt[[#This Row],[Cost Price]]</f>
        <v>4590</v>
      </c>
      <c r="L104" s="69">
        <f>wshoprpt[[#This Row],[Order Quantity]]*wshoprpt[[#This Row],[Cost Price]]</f>
        <v>0</v>
      </c>
    </row>
    <row r="105" spans="1:12" ht="28.8" hidden="1" x14ac:dyDescent="0.3">
      <c r="A105" s="5" t="s">
        <v>210</v>
      </c>
      <c r="B105" s="73" t="s">
        <v>211</v>
      </c>
      <c r="C105" s="8" t="s">
        <v>201</v>
      </c>
      <c r="D105" s="74">
        <v>297</v>
      </c>
      <c r="E105" s="8">
        <f>wshopcalc[[#This Row],[Safety Stock]]</f>
        <v>2</v>
      </c>
      <c r="F105" s="8">
        <f>wshopcalc[[#This Row],[Reorder Point (ROP)]]</f>
        <v>6</v>
      </c>
      <c r="G105" s="8">
        <f>wshopcalc[[#This Row],[Maximum Stock (MAX)]]</f>
        <v>10</v>
      </c>
      <c r="H105" s="49">
        <f>wshopcalc[[#This Row],[Current Stock]]</f>
        <v>30</v>
      </c>
      <c r="I105" s="8">
        <f>wshopcalc[[#This Row],[On Order]]</f>
        <v>0</v>
      </c>
      <c r="J105" s="75">
        <f t="shared" si="1"/>
        <v>0</v>
      </c>
      <c r="K105" s="77">
        <f>wshoprpt[[#This Row],[Current Stock]]*wshoprpt[[#This Row],[Cost Price]]</f>
        <v>8910</v>
      </c>
      <c r="L105" s="69">
        <f>wshoprpt[[#This Row],[Order Quantity]]*wshoprpt[[#This Row],[Cost Price]]</f>
        <v>0</v>
      </c>
    </row>
    <row r="106" spans="1:12" hidden="1" x14ac:dyDescent="0.3">
      <c r="A106" s="5" t="s">
        <v>212</v>
      </c>
      <c r="B106" s="73" t="s">
        <v>213</v>
      </c>
      <c r="C106" s="8" t="s">
        <v>201</v>
      </c>
      <c r="D106" s="74">
        <v>384</v>
      </c>
      <c r="E106" s="8">
        <f>wshopcalc[[#This Row],[Safety Stock]]</f>
        <v>0</v>
      </c>
      <c r="F106" s="8">
        <f>wshopcalc[[#This Row],[Reorder Point (ROP)]]</f>
        <v>0</v>
      </c>
      <c r="G106" s="8">
        <f>wshopcalc[[#This Row],[Maximum Stock (MAX)]]</f>
        <v>1</v>
      </c>
      <c r="H106" s="49">
        <f>wshopcalc[[#This Row],[Current Stock]]</f>
        <v>0</v>
      </c>
      <c r="I106" s="8">
        <f>wshopcalc[[#This Row],[On Order]]</f>
        <v>0</v>
      </c>
      <c r="J106" s="75">
        <f t="shared" si="1"/>
        <v>1</v>
      </c>
      <c r="K106" s="77">
        <f>wshoprpt[[#This Row],[Current Stock]]*wshoprpt[[#This Row],[Cost Price]]</f>
        <v>0</v>
      </c>
      <c r="L106" s="69">
        <f>wshoprpt[[#This Row],[Order Quantity]]*wshoprpt[[#This Row],[Cost Price]]</f>
        <v>384</v>
      </c>
    </row>
    <row r="107" spans="1:12" hidden="1" x14ac:dyDescent="0.3">
      <c r="A107" s="5" t="s">
        <v>214</v>
      </c>
      <c r="B107" s="73" t="s">
        <v>215</v>
      </c>
      <c r="C107" s="8" t="s">
        <v>201</v>
      </c>
      <c r="D107" s="74">
        <v>384</v>
      </c>
      <c r="E107" s="8">
        <f>wshopcalc[[#This Row],[Safety Stock]]</f>
        <v>1</v>
      </c>
      <c r="F107" s="8">
        <f>wshopcalc[[#This Row],[Reorder Point (ROP)]]</f>
        <v>3</v>
      </c>
      <c r="G107" s="8">
        <f>wshopcalc[[#This Row],[Maximum Stock (MAX)]]</f>
        <v>5</v>
      </c>
      <c r="H107" s="49">
        <f>wshopcalc[[#This Row],[Current Stock]]</f>
        <v>17</v>
      </c>
      <c r="I107" s="8">
        <f>wshopcalc[[#This Row],[On Order]]</f>
        <v>0</v>
      </c>
      <c r="J107" s="75">
        <f t="shared" si="1"/>
        <v>0</v>
      </c>
      <c r="K107" s="77">
        <f>wshoprpt[[#This Row],[Current Stock]]*wshoprpt[[#This Row],[Cost Price]]</f>
        <v>6528</v>
      </c>
      <c r="L107" s="69">
        <f>wshoprpt[[#This Row],[Order Quantity]]*wshoprpt[[#This Row],[Cost Price]]</f>
        <v>0</v>
      </c>
    </row>
    <row r="108" spans="1:12" hidden="1" x14ac:dyDescent="0.3">
      <c r="A108" s="5" t="s">
        <v>216</v>
      </c>
      <c r="B108" s="73" t="s">
        <v>217</v>
      </c>
      <c r="C108" s="8" t="s">
        <v>201</v>
      </c>
      <c r="D108" s="74">
        <v>384</v>
      </c>
      <c r="E108" s="8">
        <f>wshopcalc[[#This Row],[Safety Stock]]</f>
        <v>1</v>
      </c>
      <c r="F108" s="8">
        <f>wshopcalc[[#This Row],[Reorder Point (ROP)]]</f>
        <v>2</v>
      </c>
      <c r="G108" s="8">
        <f>wshopcalc[[#This Row],[Maximum Stock (MAX)]]</f>
        <v>3</v>
      </c>
      <c r="H108" s="49">
        <f>wshopcalc[[#This Row],[Current Stock]]</f>
        <v>7</v>
      </c>
      <c r="I108" s="8">
        <f>wshopcalc[[#This Row],[On Order]]</f>
        <v>0</v>
      </c>
      <c r="J108" s="75">
        <f t="shared" si="1"/>
        <v>0</v>
      </c>
      <c r="K108" s="77">
        <f>wshoprpt[[#This Row],[Current Stock]]*wshoprpt[[#This Row],[Cost Price]]</f>
        <v>2688</v>
      </c>
      <c r="L108" s="69">
        <f>wshoprpt[[#This Row],[Order Quantity]]*wshoprpt[[#This Row],[Cost Price]]</f>
        <v>0</v>
      </c>
    </row>
    <row r="109" spans="1:12" hidden="1" x14ac:dyDescent="0.3">
      <c r="A109" s="5" t="s">
        <v>218</v>
      </c>
      <c r="B109" s="73" t="s">
        <v>219</v>
      </c>
      <c r="C109" s="8" t="s">
        <v>201</v>
      </c>
      <c r="D109" s="74">
        <v>384</v>
      </c>
      <c r="E109" s="8">
        <f>wshopcalc[[#This Row],[Safety Stock]]</f>
        <v>0</v>
      </c>
      <c r="F109" s="8">
        <f>wshopcalc[[#This Row],[Reorder Point (ROP)]]</f>
        <v>0</v>
      </c>
      <c r="G109" s="8">
        <f>wshopcalc[[#This Row],[Maximum Stock (MAX)]]</f>
        <v>1</v>
      </c>
      <c r="H109" s="49">
        <f>wshopcalc[[#This Row],[Current Stock]]</f>
        <v>0</v>
      </c>
      <c r="I109" s="8">
        <f>wshopcalc[[#This Row],[On Order]]</f>
        <v>0</v>
      </c>
      <c r="J109" s="75">
        <f t="shared" si="1"/>
        <v>1</v>
      </c>
      <c r="K109" s="77">
        <f>wshoprpt[[#This Row],[Current Stock]]*wshoprpt[[#This Row],[Cost Price]]</f>
        <v>0</v>
      </c>
      <c r="L109" s="69">
        <f>wshoprpt[[#This Row],[Order Quantity]]*wshoprpt[[#This Row],[Cost Price]]</f>
        <v>384</v>
      </c>
    </row>
    <row r="110" spans="1:12" hidden="1" x14ac:dyDescent="0.3">
      <c r="A110" s="5" t="s">
        <v>220</v>
      </c>
      <c r="B110" s="73" t="s">
        <v>221</v>
      </c>
      <c r="C110" s="8" t="s">
        <v>201</v>
      </c>
      <c r="D110" s="74">
        <v>384</v>
      </c>
      <c r="E110" s="8">
        <f>wshopcalc[[#This Row],[Safety Stock]]</f>
        <v>0</v>
      </c>
      <c r="F110" s="8">
        <f>wshopcalc[[#This Row],[Reorder Point (ROP)]]</f>
        <v>0</v>
      </c>
      <c r="G110" s="8">
        <f>wshopcalc[[#This Row],[Maximum Stock (MAX)]]</f>
        <v>1</v>
      </c>
      <c r="H110" s="49">
        <f>wshopcalc[[#This Row],[Current Stock]]</f>
        <v>6</v>
      </c>
      <c r="I110" s="8">
        <f>wshopcalc[[#This Row],[On Order]]</f>
        <v>0</v>
      </c>
      <c r="J110" s="75">
        <f t="shared" si="1"/>
        <v>0</v>
      </c>
      <c r="K110" s="77">
        <f>wshoprpt[[#This Row],[Current Stock]]*wshoprpt[[#This Row],[Cost Price]]</f>
        <v>2304</v>
      </c>
      <c r="L110" s="69">
        <f>wshoprpt[[#This Row],[Order Quantity]]*wshoprpt[[#This Row],[Cost Price]]</f>
        <v>0</v>
      </c>
    </row>
    <row r="111" spans="1:12" hidden="1" x14ac:dyDescent="0.3">
      <c r="A111" s="5" t="s">
        <v>222</v>
      </c>
      <c r="B111" s="73" t="s">
        <v>223</v>
      </c>
      <c r="C111" s="8" t="s">
        <v>201</v>
      </c>
      <c r="D111" s="74">
        <v>85</v>
      </c>
      <c r="E111" s="8">
        <f>wshopcalc[[#This Row],[Safety Stock]]</f>
        <v>45</v>
      </c>
      <c r="F111" s="8">
        <f>wshopcalc[[#This Row],[Reorder Point (ROP)]]</f>
        <v>135</v>
      </c>
      <c r="G111" s="8">
        <f>wshopcalc[[#This Row],[Maximum Stock (MAX)]]</f>
        <v>225</v>
      </c>
      <c r="H111" s="49">
        <f>wshopcalc[[#This Row],[Current Stock]]</f>
        <v>122</v>
      </c>
      <c r="I111" s="8">
        <f>wshopcalc[[#This Row],[On Order]]</f>
        <v>0</v>
      </c>
      <c r="J111" s="75">
        <f t="shared" si="1"/>
        <v>103</v>
      </c>
      <c r="K111" s="77">
        <f>wshoprpt[[#This Row],[Current Stock]]*wshoprpt[[#This Row],[Cost Price]]</f>
        <v>10370</v>
      </c>
      <c r="L111" s="69">
        <f>wshoprpt[[#This Row],[Order Quantity]]*wshoprpt[[#This Row],[Cost Price]]</f>
        <v>8755</v>
      </c>
    </row>
    <row r="112" spans="1:12" hidden="1" x14ac:dyDescent="0.3">
      <c r="A112" s="5" t="s">
        <v>224</v>
      </c>
      <c r="B112" s="73" t="s">
        <v>225</v>
      </c>
      <c r="C112" s="8" t="s">
        <v>201</v>
      </c>
      <c r="D112" s="74">
        <v>11</v>
      </c>
      <c r="E112" s="8">
        <f>wshopcalc[[#This Row],[Safety Stock]]</f>
        <v>8</v>
      </c>
      <c r="F112" s="8">
        <f>wshopcalc[[#This Row],[Reorder Point (ROP)]]</f>
        <v>24</v>
      </c>
      <c r="G112" s="8">
        <f>wshopcalc[[#This Row],[Maximum Stock (MAX)]]</f>
        <v>40</v>
      </c>
      <c r="H112" s="49">
        <f>wshopcalc[[#This Row],[Current Stock]]</f>
        <v>68</v>
      </c>
      <c r="I112" s="8">
        <f>wshopcalc[[#This Row],[On Order]]</f>
        <v>0</v>
      </c>
      <c r="J112" s="75">
        <f t="shared" si="1"/>
        <v>0</v>
      </c>
      <c r="K112" s="77">
        <f>wshoprpt[[#This Row],[Current Stock]]*wshoprpt[[#This Row],[Cost Price]]</f>
        <v>748</v>
      </c>
      <c r="L112" s="69">
        <f>wshoprpt[[#This Row],[Order Quantity]]*wshoprpt[[#This Row],[Cost Price]]</f>
        <v>0</v>
      </c>
    </row>
    <row r="113" spans="1:12" hidden="1" x14ac:dyDescent="0.3">
      <c r="A113" s="73" t="s">
        <v>226</v>
      </c>
      <c r="B113" s="73" t="s">
        <v>227</v>
      </c>
      <c r="C113" s="8" t="s">
        <v>201</v>
      </c>
      <c r="D113" s="74">
        <v>4.5999999999999996</v>
      </c>
      <c r="E113" s="8">
        <f>wshopcalc[[#This Row],[Safety Stock]]</f>
        <v>15</v>
      </c>
      <c r="F113" s="8">
        <f>wshopcalc[[#This Row],[Reorder Point (ROP)]]</f>
        <v>45</v>
      </c>
      <c r="G113" s="8">
        <f>wshopcalc[[#This Row],[Maximum Stock (MAX)]]</f>
        <v>75</v>
      </c>
      <c r="H113" s="49">
        <f>wshopcalc[[#This Row],[Current Stock]]</f>
        <v>54</v>
      </c>
      <c r="I113" s="8">
        <f>wshopcalc[[#This Row],[On Order]]</f>
        <v>0</v>
      </c>
      <c r="J113" s="75">
        <f t="shared" si="1"/>
        <v>0</v>
      </c>
      <c r="K113" s="77">
        <f>wshoprpt[[#This Row],[Current Stock]]*wshoprpt[[#This Row],[Cost Price]]</f>
        <v>248.39999999999998</v>
      </c>
      <c r="L113" s="69">
        <f>wshoprpt[[#This Row],[Order Quantity]]*wshoprpt[[#This Row],[Cost Price]]</f>
        <v>0</v>
      </c>
    </row>
    <row r="114" spans="1:12" hidden="1" x14ac:dyDescent="0.3">
      <c r="A114" s="73" t="s">
        <v>228</v>
      </c>
      <c r="B114" s="73" t="s">
        <v>229</v>
      </c>
      <c r="C114" s="8" t="s">
        <v>201</v>
      </c>
      <c r="D114" s="74">
        <v>4.8499999999999996</v>
      </c>
      <c r="E114" s="8">
        <f>wshopcalc[[#This Row],[Safety Stock]]</f>
        <v>10</v>
      </c>
      <c r="F114" s="8">
        <f>wshopcalc[[#This Row],[Reorder Point (ROP)]]</f>
        <v>30</v>
      </c>
      <c r="G114" s="8">
        <f>wshopcalc[[#This Row],[Maximum Stock (MAX)]]</f>
        <v>50</v>
      </c>
      <c r="H114" s="49">
        <f>wshopcalc[[#This Row],[Current Stock]]</f>
        <v>92</v>
      </c>
      <c r="I114" s="8">
        <f>wshopcalc[[#This Row],[On Order]]</f>
        <v>0</v>
      </c>
      <c r="J114" s="75">
        <f t="shared" si="1"/>
        <v>0</v>
      </c>
      <c r="K114" s="77">
        <f>wshoprpt[[#This Row],[Current Stock]]*wshoprpt[[#This Row],[Cost Price]]</f>
        <v>446.2</v>
      </c>
      <c r="L114" s="69">
        <f>wshoprpt[[#This Row],[Order Quantity]]*wshoprpt[[#This Row],[Cost Price]]</f>
        <v>0</v>
      </c>
    </row>
    <row r="115" spans="1:12" hidden="1" x14ac:dyDescent="0.3">
      <c r="A115" s="5" t="s">
        <v>230</v>
      </c>
      <c r="B115" s="73" t="s">
        <v>231</v>
      </c>
      <c r="C115" s="8" t="s">
        <v>201</v>
      </c>
      <c r="D115" s="74">
        <v>42</v>
      </c>
      <c r="E115" s="8">
        <f>wshopcalc[[#This Row],[Safety Stock]]</f>
        <v>30</v>
      </c>
      <c r="F115" s="8">
        <f>wshopcalc[[#This Row],[Reorder Point (ROP)]]</f>
        <v>90</v>
      </c>
      <c r="G115" s="8">
        <f>wshopcalc[[#This Row],[Maximum Stock (MAX)]]</f>
        <v>150</v>
      </c>
      <c r="H115" s="49">
        <f>wshopcalc[[#This Row],[Current Stock]]</f>
        <v>127</v>
      </c>
      <c r="I115" s="8">
        <f>wshopcalc[[#This Row],[On Order]]</f>
        <v>0</v>
      </c>
      <c r="J115" s="75">
        <f t="shared" si="1"/>
        <v>0</v>
      </c>
      <c r="K115" s="77">
        <f>wshoprpt[[#This Row],[Current Stock]]*wshoprpt[[#This Row],[Cost Price]]</f>
        <v>5334</v>
      </c>
      <c r="L115" s="69">
        <f>wshoprpt[[#This Row],[Order Quantity]]*wshoprpt[[#This Row],[Cost Price]]</f>
        <v>0</v>
      </c>
    </row>
    <row r="116" spans="1:12" hidden="1" x14ac:dyDescent="0.3">
      <c r="A116" s="5" t="s">
        <v>232</v>
      </c>
      <c r="B116" s="73" t="s">
        <v>233</v>
      </c>
      <c r="C116" s="8" t="s">
        <v>201</v>
      </c>
      <c r="D116" s="74">
        <v>11</v>
      </c>
      <c r="E116" s="8">
        <f>wshopcalc[[#This Row],[Safety Stock]]</f>
        <v>8</v>
      </c>
      <c r="F116" s="8">
        <f>wshopcalc[[#This Row],[Reorder Point (ROP)]]</f>
        <v>24</v>
      </c>
      <c r="G116" s="8">
        <f>wshopcalc[[#This Row],[Maximum Stock (MAX)]]</f>
        <v>40</v>
      </c>
      <c r="H116" s="49">
        <f>wshopcalc[[#This Row],[Current Stock]]</f>
        <v>92</v>
      </c>
      <c r="I116" s="8">
        <f>wshopcalc[[#This Row],[On Order]]</f>
        <v>0</v>
      </c>
      <c r="J116" s="75">
        <f t="shared" si="1"/>
        <v>0</v>
      </c>
      <c r="K116" s="77">
        <f>wshoprpt[[#This Row],[Current Stock]]*wshoprpt[[#This Row],[Cost Price]]</f>
        <v>1012</v>
      </c>
      <c r="L116" s="69">
        <f>wshoprpt[[#This Row],[Order Quantity]]*wshoprpt[[#This Row],[Cost Price]]</f>
        <v>0</v>
      </c>
    </row>
    <row r="117" spans="1:12" hidden="1" x14ac:dyDescent="0.3">
      <c r="A117" s="5" t="s">
        <v>239</v>
      </c>
      <c r="B117" s="73" t="s">
        <v>240</v>
      </c>
      <c r="C117" s="8" t="s">
        <v>236</v>
      </c>
      <c r="D117" s="74">
        <v>141.608115942029</v>
      </c>
      <c r="E117" s="8">
        <f>wshopcalc[[#This Row],[Safety Stock]]</f>
        <v>3</v>
      </c>
      <c r="F117" s="8">
        <f>wshopcalc[[#This Row],[Reorder Point (ROP)]]</f>
        <v>9</v>
      </c>
      <c r="G117" s="8">
        <f>wshopcalc[[#This Row],[Maximum Stock (MAX)]]</f>
        <v>15</v>
      </c>
      <c r="H117" s="49">
        <f>wshopcalc[[#This Row],[Current Stock]]</f>
        <v>12</v>
      </c>
      <c r="I117" s="8">
        <f>wshopcalc[[#This Row],[On Order]]</f>
        <v>0</v>
      </c>
      <c r="J117" s="75">
        <f t="shared" si="1"/>
        <v>0</v>
      </c>
      <c r="K117" s="77">
        <f>wshoprpt[[#This Row],[Current Stock]]*wshoprpt[[#This Row],[Cost Price]]</f>
        <v>1699.2973913043479</v>
      </c>
      <c r="L117" s="69">
        <f>wshoprpt[[#This Row],[Order Quantity]]*wshoprpt[[#This Row],[Cost Price]]</f>
        <v>0</v>
      </c>
    </row>
    <row r="118" spans="1:12" hidden="1" x14ac:dyDescent="0.3">
      <c r="A118" s="5" t="s">
        <v>243</v>
      </c>
      <c r="B118" s="73" t="s">
        <v>244</v>
      </c>
      <c r="C118" s="8" t="s">
        <v>236</v>
      </c>
      <c r="D118" s="74">
        <v>144.44811594202901</v>
      </c>
      <c r="E118" s="8">
        <f>wshopcalc[[#This Row],[Safety Stock]]</f>
        <v>3</v>
      </c>
      <c r="F118" s="8">
        <f>wshopcalc[[#This Row],[Reorder Point (ROP)]]</f>
        <v>9</v>
      </c>
      <c r="G118" s="8">
        <f>wshopcalc[[#This Row],[Maximum Stock (MAX)]]</f>
        <v>15</v>
      </c>
      <c r="H118" s="49">
        <f>wshopcalc[[#This Row],[Current Stock]]</f>
        <v>10</v>
      </c>
      <c r="I118" s="8">
        <f>wshopcalc[[#This Row],[On Order]]</f>
        <v>0</v>
      </c>
      <c r="J118" s="75">
        <f t="shared" si="1"/>
        <v>0</v>
      </c>
      <c r="K118" s="77">
        <f>wshoprpt[[#This Row],[Current Stock]]*wshoprpt[[#This Row],[Cost Price]]</f>
        <v>1444.4811594202902</v>
      </c>
      <c r="L118" s="69">
        <f>wshoprpt[[#This Row],[Order Quantity]]*wshoprpt[[#This Row],[Cost Price]]</f>
        <v>0</v>
      </c>
    </row>
    <row r="119" spans="1:12" hidden="1" x14ac:dyDescent="0.3">
      <c r="A119" s="5" t="s">
        <v>247</v>
      </c>
      <c r="B119" s="73" t="s">
        <v>248</v>
      </c>
      <c r="C119" s="8" t="s">
        <v>236</v>
      </c>
      <c r="D119" s="74">
        <v>159.84811594202901</v>
      </c>
      <c r="E119" s="8">
        <f>wshopcalc[[#This Row],[Safety Stock]]</f>
        <v>1</v>
      </c>
      <c r="F119" s="8">
        <f>wshopcalc[[#This Row],[Reorder Point (ROP)]]</f>
        <v>3</v>
      </c>
      <c r="G119" s="8">
        <f>wshopcalc[[#This Row],[Maximum Stock (MAX)]]</f>
        <v>5</v>
      </c>
      <c r="H119" s="49">
        <f>wshopcalc[[#This Row],[Current Stock]]</f>
        <v>13</v>
      </c>
      <c r="I119" s="8">
        <f>wshopcalc[[#This Row],[On Order]]</f>
        <v>0</v>
      </c>
      <c r="J119" s="75">
        <f t="shared" si="1"/>
        <v>0</v>
      </c>
      <c r="K119" s="77">
        <f>wshoprpt[[#This Row],[Current Stock]]*wshoprpt[[#This Row],[Cost Price]]</f>
        <v>2078.0255072463769</v>
      </c>
      <c r="L119" s="69">
        <f>wshoprpt[[#This Row],[Order Quantity]]*wshoprpt[[#This Row],[Cost Price]]</f>
        <v>0</v>
      </c>
    </row>
    <row r="120" spans="1:12" hidden="1" x14ac:dyDescent="0.3">
      <c r="A120" s="5" t="s">
        <v>251</v>
      </c>
      <c r="B120" s="73" t="s">
        <v>252</v>
      </c>
      <c r="C120" s="8" t="s">
        <v>236</v>
      </c>
      <c r="D120" s="74">
        <v>169.40811594202899</v>
      </c>
      <c r="E120" s="8">
        <f>wshopcalc[[#This Row],[Safety Stock]]</f>
        <v>1</v>
      </c>
      <c r="F120" s="8">
        <f>wshopcalc[[#This Row],[Reorder Point (ROP)]]</f>
        <v>3</v>
      </c>
      <c r="G120" s="8">
        <f>wshopcalc[[#This Row],[Maximum Stock (MAX)]]</f>
        <v>5</v>
      </c>
      <c r="H120" s="49">
        <f>wshopcalc[[#This Row],[Current Stock]]</f>
        <v>20</v>
      </c>
      <c r="I120" s="8">
        <f>wshopcalc[[#This Row],[On Order]]</f>
        <v>0</v>
      </c>
      <c r="J120" s="75">
        <f t="shared" si="1"/>
        <v>0</v>
      </c>
      <c r="K120" s="77">
        <f>wshoprpt[[#This Row],[Current Stock]]*wshoprpt[[#This Row],[Cost Price]]</f>
        <v>3388.1623188405797</v>
      </c>
      <c r="L120" s="69">
        <f>wshoprpt[[#This Row],[Order Quantity]]*wshoprpt[[#This Row],[Cost Price]]</f>
        <v>0</v>
      </c>
    </row>
    <row r="121" spans="1:12" hidden="1" x14ac:dyDescent="0.3">
      <c r="A121" s="5" t="s">
        <v>255</v>
      </c>
      <c r="B121" s="73" t="s">
        <v>256</v>
      </c>
      <c r="C121" s="8" t="s">
        <v>236</v>
      </c>
      <c r="D121" s="74">
        <v>181.12811594202901</v>
      </c>
      <c r="E121" s="8">
        <f>wshopcalc[[#This Row],[Safety Stock]]</f>
        <v>1</v>
      </c>
      <c r="F121" s="8">
        <f>wshopcalc[[#This Row],[Reorder Point (ROP)]]</f>
        <v>3</v>
      </c>
      <c r="G121" s="8">
        <f>wshopcalc[[#This Row],[Maximum Stock (MAX)]]</f>
        <v>5</v>
      </c>
      <c r="H121" s="49">
        <f>wshopcalc[[#This Row],[Current Stock]]</f>
        <v>36</v>
      </c>
      <c r="I121" s="8">
        <f>wshopcalc[[#This Row],[On Order]]</f>
        <v>4</v>
      </c>
      <c r="J121" s="75">
        <f t="shared" si="1"/>
        <v>0</v>
      </c>
      <c r="K121" s="77">
        <f>wshoprpt[[#This Row],[Current Stock]]*wshoprpt[[#This Row],[Cost Price]]</f>
        <v>6520.6121739130449</v>
      </c>
      <c r="L121" s="69">
        <f>wshoprpt[[#This Row],[Order Quantity]]*wshoprpt[[#This Row],[Cost Price]]</f>
        <v>0</v>
      </c>
    </row>
    <row r="122" spans="1:12" hidden="1" x14ac:dyDescent="0.3">
      <c r="A122" s="5" t="s">
        <v>259</v>
      </c>
      <c r="B122" s="73" t="s">
        <v>260</v>
      </c>
      <c r="C122" s="8" t="s">
        <v>236</v>
      </c>
      <c r="D122" s="74">
        <v>212.608115942029</v>
      </c>
      <c r="E122" s="8">
        <f>wshopcalc[[#This Row],[Safety Stock]]</f>
        <v>1</v>
      </c>
      <c r="F122" s="8">
        <f>wshopcalc[[#This Row],[Reorder Point (ROP)]]</f>
        <v>3</v>
      </c>
      <c r="G122" s="8">
        <f>wshopcalc[[#This Row],[Maximum Stock (MAX)]]</f>
        <v>5</v>
      </c>
      <c r="H122" s="49">
        <f>wshopcalc[[#This Row],[Current Stock]]</f>
        <v>46</v>
      </c>
      <c r="I122" s="8">
        <f>wshopcalc[[#This Row],[On Order]]</f>
        <v>5</v>
      </c>
      <c r="J122" s="75">
        <f t="shared" si="1"/>
        <v>0</v>
      </c>
      <c r="K122" s="77">
        <f>wshoprpt[[#This Row],[Current Stock]]*wshoprpt[[#This Row],[Cost Price]]</f>
        <v>9779.9733333333334</v>
      </c>
      <c r="L122" s="69">
        <f>wshoprpt[[#This Row],[Order Quantity]]*wshoprpt[[#This Row],[Cost Price]]</f>
        <v>0</v>
      </c>
    </row>
    <row r="123" spans="1:12" hidden="1" x14ac:dyDescent="0.3">
      <c r="A123" s="5" t="s">
        <v>263</v>
      </c>
      <c r="B123" s="73" t="s">
        <v>264</v>
      </c>
      <c r="C123" s="8" t="s">
        <v>236</v>
      </c>
      <c r="D123" s="74">
        <v>228.84811594202901</v>
      </c>
      <c r="E123" s="8">
        <f>wshopcalc[[#This Row],[Safety Stock]]</f>
        <v>1</v>
      </c>
      <c r="F123" s="8">
        <f>wshopcalc[[#This Row],[Reorder Point (ROP)]]</f>
        <v>3</v>
      </c>
      <c r="G123" s="8">
        <f>wshopcalc[[#This Row],[Maximum Stock (MAX)]]</f>
        <v>5</v>
      </c>
      <c r="H123" s="49">
        <f>wshopcalc[[#This Row],[Current Stock]]</f>
        <v>36</v>
      </c>
      <c r="I123" s="8">
        <f>wshopcalc[[#This Row],[On Order]]</f>
        <v>6</v>
      </c>
      <c r="J123" s="75">
        <f t="shared" si="1"/>
        <v>0</v>
      </c>
      <c r="K123" s="77">
        <f>wshoprpt[[#This Row],[Current Stock]]*wshoprpt[[#This Row],[Cost Price]]</f>
        <v>8238.532173913045</v>
      </c>
      <c r="L123" s="69">
        <f>wshoprpt[[#This Row],[Order Quantity]]*wshoprpt[[#This Row],[Cost Price]]</f>
        <v>0</v>
      </c>
    </row>
    <row r="124" spans="1:12" hidden="1" x14ac:dyDescent="0.3">
      <c r="A124" s="5" t="s">
        <v>267</v>
      </c>
      <c r="B124" s="73" t="s">
        <v>268</v>
      </c>
      <c r="C124" s="8" t="s">
        <v>236</v>
      </c>
      <c r="D124" s="74">
        <v>247.00811594202901</v>
      </c>
      <c r="E124" s="8">
        <f>wshopcalc[[#This Row],[Safety Stock]]</f>
        <v>1</v>
      </c>
      <c r="F124" s="8">
        <f>wshopcalc[[#This Row],[Reorder Point (ROP)]]</f>
        <v>3</v>
      </c>
      <c r="G124" s="8">
        <f>wshopcalc[[#This Row],[Maximum Stock (MAX)]]</f>
        <v>5</v>
      </c>
      <c r="H124" s="49">
        <f>wshopcalc[[#This Row],[Current Stock]]</f>
        <v>3</v>
      </c>
      <c r="I124" s="8">
        <f>wshopcalc[[#This Row],[On Order]]</f>
        <v>4</v>
      </c>
      <c r="J124" s="75">
        <f t="shared" si="1"/>
        <v>-2</v>
      </c>
      <c r="K124" s="77">
        <f>wshoprpt[[#This Row],[Current Stock]]*wshoprpt[[#This Row],[Cost Price]]</f>
        <v>741.02434782608702</v>
      </c>
      <c r="L124" s="69">
        <f>wshoprpt[[#This Row],[Order Quantity]]*wshoprpt[[#This Row],[Cost Price]]</f>
        <v>-494.01623188405802</v>
      </c>
    </row>
    <row r="125" spans="1:12" hidden="1" x14ac:dyDescent="0.3">
      <c r="A125" s="5" t="s">
        <v>234</v>
      </c>
      <c r="B125" s="73" t="s">
        <v>235</v>
      </c>
      <c r="C125" s="8" t="s">
        <v>236</v>
      </c>
      <c r="D125" s="74">
        <v>264.68811594202896</v>
      </c>
      <c r="E125" s="8">
        <f>wshopcalc[[#This Row],[Safety Stock]]</f>
        <v>1</v>
      </c>
      <c r="F125" s="8">
        <f>wshopcalc[[#This Row],[Reorder Point (ROP)]]</f>
        <v>3</v>
      </c>
      <c r="G125" s="8">
        <f>wshopcalc[[#This Row],[Maximum Stock (MAX)]]</f>
        <v>5</v>
      </c>
      <c r="H125" s="49">
        <f>wshopcalc[[#This Row],[Current Stock]]</f>
        <v>3</v>
      </c>
      <c r="I125" s="8">
        <f>wshopcalc[[#This Row],[On Order]]</f>
        <v>0</v>
      </c>
      <c r="J125" s="75">
        <f t="shared" si="1"/>
        <v>2</v>
      </c>
      <c r="K125" s="77">
        <f>wshoprpt[[#This Row],[Current Stock]]*wshoprpt[[#This Row],[Cost Price]]</f>
        <v>794.06434782608687</v>
      </c>
      <c r="L125" s="69">
        <f>wshoprpt[[#This Row],[Order Quantity]]*wshoprpt[[#This Row],[Cost Price]]</f>
        <v>529.37623188405792</v>
      </c>
    </row>
    <row r="126" spans="1:12" hidden="1" x14ac:dyDescent="0.3">
      <c r="A126" s="5" t="s">
        <v>269</v>
      </c>
      <c r="B126" s="73" t="s">
        <v>270</v>
      </c>
      <c r="C126" s="8" t="s">
        <v>236</v>
      </c>
      <c r="D126" s="74">
        <v>300</v>
      </c>
      <c r="E126" s="8">
        <f>wshopcalc[[#This Row],[Safety Stock]]</f>
        <v>0</v>
      </c>
      <c r="F126" s="8">
        <f>wshopcalc[[#This Row],[Reorder Point (ROP)]]</f>
        <v>0</v>
      </c>
      <c r="G126" s="8">
        <f>wshopcalc[[#This Row],[Maximum Stock (MAX)]]</f>
        <v>0</v>
      </c>
      <c r="H126" s="49">
        <f>wshopcalc[[#This Row],[Current Stock]]</f>
        <v>1</v>
      </c>
      <c r="I126" s="8">
        <f>wshopcalc[[#This Row],[On Order]]</f>
        <v>0</v>
      </c>
      <c r="J126" s="75">
        <f t="shared" si="1"/>
        <v>0</v>
      </c>
      <c r="K126" s="77">
        <f>wshoprpt[[#This Row],[Current Stock]]*wshoprpt[[#This Row],[Cost Price]]</f>
        <v>300</v>
      </c>
      <c r="L126" s="69">
        <f>wshoprpt[[#This Row],[Order Quantity]]*wshoprpt[[#This Row],[Cost Price]]</f>
        <v>0</v>
      </c>
    </row>
    <row r="127" spans="1:12" ht="28.8" hidden="1" x14ac:dyDescent="0.3">
      <c r="A127" s="5" t="s">
        <v>237</v>
      </c>
      <c r="B127" s="73" t="s">
        <v>238</v>
      </c>
      <c r="C127" s="8" t="s">
        <v>236</v>
      </c>
      <c r="D127" s="74">
        <v>311</v>
      </c>
      <c r="E127" s="8">
        <f>wshopcalc[[#This Row],[Safety Stock]]</f>
        <v>0</v>
      </c>
      <c r="F127" s="8">
        <f>wshopcalc[[#This Row],[Reorder Point (ROP)]]</f>
        <v>0</v>
      </c>
      <c r="G127" s="8">
        <f>wshopcalc[[#This Row],[Maximum Stock (MAX)]]</f>
        <v>0</v>
      </c>
      <c r="H127" s="49">
        <f>wshopcalc[[#This Row],[Current Stock]]</f>
        <v>1</v>
      </c>
      <c r="I127" s="8">
        <f>wshopcalc[[#This Row],[On Order]]</f>
        <v>0</v>
      </c>
      <c r="J127" s="75">
        <f t="shared" si="1"/>
        <v>0</v>
      </c>
      <c r="K127" s="77">
        <f>wshoprpt[[#This Row],[Current Stock]]*wshoprpt[[#This Row],[Cost Price]]</f>
        <v>311</v>
      </c>
      <c r="L127" s="69">
        <f>wshoprpt[[#This Row],[Order Quantity]]*wshoprpt[[#This Row],[Cost Price]]</f>
        <v>0</v>
      </c>
    </row>
    <row r="128" spans="1:12" ht="28.8" hidden="1" x14ac:dyDescent="0.3">
      <c r="A128" s="5" t="s">
        <v>241</v>
      </c>
      <c r="B128" s="73" t="s">
        <v>242</v>
      </c>
      <c r="C128" s="8" t="s">
        <v>236</v>
      </c>
      <c r="D128" s="74">
        <v>31.96</v>
      </c>
      <c r="E128" s="8">
        <f>wshopcalc[[#This Row],[Safety Stock]]</f>
        <v>0</v>
      </c>
      <c r="F128" s="8">
        <f>wshopcalc[[#This Row],[Reorder Point (ROP)]]</f>
        <v>0</v>
      </c>
      <c r="G128" s="8">
        <f>wshopcalc[[#This Row],[Maximum Stock (MAX)]]</f>
        <v>0</v>
      </c>
      <c r="H128" s="49">
        <f>wshopcalc[[#This Row],[Current Stock]]</f>
        <v>0</v>
      </c>
      <c r="I128" s="8">
        <f>wshopcalc[[#This Row],[On Order]]</f>
        <v>0</v>
      </c>
      <c r="J128" s="75">
        <f t="shared" si="1"/>
        <v>0</v>
      </c>
      <c r="K128" s="77">
        <f>wshoprpt[[#This Row],[Current Stock]]*wshoprpt[[#This Row],[Cost Price]]</f>
        <v>0</v>
      </c>
      <c r="L128" s="69">
        <f>wshoprpt[[#This Row],[Order Quantity]]*wshoprpt[[#This Row],[Cost Price]]</f>
        <v>0</v>
      </c>
    </row>
    <row r="129" spans="1:12" ht="28.8" hidden="1" x14ac:dyDescent="0.3">
      <c r="A129" s="5" t="s">
        <v>245</v>
      </c>
      <c r="B129" s="73" t="s">
        <v>246</v>
      </c>
      <c r="C129" s="8" t="s">
        <v>236</v>
      </c>
      <c r="D129" s="74">
        <v>32.67</v>
      </c>
      <c r="E129" s="8">
        <f>wshopcalc[[#This Row],[Safety Stock]]</f>
        <v>0</v>
      </c>
      <c r="F129" s="8">
        <f>wshopcalc[[#This Row],[Reorder Point (ROP)]]</f>
        <v>0</v>
      </c>
      <c r="G129" s="8">
        <f>wshopcalc[[#This Row],[Maximum Stock (MAX)]]</f>
        <v>0</v>
      </c>
      <c r="H129" s="49">
        <f>wshopcalc[[#This Row],[Current Stock]]</f>
        <v>0</v>
      </c>
      <c r="I129" s="8">
        <f>wshopcalc[[#This Row],[On Order]]</f>
        <v>0</v>
      </c>
      <c r="J129" s="75">
        <f t="shared" si="1"/>
        <v>0</v>
      </c>
      <c r="K129" s="77">
        <f>wshoprpt[[#This Row],[Current Stock]]*wshoprpt[[#This Row],[Cost Price]]</f>
        <v>0</v>
      </c>
      <c r="L129" s="69">
        <f>wshoprpt[[#This Row],[Order Quantity]]*wshoprpt[[#This Row],[Cost Price]]</f>
        <v>0</v>
      </c>
    </row>
    <row r="130" spans="1:12" ht="28.8" hidden="1" x14ac:dyDescent="0.3">
      <c r="A130" s="5" t="s">
        <v>249</v>
      </c>
      <c r="B130" s="73" t="s">
        <v>250</v>
      </c>
      <c r="C130" s="8" t="s">
        <v>236</v>
      </c>
      <c r="D130" s="74">
        <v>36.520000000000003</v>
      </c>
      <c r="E130" s="8">
        <f>wshopcalc[[#This Row],[Safety Stock]]</f>
        <v>0</v>
      </c>
      <c r="F130" s="8">
        <f>wshopcalc[[#This Row],[Reorder Point (ROP)]]</f>
        <v>0</v>
      </c>
      <c r="G130" s="8">
        <f>wshopcalc[[#This Row],[Maximum Stock (MAX)]]</f>
        <v>0</v>
      </c>
      <c r="H130" s="49">
        <f>wshopcalc[[#This Row],[Current Stock]]</f>
        <v>0</v>
      </c>
      <c r="I130" s="8">
        <f>wshopcalc[[#This Row],[On Order]]</f>
        <v>0</v>
      </c>
      <c r="J130" s="75">
        <f t="shared" ref="J130:J193" si="2">IF(H130&lt;=F130,G130-H130-I130,0)</f>
        <v>0</v>
      </c>
      <c r="K130" s="77">
        <f>wshoprpt[[#This Row],[Current Stock]]*wshoprpt[[#This Row],[Cost Price]]</f>
        <v>0</v>
      </c>
      <c r="L130" s="69">
        <f>wshoprpt[[#This Row],[Order Quantity]]*wshoprpt[[#This Row],[Cost Price]]</f>
        <v>0</v>
      </c>
    </row>
    <row r="131" spans="1:12" ht="28.8" hidden="1" x14ac:dyDescent="0.3">
      <c r="A131" s="5" t="s">
        <v>253</v>
      </c>
      <c r="B131" s="73" t="s">
        <v>254</v>
      </c>
      <c r="C131" s="8" t="s">
        <v>236</v>
      </c>
      <c r="D131" s="74">
        <v>38.909999999999997</v>
      </c>
      <c r="E131" s="8">
        <f>wshopcalc[[#This Row],[Safety Stock]]</f>
        <v>0</v>
      </c>
      <c r="F131" s="8">
        <f>wshopcalc[[#This Row],[Reorder Point (ROP)]]</f>
        <v>0</v>
      </c>
      <c r="G131" s="8">
        <f>wshopcalc[[#This Row],[Maximum Stock (MAX)]]</f>
        <v>0</v>
      </c>
      <c r="H131" s="49">
        <f>wshopcalc[[#This Row],[Current Stock]]</f>
        <v>0</v>
      </c>
      <c r="I131" s="8">
        <f>wshopcalc[[#This Row],[On Order]]</f>
        <v>0</v>
      </c>
      <c r="J131" s="75">
        <f t="shared" si="2"/>
        <v>0</v>
      </c>
      <c r="K131" s="77">
        <f>wshoprpt[[#This Row],[Current Stock]]*wshoprpt[[#This Row],[Cost Price]]</f>
        <v>0</v>
      </c>
      <c r="L131" s="69">
        <f>wshoprpt[[#This Row],[Order Quantity]]*wshoprpt[[#This Row],[Cost Price]]</f>
        <v>0</v>
      </c>
    </row>
    <row r="132" spans="1:12" ht="28.8" hidden="1" x14ac:dyDescent="0.3">
      <c r="A132" s="5" t="s">
        <v>257</v>
      </c>
      <c r="B132" s="73" t="s">
        <v>258</v>
      </c>
      <c r="C132" s="8" t="s">
        <v>236</v>
      </c>
      <c r="D132" s="74">
        <v>41.84</v>
      </c>
      <c r="E132" s="8">
        <f>wshopcalc[[#This Row],[Safety Stock]]</f>
        <v>0</v>
      </c>
      <c r="F132" s="8">
        <f>wshopcalc[[#This Row],[Reorder Point (ROP)]]</f>
        <v>0</v>
      </c>
      <c r="G132" s="8">
        <f>wshopcalc[[#This Row],[Maximum Stock (MAX)]]</f>
        <v>0</v>
      </c>
      <c r="H132" s="49">
        <f>wshopcalc[[#This Row],[Current Stock]]</f>
        <v>0</v>
      </c>
      <c r="I132" s="8">
        <f>wshopcalc[[#This Row],[On Order]]</f>
        <v>0</v>
      </c>
      <c r="J132" s="75">
        <f t="shared" si="2"/>
        <v>0</v>
      </c>
      <c r="K132" s="77">
        <f>wshoprpt[[#This Row],[Current Stock]]*wshoprpt[[#This Row],[Cost Price]]</f>
        <v>0</v>
      </c>
      <c r="L132" s="69">
        <f>wshoprpt[[#This Row],[Order Quantity]]*wshoprpt[[#This Row],[Cost Price]]</f>
        <v>0</v>
      </c>
    </row>
    <row r="133" spans="1:12" ht="28.8" hidden="1" x14ac:dyDescent="0.3">
      <c r="A133" s="5" t="s">
        <v>261</v>
      </c>
      <c r="B133" s="73" t="s">
        <v>262</v>
      </c>
      <c r="C133" s="8" t="s">
        <v>236</v>
      </c>
      <c r="D133" s="74">
        <v>49.71</v>
      </c>
      <c r="E133" s="8">
        <f>wshopcalc[[#This Row],[Safety Stock]]</f>
        <v>0</v>
      </c>
      <c r="F133" s="8">
        <f>wshopcalc[[#This Row],[Reorder Point (ROP)]]</f>
        <v>0</v>
      </c>
      <c r="G133" s="8">
        <f>wshopcalc[[#This Row],[Maximum Stock (MAX)]]</f>
        <v>0</v>
      </c>
      <c r="H133" s="49">
        <f>wshopcalc[[#This Row],[Current Stock]]</f>
        <v>0</v>
      </c>
      <c r="I133" s="8">
        <f>wshopcalc[[#This Row],[On Order]]</f>
        <v>0</v>
      </c>
      <c r="J133" s="75">
        <f t="shared" si="2"/>
        <v>0</v>
      </c>
      <c r="K133" s="77">
        <f>wshoprpt[[#This Row],[Current Stock]]*wshoprpt[[#This Row],[Cost Price]]</f>
        <v>0</v>
      </c>
      <c r="L133" s="69">
        <f>wshoprpt[[#This Row],[Order Quantity]]*wshoprpt[[#This Row],[Cost Price]]</f>
        <v>0</v>
      </c>
    </row>
    <row r="134" spans="1:12" ht="28.8" hidden="1" x14ac:dyDescent="0.3">
      <c r="A134" s="5" t="s">
        <v>265</v>
      </c>
      <c r="B134" s="73" t="s">
        <v>266</v>
      </c>
      <c r="C134" s="8" t="s">
        <v>236</v>
      </c>
      <c r="D134" s="74">
        <v>53.77</v>
      </c>
      <c r="E134" s="8">
        <f>wshopcalc[[#This Row],[Safety Stock]]</f>
        <v>0</v>
      </c>
      <c r="F134" s="8">
        <f>wshopcalc[[#This Row],[Reorder Point (ROP)]]</f>
        <v>0</v>
      </c>
      <c r="G134" s="8">
        <f>wshopcalc[[#This Row],[Maximum Stock (MAX)]]</f>
        <v>0</v>
      </c>
      <c r="H134" s="49">
        <f>wshopcalc[[#This Row],[Current Stock]]</f>
        <v>0</v>
      </c>
      <c r="I134" s="8">
        <f>wshopcalc[[#This Row],[On Order]]</f>
        <v>0</v>
      </c>
      <c r="J134" s="75">
        <f t="shared" si="2"/>
        <v>0</v>
      </c>
      <c r="K134" s="77">
        <f>wshoprpt[[#This Row],[Current Stock]]*wshoprpt[[#This Row],[Cost Price]]</f>
        <v>0</v>
      </c>
      <c r="L134" s="69">
        <f>wshoprpt[[#This Row],[Order Quantity]]*wshoprpt[[#This Row],[Cost Price]]</f>
        <v>0</v>
      </c>
    </row>
    <row r="135" spans="1:12" ht="28.8" hidden="1" x14ac:dyDescent="0.3">
      <c r="A135" s="5" t="s">
        <v>271</v>
      </c>
      <c r="B135" s="73" t="s">
        <v>272</v>
      </c>
      <c r="C135" s="8" t="s">
        <v>236</v>
      </c>
      <c r="D135" s="74">
        <v>58.31</v>
      </c>
      <c r="E135" s="8">
        <f>wshopcalc[[#This Row],[Safety Stock]]</f>
        <v>0</v>
      </c>
      <c r="F135" s="8">
        <f>wshopcalc[[#This Row],[Reorder Point (ROP)]]</f>
        <v>0</v>
      </c>
      <c r="G135" s="8">
        <f>wshopcalc[[#This Row],[Maximum Stock (MAX)]]</f>
        <v>0</v>
      </c>
      <c r="H135" s="49">
        <f>wshopcalc[[#This Row],[Current Stock]]</f>
        <v>0</v>
      </c>
      <c r="I135" s="8">
        <f>wshopcalc[[#This Row],[On Order]]</f>
        <v>0</v>
      </c>
      <c r="J135" s="75">
        <f t="shared" si="2"/>
        <v>0</v>
      </c>
      <c r="K135" s="77">
        <f>wshoprpt[[#This Row],[Current Stock]]*wshoprpt[[#This Row],[Cost Price]]</f>
        <v>0</v>
      </c>
      <c r="L135" s="69">
        <f>wshoprpt[[#This Row],[Order Quantity]]*wshoprpt[[#This Row],[Cost Price]]</f>
        <v>0</v>
      </c>
    </row>
    <row r="136" spans="1:12" hidden="1" x14ac:dyDescent="0.3">
      <c r="A136" s="5" t="s">
        <v>276</v>
      </c>
      <c r="B136" s="73" t="s">
        <v>277</v>
      </c>
      <c r="C136" s="8" t="s">
        <v>275</v>
      </c>
      <c r="D136" s="74">
        <v>36.718115942028987</v>
      </c>
      <c r="E136" s="8">
        <f>wshopcalc[[#This Row],[Safety Stock]]</f>
        <v>9</v>
      </c>
      <c r="F136" s="8">
        <f>wshopcalc[[#This Row],[Reorder Point (ROP)]]</f>
        <v>27</v>
      </c>
      <c r="G136" s="8">
        <f>wshopcalc[[#This Row],[Maximum Stock (MAX)]]</f>
        <v>45</v>
      </c>
      <c r="H136" s="49">
        <f>wshopcalc[[#This Row],[Current Stock]]</f>
        <v>30</v>
      </c>
      <c r="I136" s="8">
        <f>wshopcalc[[#This Row],[On Order]]</f>
        <v>0</v>
      </c>
      <c r="J136" s="75">
        <f t="shared" si="2"/>
        <v>0</v>
      </c>
      <c r="K136" s="77">
        <f>wshoprpt[[#This Row],[Current Stock]]*wshoprpt[[#This Row],[Cost Price]]</f>
        <v>1101.5434782608695</v>
      </c>
      <c r="L136" s="69">
        <f>wshoprpt[[#This Row],[Order Quantity]]*wshoprpt[[#This Row],[Cost Price]]</f>
        <v>0</v>
      </c>
    </row>
    <row r="137" spans="1:12" hidden="1" x14ac:dyDescent="0.3">
      <c r="A137" s="5" t="s">
        <v>280</v>
      </c>
      <c r="B137" s="73" t="s">
        <v>281</v>
      </c>
      <c r="C137" s="8" t="s">
        <v>275</v>
      </c>
      <c r="D137" s="74">
        <v>51.068115942028982</v>
      </c>
      <c r="E137" s="8">
        <f>wshopcalc[[#This Row],[Safety Stock]]</f>
        <v>9</v>
      </c>
      <c r="F137" s="8">
        <f>wshopcalc[[#This Row],[Reorder Point (ROP)]]</f>
        <v>27</v>
      </c>
      <c r="G137" s="8">
        <f>wshopcalc[[#This Row],[Maximum Stock (MAX)]]</f>
        <v>45</v>
      </c>
      <c r="H137" s="49">
        <f>wshopcalc[[#This Row],[Current Stock]]</f>
        <v>12</v>
      </c>
      <c r="I137" s="8">
        <f>wshopcalc[[#This Row],[On Order]]</f>
        <v>0</v>
      </c>
      <c r="J137" s="75">
        <f t="shared" si="2"/>
        <v>33</v>
      </c>
      <c r="K137" s="77">
        <f>wshoprpt[[#This Row],[Current Stock]]*wshoprpt[[#This Row],[Cost Price]]</f>
        <v>612.81739130434778</v>
      </c>
      <c r="L137" s="69">
        <f>wshoprpt[[#This Row],[Order Quantity]]*wshoprpt[[#This Row],[Cost Price]]</f>
        <v>1685.2478260869564</v>
      </c>
    </row>
    <row r="138" spans="1:12" hidden="1" x14ac:dyDescent="0.3">
      <c r="A138" s="5" t="s">
        <v>284</v>
      </c>
      <c r="B138" s="73" t="s">
        <v>285</v>
      </c>
      <c r="C138" s="8" t="s">
        <v>275</v>
      </c>
      <c r="D138" s="74">
        <v>75.318115942028982</v>
      </c>
      <c r="E138" s="8">
        <f>wshopcalc[[#This Row],[Safety Stock]]</f>
        <v>7</v>
      </c>
      <c r="F138" s="8">
        <f>wshopcalc[[#This Row],[Reorder Point (ROP)]]</f>
        <v>21</v>
      </c>
      <c r="G138" s="8">
        <f>wshopcalc[[#This Row],[Maximum Stock (MAX)]]</f>
        <v>35</v>
      </c>
      <c r="H138" s="49">
        <f>wshopcalc[[#This Row],[Current Stock]]</f>
        <v>92</v>
      </c>
      <c r="I138" s="8">
        <f>wshopcalc[[#This Row],[On Order]]</f>
        <v>0</v>
      </c>
      <c r="J138" s="75">
        <f t="shared" si="2"/>
        <v>0</v>
      </c>
      <c r="K138" s="77">
        <f>wshoprpt[[#This Row],[Current Stock]]*wshoprpt[[#This Row],[Cost Price]]</f>
        <v>6929.2666666666664</v>
      </c>
      <c r="L138" s="69">
        <f>wshoprpt[[#This Row],[Order Quantity]]*wshoprpt[[#This Row],[Cost Price]]</f>
        <v>0</v>
      </c>
    </row>
    <row r="139" spans="1:12" hidden="1" x14ac:dyDescent="0.3">
      <c r="A139" s="5" t="s">
        <v>288</v>
      </c>
      <c r="B139" s="73" t="s">
        <v>289</v>
      </c>
      <c r="C139" s="8" t="s">
        <v>275</v>
      </c>
      <c r="D139" s="74">
        <v>117.24811594202899</v>
      </c>
      <c r="E139" s="8">
        <f>wshopcalc[[#This Row],[Safety Stock]]</f>
        <v>11</v>
      </c>
      <c r="F139" s="8">
        <f>wshopcalc[[#This Row],[Reorder Point (ROP)]]</f>
        <v>32</v>
      </c>
      <c r="G139" s="8">
        <f>wshopcalc[[#This Row],[Maximum Stock (MAX)]]</f>
        <v>53</v>
      </c>
      <c r="H139" s="49">
        <f>wshopcalc[[#This Row],[Current Stock]]</f>
        <v>89</v>
      </c>
      <c r="I139" s="8">
        <f>wshopcalc[[#This Row],[On Order]]</f>
        <v>0</v>
      </c>
      <c r="J139" s="75">
        <f t="shared" si="2"/>
        <v>0</v>
      </c>
      <c r="K139" s="77">
        <f>wshoprpt[[#This Row],[Current Stock]]*wshoprpt[[#This Row],[Cost Price]]</f>
        <v>10435.082318840579</v>
      </c>
      <c r="L139" s="69">
        <f>wshoprpt[[#This Row],[Order Quantity]]*wshoprpt[[#This Row],[Cost Price]]</f>
        <v>0</v>
      </c>
    </row>
    <row r="140" spans="1:12" hidden="1" x14ac:dyDescent="0.3">
      <c r="A140" s="5" t="s">
        <v>290</v>
      </c>
      <c r="B140" s="73" t="s">
        <v>291</v>
      </c>
      <c r="C140" s="8" t="s">
        <v>275</v>
      </c>
      <c r="D140" s="74">
        <v>132.918115942029</v>
      </c>
      <c r="E140" s="8">
        <f>wshopcalc[[#This Row],[Safety Stock]]</f>
        <v>11</v>
      </c>
      <c r="F140" s="8">
        <f>wshopcalc[[#This Row],[Reorder Point (ROP)]]</f>
        <v>33</v>
      </c>
      <c r="G140" s="8">
        <f>wshopcalc[[#This Row],[Maximum Stock (MAX)]]</f>
        <v>55</v>
      </c>
      <c r="H140" s="49">
        <f>wshopcalc[[#This Row],[Current Stock]]</f>
        <v>55</v>
      </c>
      <c r="I140" s="8">
        <f>wshopcalc[[#This Row],[On Order]]</f>
        <v>8</v>
      </c>
      <c r="J140" s="75">
        <f t="shared" si="2"/>
        <v>0</v>
      </c>
      <c r="K140" s="77">
        <f>wshoprpt[[#This Row],[Current Stock]]*wshoprpt[[#This Row],[Cost Price]]</f>
        <v>7310.4963768115949</v>
      </c>
      <c r="L140" s="69">
        <f>wshoprpt[[#This Row],[Order Quantity]]*wshoprpt[[#This Row],[Cost Price]]</f>
        <v>0</v>
      </c>
    </row>
    <row r="141" spans="1:12" hidden="1" x14ac:dyDescent="0.3">
      <c r="A141" s="5" t="s">
        <v>294</v>
      </c>
      <c r="B141" s="73" t="s">
        <v>295</v>
      </c>
      <c r="C141" s="8" t="s">
        <v>275</v>
      </c>
      <c r="D141" s="74">
        <v>124.85811594202899</v>
      </c>
      <c r="E141" s="8">
        <f>wshopcalc[[#This Row],[Safety Stock]]</f>
        <v>7</v>
      </c>
      <c r="F141" s="8">
        <f>wshopcalc[[#This Row],[Reorder Point (ROP)]]</f>
        <v>21</v>
      </c>
      <c r="G141" s="8">
        <f>wshopcalc[[#This Row],[Maximum Stock (MAX)]]</f>
        <v>35</v>
      </c>
      <c r="H141" s="49">
        <f>wshopcalc[[#This Row],[Current Stock]]</f>
        <v>66</v>
      </c>
      <c r="I141" s="8">
        <f>wshopcalc[[#This Row],[On Order]]</f>
        <v>11</v>
      </c>
      <c r="J141" s="75">
        <f t="shared" si="2"/>
        <v>0</v>
      </c>
      <c r="K141" s="77">
        <f>wshoprpt[[#This Row],[Current Stock]]*wshoprpt[[#This Row],[Cost Price]]</f>
        <v>8240.6356521739126</v>
      </c>
      <c r="L141" s="69">
        <f>wshoprpt[[#This Row],[Order Quantity]]*wshoprpt[[#This Row],[Cost Price]]</f>
        <v>0</v>
      </c>
    </row>
    <row r="142" spans="1:12" hidden="1" x14ac:dyDescent="0.3">
      <c r="A142" s="5" t="s">
        <v>298</v>
      </c>
      <c r="B142" s="73" t="s">
        <v>299</v>
      </c>
      <c r="C142" s="8" t="s">
        <v>275</v>
      </c>
      <c r="D142" s="74">
        <v>154.11811594202899</v>
      </c>
      <c r="E142" s="8">
        <f>wshopcalc[[#This Row],[Safety Stock]]</f>
        <v>5</v>
      </c>
      <c r="F142" s="8">
        <f>wshopcalc[[#This Row],[Reorder Point (ROP)]]</f>
        <v>15</v>
      </c>
      <c r="G142" s="8">
        <f>wshopcalc[[#This Row],[Maximum Stock (MAX)]]</f>
        <v>25</v>
      </c>
      <c r="H142" s="49">
        <f>wshopcalc[[#This Row],[Current Stock]]</f>
        <v>61</v>
      </c>
      <c r="I142" s="8">
        <f>wshopcalc[[#This Row],[On Order]]</f>
        <v>13</v>
      </c>
      <c r="J142" s="75">
        <f t="shared" si="2"/>
        <v>0</v>
      </c>
      <c r="K142" s="77">
        <f>wshoprpt[[#This Row],[Current Stock]]*wshoprpt[[#This Row],[Cost Price]]</f>
        <v>9401.2050724637684</v>
      </c>
      <c r="L142" s="69">
        <f>wshoprpt[[#This Row],[Order Quantity]]*wshoprpt[[#This Row],[Cost Price]]</f>
        <v>0</v>
      </c>
    </row>
    <row r="143" spans="1:12" hidden="1" x14ac:dyDescent="0.3">
      <c r="A143" s="5" t="s">
        <v>302</v>
      </c>
      <c r="B143" s="73" t="s">
        <v>303</v>
      </c>
      <c r="C143" s="8" t="s">
        <v>275</v>
      </c>
      <c r="D143" s="74">
        <v>178.768115942029</v>
      </c>
      <c r="E143" s="8">
        <f>wshopcalc[[#This Row],[Safety Stock]]</f>
        <v>3</v>
      </c>
      <c r="F143" s="8">
        <f>wshopcalc[[#This Row],[Reorder Point (ROP)]]</f>
        <v>8</v>
      </c>
      <c r="G143" s="8">
        <f>wshopcalc[[#This Row],[Maximum Stock (MAX)]]</f>
        <v>13</v>
      </c>
      <c r="H143" s="49">
        <f>wshopcalc[[#This Row],[Current Stock]]</f>
        <v>24</v>
      </c>
      <c r="I143" s="8">
        <f>wshopcalc[[#This Row],[On Order]]</f>
        <v>10</v>
      </c>
      <c r="J143" s="75">
        <f t="shared" si="2"/>
        <v>0</v>
      </c>
      <c r="K143" s="77">
        <f>wshoprpt[[#This Row],[Current Stock]]*wshoprpt[[#This Row],[Cost Price]]</f>
        <v>4290.434782608696</v>
      </c>
      <c r="L143" s="69">
        <f>wshoprpt[[#This Row],[Order Quantity]]*wshoprpt[[#This Row],[Cost Price]]</f>
        <v>0</v>
      </c>
    </row>
    <row r="144" spans="1:12" hidden="1" x14ac:dyDescent="0.3">
      <c r="A144" s="5" t="s">
        <v>273</v>
      </c>
      <c r="B144" s="73" t="s">
        <v>274</v>
      </c>
      <c r="C144" s="8" t="s">
        <v>275</v>
      </c>
      <c r="D144" s="74">
        <v>197</v>
      </c>
      <c r="E144" s="8">
        <f>wshopcalc[[#This Row],[Safety Stock]]</f>
        <v>2</v>
      </c>
      <c r="F144" s="8">
        <f>wshopcalc[[#This Row],[Reorder Point (ROP)]]</f>
        <v>6</v>
      </c>
      <c r="G144" s="8">
        <f>wshopcalc[[#This Row],[Maximum Stock (MAX)]]</f>
        <v>10</v>
      </c>
      <c r="H144" s="49">
        <f>wshopcalc[[#This Row],[Current Stock]]</f>
        <v>18</v>
      </c>
      <c r="I144" s="8">
        <f>wshopcalc[[#This Row],[On Order]]</f>
        <v>0</v>
      </c>
      <c r="J144" s="75">
        <f t="shared" si="2"/>
        <v>0</v>
      </c>
      <c r="K144" s="77">
        <f>wshoprpt[[#This Row],[Current Stock]]*wshoprpt[[#This Row],[Cost Price]]</f>
        <v>3546</v>
      </c>
      <c r="L144" s="69">
        <f>wshoprpt[[#This Row],[Order Quantity]]*wshoprpt[[#This Row],[Cost Price]]</f>
        <v>0</v>
      </c>
    </row>
    <row r="145" spans="1:12" hidden="1" x14ac:dyDescent="0.3">
      <c r="A145" s="5" t="s">
        <v>278</v>
      </c>
      <c r="B145" s="73" t="s">
        <v>279</v>
      </c>
      <c r="C145" s="8" t="s">
        <v>275</v>
      </c>
      <c r="D145" s="74">
        <v>22.95</v>
      </c>
      <c r="E145" s="8">
        <f>wshopcalc[[#This Row],[Safety Stock]]</f>
        <v>0</v>
      </c>
      <c r="F145" s="8">
        <f>wshopcalc[[#This Row],[Reorder Point (ROP)]]</f>
        <v>0</v>
      </c>
      <c r="G145" s="8">
        <f>wshopcalc[[#This Row],[Maximum Stock (MAX)]]</f>
        <v>0</v>
      </c>
      <c r="H145" s="49">
        <f>wshopcalc[[#This Row],[Current Stock]]</f>
        <v>0</v>
      </c>
      <c r="I145" s="8">
        <f>wshopcalc[[#This Row],[On Order]]</f>
        <v>0</v>
      </c>
      <c r="J145" s="75">
        <f t="shared" si="2"/>
        <v>0</v>
      </c>
      <c r="K145" s="77">
        <f>wshoprpt[[#This Row],[Current Stock]]*wshoprpt[[#This Row],[Cost Price]]</f>
        <v>0</v>
      </c>
      <c r="L145" s="69">
        <f>wshoprpt[[#This Row],[Order Quantity]]*wshoprpt[[#This Row],[Cost Price]]</f>
        <v>0</v>
      </c>
    </row>
    <row r="146" spans="1:12" hidden="1" x14ac:dyDescent="0.3">
      <c r="A146" s="5" t="s">
        <v>282</v>
      </c>
      <c r="B146" s="73" t="s">
        <v>283</v>
      </c>
      <c r="C146" s="8" t="s">
        <v>275</v>
      </c>
      <c r="D146" s="74">
        <v>37.299999999999997</v>
      </c>
      <c r="E146" s="8">
        <f>wshopcalc[[#This Row],[Safety Stock]]</f>
        <v>0</v>
      </c>
      <c r="F146" s="8">
        <f>wshopcalc[[#This Row],[Reorder Point (ROP)]]</f>
        <v>0</v>
      </c>
      <c r="G146" s="8">
        <f>wshopcalc[[#This Row],[Maximum Stock (MAX)]]</f>
        <v>0</v>
      </c>
      <c r="H146" s="49">
        <f>wshopcalc[[#This Row],[Current Stock]]</f>
        <v>0</v>
      </c>
      <c r="I146" s="8">
        <f>wshopcalc[[#This Row],[On Order]]</f>
        <v>0</v>
      </c>
      <c r="J146" s="75">
        <f t="shared" si="2"/>
        <v>0</v>
      </c>
      <c r="K146" s="77">
        <f>wshoprpt[[#This Row],[Current Stock]]*wshoprpt[[#This Row],[Cost Price]]</f>
        <v>0</v>
      </c>
      <c r="L146" s="69">
        <f>wshoprpt[[#This Row],[Order Quantity]]*wshoprpt[[#This Row],[Cost Price]]</f>
        <v>0</v>
      </c>
    </row>
    <row r="147" spans="1:12" hidden="1" x14ac:dyDescent="0.3">
      <c r="A147" s="78" t="s">
        <v>286</v>
      </c>
      <c r="B147" s="73" t="s">
        <v>287</v>
      </c>
      <c r="C147" s="8" t="s">
        <v>275</v>
      </c>
      <c r="D147" s="74">
        <v>61.55</v>
      </c>
      <c r="E147" s="8">
        <f>wshopcalc[[#This Row],[Safety Stock]]</f>
        <v>0</v>
      </c>
      <c r="F147" s="8">
        <f>wshopcalc[[#This Row],[Reorder Point (ROP)]]</f>
        <v>0</v>
      </c>
      <c r="G147" s="8">
        <f>wshopcalc[[#This Row],[Maximum Stock (MAX)]]</f>
        <v>0</v>
      </c>
      <c r="H147" s="49">
        <f>wshopcalc[[#This Row],[Current Stock]]</f>
        <v>0</v>
      </c>
      <c r="I147" s="8">
        <f>wshopcalc[[#This Row],[On Order]]</f>
        <v>0</v>
      </c>
      <c r="J147" s="75">
        <f t="shared" si="2"/>
        <v>0</v>
      </c>
      <c r="K147" s="77">
        <f>wshoprpt[[#This Row],[Current Stock]]*wshoprpt[[#This Row],[Cost Price]]</f>
        <v>0</v>
      </c>
      <c r="L147" s="69">
        <f>wshoprpt[[#This Row],[Order Quantity]]*wshoprpt[[#This Row],[Cost Price]]</f>
        <v>0</v>
      </c>
    </row>
    <row r="148" spans="1:12" hidden="1" x14ac:dyDescent="0.3">
      <c r="A148" s="5" t="s">
        <v>466</v>
      </c>
      <c r="B148" s="73" t="s">
        <v>467</v>
      </c>
      <c r="C148" s="8" t="s">
        <v>275</v>
      </c>
      <c r="D148" s="74">
        <v>103.48</v>
      </c>
      <c r="E148" s="8">
        <f>wshopcalc[[#This Row],[Safety Stock]]</f>
        <v>0</v>
      </c>
      <c r="F148" s="8">
        <f>wshopcalc[[#This Row],[Reorder Point (ROP)]]</f>
        <v>0</v>
      </c>
      <c r="G148" s="8">
        <f>wshopcalc[[#This Row],[Maximum Stock (MAX)]]</f>
        <v>0</v>
      </c>
      <c r="H148" s="49">
        <f>wshopcalc[[#This Row],[Current Stock]]</f>
        <v>0</v>
      </c>
      <c r="I148" s="8">
        <f>wshopcalc[[#This Row],[On Order]]</f>
        <v>0</v>
      </c>
      <c r="J148" s="75">
        <f t="shared" si="2"/>
        <v>0</v>
      </c>
      <c r="K148" s="77">
        <f>wshoprpt[[#This Row],[Current Stock]]*wshoprpt[[#This Row],[Cost Price]]</f>
        <v>0</v>
      </c>
      <c r="L148" s="69">
        <f>wshoprpt[[#This Row],[Order Quantity]]*wshoprpt[[#This Row],[Cost Price]]</f>
        <v>0</v>
      </c>
    </row>
    <row r="149" spans="1:12" hidden="1" x14ac:dyDescent="0.3">
      <c r="A149" s="5" t="s">
        <v>292</v>
      </c>
      <c r="B149" s="73" t="s">
        <v>293</v>
      </c>
      <c r="C149" s="8" t="s">
        <v>275</v>
      </c>
      <c r="D149" s="74">
        <v>121.15</v>
      </c>
      <c r="E149" s="8">
        <f>wshopcalc[[#This Row],[Safety Stock]]</f>
        <v>0</v>
      </c>
      <c r="F149" s="8">
        <f>wshopcalc[[#This Row],[Reorder Point (ROP)]]</f>
        <v>0</v>
      </c>
      <c r="G149" s="8">
        <f>wshopcalc[[#This Row],[Maximum Stock (MAX)]]</f>
        <v>0</v>
      </c>
      <c r="H149" s="49">
        <f>wshopcalc[[#This Row],[Current Stock]]</f>
        <v>0</v>
      </c>
      <c r="I149" s="8">
        <f>wshopcalc[[#This Row],[On Order]]</f>
        <v>0</v>
      </c>
      <c r="J149" s="75">
        <f t="shared" si="2"/>
        <v>0</v>
      </c>
      <c r="K149" s="77">
        <f>wshoprpt[[#This Row],[Current Stock]]*wshoprpt[[#This Row],[Cost Price]]</f>
        <v>0</v>
      </c>
      <c r="L149" s="69">
        <f>wshoprpt[[#This Row],[Order Quantity]]*wshoprpt[[#This Row],[Cost Price]]</f>
        <v>0</v>
      </c>
    </row>
    <row r="150" spans="1:12" hidden="1" x14ac:dyDescent="0.3">
      <c r="A150" s="78" t="s">
        <v>296</v>
      </c>
      <c r="B150" s="73" t="s">
        <v>297</v>
      </c>
      <c r="C150" s="8" t="s">
        <v>275</v>
      </c>
      <c r="D150" s="74">
        <v>111.09</v>
      </c>
      <c r="E150" s="8">
        <f>wshopcalc[[#This Row],[Safety Stock]]</f>
        <v>0</v>
      </c>
      <c r="F150" s="8">
        <f>wshopcalc[[#This Row],[Reorder Point (ROP)]]</f>
        <v>0</v>
      </c>
      <c r="G150" s="8">
        <f>wshopcalc[[#This Row],[Maximum Stock (MAX)]]</f>
        <v>0</v>
      </c>
      <c r="H150" s="49">
        <f>wshopcalc[[#This Row],[Current Stock]]</f>
        <v>0</v>
      </c>
      <c r="I150" s="8">
        <f>wshopcalc[[#This Row],[On Order]]</f>
        <v>0</v>
      </c>
      <c r="J150" s="75">
        <f t="shared" si="2"/>
        <v>0</v>
      </c>
      <c r="K150" s="77">
        <f>wshoprpt[[#This Row],[Current Stock]]*wshoprpt[[#This Row],[Cost Price]]</f>
        <v>0</v>
      </c>
      <c r="L150" s="69">
        <f>wshoprpt[[#This Row],[Order Quantity]]*wshoprpt[[#This Row],[Cost Price]]</f>
        <v>0</v>
      </c>
    </row>
    <row r="151" spans="1:12" hidden="1" x14ac:dyDescent="0.3">
      <c r="A151" s="5" t="s">
        <v>300</v>
      </c>
      <c r="B151" s="73" t="s">
        <v>301</v>
      </c>
      <c r="C151" s="8" t="s">
        <v>275</v>
      </c>
      <c r="D151" s="74">
        <v>148.35</v>
      </c>
      <c r="E151" s="8">
        <f>wshopcalc[[#This Row],[Safety Stock]]</f>
        <v>0</v>
      </c>
      <c r="F151" s="8">
        <f>wshopcalc[[#This Row],[Reorder Point (ROP)]]</f>
        <v>0</v>
      </c>
      <c r="G151" s="8">
        <f>wshopcalc[[#This Row],[Maximum Stock (MAX)]]</f>
        <v>0</v>
      </c>
      <c r="H151" s="49">
        <f>wshopcalc[[#This Row],[Current Stock]]</f>
        <v>0</v>
      </c>
      <c r="I151" s="8">
        <f>wshopcalc[[#This Row],[On Order]]</f>
        <v>0</v>
      </c>
      <c r="J151" s="75">
        <f t="shared" si="2"/>
        <v>0</v>
      </c>
      <c r="K151" s="77">
        <f>wshoprpt[[#This Row],[Current Stock]]*wshoprpt[[#This Row],[Cost Price]]</f>
        <v>0</v>
      </c>
      <c r="L151" s="69">
        <f>wshoprpt[[#This Row],[Order Quantity]]*wshoprpt[[#This Row],[Cost Price]]</f>
        <v>0</v>
      </c>
    </row>
    <row r="152" spans="1:12" hidden="1" x14ac:dyDescent="0.3">
      <c r="A152" s="5" t="s">
        <v>304</v>
      </c>
      <c r="B152" s="73" t="s">
        <v>305</v>
      </c>
      <c r="C152" s="8" t="s">
        <v>275</v>
      </c>
      <c r="D152" s="74">
        <v>165.66</v>
      </c>
      <c r="E152" s="8">
        <f>wshopcalc[[#This Row],[Safety Stock]]</f>
        <v>0</v>
      </c>
      <c r="F152" s="8">
        <f>wshopcalc[[#This Row],[Reorder Point (ROP)]]</f>
        <v>0</v>
      </c>
      <c r="G152" s="8">
        <f>wshopcalc[[#This Row],[Maximum Stock (MAX)]]</f>
        <v>0</v>
      </c>
      <c r="H152" s="49">
        <f>wshopcalc[[#This Row],[Current Stock]]</f>
        <v>0</v>
      </c>
      <c r="I152" s="8">
        <f>wshopcalc[[#This Row],[On Order]]</f>
        <v>0</v>
      </c>
      <c r="J152" s="75">
        <f t="shared" si="2"/>
        <v>0</v>
      </c>
      <c r="K152" s="77">
        <f>wshoprpt[[#This Row],[Current Stock]]*wshoprpt[[#This Row],[Cost Price]]</f>
        <v>0</v>
      </c>
      <c r="L152" s="69">
        <f>wshoprpt[[#This Row],[Order Quantity]]*wshoprpt[[#This Row],[Cost Price]]</f>
        <v>0</v>
      </c>
    </row>
    <row r="153" spans="1:12" hidden="1" x14ac:dyDescent="0.3">
      <c r="A153" s="5" t="s">
        <v>306</v>
      </c>
      <c r="B153" s="73" t="s">
        <v>307</v>
      </c>
      <c r="C153" s="8" t="s">
        <v>308</v>
      </c>
      <c r="D153" s="74">
        <v>1138</v>
      </c>
      <c r="E153" s="8">
        <f>wshopcalc[[#This Row],[Safety Stock]]</f>
        <v>2</v>
      </c>
      <c r="F153" s="8">
        <f>wshopcalc[[#This Row],[Reorder Point (ROP)]]</f>
        <v>6</v>
      </c>
      <c r="G153" s="8">
        <f>wshopcalc[[#This Row],[Maximum Stock (MAX)]]</f>
        <v>8</v>
      </c>
      <c r="H153" s="49">
        <f>wshopcalc[[#This Row],[Current Stock]]</f>
        <v>8</v>
      </c>
      <c r="I153" s="8">
        <f>wshopcalc[[#This Row],[On Order]]</f>
        <v>0</v>
      </c>
      <c r="J153" s="75">
        <f t="shared" si="2"/>
        <v>0</v>
      </c>
      <c r="K153" s="77">
        <f>wshoprpt[[#This Row],[Current Stock]]*wshoprpt[[#This Row],[Cost Price]]</f>
        <v>9104</v>
      </c>
      <c r="L153" s="69">
        <f>wshoprpt[[#This Row],[Order Quantity]]*wshoprpt[[#This Row],[Cost Price]]</f>
        <v>0</v>
      </c>
    </row>
    <row r="154" spans="1:12" hidden="1" x14ac:dyDescent="0.3">
      <c r="A154" s="5" t="s">
        <v>309</v>
      </c>
      <c r="B154" s="73" t="s">
        <v>310</v>
      </c>
      <c r="C154" s="8" t="s">
        <v>308</v>
      </c>
      <c r="D154" s="74">
        <v>1193</v>
      </c>
      <c r="E154" s="8">
        <f>wshopcalc[[#This Row],[Safety Stock]]</f>
        <v>3</v>
      </c>
      <c r="F154" s="8">
        <f>wshopcalc[[#This Row],[Reorder Point (ROP)]]</f>
        <v>9</v>
      </c>
      <c r="G154" s="8">
        <f>wshopcalc[[#This Row],[Maximum Stock (MAX)]]</f>
        <v>12</v>
      </c>
      <c r="H154" s="49">
        <f>wshopcalc[[#This Row],[Current Stock]]</f>
        <v>13</v>
      </c>
      <c r="I154" s="8">
        <f>wshopcalc[[#This Row],[On Order]]</f>
        <v>0</v>
      </c>
      <c r="J154" s="75">
        <f t="shared" si="2"/>
        <v>0</v>
      </c>
      <c r="K154" s="77">
        <f>wshoprpt[[#This Row],[Current Stock]]*wshoprpt[[#This Row],[Cost Price]]</f>
        <v>15509</v>
      </c>
      <c r="L154" s="69">
        <f>wshoprpt[[#This Row],[Order Quantity]]*wshoprpt[[#This Row],[Cost Price]]</f>
        <v>0</v>
      </c>
    </row>
    <row r="155" spans="1:12" hidden="1" x14ac:dyDescent="0.3">
      <c r="A155" s="5" t="s">
        <v>311</v>
      </c>
      <c r="B155" s="73" t="s">
        <v>312</v>
      </c>
      <c r="C155" s="8" t="s">
        <v>308</v>
      </c>
      <c r="D155" s="74">
        <v>1226</v>
      </c>
      <c r="E155" s="8">
        <f>wshopcalc[[#This Row],[Safety Stock]]</f>
        <v>3</v>
      </c>
      <c r="F155" s="8">
        <f>wshopcalc[[#This Row],[Reorder Point (ROP)]]</f>
        <v>9</v>
      </c>
      <c r="G155" s="8">
        <f>wshopcalc[[#This Row],[Maximum Stock (MAX)]]</f>
        <v>12</v>
      </c>
      <c r="H155" s="49">
        <f>wshopcalc[[#This Row],[Current Stock]]</f>
        <v>13</v>
      </c>
      <c r="I155" s="8">
        <f>wshopcalc[[#This Row],[On Order]]</f>
        <v>0</v>
      </c>
      <c r="J155" s="75">
        <f t="shared" si="2"/>
        <v>0</v>
      </c>
      <c r="K155" s="77">
        <f>wshoprpt[[#This Row],[Current Stock]]*wshoprpt[[#This Row],[Cost Price]]</f>
        <v>15938</v>
      </c>
      <c r="L155" s="69">
        <f>wshoprpt[[#This Row],[Order Quantity]]*wshoprpt[[#This Row],[Cost Price]]</f>
        <v>0</v>
      </c>
    </row>
    <row r="156" spans="1:12" hidden="1" x14ac:dyDescent="0.3">
      <c r="A156" s="5" t="s">
        <v>313</v>
      </c>
      <c r="B156" s="73" t="s">
        <v>314</v>
      </c>
      <c r="C156" s="8" t="s">
        <v>308</v>
      </c>
      <c r="D156" s="74">
        <v>1277</v>
      </c>
      <c r="E156" s="8">
        <f>wshopcalc[[#This Row],[Safety Stock]]</f>
        <v>3</v>
      </c>
      <c r="F156" s="8">
        <f>wshopcalc[[#This Row],[Reorder Point (ROP)]]</f>
        <v>9</v>
      </c>
      <c r="G156" s="8">
        <f>wshopcalc[[#This Row],[Maximum Stock (MAX)]]</f>
        <v>12</v>
      </c>
      <c r="H156" s="49">
        <f>wshopcalc[[#This Row],[Current Stock]]</f>
        <v>10</v>
      </c>
      <c r="I156" s="8">
        <f>wshopcalc[[#This Row],[On Order]]</f>
        <v>0</v>
      </c>
      <c r="J156" s="75">
        <f t="shared" si="2"/>
        <v>0</v>
      </c>
      <c r="K156" s="77">
        <f>wshoprpt[[#This Row],[Current Stock]]*wshoprpt[[#This Row],[Cost Price]]</f>
        <v>12770</v>
      </c>
      <c r="L156" s="69">
        <f>wshoprpt[[#This Row],[Order Quantity]]*wshoprpt[[#This Row],[Cost Price]]</f>
        <v>0</v>
      </c>
    </row>
    <row r="157" spans="1:12" hidden="1" x14ac:dyDescent="0.3">
      <c r="A157" s="5" t="s">
        <v>315</v>
      </c>
      <c r="B157" s="73" t="s">
        <v>316</v>
      </c>
      <c r="C157" s="8" t="s">
        <v>308</v>
      </c>
      <c r="D157" s="74">
        <v>1535</v>
      </c>
      <c r="E157" s="8">
        <f>wshopcalc[[#This Row],[Safety Stock]]</f>
        <v>3</v>
      </c>
      <c r="F157" s="8">
        <f>wshopcalc[[#This Row],[Reorder Point (ROP)]]</f>
        <v>9</v>
      </c>
      <c r="G157" s="8">
        <f>wshopcalc[[#This Row],[Maximum Stock (MAX)]]</f>
        <v>12</v>
      </c>
      <c r="H157" s="49">
        <f>wshopcalc[[#This Row],[Current Stock]]</f>
        <v>17</v>
      </c>
      <c r="I157" s="8">
        <f>wshopcalc[[#This Row],[On Order]]</f>
        <v>0</v>
      </c>
      <c r="J157" s="75">
        <f t="shared" si="2"/>
        <v>0</v>
      </c>
      <c r="K157" s="77">
        <f>wshoprpt[[#This Row],[Current Stock]]*wshoprpt[[#This Row],[Cost Price]]</f>
        <v>26095</v>
      </c>
      <c r="L157" s="69">
        <f>wshoprpt[[#This Row],[Order Quantity]]*wshoprpt[[#This Row],[Cost Price]]</f>
        <v>0</v>
      </c>
    </row>
    <row r="158" spans="1:12" hidden="1" x14ac:dyDescent="0.3">
      <c r="A158" s="5" t="s">
        <v>317</v>
      </c>
      <c r="B158" s="73" t="s">
        <v>318</v>
      </c>
      <c r="C158" s="8" t="s">
        <v>308</v>
      </c>
      <c r="D158" s="74">
        <v>1641</v>
      </c>
      <c r="E158" s="8">
        <f>wshopcalc[[#This Row],[Safety Stock]]</f>
        <v>1</v>
      </c>
      <c r="F158" s="8">
        <f>wshopcalc[[#This Row],[Reorder Point (ROP)]]</f>
        <v>3</v>
      </c>
      <c r="G158" s="8">
        <f>wshopcalc[[#This Row],[Maximum Stock (MAX)]]</f>
        <v>4</v>
      </c>
      <c r="H158" s="49">
        <f>wshopcalc[[#This Row],[Current Stock]]</f>
        <v>4</v>
      </c>
      <c r="I158" s="8">
        <f>wshopcalc[[#This Row],[On Order]]</f>
        <v>0</v>
      </c>
      <c r="J158" s="75">
        <f t="shared" si="2"/>
        <v>0</v>
      </c>
      <c r="K158" s="77">
        <f>wshoprpt[[#This Row],[Current Stock]]*wshoprpt[[#This Row],[Cost Price]]</f>
        <v>6564</v>
      </c>
      <c r="L158" s="69">
        <f>wshoprpt[[#This Row],[Order Quantity]]*wshoprpt[[#This Row],[Cost Price]]</f>
        <v>0</v>
      </c>
    </row>
    <row r="159" spans="1:12" hidden="1" x14ac:dyDescent="0.3">
      <c r="A159" s="5" t="s">
        <v>319</v>
      </c>
      <c r="B159" s="73" t="s">
        <v>320</v>
      </c>
      <c r="C159" s="8" t="s">
        <v>308</v>
      </c>
      <c r="D159" s="74">
        <v>1768</v>
      </c>
      <c r="E159" s="8">
        <f>wshopcalc[[#This Row],[Safety Stock]]</f>
        <v>2</v>
      </c>
      <c r="F159" s="8">
        <f>wshopcalc[[#This Row],[Reorder Point (ROP)]]</f>
        <v>6</v>
      </c>
      <c r="G159" s="8">
        <f>wshopcalc[[#This Row],[Maximum Stock (MAX)]]</f>
        <v>8</v>
      </c>
      <c r="H159" s="49">
        <f>wshopcalc[[#This Row],[Current Stock]]</f>
        <v>4</v>
      </c>
      <c r="I159" s="8">
        <f>wshopcalc[[#This Row],[On Order]]</f>
        <v>0</v>
      </c>
      <c r="J159" s="75">
        <f t="shared" si="2"/>
        <v>4</v>
      </c>
      <c r="K159" s="77">
        <f>wshoprpt[[#This Row],[Current Stock]]*wshoprpt[[#This Row],[Cost Price]]</f>
        <v>7072</v>
      </c>
      <c r="L159" s="69">
        <f>wshoprpt[[#This Row],[Order Quantity]]*wshoprpt[[#This Row],[Cost Price]]</f>
        <v>7072</v>
      </c>
    </row>
    <row r="160" spans="1:12" hidden="1" x14ac:dyDescent="0.3">
      <c r="A160" s="5" t="s">
        <v>321</v>
      </c>
      <c r="B160" s="73" t="s">
        <v>322</v>
      </c>
      <c r="C160" s="8" t="s">
        <v>308</v>
      </c>
      <c r="D160" s="74">
        <v>1874</v>
      </c>
      <c r="E160" s="8">
        <f>wshopcalc[[#This Row],[Safety Stock]]</f>
        <v>1</v>
      </c>
      <c r="F160" s="8">
        <f>wshopcalc[[#This Row],[Reorder Point (ROP)]]</f>
        <v>3</v>
      </c>
      <c r="G160" s="8">
        <f>wshopcalc[[#This Row],[Maximum Stock (MAX)]]</f>
        <v>4</v>
      </c>
      <c r="H160" s="49">
        <f>wshopcalc[[#This Row],[Current Stock]]</f>
        <v>0</v>
      </c>
      <c r="I160" s="8">
        <f>wshopcalc[[#This Row],[On Order]]</f>
        <v>2</v>
      </c>
      <c r="J160" s="75">
        <f t="shared" si="2"/>
        <v>2</v>
      </c>
      <c r="K160" s="77">
        <f>wshoprpt[[#This Row],[Current Stock]]*wshoprpt[[#This Row],[Cost Price]]</f>
        <v>0</v>
      </c>
      <c r="L160" s="69">
        <f>wshoprpt[[#This Row],[Order Quantity]]*wshoprpt[[#This Row],[Cost Price]]</f>
        <v>3748</v>
      </c>
    </row>
    <row r="161" spans="1:12" hidden="1" x14ac:dyDescent="0.3">
      <c r="A161" s="5" t="s">
        <v>323</v>
      </c>
      <c r="B161" s="73" t="s">
        <v>324</v>
      </c>
      <c r="C161" s="8" t="s">
        <v>308</v>
      </c>
      <c r="D161" s="74">
        <v>1805</v>
      </c>
      <c r="E161" s="8">
        <f>wshopcalc[[#This Row],[Safety Stock]]</f>
        <v>4</v>
      </c>
      <c r="F161" s="8">
        <f>wshopcalc[[#This Row],[Reorder Point (ROP)]]</f>
        <v>12</v>
      </c>
      <c r="G161" s="8">
        <f>wshopcalc[[#This Row],[Maximum Stock (MAX)]]</f>
        <v>16</v>
      </c>
      <c r="H161" s="49">
        <f>wshopcalc[[#This Row],[Current Stock]]</f>
        <v>0</v>
      </c>
      <c r="I161" s="8">
        <f>wshopcalc[[#This Row],[On Order]]</f>
        <v>5</v>
      </c>
      <c r="J161" s="75">
        <f t="shared" si="2"/>
        <v>11</v>
      </c>
      <c r="K161" s="77">
        <f>wshoprpt[[#This Row],[Current Stock]]*wshoprpt[[#This Row],[Cost Price]]</f>
        <v>0</v>
      </c>
      <c r="L161" s="69">
        <f>wshoprpt[[#This Row],[Order Quantity]]*wshoprpt[[#This Row],[Cost Price]]</f>
        <v>19855</v>
      </c>
    </row>
    <row r="162" spans="1:12" hidden="1" x14ac:dyDescent="0.3">
      <c r="A162" s="5" t="s">
        <v>325</v>
      </c>
      <c r="B162" s="73" t="s">
        <v>326</v>
      </c>
      <c r="C162" s="8" t="s">
        <v>308</v>
      </c>
      <c r="D162" s="74">
        <v>1829</v>
      </c>
      <c r="E162" s="8">
        <f>wshopcalc[[#This Row],[Safety Stock]]</f>
        <v>1</v>
      </c>
      <c r="F162" s="8">
        <f>wshopcalc[[#This Row],[Reorder Point (ROP)]]</f>
        <v>3</v>
      </c>
      <c r="G162" s="8">
        <f>wshopcalc[[#This Row],[Maximum Stock (MAX)]]</f>
        <v>4</v>
      </c>
      <c r="H162" s="49">
        <f>wshopcalc[[#This Row],[Current Stock]]</f>
        <v>2</v>
      </c>
      <c r="I162" s="8">
        <f>wshopcalc[[#This Row],[On Order]]</f>
        <v>0</v>
      </c>
      <c r="J162" s="75">
        <f t="shared" si="2"/>
        <v>2</v>
      </c>
      <c r="K162" s="77">
        <f>wshoprpt[[#This Row],[Current Stock]]*wshoprpt[[#This Row],[Cost Price]]</f>
        <v>3658</v>
      </c>
      <c r="L162" s="69">
        <f>wshoprpt[[#This Row],[Order Quantity]]*wshoprpt[[#This Row],[Cost Price]]</f>
        <v>3658</v>
      </c>
    </row>
    <row r="163" spans="1:12" hidden="1" x14ac:dyDescent="0.3">
      <c r="A163" s="5" t="s">
        <v>327</v>
      </c>
      <c r="B163" s="73" t="s">
        <v>328</v>
      </c>
      <c r="C163" s="8" t="s">
        <v>308</v>
      </c>
      <c r="D163" s="74">
        <v>2182</v>
      </c>
      <c r="E163" s="8">
        <f>wshopcalc[[#This Row],[Safety Stock]]</f>
        <v>3</v>
      </c>
      <c r="F163" s="8">
        <f>wshopcalc[[#This Row],[Reorder Point (ROP)]]</f>
        <v>9</v>
      </c>
      <c r="G163" s="8">
        <f>wshopcalc[[#This Row],[Maximum Stock (MAX)]]</f>
        <v>12</v>
      </c>
      <c r="H163" s="49">
        <f>wshopcalc[[#This Row],[Current Stock]]</f>
        <v>0</v>
      </c>
      <c r="I163" s="8">
        <f>wshopcalc[[#This Row],[On Order]]</f>
        <v>0</v>
      </c>
      <c r="J163" s="75">
        <f t="shared" si="2"/>
        <v>12</v>
      </c>
      <c r="K163" s="77">
        <f>wshoprpt[[#This Row],[Current Stock]]*wshoprpt[[#This Row],[Cost Price]]</f>
        <v>0</v>
      </c>
      <c r="L163" s="69">
        <f>wshoprpt[[#This Row],[Order Quantity]]*wshoprpt[[#This Row],[Cost Price]]</f>
        <v>26184</v>
      </c>
    </row>
    <row r="164" spans="1:12" hidden="1" x14ac:dyDescent="0.3">
      <c r="A164" s="5" t="s">
        <v>331</v>
      </c>
      <c r="B164" s="73" t="s">
        <v>332</v>
      </c>
      <c r="C164" s="8" t="s">
        <v>308</v>
      </c>
      <c r="D164" s="74">
        <v>2304</v>
      </c>
      <c r="E164" s="8">
        <f>wshopcalc[[#This Row],[Safety Stock]]</f>
        <v>1</v>
      </c>
      <c r="F164" s="8">
        <f>wshopcalc[[#This Row],[Reorder Point (ROP)]]</f>
        <v>3</v>
      </c>
      <c r="G164" s="8">
        <f>wshopcalc[[#This Row],[Maximum Stock (MAX)]]</f>
        <v>4</v>
      </c>
      <c r="H164" s="49">
        <f>wshopcalc[[#This Row],[Current Stock]]</f>
        <v>2</v>
      </c>
      <c r="I164" s="8">
        <f>wshopcalc[[#This Row],[On Order]]</f>
        <v>0</v>
      </c>
      <c r="J164" s="75">
        <f t="shared" si="2"/>
        <v>2</v>
      </c>
      <c r="K164" s="77">
        <f>wshoprpt[[#This Row],[Current Stock]]*wshoprpt[[#This Row],[Cost Price]]</f>
        <v>4608</v>
      </c>
      <c r="L164" s="69">
        <f>wshoprpt[[#This Row],[Order Quantity]]*wshoprpt[[#This Row],[Cost Price]]</f>
        <v>4608</v>
      </c>
    </row>
    <row r="165" spans="1:12" hidden="1" x14ac:dyDescent="0.3">
      <c r="A165" s="5" t="s">
        <v>333</v>
      </c>
      <c r="B165" s="73" t="s">
        <v>334</v>
      </c>
      <c r="C165" s="8" t="s">
        <v>308</v>
      </c>
      <c r="D165" s="74">
        <v>2892</v>
      </c>
      <c r="E165" s="8">
        <f>wshopcalc[[#This Row],[Safety Stock]]</f>
        <v>3</v>
      </c>
      <c r="F165" s="8">
        <f>wshopcalc[[#This Row],[Reorder Point (ROP)]]</f>
        <v>9</v>
      </c>
      <c r="G165" s="8">
        <f>wshopcalc[[#This Row],[Maximum Stock (MAX)]]</f>
        <v>12</v>
      </c>
      <c r="H165" s="49">
        <f>wshopcalc[[#This Row],[Current Stock]]</f>
        <v>2</v>
      </c>
      <c r="I165" s="8">
        <f>wshopcalc[[#This Row],[On Order]]</f>
        <v>4</v>
      </c>
      <c r="J165" s="75">
        <f t="shared" si="2"/>
        <v>6</v>
      </c>
      <c r="K165" s="77">
        <f>wshoprpt[[#This Row],[Current Stock]]*wshoprpt[[#This Row],[Cost Price]]</f>
        <v>5784</v>
      </c>
      <c r="L165" s="69">
        <f>wshoprpt[[#This Row],[Order Quantity]]*wshoprpt[[#This Row],[Cost Price]]</f>
        <v>17352</v>
      </c>
    </row>
    <row r="166" spans="1:12" hidden="1" x14ac:dyDescent="0.3">
      <c r="A166" s="5" t="s">
        <v>335</v>
      </c>
      <c r="B166" s="73" t="s">
        <v>336</v>
      </c>
      <c r="C166" s="8" t="s">
        <v>308</v>
      </c>
      <c r="D166" s="74">
        <v>3150</v>
      </c>
      <c r="E166" s="8">
        <f>wshopcalc[[#This Row],[Safety Stock]]</f>
        <v>1</v>
      </c>
      <c r="F166" s="8">
        <f>wshopcalc[[#This Row],[Reorder Point (ROP)]]</f>
        <v>3</v>
      </c>
      <c r="G166" s="8">
        <f>wshopcalc[[#This Row],[Maximum Stock (MAX)]]</f>
        <v>4</v>
      </c>
      <c r="H166" s="49">
        <f>wshopcalc[[#This Row],[Current Stock]]</f>
        <v>1</v>
      </c>
      <c r="I166" s="8">
        <f>wshopcalc[[#This Row],[On Order]]</f>
        <v>0</v>
      </c>
      <c r="J166" s="75">
        <f t="shared" si="2"/>
        <v>3</v>
      </c>
      <c r="K166" s="77">
        <f>wshoprpt[[#This Row],[Current Stock]]*wshoprpt[[#This Row],[Cost Price]]</f>
        <v>3150</v>
      </c>
      <c r="L166" s="69">
        <f>wshoprpt[[#This Row],[Order Quantity]]*wshoprpt[[#This Row],[Cost Price]]</f>
        <v>9450</v>
      </c>
    </row>
    <row r="167" spans="1:12" hidden="1" x14ac:dyDescent="0.3">
      <c r="A167" s="5" t="s">
        <v>337</v>
      </c>
      <c r="B167" s="73" t="s">
        <v>338</v>
      </c>
      <c r="C167" s="8" t="s">
        <v>308</v>
      </c>
      <c r="D167" s="74">
        <v>2808</v>
      </c>
      <c r="E167" s="8">
        <f>wshopcalc[[#This Row],[Safety Stock]]</f>
        <v>3</v>
      </c>
      <c r="F167" s="8">
        <f>wshopcalc[[#This Row],[Reorder Point (ROP)]]</f>
        <v>9</v>
      </c>
      <c r="G167" s="8">
        <f>wshopcalc[[#This Row],[Maximum Stock (MAX)]]</f>
        <v>12</v>
      </c>
      <c r="H167" s="49">
        <f>wshopcalc[[#This Row],[Current Stock]]</f>
        <v>9</v>
      </c>
      <c r="I167" s="8">
        <f>wshopcalc[[#This Row],[On Order]]</f>
        <v>0</v>
      </c>
      <c r="J167" s="75">
        <f t="shared" si="2"/>
        <v>3</v>
      </c>
      <c r="K167" s="77">
        <f>wshoprpt[[#This Row],[Current Stock]]*wshoprpt[[#This Row],[Cost Price]]</f>
        <v>25272</v>
      </c>
      <c r="L167" s="69">
        <f>wshoprpt[[#This Row],[Order Quantity]]*wshoprpt[[#This Row],[Cost Price]]</f>
        <v>8424</v>
      </c>
    </row>
    <row r="168" spans="1:12" hidden="1" x14ac:dyDescent="0.3">
      <c r="A168" s="5" t="s">
        <v>339</v>
      </c>
      <c r="B168" s="73" t="s">
        <v>340</v>
      </c>
      <c r="C168" s="8" t="s">
        <v>308</v>
      </c>
      <c r="D168" s="74">
        <v>3630</v>
      </c>
      <c r="E168" s="8">
        <f>wshopcalc[[#This Row],[Safety Stock]]</f>
        <v>2</v>
      </c>
      <c r="F168" s="8">
        <f>wshopcalc[[#This Row],[Reorder Point (ROP)]]</f>
        <v>6</v>
      </c>
      <c r="G168" s="8">
        <f>wshopcalc[[#This Row],[Maximum Stock (MAX)]]</f>
        <v>8</v>
      </c>
      <c r="H168" s="49">
        <f>wshopcalc[[#This Row],[Current Stock]]</f>
        <v>3</v>
      </c>
      <c r="I168" s="8">
        <f>wshopcalc[[#This Row],[On Order]]</f>
        <v>0</v>
      </c>
      <c r="J168" s="75">
        <f t="shared" si="2"/>
        <v>5</v>
      </c>
      <c r="K168" s="77">
        <f>wshoprpt[[#This Row],[Current Stock]]*wshoprpt[[#This Row],[Cost Price]]</f>
        <v>10890</v>
      </c>
      <c r="L168" s="69">
        <f>wshoprpt[[#This Row],[Order Quantity]]*wshoprpt[[#This Row],[Cost Price]]</f>
        <v>18150</v>
      </c>
    </row>
    <row r="169" spans="1:12" hidden="1" x14ac:dyDescent="0.3">
      <c r="A169" s="5" t="s">
        <v>341</v>
      </c>
      <c r="B169" s="73" t="s">
        <v>342</v>
      </c>
      <c r="C169" s="8" t="s">
        <v>308</v>
      </c>
      <c r="D169" s="74">
        <v>3630</v>
      </c>
      <c r="E169" s="8">
        <f>wshopcalc[[#This Row],[Safety Stock]]</f>
        <v>2</v>
      </c>
      <c r="F169" s="8">
        <f>wshopcalc[[#This Row],[Reorder Point (ROP)]]</f>
        <v>6</v>
      </c>
      <c r="G169" s="8">
        <f>wshopcalc[[#This Row],[Maximum Stock (MAX)]]</f>
        <v>8</v>
      </c>
      <c r="H169" s="49">
        <f>wshopcalc[[#This Row],[Current Stock]]</f>
        <v>7</v>
      </c>
      <c r="I169" s="8">
        <f>wshopcalc[[#This Row],[On Order]]</f>
        <v>1</v>
      </c>
      <c r="J169" s="75">
        <f t="shared" si="2"/>
        <v>0</v>
      </c>
      <c r="K169" s="77">
        <f>wshoprpt[[#This Row],[Current Stock]]*wshoprpt[[#This Row],[Cost Price]]</f>
        <v>25410</v>
      </c>
      <c r="L169" s="69">
        <f>wshoprpt[[#This Row],[Order Quantity]]*wshoprpt[[#This Row],[Cost Price]]</f>
        <v>0</v>
      </c>
    </row>
    <row r="170" spans="1:12" hidden="1" x14ac:dyDescent="0.3">
      <c r="A170" s="5" t="s">
        <v>343</v>
      </c>
      <c r="B170" s="73" t="s">
        <v>344</v>
      </c>
      <c r="C170" s="8" t="s">
        <v>308</v>
      </c>
      <c r="D170" s="74">
        <v>5744</v>
      </c>
      <c r="E170" s="8">
        <f>wshopcalc[[#This Row],[Safety Stock]]</f>
        <v>1</v>
      </c>
      <c r="F170" s="8">
        <f>wshopcalc[[#This Row],[Reorder Point (ROP)]]</f>
        <v>2</v>
      </c>
      <c r="G170" s="8">
        <f>wshopcalc[[#This Row],[Maximum Stock (MAX)]]</f>
        <v>3</v>
      </c>
      <c r="H170" s="49">
        <f>wshopcalc[[#This Row],[Current Stock]]</f>
        <v>0</v>
      </c>
      <c r="I170" s="8">
        <f>wshopcalc[[#This Row],[On Order]]</f>
        <v>0</v>
      </c>
      <c r="J170" s="75">
        <f t="shared" si="2"/>
        <v>3</v>
      </c>
      <c r="K170" s="77">
        <f>wshoprpt[[#This Row],[Current Stock]]*wshoprpt[[#This Row],[Cost Price]]</f>
        <v>0</v>
      </c>
      <c r="L170" s="69">
        <f>wshoprpt[[#This Row],[Order Quantity]]*wshoprpt[[#This Row],[Cost Price]]</f>
        <v>17232</v>
      </c>
    </row>
    <row r="171" spans="1:12" hidden="1" x14ac:dyDescent="0.3">
      <c r="A171" s="5" t="s">
        <v>345</v>
      </c>
      <c r="B171" s="73" t="s">
        <v>346</v>
      </c>
      <c r="C171" s="8" t="s">
        <v>308</v>
      </c>
      <c r="D171" s="74">
        <v>4869</v>
      </c>
      <c r="E171" s="8">
        <f>wshopcalc[[#This Row],[Safety Stock]]</f>
        <v>1</v>
      </c>
      <c r="F171" s="8">
        <f>wshopcalc[[#This Row],[Reorder Point (ROP)]]</f>
        <v>2</v>
      </c>
      <c r="G171" s="8">
        <f>wshopcalc[[#This Row],[Maximum Stock (MAX)]]</f>
        <v>3</v>
      </c>
      <c r="H171" s="49">
        <f>wshopcalc[[#This Row],[Current Stock]]</f>
        <v>2</v>
      </c>
      <c r="I171" s="8">
        <f>wshopcalc[[#This Row],[On Order]]</f>
        <v>0</v>
      </c>
      <c r="J171" s="75">
        <f t="shared" si="2"/>
        <v>1</v>
      </c>
      <c r="K171" s="77">
        <f>wshoprpt[[#This Row],[Current Stock]]*wshoprpt[[#This Row],[Cost Price]]</f>
        <v>9738</v>
      </c>
      <c r="L171" s="69">
        <f>wshoprpt[[#This Row],[Order Quantity]]*wshoprpt[[#This Row],[Cost Price]]</f>
        <v>4869</v>
      </c>
    </row>
    <row r="172" spans="1:12" hidden="1" x14ac:dyDescent="0.3">
      <c r="A172" s="5" t="s">
        <v>347</v>
      </c>
      <c r="B172" s="73" t="s">
        <v>348</v>
      </c>
      <c r="C172" s="8" t="s">
        <v>308</v>
      </c>
      <c r="D172" s="74">
        <v>1200</v>
      </c>
      <c r="E172" s="8">
        <f>wshopcalc[[#This Row],[Safety Stock]]</f>
        <v>0</v>
      </c>
      <c r="F172" s="8">
        <f>wshopcalc[[#This Row],[Reorder Point (ROP)]]</f>
        <v>0</v>
      </c>
      <c r="G172" s="8">
        <f>wshopcalc[[#This Row],[Maximum Stock (MAX)]]</f>
        <v>1</v>
      </c>
      <c r="H172" s="49">
        <f>wshopcalc[[#This Row],[Current Stock]]</f>
        <v>0</v>
      </c>
      <c r="I172" s="8">
        <f>wshopcalc[[#This Row],[On Order]]</f>
        <v>0</v>
      </c>
      <c r="J172" s="75">
        <f t="shared" si="2"/>
        <v>1</v>
      </c>
      <c r="K172" s="77">
        <f>wshoprpt[[#This Row],[Current Stock]]*wshoprpt[[#This Row],[Cost Price]]</f>
        <v>0</v>
      </c>
      <c r="L172" s="69">
        <f>wshoprpt[[#This Row],[Order Quantity]]*wshoprpt[[#This Row],[Cost Price]]</f>
        <v>1200</v>
      </c>
    </row>
    <row r="173" spans="1:12" hidden="1" x14ac:dyDescent="0.3">
      <c r="A173" s="5" t="s">
        <v>349</v>
      </c>
      <c r="B173" s="73" t="s">
        <v>350</v>
      </c>
      <c r="C173" s="8" t="s">
        <v>308</v>
      </c>
      <c r="D173" s="74">
        <v>5225</v>
      </c>
      <c r="E173" s="8">
        <f>wshopcalc[[#This Row],[Safety Stock]]</f>
        <v>1</v>
      </c>
      <c r="F173" s="8">
        <f>wshopcalc[[#This Row],[Reorder Point (ROP)]]</f>
        <v>2</v>
      </c>
      <c r="G173" s="8">
        <f>wshopcalc[[#This Row],[Maximum Stock (MAX)]]</f>
        <v>2</v>
      </c>
      <c r="H173" s="49">
        <f>wshopcalc[[#This Row],[Current Stock]]</f>
        <v>2</v>
      </c>
      <c r="I173" s="8">
        <f>wshopcalc[[#This Row],[On Order]]</f>
        <v>0</v>
      </c>
      <c r="J173" s="75">
        <f t="shared" si="2"/>
        <v>0</v>
      </c>
      <c r="K173" s="77">
        <f>wshoprpt[[#This Row],[Current Stock]]*wshoprpt[[#This Row],[Cost Price]]</f>
        <v>10450</v>
      </c>
      <c r="L173" s="69">
        <f>wshoprpt[[#This Row],[Order Quantity]]*wshoprpt[[#This Row],[Cost Price]]</f>
        <v>0</v>
      </c>
    </row>
    <row r="174" spans="1:12" hidden="1" x14ac:dyDescent="0.3">
      <c r="A174" s="5" t="s">
        <v>351</v>
      </c>
      <c r="B174" s="73" t="s">
        <v>352</v>
      </c>
      <c r="C174" s="8" t="s">
        <v>308</v>
      </c>
      <c r="D174" s="74">
        <v>0</v>
      </c>
      <c r="E174" s="8">
        <f>wshopcalc[[#This Row],[Safety Stock]]</f>
        <v>0</v>
      </c>
      <c r="F174" s="8">
        <f>wshopcalc[[#This Row],[Reorder Point (ROP)]]</f>
        <v>0</v>
      </c>
      <c r="G174" s="8">
        <f>wshopcalc[[#This Row],[Maximum Stock (MAX)]]</f>
        <v>0</v>
      </c>
      <c r="H174" s="49">
        <f>wshopcalc[[#This Row],[Current Stock]]</f>
        <v>0</v>
      </c>
      <c r="I174" s="8">
        <f>wshopcalc[[#This Row],[On Order]]</f>
        <v>0</v>
      </c>
      <c r="J174" s="75">
        <f t="shared" si="2"/>
        <v>0</v>
      </c>
      <c r="K174" s="77">
        <f>wshoprpt[[#This Row],[Current Stock]]*wshoprpt[[#This Row],[Cost Price]]</f>
        <v>0</v>
      </c>
      <c r="L174" s="69">
        <f>wshoprpt[[#This Row],[Order Quantity]]*wshoprpt[[#This Row],[Cost Price]]</f>
        <v>0</v>
      </c>
    </row>
    <row r="175" spans="1:12" hidden="1" x14ac:dyDescent="0.3">
      <c r="A175" s="5" t="s">
        <v>353</v>
      </c>
      <c r="B175" s="73" t="s">
        <v>354</v>
      </c>
      <c r="C175" s="8" t="s">
        <v>308</v>
      </c>
      <c r="D175" s="74">
        <v>7076</v>
      </c>
      <c r="E175" s="8">
        <f>wshopcalc[[#This Row],[Safety Stock]]</f>
        <v>0</v>
      </c>
      <c r="F175" s="8">
        <f>wshopcalc[[#This Row],[Reorder Point (ROP)]]</f>
        <v>0</v>
      </c>
      <c r="G175" s="8">
        <f>wshopcalc[[#This Row],[Maximum Stock (MAX)]]</f>
        <v>0</v>
      </c>
      <c r="H175" s="49">
        <f>wshopcalc[[#This Row],[Current Stock]]</f>
        <v>0</v>
      </c>
      <c r="I175" s="8">
        <f>wshopcalc[[#This Row],[On Order]]</f>
        <v>0</v>
      </c>
      <c r="J175" s="75">
        <f t="shared" si="2"/>
        <v>0</v>
      </c>
      <c r="K175" s="77">
        <f>wshoprpt[[#This Row],[Current Stock]]*wshoprpt[[#This Row],[Cost Price]]</f>
        <v>0</v>
      </c>
      <c r="L175" s="69">
        <f>wshoprpt[[#This Row],[Order Quantity]]*wshoprpt[[#This Row],[Cost Price]]</f>
        <v>0</v>
      </c>
    </row>
    <row r="176" spans="1:12" hidden="1" x14ac:dyDescent="0.3">
      <c r="A176" s="5" t="s">
        <v>329</v>
      </c>
      <c r="B176" s="73" t="s">
        <v>330</v>
      </c>
      <c r="C176" s="8" t="s">
        <v>308</v>
      </c>
      <c r="D176" s="74">
        <v>7897.17</v>
      </c>
      <c r="E176" s="8">
        <f>wshopcalc[[#This Row],[Safety Stock]]</f>
        <v>0</v>
      </c>
      <c r="F176" s="8">
        <f>wshopcalc[[#This Row],[Reorder Point (ROP)]]</f>
        <v>0</v>
      </c>
      <c r="G176" s="8">
        <f>wshopcalc[[#This Row],[Maximum Stock (MAX)]]</f>
        <v>1</v>
      </c>
      <c r="H176" s="49">
        <f>wshopcalc[[#This Row],[Current Stock]]</f>
        <v>0</v>
      </c>
      <c r="I176" s="8">
        <f>wshopcalc[[#This Row],[On Order]]</f>
        <v>0</v>
      </c>
      <c r="J176" s="75">
        <f>IF(H176&lt;=F176,G176-H176-I176,0)</f>
        <v>1</v>
      </c>
      <c r="K176" s="77">
        <f>wshoprpt[[#This Row],[Current Stock]]*wshoprpt[[#This Row],[Cost Price]]</f>
        <v>0</v>
      </c>
      <c r="L176" s="69">
        <f>wshoprpt[[#This Row],[Order Quantity]]*wshoprpt[[#This Row],[Cost Price]]</f>
        <v>7897.17</v>
      </c>
    </row>
    <row r="177" spans="1:12" hidden="1" x14ac:dyDescent="0.3">
      <c r="A177" s="5" t="s">
        <v>355</v>
      </c>
      <c r="B177" s="73" t="s">
        <v>356</v>
      </c>
      <c r="C177" s="8" t="s">
        <v>357</v>
      </c>
      <c r="D177" s="74">
        <v>1340</v>
      </c>
      <c r="E177" s="8">
        <f>wshopcalc[[#This Row],[Safety Stock]]</f>
        <v>4</v>
      </c>
      <c r="F177" s="8">
        <f>wshopcalc[[#This Row],[Reorder Point (ROP)]]</f>
        <v>12</v>
      </c>
      <c r="G177" s="8">
        <f>wshopcalc[[#This Row],[Maximum Stock (MAX)]]</f>
        <v>20</v>
      </c>
      <c r="H177" s="49">
        <f>wshopcalc[[#This Row],[Current Stock]]</f>
        <v>6</v>
      </c>
      <c r="I177" s="8">
        <f>wshopcalc[[#This Row],[On Order]]</f>
        <v>0</v>
      </c>
      <c r="J177" s="75">
        <f t="shared" si="2"/>
        <v>14</v>
      </c>
      <c r="K177" s="77">
        <f>wshoprpt[[#This Row],[Current Stock]]*wshoprpt[[#This Row],[Cost Price]]</f>
        <v>8040</v>
      </c>
      <c r="L177" s="69">
        <f>wshoprpt[[#This Row],[Order Quantity]]*wshoprpt[[#This Row],[Cost Price]]</f>
        <v>18760</v>
      </c>
    </row>
    <row r="178" spans="1:12" hidden="1" x14ac:dyDescent="0.3">
      <c r="A178" s="5" t="s">
        <v>360</v>
      </c>
      <c r="B178" s="73" t="s">
        <v>361</v>
      </c>
      <c r="C178" s="8" t="s">
        <v>357</v>
      </c>
      <c r="D178" s="74">
        <v>1632</v>
      </c>
      <c r="E178" s="8">
        <f>wshopcalc[[#This Row],[Safety Stock]]</f>
        <v>3</v>
      </c>
      <c r="F178" s="8">
        <f>wshopcalc[[#This Row],[Reorder Point (ROP)]]</f>
        <v>9</v>
      </c>
      <c r="G178" s="8">
        <f>wshopcalc[[#This Row],[Maximum Stock (MAX)]]</f>
        <v>15</v>
      </c>
      <c r="H178" s="49">
        <f>wshopcalc[[#This Row],[Current Stock]]</f>
        <v>2</v>
      </c>
      <c r="I178" s="8">
        <f>wshopcalc[[#This Row],[On Order]]</f>
        <v>0</v>
      </c>
      <c r="J178" s="75">
        <f t="shared" si="2"/>
        <v>13</v>
      </c>
      <c r="K178" s="77">
        <f>wshoprpt[[#This Row],[Current Stock]]*wshoprpt[[#This Row],[Cost Price]]</f>
        <v>3264</v>
      </c>
      <c r="L178" s="69">
        <f>wshoprpt[[#This Row],[Order Quantity]]*wshoprpt[[#This Row],[Cost Price]]</f>
        <v>21216</v>
      </c>
    </row>
    <row r="179" spans="1:12" hidden="1" x14ac:dyDescent="0.3">
      <c r="A179" s="5" t="s">
        <v>364</v>
      </c>
      <c r="B179" s="73" t="s">
        <v>365</v>
      </c>
      <c r="C179" s="8" t="s">
        <v>357</v>
      </c>
      <c r="D179" s="74">
        <v>2025</v>
      </c>
      <c r="E179" s="8">
        <f>wshopcalc[[#This Row],[Safety Stock]]</f>
        <v>2</v>
      </c>
      <c r="F179" s="8">
        <f>wshopcalc[[#This Row],[Reorder Point (ROP)]]</f>
        <v>6</v>
      </c>
      <c r="G179" s="8">
        <f>wshopcalc[[#This Row],[Maximum Stock (MAX)]]</f>
        <v>10</v>
      </c>
      <c r="H179" s="49">
        <f>wshopcalc[[#This Row],[Current Stock]]</f>
        <v>0</v>
      </c>
      <c r="I179" s="8">
        <f>wshopcalc[[#This Row],[On Order]]</f>
        <v>0</v>
      </c>
      <c r="J179" s="75">
        <f t="shared" si="2"/>
        <v>10</v>
      </c>
      <c r="K179" s="77">
        <f>wshoprpt[[#This Row],[Current Stock]]*wshoprpt[[#This Row],[Cost Price]]</f>
        <v>0</v>
      </c>
      <c r="L179" s="69">
        <f>wshoprpt[[#This Row],[Order Quantity]]*wshoprpt[[#This Row],[Cost Price]]</f>
        <v>20250</v>
      </c>
    </row>
    <row r="180" spans="1:12" hidden="1" x14ac:dyDescent="0.3">
      <c r="A180" s="5" t="s">
        <v>368</v>
      </c>
      <c r="B180" s="73" t="s">
        <v>369</v>
      </c>
      <c r="C180" s="8" t="s">
        <v>357</v>
      </c>
      <c r="D180" s="74">
        <v>2617</v>
      </c>
      <c r="E180" s="8">
        <f>wshopcalc[[#This Row],[Safety Stock]]</f>
        <v>3</v>
      </c>
      <c r="F180" s="8">
        <f>wshopcalc[[#This Row],[Reorder Point (ROP)]]</f>
        <v>9</v>
      </c>
      <c r="G180" s="8">
        <f>wshopcalc[[#This Row],[Maximum Stock (MAX)]]</f>
        <v>15</v>
      </c>
      <c r="H180" s="49">
        <f>wshopcalc[[#This Row],[Current Stock]]</f>
        <v>9</v>
      </c>
      <c r="I180" s="8">
        <f>wshopcalc[[#This Row],[On Order]]</f>
        <v>0</v>
      </c>
      <c r="J180" s="75">
        <f t="shared" si="2"/>
        <v>6</v>
      </c>
      <c r="K180" s="77">
        <f>wshoprpt[[#This Row],[Current Stock]]*wshoprpt[[#This Row],[Cost Price]]</f>
        <v>23553</v>
      </c>
      <c r="L180" s="69">
        <f>wshoprpt[[#This Row],[Order Quantity]]*wshoprpt[[#This Row],[Cost Price]]</f>
        <v>15702</v>
      </c>
    </row>
    <row r="181" spans="1:12" hidden="1" x14ac:dyDescent="0.3">
      <c r="A181" s="5" t="s">
        <v>372</v>
      </c>
      <c r="B181" s="73" t="s">
        <v>373</v>
      </c>
      <c r="C181" s="8" t="s">
        <v>357</v>
      </c>
      <c r="D181" s="74">
        <v>3010</v>
      </c>
      <c r="E181" s="8">
        <f>wshopcalc[[#This Row],[Safety Stock]]</f>
        <v>3</v>
      </c>
      <c r="F181" s="8">
        <f>wshopcalc[[#This Row],[Reorder Point (ROP)]]</f>
        <v>8</v>
      </c>
      <c r="G181" s="8">
        <f>wshopcalc[[#This Row],[Maximum Stock (MAX)]]</f>
        <v>13</v>
      </c>
      <c r="H181" s="49">
        <f>wshopcalc[[#This Row],[Current Stock]]</f>
        <v>8</v>
      </c>
      <c r="I181" s="8">
        <f>wshopcalc[[#This Row],[On Order]]</f>
        <v>0</v>
      </c>
      <c r="J181" s="75">
        <f t="shared" si="2"/>
        <v>5</v>
      </c>
      <c r="K181" s="77">
        <f>wshoprpt[[#This Row],[Current Stock]]*wshoprpt[[#This Row],[Cost Price]]</f>
        <v>24080</v>
      </c>
      <c r="L181" s="69">
        <f>wshoprpt[[#This Row],[Order Quantity]]*wshoprpt[[#This Row],[Cost Price]]</f>
        <v>15050</v>
      </c>
    </row>
    <row r="182" spans="1:12" hidden="1" x14ac:dyDescent="0.3">
      <c r="A182" s="5" t="s">
        <v>374</v>
      </c>
      <c r="B182" s="73" t="s">
        <v>375</v>
      </c>
      <c r="C182" s="8" t="s">
        <v>357</v>
      </c>
      <c r="D182" s="74">
        <v>3685</v>
      </c>
      <c r="E182" s="8">
        <f>wshopcalc[[#This Row],[Safety Stock]]</f>
        <v>2</v>
      </c>
      <c r="F182" s="8">
        <f>wshopcalc[[#This Row],[Reorder Point (ROP)]]</f>
        <v>5</v>
      </c>
      <c r="G182" s="8">
        <f>wshopcalc[[#This Row],[Maximum Stock (MAX)]]</f>
        <v>8</v>
      </c>
      <c r="H182" s="49">
        <f>wshopcalc[[#This Row],[Current Stock]]</f>
        <v>4</v>
      </c>
      <c r="I182" s="8">
        <f>wshopcalc[[#This Row],[On Order]]</f>
        <v>0</v>
      </c>
      <c r="J182" s="75">
        <f>IF(H182&lt;=F182,G182-H182-I182,0)</f>
        <v>4</v>
      </c>
      <c r="K182" s="77">
        <f>wshoprpt[[#This Row],[Current Stock]]*wshoprpt[[#This Row],[Cost Price]]</f>
        <v>14740</v>
      </c>
      <c r="L182" s="69">
        <f>wshoprpt[[#This Row],[Order Quantity]]*wshoprpt[[#This Row],[Cost Price]]</f>
        <v>14740</v>
      </c>
    </row>
    <row r="183" spans="1:12" hidden="1" x14ac:dyDescent="0.3">
      <c r="A183" s="5" t="s">
        <v>358</v>
      </c>
      <c r="B183" s="73" t="s">
        <v>359</v>
      </c>
      <c r="C183" s="8" t="s">
        <v>357</v>
      </c>
      <c r="D183" s="74">
        <v>0</v>
      </c>
      <c r="E183" s="8">
        <f>wshopcalc[[#This Row],[Safety Stock]]</f>
        <v>0</v>
      </c>
      <c r="F183" s="8">
        <f>wshopcalc[[#This Row],[Reorder Point (ROP)]]</f>
        <v>0</v>
      </c>
      <c r="G183" s="8">
        <f>wshopcalc[[#This Row],[Maximum Stock (MAX)]]</f>
        <v>0</v>
      </c>
      <c r="H183" s="49">
        <f>wshopcalc[[#This Row],[Current Stock]]</f>
        <v>1</v>
      </c>
      <c r="I183" s="8">
        <f>wshopcalc[[#This Row],[On Order]]</f>
        <v>0</v>
      </c>
      <c r="J183" s="75">
        <f>IF(H183&lt;=F183,G183-H183-I183,0)</f>
        <v>0</v>
      </c>
      <c r="K183" s="77">
        <f>wshoprpt[[#This Row],[Current Stock]]*wshoprpt[[#This Row],[Cost Price]]</f>
        <v>0</v>
      </c>
      <c r="L183" s="69">
        <f>wshoprpt[[#This Row],[Order Quantity]]*wshoprpt[[#This Row],[Cost Price]]</f>
        <v>0</v>
      </c>
    </row>
    <row r="184" spans="1:12" hidden="1" x14ac:dyDescent="0.3">
      <c r="A184" s="5" t="s">
        <v>362</v>
      </c>
      <c r="B184" s="73" t="s">
        <v>363</v>
      </c>
      <c r="C184" s="8" t="s">
        <v>357</v>
      </c>
      <c r="D184" s="74">
        <v>2077</v>
      </c>
      <c r="E184" s="8">
        <f>wshopcalc[[#This Row],[Safety Stock]]</f>
        <v>0</v>
      </c>
      <c r="F184" s="8">
        <f>wshopcalc[[#This Row],[Reorder Point (ROP)]]</f>
        <v>0</v>
      </c>
      <c r="G184" s="8">
        <f>wshopcalc[[#This Row],[Maximum Stock (MAX)]]</f>
        <v>0</v>
      </c>
      <c r="H184" s="49">
        <f>wshopcalc[[#This Row],[Current Stock]]</f>
        <v>4</v>
      </c>
      <c r="I184" s="8">
        <f>wshopcalc[[#This Row],[On Order]]</f>
        <v>0</v>
      </c>
      <c r="J184" s="75">
        <f>IF(H184&lt;=F184,G184-H184-I184,0)</f>
        <v>0</v>
      </c>
      <c r="K184" s="77">
        <f>wshoprpt[[#This Row],[Current Stock]]*wshoprpt[[#This Row],[Cost Price]]</f>
        <v>8308</v>
      </c>
      <c r="L184" s="69">
        <f>wshoprpt[[#This Row],[Order Quantity]]*wshoprpt[[#This Row],[Cost Price]]</f>
        <v>0</v>
      </c>
    </row>
    <row r="185" spans="1:12" hidden="1" x14ac:dyDescent="0.3">
      <c r="A185" s="5" t="s">
        <v>366</v>
      </c>
      <c r="B185" s="73" t="s">
        <v>367</v>
      </c>
      <c r="C185" s="8" t="s">
        <v>357</v>
      </c>
      <c r="D185" s="74">
        <v>2608</v>
      </c>
      <c r="E185" s="8">
        <f>wshopcalc[[#This Row],[Safety Stock]]</f>
        <v>0</v>
      </c>
      <c r="F185" s="8">
        <f>wshopcalc[[#This Row],[Reorder Point (ROP)]]</f>
        <v>0</v>
      </c>
      <c r="G185" s="8">
        <f>wshopcalc[[#This Row],[Maximum Stock (MAX)]]</f>
        <v>0</v>
      </c>
      <c r="H185" s="49">
        <f>wshopcalc[[#This Row],[Current Stock]]</f>
        <v>7</v>
      </c>
      <c r="I185" s="8">
        <f>wshopcalc[[#This Row],[On Order]]</f>
        <v>0</v>
      </c>
      <c r="J185" s="75">
        <f>IF(H185&lt;=F185,G185-H185-I185,0)</f>
        <v>0</v>
      </c>
      <c r="K185" s="77">
        <f>wshoprpt[[#This Row],[Current Stock]]*wshoprpt[[#This Row],[Cost Price]]</f>
        <v>18256</v>
      </c>
      <c r="L185" s="69">
        <f>wshoprpt[[#This Row],[Order Quantity]]*wshoprpt[[#This Row],[Cost Price]]</f>
        <v>0</v>
      </c>
    </row>
    <row r="186" spans="1:12" hidden="1" x14ac:dyDescent="0.3">
      <c r="A186" s="5" t="s">
        <v>370</v>
      </c>
      <c r="B186" s="73" t="s">
        <v>371</v>
      </c>
      <c r="C186" s="8" t="s">
        <v>357</v>
      </c>
      <c r="D186" s="74">
        <v>3435</v>
      </c>
      <c r="E186" s="8">
        <f>wshopcalc[[#This Row],[Safety Stock]]</f>
        <v>0</v>
      </c>
      <c r="F186" s="8">
        <f>wshopcalc[[#This Row],[Reorder Point (ROP)]]</f>
        <v>0</v>
      </c>
      <c r="G186" s="8">
        <f>wshopcalc[[#This Row],[Maximum Stock (MAX)]]</f>
        <v>0</v>
      </c>
      <c r="H186" s="49">
        <f>wshopcalc[[#This Row],[Current Stock]]</f>
        <v>4</v>
      </c>
      <c r="I186" s="8">
        <f>wshopcalc[[#This Row],[On Order]]</f>
        <v>0</v>
      </c>
      <c r="J186" s="75">
        <f>IF(H186&lt;=F186,G186-H186-I186,0)</f>
        <v>0</v>
      </c>
      <c r="K186" s="77">
        <f>wshoprpt[[#This Row],[Current Stock]]*wshoprpt[[#This Row],[Cost Price]]</f>
        <v>13740</v>
      </c>
      <c r="L186" s="69">
        <f>wshoprpt[[#This Row],[Order Quantity]]*wshoprpt[[#This Row],[Cost Price]]</f>
        <v>0</v>
      </c>
    </row>
    <row r="187" spans="1:12" hidden="1" x14ac:dyDescent="0.3">
      <c r="A187" s="5" t="s">
        <v>376</v>
      </c>
      <c r="B187" s="73" t="s">
        <v>377</v>
      </c>
      <c r="C187" s="8" t="s">
        <v>357</v>
      </c>
      <c r="D187" s="74">
        <v>3500.75</v>
      </c>
      <c r="E187" s="8">
        <f>wshopcalc[[#This Row],[Safety Stock]]</f>
        <v>0</v>
      </c>
      <c r="F187" s="8">
        <f>wshopcalc[[#This Row],[Reorder Point (ROP)]]</f>
        <v>0</v>
      </c>
      <c r="G187" s="8">
        <f>wshopcalc[[#This Row],[Maximum Stock (MAX)]]</f>
        <v>0</v>
      </c>
      <c r="H187" s="49">
        <f>wshopcalc[[#This Row],[Current Stock]]</f>
        <v>2</v>
      </c>
      <c r="I187" s="8">
        <f>wshopcalc[[#This Row],[On Order]]</f>
        <v>0</v>
      </c>
      <c r="J187" s="75">
        <f t="shared" si="2"/>
        <v>0</v>
      </c>
      <c r="K187" s="77">
        <f>wshoprpt[[#This Row],[Current Stock]]*wshoprpt[[#This Row],[Cost Price]]</f>
        <v>7001.5</v>
      </c>
      <c r="L187" s="69">
        <f>wshoprpt[[#This Row],[Order Quantity]]*wshoprpt[[#This Row],[Cost Price]]</f>
        <v>0</v>
      </c>
    </row>
    <row r="188" spans="1:12" hidden="1" x14ac:dyDescent="0.3">
      <c r="A188" s="5" t="s">
        <v>378</v>
      </c>
      <c r="B188" s="73" t="s">
        <v>379</v>
      </c>
      <c r="C188" s="8" t="s">
        <v>357</v>
      </c>
      <c r="D188" s="74">
        <v>4804</v>
      </c>
      <c r="E188" s="8">
        <f>wshopcalc[[#This Row],[Safety Stock]]</f>
        <v>0</v>
      </c>
      <c r="F188" s="8">
        <f>wshopcalc[[#This Row],[Reorder Point (ROP)]]</f>
        <v>0</v>
      </c>
      <c r="G188" s="8">
        <f>wshopcalc[[#This Row],[Maximum Stock (MAX)]]</f>
        <v>0</v>
      </c>
      <c r="H188" s="49">
        <f>wshopcalc[[#This Row],[Current Stock]]</f>
        <v>3</v>
      </c>
      <c r="I188" s="8">
        <f>wshopcalc[[#This Row],[On Order]]</f>
        <v>0</v>
      </c>
      <c r="J188" s="75">
        <f t="shared" si="2"/>
        <v>0</v>
      </c>
      <c r="K188" s="77">
        <f>wshoprpt[[#This Row],[Current Stock]]*wshoprpt[[#This Row],[Cost Price]]</f>
        <v>14412</v>
      </c>
      <c r="L188" s="69">
        <f>wshoprpt[[#This Row],[Order Quantity]]*wshoprpt[[#This Row],[Cost Price]]</f>
        <v>0</v>
      </c>
    </row>
    <row r="189" spans="1:12" hidden="1" x14ac:dyDescent="0.3">
      <c r="A189" s="5" t="s">
        <v>380</v>
      </c>
      <c r="B189" s="73" t="s">
        <v>381</v>
      </c>
      <c r="C189" s="8" t="s">
        <v>382</v>
      </c>
      <c r="D189" s="74">
        <v>341</v>
      </c>
      <c r="E189" s="8">
        <f>wshopcalc[[#This Row],[Safety Stock]]</f>
        <v>1</v>
      </c>
      <c r="F189" s="8">
        <f>wshopcalc[[#This Row],[Reorder Point (ROP)]]</f>
        <v>3</v>
      </c>
      <c r="G189" s="8">
        <f>wshopcalc[[#This Row],[Maximum Stock (MAX)]]</f>
        <v>5</v>
      </c>
      <c r="H189" s="49">
        <f>wshopcalc[[#This Row],[Current Stock]]</f>
        <v>0</v>
      </c>
      <c r="I189" s="8">
        <f>wshopcalc[[#This Row],[On Order]]</f>
        <v>0</v>
      </c>
      <c r="J189" s="75">
        <f t="shared" si="2"/>
        <v>5</v>
      </c>
      <c r="K189" s="77">
        <f>wshoprpt[[#This Row],[Current Stock]]*wshoprpt[[#This Row],[Cost Price]]</f>
        <v>0</v>
      </c>
      <c r="L189" s="69">
        <f>wshoprpt[[#This Row],[Order Quantity]]*wshoprpt[[#This Row],[Cost Price]]</f>
        <v>1705</v>
      </c>
    </row>
    <row r="190" spans="1:12" hidden="1" x14ac:dyDescent="0.3">
      <c r="A190" s="5" t="s">
        <v>383</v>
      </c>
      <c r="B190" s="73" t="s">
        <v>384</v>
      </c>
      <c r="C190" s="8" t="s">
        <v>382</v>
      </c>
      <c r="D190" s="74">
        <v>448</v>
      </c>
      <c r="E190" s="8">
        <f>wshopcalc[[#This Row],[Safety Stock]]</f>
        <v>1</v>
      </c>
      <c r="F190" s="8">
        <f>wshopcalc[[#This Row],[Reorder Point (ROP)]]</f>
        <v>2</v>
      </c>
      <c r="G190" s="8">
        <f>wshopcalc[[#This Row],[Maximum Stock (MAX)]]</f>
        <v>3</v>
      </c>
      <c r="H190" s="49">
        <f>wshopcalc[[#This Row],[Current Stock]]</f>
        <v>4</v>
      </c>
      <c r="I190" s="8">
        <f>wshopcalc[[#This Row],[On Order]]</f>
        <v>0</v>
      </c>
      <c r="J190" s="75">
        <f t="shared" si="2"/>
        <v>0</v>
      </c>
      <c r="K190" s="77">
        <f>wshoprpt[[#This Row],[Current Stock]]*wshoprpt[[#This Row],[Cost Price]]</f>
        <v>1792</v>
      </c>
      <c r="L190" s="69">
        <f>wshoprpt[[#This Row],[Order Quantity]]*wshoprpt[[#This Row],[Cost Price]]</f>
        <v>0</v>
      </c>
    </row>
    <row r="191" spans="1:12" hidden="1" x14ac:dyDescent="0.3">
      <c r="A191" s="5" t="s">
        <v>385</v>
      </c>
      <c r="B191" s="73" t="s">
        <v>386</v>
      </c>
      <c r="C191" s="8" t="s">
        <v>382</v>
      </c>
      <c r="D191" s="74">
        <v>478</v>
      </c>
      <c r="E191" s="8">
        <f>wshopcalc[[#This Row],[Safety Stock]]</f>
        <v>3</v>
      </c>
      <c r="F191" s="8">
        <f>wshopcalc[[#This Row],[Reorder Point (ROP)]]</f>
        <v>9</v>
      </c>
      <c r="G191" s="8">
        <f>wshopcalc[[#This Row],[Maximum Stock (MAX)]]</f>
        <v>15</v>
      </c>
      <c r="H191" s="49">
        <f>wshopcalc[[#This Row],[Current Stock]]</f>
        <v>11</v>
      </c>
      <c r="I191" s="8">
        <f>wshopcalc[[#This Row],[On Order]]</f>
        <v>0</v>
      </c>
      <c r="J191" s="75">
        <f t="shared" si="2"/>
        <v>0</v>
      </c>
      <c r="K191" s="77">
        <f>wshoprpt[[#This Row],[Current Stock]]*wshoprpt[[#This Row],[Cost Price]]</f>
        <v>5258</v>
      </c>
      <c r="L191" s="69">
        <f>wshoprpt[[#This Row],[Order Quantity]]*wshoprpt[[#This Row],[Cost Price]]</f>
        <v>0</v>
      </c>
    </row>
    <row r="192" spans="1:12" hidden="1" x14ac:dyDescent="0.3">
      <c r="A192" s="5" t="s">
        <v>387</v>
      </c>
      <c r="B192" s="73" t="s">
        <v>388</v>
      </c>
      <c r="C192" s="8" t="s">
        <v>382</v>
      </c>
      <c r="D192" s="74">
        <v>250</v>
      </c>
      <c r="E192" s="8">
        <f>wshopcalc[[#This Row],[Safety Stock]]</f>
        <v>5</v>
      </c>
      <c r="F192" s="8">
        <f>wshopcalc[[#This Row],[Reorder Point (ROP)]]</f>
        <v>15</v>
      </c>
      <c r="G192" s="8">
        <f>wshopcalc[[#This Row],[Maximum Stock (MAX)]]</f>
        <v>25</v>
      </c>
      <c r="H192" s="49">
        <f>wshopcalc[[#This Row],[Current Stock]]</f>
        <v>6</v>
      </c>
      <c r="I192" s="8">
        <f>wshopcalc[[#This Row],[On Order]]</f>
        <v>0</v>
      </c>
      <c r="J192" s="75">
        <f t="shared" si="2"/>
        <v>19</v>
      </c>
      <c r="K192" s="77">
        <f>wshoprpt[[#This Row],[Current Stock]]*wshoprpt[[#This Row],[Cost Price]]</f>
        <v>1500</v>
      </c>
      <c r="L192" s="69">
        <f>wshoprpt[[#This Row],[Order Quantity]]*wshoprpt[[#This Row],[Cost Price]]</f>
        <v>4750</v>
      </c>
    </row>
    <row r="193" spans="1:12" hidden="1" x14ac:dyDescent="0.3">
      <c r="A193" s="5" t="s">
        <v>389</v>
      </c>
      <c r="B193" s="73" t="s">
        <v>390</v>
      </c>
      <c r="C193" s="8" t="s">
        <v>382</v>
      </c>
      <c r="D193" s="74">
        <v>595</v>
      </c>
      <c r="E193" s="8">
        <f>wshopcalc[[#This Row],[Safety Stock]]</f>
        <v>4</v>
      </c>
      <c r="F193" s="8">
        <f>wshopcalc[[#This Row],[Reorder Point (ROP)]]</f>
        <v>12</v>
      </c>
      <c r="G193" s="8">
        <f>wshopcalc[[#This Row],[Maximum Stock (MAX)]]</f>
        <v>20</v>
      </c>
      <c r="H193" s="49">
        <f>wshopcalc[[#This Row],[Current Stock]]</f>
        <v>6</v>
      </c>
      <c r="I193" s="8">
        <f>wshopcalc[[#This Row],[On Order]]</f>
        <v>0</v>
      </c>
      <c r="J193" s="75">
        <f t="shared" si="2"/>
        <v>14</v>
      </c>
      <c r="K193" s="77">
        <f>wshoprpt[[#This Row],[Current Stock]]*wshoprpt[[#This Row],[Cost Price]]</f>
        <v>3570</v>
      </c>
      <c r="L193" s="69">
        <f>wshoprpt[[#This Row],[Order Quantity]]*wshoprpt[[#This Row],[Cost Price]]</f>
        <v>8330</v>
      </c>
    </row>
    <row r="194" spans="1:12" hidden="1" x14ac:dyDescent="0.3">
      <c r="A194" s="5" t="s">
        <v>391</v>
      </c>
      <c r="B194" s="73" t="s">
        <v>392</v>
      </c>
      <c r="C194" s="8" t="s">
        <v>382</v>
      </c>
      <c r="D194" s="74">
        <v>679</v>
      </c>
      <c r="E194" s="8">
        <f>wshopcalc[[#This Row],[Safety Stock]]</f>
        <v>9</v>
      </c>
      <c r="F194" s="8">
        <f>wshopcalc[[#This Row],[Reorder Point (ROP)]]</f>
        <v>27</v>
      </c>
      <c r="G194" s="8">
        <f>wshopcalc[[#This Row],[Maximum Stock (MAX)]]</f>
        <v>45</v>
      </c>
      <c r="H194" s="49">
        <f>wshopcalc[[#This Row],[Current Stock]]</f>
        <v>29</v>
      </c>
      <c r="I194" s="8">
        <f>wshopcalc[[#This Row],[On Order]]</f>
        <v>0</v>
      </c>
      <c r="J194" s="75">
        <f t="shared" ref="J194:J228" si="3">IF(H194&lt;=F194,G194-H194-I194,0)</f>
        <v>0</v>
      </c>
      <c r="K194" s="77">
        <f>wshoprpt[[#This Row],[Current Stock]]*wshoprpt[[#This Row],[Cost Price]]</f>
        <v>19691</v>
      </c>
      <c r="L194" s="69">
        <f>wshoprpt[[#This Row],[Order Quantity]]*wshoprpt[[#This Row],[Cost Price]]</f>
        <v>0</v>
      </c>
    </row>
    <row r="195" spans="1:12" hidden="1" x14ac:dyDescent="0.3">
      <c r="A195" s="5" t="s">
        <v>393</v>
      </c>
      <c r="B195" s="73" t="s">
        <v>394</v>
      </c>
      <c r="C195" s="8" t="s">
        <v>382</v>
      </c>
      <c r="D195" s="74">
        <v>731</v>
      </c>
      <c r="E195" s="8">
        <f>wshopcalc[[#This Row],[Safety Stock]]</f>
        <v>2</v>
      </c>
      <c r="F195" s="8">
        <f>wshopcalc[[#This Row],[Reorder Point (ROP)]]</f>
        <v>5</v>
      </c>
      <c r="G195" s="8">
        <f>wshopcalc[[#This Row],[Maximum Stock (MAX)]]</f>
        <v>8</v>
      </c>
      <c r="H195" s="49">
        <f>wshopcalc[[#This Row],[Current Stock]]</f>
        <v>0</v>
      </c>
      <c r="I195" s="8">
        <f>wshopcalc[[#This Row],[On Order]]</f>
        <v>0</v>
      </c>
      <c r="J195" s="75">
        <f t="shared" si="3"/>
        <v>8</v>
      </c>
      <c r="K195" s="77">
        <f>wshoprpt[[#This Row],[Current Stock]]*wshoprpt[[#This Row],[Cost Price]]</f>
        <v>0</v>
      </c>
      <c r="L195" s="69">
        <f>wshoprpt[[#This Row],[Order Quantity]]*wshoprpt[[#This Row],[Cost Price]]</f>
        <v>5848</v>
      </c>
    </row>
    <row r="196" spans="1:12" hidden="1" x14ac:dyDescent="0.3">
      <c r="A196" s="5" t="s">
        <v>395</v>
      </c>
      <c r="B196" s="73" t="s">
        <v>396</v>
      </c>
      <c r="C196" s="8" t="s">
        <v>397</v>
      </c>
      <c r="D196" s="74">
        <v>30</v>
      </c>
      <c r="E196" s="8">
        <f>wshopcalc[[#This Row],[Safety Stock]]</f>
        <v>1</v>
      </c>
      <c r="F196" s="8">
        <f>wshopcalc[[#This Row],[Reorder Point (ROP)]]</f>
        <v>3</v>
      </c>
      <c r="G196" s="8">
        <f>wshopcalc[[#This Row],[Maximum Stock (MAX)]]</f>
        <v>5</v>
      </c>
      <c r="H196" s="49">
        <f>wshopcalc[[#This Row],[Current Stock]]</f>
        <v>16</v>
      </c>
      <c r="I196" s="8">
        <f>wshopcalc[[#This Row],[On Order]]</f>
        <v>0</v>
      </c>
      <c r="J196" s="75">
        <f t="shared" si="3"/>
        <v>0</v>
      </c>
      <c r="K196" s="77">
        <f>wshoprpt[[#This Row],[Current Stock]]*wshoprpt[[#This Row],[Cost Price]]</f>
        <v>480</v>
      </c>
      <c r="L196" s="69">
        <f>wshoprpt[[#This Row],[Order Quantity]]*wshoprpt[[#This Row],[Cost Price]]</f>
        <v>0</v>
      </c>
    </row>
    <row r="197" spans="1:12" hidden="1" x14ac:dyDescent="0.3">
      <c r="A197" s="10" t="s">
        <v>398</v>
      </c>
      <c r="B197" s="73" t="s">
        <v>399</v>
      </c>
      <c r="C197" s="8" t="s">
        <v>397</v>
      </c>
      <c r="D197" s="74">
        <v>0.24</v>
      </c>
      <c r="E197" s="8">
        <f>wshopcalc[[#This Row],[Safety Stock]]</f>
        <v>50</v>
      </c>
      <c r="F197" s="8">
        <f>wshopcalc[[#This Row],[Reorder Point (ROP)]]</f>
        <v>100</v>
      </c>
      <c r="G197" s="8">
        <f>wshopcalc[[#This Row],[Maximum Stock (MAX)]]</f>
        <v>150</v>
      </c>
      <c r="H197" s="49">
        <f>wshopcalc[[#This Row],[Current Stock]]</f>
        <v>200</v>
      </c>
      <c r="I197" s="8">
        <f>wshopcalc[[#This Row],[On Order]]</f>
        <v>0</v>
      </c>
      <c r="J197" s="75">
        <f t="shared" si="3"/>
        <v>0</v>
      </c>
      <c r="K197" s="77">
        <f>wshoprpt[[#This Row],[Current Stock]]*wshoprpt[[#This Row],[Cost Price]]</f>
        <v>48</v>
      </c>
      <c r="L197" s="69">
        <f>wshoprpt[[#This Row],[Order Quantity]]*wshoprpt[[#This Row],[Cost Price]]</f>
        <v>0</v>
      </c>
    </row>
    <row r="198" spans="1:12" hidden="1" x14ac:dyDescent="0.3">
      <c r="A198" s="5" t="s">
        <v>400</v>
      </c>
      <c r="B198" s="73" t="s">
        <v>401</v>
      </c>
      <c r="C198" s="8" t="s">
        <v>397</v>
      </c>
      <c r="D198" s="74">
        <v>0.24</v>
      </c>
      <c r="E198" s="8">
        <f>wshopcalc[[#This Row],[Safety Stock]]</f>
        <v>50</v>
      </c>
      <c r="F198" s="8">
        <f>wshopcalc[[#This Row],[Reorder Point (ROP)]]</f>
        <v>100</v>
      </c>
      <c r="G198" s="8">
        <f>wshopcalc[[#This Row],[Maximum Stock (MAX)]]</f>
        <v>150</v>
      </c>
      <c r="H198" s="49">
        <f>wshopcalc[[#This Row],[Current Stock]]</f>
        <v>800</v>
      </c>
      <c r="I198" s="8">
        <f>wshopcalc[[#This Row],[On Order]]</f>
        <v>0</v>
      </c>
      <c r="J198" s="75">
        <f t="shared" si="3"/>
        <v>0</v>
      </c>
      <c r="K198" s="77">
        <f>wshoprpt[[#This Row],[Current Stock]]*wshoprpt[[#This Row],[Cost Price]]</f>
        <v>192</v>
      </c>
      <c r="L198" s="69">
        <f>wshoprpt[[#This Row],[Order Quantity]]*wshoprpt[[#This Row],[Cost Price]]</f>
        <v>0</v>
      </c>
    </row>
    <row r="199" spans="1:12" hidden="1" x14ac:dyDescent="0.3">
      <c r="A199" s="5" t="s">
        <v>402</v>
      </c>
      <c r="B199" s="73" t="s">
        <v>403</v>
      </c>
      <c r="C199" s="8" t="s">
        <v>397</v>
      </c>
      <c r="D199" s="74">
        <v>30</v>
      </c>
      <c r="E199" s="8">
        <f>wshopcalc[[#This Row],[Safety Stock]]</f>
        <v>5</v>
      </c>
      <c r="F199" s="8">
        <f>wshopcalc[[#This Row],[Reorder Point (ROP)]]</f>
        <v>15</v>
      </c>
      <c r="G199" s="8">
        <f>wshopcalc[[#This Row],[Maximum Stock (MAX)]]</f>
        <v>25</v>
      </c>
      <c r="H199" s="49">
        <f>wshopcalc[[#This Row],[Current Stock]]</f>
        <v>21</v>
      </c>
      <c r="I199" s="8">
        <f>wshopcalc[[#This Row],[On Order]]</f>
        <v>0</v>
      </c>
      <c r="J199" s="75">
        <f t="shared" si="3"/>
        <v>0</v>
      </c>
      <c r="K199" s="77">
        <f>wshoprpt[[#This Row],[Current Stock]]*wshoprpt[[#This Row],[Cost Price]]</f>
        <v>630</v>
      </c>
      <c r="L199" s="69">
        <f>wshoprpt[[#This Row],[Order Quantity]]*wshoprpt[[#This Row],[Cost Price]]</f>
        <v>0</v>
      </c>
    </row>
    <row r="200" spans="1:12" hidden="1" x14ac:dyDescent="0.3">
      <c r="A200" s="5" t="s">
        <v>404</v>
      </c>
      <c r="B200" s="73" t="s">
        <v>405</v>
      </c>
      <c r="C200" s="8" t="s">
        <v>397</v>
      </c>
      <c r="D200" s="74">
        <v>30</v>
      </c>
      <c r="E200" s="8">
        <f>wshopcalc[[#This Row],[Safety Stock]]</f>
        <v>5</v>
      </c>
      <c r="F200" s="8">
        <f>wshopcalc[[#This Row],[Reorder Point (ROP)]]</f>
        <v>15</v>
      </c>
      <c r="G200" s="8">
        <f>wshopcalc[[#This Row],[Maximum Stock (MAX)]]</f>
        <v>25</v>
      </c>
      <c r="H200" s="49">
        <f>wshopcalc[[#This Row],[Current Stock]]</f>
        <v>32</v>
      </c>
      <c r="I200" s="8">
        <f>wshopcalc[[#This Row],[On Order]]</f>
        <v>0</v>
      </c>
      <c r="J200" s="75">
        <f t="shared" si="3"/>
        <v>0</v>
      </c>
      <c r="K200" s="77">
        <f>wshoprpt[[#This Row],[Current Stock]]*wshoprpt[[#This Row],[Cost Price]]</f>
        <v>960</v>
      </c>
      <c r="L200" s="69">
        <f>wshoprpt[[#This Row],[Order Quantity]]*wshoprpt[[#This Row],[Cost Price]]</f>
        <v>0</v>
      </c>
    </row>
    <row r="201" spans="1:12" hidden="1" x14ac:dyDescent="0.3">
      <c r="A201" s="5" t="s">
        <v>406</v>
      </c>
      <c r="B201" s="73" t="s">
        <v>407</v>
      </c>
      <c r="C201" s="8" t="s">
        <v>397</v>
      </c>
      <c r="D201" s="74">
        <v>30</v>
      </c>
      <c r="E201" s="8">
        <f>wshopcalc[[#This Row],[Safety Stock]]</f>
        <v>5</v>
      </c>
      <c r="F201" s="8">
        <f>wshopcalc[[#This Row],[Reorder Point (ROP)]]</f>
        <v>15</v>
      </c>
      <c r="G201" s="8">
        <f>wshopcalc[[#This Row],[Maximum Stock (MAX)]]</f>
        <v>25</v>
      </c>
      <c r="H201" s="49">
        <f>wshopcalc[[#This Row],[Current Stock]]</f>
        <v>44</v>
      </c>
      <c r="I201" s="8">
        <f>wshopcalc[[#This Row],[On Order]]</f>
        <v>0</v>
      </c>
      <c r="J201" s="75">
        <f t="shared" si="3"/>
        <v>0</v>
      </c>
      <c r="K201" s="77">
        <f>wshoprpt[[#This Row],[Current Stock]]*wshoprpt[[#This Row],[Cost Price]]</f>
        <v>1320</v>
      </c>
      <c r="L201" s="69">
        <f>wshoprpt[[#This Row],[Order Quantity]]*wshoprpt[[#This Row],[Cost Price]]</f>
        <v>0</v>
      </c>
    </row>
    <row r="202" spans="1:12" hidden="1" x14ac:dyDescent="0.3">
      <c r="A202" s="5" t="s">
        <v>408</v>
      </c>
      <c r="B202" s="73" t="s">
        <v>409</v>
      </c>
      <c r="C202" s="8" t="s">
        <v>397</v>
      </c>
      <c r="D202" s="74">
        <v>210</v>
      </c>
      <c r="E202" s="8">
        <f>wshopcalc[[#This Row],[Safety Stock]]</f>
        <v>1</v>
      </c>
      <c r="F202" s="8">
        <f>wshopcalc[[#This Row],[Reorder Point (ROP)]]</f>
        <v>3</v>
      </c>
      <c r="G202" s="8">
        <f>wshopcalc[[#This Row],[Maximum Stock (MAX)]]</f>
        <v>5</v>
      </c>
      <c r="H202" s="49">
        <f>wshopcalc[[#This Row],[Current Stock]]</f>
        <v>0</v>
      </c>
      <c r="I202" s="8">
        <f>wshopcalc[[#This Row],[On Order]]</f>
        <v>0</v>
      </c>
      <c r="J202" s="75">
        <f t="shared" si="3"/>
        <v>5</v>
      </c>
      <c r="K202" s="77">
        <f>wshoprpt[[#This Row],[Current Stock]]*wshoprpt[[#This Row],[Cost Price]]</f>
        <v>0</v>
      </c>
      <c r="L202" s="69">
        <f>wshoprpt[[#This Row],[Order Quantity]]*wshoprpt[[#This Row],[Cost Price]]</f>
        <v>1050</v>
      </c>
    </row>
    <row r="203" spans="1:12" hidden="1" x14ac:dyDescent="0.3">
      <c r="A203" s="5" t="s">
        <v>410</v>
      </c>
      <c r="B203" s="73" t="s">
        <v>411</v>
      </c>
      <c r="C203" s="8" t="s">
        <v>397</v>
      </c>
      <c r="D203" s="74">
        <v>4</v>
      </c>
      <c r="E203" s="8">
        <f>wshopcalc[[#This Row],[Safety Stock]]</f>
        <v>5</v>
      </c>
      <c r="F203" s="8">
        <f>wshopcalc[[#This Row],[Reorder Point (ROP)]]</f>
        <v>15</v>
      </c>
      <c r="G203" s="8">
        <f>wshopcalc[[#This Row],[Maximum Stock (MAX)]]</f>
        <v>25</v>
      </c>
      <c r="H203" s="49">
        <f>wshopcalc[[#This Row],[Current Stock]]</f>
        <v>50</v>
      </c>
      <c r="I203" s="8">
        <f>wshopcalc[[#This Row],[On Order]]</f>
        <v>0</v>
      </c>
      <c r="J203" s="75">
        <f t="shared" si="3"/>
        <v>0</v>
      </c>
      <c r="K203" s="77">
        <f>wshoprpt[[#This Row],[Current Stock]]*wshoprpt[[#This Row],[Cost Price]]</f>
        <v>200</v>
      </c>
      <c r="L203" s="69">
        <f>wshoprpt[[#This Row],[Order Quantity]]*wshoprpt[[#This Row],[Cost Price]]</f>
        <v>0</v>
      </c>
    </row>
    <row r="204" spans="1:12" hidden="1" x14ac:dyDescent="0.3">
      <c r="A204" s="5" t="s">
        <v>412</v>
      </c>
      <c r="B204" s="73" t="s">
        <v>413</v>
      </c>
      <c r="C204" s="8" t="s">
        <v>397</v>
      </c>
      <c r="D204" s="74">
        <v>12</v>
      </c>
      <c r="E204" s="8">
        <f>wshopcalc[[#This Row],[Safety Stock]]</f>
        <v>5</v>
      </c>
      <c r="F204" s="8">
        <f>wshopcalc[[#This Row],[Reorder Point (ROP)]]</f>
        <v>15</v>
      </c>
      <c r="G204" s="8">
        <f>wshopcalc[[#This Row],[Maximum Stock (MAX)]]</f>
        <v>25</v>
      </c>
      <c r="H204" s="49">
        <f>wshopcalc[[#This Row],[Current Stock]]</f>
        <v>24</v>
      </c>
      <c r="I204" s="8">
        <f>wshopcalc[[#This Row],[On Order]]</f>
        <v>0</v>
      </c>
      <c r="J204" s="75">
        <f t="shared" si="3"/>
        <v>0</v>
      </c>
      <c r="K204" s="77">
        <f>wshoprpt[[#This Row],[Current Stock]]*wshoprpt[[#This Row],[Cost Price]]</f>
        <v>288</v>
      </c>
      <c r="L204" s="69">
        <f>wshoprpt[[#This Row],[Order Quantity]]*wshoprpt[[#This Row],[Cost Price]]</f>
        <v>0</v>
      </c>
    </row>
    <row r="205" spans="1:12" hidden="1" x14ac:dyDescent="0.3">
      <c r="A205" s="5" t="s">
        <v>414</v>
      </c>
      <c r="B205" s="73" t="s">
        <v>415</v>
      </c>
      <c r="C205" s="8" t="s">
        <v>397</v>
      </c>
      <c r="D205" s="74">
        <v>18</v>
      </c>
      <c r="E205" s="8">
        <f>wshopcalc[[#This Row],[Safety Stock]]</f>
        <v>4</v>
      </c>
      <c r="F205" s="8">
        <f>wshopcalc[[#This Row],[Reorder Point (ROP)]]</f>
        <v>12</v>
      </c>
      <c r="G205" s="8">
        <f>wshopcalc[[#This Row],[Maximum Stock (MAX)]]</f>
        <v>20</v>
      </c>
      <c r="H205" s="49">
        <f>wshopcalc[[#This Row],[Current Stock]]</f>
        <v>15</v>
      </c>
      <c r="I205" s="8">
        <f>wshopcalc[[#This Row],[On Order]]</f>
        <v>0</v>
      </c>
      <c r="J205" s="75">
        <f t="shared" si="3"/>
        <v>0</v>
      </c>
      <c r="K205" s="77">
        <f>wshoprpt[[#This Row],[Current Stock]]*wshoprpt[[#This Row],[Cost Price]]</f>
        <v>270</v>
      </c>
      <c r="L205" s="69">
        <f>wshoprpt[[#This Row],[Order Quantity]]*wshoprpt[[#This Row],[Cost Price]]</f>
        <v>0</v>
      </c>
    </row>
    <row r="206" spans="1:12" hidden="1" x14ac:dyDescent="0.3">
      <c r="A206" s="5" t="s">
        <v>416</v>
      </c>
      <c r="B206" s="73" t="s">
        <v>417</v>
      </c>
      <c r="C206" s="8" t="s">
        <v>397</v>
      </c>
      <c r="D206" s="74">
        <v>32</v>
      </c>
      <c r="E206" s="8">
        <f>wshopcalc[[#This Row],[Safety Stock]]</f>
        <v>5</v>
      </c>
      <c r="F206" s="8">
        <f>wshopcalc[[#This Row],[Reorder Point (ROP)]]</f>
        <v>15</v>
      </c>
      <c r="G206" s="8">
        <f>wshopcalc[[#This Row],[Maximum Stock (MAX)]]</f>
        <v>25</v>
      </c>
      <c r="H206" s="49">
        <f>wshopcalc[[#This Row],[Current Stock]]</f>
        <v>20</v>
      </c>
      <c r="I206" s="8">
        <f>wshopcalc[[#This Row],[On Order]]</f>
        <v>0</v>
      </c>
      <c r="J206" s="75">
        <f t="shared" si="3"/>
        <v>0</v>
      </c>
      <c r="K206" s="77">
        <f>wshoprpt[[#This Row],[Current Stock]]*wshoprpt[[#This Row],[Cost Price]]</f>
        <v>640</v>
      </c>
      <c r="L206" s="69">
        <f>wshoprpt[[#This Row],[Order Quantity]]*wshoprpt[[#This Row],[Cost Price]]</f>
        <v>0</v>
      </c>
    </row>
    <row r="207" spans="1:12" hidden="1" x14ac:dyDescent="0.3">
      <c r="A207" s="5" t="s">
        <v>418</v>
      </c>
      <c r="B207" s="73" t="s">
        <v>419</v>
      </c>
      <c r="C207" s="8" t="s">
        <v>397</v>
      </c>
      <c r="D207" s="74">
        <v>12</v>
      </c>
      <c r="E207" s="8">
        <f>wshopcalc[[#This Row],[Safety Stock]]</f>
        <v>1</v>
      </c>
      <c r="F207" s="8">
        <f>wshopcalc[[#This Row],[Reorder Point (ROP)]]</f>
        <v>2</v>
      </c>
      <c r="G207" s="8">
        <f>wshopcalc[[#This Row],[Maximum Stock (MAX)]]</f>
        <v>3</v>
      </c>
      <c r="H207" s="49">
        <f>wshopcalc[[#This Row],[Current Stock]]</f>
        <v>0</v>
      </c>
      <c r="I207" s="8">
        <f>wshopcalc[[#This Row],[On Order]]</f>
        <v>0</v>
      </c>
      <c r="J207" s="75">
        <f t="shared" si="3"/>
        <v>3</v>
      </c>
      <c r="K207" s="77">
        <f>wshoprpt[[#This Row],[Current Stock]]*wshoprpt[[#This Row],[Cost Price]]</f>
        <v>0</v>
      </c>
      <c r="L207" s="69">
        <f>wshoprpt[[#This Row],[Order Quantity]]*wshoprpt[[#This Row],[Cost Price]]</f>
        <v>36</v>
      </c>
    </row>
    <row r="208" spans="1:12" hidden="1" x14ac:dyDescent="0.3">
      <c r="A208" s="5" t="s">
        <v>420</v>
      </c>
      <c r="B208" s="73" t="s">
        <v>421</v>
      </c>
      <c r="C208" s="8" t="s">
        <v>397</v>
      </c>
      <c r="D208" s="74">
        <v>4.3</v>
      </c>
      <c r="E208" s="8">
        <f>wshopcalc[[#This Row],[Safety Stock]]</f>
        <v>2</v>
      </c>
      <c r="F208" s="8">
        <f>wshopcalc[[#This Row],[Reorder Point (ROP)]]</f>
        <v>6</v>
      </c>
      <c r="G208" s="8">
        <f>wshopcalc[[#This Row],[Maximum Stock (MAX)]]</f>
        <v>10</v>
      </c>
      <c r="H208" s="49">
        <f>wshopcalc[[#This Row],[Current Stock]]</f>
        <v>1</v>
      </c>
      <c r="I208" s="8">
        <f>wshopcalc[[#This Row],[On Order]]</f>
        <v>0</v>
      </c>
      <c r="J208" s="75">
        <f t="shared" si="3"/>
        <v>9</v>
      </c>
      <c r="K208" s="77">
        <f>wshoprpt[[#This Row],[Current Stock]]*wshoprpt[[#This Row],[Cost Price]]</f>
        <v>4.3</v>
      </c>
      <c r="L208" s="69">
        <f>wshoprpt[[#This Row],[Order Quantity]]*wshoprpt[[#This Row],[Cost Price]]</f>
        <v>38.699999999999996</v>
      </c>
    </row>
    <row r="209" spans="1:12" hidden="1" x14ac:dyDescent="0.3">
      <c r="A209" s="5" t="s">
        <v>422</v>
      </c>
      <c r="B209" s="73" t="s">
        <v>423</v>
      </c>
      <c r="C209" s="8" t="s">
        <v>397</v>
      </c>
      <c r="D209" s="74">
        <v>15</v>
      </c>
      <c r="E209" s="8">
        <f>wshopcalc[[#This Row],[Safety Stock]]</f>
        <v>2</v>
      </c>
      <c r="F209" s="8">
        <f>wshopcalc[[#This Row],[Reorder Point (ROP)]]</f>
        <v>6</v>
      </c>
      <c r="G209" s="8">
        <f>wshopcalc[[#This Row],[Maximum Stock (MAX)]]</f>
        <v>10</v>
      </c>
      <c r="H209" s="49">
        <f>wshopcalc[[#This Row],[Current Stock]]</f>
        <v>1</v>
      </c>
      <c r="I209" s="8">
        <f>wshopcalc[[#This Row],[On Order]]</f>
        <v>0</v>
      </c>
      <c r="J209" s="75">
        <f t="shared" si="3"/>
        <v>9</v>
      </c>
      <c r="K209" s="77">
        <f>wshoprpt[[#This Row],[Current Stock]]*wshoprpt[[#This Row],[Cost Price]]</f>
        <v>15</v>
      </c>
      <c r="L209" s="69">
        <f>wshoprpt[[#This Row],[Order Quantity]]*wshoprpt[[#This Row],[Cost Price]]</f>
        <v>135</v>
      </c>
    </row>
    <row r="210" spans="1:12" hidden="1" x14ac:dyDescent="0.3">
      <c r="A210" s="5" t="s">
        <v>424</v>
      </c>
      <c r="B210" s="73" t="s">
        <v>425</v>
      </c>
      <c r="C210" s="8" t="s">
        <v>397</v>
      </c>
      <c r="D210" s="74">
        <v>18</v>
      </c>
      <c r="E210" s="8">
        <f>wshopcalc[[#This Row],[Safety Stock]]</f>
        <v>2</v>
      </c>
      <c r="F210" s="8">
        <f>wshopcalc[[#This Row],[Reorder Point (ROP)]]</f>
        <v>6</v>
      </c>
      <c r="G210" s="8">
        <f>wshopcalc[[#This Row],[Maximum Stock (MAX)]]</f>
        <v>10</v>
      </c>
      <c r="H210" s="49">
        <f>wshopcalc[[#This Row],[Current Stock]]</f>
        <v>1</v>
      </c>
      <c r="I210" s="8">
        <f>wshopcalc[[#This Row],[On Order]]</f>
        <v>0</v>
      </c>
      <c r="J210" s="75">
        <f t="shared" si="3"/>
        <v>9</v>
      </c>
      <c r="K210" s="77">
        <f>wshoprpt[[#This Row],[Current Stock]]*wshoprpt[[#This Row],[Cost Price]]</f>
        <v>18</v>
      </c>
      <c r="L210" s="69">
        <f>wshoprpt[[#This Row],[Order Quantity]]*wshoprpt[[#This Row],[Cost Price]]</f>
        <v>162</v>
      </c>
    </row>
    <row r="211" spans="1:12" hidden="1" x14ac:dyDescent="0.3">
      <c r="A211" s="5" t="s">
        <v>426</v>
      </c>
      <c r="B211" s="73" t="s">
        <v>427</v>
      </c>
      <c r="C211" s="8" t="s">
        <v>397</v>
      </c>
      <c r="D211" s="74">
        <v>20</v>
      </c>
      <c r="E211" s="8">
        <f>wshopcalc[[#This Row],[Safety Stock]]</f>
        <v>2</v>
      </c>
      <c r="F211" s="8">
        <f>wshopcalc[[#This Row],[Reorder Point (ROP)]]</f>
        <v>6</v>
      </c>
      <c r="G211" s="8">
        <f>wshopcalc[[#This Row],[Maximum Stock (MAX)]]</f>
        <v>10</v>
      </c>
      <c r="H211" s="49">
        <f>wshopcalc[[#This Row],[Current Stock]]</f>
        <v>1</v>
      </c>
      <c r="I211" s="8">
        <f>wshopcalc[[#This Row],[On Order]]</f>
        <v>0</v>
      </c>
      <c r="J211" s="75">
        <f t="shared" si="3"/>
        <v>9</v>
      </c>
      <c r="K211" s="77">
        <f>wshoprpt[[#This Row],[Current Stock]]*wshoprpt[[#This Row],[Cost Price]]</f>
        <v>20</v>
      </c>
      <c r="L211" s="69">
        <f>wshoprpt[[#This Row],[Order Quantity]]*wshoprpt[[#This Row],[Cost Price]]</f>
        <v>180</v>
      </c>
    </row>
    <row r="212" spans="1:12" hidden="1" x14ac:dyDescent="0.3">
      <c r="A212" s="5" t="s">
        <v>428</v>
      </c>
      <c r="B212" s="73" t="s">
        <v>429</v>
      </c>
      <c r="C212" s="8" t="s">
        <v>397</v>
      </c>
      <c r="D212" s="74">
        <v>291.06</v>
      </c>
      <c r="E212" s="8">
        <f>wshopcalc[[#This Row],[Safety Stock]]</f>
        <v>1</v>
      </c>
      <c r="F212" s="8">
        <f>wshopcalc[[#This Row],[Reorder Point (ROP)]]</f>
        <v>3</v>
      </c>
      <c r="G212" s="8">
        <f>wshopcalc[[#This Row],[Maximum Stock (MAX)]]</f>
        <v>5</v>
      </c>
      <c r="H212" s="49">
        <f>wshopcalc[[#This Row],[Current Stock]]</f>
        <v>6</v>
      </c>
      <c r="I212" s="8">
        <f>wshopcalc[[#This Row],[On Order]]</f>
        <v>0</v>
      </c>
      <c r="J212" s="75">
        <f t="shared" si="3"/>
        <v>0</v>
      </c>
      <c r="K212" s="77">
        <f>wshoprpt[[#This Row],[Current Stock]]*wshoprpt[[#This Row],[Cost Price]]</f>
        <v>1746.3600000000001</v>
      </c>
      <c r="L212" s="69">
        <f>wshoprpt[[#This Row],[Order Quantity]]*wshoprpt[[#This Row],[Cost Price]]</f>
        <v>0</v>
      </c>
    </row>
    <row r="213" spans="1:12" hidden="1" x14ac:dyDescent="0.3">
      <c r="A213" s="5" t="s">
        <v>430</v>
      </c>
      <c r="B213" s="73" t="s">
        <v>431</v>
      </c>
      <c r="C213" s="8" t="s">
        <v>397</v>
      </c>
      <c r="D213" s="74">
        <v>31.55</v>
      </c>
      <c r="E213" s="8">
        <f>wshopcalc[[#This Row],[Safety Stock]]</f>
        <v>13</v>
      </c>
      <c r="F213" s="8">
        <f>wshopcalc[[#This Row],[Reorder Point (ROP)]]</f>
        <v>38</v>
      </c>
      <c r="G213" s="8">
        <f>wshopcalc[[#This Row],[Maximum Stock (MAX)]]</f>
        <v>63</v>
      </c>
      <c r="H213" s="49">
        <f>wshopcalc[[#This Row],[Current Stock]]</f>
        <v>150</v>
      </c>
      <c r="I213" s="8">
        <f>wshopcalc[[#This Row],[On Order]]</f>
        <v>0</v>
      </c>
      <c r="J213" s="75">
        <f t="shared" si="3"/>
        <v>0</v>
      </c>
      <c r="K213" s="77">
        <f>wshoprpt[[#This Row],[Current Stock]]*wshoprpt[[#This Row],[Cost Price]]</f>
        <v>4732.5</v>
      </c>
      <c r="L213" s="69">
        <f>wshoprpt[[#This Row],[Order Quantity]]*wshoprpt[[#This Row],[Cost Price]]</f>
        <v>0</v>
      </c>
    </row>
    <row r="214" spans="1:12" ht="28.8" hidden="1" x14ac:dyDescent="0.3">
      <c r="A214" s="5" t="s">
        <v>432</v>
      </c>
      <c r="B214" s="73" t="s">
        <v>433</v>
      </c>
      <c r="C214" s="8" t="s">
        <v>397</v>
      </c>
      <c r="D214" s="74">
        <v>85</v>
      </c>
      <c r="E214" s="8">
        <f>wshopcalc[[#This Row],[Safety Stock]]</f>
        <v>2</v>
      </c>
      <c r="F214" s="8">
        <f>wshopcalc[[#This Row],[Reorder Point (ROP)]]</f>
        <v>6</v>
      </c>
      <c r="G214" s="8">
        <f>wshopcalc[[#This Row],[Maximum Stock (MAX)]]</f>
        <v>10</v>
      </c>
      <c r="H214" s="49">
        <f>wshopcalc[[#This Row],[Current Stock]]</f>
        <v>6</v>
      </c>
      <c r="I214" s="8">
        <f>wshopcalc[[#This Row],[On Order]]</f>
        <v>0</v>
      </c>
      <c r="J214" s="75">
        <f t="shared" si="3"/>
        <v>4</v>
      </c>
      <c r="K214" s="77">
        <f>wshoprpt[[#This Row],[Current Stock]]*wshoprpt[[#This Row],[Cost Price]]</f>
        <v>510</v>
      </c>
      <c r="L214" s="69">
        <f>wshoprpt[[#This Row],[Order Quantity]]*wshoprpt[[#This Row],[Cost Price]]</f>
        <v>340</v>
      </c>
    </row>
    <row r="215" spans="1:12" hidden="1" x14ac:dyDescent="0.3">
      <c r="A215" s="5" t="s">
        <v>434</v>
      </c>
      <c r="B215" s="73" t="s">
        <v>435</v>
      </c>
      <c r="C215" s="8" t="s">
        <v>397</v>
      </c>
      <c r="D215" s="74">
        <v>6.48</v>
      </c>
      <c r="E215" s="8">
        <f>wshopcalc[[#This Row],[Safety Stock]]</f>
        <v>8</v>
      </c>
      <c r="F215" s="8">
        <f>wshopcalc[[#This Row],[Reorder Point (ROP)]]</f>
        <v>23</v>
      </c>
      <c r="G215" s="8">
        <f>wshopcalc[[#This Row],[Maximum Stock (MAX)]]</f>
        <v>38</v>
      </c>
      <c r="H215" s="49">
        <f>wshopcalc[[#This Row],[Current Stock]]</f>
        <v>200</v>
      </c>
      <c r="I215" s="8">
        <f>wshopcalc[[#This Row],[On Order]]</f>
        <v>0</v>
      </c>
      <c r="J215" s="75">
        <f t="shared" si="3"/>
        <v>0</v>
      </c>
      <c r="K215" s="77">
        <f>wshoprpt[[#This Row],[Current Stock]]*wshoprpt[[#This Row],[Cost Price]]</f>
        <v>1296</v>
      </c>
      <c r="L215" s="69">
        <f>wshoprpt[[#This Row],[Order Quantity]]*wshoprpt[[#This Row],[Cost Price]]</f>
        <v>0</v>
      </c>
    </row>
    <row r="216" spans="1:12" hidden="1" x14ac:dyDescent="0.3">
      <c r="A216" s="5" t="s">
        <v>436</v>
      </c>
      <c r="B216" s="73" t="s">
        <v>437</v>
      </c>
      <c r="C216" s="8" t="s">
        <v>397</v>
      </c>
      <c r="D216" s="74">
        <v>6.48</v>
      </c>
      <c r="E216" s="8">
        <f>wshopcalc[[#This Row],[Safety Stock]]</f>
        <v>8</v>
      </c>
      <c r="F216" s="8">
        <f>wshopcalc[[#This Row],[Reorder Point (ROP)]]</f>
        <v>23</v>
      </c>
      <c r="G216" s="8">
        <f>wshopcalc[[#This Row],[Maximum Stock (MAX)]]</f>
        <v>38</v>
      </c>
      <c r="H216" s="49">
        <f>wshopcalc[[#This Row],[Current Stock]]</f>
        <v>30</v>
      </c>
      <c r="I216" s="8">
        <f>wshopcalc[[#This Row],[On Order]]</f>
        <v>0</v>
      </c>
      <c r="J216" s="75">
        <f t="shared" si="3"/>
        <v>0</v>
      </c>
      <c r="K216" s="77">
        <f>wshoprpt[[#This Row],[Current Stock]]*wshoprpt[[#This Row],[Cost Price]]</f>
        <v>194.4</v>
      </c>
      <c r="L216" s="69">
        <f>wshoprpt[[#This Row],[Order Quantity]]*wshoprpt[[#This Row],[Cost Price]]</f>
        <v>0</v>
      </c>
    </row>
    <row r="217" spans="1:12" hidden="1" x14ac:dyDescent="0.3">
      <c r="A217" s="5" t="s">
        <v>438</v>
      </c>
      <c r="B217" s="73" t="s">
        <v>439</v>
      </c>
      <c r="C217" s="8" t="s">
        <v>397</v>
      </c>
      <c r="D217" s="74">
        <v>5.22</v>
      </c>
      <c r="E217" s="8">
        <f>wshopcalc[[#This Row],[Safety Stock]]</f>
        <v>8</v>
      </c>
      <c r="F217" s="8">
        <f>wshopcalc[[#This Row],[Reorder Point (ROP)]]</f>
        <v>23</v>
      </c>
      <c r="G217" s="8">
        <f>wshopcalc[[#This Row],[Maximum Stock (MAX)]]</f>
        <v>38</v>
      </c>
      <c r="H217" s="49">
        <f>wshopcalc[[#This Row],[Current Stock]]</f>
        <v>500</v>
      </c>
      <c r="I217" s="8">
        <f>wshopcalc[[#This Row],[On Order]]</f>
        <v>0</v>
      </c>
      <c r="J217" s="75">
        <f t="shared" si="3"/>
        <v>0</v>
      </c>
      <c r="K217" s="77">
        <f>wshoprpt[[#This Row],[Current Stock]]*wshoprpt[[#This Row],[Cost Price]]</f>
        <v>2610</v>
      </c>
      <c r="L217" s="69">
        <f>wshoprpt[[#This Row],[Order Quantity]]*wshoprpt[[#This Row],[Cost Price]]</f>
        <v>0</v>
      </c>
    </row>
    <row r="218" spans="1:12" hidden="1" x14ac:dyDescent="0.3">
      <c r="A218" s="5" t="s">
        <v>440</v>
      </c>
      <c r="B218" s="73" t="s">
        <v>441</v>
      </c>
      <c r="C218" s="8" t="s">
        <v>397</v>
      </c>
      <c r="D218" s="74">
        <v>7.11</v>
      </c>
      <c r="E218" s="8">
        <f>wshopcalc[[#This Row],[Safety Stock]]</f>
        <v>3</v>
      </c>
      <c r="F218" s="8">
        <f>wshopcalc[[#This Row],[Reorder Point (ROP)]]</f>
        <v>8</v>
      </c>
      <c r="G218" s="8">
        <f>wshopcalc[[#This Row],[Maximum Stock (MAX)]]</f>
        <v>13</v>
      </c>
      <c r="H218" s="49">
        <f>wshopcalc[[#This Row],[Current Stock]]</f>
        <v>300</v>
      </c>
      <c r="I218" s="8">
        <f>wshopcalc[[#This Row],[On Order]]</f>
        <v>0</v>
      </c>
      <c r="J218" s="75">
        <f t="shared" si="3"/>
        <v>0</v>
      </c>
      <c r="K218" s="77">
        <f>wshoprpt[[#This Row],[Current Stock]]*wshoprpt[[#This Row],[Cost Price]]</f>
        <v>2133</v>
      </c>
      <c r="L218" s="69">
        <f>wshoprpt[[#This Row],[Order Quantity]]*wshoprpt[[#This Row],[Cost Price]]</f>
        <v>0</v>
      </c>
    </row>
    <row r="219" spans="1:12" hidden="1" x14ac:dyDescent="0.3">
      <c r="A219" s="5" t="s">
        <v>442</v>
      </c>
      <c r="B219" s="73" t="s">
        <v>443</v>
      </c>
      <c r="C219" s="8" t="s">
        <v>397</v>
      </c>
      <c r="D219" s="74">
        <v>243.48</v>
      </c>
      <c r="E219" s="8">
        <f>wshopcalc[[#This Row],[Safety Stock]]</f>
        <v>1</v>
      </c>
      <c r="F219" s="8">
        <f>wshopcalc[[#This Row],[Reorder Point (ROP)]]</f>
        <v>3</v>
      </c>
      <c r="G219" s="8">
        <f>wshopcalc[[#This Row],[Maximum Stock (MAX)]]</f>
        <v>5</v>
      </c>
      <c r="H219" s="49">
        <f>wshopcalc[[#This Row],[Current Stock]]</f>
        <v>2</v>
      </c>
      <c r="I219" s="8">
        <f>wshopcalc[[#This Row],[On Order]]</f>
        <v>0</v>
      </c>
      <c r="J219" s="75">
        <f t="shared" si="3"/>
        <v>3</v>
      </c>
      <c r="K219" s="77">
        <f>wshoprpt[[#This Row],[Current Stock]]*wshoprpt[[#This Row],[Cost Price]]</f>
        <v>486.96</v>
      </c>
      <c r="L219" s="69">
        <f>wshoprpt[[#This Row],[Order Quantity]]*wshoprpt[[#This Row],[Cost Price]]</f>
        <v>730.43999999999994</v>
      </c>
    </row>
    <row r="220" spans="1:12" hidden="1" x14ac:dyDescent="0.3">
      <c r="A220" s="11" t="s">
        <v>444</v>
      </c>
      <c r="B220" s="73" t="s">
        <v>445</v>
      </c>
      <c r="C220" s="8" t="s">
        <v>397</v>
      </c>
      <c r="D220" s="74">
        <v>0.63</v>
      </c>
      <c r="E220" s="8">
        <f>wshopcalc[[#This Row],[Safety Stock]]</f>
        <v>40</v>
      </c>
      <c r="F220" s="8">
        <f>wshopcalc[[#This Row],[Reorder Point (ROP)]]</f>
        <v>120</v>
      </c>
      <c r="G220" s="8">
        <f>wshopcalc[[#This Row],[Maximum Stock (MAX)]]</f>
        <v>200</v>
      </c>
      <c r="H220" s="49">
        <f>wshopcalc[[#This Row],[Current Stock]]</f>
        <v>1000</v>
      </c>
      <c r="I220" s="8">
        <f>wshopcalc[[#This Row],[On Order]]</f>
        <v>0</v>
      </c>
      <c r="J220" s="75">
        <f t="shared" si="3"/>
        <v>0</v>
      </c>
      <c r="K220" s="77">
        <f>wshoprpt[[#This Row],[Current Stock]]*wshoprpt[[#This Row],[Cost Price]]</f>
        <v>630</v>
      </c>
      <c r="L220" s="69">
        <f>wshoprpt[[#This Row],[Order Quantity]]*wshoprpt[[#This Row],[Cost Price]]</f>
        <v>0</v>
      </c>
    </row>
    <row r="221" spans="1:12" hidden="1" x14ac:dyDescent="0.3">
      <c r="A221" s="5" t="s">
        <v>446</v>
      </c>
      <c r="B221" s="73" t="s">
        <v>447</v>
      </c>
      <c r="C221" s="8" t="s">
        <v>397</v>
      </c>
      <c r="D221" s="74">
        <v>0.7</v>
      </c>
      <c r="E221" s="8">
        <f>wshopcalc[[#This Row],[Safety Stock]]</f>
        <v>40</v>
      </c>
      <c r="F221" s="8">
        <f>wshopcalc[[#This Row],[Reorder Point (ROP)]]</f>
        <v>120</v>
      </c>
      <c r="G221" s="8">
        <f>wshopcalc[[#This Row],[Maximum Stock (MAX)]]</f>
        <v>200</v>
      </c>
      <c r="H221" s="49">
        <f>wshopcalc[[#This Row],[Current Stock]]</f>
        <v>800</v>
      </c>
      <c r="I221" s="8">
        <f>wshopcalc[[#This Row],[On Order]]</f>
        <v>0</v>
      </c>
      <c r="J221" s="75">
        <f t="shared" si="3"/>
        <v>0</v>
      </c>
      <c r="K221" s="77">
        <f>wshoprpt[[#This Row],[Current Stock]]*wshoprpt[[#This Row],[Cost Price]]</f>
        <v>560</v>
      </c>
      <c r="L221" s="69">
        <f>wshoprpt[[#This Row],[Order Quantity]]*wshoprpt[[#This Row],[Cost Price]]</f>
        <v>0</v>
      </c>
    </row>
    <row r="222" spans="1:12" hidden="1" x14ac:dyDescent="0.3">
      <c r="A222" s="11" t="s">
        <v>448</v>
      </c>
      <c r="B222" s="73" t="s">
        <v>449</v>
      </c>
      <c r="C222" s="8" t="s">
        <v>397</v>
      </c>
      <c r="D222" s="74">
        <v>0.91</v>
      </c>
      <c r="E222" s="8">
        <f>wshopcalc[[#This Row],[Safety Stock]]</f>
        <v>10</v>
      </c>
      <c r="F222" s="8">
        <f>wshopcalc[[#This Row],[Reorder Point (ROP)]]</f>
        <v>30</v>
      </c>
      <c r="G222" s="8">
        <f>wshopcalc[[#This Row],[Maximum Stock (MAX)]]</f>
        <v>50</v>
      </c>
      <c r="H222" s="49">
        <f>wshopcalc[[#This Row],[Current Stock]]</f>
        <v>300</v>
      </c>
      <c r="I222" s="8">
        <f>wshopcalc[[#This Row],[On Order]]</f>
        <v>0</v>
      </c>
      <c r="J222" s="75">
        <f t="shared" si="3"/>
        <v>0</v>
      </c>
      <c r="K222" s="77">
        <f>wshoprpt[[#This Row],[Current Stock]]*wshoprpt[[#This Row],[Cost Price]]</f>
        <v>273</v>
      </c>
      <c r="L222" s="69">
        <f>wshoprpt[[#This Row],[Order Quantity]]*wshoprpt[[#This Row],[Cost Price]]</f>
        <v>0</v>
      </c>
    </row>
    <row r="223" spans="1:12" ht="28.8" hidden="1" x14ac:dyDescent="0.3">
      <c r="A223" s="5" t="s">
        <v>450</v>
      </c>
      <c r="B223" s="73" t="s">
        <v>451</v>
      </c>
      <c r="C223" s="8" t="s">
        <v>397</v>
      </c>
      <c r="D223" s="74">
        <v>1.69</v>
      </c>
      <c r="E223" s="8">
        <f>wshopcalc[[#This Row],[Safety Stock]]</f>
        <v>13</v>
      </c>
      <c r="F223" s="8">
        <f>wshopcalc[[#This Row],[Reorder Point (ROP)]]</f>
        <v>38</v>
      </c>
      <c r="G223" s="8">
        <f>wshopcalc[[#This Row],[Maximum Stock (MAX)]]</f>
        <v>63</v>
      </c>
      <c r="H223" s="49">
        <f>wshopcalc[[#This Row],[Current Stock]]</f>
        <v>150</v>
      </c>
      <c r="I223" s="8">
        <f>wshopcalc[[#This Row],[On Order]]</f>
        <v>0</v>
      </c>
      <c r="J223" s="75">
        <f t="shared" si="3"/>
        <v>0</v>
      </c>
      <c r="K223" s="77">
        <f>wshoprpt[[#This Row],[Current Stock]]*wshoprpt[[#This Row],[Cost Price]]</f>
        <v>253.5</v>
      </c>
      <c r="L223" s="69">
        <f>wshoprpt[[#This Row],[Order Quantity]]*wshoprpt[[#This Row],[Cost Price]]</f>
        <v>0</v>
      </c>
    </row>
    <row r="224" spans="1:12" hidden="1" x14ac:dyDescent="0.3">
      <c r="A224" s="5" t="s">
        <v>452</v>
      </c>
      <c r="B224" s="73" t="s">
        <v>453</v>
      </c>
      <c r="C224" s="8" t="s">
        <v>397</v>
      </c>
      <c r="D224" s="74">
        <v>496.99</v>
      </c>
      <c r="E224" s="8">
        <f>wshopcalc[[#This Row],[Safety Stock]]</f>
        <v>25</v>
      </c>
      <c r="F224" s="8">
        <f>wshopcalc[[#This Row],[Reorder Point (ROP)]]</f>
        <v>75</v>
      </c>
      <c r="G224" s="8">
        <f>wshopcalc[[#This Row],[Maximum Stock (MAX)]]</f>
        <v>125</v>
      </c>
      <c r="H224" s="49">
        <f>wshopcalc[[#This Row],[Current Stock]]</f>
        <v>1100</v>
      </c>
      <c r="I224" s="8">
        <f>wshopcalc[[#This Row],[On Order]]</f>
        <v>0</v>
      </c>
      <c r="J224" s="75">
        <f t="shared" si="3"/>
        <v>0</v>
      </c>
      <c r="K224" s="77">
        <f>wshoprpt[[#This Row],[Current Stock]]*wshoprpt[[#This Row],[Cost Price]]</f>
        <v>546689</v>
      </c>
      <c r="L224" s="69">
        <f>wshoprpt[[#This Row],[Order Quantity]]*wshoprpt[[#This Row],[Cost Price]]</f>
        <v>0</v>
      </c>
    </row>
    <row r="225" spans="1:12" hidden="1" x14ac:dyDescent="0.3">
      <c r="A225" s="5" t="s">
        <v>454</v>
      </c>
      <c r="B225" s="73" t="s">
        <v>455</v>
      </c>
      <c r="C225" s="8" t="s">
        <v>397</v>
      </c>
      <c r="D225" s="74">
        <v>77.05</v>
      </c>
      <c r="E225" s="8">
        <f>wshopcalc[[#This Row],[Safety Stock]]</f>
        <v>15</v>
      </c>
      <c r="F225" s="8">
        <f>wshopcalc[[#This Row],[Reorder Point (ROP)]]</f>
        <v>45</v>
      </c>
      <c r="G225" s="8">
        <f>wshopcalc[[#This Row],[Maximum Stock (MAX)]]</f>
        <v>75</v>
      </c>
      <c r="H225" s="49">
        <f>wshopcalc[[#This Row],[Current Stock]]</f>
        <v>131</v>
      </c>
      <c r="I225" s="8">
        <f>wshopcalc[[#This Row],[On Order]]</f>
        <v>0</v>
      </c>
      <c r="J225" s="75">
        <f t="shared" si="3"/>
        <v>0</v>
      </c>
      <c r="K225" s="77">
        <f>wshoprpt[[#This Row],[Current Stock]]*wshoprpt[[#This Row],[Cost Price]]</f>
        <v>10093.549999999999</v>
      </c>
      <c r="L225" s="69">
        <f>wshoprpt[[#This Row],[Order Quantity]]*wshoprpt[[#This Row],[Cost Price]]</f>
        <v>0</v>
      </c>
    </row>
    <row r="226" spans="1:12" hidden="1" x14ac:dyDescent="0.3">
      <c r="A226" s="5" t="s">
        <v>456</v>
      </c>
      <c r="B226" s="73" t="s">
        <v>457</v>
      </c>
      <c r="C226" s="8" t="s">
        <v>397</v>
      </c>
      <c r="D226" s="74">
        <v>169.6</v>
      </c>
      <c r="E226" s="8">
        <f>wshopcalc[[#This Row],[Safety Stock]]</f>
        <v>6</v>
      </c>
      <c r="F226" s="8">
        <f>wshopcalc[[#This Row],[Reorder Point (ROP)]]</f>
        <v>18</v>
      </c>
      <c r="G226" s="8">
        <f>wshopcalc[[#This Row],[Maximum Stock (MAX)]]</f>
        <v>30</v>
      </c>
      <c r="H226" s="49">
        <f>wshopcalc[[#This Row],[Current Stock]]</f>
        <v>11</v>
      </c>
      <c r="I226" s="8">
        <f>wshopcalc[[#This Row],[On Order]]</f>
        <v>0</v>
      </c>
      <c r="J226" s="75">
        <f t="shared" si="3"/>
        <v>19</v>
      </c>
      <c r="K226" s="77">
        <f>wshoprpt[[#This Row],[Current Stock]]*wshoprpt[[#This Row],[Cost Price]]</f>
        <v>1865.6</v>
      </c>
      <c r="L226" s="69">
        <f>wshoprpt[[#This Row],[Order Quantity]]*wshoprpt[[#This Row],[Cost Price]]</f>
        <v>3222.4</v>
      </c>
    </row>
    <row r="227" spans="1:12" hidden="1" x14ac:dyDescent="0.3">
      <c r="A227" s="5" t="s">
        <v>458</v>
      </c>
      <c r="B227" s="73" t="s">
        <v>459</v>
      </c>
      <c r="C227" s="8" t="s">
        <v>397</v>
      </c>
      <c r="D227" s="74">
        <v>670.43</v>
      </c>
      <c r="E227" s="8">
        <f>wshopcalc[[#This Row],[Safety Stock]]</f>
        <v>5</v>
      </c>
      <c r="F227" s="8">
        <f>wshopcalc[[#This Row],[Reorder Point (ROP)]]</f>
        <v>15</v>
      </c>
      <c r="G227" s="8">
        <f>wshopcalc[[#This Row],[Maximum Stock (MAX)]]</f>
        <v>25</v>
      </c>
      <c r="H227" s="49">
        <f>wshopcalc[[#This Row],[Current Stock]]</f>
        <v>10</v>
      </c>
      <c r="I227" s="8">
        <f>wshopcalc[[#This Row],[On Order]]</f>
        <v>0</v>
      </c>
      <c r="J227" s="75">
        <f t="shared" si="3"/>
        <v>15</v>
      </c>
      <c r="K227" s="77">
        <f>wshoprpt[[#This Row],[Current Stock]]*wshoprpt[[#This Row],[Cost Price]]</f>
        <v>6704.2999999999993</v>
      </c>
      <c r="L227" s="69">
        <f>wshoprpt[[#This Row],[Order Quantity]]*wshoprpt[[#This Row],[Cost Price]]</f>
        <v>10056.449999999999</v>
      </c>
    </row>
    <row r="228" spans="1:12" hidden="1" x14ac:dyDescent="0.3">
      <c r="A228" s="5" t="s">
        <v>460</v>
      </c>
      <c r="B228" s="73" t="s">
        <v>461</v>
      </c>
      <c r="C228" s="8" t="s">
        <v>397</v>
      </c>
      <c r="D228" s="74">
        <v>0</v>
      </c>
      <c r="E228" s="8">
        <f>wshopcalc[[#This Row],[Safety Stock]]</f>
        <v>5</v>
      </c>
      <c r="F228" s="8">
        <f>wshopcalc[[#This Row],[Reorder Point (ROP)]]</f>
        <v>15</v>
      </c>
      <c r="G228" s="8">
        <f>wshopcalc[[#This Row],[Maximum Stock (MAX)]]</f>
        <v>25</v>
      </c>
      <c r="H228" s="49">
        <f>wshopcalc[[#This Row],[Current Stock]]</f>
        <v>0</v>
      </c>
      <c r="I228" s="8">
        <f>wshopcalc[[#This Row],[On Order]]</f>
        <v>0</v>
      </c>
      <c r="J228" s="75">
        <f t="shared" si="3"/>
        <v>25</v>
      </c>
      <c r="K228" s="77">
        <f>wshoprpt[[#This Row],[Current Stock]]*wshoprpt[[#This Row],[Cost Price]]</f>
        <v>0</v>
      </c>
      <c r="L228" s="69">
        <f>wshoprpt[[#This Row],[Order Quantity]]*wshoprpt[[#This Row],[Cost Price]]</f>
        <v>0</v>
      </c>
    </row>
    <row r="229" spans="1:12" hidden="1" x14ac:dyDescent="0.3">
      <c r="A229" s="5" t="s">
        <v>468</v>
      </c>
      <c r="B229" s="73" t="s">
        <v>469</v>
      </c>
      <c r="C229" s="8" t="s">
        <v>397</v>
      </c>
      <c r="D229" s="74">
        <v>279.60000000000002</v>
      </c>
      <c r="E229" s="8">
        <f>wshopcalc[[#This Row],[Safety Stock]]</f>
        <v>3</v>
      </c>
      <c r="F229" s="8">
        <f>wshopcalc[[#This Row],[Reorder Point (ROP)]]</f>
        <v>8</v>
      </c>
      <c r="G229" s="8">
        <f>wshopcalc[[#This Row],[Maximum Stock (MAX)]]</f>
        <v>13</v>
      </c>
      <c r="H229" s="49">
        <f>wshopcalc[[#This Row],[Current Stock]]</f>
        <v>12</v>
      </c>
      <c r="I229" s="8">
        <f>wshopcalc[[#This Row],[On Order]]</f>
        <v>0</v>
      </c>
      <c r="J229" s="75">
        <f>IF(H229&lt;=F229,G229-H229-I229,0)</f>
        <v>0</v>
      </c>
      <c r="K229" s="77">
        <f>wshoprpt[[#This Row],[Current Stock]]*wshoprpt[[#This Row],[Cost Price]]</f>
        <v>3355.2000000000003</v>
      </c>
      <c r="L229" s="69">
        <f>wshoprpt[[#This Row],[Order Quantity]]*wshoprpt[[#This Row],[Cost Price]]</f>
        <v>0</v>
      </c>
    </row>
    <row r="230" spans="1:12" x14ac:dyDescent="0.3">
      <c r="A230" s="5" t="s">
        <v>4636</v>
      </c>
      <c r="B230" s="73" t="s">
        <v>4635</v>
      </c>
      <c r="C230" s="8" t="s">
        <v>3945</v>
      </c>
      <c r="D230" s="74">
        <v>133</v>
      </c>
      <c r="E230" s="8">
        <f>wshopcalc[[#This Row],[Safety Stock]]</f>
        <v>0</v>
      </c>
      <c r="F230" s="8">
        <f>wshopcalc[[#This Row],[Reorder Point (ROP)]]</f>
        <v>0</v>
      </c>
      <c r="G230" s="8">
        <f>wshopcalc[[#This Row],[Maximum Stock (MAX)]]</f>
        <v>0</v>
      </c>
      <c r="H230" s="49">
        <f>wshopcalc[[#This Row],[Current Stock]]</f>
        <v>5</v>
      </c>
      <c r="I230" s="8">
        <f>wshopcalc[[#This Row],[On Order]]</f>
        <v>0</v>
      </c>
      <c r="J230" s="75">
        <f t="shared" ref="J230:J248" si="4">IF(H230&lt;=F230,G230-H230-I230,0)</f>
        <v>0</v>
      </c>
      <c r="K230" s="77">
        <f>wshoprpt[[#This Row],[Current Stock]]*wshoprpt[[#This Row],[Cost Price]]</f>
        <v>665</v>
      </c>
      <c r="L230" s="69">
        <f>wshoprpt[[#This Row],[Order Quantity]]*wshoprpt[[#This Row],[Cost Price]]</f>
        <v>0</v>
      </c>
    </row>
    <row r="231" spans="1:12" x14ac:dyDescent="0.3">
      <c r="A231" s="5" t="s">
        <v>4516</v>
      </c>
      <c r="B231" s="73" t="s">
        <v>4515</v>
      </c>
      <c r="C231" s="8" t="s">
        <v>3945</v>
      </c>
      <c r="D231" s="74">
        <v>213</v>
      </c>
      <c r="E231" s="8">
        <f>wshopcalc[[#This Row],[Safety Stock]]</f>
        <v>0</v>
      </c>
      <c r="F231" s="8">
        <f>wshopcalc[[#This Row],[Reorder Point (ROP)]]</f>
        <v>0</v>
      </c>
      <c r="G231" s="8">
        <f>wshopcalc[[#This Row],[Maximum Stock (MAX)]]</f>
        <v>0</v>
      </c>
      <c r="H231" s="49">
        <f>wshopcalc[[#This Row],[Current Stock]]</f>
        <v>1</v>
      </c>
      <c r="I231" s="8">
        <f>wshopcalc[[#This Row],[On Order]]</f>
        <v>0</v>
      </c>
      <c r="J231" s="75">
        <f t="shared" si="4"/>
        <v>0</v>
      </c>
      <c r="K231" s="77">
        <f>wshoprpt[[#This Row],[Current Stock]]*wshoprpt[[#This Row],[Cost Price]]</f>
        <v>213</v>
      </c>
      <c r="L231" s="69">
        <f>wshoprpt[[#This Row],[Order Quantity]]*wshoprpt[[#This Row],[Cost Price]]</f>
        <v>0</v>
      </c>
    </row>
    <row r="232" spans="1:12" x14ac:dyDescent="0.3">
      <c r="A232" s="5" t="s">
        <v>5591</v>
      </c>
      <c r="B232" s="73" t="s">
        <v>5592</v>
      </c>
      <c r="C232" s="8" t="s">
        <v>3945</v>
      </c>
      <c r="D232" s="74">
        <v>400</v>
      </c>
      <c r="E232" s="8">
        <f>wshopcalc[[#This Row],[Safety Stock]]</f>
        <v>0</v>
      </c>
      <c r="F232" s="8">
        <f>wshopcalc[[#This Row],[Reorder Point (ROP)]]</f>
        <v>0</v>
      </c>
      <c r="G232" s="8">
        <f>wshopcalc[[#This Row],[Maximum Stock (MAX)]]</f>
        <v>0</v>
      </c>
      <c r="H232" s="49">
        <f>wshopcalc[[#This Row],[Current Stock]]</f>
        <v>2</v>
      </c>
      <c r="I232" s="8">
        <f>wshopcalc[[#This Row],[On Order]]</f>
        <v>0</v>
      </c>
      <c r="J232" s="75">
        <f t="shared" si="4"/>
        <v>0</v>
      </c>
      <c r="K232" s="77">
        <f>wshoprpt[[#This Row],[Current Stock]]*wshoprpt[[#This Row],[Cost Price]]</f>
        <v>800</v>
      </c>
      <c r="L232" s="69">
        <f>wshoprpt[[#This Row],[Order Quantity]]*wshoprpt[[#This Row],[Cost Price]]</f>
        <v>0</v>
      </c>
    </row>
    <row r="233" spans="1:12" x14ac:dyDescent="0.3">
      <c r="A233" s="5" t="s">
        <v>4370</v>
      </c>
      <c r="B233" s="73" t="s">
        <v>4369</v>
      </c>
      <c r="C233" s="8" t="s">
        <v>3945</v>
      </c>
      <c r="D233" s="74">
        <v>400</v>
      </c>
      <c r="E233" s="8">
        <f>wshopcalc[[#This Row],[Safety Stock]]</f>
        <v>0</v>
      </c>
      <c r="F233" s="8">
        <f>wshopcalc[[#This Row],[Reorder Point (ROP)]]</f>
        <v>0</v>
      </c>
      <c r="G233" s="8">
        <f>wshopcalc[[#This Row],[Maximum Stock (MAX)]]</f>
        <v>0</v>
      </c>
      <c r="H233" s="49">
        <f>wshopcalc[[#This Row],[Current Stock]]</f>
        <v>2</v>
      </c>
      <c r="I233" s="8">
        <f>wshopcalc[[#This Row],[On Order]]</f>
        <v>0</v>
      </c>
      <c r="J233" s="75">
        <f t="shared" si="4"/>
        <v>0</v>
      </c>
      <c r="K233" s="77">
        <f>wshoprpt[[#This Row],[Current Stock]]*wshoprpt[[#This Row],[Cost Price]]</f>
        <v>800</v>
      </c>
      <c r="L233" s="69">
        <f>wshoprpt[[#This Row],[Order Quantity]]*wshoprpt[[#This Row],[Cost Price]]</f>
        <v>0</v>
      </c>
    </row>
    <row r="234" spans="1:12" x14ac:dyDescent="0.3">
      <c r="A234" s="5" t="s">
        <v>4368</v>
      </c>
      <c r="B234" s="73" t="s">
        <v>4367</v>
      </c>
      <c r="C234" s="8" t="s">
        <v>3945</v>
      </c>
      <c r="D234" s="74">
        <v>400</v>
      </c>
      <c r="E234" s="8">
        <f>wshopcalc[[#This Row],[Safety Stock]]</f>
        <v>0</v>
      </c>
      <c r="F234" s="8">
        <f>wshopcalc[[#This Row],[Reorder Point (ROP)]]</f>
        <v>0</v>
      </c>
      <c r="G234" s="8">
        <f>wshopcalc[[#This Row],[Maximum Stock (MAX)]]</f>
        <v>0</v>
      </c>
      <c r="H234" s="49">
        <f>wshopcalc[[#This Row],[Current Stock]]</f>
        <v>0</v>
      </c>
      <c r="I234" s="8">
        <f>wshopcalc[[#This Row],[On Order]]</f>
        <v>0</v>
      </c>
      <c r="J234" s="75">
        <f t="shared" si="4"/>
        <v>0</v>
      </c>
      <c r="K234" s="77">
        <f>wshoprpt[[#This Row],[Current Stock]]*wshoprpt[[#This Row],[Cost Price]]</f>
        <v>0</v>
      </c>
      <c r="L234" s="69">
        <f>wshoprpt[[#This Row],[Order Quantity]]*wshoprpt[[#This Row],[Cost Price]]</f>
        <v>0</v>
      </c>
    </row>
    <row r="235" spans="1:12" x14ac:dyDescent="0.3">
      <c r="A235" s="5" t="s">
        <v>5593</v>
      </c>
      <c r="B235" s="73" t="s">
        <v>5594</v>
      </c>
      <c r="C235" s="8" t="s">
        <v>3945</v>
      </c>
      <c r="D235" s="74">
        <v>447</v>
      </c>
      <c r="E235" s="8">
        <f>wshopcalc[[#This Row],[Safety Stock]]</f>
        <v>0</v>
      </c>
      <c r="F235" s="8">
        <f>wshopcalc[[#This Row],[Reorder Point (ROP)]]</f>
        <v>0</v>
      </c>
      <c r="G235" s="8">
        <f>wshopcalc[[#This Row],[Maximum Stock (MAX)]]</f>
        <v>0</v>
      </c>
      <c r="H235" s="49">
        <f>wshopcalc[[#This Row],[Current Stock]]</f>
        <v>2</v>
      </c>
      <c r="I235" s="8">
        <f>wshopcalc[[#This Row],[On Order]]</f>
        <v>0</v>
      </c>
      <c r="J235" s="75">
        <f t="shared" si="4"/>
        <v>0</v>
      </c>
      <c r="K235" s="77">
        <f>wshoprpt[[#This Row],[Current Stock]]*wshoprpt[[#This Row],[Cost Price]]</f>
        <v>894</v>
      </c>
      <c r="L235" s="69">
        <f>wshoprpt[[#This Row],[Order Quantity]]*wshoprpt[[#This Row],[Cost Price]]</f>
        <v>0</v>
      </c>
    </row>
    <row r="236" spans="1:12" x14ac:dyDescent="0.3">
      <c r="A236" s="5" t="s">
        <v>4315</v>
      </c>
      <c r="B236" s="73" t="s">
        <v>4314</v>
      </c>
      <c r="C236" s="8" t="s">
        <v>3945</v>
      </c>
      <c r="D236" s="74">
        <v>447</v>
      </c>
      <c r="E236" s="8">
        <f>wshopcalc[[#This Row],[Safety Stock]]</f>
        <v>0</v>
      </c>
      <c r="F236" s="8">
        <f>wshopcalc[[#This Row],[Reorder Point (ROP)]]</f>
        <v>0</v>
      </c>
      <c r="G236" s="8">
        <f>wshopcalc[[#This Row],[Maximum Stock (MAX)]]</f>
        <v>0</v>
      </c>
      <c r="H236" s="49">
        <f>wshopcalc[[#This Row],[Current Stock]]</f>
        <v>5</v>
      </c>
      <c r="I236" s="8">
        <f>wshopcalc[[#This Row],[On Order]]</f>
        <v>0</v>
      </c>
      <c r="J236" s="75">
        <f t="shared" si="4"/>
        <v>0</v>
      </c>
      <c r="K236" s="77">
        <f>wshoprpt[[#This Row],[Current Stock]]*wshoprpt[[#This Row],[Cost Price]]</f>
        <v>2235</v>
      </c>
      <c r="L236" s="69">
        <f>wshoprpt[[#This Row],[Order Quantity]]*wshoprpt[[#This Row],[Cost Price]]</f>
        <v>0</v>
      </c>
    </row>
    <row r="237" spans="1:12" x14ac:dyDescent="0.3">
      <c r="A237" s="5" t="s">
        <v>4313</v>
      </c>
      <c r="B237" s="73" t="s">
        <v>4312</v>
      </c>
      <c r="C237" s="8" t="s">
        <v>3945</v>
      </c>
      <c r="D237" s="74">
        <v>559</v>
      </c>
      <c r="E237" s="8">
        <f>wshopcalc[[#This Row],[Safety Stock]]</f>
        <v>0</v>
      </c>
      <c r="F237" s="8">
        <f>wshopcalc[[#This Row],[Reorder Point (ROP)]]</f>
        <v>0</v>
      </c>
      <c r="G237" s="8">
        <f>wshopcalc[[#This Row],[Maximum Stock (MAX)]]</f>
        <v>0</v>
      </c>
      <c r="H237" s="49">
        <f>wshopcalc[[#This Row],[Current Stock]]</f>
        <v>0</v>
      </c>
      <c r="I237" s="8">
        <f>wshopcalc[[#This Row],[On Order]]</f>
        <v>0</v>
      </c>
      <c r="J237" s="75">
        <f t="shared" si="4"/>
        <v>0</v>
      </c>
      <c r="K237" s="77">
        <f>wshoprpt[[#This Row],[Current Stock]]*wshoprpt[[#This Row],[Cost Price]]</f>
        <v>0</v>
      </c>
      <c r="L237" s="69">
        <f>wshoprpt[[#This Row],[Order Quantity]]*wshoprpt[[#This Row],[Cost Price]]</f>
        <v>0</v>
      </c>
    </row>
    <row r="238" spans="1:12" x14ac:dyDescent="0.3">
      <c r="A238" s="5" t="s">
        <v>5595</v>
      </c>
      <c r="B238" s="73" t="s">
        <v>5596</v>
      </c>
      <c r="C238" s="8" t="s">
        <v>3945</v>
      </c>
      <c r="D238" s="74">
        <v>503</v>
      </c>
      <c r="E238" s="8">
        <f>wshopcalc[[#This Row],[Safety Stock]]</f>
        <v>0</v>
      </c>
      <c r="F238" s="8">
        <f>wshopcalc[[#This Row],[Reorder Point (ROP)]]</f>
        <v>0</v>
      </c>
      <c r="G238" s="8">
        <f>wshopcalc[[#This Row],[Maximum Stock (MAX)]]</f>
        <v>0</v>
      </c>
      <c r="H238" s="49">
        <f>wshopcalc[[#This Row],[Current Stock]]</f>
        <v>3</v>
      </c>
      <c r="I238" s="8">
        <f>wshopcalc[[#This Row],[On Order]]</f>
        <v>0</v>
      </c>
      <c r="J238" s="75">
        <f t="shared" si="4"/>
        <v>0</v>
      </c>
      <c r="K238" s="77">
        <f>wshoprpt[[#This Row],[Current Stock]]*wshoprpt[[#This Row],[Cost Price]]</f>
        <v>1509</v>
      </c>
      <c r="L238" s="69">
        <f>wshoprpt[[#This Row],[Order Quantity]]*wshoprpt[[#This Row],[Cost Price]]</f>
        <v>0</v>
      </c>
    </row>
    <row r="239" spans="1:12" x14ac:dyDescent="0.3">
      <c r="A239" s="5" t="s">
        <v>4238</v>
      </c>
      <c r="B239" s="73" t="s">
        <v>4237</v>
      </c>
      <c r="C239" s="8" t="s">
        <v>3945</v>
      </c>
      <c r="D239" s="74">
        <v>503</v>
      </c>
      <c r="E239" s="8">
        <f>wshopcalc[[#This Row],[Safety Stock]]</f>
        <v>0</v>
      </c>
      <c r="F239" s="8">
        <f>wshopcalc[[#This Row],[Reorder Point (ROP)]]</f>
        <v>0</v>
      </c>
      <c r="G239" s="8">
        <f>wshopcalc[[#This Row],[Maximum Stock (MAX)]]</f>
        <v>0</v>
      </c>
      <c r="H239" s="49">
        <f>wshopcalc[[#This Row],[Current Stock]]</f>
        <v>5</v>
      </c>
      <c r="I239" s="8">
        <f>wshopcalc[[#This Row],[On Order]]</f>
        <v>0</v>
      </c>
      <c r="J239" s="75">
        <f t="shared" si="4"/>
        <v>0</v>
      </c>
      <c r="K239" s="77">
        <f>wshoprpt[[#This Row],[Current Stock]]*wshoprpt[[#This Row],[Cost Price]]</f>
        <v>2515</v>
      </c>
      <c r="L239" s="69">
        <f>wshoprpt[[#This Row],[Order Quantity]]*wshoprpt[[#This Row],[Cost Price]]</f>
        <v>0</v>
      </c>
    </row>
    <row r="240" spans="1:12" x14ac:dyDescent="0.3">
      <c r="A240" s="5" t="s">
        <v>4236</v>
      </c>
      <c r="B240" s="73" t="s">
        <v>4235</v>
      </c>
      <c r="C240" s="8" t="s">
        <v>3945</v>
      </c>
      <c r="D240" s="74">
        <v>628</v>
      </c>
      <c r="E240" s="8">
        <f>wshopcalc[[#This Row],[Safety Stock]]</f>
        <v>0</v>
      </c>
      <c r="F240" s="8">
        <f>wshopcalc[[#This Row],[Reorder Point (ROP)]]</f>
        <v>0</v>
      </c>
      <c r="G240" s="8">
        <f>wshopcalc[[#This Row],[Maximum Stock (MAX)]]</f>
        <v>0</v>
      </c>
      <c r="H240" s="49">
        <f>wshopcalc[[#This Row],[Current Stock]]</f>
        <v>0</v>
      </c>
      <c r="I240" s="8">
        <f>wshopcalc[[#This Row],[On Order]]</f>
        <v>0</v>
      </c>
      <c r="J240" s="75">
        <f t="shared" si="4"/>
        <v>0</v>
      </c>
      <c r="K240" s="77">
        <f>wshoprpt[[#This Row],[Current Stock]]*wshoprpt[[#This Row],[Cost Price]]</f>
        <v>0</v>
      </c>
      <c r="L240" s="69">
        <f>wshoprpt[[#This Row],[Order Quantity]]*wshoprpt[[#This Row],[Cost Price]]</f>
        <v>0</v>
      </c>
    </row>
    <row r="241" spans="1:12" x14ac:dyDescent="0.3">
      <c r="A241" s="5" t="s">
        <v>5597</v>
      </c>
      <c r="B241" s="73" t="s">
        <v>5598</v>
      </c>
      <c r="C241" s="8" t="s">
        <v>3945</v>
      </c>
      <c r="D241" s="74">
        <v>566</v>
      </c>
      <c r="E241" s="8">
        <f>wshopcalc[[#This Row],[Safety Stock]]</f>
        <v>0</v>
      </c>
      <c r="F241" s="8">
        <f>wshopcalc[[#This Row],[Reorder Point (ROP)]]</f>
        <v>0</v>
      </c>
      <c r="G241" s="8">
        <f>wshopcalc[[#This Row],[Maximum Stock (MAX)]]</f>
        <v>0</v>
      </c>
      <c r="H241" s="49">
        <f>wshopcalc[[#This Row],[Current Stock]]</f>
        <v>3</v>
      </c>
      <c r="I241" s="8">
        <f>wshopcalc[[#This Row],[On Order]]</f>
        <v>0</v>
      </c>
      <c r="J241" s="75">
        <f t="shared" si="4"/>
        <v>0</v>
      </c>
      <c r="K241" s="77">
        <f>wshoprpt[[#This Row],[Current Stock]]*wshoprpt[[#This Row],[Cost Price]]</f>
        <v>1698</v>
      </c>
      <c r="L241" s="69">
        <f>wshoprpt[[#This Row],[Order Quantity]]*wshoprpt[[#This Row],[Cost Price]]</f>
        <v>0</v>
      </c>
    </row>
    <row r="242" spans="1:12" x14ac:dyDescent="0.3">
      <c r="A242" s="5" t="s">
        <v>4096</v>
      </c>
      <c r="B242" s="73" t="s">
        <v>4095</v>
      </c>
      <c r="C242" s="8" t="s">
        <v>3945</v>
      </c>
      <c r="D242" s="74">
        <v>566</v>
      </c>
      <c r="E242" s="8">
        <f>wshopcalc[[#This Row],[Safety Stock]]</f>
        <v>0</v>
      </c>
      <c r="F242" s="8">
        <f>wshopcalc[[#This Row],[Reorder Point (ROP)]]</f>
        <v>0</v>
      </c>
      <c r="G242" s="8">
        <f>wshopcalc[[#This Row],[Maximum Stock (MAX)]]</f>
        <v>0</v>
      </c>
      <c r="H242" s="49">
        <f>wshopcalc[[#This Row],[Current Stock]]</f>
        <v>4</v>
      </c>
      <c r="I242" s="8">
        <f>wshopcalc[[#This Row],[On Order]]</f>
        <v>0</v>
      </c>
      <c r="J242" s="75">
        <f t="shared" si="4"/>
        <v>0</v>
      </c>
      <c r="K242" s="77">
        <f>wshoprpt[[#This Row],[Current Stock]]*wshoprpt[[#This Row],[Cost Price]]</f>
        <v>2264</v>
      </c>
      <c r="L242" s="69">
        <f>wshoprpt[[#This Row],[Order Quantity]]*wshoprpt[[#This Row],[Cost Price]]</f>
        <v>0</v>
      </c>
    </row>
    <row r="243" spans="1:12" x14ac:dyDescent="0.3">
      <c r="A243" s="5" t="s">
        <v>4094</v>
      </c>
      <c r="B243" s="73" t="s">
        <v>4093</v>
      </c>
      <c r="C243" s="8" t="s">
        <v>3945</v>
      </c>
      <c r="D243" s="74">
        <v>703</v>
      </c>
      <c r="E243" s="8">
        <f>wshopcalc[[#This Row],[Safety Stock]]</f>
        <v>0</v>
      </c>
      <c r="F243" s="8">
        <f>wshopcalc[[#This Row],[Reorder Point (ROP)]]</f>
        <v>0</v>
      </c>
      <c r="G243" s="8">
        <f>wshopcalc[[#This Row],[Maximum Stock (MAX)]]</f>
        <v>0</v>
      </c>
      <c r="H243" s="49">
        <f>wshopcalc[[#This Row],[Current Stock]]</f>
        <v>0</v>
      </c>
      <c r="I243" s="8">
        <f>wshopcalc[[#This Row],[On Order]]</f>
        <v>0</v>
      </c>
      <c r="J243" s="75">
        <f t="shared" si="4"/>
        <v>0</v>
      </c>
      <c r="K243" s="77">
        <f>wshoprpt[[#This Row],[Current Stock]]*wshoprpt[[#This Row],[Cost Price]]</f>
        <v>0</v>
      </c>
      <c r="L243" s="69">
        <f>wshoprpt[[#This Row],[Order Quantity]]*wshoprpt[[#This Row],[Cost Price]]</f>
        <v>0</v>
      </c>
    </row>
    <row r="244" spans="1:12" x14ac:dyDescent="0.3">
      <c r="A244" s="5" t="s">
        <v>5599</v>
      </c>
      <c r="B244" s="73" t="s">
        <v>5600</v>
      </c>
      <c r="C244" s="8" t="s">
        <v>3945</v>
      </c>
      <c r="D244" s="74">
        <v>637</v>
      </c>
      <c r="E244" s="8">
        <f>wshopcalc[[#This Row],[Safety Stock]]</f>
        <v>0</v>
      </c>
      <c r="F244" s="8">
        <f>wshopcalc[[#This Row],[Reorder Point (ROP)]]</f>
        <v>0</v>
      </c>
      <c r="G244" s="8">
        <f>wshopcalc[[#This Row],[Maximum Stock (MAX)]]</f>
        <v>0</v>
      </c>
      <c r="H244" s="49">
        <f>wshopcalc[[#This Row],[Current Stock]]</f>
        <v>1</v>
      </c>
      <c r="I244" s="8">
        <f>wshopcalc[[#This Row],[On Order]]</f>
        <v>0</v>
      </c>
      <c r="J244" s="75">
        <f t="shared" si="4"/>
        <v>0</v>
      </c>
      <c r="K244" s="77">
        <f>wshoprpt[[#This Row],[Current Stock]]*wshoprpt[[#This Row],[Cost Price]]</f>
        <v>637</v>
      </c>
      <c r="L244" s="69">
        <f>wshoprpt[[#This Row],[Order Quantity]]*wshoprpt[[#This Row],[Cost Price]]</f>
        <v>0</v>
      </c>
    </row>
    <row r="245" spans="1:12" x14ac:dyDescent="0.3">
      <c r="A245" s="5" t="s">
        <v>4017</v>
      </c>
      <c r="B245" s="73" t="s">
        <v>4016</v>
      </c>
      <c r="C245" s="8" t="s">
        <v>3945</v>
      </c>
      <c r="D245" s="74">
        <v>637</v>
      </c>
      <c r="E245" s="8">
        <f>wshopcalc[[#This Row],[Safety Stock]]</f>
        <v>0</v>
      </c>
      <c r="F245" s="8">
        <f>wshopcalc[[#This Row],[Reorder Point (ROP)]]</f>
        <v>0</v>
      </c>
      <c r="G245" s="8">
        <f>wshopcalc[[#This Row],[Maximum Stock (MAX)]]</f>
        <v>0</v>
      </c>
      <c r="H245" s="49">
        <f>wshopcalc[[#This Row],[Current Stock]]</f>
        <v>2</v>
      </c>
      <c r="I245" s="8">
        <f>wshopcalc[[#This Row],[On Order]]</f>
        <v>0</v>
      </c>
      <c r="J245" s="75">
        <f t="shared" si="4"/>
        <v>0</v>
      </c>
      <c r="K245" s="77">
        <f>wshoprpt[[#This Row],[Current Stock]]*wshoprpt[[#This Row],[Cost Price]]</f>
        <v>1274</v>
      </c>
      <c r="L245" s="69">
        <f>wshoprpt[[#This Row],[Order Quantity]]*wshoprpt[[#This Row],[Cost Price]]</f>
        <v>0</v>
      </c>
    </row>
    <row r="246" spans="1:12" x14ac:dyDescent="0.3">
      <c r="A246" s="5" t="s">
        <v>5601</v>
      </c>
      <c r="B246" s="73" t="s">
        <v>5602</v>
      </c>
      <c r="C246" s="8" t="s">
        <v>3945</v>
      </c>
      <c r="D246" s="74">
        <v>797</v>
      </c>
      <c r="E246" s="8">
        <f>wshopcalc[[#This Row],[Safety Stock]]</f>
        <v>0</v>
      </c>
      <c r="F246" s="8">
        <f>wshopcalc[[#This Row],[Reorder Point (ROP)]]</f>
        <v>0</v>
      </c>
      <c r="G246" s="8">
        <f>wshopcalc[[#This Row],[Maximum Stock (MAX)]]</f>
        <v>0</v>
      </c>
      <c r="H246" s="49">
        <f>wshopcalc[[#This Row],[Current Stock]]</f>
        <v>1</v>
      </c>
      <c r="I246" s="8">
        <f>wshopcalc[[#This Row],[On Order]]</f>
        <v>0</v>
      </c>
      <c r="J246" s="75">
        <f t="shared" si="4"/>
        <v>0</v>
      </c>
      <c r="K246" s="77">
        <f>wshoprpt[[#This Row],[Current Stock]]*wshoprpt[[#This Row],[Cost Price]]</f>
        <v>797</v>
      </c>
      <c r="L246" s="69">
        <f>wshoprpt[[#This Row],[Order Quantity]]*wshoprpt[[#This Row],[Cost Price]]</f>
        <v>0</v>
      </c>
    </row>
    <row r="247" spans="1:12" x14ac:dyDescent="0.3">
      <c r="A247" s="5" t="s">
        <v>4015</v>
      </c>
      <c r="B247" s="73" t="s">
        <v>4014</v>
      </c>
      <c r="C247" s="8" t="s">
        <v>3945</v>
      </c>
      <c r="D247" s="74">
        <v>797</v>
      </c>
      <c r="E247" s="8">
        <f>wshopcalc[[#This Row],[Safety Stock]]</f>
        <v>0</v>
      </c>
      <c r="F247" s="8">
        <f>wshopcalc[[#This Row],[Reorder Point (ROP)]]</f>
        <v>0</v>
      </c>
      <c r="G247" s="8">
        <f>wshopcalc[[#This Row],[Maximum Stock (MAX)]]</f>
        <v>0</v>
      </c>
      <c r="H247" s="49">
        <f>wshopcalc[[#This Row],[Current Stock]]</f>
        <v>3</v>
      </c>
      <c r="I247" s="8">
        <f>wshopcalc[[#This Row],[On Order]]</f>
        <v>0</v>
      </c>
      <c r="J247" s="75">
        <f t="shared" si="4"/>
        <v>0</v>
      </c>
      <c r="K247" s="77">
        <f>wshoprpt[[#This Row],[Current Stock]]*wshoprpt[[#This Row],[Cost Price]]</f>
        <v>2391</v>
      </c>
      <c r="L247" s="69">
        <f>wshoprpt[[#This Row],[Order Quantity]]*wshoprpt[[#This Row],[Cost Price]]</f>
        <v>0</v>
      </c>
    </row>
    <row r="248" spans="1:12" x14ac:dyDescent="0.3">
      <c r="A248" s="5" t="s">
        <v>3947</v>
      </c>
      <c r="B248" s="73" t="s">
        <v>3946</v>
      </c>
      <c r="C248" s="8" t="s">
        <v>3945</v>
      </c>
      <c r="D248" s="74">
        <v>897</v>
      </c>
      <c r="E248" s="8">
        <f>wshopcalc[[#This Row],[Safety Stock]]</f>
        <v>0</v>
      </c>
      <c r="F248" s="8">
        <f>wshopcalc[[#This Row],[Reorder Point (ROP)]]</f>
        <v>0</v>
      </c>
      <c r="G248" s="8">
        <f>wshopcalc[[#This Row],[Maximum Stock (MAX)]]</f>
        <v>0</v>
      </c>
      <c r="H248" s="49">
        <v>5</v>
      </c>
      <c r="I248" s="8">
        <f>wshopcalc[[#This Row],[On Order]]</f>
        <v>0</v>
      </c>
      <c r="J248" s="75">
        <f t="shared" si="4"/>
        <v>0</v>
      </c>
      <c r="K248" s="77">
        <f>wshoprpt[[#This Row],[Current Stock]]*wshoprpt[[#This Row],[Cost Price]]</f>
        <v>4485</v>
      </c>
      <c r="L248" s="69">
        <f>wshoprpt[[#This Row],[Order Quantity]]*wshoprpt[[#This Row],[Cost Price]]</f>
        <v>0</v>
      </c>
    </row>
    <row r="249" spans="1:12" x14ac:dyDescent="0.3">
      <c r="A249" s="5" t="s">
        <v>5452</v>
      </c>
      <c r="B249" s="73" t="s">
        <v>5451</v>
      </c>
      <c r="C249" s="8" t="s">
        <v>3945</v>
      </c>
      <c r="D249" s="74">
        <v>797</v>
      </c>
      <c r="E249" s="8">
        <f>wshopcalc[[#This Row],[Safety Stock]]</f>
        <v>0</v>
      </c>
      <c r="F249" s="8">
        <f>wshopcalc[[#This Row],[Reorder Point (ROP)]]</f>
        <v>0</v>
      </c>
      <c r="G249" s="8">
        <f>wshopcalc[[#This Row],[Maximum Stock (MAX)]]</f>
        <v>0</v>
      </c>
      <c r="H249" s="49"/>
      <c r="I249" s="8">
        <f>wshopcalc[[#This Row],[On Order]]</f>
        <v>0</v>
      </c>
      <c r="J249" s="75">
        <f>IF(H249&lt;=F249,G249-H249-I249,0)</f>
        <v>0</v>
      </c>
      <c r="K249" s="77">
        <f>wshoprpt[[#This Row],[Current Stock]]*wshoprpt[[#This Row],[Cost Price]]</f>
        <v>0</v>
      </c>
      <c r="L249" s="69">
        <f>wshoprpt[[#This Row],[Order Quantity]]*wshoprpt[[#This Row],[Cost Price]]</f>
        <v>0</v>
      </c>
    </row>
    <row r="250" spans="1:12" x14ac:dyDescent="0.3">
      <c r="A250" s="61" t="s">
        <v>5450</v>
      </c>
      <c r="B250" s="79" t="s">
        <v>5449</v>
      </c>
      <c r="C250" s="63" t="s">
        <v>3945</v>
      </c>
      <c r="D250" s="80">
        <v>997</v>
      </c>
      <c r="E250" s="63">
        <f>wshopcalc[[#This Row],[Safety Stock]]</f>
        <v>0</v>
      </c>
      <c r="F250" s="63">
        <f>wshopcalc[[#This Row],[Reorder Point (ROP)]]</f>
        <v>0</v>
      </c>
      <c r="G250" s="63">
        <f>wshopcalc[[#This Row],[Maximum Stock (MAX)]]</f>
        <v>0</v>
      </c>
      <c r="H250" s="65"/>
      <c r="I250" s="8">
        <f>wshopcalc[[#This Row],[On Order]]</f>
        <v>0</v>
      </c>
      <c r="J250" s="81">
        <f>IF(H250&lt;=F250,G250-H250-I250,0)</f>
        <v>0</v>
      </c>
      <c r="K250" s="82">
        <f>wshoprpt[[#This Row],[Current Stock]]*wshoprpt[[#This Row],[Cost Price]]</f>
        <v>0</v>
      </c>
      <c r="L250" s="70">
        <f>wshoprpt[[#This Row],[Order Quantity]]*wshoprpt[[#This Row],[Cost Price]]</f>
        <v>0</v>
      </c>
    </row>
    <row r="251" spans="1:12" x14ac:dyDescent="0.3">
      <c r="A251" s="61"/>
      <c r="B251" s="79"/>
      <c r="C251" s="63"/>
      <c r="D251" s="80"/>
      <c r="E251" s="63"/>
      <c r="F251" s="63"/>
      <c r="G251" s="63"/>
      <c r="H251" s="65"/>
      <c r="I251" s="63"/>
      <c r="J251" s="81"/>
      <c r="K251" s="82">
        <f>SUBTOTAL(109,wshoprpt[Stock Value])</f>
        <v>128219.2</v>
      </c>
      <c r="L251" s="70">
        <f>SUBTOTAL(109,wshoprpt[Order Value])</f>
        <v>52441</v>
      </c>
    </row>
  </sheetData>
  <pageMargins left="0.23622047244094491" right="0.23622047244094491" top="0.74803149606299213" bottom="0.74803149606299213" header="0.31496062992125984" footer="0.31496062992125984"/>
  <pageSetup paperSize="9" scale="74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A15B-B3A5-493D-963A-AA9D40019EBF}">
  <sheetPr filterMode="1"/>
  <dimension ref="A1:J230"/>
  <sheetViews>
    <sheetView zoomScale="90" zoomScaleNormal="90" workbookViewId="0">
      <pane xSplit="2" ySplit="1" topLeftCell="C177" activePane="bottomRight" state="frozen"/>
      <selection pane="topRight" activeCell="C1" sqref="C1"/>
      <selection pane="bottomLeft" activeCell="A2" sqref="A2"/>
      <selection pane="bottomRight" activeCell="G187" sqref="G187"/>
    </sheetView>
  </sheetViews>
  <sheetFormatPr defaultRowHeight="14.4" x14ac:dyDescent="0.3"/>
  <cols>
    <col min="1" max="1" width="26.33203125" style="12" customWidth="1"/>
    <col min="2" max="2" width="65.77734375" style="4" bestFit="1" customWidth="1"/>
    <col min="3" max="3" width="15.21875" style="13" bestFit="1" customWidth="1"/>
    <col min="4" max="4" width="11" style="17" bestFit="1" customWidth="1"/>
    <col min="5" max="6" width="11.88671875" style="4" customWidth="1"/>
    <col min="7" max="9" width="8.88671875" style="4"/>
    <col min="10" max="10" width="14.88671875" style="4" bestFit="1" customWidth="1"/>
    <col min="11" max="16384" width="8.88671875" style="4"/>
  </cols>
  <sheetData>
    <row r="1" spans="1:10" ht="28.8" x14ac:dyDescent="0.3">
      <c r="A1" s="1" t="s">
        <v>0</v>
      </c>
      <c r="B1" s="2" t="s">
        <v>1</v>
      </c>
      <c r="C1" s="3" t="s">
        <v>2</v>
      </c>
      <c r="D1" s="14" t="s">
        <v>462</v>
      </c>
      <c r="E1" s="3" t="s">
        <v>470</v>
      </c>
      <c r="F1" s="3" t="s">
        <v>10</v>
      </c>
      <c r="G1" s="3" t="s">
        <v>3</v>
      </c>
      <c r="H1" s="3" t="s">
        <v>11</v>
      </c>
      <c r="I1" s="3" t="s">
        <v>12</v>
      </c>
      <c r="J1" s="3" t="s">
        <v>471</v>
      </c>
    </row>
    <row r="2" spans="1:10" hidden="1" x14ac:dyDescent="0.3">
      <c r="A2" s="5" t="s">
        <v>72</v>
      </c>
      <c r="B2" s="6" t="s">
        <v>73</v>
      </c>
      <c r="C2" s="8" t="s">
        <v>14</v>
      </c>
      <c r="D2" s="18">
        <v>0.15</v>
      </c>
      <c r="E2" s="6">
        <v>75</v>
      </c>
      <c r="F2" s="6">
        <v>125</v>
      </c>
      <c r="G2" s="6">
        <v>600</v>
      </c>
      <c r="H2" s="6">
        <v>0</v>
      </c>
      <c r="I2" s="6">
        <v>0</v>
      </c>
      <c r="J2" s="18">
        <f>I2*D2</f>
        <v>0</v>
      </c>
    </row>
    <row r="3" spans="1:10" hidden="1" x14ac:dyDescent="0.3">
      <c r="A3" s="5">
        <v>258032</v>
      </c>
      <c r="B3" s="6" t="s">
        <v>19</v>
      </c>
      <c r="C3" s="8" t="s">
        <v>14</v>
      </c>
      <c r="D3" s="18">
        <v>0.15</v>
      </c>
      <c r="E3" s="6">
        <v>150</v>
      </c>
      <c r="F3" s="6">
        <v>250</v>
      </c>
      <c r="G3" s="6">
        <v>158</v>
      </c>
      <c r="H3" s="6">
        <v>0</v>
      </c>
      <c r="I3" s="6">
        <v>0</v>
      </c>
      <c r="J3" s="18">
        <f t="shared" ref="J3:J66" si="0">I3*D3</f>
        <v>0</v>
      </c>
    </row>
    <row r="4" spans="1:10" hidden="1" x14ac:dyDescent="0.3">
      <c r="A4" s="5">
        <v>258306</v>
      </c>
      <c r="B4" s="6" t="s">
        <v>21</v>
      </c>
      <c r="C4" s="8" t="s">
        <v>14</v>
      </c>
      <c r="D4" s="18">
        <v>0.2</v>
      </c>
      <c r="E4" s="6">
        <v>75</v>
      </c>
      <c r="F4" s="6">
        <v>125</v>
      </c>
      <c r="G4" s="6">
        <v>443</v>
      </c>
      <c r="H4" s="6">
        <v>0</v>
      </c>
      <c r="I4" s="6">
        <v>0</v>
      </c>
      <c r="J4" s="18">
        <f t="shared" si="0"/>
        <v>0</v>
      </c>
    </row>
    <row r="5" spans="1:10" hidden="1" x14ac:dyDescent="0.3">
      <c r="A5" s="5" t="s">
        <v>68</v>
      </c>
      <c r="B5" s="6" t="s">
        <v>69</v>
      </c>
      <c r="C5" s="8" t="s">
        <v>14</v>
      </c>
      <c r="D5" s="18">
        <v>0.4</v>
      </c>
      <c r="E5" s="6">
        <v>75</v>
      </c>
      <c r="F5" s="6">
        <v>125</v>
      </c>
      <c r="G5" s="6">
        <v>41</v>
      </c>
      <c r="H5" s="6">
        <v>0</v>
      </c>
      <c r="I5" s="6">
        <v>84</v>
      </c>
      <c r="J5" s="18">
        <f t="shared" si="0"/>
        <v>33.6</v>
      </c>
    </row>
    <row r="6" spans="1:10" hidden="1" x14ac:dyDescent="0.3">
      <c r="A6" s="5" t="s">
        <v>70</v>
      </c>
      <c r="B6" s="6" t="s">
        <v>71</v>
      </c>
      <c r="C6" s="8" t="s">
        <v>14</v>
      </c>
      <c r="D6" s="18">
        <v>1</v>
      </c>
      <c r="E6" s="6">
        <v>75</v>
      </c>
      <c r="F6" s="6">
        <v>125</v>
      </c>
      <c r="G6" s="6">
        <v>150</v>
      </c>
      <c r="H6" s="6">
        <v>0</v>
      </c>
      <c r="I6" s="6">
        <v>0</v>
      </c>
      <c r="J6" s="18">
        <f t="shared" si="0"/>
        <v>0</v>
      </c>
    </row>
    <row r="7" spans="1:10" hidden="1" x14ac:dyDescent="0.3">
      <c r="A7" s="5" t="s">
        <v>74</v>
      </c>
      <c r="B7" s="6" t="s">
        <v>75</v>
      </c>
      <c r="C7" s="8" t="s">
        <v>14</v>
      </c>
      <c r="D7" s="18">
        <v>0.08</v>
      </c>
      <c r="E7" s="6">
        <v>390</v>
      </c>
      <c r="F7" s="6">
        <v>650</v>
      </c>
      <c r="G7" s="6">
        <v>192</v>
      </c>
      <c r="H7" s="6">
        <v>0</v>
      </c>
      <c r="I7" s="6">
        <v>458</v>
      </c>
      <c r="J7" s="18">
        <f t="shared" si="0"/>
        <v>36.64</v>
      </c>
    </row>
    <row r="8" spans="1:10" hidden="1" x14ac:dyDescent="0.3">
      <c r="A8" s="5" t="s">
        <v>76</v>
      </c>
      <c r="B8" s="6" t="s">
        <v>77</v>
      </c>
      <c r="C8" s="8" t="s">
        <v>14</v>
      </c>
      <c r="D8" s="18">
        <v>0.12</v>
      </c>
      <c r="E8" s="6">
        <v>75</v>
      </c>
      <c r="F8" s="6">
        <v>125</v>
      </c>
      <c r="G8" s="6">
        <v>360</v>
      </c>
      <c r="H8" s="6">
        <v>0</v>
      </c>
      <c r="I8" s="6">
        <v>0</v>
      </c>
      <c r="J8" s="18">
        <f t="shared" si="0"/>
        <v>0</v>
      </c>
    </row>
    <row r="9" spans="1:10" hidden="1" x14ac:dyDescent="0.3">
      <c r="A9" s="5" t="s">
        <v>78</v>
      </c>
      <c r="B9" s="6" t="s">
        <v>79</v>
      </c>
      <c r="C9" s="8" t="s">
        <v>14</v>
      </c>
      <c r="D9" s="18">
        <v>0.6</v>
      </c>
      <c r="E9" s="6">
        <v>75</v>
      </c>
      <c r="F9" s="6">
        <v>125</v>
      </c>
      <c r="G9" s="6">
        <v>1234</v>
      </c>
      <c r="H9" s="6">
        <v>0</v>
      </c>
      <c r="I9" s="6">
        <v>0</v>
      </c>
      <c r="J9" s="18">
        <f t="shared" si="0"/>
        <v>0</v>
      </c>
    </row>
    <row r="10" spans="1:10" hidden="1" x14ac:dyDescent="0.3">
      <c r="A10" s="5" t="s">
        <v>464</v>
      </c>
      <c r="B10" s="6" t="s">
        <v>465</v>
      </c>
      <c r="C10" s="8" t="s">
        <v>14</v>
      </c>
      <c r="D10" s="18">
        <v>0.65</v>
      </c>
      <c r="E10" s="6">
        <v>233</v>
      </c>
      <c r="F10" s="6">
        <v>388</v>
      </c>
      <c r="G10" s="6">
        <v>450</v>
      </c>
      <c r="H10" s="6">
        <v>0</v>
      </c>
      <c r="I10" s="6">
        <v>0</v>
      </c>
      <c r="J10" s="18">
        <f t="shared" si="0"/>
        <v>0</v>
      </c>
    </row>
    <row r="11" spans="1:10" hidden="1" x14ac:dyDescent="0.3">
      <c r="A11" s="5" t="s">
        <v>80</v>
      </c>
      <c r="B11" s="6" t="s">
        <v>81</v>
      </c>
      <c r="C11" s="8" t="s">
        <v>14</v>
      </c>
      <c r="D11" s="18">
        <v>3</v>
      </c>
      <c r="E11" s="6">
        <v>75</v>
      </c>
      <c r="F11" s="6">
        <v>125</v>
      </c>
      <c r="G11" s="6">
        <v>293</v>
      </c>
      <c r="H11" s="6">
        <v>0</v>
      </c>
      <c r="I11" s="6">
        <v>0</v>
      </c>
      <c r="J11" s="18">
        <f t="shared" si="0"/>
        <v>0</v>
      </c>
    </row>
    <row r="12" spans="1:10" hidden="1" x14ac:dyDescent="0.3">
      <c r="A12" s="5" t="s">
        <v>82</v>
      </c>
      <c r="B12" s="6" t="s">
        <v>83</v>
      </c>
      <c r="C12" s="8" t="s">
        <v>14</v>
      </c>
      <c r="D12" s="18">
        <v>0.8</v>
      </c>
      <c r="E12" s="6">
        <v>75</v>
      </c>
      <c r="F12" s="6">
        <v>125</v>
      </c>
      <c r="G12" s="6">
        <v>40</v>
      </c>
      <c r="H12" s="6">
        <v>0</v>
      </c>
      <c r="I12" s="6">
        <v>85</v>
      </c>
      <c r="J12" s="18">
        <f t="shared" si="0"/>
        <v>68</v>
      </c>
    </row>
    <row r="13" spans="1:10" hidden="1" x14ac:dyDescent="0.3">
      <c r="A13" s="5" t="s">
        <v>84</v>
      </c>
      <c r="B13" s="6" t="s">
        <v>85</v>
      </c>
      <c r="C13" s="8" t="s">
        <v>14</v>
      </c>
      <c r="D13" s="18">
        <v>0.3</v>
      </c>
      <c r="E13" s="6">
        <v>120</v>
      </c>
      <c r="F13" s="6">
        <v>200</v>
      </c>
      <c r="G13" s="6">
        <v>500</v>
      </c>
      <c r="H13" s="6">
        <v>0</v>
      </c>
      <c r="I13" s="6">
        <v>0</v>
      </c>
      <c r="J13" s="18">
        <f t="shared" si="0"/>
        <v>0</v>
      </c>
    </row>
    <row r="14" spans="1:10" hidden="1" x14ac:dyDescent="0.3">
      <c r="A14" s="5" t="s">
        <v>86</v>
      </c>
      <c r="B14" s="6" t="s">
        <v>87</v>
      </c>
      <c r="C14" s="8" t="s">
        <v>14</v>
      </c>
      <c r="D14" s="18">
        <v>1.8</v>
      </c>
      <c r="E14" s="6">
        <v>75</v>
      </c>
      <c r="F14" s="6">
        <v>125</v>
      </c>
      <c r="G14" s="6">
        <v>450</v>
      </c>
      <c r="H14" s="6">
        <v>0</v>
      </c>
      <c r="I14" s="6">
        <v>0</v>
      </c>
      <c r="J14" s="18">
        <f t="shared" si="0"/>
        <v>0</v>
      </c>
    </row>
    <row r="15" spans="1:10" hidden="1" x14ac:dyDescent="0.3">
      <c r="A15" s="5" t="s">
        <v>88</v>
      </c>
      <c r="B15" s="6" t="s">
        <v>89</v>
      </c>
      <c r="C15" s="8" t="s">
        <v>14</v>
      </c>
      <c r="D15" s="18">
        <v>0.12</v>
      </c>
      <c r="E15" s="6">
        <v>173</v>
      </c>
      <c r="F15" s="6">
        <v>288</v>
      </c>
      <c r="G15" s="6">
        <v>1196</v>
      </c>
      <c r="H15" s="6">
        <v>0</v>
      </c>
      <c r="I15" s="6">
        <v>0</v>
      </c>
      <c r="J15" s="18">
        <f t="shared" si="0"/>
        <v>0</v>
      </c>
    </row>
    <row r="16" spans="1:10" hidden="1" x14ac:dyDescent="0.3">
      <c r="A16" s="5" t="s">
        <v>90</v>
      </c>
      <c r="B16" s="6" t="s">
        <v>91</v>
      </c>
      <c r="C16" s="8" t="s">
        <v>14</v>
      </c>
      <c r="D16" s="18">
        <v>0.4</v>
      </c>
      <c r="E16" s="6">
        <v>75</v>
      </c>
      <c r="F16" s="6">
        <v>125</v>
      </c>
      <c r="G16" s="6">
        <v>130</v>
      </c>
      <c r="H16" s="6">
        <v>0</v>
      </c>
      <c r="I16" s="6">
        <v>0</v>
      </c>
      <c r="J16" s="18">
        <f t="shared" si="0"/>
        <v>0</v>
      </c>
    </row>
    <row r="17" spans="1:10" hidden="1" x14ac:dyDescent="0.3">
      <c r="A17" s="5" t="s">
        <v>92</v>
      </c>
      <c r="B17" s="6" t="s">
        <v>93</v>
      </c>
      <c r="C17" s="8" t="s">
        <v>14</v>
      </c>
      <c r="D17" s="18">
        <v>0.3</v>
      </c>
      <c r="E17" s="6">
        <v>150</v>
      </c>
      <c r="F17" s="6">
        <v>250</v>
      </c>
      <c r="G17" s="6">
        <v>854</v>
      </c>
      <c r="H17" s="6">
        <v>0</v>
      </c>
      <c r="I17" s="6">
        <v>0</v>
      </c>
      <c r="J17" s="18">
        <f t="shared" si="0"/>
        <v>0</v>
      </c>
    </row>
    <row r="18" spans="1:10" hidden="1" x14ac:dyDescent="0.3">
      <c r="A18" s="5" t="s">
        <v>94</v>
      </c>
      <c r="B18" s="6" t="s">
        <v>94</v>
      </c>
      <c r="C18" s="8" t="s">
        <v>14</v>
      </c>
      <c r="D18" s="18">
        <v>0.9</v>
      </c>
      <c r="E18" s="6">
        <v>150</v>
      </c>
      <c r="F18" s="6">
        <v>250</v>
      </c>
      <c r="G18" s="6">
        <v>580</v>
      </c>
      <c r="H18" s="6">
        <v>0</v>
      </c>
      <c r="I18" s="6">
        <v>0</v>
      </c>
      <c r="J18" s="18">
        <f t="shared" si="0"/>
        <v>0</v>
      </c>
    </row>
    <row r="19" spans="1:10" hidden="1" x14ac:dyDescent="0.3">
      <c r="A19" s="5" t="s">
        <v>95</v>
      </c>
      <c r="B19" s="6" t="s">
        <v>96</v>
      </c>
      <c r="C19" s="8" t="s">
        <v>14</v>
      </c>
      <c r="D19" s="18">
        <v>1</v>
      </c>
      <c r="E19" s="6">
        <v>75</v>
      </c>
      <c r="F19" s="6">
        <v>125</v>
      </c>
      <c r="G19" s="6">
        <v>107</v>
      </c>
      <c r="H19" s="6">
        <v>0</v>
      </c>
      <c r="I19" s="6">
        <v>0</v>
      </c>
      <c r="J19" s="18">
        <f t="shared" si="0"/>
        <v>0</v>
      </c>
    </row>
    <row r="20" spans="1:10" hidden="1" x14ac:dyDescent="0.3">
      <c r="A20" s="5" t="s">
        <v>97</v>
      </c>
      <c r="B20" s="6" t="s">
        <v>98</v>
      </c>
      <c r="C20" s="8" t="s">
        <v>14</v>
      </c>
      <c r="D20" s="18">
        <v>2</v>
      </c>
      <c r="E20" s="6">
        <v>75</v>
      </c>
      <c r="F20" s="6">
        <v>125</v>
      </c>
      <c r="G20" s="6">
        <v>400</v>
      </c>
      <c r="H20" s="6">
        <v>0</v>
      </c>
      <c r="I20" s="6">
        <v>0</v>
      </c>
      <c r="J20" s="18">
        <f t="shared" si="0"/>
        <v>0</v>
      </c>
    </row>
    <row r="21" spans="1:10" hidden="1" x14ac:dyDescent="0.3">
      <c r="A21" s="5" t="s">
        <v>99</v>
      </c>
      <c r="B21" s="6" t="s">
        <v>100</v>
      </c>
      <c r="C21" s="8" t="s">
        <v>14</v>
      </c>
      <c r="D21" s="18">
        <v>2</v>
      </c>
      <c r="E21" s="6">
        <v>15</v>
      </c>
      <c r="F21" s="6">
        <v>25</v>
      </c>
      <c r="G21" s="6">
        <v>19</v>
      </c>
      <c r="H21" s="6">
        <v>0</v>
      </c>
      <c r="I21" s="6">
        <v>0</v>
      </c>
      <c r="J21" s="18">
        <f t="shared" si="0"/>
        <v>0</v>
      </c>
    </row>
    <row r="22" spans="1:10" hidden="1" x14ac:dyDescent="0.3">
      <c r="A22" s="5">
        <v>237756</v>
      </c>
      <c r="B22" s="6" t="s">
        <v>13</v>
      </c>
      <c r="C22" s="8" t="s">
        <v>14</v>
      </c>
      <c r="D22" s="18">
        <v>1.8</v>
      </c>
      <c r="E22" s="6">
        <v>150</v>
      </c>
      <c r="F22" s="6">
        <v>250</v>
      </c>
      <c r="G22" s="6">
        <v>200</v>
      </c>
      <c r="H22" s="6">
        <v>0</v>
      </c>
      <c r="I22" s="6">
        <v>0</v>
      </c>
      <c r="J22" s="18">
        <f t="shared" si="0"/>
        <v>0</v>
      </c>
    </row>
    <row r="23" spans="1:10" hidden="1" x14ac:dyDescent="0.3">
      <c r="A23" s="5" t="s">
        <v>23</v>
      </c>
      <c r="B23" s="6" t="s">
        <v>24</v>
      </c>
      <c r="C23" s="8" t="s">
        <v>14</v>
      </c>
      <c r="D23" s="18">
        <v>0.2</v>
      </c>
      <c r="E23" s="6">
        <v>300</v>
      </c>
      <c r="F23" s="6">
        <v>500</v>
      </c>
      <c r="G23" s="6">
        <v>2118</v>
      </c>
      <c r="H23" s="6">
        <v>0</v>
      </c>
      <c r="I23" s="6">
        <v>0</v>
      </c>
      <c r="J23" s="18">
        <f t="shared" si="0"/>
        <v>0</v>
      </c>
    </row>
    <row r="24" spans="1:10" hidden="1" x14ac:dyDescent="0.3">
      <c r="A24" s="5" t="s">
        <v>25</v>
      </c>
      <c r="B24" s="6" t="s">
        <v>26</v>
      </c>
      <c r="C24" s="8" t="s">
        <v>14</v>
      </c>
      <c r="D24" s="18">
        <v>0.65</v>
      </c>
      <c r="E24" s="6">
        <v>150</v>
      </c>
      <c r="F24" s="6">
        <v>250</v>
      </c>
      <c r="G24" s="6">
        <v>1986</v>
      </c>
      <c r="H24" s="6">
        <v>0</v>
      </c>
      <c r="I24" s="6">
        <v>0</v>
      </c>
      <c r="J24" s="18">
        <f t="shared" si="0"/>
        <v>0</v>
      </c>
    </row>
    <row r="25" spans="1:10" hidden="1" x14ac:dyDescent="0.3">
      <c r="A25" s="5" t="s">
        <v>27</v>
      </c>
      <c r="B25" s="6" t="s">
        <v>28</v>
      </c>
      <c r="C25" s="8" t="s">
        <v>14</v>
      </c>
      <c r="D25" s="18">
        <v>1.8</v>
      </c>
      <c r="E25" s="6">
        <v>75</v>
      </c>
      <c r="F25" s="6">
        <v>125</v>
      </c>
      <c r="G25" s="6">
        <v>242</v>
      </c>
      <c r="H25" s="6">
        <v>0</v>
      </c>
      <c r="I25" s="6">
        <v>0</v>
      </c>
      <c r="J25" s="18">
        <f t="shared" si="0"/>
        <v>0</v>
      </c>
    </row>
    <row r="26" spans="1:10" hidden="1" x14ac:dyDescent="0.3">
      <c r="A26" s="5" t="s">
        <v>29</v>
      </c>
      <c r="B26" s="6" t="s">
        <v>30</v>
      </c>
      <c r="C26" s="8" t="s">
        <v>14</v>
      </c>
      <c r="D26" s="18">
        <v>1.8</v>
      </c>
      <c r="E26" s="6">
        <v>150</v>
      </c>
      <c r="F26" s="6">
        <v>250</v>
      </c>
      <c r="G26" s="6">
        <v>800</v>
      </c>
      <c r="H26" s="6">
        <v>0</v>
      </c>
      <c r="I26" s="6">
        <v>0</v>
      </c>
      <c r="J26" s="18">
        <f t="shared" si="0"/>
        <v>0</v>
      </c>
    </row>
    <row r="27" spans="1:10" hidden="1" x14ac:dyDescent="0.3">
      <c r="A27" s="5" t="s">
        <v>31</v>
      </c>
      <c r="B27" s="6" t="s">
        <v>32</v>
      </c>
      <c r="C27" s="8" t="s">
        <v>14</v>
      </c>
      <c r="D27" s="18">
        <v>0.5</v>
      </c>
      <c r="E27" s="6">
        <v>300</v>
      </c>
      <c r="F27" s="6">
        <v>500</v>
      </c>
      <c r="G27" s="6">
        <v>921</v>
      </c>
      <c r="H27" s="6">
        <v>0</v>
      </c>
      <c r="I27" s="6">
        <v>0</v>
      </c>
      <c r="J27" s="18">
        <f t="shared" si="0"/>
        <v>0</v>
      </c>
    </row>
    <row r="28" spans="1:10" hidden="1" x14ac:dyDescent="0.3">
      <c r="A28" s="5" t="s">
        <v>33</v>
      </c>
      <c r="B28" s="6" t="s">
        <v>34</v>
      </c>
      <c r="C28" s="8" t="s">
        <v>14</v>
      </c>
      <c r="D28" s="18">
        <v>1.8</v>
      </c>
      <c r="E28" s="6">
        <v>75</v>
      </c>
      <c r="F28" s="6">
        <v>125</v>
      </c>
      <c r="G28" s="6">
        <v>99</v>
      </c>
      <c r="H28" s="6">
        <v>0</v>
      </c>
      <c r="I28" s="6">
        <v>0</v>
      </c>
      <c r="J28" s="18">
        <f t="shared" si="0"/>
        <v>0</v>
      </c>
    </row>
    <row r="29" spans="1:10" hidden="1" x14ac:dyDescent="0.3">
      <c r="A29" s="5" t="s">
        <v>35</v>
      </c>
      <c r="B29" s="6" t="s">
        <v>36</v>
      </c>
      <c r="C29" s="8" t="s">
        <v>14</v>
      </c>
      <c r="D29" s="18">
        <v>4</v>
      </c>
      <c r="E29" s="6">
        <v>75</v>
      </c>
      <c r="F29" s="6">
        <v>125</v>
      </c>
      <c r="G29" s="6">
        <v>300</v>
      </c>
      <c r="H29" s="6">
        <v>0</v>
      </c>
      <c r="I29" s="6">
        <v>0</v>
      </c>
      <c r="J29" s="18">
        <f t="shared" si="0"/>
        <v>0</v>
      </c>
    </row>
    <row r="30" spans="1:10" hidden="1" x14ac:dyDescent="0.3">
      <c r="A30" s="5" t="s">
        <v>37</v>
      </c>
      <c r="B30" s="6" t="s">
        <v>38</v>
      </c>
      <c r="C30" s="8" t="s">
        <v>14</v>
      </c>
      <c r="D30" s="18">
        <v>2.6</v>
      </c>
      <c r="E30" s="6">
        <v>75</v>
      </c>
      <c r="F30" s="6">
        <v>125</v>
      </c>
      <c r="G30" s="6">
        <v>5</v>
      </c>
      <c r="H30" s="6">
        <v>0</v>
      </c>
      <c r="I30" s="6">
        <v>120</v>
      </c>
      <c r="J30" s="18">
        <f t="shared" si="0"/>
        <v>312</v>
      </c>
    </row>
    <row r="31" spans="1:10" hidden="1" x14ac:dyDescent="0.3">
      <c r="A31" s="5" t="s">
        <v>39</v>
      </c>
      <c r="B31" s="6" t="s">
        <v>40</v>
      </c>
      <c r="C31" s="8" t="s">
        <v>14</v>
      </c>
      <c r="D31" s="18">
        <v>4</v>
      </c>
      <c r="E31" s="6">
        <v>75</v>
      </c>
      <c r="F31" s="6">
        <v>125</v>
      </c>
      <c r="G31" s="6">
        <v>22</v>
      </c>
      <c r="H31" s="6">
        <v>0</v>
      </c>
      <c r="I31" s="6">
        <v>103</v>
      </c>
      <c r="J31" s="18">
        <f t="shared" si="0"/>
        <v>412</v>
      </c>
    </row>
    <row r="32" spans="1:10" hidden="1" x14ac:dyDescent="0.3">
      <c r="A32" s="5">
        <v>237993</v>
      </c>
      <c r="B32" s="6" t="s">
        <v>15</v>
      </c>
      <c r="C32" s="8" t="s">
        <v>14</v>
      </c>
      <c r="D32" s="18">
        <v>4</v>
      </c>
      <c r="E32" s="6">
        <v>75</v>
      </c>
      <c r="F32" s="6">
        <v>125</v>
      </c>
      <c r="G32" s="6">
        <v>489</v>
      </c>
      <c r="H32" s="6">
        <v>0</v>
      </c>
      <c r="I32" s="6">
        <v>0</v>
      </c>
      <c r="J32" s="18">
        <f t="shared" si="0"/>
        <v>0</v>
      </c>
    </row>
    <row r="33" spans="1:10" hidden="1" x14ac:dyDescent="0.3">
      <c r="A33" s="5">
        <v>238028</v>
      </c>
      <c r="B33" s="6" t="s">
        <v>16</v>
      </c>
      <c r="C33" s="8" t="s">
        <v>14</v>
      </c>
      <c r="D33" s="18">
        <v>4.4000000000000004</v>
      </c>
      <c r="E33" s="6">
        <v>75</v>
      </c>
      <c r="F33" s="6">
        <v>125</v>
      </c>
      <c r="G33" s="6">
        <v>198</v>
      </c>
      <c r="H33" s="6">
        <v>0</v>
      </c>
      <c r="I33" s="6">
        <v>0</v>
      </c>
      <c r="J33" s="18">
        <f t="shared" si="0"/>
        <v>0</v>
      </c>
    </row>
    <row r="34" spans="1:10" hidden="1" x14ac:dyDescent="0.3">
      <c r="A34" s="5">
        <v>238062</v>
      </c>
      <c r="B34" s="6" t="s">
        <v>17</v>
      </c>
      <c r="C34" s="8" t="s">
        <v>14</v>
      </c>
      <c r="D34" s="18">
        <v>5.9</v>
      </c>
      <c r="E34" s="6">
        <v>75</v>
      </c>
      <c r="F34" s="6">
        <v>125</v>
      </c>
      <c r="G34" s="6">
        <v>603</v>
      </c>
      <c r="H34" s="6">
        <v>0</v>
      </c>
      <c r="I34" s="6">
        <v>0</v>
      </c>
      <c r="J34" s="18">
        <f t="shared" si="0"/>
        <v>0</v>
      </c>
    </row>
    <row r="35" spans="1:10" hidden="1" x14ac:dyDescent="0.3">
      <c r="A35" s="5">
        <v>258205</v>
      </c>
      <c r="B35" s="6" t="s">
        <v>20</v>
      </c>
      <c r="C35" s="8" t="s">
        <v>14</v>
      </c>
      <c r="D35" s="18">
        <v>0.9</v>
      </c>
      <c r="E35" s="6">
        <v>75</v>
      </c>
      <c r="F35" s="6">
        <v>125</v>
      </c>
      <c r="G35" s="6">
        <v>242</v>
      </c>
      <c r="H35" s="6">
        <v>0</v>
      </c>
      <c r="I35" s="6">
        <v>0</v>
      </c>
      <c r="J35" s="18">
        <f t="shared" si="0"/>
        <v>0</v>
      </c>
    </row>
    <row r="36" spans="1:10" hidden="1" x14ac:dyDescent="0.3">
      <c r="A36" s="5">
        <v>267215</v>
      </c>
      <c r="B36" s="6" t="s">
        <v>22</v>
      </c>
      <c r="C36" s="8" t="s">
        <v>14</v>
      </c>
      <c r="D36" s="18">
        <v>1</v>
      </c>
      <c r="E36" s="6">
        <v>300</v>
      </c>
      <c r="F36" s="6">
        <v>500</v>
      </c>
      <c r="G36" s="6">
        <v>483</v>
      </c>
      <c r="H36" s="6">
        <v>0</v>
      </c>
      <c r="I36" s="6">
        <v>0</v>
      </c>
      <c r="J36" s="18">
        <f t="shared" si="0"/>
        <v>0</v>
      </c>
    </row>
    <row r="37" spans="1:10" hidden="1" x14ac:dyDescent="0.3">
      <c r="A37" s="5" t="s">
        <v>41</v>
      </c>
      <c r="B37" s="6" t="s">
        <v>42</v>
      </c>
      <c r="C37" s="8" t="s">
        <v>14</v>
      </c>
      <c r="D37" s="18">
        <v>3</v>
      </c>
      <c r="E37" s="6">
        <v>75</v>
      </c>
      <c r="F37" s="6">
        <v>125</v>
      </c>
      <c r="G37" s="6">
        <v>93</v>
      </c>
      <c r="H37" s="6">
        <v>0</v>
      </c>
      <c r="I37" s="6">
        <v>0</v>
      </c>
      <c r="J37" s="18">
        <f t="shared" si="0"/>
        <v>0</v>
      </c>
    </row>
    <row r="38" spans="1:10" hidden="1" x14ac:dyDescent="0.3">
      <c r="A38" s="5" t="s">
        <v>43</v>
      </c>
      <c r="B38" s="6" t="s">
        <v>44</v>
      </c>
      <c r="C38" s="8" t="s">
        <v>14</v>
      </c>
      <c r="D38" s="18">
        <v>0.3</v>
      </c>
      <c r="E38" s="6">
        <v>75</v>
      </c>
      <c r="F38" s="6">
        <v>125</v>
      </c>
      <c r="G38" s="6">
        <v>434</v>
      </c>
      <c r="H38" s="6">
        <v>0</v>
      </c>
      <c r="I38" s="6">
        <v>0</v>
      </c>
      <c r="J38" s="18">
        <f t="shared" si="0"/>
        <v>0</v>
      </c>
    </row>
    <row r="39" spans="1:10" hidden="1" x14ac:dyDescent="0.3">
      <c r="A39" s="5" t="s">
        <v>45</v>
      </c>
      <c r="B39" s="6" t="s">
        <v>46</v>
      </c>
      <c r="C39" s="8" t="s">
        <v>14</v>
      </c>
      <c r="D39" s="18">
        <v>3</v>
      </c>
      <c r="E39" s="6">
        <v>75</v>
      </c>
      <c r="F39" s="6">
        <v>125</v>
      </c>
      <c r="G39" s="6">
        <v>725</v>
      </c>
      <c r="H39" s="6">
        <v>0</v>
      </c>
      <c r="I39" s="6">
        <v>0</v>
      </c>
      <c r="J39" s="18">
        <f t="shared" si="0"/>
        <v>0</v>
      </c>
    </row>
    <row r="40" spans="1:10" hidden="1" x14ac:dyDescent="0.3">
      <c r="A40" s="5" t="s">
        <v>47</v>
      </c>
      <c r="B40" s="6" t="s">
        <v>48</v>
      </c>
      <c r="C40" s="8" t="s">
        <v>14</v>
      </c>
      <c r="D40" s="18">
        <v>0.8</v>
      </c>
      <c r="E40" s="6">
        <v>300</v>
      </c>
      <c r="F40" s="6">
        <v>500</v>
      </c>
      <c r="G40" s="6">
        <v>223</v>
      </c>
      <c r="H40" s="6">
        <v>0</v>
      </c>
      <c r="I40" s="6">
        <v>277</v>
      </c>
      <c r="J40" s="18">
        <f t="shared" si="0"/>
        <v>221.60000000000002</v>
      </c>
    </row>
    <row r="41" spans="1:10" hidden="1" x14ac:dyDescent="0.3">
      <c r="A41" s="5" t="s">
        <v>49</v>
      </c>
      <c r="B41" s="6" t="s">
        <v>50</v>
      </c>
      <c r="C41" s="8" t="s">
        <v>14</v>
      </c>
      <c r="D41" s="18">
        <v>3</v>
      </c>
      <c r="E41" s="6">
        <v>75</v>
      </c>
      <c r="F41" s="6">
        <v>125</v>
      </c>
      <c r="G41" s="6">
        <v>188</v>
      </c>
      <c r="H41" s="6">
        <v>0</v>
      </c>
      <c r="I41" s="6">
        <v>0</v>
      </c>
      <c r="J41" s="18">
        <f t="shared" si="0"/>
        <v>0</v>
      </c>
    </row>
    <row r="42" spans="1:10" hidden="1" x14ac:dyDescent="0.3">
      <c r="A42" s="5" t="s">
        <v>51</v>
      </c>
      <c r="B42" s="6" t="s">
        <v>52</v>
      </c>
      <c r="C42" s="8" t="s">
        <v>14</v>
      </c>
      <c r="D42" s="18">
        <v>1.3</v>
      </c>
      <c r="E42" s="6">
        <v>75</v>
      </c>
      <c r="F42" s="6">
        <v>125</v>
      </c>
      <c r="G42" s="6">
        <v>0</v>
      </c>
      <c r="H42" s="6">
        <v>0</v>
      </c>
      <c r="I42" s="6">
        <v>125</v>
      </c>
      <c r="J42" s="18">
        <f t="shared" si="0"/>
        <v>162.5</v>
      </c>
    </row>
    <row r="43" spans="1:10" hidden="1" x14ac:dyDescent="0.3">
      <c r="A43" s="5" t="s">
        <v>62</v>
      </c>
      <c r="B43" s="6" t="s">
        <v>63</v>
      </c>
      <c r="C43" s="8" t="s">
        <v>14</v>
      </c>
      <c r="D43" s="18">
        <v>0.65</v>
      </c>
      <c r="E43" s="6">
        <v>75</v>
      </c>
      <c r="F43" s="6">
        <v>125</v>
      </c>
      <c r="G43" s="6">
        <v>129</v>
      </c>
      <c r="H43" s="6">
        <v>0</v>
      </c>
      <c r="I43" s="6">
        <v>0</v>
      </c>
      <c r="J43" s="18">
        <f t="shared" si="0"/>
        <v>0</v>
      </c>
    </row>
    <row r="44" spans="1:10" hidden="1" x14ac:dyDescent="0.3">
      <c r="A44" s="5">
        <v>238152</v>
      </c>
      <c r="B44" s="6" t="s">
        <v>18</v>
      </c>
      <c r="C44" s="8" t="s">
        <v>14</v>
      </c>
      <c r="D44" s="18">
        <v>12.5</v>
      </c>
      <c r="E44" s="6">
        <v>75</v>
      </c>
      <c r="F44" s="6">
        <v>125</v>
      </c>
      <c r="G44" s="6">
        <v>43</v>
      </c>
      <c r="H44" s="6">
        <v>0</v>
      </c>
      <c r="I44" s="6">
        <v>82</v>
      </c>
      <c r="J44" s="18">
        <f t="shared" si="0"/>
        <v>1025</v>
      </c>
    </row>
    <row r="45" spans="1:10" hidden="1" x14ac:dyDescent="0.3">
      <c r="A45" s="5" t="s">
        <v>53</v>
      </c>
      <c r="B45" s="6" t="s">
        <v>54</v>
      </c>
      <c r="C45" s="8" t="s">
        <v>14</v>
      </c>
      <c r="D45" s="18">
        <v>0.8</v>
      </c>
      <c r="E45" s="6">
        <v>450</v>
      </c>
      <c r="F45" s="6">
        <v>750</v>
      </c>
      <c r="G45" s="6">
        <v>535</v>
      </c>
      <c r="H45" s="6">
        <v>0</v>
      </c>
      <c r="I45" s="6">
        <v>0</v>
      </c>
      <c r="J45" s="18">
        <f t="shared" si="0"/>
        <v>0</v>
      </c>
    </row>
    <row r="46" spans="1:10" hidden="1" x14ac:dyDescent="0.3">
      <c r="A46" s="5" t="s">
        <v>55</v>
      </c>
      <c r="B46" s="6" t="s">
        <v>56</v>
      </c>
      <c r="C46" s="8" t="s">
        <v>14</v>
      </c>
      <c r="D46" s="18">
        <v>1.8</v>
      </c>
      <c r="E46" s="6">
        <v>375</v>
      </c>
      <c r="F46" s="6">
        <v>625</v>
      </c>
      <c r="G46" s="6">
        <v>163</v>
      </c>
      <c r="H46" s="6">
        <v>0</v>
      </c>
      <c r="I46" s="6">
        <v>462</v>
      </c>
      <c r="J46" s="18">
        <f t="shared" si="0"/>
        <v>831.6</v>
      </c>
    </row>
    <row r="47" spans="1:10" hidden="1" x14ac:dyDescent="0.3">
      <c r="A47" s="5" t="s">
        <v>57</v>
      </c>
      <c r="B47" s="6" t="s">
        <v>57</v>
      </c>
      <c r="C47" s="8" t="s">
        <v>14</v>
      </c>
      <c r="D47" s="18">
        <v>1.8</v>
      </c>
      <c r="E47" s="6">
        <v>75</v>
      </c>
      <c r="F47" s="6">
        <v>125</v>
      </c>
      <c r="G47" s="6">
        <v>317</v>
      </c>
      <c r="H47" s="6">
        <v>0</v>
      </c>
      <c r="I47" s="6">
        <v>0</v>
      </c>
      <c r="J47" s="18">
        <f t="shared" si="0"/>
        <v>0</v>
      </c>
    </row>
    <row r="48" spans="1:10" hidden="1" x14ac:dyDescent="0.3">
      <c r="A48" s="5" t="s">
        <v>58</v>
      </c>
      <c r="B48" s="6" t="s">
        <v>59</v>
      </c>
      <c r="C48" s="8" t="s">
        <v>14</v>
      </c>
      <c r="D48" s="18">
        <v>18</v>
      </c>
      <c r="E48" s="6">
        <v>150</v>
      </c>
      <c r="F48" s="6">
        <v>250</v>
      </c>
      <c r="G48" s="6">
        <v>197</v>
      </c>
      <c r="H48" s="6">
        <v>0</v>
      </c>
      <c r="I48" s="6">
        <v>0</v>
      </c>
      <c r="J48" s="18">
        <f t="shared" si="0"/>
        <v>0</v>
      </c>
    </row>
    <row r="49" spans="1:10" hidden="1" x14ac:dyDescent="0.3">
      <c r="A49" s="5" t="s">
        <v>60</v>
      </c>
      <c r="B49" s="6" t="s">
        <v>61</v>
      </c>
      <c r="C49" s="8" t="s">
        <v>14</v>
      </c>
      <c r="D49" s="18">
        <v>5.8</v>
      </c>
      <c r="E49" s="6">
        <v>150</v>
      </c>
      <c r="F49" s="6">
        <v>250</v>
      </c>
      <c r="G49" s="6">
        <v>157</v>
      </c>
      <c r="H49" s="6">
        <v>0</v>
      </c>
      <c r="I49" s="6">
        <v>0</v>
      </c>
      <c r="J49" s="18">
        <f t="shared" si="0"/>
        <v>0</v>
      </c>
    </row>
    <row r="50" spans="1:10" hidden="1" x14ac:dyDescent="0.3">
      <c r="A50" s="5" t="s">
        <v>64</v>
      </c>
      <c r="B50" s="6" t="s">
        <v>65</v>
      </c>
      <c r="C50" s="8" t="s">
        <v>14</v>
      </c>
      <c r="D50" s="18">
        <v>75</v>
      </c>
      <c r="E50" s="6">
        <v>3</v>
      </c>
      <c r="F50" s="6">
        <v>5</v>
      </c>
      <c r="G50" s="6">
        <v>4</v>
      </c>
      <c r="H50" s="6">
        <v>0</v>
      </c>
      <c r="I50" s="6">
        <v>0</v>
      </c>
      <c r="J50" s="18">
        <f t="shared" si="0"/>
        <v>0</v>
      </c>
    </row>
    <row r="51" spans="1:10" hidden="1" x14ac:dyDescent="0.3">
      <c r="A51" s="5" t="s">
        <v>66</v>
      </c>
      <c r="B51" s="6" t="s">
        <v>67</v>
      </c>
      <c r="C51" s="8" t="s">
        <v>14</v>
      </c>
      <c r="D51" s="18">
        <v>12</v>
      </c>
      <c r="E51" s="6">
        <v>75</v>
      </c>
      <c r="F51" s="6">
        <v>125</v>
      </c>
      <c r="G51" s="6">
        <v>255</v>
      </c>
      <c r="H51" s="6">
        <v>0</v>
      </c>
      <c r="I51" s="6">
        <v>0</v>
      </c>
      <c r="J51" s="18">
        <f t="shared" si="0"/>
        <v>0</v>
      </c>
    </row>
    <row r="52" spans="1:10" hidden="1" x14ac:dyDescent="0.3">
      <c r="A52" s="5" t="s">
        <v>101</v>
      </c>
      <c r="B52" s="6" t="s">
        <v>102</v>
      </c>
      <c r="C52" s="8" t="s">
        <v>14</v>
      </c>
      <c r="D52" s="18">
        <v>0.3</v>
      </c>
      <c r="E52" s="6">
        <v>225</v>
      </c>
      <c r="F52" s="6">
        <v>375</v>
      </c>
      <c r="G52" s="6">
        <v>500</v>
      </c>
      <c r="H52" s="6">
        <v>0</v>
      </c>
      <c r="I52" s="6">
        <v>0</v>
      </c>
      <c r="J52" s="18">
        <f t="shared" si="0"/>
        <v>0</v>
      </c>
    </row>
    <row r="53" spans="1:10" hidden="1" x14ac:dyDescent="0.3">
      <c r="A53" s="5" t="s">
        <v>103</v>
      </c>
      <c r="B53" s="6" t="s">
        <v>104</v>
      </c>
      <c r="C53" s="8" t="s">
        <v>105</v>
      </c>
      <c r="D53" s="18">
        <v>936</v>
      </c>
      <c r="E53" s="6">
        <v>6</v>
      </c>
      <c r="F53" s="6">
        <v>10</v>
      </c>
      <c r="G53" s="6">
        <v>2</v>
      </c>
      <c r="H53" s="6">
        <v>6</v>
      </c>
      <c r="I53" s="6">
        <v>2</v>
      </c>
      <c r="J53" s="18">
        <f t="shared" si="0"/>
        <v>1872</v>
      </c>
    </row>
    <row r="54" spans="1:10" hidden="1" x14ac:dyDescent="0.3">
      <c r="A54" s="5" t="s">
        <v>108</v>
      </c>
      <c r="B54" s="6" t="s">
        <v>109</v>
      </c>
      <c r="C54" s="8" t="s">
        <v>105</v>
      </c>
      <c r="D54" s="18">
        <v>1241</v>
      </c>
      <c r="E54" s="6">
        <v>6</v>
      </c>
      <c r="F54" s="6">
        <v>10</v>
      </c>
      <c r="G54" s="6">
        <v>5</v>
      </c>
      <c r="H54" s="6">
        <v>4</v>
      </c>
      <c r="I54" s="6">
        <v>1</v>
      </c>
      <c r="J54" s="18">
        <f t="shared" si="0"/>
        <v>1241</v>
      </c>
    </row>
    <row r="55" spans="1:10" hidden="1" x14ac:dyDescent="0.3">
      <c r="A55" s="5" t="s">
        <v>112</v>
      </c>
      <c r="B55" s="6" t="s">
        <v>113</v>
      </c>
      <c r="C55" s="8" t="s">
        <v>105</v>
      </c>
      <c r="D55" s="18">
        <v>1344.6</v>
      </c>
      <c r="E55" s="6">
        <v>6</v>
      </c>
      <c r="F55" s="6">
        <v>10</v>
      </c>
      <c r="G55" s="6">
        <v>2</v>
      </c>
      <c r="H55" s="6">
        <v>6</v>
      </c>
      <c r="I55" s="6">
        <v>2</v>
      </c>
      <c r="J55" s="18">
        <f t="shared" si="0"/>
        <v>2689.2</v>
      </c>
    </row>
    <row r="56" spans="1:10" hidden="1" x14ac:dyDescent="0.3">
      <c r="A56" s="5" t="s">
        <v>116</v>
      </c>
      <c r="B56" s="6" t="s">
        <v>117</v>
      </c>
      <c r="C56" s="8" t="s">
        <v>105</v>
      </c>
      <c r="D56" s="18">
        <v>1494</v>
      </c>
      <c r="E56" s="6">
        <v>3</v>
      </c>
      <c r="F56" s="6">
        <v>5</v>
      </c>
      <c r="G56" s="6">
        <v>2</v>
      </c>
      <c r="H56" s="6">
        <v>0</v>
      </c>
      <c r="I56" s="6">
        <v>3</v>
      </c>
      <c r="J56" s="18">
        <f t="shared" si="0"/>
        <v>4482</v>
      </c>
    </row>
    <row r="57" spans="1:10" hidden="1" x14ac:dyDescent="0.3">
      <c r="A57" s="5" t="s">
        <v>120</v>
      </c>
      <c r="B57" s="6" t="s">
        <v>121</v>
      </c>
      <c r="C57" s="8" t="s">
        <v>105</v>
      </c>
      <c r="D57" s="18">
        <v>1702</v>
      </c>
      <c r="E57" s="6">
        <v>5</v>
      </c>
      <c r="F57" s="6">
        <v>8</v>
      </c>
      <c r="G57" s="6">
        <v>10</v>
      </c>
      <c r="H57" s="6">
        <v>2</v>
      </c>
      <c r="I57" s="6">
        <v>0</v>
      </c>
      <c r="J57" s="18">
        <f t="shared" si="0"/>
        <v>0</v>
      </c>
    </row>
    <row r="58" spans="1:10" hidden="1" x14ac:dyDescent="0.3">
      <c r="A58" s="5" t="s">
        <v>124</v>
      </c>
      <c r="B58" s="6" t="s">
        <v>125</v>
      </c>
      <c r="C58" s="8" t="s">
        <v>105</v>
      </c>
      <c r="D58" s="18">
        <v>1792</v>
      </c>
      <c r="E58" s="6">
        <v>5</v>
      </c>
      <c r="F58" s="6">
        <v>8</v>
      </c>
      <c r="G58" s="6">
        <v>2</v>
      </c>
      <c r="H58" s="6">
        <v>0</v>
      </c>
      <c r="I58" s="6">
        <v>6</v>
      </c>
      <c r="J58" s="18">
        <f t="shared" si="0"/>
        <v>10752</v>
      </c>
    </row>
    <row r="59" spans="1:10" hidden="1" x14ac:dyDescent="0.3">
      <c r="A59" s="5" t="s">
        <v>128</v>
      </c>
      <c r="B59" s="6" t="s">
        <v>129</v>
      </c>
      <c r="C59" s="8" t="s">
        <v>105</v>
      </c>
      <c r="D59" s="18">
        <v>1971</v>
      </c>
      <c r="E59" s="6">
        <v>3</v>
      </c>
      <c r="F59" s="6">
        <v>5</v>
      </c>
      <c r="G59" s="6">
        <v>4</v>
      </c>
      <c r="H59" s="6">
        <v>4</v>
      </c>
      <c r="I59" s="6">
        <v>0</v>
      </c>
      <c r="J59" s="18">
        <f t="shared" si="0"/>
        <v>0</v>
      </c>
    </row>
    <row r="60" spans="1:10" hidden="1" x14ac:dyDescent="0.3">
      <c r="A60" s="5" t="s">
        <v>132</v>
      </c>
      <c r="B60" s="6" t="s">
        <v>133</v>
      </c>
      <c r="C60" s="8" t="s">
        <v>105</v>
      </c>
      <c r="D60" s="18">
        <v>2298</v>
      </c>
      <c r="E60" s="6">
        <v>3</v>
      </c>
      <c r="F60" s="6">
        <v>5</v>
      </c>
      <c r="G60" s="6">
        <v>4</v>
      </c>
      <c r="H60" s="6">
        <v>0</v>
      </c>
      <c r="I60" s="6">
        <v>0</v>
      </c>
      <c r="J60" s="18">
        <f t="shared" si="0"/>
        <v>0</v>
      </c>
    </row>
    <row r="61" spans="1:10" hidden="1" x14ac:dyDescent="0.3">
      <c r="A61" s="5" t="s">
        <v>136</v>
      </c>
      <c r="B61" s="6" t="s">
        <v>137</v>
      </c>
      <c r="C61" s="8" t="s">
        <v>105</v>
      </c>
      <c r="D61" s="18">
        <v>2158</v>
      </c>
      <c r="E61" s="6">
        <v>3</v>
      </c>
      <c r="F61" s="6">
        <v>5</v>
      </c>
      <c r="G61" s="6">
        <v>0</v>
      </c>
      <c r="H61" s="6">
        <v>4</v>
      </c>
      <c r="I61" s="6">
        <v>1</v>
      </c>
      <c r="J61" s="18">
        <f t="shared" si="0"/>
        <v>2158</v>
      </c>
    </row>
    <row r="62" spans="1:10" hidden="1" x14ac:dyDescent="0.3">
      <c r="A62" s="5" t="s">
        <v>140</v>
      </c>
      <c r="B62" s="6" t="s">
        <v>141</v>
      </c>
      <c r="C62" s="8" t="s">
        <v>105</v>
      </c>
      <c r="D62" s="18">
        <v>2516</v>
      </c>
      <c r="E62" s="6">
        <v>3</v>
      </c>
      <c r="F62" s="6">
        <v>5</v>
      </c>
      <c r="G62" s="6">
        <v>3</v>
      </c>
      <c r="H62" s="6">
        <v>0</v>
      </c>
      <c r="I62" s="6">
        <v>2</v>
      </c>
      <c r="J62" s="18">
        <f t="shared" si="0"/>
        <v>5032</v>
      </c>
    </row>
    <row r="63" spans="1:10" hidden="1" x14ac:dyDescent="0.3">
      <c r="A63" s="5" t="s">
        <v>144</v>
      </c>
      <c r="B63" s="6" t="s">
        <v>145</v>
      </c>
      <c r="C63" s="8" t="s">
        <v>105</v>
      </c>
      <c r="D63" s="18">
        <v>2817</v>
      </c>
      <c r="E63" s="6">
        <v>3</v>
      </c>
      <c r="F63" s="6">
        <v>5</v>
      </c>
      <c r="G63" s="6">
        <v>0</v>
      </c>
      <c r="H63" s="6">
        <v>4</v>
      </c>
      <c r="I63" s="6">
        <v>1</v>
      </c>
      <c r="J63" s="18">
        <f t="shared" si="0"/>
        <v>2817</v>
      </c>
    </row>
    <row r="64" spans="1:10" hidden="1" x14ac:dyDescent="0.3">
      <c r="A64" s="5" t="s">
        <v>148</v>
      </c>
      <c r="B64" s="6" t="s">
        <v>149</v>
      </c>
      <c r="C64" s="8" t="s">
        <v>105</v>
      </c>
      <c r="D64" s="18">
        <v>3285</v>
      </c>
      <c r="E64" s="6">
        <v>3</v>
      </c>
      <c r="F64" s="6">
        <v>5</v>
      </c>
      <c r="G64" s="6">
        <v>1</v>
      </c>
      <c r="H64" s="6">
        <v>0</v>
      </c>
      <c r="I64" s="6">
        <v>4</v>
      </c>
      <c r="J64" s="18">
        <f t="shared" si="0"/>
        <v>13140</v>
      </c>
    </row>
    <row r="65" spans="1:10" hidden="1" x14ac:dyDescent="0.3">
      <c r="A65" s="5" t="s">
        <v>150</v>
      </c>
      <c r="B65" s="6" t="s">
        <v>152</v>
      </c>
      <c r="C65" s="8" t="s">
        <v>105</v>
      </c>
      <c r="D65" s="18">
        <v>3285</v>
      </c>
      <c r="E65" s="6">
        <v>0</v>
      </c>
      <c r="F65" s="6">
        <v>0</v>
      </c>
      <c r="G65" s="6">
        <v>4</v>
      </c>
      <c r="H65" s="6">
        <v>0</v>
      </c>
      <c r="I65" s="6">
        <v>0</v>
      </c>
      <c r="J65" s="18">
        <f t="shared" si="0"/>
        <v>0</v>
      </c>
    </row>
    <row r="66" spans="1:10" hidden="1" x14ac:dyDescent="0.3">
      <c r="A66" s="5" t="s">
        <v>155</v>
      </c>
      <c r="B66" s="6" t="s">
        <v>156</v>
      </c>
      <c r="C66" s="8" t="s">
        <v>105</v>
      </c>
      <c r="D66" s="18">
        <v>4386</v>
      </c>
      <c r="E66" s="6">
        <v>2</v>
      </c>
      <c r="F66" s="6">
        <v>3</v>
      </c>
      <c r="G66" s="6">
        <v>1</v>
      </c>
      <c r="H66" s="6">
        <v>0</v>
      </c>
      <c r="I66" s="6">
        <v>2</v>
      </c>
      <c r="J66" s="18">
        <f t="shared" si="0"/>
        <v>8772</v>
      </c>
    </row>
    <row r="67" spans="1:10" hidden="1" x14ac:dyDescent="0.3">
      <c r="A67" s="5" t="s">
        <v>159</v>
      </c>
      <c r="B67" s="6" t="s">
        <v>160</v>
      </c>
      <c r="C67" s="8" t="s">
        <v>105</v>
      </c>
      <c r="D67" s="18">
        <v>0</v>
      </c>
      <c r="E67" s="6">
        <v>50</v>
      </c>
      <c r="F67" s="6">
        <v>83</v>
      </c>
      <c r="G67" s="6">
        <v>28</v>
      </c>
      <c r="H67" s="6">
        <v>24</v>
      </c>
      <c r="I67" s="6">
        <v>31</v>
      </c>
      <c r="J67" s="18">
        <f t="shared" ref="J67:J130" si="1">I67*D67</f>
        <v>0</v>
      </c>
    </row>
    <row r="68" spans="1:10" hidden="1" x14ac:dyDescent="0.3">
      <c r="A68" s="5" t="s">
        <v>106</v>
      </c>
      <c r="B68" s="6" t="s">
        <v>107</v>
      </c>
      <c r="C68" s="8" t="s">
        <v>105</v>
      </c>
      <c r="D68" s="18">
        <v>794.72249999999997</v>
      </c>
      <c r="E68" s="6">
        <v>6</v>
      </c>
      <c r="F68" s="6">
        <v>10</v>
      </c>
      <c r="G68" s="6">
        <v>0</v>
      </c>
      <c r="H68" s="6">
        <v>0</v>
      </c>
      <c r="I68" s="6">
        <v>10</v>
      </c>
      <c r="J68" s="18">
        <f t="shared" si="1"/>
        <v>7947.2249999999995</v>
      </c>
    </row>
    <row r="69" spans="1:10" hidden="1" x14ac:dyDescent="0.3">
      <c r="A69" s="5" t="s">
        <v>110</v>
      </c>
      <c r="B69" s="6" t="s">
        <v>111</v>
      </c>
      <c r="C69" s="8" t="s">
        <v>105</v>
      </c>
      <c r="D69" s="18">
        <v>1061.5999999999999</v>
      </c>
      <c r="E69" s="6">
        <v>6</v>
      </c>
      <c r="F69" s="6">
        <v>10</v>
      </c>
      <c r="G69" s="6">
        <v>0</v>
      </c>
      <c r="H69" s="6">
        <v>0</v>
      </c>
      <c r="I69" s="6">
        <v>10</v>
      </c>
      <c r="J69" s="18">
        <f t="shared" si="1"/>
        <v>10616</v>
      </c>
    </row>
    <row r="70" spans="1:10" hidden="1" x14ac:dyDescent="0.3">
      <c r="A70" s="5" t="s">
        <v>114</v>
      </c>
      <c r="B70" s="6" t="s">
        <v>115</v>
      </c>
      <c r="C70" s="8" t="s">
        <v>105</v>
      </c>
      <c r="D70" s="18">
        <v>1120.3500000000001</v>
      </c>
      <c r="E70" s="6">
        <v>6</v>
      </c>
      <c r="F70" s="6">
        <v>10</v>
      </c>
      <c r="G70" s="6">
        <v>0</v>
      </c>
      <c r="H70" s="6">
        <v>0</v>
      </c>
      <c r="I70" s="6">
        <v>10</v>
      </c>
      <c r="J70" s="18">
        <f t="shared" si="1"/>
        <v>11203.500000000002</v>
      </c>
    </row>
    <row r="71" spans="1:10" hidden="1" x14ac:dyDescent="0.3">
      <c r="A71" s="5" t="s">
        <v>118</v>
      </c>
      <c r="B71" s="6" t="s">
        <v>119</v>
      </c>
      <c r="C71" s="8" t="s">
        <v>105</v>
      </c>
      <c r="D71" s="18">
        <v>1269.75</v>
      </c>
      <c r="E71" s="6">
        <v>3</v>
      </c>
      <c r="F71" s="6">
        <v>5</v>
      </c>
      <c r="G71" s="6">
        <v>0</v>
      </c>
      <c r="H71" s="6">
        <v>0</v>
      </c>
      <c r="I71" s="6">
        <v>5</v>
      </c>
      <c r="J71" s="18">
        <f t="shared" si="1"/>
        <v>6348.75</v>
      </c>
    </row>
    <row r="72" spans="1:10" hidden="1" x14ac:dyDescent="0.3">
      <c r="A72" s="5" t="s">
        <v>122</v>
      </c>
      <c r="B72" s="6" t="s">
        <v>123</v>
      </c>
      <c r="C72" s="8" t="s">
        <v>105</v>
      </c>
      <c r="D72" s="18">
        <v>1450.84</v>
      </c>
      <c r="E72" s="6">
        <v>5</v>
      </c>
      <c r="F72" s="6">
        <v>8</v>
      </c>
      <c r="G72" s="6">
        <v>0</v>
      </c>
      <c r="H72" s="6">
        <v>0</v>
      </c>
      <c r="I72" s="6">
        <v>8</v>
      </c>
      <c r="J72" s="18">
        <f t="shared" si="1"/>
        <v>11606.72</v>
      </c>
    </row>
    <row r="73" spans="1:10" hidden="1" x14ac:dyDescent="0.3">
      <c r="A73" s="5" t="s">
        <v>126</v>
      </c>
      <c r="B73" s="6" t="s">
        <v>127</v>
      </c>
      <c r="C73" s="8" t="s">
        <v>105</v>
      </c>
      <c r="D73" s="18">
        <v>1515.7239999999999</v>
      </c>
      <c r="E73" s="6">
        <v>5</v>
      </c>
      <c r="F73" s="6">
        <v>8</v>
      </c>
      <c r="G73" s="6">
        <v>0</v>
      </c>
      <c r="H73" s="6">
        <v>0</v>
      </c>
      <c r="I73" s="6">
        <v>8</v>
      </c>
      <c r="J73" s="18">
        <f t="shared" si="1"/>
        <v>12125.791999999999</v>
      </c>
    </row>
    <row r="74" spans="1:10" hidden="1" x14ac:dyDescent="0.3">
      <c r="A74" s="5" t="s">
        <v>130</v>
      </c>
      <c r="B74" s="6" t="s">
        <v>131</v>
      </c>
      <c r="C74" s="8" t="s">
        <v>105</v>
      </c>
      <c r="D74" s="18">
        <v>1688.4449999999999</v>
      </c>
      <c r="E74" s="6">
        <v>3</v>
      </c>
      <c r="F74" s="6">
        <v>5</v>
      </c>
      <c r="G74" s="6">
        <v>0</v>
      </c>
      <c r="H74" s="6">
        <v>0</v>
      </c>
      <c r="I74" s="6">
        <v>5</v>
      </c>
      <c r="J74" s="18">
        <f t="shared" si="1"/>
        <v>8442.2250000000004</v>
      </c>
    </row>
    <row r="75" spans="1:10" hidden="1" x14ac:dyDescent="0.3">
      <c r="A75" s="5" t="s">
        <v>134</v>
      </c>
      <c r="B75" s="6" t="s">
        <v>135</v>
      </c>
      <c r="C75" s="8" t="s">
        <v>105</v>
      </c>
      <c r="D75" s="18">
        <v>1987.1895</v>
      </c>
      <c r="E75" s="6">
        <v>3</v>
      </c>
      <c r="F75" s="6">
        <v>5</v>
      </c>
      <c r="G75" s="6">
        <v>0</v>
      </c>
      <c r="H75" s="6">
        <v>0</v>
      </c>
      <c r="I75" s="6">
        <v>5</v>
      </c>
      <c r="J75" s="18">
        <f t="shared" si="1"/>
        <v>9935.9475000000002</v>
      </c>
    </row>
    <row r="76" spans="1:10" hidden="1" x14ac:dyDescent="0.3">
      <c r="A76" s="5" t="s">
        <v>138</v>
      </c>
      <c r="B76" s="6" t="s">
        <v>139</v>
      </c>
      <c r="C76" s="8" t="s">
        <v>105</v>
      </c>
      <c r="D76" s="18">
        <v>1839.5650000000001</v>
      </c>
      <c r="E76" s="6">
        <v>3</v>
      </c>
      <c r="F76" s="6">
        <v>5</v>
      </c>
      <c r="G76" s="6">
        <v>0</v>
      </c>
      <c r="H76" s="6">
        <v>0</v>
      </c>
      <c r="I76" s="6">
        <v>5</v>
      </c>
      <c r="J76" s="18">
        <f t="shared" si="1"/>
        <v>9197.8250000000007</v>
      </c>
    </row>
    <row r="77" spans="1:10" hidden="1" x14ac:dyDescent="0.3">
      <c r="A77" s="5" t="s">
        <v>142</v>
      </c>
      <c r="B77" s="6" t="s">
        <v>143</v>
      </c>
      <c r="C77" s="8" t="s">
        <v>105</v>
      </c>
      <c r="D77" s="18">
        <v>2165.7215000000001</v>
      </c>
      <c r="E77" s="6">
        <v>3</v>
      </c>
      <c r="F77" s="6">
        <v>5</v>
      </c>
      <c r="G77" s="6">
        <v>0</v>
      </c>
      <c r="H77" s="6">
        <v>0</v>
      </c>
      <c r="I77" s="6">
        <v>5</v>
      </c>
      <c r="J77" s="18">
        <f t="shared" si="1"/>
        <v>10828.6075</v>
      </c>
    </row>
    <row r="78" spans="1:10" hidden="1" x14ac:dyDescent="0.3">
      <c r="A78" s="5" t="s">
        <v>146</v>
      </c>
      <c r="B78" s="6" t="s">
        <v>147</v>
      </c>
      <c r="C78" s="8" t="s">
        <v>105</v>
      </c>
      <c r="D78" s="18">
        <v>2458.1999999999998</v>
      </c>
      <c r="E78" s="6">
        <v>3</v>
      </c>
      <c r="F78" s="6">
        <v>5</v>
      </c>
      <c r="G78" s="6">
        <v>0</v>
      </c>
      <c r="H78" s="6">
        <v>0</v>
      </c>
      <c r="I78" s="6">
        <v>5</v>
      </c>
      <c r="J78" s="18">
        <f t="shared" si="1"/>
        <v>12291</v>
      </c>
    </row>
    <row r="79" spans="1:10" hidden="1" x14ac:dyDescent="0.3">
      <c r="A79" s="5" t="s">
        <v>153</v>
      </c>
      <c r="B79" s="6" t="s">
        <v>154</v>
      </c>
      <c r="C79" s="8" t="s">
        <v>105</v>
      </c>
      <c r="D79" s="18">
        <v>2890.3199999999997</v>
      </c>
      <c r="E79" s="6">
        <v>3</v>
      </c>
      <c r="F79" s="6">
        <v>5</v>
      </c>
      <c r="G79" s="6">
        <v>0</v>
      </c>
      <c r="H79" s="6">
        <v>0</v>
      </c>
      <c r="I79" s="6">
        <v>5</v>
      </c>
      <c r="J79" s="18">
        <f t="shared" si="1"/>
        <v>14451.599999999999</v>
      </c>
    </row>
    <row r="80" spans="1:10" hidden="1" x14ac:dyDescent="0.3">
      <c r="A80" s="5" t="s">
        <v>150</v>
      </c>
      <c r="B80" s="6" t="s">
        <v>151</v>
      </c>
      <c r="C80" s="8" t="s">
        <v>105</v>
      </c>
      <c r="D80" s="18">
        <v>2890.3199999999997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18">
        <f t="shared" si="1"/>
        <v>0</v>
      </c>
    </row>
    <row r="81" spans="1:10" hidden="1" x14ac:dyDescent="0.3">
      <c r="A81" s="5" t="s">
        <v>157</v>
      </c>
      <c r="B81" s="6" t="s">
        <v>158</v>
      </c>
      <c r="C81" s="8" t="s">
        <v>105</v>
      </c>
      <c r="D81" s="18">
        <v>3357.35</v>
      </c>
      <c r="E81" s="6">
        <v>2</v>
      </c>
      <c r="F81" s="6">
        <v>3</v>
      </c>
      <c r="G81" s="6">
        <v>0</v>
      </c>
      <c r="H81" s="6">
        <v>0</v>
      </c>
      <c r="I81" s="6">
        <v>3</v>
      </c>
      <c r="J81" s="18">
        <f t="shared" si="1"/>
        <v>10072.049999999999</v>
      </c>
    </row>
    <row r="82" spans="1:10" hidden="1" x14ac:dyDescent="0.3">
      <c r="A82" s="5" t="s">
        <v>161</v>
      </c>
      <c r="B82" s="6" t="s">
        <v>162</v>
      </c>
      <c r="C82" s="8" t="s">
        <v>163</v>
      </c>
      <c r="D82" s="18">
        <v>80</v>
      </c>
      <c r="E82" s="6">
        <v>36</v>
      </c>
      <c r="F82" s="6">
        <v>60</v>
      </c>
      <c r="G82" s="6">
        <v>34</v>
      </c>
      <c r="H82" s="6">
        <v>0</v>
      </c>
      <c r="I82" s="6">
        <v>26</v>
      </c>
      <c r="J82" s="18">
        <f t="shared" si="1"/>
        <v>2080</v>
      </c>
    </row>
    <row r="83" spans="1:10" hidden="1" x14ac:dyDescent="0.3">
      <c r="A83" s="5" t="s">
        <v>166</v>
      </c>
      <c r="B83" s="6" t="s">
        <v>167</v>
      </c>
      <c r="C83" s="8" t="s">
        <v>163</v>
      </c>
      <c r="D83" s="18">
        <v>85</v>
      </c>
      <c r="E83" s="6">
        <v>12</v>
      </c>
      <c r="F83" s="6">
        <v>20</v>
      </c>
      <c r="G83" s="6">
        <v>40</v>
      </c>
      <c r="H83" s="6">
        <v>0</v>
      </c>
      <c r="I83" s="6">
        <v>0</v>
      </c>
      <c r="J83" s="18">
        <f t="shared" si="1"/>
        <v>0</v>
      </c>
    </row>
    <row r="84" spans="1:10" hidden="1" x14ac:dyDescent="0.3">
      <c r="A84" s="5" t="s">
        <v>170</v>
      </c>
      <c r="B84" s="6" t="s">
        <v>171</v>
      </c>
      <c r="C84" s="8" t="s">
        <v>163</v>
      </c>
      <c r="D84" s="18">
        <v>100</v>
      </c>
      <c r="E84" s="6">
        <v>24</v>
      </c>
      <c r="F84" s="6">
        <v>40</v>
      </c>
      <c r="G84" s="6">
        <v>20</v>
      </c>
      <c r="H84" s="6">
        <v>0</v>
      </c>
      <c r="I84" s="6">
        <v>20</v>
      </c>
      <c r="J84" s="18">
        <f t="shared" si="1"/>
        <v>2000</v>
      </c>
    </row>
    <row r="85" spans="1:10" hidden="1" x14ac:dyDescent="0.3">
      <c r="A85" s="5" t="s">
        <v>176</v>
      </c>
      <c r="B85" s="6" t="s">
        <v>177</v>
      </c>
      <c r="C85" s="8" t="s">
        <v>163</v>
      </c>
      <c r="D85" s="18">
        <v>108</v>
      </c>
      <c r="E85" s="6">
        <v>15</v>
      </c>
      <c r="F85" s="6">
        <v>25</v>
      </c>
      <c r="G85" s="6">
        <v>23</v>
      </c>
      <c r="H85" s="6">
        <v>0</v>
      </c>
      <c r="I85" s="6">
        <v>0</v>
      </c>
      <c r="J85" s="18">
        <f t="shared" si="1"/>
        <v>0</v>
      </c>
    </row>
    <row r="86" spans="1:10" hidden="1" x14ac:dyDescent="0.3">
      <c r="A86" s="5" t="s">
        <v>180</v>
      </c>
      <c r="B86" s="6" t="s">
        <v>181</v>
      </c>
      <c r="C86" s="8" t="s">
        <v>163</v>
      </c>
      <c r="D86" s="18">
        <v>114</v>
      </c>
      <c r="E86" s="6">
        <v>18</v>
      </c>
      <c r="F86" s="6">
        <v>30</v>
      </c>
      <c r="G86" s="6">
        <v>13</v>
      </c>
      <c r="H86" s="6">
        <v>0</v>
      </c>
      <c r="I86" s="6">
        <v>17</v>
      </c>
      <c r="J86" s="18">
        <f t="shared" si="1"/>
        <v>1938</v>
      </c>
    </row>
    <row r="87" spans="1:10" hidden="1" x14ac:dyDescent="0.3">
      <c r="A87" s="5" t="s">
        <v>184</v>
      </c>
      <c r="B87" s="6" t="s">
        <v>185</v>
      </c>
      <c r="C87" s="8" t="s">
        <v>163</v>
      </c>
      <c r="D87" s="18">
        <v>128</v>
      </c>
      <c r="E87" s="6">
        <v>9</v>
      </c>
      <c r="F87" s="6">
        <v>15</v>
      </c>
      <c r="G87" s="6">
        <v>30</v>
      </c>
      <c r="H87" s="6">
        <v>0</v>
      </c>
      <c r="I87" s="6">
        <v>0</v>
      </c>
      <c r="J87" s="18">
        <f t="shared" si="1"/>
        <v>0</v>
      </c>
    </row>
    <row r="88" spans="1:10" hidden="1" x14ac:dyDescent="0.3">
      <c r="A88" s="5" t="s">
        <v>188</v>
      </c>
      <c r="B88" s="6" t="s">
        <v>189</v>
      </c>
      <c r="C88" s="8" t="s">
        <v>163</v>
      </c>
      <c r="D88" s="18">
        <v>165.5</v>
      </c>
      <c r="E88" s="6">
        <v>6</v>
      </c>
      <c r="F88" s="6">
        <v>10</v>
      </c>
      <c r="G88" s="6">
        <v>17</v>
      </c>
      <c r="H88" s="6">
        <v>0</v>
      </c>
      <c r="I88" s="6">
        <v>0</v>
      </c>
      <c r="J88" s="18">
        <f t="shared" si="1"/>
        <v>0</v>
      </c>
    </row>
    <row r="89" spans="1:10" hidden="1" x14ac:dyDescent="0.3">
      <c r="A89" s="5" t="s">
        <v>192</v>
      </c>
      <c r="B89" s="6" t="s">
        <v>193</v>
      </c>
      <c r="C89" s="8" t="s">
        <v>163</v>
      </c>
      <c r="D89" s="18">
        <v>403.65000000000003</v>
      </c>
      <c r="E89" s="6">
        <v>3</v>
      </c>
      <c r="F89" s="6">
        <v>5</v>
      </c>
      <c r="G89" s="6">
        <v>2</v>
      </c>
      <c r="H89" s="6">
        <v>0</v>
      </c>
      <c r="I89" s="6">
        <v>3</v>
      </c>
      <c r="J89" s="18">
        <f t="shared" si="1"/>
        <v>1210.95</v>
      </c>
    </row>
    <row r="90" spans="1:10" hidden="1" x14ac:dyDescent="0.3">
      <c r="A90" s="5" t="s">
        <v>164</v>
      </c>
      <c r="B90" s="6" t="s">
        <v>165</v>
      </c>
      <c r="C90" s="8" t="s">
        <v>163</v>
      </c>
      <c r="D90" s="18">
        <v>80</v>
      </c>
      <c r="E90" s="6">
        <v>36</v>
      </c>
      <c r="F90" s="6">
        <v>60</v>
      </c>
      <c r="G90" s="6">
        <v>64</v>
      </c>
      <c r="H90" s="6">
        <v>0</v>
      </c>
      <c r="I90" s="6">
        <v>0</v>
      </c>
      <c r="J90" s="18">
        <f t="shared" si="1"/>
        <v>0</v>
      </c>
    </row>
    <row r="91" spans="1:10" hidden="1" x14ac:dyDescent="0.3">
      <c r="A91" s="5" t="s">
        <v>168</v>
      </c>
      <c r="B91" s="6" t="s">
        <v>169</v>
      </c>
      <c r="C91" s="8" t="s">
        <v>163</v>
      </c>
      <c r="D91" s="18">
        <v>85</v>
      </c>
      <c r="E91" s="6">
        <v>12</v>
      </c>
      <c r="F91" s="6">
        <v>20</v>
      </c>
      <c r="G91" s="6">
        <v>86</v>
      </c>
      <c r="H91" s="6">
        <v>0</v>
      </c>
      <c r="I91" s="6">
        <v>0</v>
      </c>
      <c r="J91" s="18">
        <f t="shared" si="1"/>
        <v>0</v>
      </c>
    </row>
    <row r="92" spans="1:10" hidden="1" x14ac:dyDescent="0.3">
      <c r="A92" s="5" t="s">
        <v>172</v>
      </c>
      <c r="B92" s="6" t="s">
        <v>173</v>
      </c>
      <c r="C92" s="8" t="s">
        <v>163</v>
      </c>
      <c r="D92" s="18">
        <v>100</v>
      </c>
      <c r="E92" s="6">
        <v>24</v>
      </c>
      <c r="F92" s="6">
        <v>40</v>
      </c>
      <c r="G92" s="6">
        <v>33</v>
      </c>
      <c r="H92" s="6">
        <v>0</v>
      </c>
      <c r="I92" s="6">
        <v>0</v>
      </c>
      <c r="J92" s="18">
        <f t="shared" si="1"/>
        <v>0</v>
      </c>
    </row>
    <row r="93" spans="1:10" hidden="1" x14ac:dyDescent="0.3">
      <c r="A93" s="5" t="s">
        <v>174</v>
      </c>
      <c r="B93" s="6" t="s">
        <v>175</v>
      </c>
      <c r="C93" s="8" t="s">
        <v>163</v>
      </c>
      <c r="D93" s="18">
        <v>108</v>
      </c>
      <c r="E93" s="6">
        <v>0</v>
      </c>
      <c r="F93" s="6">
        <v>0</v>
      </c>
      <c r="G93" s="6">
        <v>4</v>
      </c>
      <c r="H93" s="6">
        <v>0</v>
      </c>
      <c r="I93" s="6">
        <v>0</v>
      </c>
      <c r="J93" s="18">
        <f t="shared" si="1"/>
        <v>0</v>
      </c>
    </row>
    <row r="94" spans="1:10" hidden="1" x14ac:dyDescent="0.3">
      <c r="A94" s="5" t="s">
        <v>178</v>
      </c>
      <c r="B94" s="6" t="s">
        <v>179</v>
      </c>
      <c r="C94" s="8" t="s">
        <v>163</v>
      </c>
      <c r="D94" s="18">
        <v>108</v>
      </c>
      <c r="E94" s="6">
        <v>15</v>
      </c>
      <c r="F94" s="6">
        <v>25</v>
      </c>
      <c r="G94" s="6">
        <v>20</v>
      </c>
      <c r="H94" s="6">
        <v>0</v>
      </c>
      <c r="I94" s="6">
        <v>0</v>
      </c>
      <c r="J94" s="18">
        <f t="shared" si="1"/>
        <v>0</v>
      </c>
    </row>
    <row r="95" spans="1:10" hidden="1" x14ac:dyDescent="0.3">
      <c r="A95" s="5" t="s">
        <v>182</v>
      </c>
      <c r="B95" s="6" t="s">
        <v>183</v>
      </c>
      <c r="C95" s="8" t="s">
        <v>163</v>
      </c>
      <c r="D95" s="18">
        <v>114</v>
      </c>
      <c r="E95" s="6">
        <v>18</v>
      </c>
      <c r="F95" s="6">
        <v>30</v>
      </c>
      <c r="G95" s="6">
        <v>37</v>
      </c>
      <c r="H95" s="6">
        <v>0</v>
      </c>
      <c r="I95" s="6">
        <v>0</v>
      </c>
      <c r="J95" s="18">
        <f t="shared" si="1"/>
        <v>0</v>
      </c>
    </row>
    <row r="96" spans="1:10" hidden="1" x14ac:dyDescent="0.3">
      <c r="A96" s="5" t="s">
        <v>186</v>
      </c>
      <c r="B96" s="6" t="s">
        <v>187</v>
      </c>
      <c r="C96" s="8" t="s">
        <v>163</v>
      </c>
      <c r="D96" s="18">
        <v>128</v>
      </c>
      <c r="E96" s="6">
        <v>9</v>
      </c>
      <c r="F96" s="6">
        <v>15</v>
      </c>
      <c r="G96" s="6">
        <v>27</v>
      </c>
      <c r="H96" s="6">
        <v>0</v>
      </c>
      <c r="I96" s="6">
        <v>0</v>
      </c>
      <c r="J96" s="18">
        <f t="shared" si="1"/>
        <v>0</v>
      </c>
    </row>
    <row r="97" spans="1:10" hidden="1" x14ac:dyDescent="0.3">
      <c r="A97" s="5" t="s">
        <v>190</v>
      </c>
      <c r="B97" s="6" t="s">
        <v>191</v>
      </c>
      <c r="C97" s="8" t="s">
        <v>163</v>
      </c>
      <c r="D97" s="18">
        <v>165.5</v>
      </c>
      <c r="E97" s="6">
        <v>6</v>
      </c>
      <c r="F97" s="6">
        <v>10</v>
      </c>
      <c r="G97" s="6">
        <v>36</v>
      </c>
      <c r="H97" s="6">
        <v>0</v>
      </c>
      <c r="I97" s="6">
        <v>0</v>
      </c>
      <c r="J97" s="18">
        <f t="shared" si="1"/>
        <v>0</v>
      </c>
    </row>
    <row r="98" spans="1:10" hidden="1" x14ac:dyDescent="0.3">
      <c r="A98" s="5" t="s">
        <v>194</v>
      </c>
      <c r="B98" s="6" t="s">
        <v>195</v>
      </c>
      <c r="C98" s="8" t="s">
        <v>196</v>
      </c>
      <c r="D98" s="18">
        <v>44.29</v>
      </c>
      <c r="E98" s="6">
        <v>113</v>
      </c>
      <c r="F98" s="6">
        <v>188</v>
      </c>
      <c r="G98" s="6">
        <v>104</v>
      </c>
      <c r="H98" s="6">
        <v>0</v>
      </c>
      <c r="I98" s="6">
        <v>84</v>
      </c>
      <c r="J98" s="18">
        <f t="shared" si="1"/>
        <v>3720.36</v>
      </c>
    </row>
    <row r="99" spans="1:10" hidden="1" x14ac:dyDescent="0.3">
      <c r="A99" s="5" t="s">
        <v>197</v>
      </c>
      <c r="B99" s="6" t="s">
        <v>198</v>
      </c>
      <c r="C99" s="8" t="s">
        <v>196</v>
      </c>
      <c r="D99" s="18">
        <v>58.37</v>
      </c>
      <c r="E99" s="6">
        <v>98</v>
      </c>
      <c r="F99" s="6">
        <v>163</v>
      </c>
      <c r="G99" s="6">
        <v>32</v>
      </c>
      <c r="H99" s="6">
        <v>0</v>
      </c>
      <c r="I99" s="6">
        <v>131</v>
      </c>
      <c r="J99" s="18">
        <f t="shared" si="1"/>
        <v>7646.4699999999993</v>
      </c>
    </row>
    <row r="100" spans="1:10" hidden="1" x14ac:dyDescent="0.3">
      <c r="A100" s="5" t="s">
        <v>199</v>
      </c>
      <c r="B100" s="6" t="s">
        <v>200</v>
      </c>
      <c r="C100" s="8" t="s">
        <v>201</v>
      </c>
      <c r="D100" s="18">
        <v>235</v>
      </c>
      <c r="E100" s="6">
        <v>30</v>
      </c>
      <c r="F100" s="6">
        <v>50</v>
      </c>
      <c r="G100" s="6">
        <v>35</v>
      </c>
      <c r="H100" s="6">
        <v>0</v>
      </c>
      <c r="I100" s="6">
        <v>0</v>
      </c>
      <c r="J100" s="18">
        <f t="shared" si="1"/>
        <v>0</v>
      </c>
    </row>
    <row r="101" spans="1:10" hidden="1" x14ac:dyDescent="0.3">
      <c r="A101" s="5" t="s">
        <v>202</v>
      </c>
      <c r="B101" s="6" t="s">
        <v>203</v>
      </c>
      <c r="C101" s="8" t="s">
        <v>201</v>
      </c>
      <c r="D101" s="18">
        <v>270</v>
      </c>
      <c r="E101" s="6">
        <v>15</v>
      </c>
      <c r="F101" s="6">
        <v>25</v>
      </c>
      <c r="G101" s="6">
        <v>4</v>
      </c>
      <c r="H101" s="6">
        <v>0</v>
      </c>
      <c r="I101" s="6">
        <v>21</v>
      </c>
      <c r="J101" s="18">
        <f t="shared" si="1"/>
        <v>5670</v>
      </c>
    </row>
    <row r="102" spans="1:10" hidden="1" x14ac:dyDescent="0.3">
      <c r="A102" s="5" t="s">
        <v>204</v>
      </c>
      <c r="B102" s="6" t="s">
        <v>205</v>
      </c>
      <c r="C102" s="8" t="s">
        <v>201</v>
      </c>
      <c r="D102" s="18">
        <v>270</v>
      </c>
      <c r="E102" s="6">
        <v>9</v>
      </c>
      <c r="F102" s="6">
        <v>15</v>
      </c>
      <c r="G102" s="6">
        <v>10</v>
      </c>
      <c r="H102" s="6">
        <v>0</v>
      </c>
      <c r="I102" s="6">
        <v>0</v>
      </c>
      <c r="J102" s="18">
        <f t="shared" si="1"/>
        <v>0</v>
      </c>
    </row>
    <row r="103" spans="1:10" hidden="1" x14ac:dyDescent="0.3">
      <c r="A103" s="5" t="s">
        <v>206</v>
      </c>
      <c r="B103" s="6" t="s">
        <v>207</v>
      </c>
      <c r="C103" s="8" t="s">
        <v>201</v>
      </c>
      <c r="D103" s="18">
        <v>270</v>
      </c>
      <c r="E103" s="6">
        <v>9</v>
      </c>
      <c r="F103" s="6">
        <v>15</v>
      </c>
      <c r="G103" s="6">
        <v>10</v>
      </c>
      <c r="H103" s="6">
        <v>0</v>
      </c>
      <c r="I103" s="6">
        <v>0</v>
      </c>
      <c r="J103" s="18">
        <f t="shared" si="1"/>
        <v>0</v>
      </c>
    </row>
    <row r="104" spans="1:10" hidden="1" x14ac:dyDescent="0.3">
      <c r="A104" s="5" t="s">
        <v>208</v>
      </c>
      <c r="B104" s="6" t="s">
        <v>209</v>
      </c>
      <c r="C104" s="8" t="s">
        <v>201</v>
      </c>
      <c r="D104" s="18">
        <v>270</v>
      </c>
      <c r="E104" s="6">
        <v>9</v>
      </c>
      <c r="F104" s="6">
        <v>15</v>
      </c>
      <c r="G104" s="6">
        <v>17</v>
      </c>
      <c r="H104" s="6">
        <v>0</v>
      </c>
      <c r="I104" s="6">
        <v>0</v>
      </c>
      <c r="J104" s="18">
        <f t="shared" si="1"/>
        <v>0</v>
      </c>
    </row>
    <row r="105" spans="1:10" hidden="1" x14ac:dyDescent="0.3">
      <c r="A105" s="5" t="s">
        <v>210</v>
      </c>
      <c r="B105" s="6" t="s">
        <v>211</v>
      </c>
      <c r="C105" s="8" t="s">
        <v>201</v>
      </c>
      <c r="D105" s="18">
        <v>297</v>
      </c>
      <c r="E105" s="6">
        <v>6</v>
      </c>
      <c r="F105" s="6">
        <v>10</v>
      </c>
      <c r="G105" s="6">
        <v>30</v>
      </c>
      <c r="H105" s="6">
        <v>0</v>
      </c>
      <c r="I105" s="6">
        <v>0</v>
      </c>
      <c r="J105" s="18">
        <f t="shared" si="1"/>
        <v>0</v>
      </c>
    </row>
    <row r="106" spans="1:10" hidden="1" x14ac:dyDescent="0.3">
      <c r="A106" s="5" t="s">
        <v>212</v>
      </c>
      <c r="B106" s="6" t="s">
        <v>213</v>
      </c>
      <c r="C106" s="8" t="s">
        <v>201</v>
      </c>
      <c r="D106" s="18">
        <v>384</v>
      </c>
      <c r="E106" s="6">
        <v>0</v>
      </c>
      <c r="F106" s="6">
        <v>1</v>
      </c>
      <c r="G106" s="6">
        <v>0</v>
      </c>
      <c r="H106" s="6">
        <v>0</v>
      </c>
      <c r="I106" s="6">
        <v>1</v>
      </c>
      <c r="J106" s="18">
        <f t="shared" si="1"/>
        <v>384</v>
      </c>
    </row>
    <row r="107" spans="1:10" hidden="1" x14ac:dyDescent="0.3">
      <c r="A107" s="5" t="s">
        <v>214</v>
      </c>
      <c r="B107" s="6" t="s">
        <v>215</v>
      </c>
      <c r="C107" s="8" t="s">
        <v>201</v>
      </c>
      <c r="D107" s="18">
        <v>384</v>
      </c>
      <c r="E107" s="6">
        <v>3</v>
      </c>
      <c r="F107" s="6">
        <v>5</v>
      </c>
      <c r="G107" s="6">
        <v>17</v>
      </c>
      <c r="H107" s="6">
        <v>0</v>
      </c>
      <c r="I107" s="6">
        <v>0</v>
      </c>
      <c r="J107" s="18">
        <f t="shared" si="1"/>
        <v>0</v>
      </c>
    </row>
    <row r="108" spans="1:10" hidden="1" x14ac:dyDescent="0.3">
      <c r="A108" s="5" t="s">
        <v>216</v>
      </c>
      <c r="B108" s="6" t="s">
        <v>217</v>
      </c>
      <c r="C108" s="8" t="s">
        <v>201</v>
      </c>
      <c r="D108" s="18">
        <v>384</v>
      </c>
      <c r="E108" s="6">
        <v>2</v>
      </c>
      <c r="F108" s="6">
        <v>3</v>
      </c>
      <c r="G108" s="6">
        <v>7</v>
      </c>
      <c r="H108" s="6">
        <v>0</v>
      </c>
      <c r="I108" s="6">
        <v>0</v>
      </c>
      <c r="J108" s="18">
        <f t="shared" si="1"/>
        <v>0</v>
      </c>
    </row>
    <row r="109" spans="1:10" hidden="1" x14ac:dyDescent="0.3">
      <c r="A109" s="5" t="s">
        <v>218</v>
      </c>
      <c r="B109" s="6" t="s">
        <v>219</v>
      </c>
      <c r="C109" s="8" t="s">
        <v>201</v>
      </c>
      <c r="D109" s="18">
        <v>384</v>
      </c>
      <c r="E109" s="6">
        <v>0</v>
      </c>
      <c r="F109" s="6">
        <v>1</v>
      </c>
      <c r="G109" s="6">
        <v>0</v>
      </c>
      <c r="H109" s="6">
        <v>0</v>
      </c>
      <c r="I109" s="6">
        <v>1</v>
      </c>
      <c r="J109" s="18">
        <f t="shared" si="1"/>
        <v>384</v>
      </c>
    </row>
    <row r="110" spans="1:10" hidden="1" x14ac:dyDescent="0.3">
      <c r="A110" s="5" t="s">
        <v>220</v>
      </c>
      <c r="B110" s="6" t="s">
        <v>221</v>
      </c>
      <c r="C110" s="8" t="s">
        <v>201</v>
      </c>
      <c r="D110" s="18">
        <v>384</v>
      </c>
      <c r="E110" s="6">
        <v>0</v>
      </c>
      <c r="F110" s="6">
        <v>1</v>
      </c>
      <c r="G110" s="6">
        <v>6</v>
      </c>
      <c r="H110" s="6">
        <v>0</v>
      </c>
      <c r="I110" s="6">
        <v>0</v>
      </c>
      <c r="J110" s="18">
        <f t="shared" si="1"/>
        <v>0</v>
      </c>
    </row>
    <row r="111" spans="1:10" hidden="1" x14ac:dyDescent="0.3">
      <c r="A111" s="5" t="s">
        <v>222</v>
      </c>
      <c r="B111" s="6" t="s">
        <v>223</v>
      </c>
      <c r="C111" s="8" t="s">
        <v>201</v>
      </c>
      <c r="D111" s="18">
        <v>85</v>
      </c>
      <c r="E111" s="6">
        <v>135</v>
      </c>
      <c r="F111" s="6">
        <v>225</v>
      </c>
      <c r="G111" s="6">
        <v>122</v>
      </c>
      <c r="H111" s="6">
        <v>0</v>
      </c>
      <c r="I111" s="6">
        <v>103</v>
      </c>
      <c r="J111" s="18">
        <f t="shared" si="1"/>
        <v>8755</v>
      </c>
    </row>
    <row r="112" spans="1:10" hidden="1" x14ac:dyDescent="0.3">
      <c r="A112" s="5" t="s">
        <v>224</v>
      </c>
      <c r="B112" s="6" t="s">
        <v>225</v>
      </c>
      <c r="C112" s="8" t="s">
        <v>201</v>
      </c>
      <c r="D112" s="18">
        <v>11</v>
      </c>
      <c r="E112" s="6">
        <v>24</v>
      </c>
      <c r="F112" s="6">
        <v>40</v>
      </c>
      <c r="G112" s="6">
        <v>68</v>
      </c>
      <c r="H112" s="6">
        <v>0</v>
      </c>
      <c r="I112" s="6">
        <v>0</v>
      </c>
      <c r="J112" s="18">
        <f t="shared" si="1"/>
        <v>0</v>
      </c>
    </row>
    <row r="113" spans="1:10" hidden="1" x14ac:dyDescent="0.3">
      <c r="A113" s="5" t="s">
        <v>226</v>
      </c>
      <c r="B113" s="6" t="s">
        <v>227</v>
      </c>
      <c r="C113" s="8" t="s">
        <v>201</v>
      </c>
      <c r="D113" s="18">
        <v>4.5999999999999996</v>
      </c>
      <c r="E113" s="6">
        <v>45</v>
      </c>
      <c r="F113" s="6">
        <v>75</v>
      </c>
      <c r="G113" s="6">
        <v>54</v>
      </c>
      <c r="H113" s="6">
        <v>0</v>
      </c>
      <c r="I113" s="6">
        <v>0</v>
      </c>
      <c r="J113" s="18">
        <f t="shared" si="1"/>
        <v>0</v>
      </c>
    </row>
    <row r="114" spans="1:10" hidden="1" x14ac:dyDescent="0.3">
      <c r="A114" s="5" t="s">
        <v>228</v>
      </c>
      <c r="B114" s="6" t="s">
        <v>229</v>
      </c>
      <c r="C114" s="8" t="s">
        <v>201</v>
      </c>
      <c r="D114" s="18">
        <v>4.8499999999999996</v>
      </c>
      <c r="E114" s="6">
        <v>30</v>
      </c>
      <c r="F114" s="6">
        <v>50</v>
      </c>
      <c r="G114" s="6">
        <v>92</v>
      </c>
      <c r="H114" s="6">
        <v>0</v>
      </c>
      <c r="I114" s="6">
        <v>0</v>
      </c>
      <c r="J114" s="18">
        <f t="shared" si="1"/>
        <v>0</v>
      </c>
    </row>
    <row r="115" spans="1:10" hidden="1" x14ac:dyDescent="0.3">
      <c r="A115" s="5" t="s">
        <v>230</v>
      </c>
      <c r="B115" s="6" t="s">
        <v>231</v>
      </c>
      <c r="C115" s="8" t="s">
        <v>201</v>
      </c>
      <c r="D115" s="18">
        <v>42</v>
      </c>
      <c r="E115" s="6">
        <v>90</v>
      </c>
      <c r="F115" s="6">
        <v>150</v>
      </c>
      <c r="G115" s="6">
        <v>127</v>
      </c>
      <c r="H115" s="6">
        <v>0</v>
      </c>
      <c r="I115" s="6">
        <v>0</v>
      </c>
      <c r="J115" s="18">
        <f t="shared" si="1"/>
        <v>0</v>
      </c>
    </row>
    <row r="116" spans="1:10" hidden="1" x14ac:dyDescent="0.3">
      <c r="A116" s="5" t="s">
        <v>232</v>
      </c>
      <c r="B116" s="6" t="s">
        <v>233</v>
      </c>
      <c r="C116" s="8" t="s">
        <v>201</v>
      </c>
      <c r="D116" s="18">
        <v>11</v>
      </c>
      <c r="E116" s="6">
        <v>24</v>
      </c>
      <c r="F116" s="6">
        <v>40</v>
      </c>
      <c r="G116" s="6">
        <v>92</v>
      </c>
      <c r="H116" s="6">
        <v>0</v>
      </c>
      <c r="I116" s="6">
        <v>0</v>
      </c>
      <c r="J116" s="18">
        <f t="shared" si="1"/>
        <v>0</v>
      </c>
    </row>
    <row r="117" spans="1:10" hidden="1" x14ac:dyDescent="0.3">
      <c r="A117" s="5" t="s">
        <v>239</v>
      </c>
      <c r="B117" s="6" t="s">
        <v>240</v>
      </c>
      <c r="C117" s="8" t="s">
        <v>236</v>
      </c>
      <c r="D117" s="18">
        <v>141.608115942029</v>
      </c>
      <c r="E117" s="6">
        <v>5</v>
      </c>
      <c r="F117" s="6">
        <v>8</v>
      </c>
      <c r="G117" s="6">
        <v>18</v>
      </c>
      <c r="H117" s="6">
        <v>0</v>
      </c>
      <c r="I117" s="6">
        <v>0</v>
      </c>
      <c r="J117" s="18">
        <f t="shared" si="1"/>
        <v>0</v>
      </c>
    </row>
    <row r="118" spans="1:10" hidden="1" x14ac:dyDescent="0.3">
      <c r="A118" s="5" t="s">
        <v>243</v>
      </c>
      <c r="B118" s="6" t="s">
        <v>244</v>
      </c>
      <c r="C118" s="8" t="s">
        <v>236</v>
      </c>
      <c r="D118" s="18">
        <v>144.44811594202901</v>
      </c>
      <c r="E118" s="6">
        <v>5</v>
      </c>
      <c r="F118" s="6">
        <v>8</v>
      </c>
      <c r="G118" s="6">
        <v>17</v>
      </c>
      <c r="H118" s="6">
        <v>0</v>
      </c>
      <c r="I118" s="6">
        <v>0</v>
      </c>
      <c r="J118" s="18">
        <f t="shared" si="1"/>
        <v>0</v>
      </c>
    </row>
    <row r="119" spans="1:10" hidden="1" x14ac:dyDescent="0.3">
      <c r="A119" s="5" t="s">
        <v>247</v>
      </c>
      <c r="B119" s="6" t="s">
        <v>248</v>
      </c>
      <c r="C119" s="8" t="s">
        <v>236</v>
      </c>
      <c r="D119" s="18">
        <v>159.84811594202901</v>
      </c>
      <c r="E119" s="6">
        <v>3</v>
      </c>
      <c r="F119" s="6">
        <v>5</v>
      </c>
      <c r="G119" s="6">
        <v>23</v>
      </c>
      <c r="H119" s="6">
        <v>0</v>
      </c>
      <c r="I119" s="6">
        <v>0</v>
      </c>
      <c r="J119" s="18">
        <f t="shared" si="1"/>
        <v>0</v>
      </c>
    </row>
    <row r="120" spans="1:10" hidden="1" x14ac:dyDescent="0.3">
      <c r="A120" s="5" t="s">
        <v>251</v>
      </c>
      <c r="B120" s="6" t="s">
        <v>252</v>
      </c>
      <c r="C120" s="8" t="s">
        <v>236</v>
      </c>
      <c r="D120" s="18">
        <v>169.40811594202899</v>
      </c>
      <c r="E120" s="6">
        <v>3</v>
      </c>
      <c r="F120" s="6">
        <v>5</v>
      </c>
      <c r="G120" s="6">
        <v>19</v>
      </c>
      <c r="H120" s="6">
        <v>0</v>
      </c>
      <c r="I120" s="6">
        <v>0</v>
      </c>
      <c r="J120" s="18">
        <f t="shared" si="1"/>
        <v>0</v>
      </c>
    </row>
    <row r="121" spans="1:10" hidden="1" x14ac:dyDescent="0.3">
      <c r="A121" s="5" t="s">
        <v>255</v>
      </c>
      <c r="B121" s="6" t="s">
        <v>256</v>
      </c>
      <c r="C121" s="8" t="s">
        <v>236</v>
      </c>
      <c r="D121" s="18">
        <v>181.12811594202901</v>
      </c>
      <c r="E121" s="6">
        <v>3</v>
      </c>
      <c r="F121" s="6">
        <v>5</v>
      </c>
      <c r="G121" s="6">
        <v>36</v>
      </c>
      <c r="H121" s="6">
        <v>10</v>
      </c>
      <c r="I121" s="6">
        <v>0</v>
      </c>
      <c r="J121" s="18">
        <f t="shared" si="1"/>
        <v>0</v>
      </c>
    </row>
    <row r="122" spans="1:10" hidden="1" x14ac:dyDescent="0.3">
      <c r="A122" s="5" t="s">
        <v>259</v>
      </c>
      <c r="B122" s="6" t="s">
        <v>260</v>
      </c>
      <c r="C122" s="8" t="s">
        <v>236</v>
      </c>
      <c r="D122" s="18">
        <v>212.608115942029</v>
      </c>
      <c r="E122" s="6">
        <v>3</v>
      </c>
      <c r="F122" s="6">
        <v>5</v>
      </c>
      <c r="G122" s="6">
        <v>46</v>
      </c>
      <c r="H122" s="6">
        <v>9</v>
      </c>
      <c r="I122" s="6">
        <v>0</v>
      </c>
      <c r="J122" s="18">
        <f t="shared" si="1"/>
        <v>0</v>
      </c>
    </row>
    <row r="123" spans="1:10" hidden="1" x14ac:dyDescent="0.3">
      <c r="A123" s="5" t="s">
        <v>263</v>
      </c>
      <c r="B123" s="6" t="s">
        <v>264</v>
      </c>
      <c r="C123" s="8" t="s">
        <v>236</v>
      </c>
      <c r="D123" s="18">
        <v>228.84811594202901</v>
      </c>
      <c r="E123" s="6">
        <v>2</v>
      </c>
      <c r="F123" s="6">
        <v>3</v>
      </c>
      <c r="G123" s="6">
        <v>36</v>
      </c>
      <c r="H123" s="6">
        <v>8</v>
      </c>
      <c r="I123" s="6">
        <v>0</v>
      </c>
      <c r="J123" s="18">
        <f t="shared" si="1"/>
        <v>0</v>
      </c>
    </row>
    <row r="124" spans="1:10" hidden="1" x14ac:dyDescent="0.3">
      <c r="A124" s="5" t="s">
        <v>267</v>
      </c>
      <c r="B124" s="6" t="s">
        <v>268</v>
      </c>
      <c r="C124" s="8" t="s">
        <v>236</v>
      </c>
      <c r="D124" s="18">
        <v>247.00811594202901</v>
      </c>
      <c r="E124" s="6">
        <v>2</v>
      </c>
      <c r="F124" s="6">
        <v>3</v>
      </c>
      <c r="G124" s="6">
        <v>3</v>
      </c>
      <c r="H124" s="6">
        <v>0</v>
      </c>
      <c r="I124" s="6">
        <v>0</v>
      </c>
      <c r="J124" s="18">
        <f t="shared" si="1"/>
        <v>0</v>
      </c>
    </row>
    <row r="125" spans="1:10" hidden="1" x14ac:dyDescent="0.3">
      <c r="A125" s="5" t="s">
        <v>234</v>
      </c>
      <c r="B125" s="6" t="s">
        <v>235</v>
      </c>
      <c r="C125" s="8" t="s">
        <v>236</v>
      </c>
      <c r="D125" s="18">
        <v>264.68811594202896</v>
      </c>
      <c r="E125" s="6">
        <v>2</v>
      </c>
      <c r="F125" s="6">
        <v>3</v>
      </c>
      <c r="G125" s="6">
        <v>3</v>
      </c>
      <c r="H125" s="6">
        <v>0</v>
      </c>
      <c r="I125" s="6">
        <v>0</v>
      </c>
      <c r="J125" s="18">
        <f t="shared" si="1"/>
        <v>0</v>
      </c>
    </row>
    <row r="126" spans="1:10" hidden="1" x14ac:dyDescent="0.3">
      <c r="A126" s="5" t="s">
        <v>269</v>
      </c>
      <c r="B126" s="6" t="s">
        <v>270</v>
      </c>
      <c r="C126" s="8" t="s">
        <v>236</v>
      </c>
      <c r="D126" s="18">
        <v>300</v>
      </c>
      <c r="E126" s="6">
        <v>0</v>
      </c>
      <c r="F126" s="6">
        <v>0</v>
      </c>
      <c r="G126" s="6">
        <v>1</v>
      </c>
      <c r="H126" s="6">
        <v>0</v>
      </c>
      <c r="I126" s="6">
        <v>0</v>
      </c>
      <c r="J126" s="18">
        <f t="shared" si="1"/>
        <v>0</v>
      </c>
    </row>
    <row r="127" spans="1:10" hidden="1" x14ac:dyDescent="0.3">
      <c r="A127" s="5" t="s">
        <v>237</v>
      </c>
      <c r="B127" s="6" t="s">
        <v>238</v>
      </c>
      <c r="C127" s="8" t="s">
        <v>236</v>
      </c>
      <c r="D127" s="18">
        <v>311</v>
      </c>
      <c r="E127" s="6">
        <v>0</v>
      </c>
      <c r="F127" s="6">
        <v>0</v>
      </c>
      <c r="G127" s="6">
        <v>1</v>
      </c>
      <c r="H127" s="6">
        <v>0</v>
      </c>
      <c r="I127" s="6">
        <v>0</v>
      </c>
      <c r="J127" s="18">
        <f t="shared" si="1"/>
        <v>0</v>
      </c>
    </row>
    <row r="128" spans="1:10" hidden="1" x14ac:dyDescent="0.3">
      <c r="A128" s="5" t="s">
        <v>241</v>
      </c>
      <c r="B128" s="6" t="s">
        <v>242</v>
      </c>
      <c r="C128" s="8" t="s">
        <v>236</v>
      </c>
      <c r="D128" s="18">
        <v>31.96</v>
      </c>
      <c r="E128" s="6">
        <v>5</v>
      </c>
      <c r="F128" s="6">
        <v>8</v>
      </c>
      <c r="G128" s="6">
        <v>0</v>
      </c>
      <c r="H128" s="6">
        <v>0</v>
      </c>
      <c r="I128" s="6">
        <v>8</v>
      </c>
      <c r="J128" s="18">
        <f t="shared" si="1"/>
        <v>255.68</v>
      </c>
    </row>
    <row r="129" spans="1:10" hidden="1" x14ac:dyDescent="0.3">
      <c r="A129" s="5" t="s">
        <v>245</v>
      </c>
      <c r="B129" s="6" t="s">
        <v>246</v>
      </c>
      <c r="C129" s="8" t="s">
        <v>236</v>
      </c>
      <c r="D129" s="18">
        <v>32.67</v>
      </c>
      <c r="E129" s="6">
        <v>5</v>
      </c>
      <c r="F129" s="6">
        <v>8</v>
      </c>
      <c r="G129" s="6">
        <v>0</v>
      </c>
      <c r="H129" s="6">
        <v>0</v>
      </c>
      <c r="I129" s="6">
        <v>8</v>
      </c>
      <c r="J129" s="18">
        <f t="shared" si="1"/>
        <v>261.36</v>
      </c>
    </row>
    <row r="130" spans="1:10" hidden="1" x14ac:dyDescent="0.3">
      <c r="A130" s="5" t="s">
        <v>249</v>
      </c>
      <c r="B130" s="6" t="s">
        <v>250</v>
      </c>
      <c r="C130" s="8" t="s">
        <v>236</v>
      </c>
      <c r="D130" s="18">
        <v>36.520000000000003</v>
      </c>
      <c r="E130" s="6">
        <v>3</v>
      </c>
      <c r="F130" s="6">
        <v>5</v>
      </c>
      <c r="G130" s="6">
        <v>0</v>
      </c>
      <c r="H130" s="6">
        <v>0</v>
      </c>
      <c r="I130" s="6">
        <v>5</v>
      </c>
      <c r="J130" s="18">
        <f t="shared" si="1"/>
        <v>182.60000000000002</v>
      </c>
    </row>
    <row r="131" spans="1:10" hidden="1" x14ac:dyDescent="0.3">
      <c r="A131" s="5" t="s">
        <v>253</v>
      </c>
      <c r="B131" s="6" t="s">
        <v>254</v>
      </c>
      <c r="C131" s="8" t="s">
        <v>236</v>
      </c>
      <c r="D131" s="18">
        <v>38.909999999999997</v>
      </c>
      <c r="E131" s="6">
        <v>3</v>
      </c>
      <c r="F131" s="6">
        <v>5</v>
      </c>
      <c r="G131" s="6">
        <v>0</v>
      </c>
      <c r="H131" s="6">
        <v>0</v>
      </c>
      <c r="I131" s="6">
        <v>5</v>
      </c>
      <c r="J131" s="18">
        <f t="shared" ref="J131:J194" si="2">I131*D131</f>
        <v>194.54999999999998</v>
      </c>
    </row>
    <row r="132" spans="1:10" hidden="1" x14ac:dyDescent="0.3">
      <c r="A132" s="5" t="s">
        <v>257</v>
      </c>
      <c r="B132" s="6" t="s">
        <v>258</v>
      </c>
      <c r="C132" s="8" t="s">
        <v>236</v>
      </c>
      <c r="D132" s="18">
        <v>41.84</v>
      </c>
      <c r="E132" s="6">
        <v>3</v>
      </c>
      <c r="F132" s="6">
        <v>5</v>
      </c>
      <c r="G132" s="6">
        <v>0</v>
      </c>
      <c r="H132" s="6">
        <v>0</v>
      </c>
      <c r="I132" s="6">
        <v>5</v>
      </c>
      <c r="J132" s="18">
        <f t="shared" si="2"/>
        <v>209.20000000000002</v>
      </c>
    </row>
    <row r="133" spans="1:10" hidden="1" x14ac:dyDescent="0.3">
      <c r="A133" s="5" t="s">
        <v>261</v>
      </c>
      <c r="B133" s="6" t="s">
        <v>262</v>
      </c>
      <c r="C133" s="8" t="s">
        <v>236</v>
      </c>
      <c r="D133" s="18">
        <v>49.71</v>
      </c>
      <c r="E133" s="6">
        <v>3</v>
      </c>
      <c r="F133" s="6">
        <v>5</v>
      </c>
      <c r="G133" s="6">
        <v>0</v>
      </c>
      <c r="H133" s="6">
        <v>0</v>
      </c>
      <c r="I133" s="6">
        <v>5</v>
      </c>
      <c r="J133" s="18">
        <f t="shared" si="2"/>
        <v>248.55</v>
      </c>
    </row>
    <row r="134" spans="1:10" hidden="1" x14ac:dyDescent="0.3">
      <c r="A134" s="5" t="s">
        <v>265</v>
      </c>
      <c r="B134" s="6" t="s">
        <v>266</v>
      </c>
      <c r="C134" s="8" t="s">
        <v>236</v>
      </c>
      <c r="D134" s="18">
        <v>53.77</v>
      </c>
      <c r="E134" s="6">
        <v>2</v>
      </c>
      <c r="F134" s="6">
        <v>3</v>
      </c>
      <c r="G134" s="6">
        <v>0</v>
      </c>
      <c r="H134" s="6">
        <v>0</v>
      </c>
      <c r="I134" s="6">
        <v>3</v>
      </c>
      <c r="J134" s="18">
        <f t="shared" si="2"/>
        <v>161.31</v>
      </c>
    </row>
    <row r="135" spans="1:10" hidden="1" x14ac:dyDescent="0.3">
      <c r="A135" s="5" t="s">
        <v>271</v>
      </c>
      <c r="B135" s="6" t="s">
        <v>272</v>
      </c>
      <c r="C135" s="8" t="s">
        <v>236</v>
      </c>
      <c r="D135" s="18">
        <v>58.31</v>
      </c>
      <c r="E135" s="6">
        <v>2</v>
      </c>
      <c r="F135" s="6">
        <v>3</v>
      </c>
      <c r="G135" s="6">
        <v>0</v>
      </c>
      <c r="H135" s="6">
        <v>0</v>
      </c>
      <c r="I135" s="6">
        <v>3</v>
      </c>
      <c r="J135" s="18">
        <f t="shared" si="2"/>
        <v>174.93</v>
      </c>
    </row>
    <row r="136" spans="1:10" hidden="1" x14ac:dyDescent="0.3">
      <c r="A136" s="5" t="s">
        <v>276</v>
      </c>
      <c r="B136" s="6" t="s">
        <v>277</v>
      </c>
      <c r="C136" s="8" t="s">
        <v>275</v>
      </c>
      <c r="D136" s="18">
        <v>36.718115942028987</v>
      </c>
      <c r="E136" s="6">
        <v>27</v>
      </c>
      <c r="F136" s="6">
        <v>45</v>
      </c>
      <c r="G136" s="6">
        <v>32</v>
      </c>
      <c r="H136" s="6">
        <v>0</v>
      </c>
      <c r="I136" s="6">
        <v>0</v>
      </c>
      <c r="J136" s="18">
        <f t="shared" si="2"/>
        <v>0</v>
      </c>
    </row>
    <row r="137" spans="1:10" hidden="1" x14ac:dyDescent="0.3">
      <c r="A137" s="5" t="s">
        <v>280</v>
      </c>
      <c r="B137" s="6" t="s">
        <v>281</v>
      </c>
      <c r="C137" s="8" t="s">
        <v>275</v>
      </c>
      <c r="D137" s="18">
        <v>51.068115942028982</v>
      </c>
      <c r="E137" s="6">
        <v>27</v>
      </c>
      <c r="F137" s="6">
        <v>45</v>
      </c>
      <c r="G137" s="6">
        <v>24</v>
      </c>
      <c r="H137" s="6">
        <v>0</v>
      </c>
      <c r="I137" s="6">
        <v>21</v>
      </c>
      <c r="J137" s="18">
        <f t="shared" si="2"/>
        <v>1072.4304347826087</v>
      </c>
    </row>
    <row r="138" spans="1:10" hidden="1" x14ac:dyDescent="0.3">
      <c r="A138" s="5" t="s">
        <v>284</v>
      </c>
      <c r="B138" s="6" t="s">
        <v>285</v>
      </c>
      <c r="C138" s="8" t="s">
        <v>275</v>
      </c>
      <c r="D138" s="18">
        <v>75.318115942028982</v>
      </c>
      <c r="E138" s="6">
        <v>21</v>
      </c>
      <c r="F138" s="6">
        <v>35</v>
      </c>
      <c r="G138" s="6">
        <v>92</v>
      </c>
      <c r="H138" s="6">
        <v>18</v>
      </c>
      <c r="I138" s="6">
        <v>0</v>
      </c>
      <c r="J138" s="18">
        <f t="shared" si="2"/>
        <v>0</v>
      </c>
    </row>
    <row r="139" spans="1:10" hidden="1" x14ac:dyDescent="0.3">
      <c r="A139" s="5" t="s">
        <v>288</v>
      </c>
      <c r="B139" s="6" t="s">
        <v>289</v>
      </c>
      <c r="C139" s="8" t="s">
        <v>275</v>
      </c>
      <c r="D139" s="18">
        <v>117.24811594202899</v>
      </c>
      <c r="E139" s="6">
        <v>32</v>
      </c>
      <c r="F139" s="6">
        <v>53</v>
      </c>
      <c r="G139" s="6">
        <v>91</v>
      </c>
      <c r="H139" s="6">
        <v>0</v>
      </c>
      <c r="I139" s="6">
        <v>0</v>
      </c>
      <c r="J139" s="18">
        <f t="shared" si="2"/>
        <v>0</v>
      </c>
    </row>
    <row r="140" spans="1:10" hidden="1" x14ac:dyDescent="0.3">
      <c r="A140" s="5" t="s">
        <v>290</v>
      </c>
      <c r="B140" s="6" t="s">
        <v>291</v>
      </c>
      <c r="C140" s="8" t="s">
        <v>275</v>
      </c>
      <c r="D140" s="18">
        <v>132.918115942029</v>
      </c>
      <c r="E140" s="6">
        <v>33</v>
      </c>
      <c r="F140" s="6">
        <v>55</v>
      </c>
      <c r="G140" s="6">
        <v>43</v>
      </c>
      <c r="H140" s="6">
        <v>21</v>
      </c>
      <c r="I140" s="6">
        <v>0</v>
      </c>
      <c r="J140" s="18">
        <f t="shared" si="2"/>
        <v>0</v>
      </c>
    </row>
    <row r="141" spans="1:10" hidden="1" x14ac:dyDescent="0.3">
      <c r="A141" s="5" t="s">
        <v>294</v>
      </c>
      <c r="B141" s="6" t="s">
        <v>295</v>
      </c>
      <c r="C141" s="8" t="s">
        <v>275</v>
      </c>
      <c r="D141" s="18">
        <v>124.85811594202899</v>
      </c>
      <c r="E141" s="6">
        <v>21</v>
      </c>
      <c r="F141" s="6">
        <v>35</v>
      </c>
      <c r="G141" s="6">
        <v>24</v>
      </c>
      <c r="H141" s="6">
        <v>21</v>
      </c>
      <c r="I141" s="6">
        <v>0</v>
      </c>
      <c r="J141" s="18">
        <f t="shared" si="2"/>
        <v>0</v>
      </c>
    </row>
    <row r="142" spans="1:10" hidden="1" x14ac:dyDescent="0.3">
      <c r="A142" s="5" t="s">
        <v>298</v>
      </c>
      <c r="B142" s="6" t="s">
        <v>299</v>
      </c>
      <c r="C142" s="8" t="s">
        <v>275</v>
      </c>
      <c r="D142" s="18">
        <v>154.11811594202899</v>
      </c>
      <c r="E142" s="6">
        <v>15</v>
      </c>
      <c r="F142" s="6">
        <v>25</v>
      </c>
      <c r="G142" s="6">
        <v>44</v>
      </c>
      <c r="H142" s="6">
        <v>17</v>
      </c>
      <c r="I142" s="6">
        <v>0</v>
      </c>
      <c r="J142" s="18">
        <f t="shared" si="2"/>
        <v>0</v>
      </c>
    </row>
    <row r="143" spans="1:10" hidden="1" x14ac:dyDescent="0.3">
      <c r="A143" s="5" t="s">
        <v>302</v>
      </c>
      <c r="B143" s="6" t="s">
        <v>303</v>
      </c>
      <c r="C143" s="8" t="s">
        <v>275</v>
      </c>
      <c r="D143" s="18">
        <v>178.768115942029</v>
      </c>
      <c r="E143" s="6">
        <v>8</v>
      </c>
      <c r="F143" s="6">
        <v>13</v>
      </c>
      <c r="G143" s="6">
        <v>7</v>
      </c>
      <c r="H143" s="6">
        <v>0</v>
      </c>
      <c r="I143" s="6">
        <v>6</v>
      </c>
      <c r="J143" s="18">
        <f t="shared" si="2"/>
        <v>1072.608695652174</v>
      </c>
    </row>
    <row r="144" spans="1:10" hidden="1" x14ac:dyDescent="0.3">
      <c r="A144" s="5" t="s">
        <v>273</v>
      </c>
      <c r="B144" s="6" t="s">
        <v>274</v>
      </c>
      <c r="C144" s="8" t="s">
        <v>275</v>
      </c>
      <c r="D144" s="18">
        <v>197</v>
      </c>
      <c r="E144" s="6">
        <v>6</v>
      </c>
      <c r="F144" s="6">
        <v>10</v>
      </c>
      <c r="G144" s="6">
        <v>8</v>
      </c>
      <c r="H144" s="6">
        <v>0</v>
      </c>
      <c r="I144" s="6">
        <v>0</v>
      </c>
      <c r="J144" s="18">
        <f t="shared" si="2"/>
        <v>0</v>
      </c>
    </row>
    <row r="145" spans="1:10" hidden="1" x14ac:dyDescent="0.3">
      <c r="A145" s="5" t="s">
        <v>278</v>
      </c>
      <c r="B145" s="6" t="s">
        <v>279</v>
      </c>
      <c r="C145" s="8" t="s">
        <v>275</v>
      </c>
      <c r="D145" s="18">
        <v>22.95</v>
      </c>
      <c r="E145" s="6">
        <v>27</v>
      </c>
      <c r="F145" s="6">
        <v>45</v>
      </c>
      <c r="G145" s="6">
        <v>0</v>
      </c>
      <c r="H145" s="6">
        <v>0</v>
      </c>
      <c r="I145" s="6">
        <v>45</v>
      </c>
      <c r="J145" s="18">
        <f t="shared" si="2"/>
        <v>1032.75</v>
      </c>
    </row>
    <row r="146" spans="1:10" hidden="1" x14ac:dyDescent="0.3">
      <c r="A146" s="5" t="s">
        <v>282</v>
      </c>
      <c r="B146" s="6" t="s">
        <v>283</v>
      </c>
      <c r="C146" s="8" t="s">
        <v>275</v>
      </c>
      <c r="D146" s="18">
        <v>37.299999999999997</v>
      </c>
      <c r="E146" s="6">
        <v>27</v>
      </c>
      <c r="F146" s="6">
        <v>45</v>
      </c>
      <c r="G146" s="6">
        <v>0</v>
      </c>
      <c r="H146" s="6">
        <v>0</v>
      </c>
      <c r="I146" s="6">
        <v>45</v>
      </c>
      <c r="J146" s="18">
        <f t="shared" si="2"/>
        <v>1678.4999999999998</v>
      </c>
    </row>
    <row r="147" spans="1:10" hidden="1" x14ac:dyDescent="0.3">
      <c r="A147" s="5" t="s">
        <v>286</v>
      </c>
      <c r="B147" s="6" t="s">
        <v>287</v>
      </c>
      <c r="C147" s="8" t="s">
        <v>275</v>
      </c>
      <c r="D147" s="18">
        <v>61.55</v>
      </c>
      <c r="E147" s="6">
        <v>21</v>
      </c>
      <c r="F147" s="6">
        <v>35</v>
      </c>
      <c r="G147" s="6">
        <v>0</v>
      </c>
      <c r="H147" s="6">
        <v>0</v>
      </c>
      <c r="I147" s="6">
        <v>35</v>
      </c>
      <c r="J147" s="18">
        <f t="shared" si="2"/>
        <v>2154.25</v>
      </c>
    </row>
    <row r="148" spans="1:10" hidden="1" x14ac:dyDescent="0.3">
      <c r="A148" s="5" t="s">
        <v>466</v>
      </c>
      <c r="B148" s="6" t="s">
        <v>467</v>
      </c>
      <c r="C148" s="8" t="s">
        <v>275</v>
      </c>
      <c r="D148" s="18">
        <v>103.48</v>
      </c>
      <c r="E148" s="6">
        <v>32</v>
      </c>
      <c r="F148" s="6">
        <v>53</v>
      </c>
      <c r="G148" s="6">
        <v>0</v>
      </c>
      <c r="H148" s="6">
        <v>0</v>
      </c>
      <c r="I148" s="6">
        <v>53</v>
      </c>
      <c r="J148" s="18">
        <f t="shared" si="2"/>
        <v>5484.4400000000005</v>
      </c>
    </row>
    <row r="149" spans="1:10" hidden="1" x14ac:dyDescent="0.3">
      <c r="A149" s="5" t="s">
        <v>292</v>
      </c>
      <c r="B149" s="6" t="s">
        <v>293</v>
      </c>
      <c r="C149" s="8" t="s">
        <v>275</v>
      </c>
      <c r="D149" s="18">
        <v>121.15</v>
      </c>
      <c r="E149" s="6">
        <v>33</v>
      </c>
      <c r="F149" s="6">
        <v>55</v>
      </c>
      <c r="G149" s="6">
        <v>0</v>
      </c>
      <c r="H149" s="6">
        <v>0</v>
      </c>
      <c r="I149" s="6">
        <v>55</v>
      </c>
      <c r="J149" s="18">
        <f t="shared" si="2"/>
        <v>6663.25</v>
      </c>
    </row>
    <row r="150" spans="1:10" hidden="1" x14ac:dyDescent="0.3">
      <c r="A150" s="5" t="s">
        <v>296</v>
      </c>
      <c r="B150" s="6" t="s">
        <v>297</v>
      </c>
      <c r="C150" s="8" t="s">
        <v>275</v>
      </c>
      <c r="D150" s="18">
        <v>111.09</v>
      </c>
      <c r="E150" s="6">
        <v>21</v>
      </c>
      <c r="F150" s="6">
        <v>35</v>
      </c>
      <c r="G150" s="6">
        <v>0</v>
      </c>
      <c r="H150" s="6">
        <v>0</v>
      </c>
      <c r="I150" s="6">
        <v>35</v>
      </c>
      <c r="J150" s="18">
        <f t="shared" si="2"/>
        <v>3888.15</v>
      </c>
    </row>
    <row r="151" spans="1:10" hidden="1" x14ac:dyDescent="0.3">
      <c r="A151" s="5" t="s">
        <v>300</v>
      </c>
      <c r="B151" s="6" t="s">
        <v>301</v>
      </c>
      <c r="C151" s="8" t="s">
        <v>275</v>
      </c>
      <c r="D151" s="18">
        <v>148.35</v>
      </c>
      <c r="E151" s="6">
        <v>15</v>
      </c>
      <c r="F151" s="6">
        <v>25</v>
      </c>
      <c r="G151" s="6">
        <v>0</v>
      </c>
      <c r="H151" s="6">
        <v>0</v>
      </c>
      <c r="I151" s="6">
        <v>25</v>
      </c>
      <c r="J151" s="18">
        <f t="shared" si="2"/>
        <v>3708.75</v>
      </c>
    </row>
    <row r="152" spans="1:10" hidden="1" x14ac:dyDescent="0.3">
      <c r="A152" s="5" t="s">
        <v>304</v>
      </c>
      <c r="B152" s="6" t="s">
        <v>305</v>
      </c>
      <c r="C152" s="8" t="s">
        <v>275</v>
      </c>
      <c r="D152" s="18">
        <v>165.66</v>
      </c>
      <c r="E152" s="6">
        <v>8</v>
      </c>
      <c r="F152" s="6">
        <v>13</v>
      </c>
      <c r="G152" s="6">
        <v>0</v>
      </c>
      <c r="H152" s="6">
        <v>0</v>
      </c>
      <c r="I152" s="6">
        <v>13</v>
      </c>
      <c r="J152" s="18">
        <f t="shared" si="2"/>
        <v>2153.58</v>
      </c>
    </row>
    <row r="153" spans="1:10" hidden="1" x14ac:dyDescent="0.3">
      <c r="A153" s="5" t="s">
        <v>306</v>
      </c>
      <c r="B153" s="6" t="s">
        <v>307</v>
      </c>
      <c r="C153" s="8" t="s">
        <v>308</v>
      </c>
      <c r="D153" s="18">
        <v>1138</v>
      </c>
      <c r="E153" s="6">
        <v>6</v>
      </c>
      <c r="F153" s="6">
        <v>8</v>
      </c>
      <c r="G153" s="6">
        <v>5</v>
      </c>
      <c r="H153" s="6">
        <v>0</v>
      </c>
      <c r="I153" s="6">
        <v>3</v>
      </c>
      <c r="J153" s="18">
        <f t="shared" si="2"/>
        <v>3414</v>
      </c>
    </row>
    <row r="154" spans="1:10" hidden="1" x14ac:dyDescent="0.3">
      <c r="A154" s="5" t="s">
        <v>309</v>
      </c>
      <c r="B154" s="6" t="s">
        <v>310</v>
      </c>
      <c r="C154" s="8" t="s">
        <v>308</v>
      </c>
      <c r="D154" s="18">
        <v>1193</v>
      </c>
      <c r="E154" s="6">
        <v>9</v>
      </c>
      <c r="F154" s="6">
        <v>12</v>
      </c>
      <c r="G154" s="6">
        <v>1</v>
      </c>
      <c r="H154" s="6">
        <v>0</v>
      </c>
      <c r="I154" s="6">
        <v>11</v>
      </c>
      <c r="J154" s="18">
        <f t="shared" si="2"/>
        <v>13123</v>
      </c>
    </row>
    <row r="155" spans="1:10" hidden="1" x14ac:dyDescent="0.3">
      <c r="A155" s="5" t="s">
        <v>311</v>
      </c>
      <c r="B155" s="6" t="s">
        <v>312</v>
      </c>
      <c r="C155" s="8" t="s">
        <v>308</v>
      </c>
      <c r="D155" s="18">
        <v>1226</v>
      </c>
      <c r="E155" s="6">
        <v>9</v>
      </c>
      <c r="F155" s="6">
        <v>12</v>
      </c>
      <c r="G155" s="6">
        <v>6</v>
      </c>
      <c r="H155" s="6">
        <v>0</v>
      </c>
      <c r="I155" s="6">
        <v>6</v>
      </c>
      <c r="J155" s="18">
        <f t="shared" si="2"/>
        <v>7356</v>
      </c>
    </row>
    <row r="156" spans="1:10" hidden="1" x14ac:dyDescent="0.3">
      <c r="A156" s="5" t="s">
        <v>313</v>
      </c>
      <c r="B156" s="6" t="s">
        <v>314</v>
      </c>
      <c r="C156" s="8" t="s">
        <v>308</v>
      </c>
      <c r="D156" s="18">
        <v>1277</v>
      </c>
      <c r="E156" s="6">
        <v>9</v>
      </c>
      <c r="F156" s="6">
        <v>12</v>
      </c>
      <c r="G156" s="6">
        <v>5</v>
      </c>
      <c r="H156" s="6">
        <v>0</v>
      </c>
      <c r="I156" s="6">
        <v>7</v>
      </c>
      <c r="J156" s="18">
        <f t="shared" si="2"/>
        <v>8939</v>
      </c>
    </row>
    <row r="157" spans="1:10" hidden="1" x14ac:dyDescent="0.3">
      <c r="A157" s="5" t="s">
        <v>315</v>
      </c>
      <c r="B157" s="6" t="s">
        <v>316</v>
      </c>
      <c r="C157" s="8" t="s">
        <v>308</v>
      </c>
      <c r="D157" s="18">
        <v>1535</v>
      </c>
      <c r="E157" s="6">
        <v>9</v>
      </c>
      <c r="F157" s="6">
        <v>12</v>
      </c>
      <c r="G157" s="6">
        <v>3</v>
      </c>
      <c r="H157" s="6">
        <v>0</v>
      </c>
      <c r="I157" s="6">
        <v>9</v>
      </c>
      <c r="J157" s="18">
        <f t="shared" si="2"/>
        <v>13815</v>
      </c>
    </row>
    <row r="158" spans="1:10" hidden="1" x14ac:dyDescent="0.3">
      <c r="A158" s="5" t="s">
        <v>317</v>
      </c>
      <c r="B158" s="6" t="s">
        <v>318</v>
      </c>
      <c r="C158" s="8" t="s">
        <v>308</v>
      </c>
      <c r="D158" s="18">
        <v>1641</v>
      </c>
      <c r="E158" s="6">
        <v>3</v>
      </c>
      <c r="F158" s="6">
        <v>4</v>
      </c>
      <c r="G158" s="6">
        <v>1</v>
      </c>
      <c r="H158" s="6">
        <v>0</v>
      </c>
      <c r="I158" s="6">
        <v>3</v>
      </c>
      <c r="J158" s="18">
        <f t="shared" si="2"/>
        <v>4923</v>
      </c>
    </row>
    <row r="159" spans="1:10" hidden="1" x14ac:dyDescent="0.3">
      <c r="A159" s="5" t="s">
        <v>319</v>
      </c>
      <c r="B159" s="6" t="s">
        <v>320</v>
      </c>
      <c r="C159" s="8" t="s">
        <v>308</v>
      </c>
      <c r="D159" s="18">
        <v>1768</v>
      </c>
      <c r="E159" s="6">
        <v>6</v>
      </c>
      <c r="F159" s="6">
        <v>8</v>
      </c>
      <c r="G159" s="6">
        <v>5</v>
      </c>
      <c r="H159" s="6">
        <v>0</v>
      </c>
      <c r="I159" s="6">
        <v>3</v>
      </c>
      <c r="J159" s="18">
        <f t="shared" si="2"/>
        <v>5304</v>
      </c>
    </row>
    <row r="160" spans="1:10" hidden="1" x14ac:dyDescent="0.3">
      <c r="A160" s="5" t="s">
        <v>321</v>
      </c>
      <c r="B160" s="6" t="s">
        <v>322</v>
      </c>
      <c r="C160" s="8" t="s">
        <v>308</v>
      </c>
      <c r="D160" s="18">
        <v>1874</v>
      </c>
      <c r="E160" s="6">
        <v>3</v>
      </c>
      <c r="F160" s="6">
        <v>4</v>
      </c>
      <c r="G160" s="6">
        <v>0</v>
      </c>
      <c r="H160" s="6">
        <v>2</v>
      </c>
      <c r="I160" s="6">
        <v>2</v>
      </c>
      <c r="J160" s="18">
        <f t="shared" si="2"/>
        <v>3748</v>
      </c>
    </row>
    <row r="161" spans="1:10" hidden="1" x14ac:dyDescent="0.3">
      <c r="A161" s="5" t="s">
        <v>323</v>
      </c>
      <c r="B161" s="6" t="s">
        <v>324</v>
      </c>
      <c r="C161" s="8" t="s">
        <v>308</v>
      </c>
      <c r="D161" s="18">
        <v>1805</v>
      </c>
      <c r="E161" s="6">
        <v>12</v>
      </c>
      <c r="F161" s="6">
        <v>16</v>
      </c>
      <c r="G161" s="6">
        <v>0</v>
      </c>
      <c r="H161" s="6">
        <v>5</v>
      </c>
      <c r="I161" s="6">
        <v>11</v>
      </c>
      <c r="J161" s="18">
        <f t="shared" si="2"/>
        <v>19855</v>
      </c>
    </row>
    <row r="162" spans="1:10" hidden="1" x14ac:dyDescent="0.3">
      <c r="A162" s="5" t="s">
        <v>325</v>
      </c>
      <c r="B162" s="6" t="s">
        <v>326</v>
      </c>
      <c r="C162" s="8" t="s">
        <v>308</v>
      </c>
      <c r="D162" s="18">
        <v>1829</v>
      </c>
      <c r="E162" s="6">
        <v>3</v>
      </c>
      <c r="F162" s="6">
        <v>4</v>
      </c>
      <c r="G162" s="6">
        <v>2</v>
      </c>
      <c r="H162" s="6">
        <v>2</v>
      </c>
      <c r="I162" s="6">
        <v>0</v>
      </c>
      <c r="J162" s="18">
        <f t="shared" si="2"/>
        <v>0</v>
      </c>
    </row>
    <row r="163" spans="1:10" hidden="1" x14ac:dyDescent="0.3">
      <c r="A163" s="5" t="s">
        <v>327</v>
      </c>
      <c r="B163" s="6" t="s">
        <v>328</v>
      </c>
      <c r="C163" s="8" t="s">
        <v>308</v>
      </c>
      <c r="D163" s="18">
        <v>2182</v>
      </c>
      <c r="E163" s="6">
        <v>9</v>
      </c>
      <c r="F163" s="6">
        <v>12</v>
      </c>
      <c r="G163" s="6">
        <v>0</v>
      </c>
      <c r="H163" s="6">
        <v>1</v>
      </c>
      <c r="I163" s="6">
        <v>11</v>
      </c>
      <c r="J163" s="18">
        <f t="shared" si="2"/>
        <v>24002</v>
      </c>
    </row>
    <row r="164" spans="1:10" hidden="1" x14ac:dyDescent="0.3">
      <c r="A164" s="5" t="s">
        <v>331</v>
      </c>
      <c r="B164" s="6" t="s">
        <v>332</v>
      </c>
      <c r="C164" s="8" t="s">
        <v>308</v>
      </c>
      <c r="D164" s="18">
        <v>2304</v>
      </c>
      <c r="E164" s="6">
        <v>3</v>
      </c>
      <c r="F164" s="6">
        <v>4</v>
      </c>
      <c r="G164" s="6">
        <v>0</v>
      </c>
      <c r="H164" s="6">
        <v>0</v>
      </c>
      <c r="I164" s="6">
        <v>4</v>
      </c>
      <c r="J164" s="18">
        <f t="shared" si="2"/>
        <v>9216</v>
      </c>
    </row>
    <row r="165" spans="1:10" hidden="1" x14ac:dyDescent="0.3">
      <c r="A165" s="5" t="s">
        <v>333</v>
      </c>
      <c r="B165" s="6" t="s">
        <v>334</v>
      </c>
      <c r="C165" s="8" t="s">
        <v>308</v>
      </c>
      <c r="D165" s="18">
        <v>2892</v>
      </c>
      <c r="E165" s="6">
        <v>9</v>
      </c>
      <c r="F165" s="6">
        <v>12</v>
      </c>
      <c r="G165" s="6">
        <v>3</v>
      </c>
      <c r="H165" s="6">
        <v>4</v>
      </c>
      <c r="I165" s="6">
        <v>5</v>
      </c>
      <c r="J165" s="18">
        <f t="shared" si="2"/>
        <v>14460</v>
      </c>
    </row>
    <row r="166" spans="1:10" hidden="1" x14ac:dyDescent="0.3">
      <c r="A166" s="5" t="s">
        <v>335</v>
      </c>
      <c r="B166" s="6" t="s">
        <v>336</v>
      </c>
      <c r="C166" s="8" t="s">
        <v>308</v>
      </c>
      <c r="D166" s="18">
        <v>3150</v>
      </c>
      <c r="E166" s="6">
        <v>3</v>
      </c>
      <c r="F166" s="6">
        <v>4</v>
      </c>
      <c r="G166" s="6">
        <v>0</v>
      </c>
      <c r="H166" s="6">
        <v>1</v>
      </c>
      <c r="I166" s="6">
        <v>3</v>
      </c>
      <c r="J166" s="18">
        <f t="shared" si="2"/>
        <v>9450</v>
      </c>
    </row>
    <row r="167" spans="1:10" hidden="1" x14ac:dyDescent="0.3">
      <c r="A167" s="5" t="s">
        <v>337</v>
      </c>
      <c r="B167" s="6" t="s">
        <v>338</v>
      </c>
      <c r="C167" s="8" t="s">
        <v>308</v>
      </c>
      <c r="D167" s="18">
        <v>2808</v>
      </c>
      <c r="E167" s="6">
        <v>9</v>
      </c>
      <c r="F167" s="6">
        <v>12</v>
      </c>
      <c r="G167" s="6">
        <v>0</v>
      </c>
      <c r="H167" s="6">
        <v>0</v>
      </c>
      <c r="I167" s="6">
        <v>12</v>
      </c>
      <c r="J167" s="18">
        <f t="shared" si="2"/>
        <v>33696</v>
      </c>
    </row>
    <row r="168" spans="1:10" hidden="1" x14ac:dyDescent="0.3">
      <c r="A168" s="5" t="s">
        <v>339</v>
      </c>
      <c r="B168" s="6" t="s">
        <v>340</v>
      </c>
      <c r="C168" s="8" t="s">
        <v>308</v>
      </c>
      <c r="D168" s="18">
        <v>3630</v>
      </c>
      <c r="E168" s="6">
        <v>6</v>
      </c>
      <c r="F168" s="6">
        <v>8</v>
      </c>
      <c r="G168" s="6">
        <v>3</v>
      </c>
      <c r="H168" s="6">
        <v>0</v>
      </c>
      <c r="I168" s="6">
        <v>5</v>
      </c>
      <c r="J168" s="18">
        <f t="shared" si="2"/>
        <v>18150</v>
      </c>
    </row>
    <row r="169" spans="1:10" hidden="1" x14ac:dyDescent="0.3">
      <c r="A169" s="5" t="s">
        <v>341</v>
      </c>
      <c r="B169" s="6" t="s">
        <v>342</v>
      </c>
      <c r="C169" s="8" t="s">
        <v>308</v>
      </c>
      <c r="D169" s="18">
        <v>3630</v>
      </c>
      <c r="E169" s="6">
        <v>6</v>
      </c>
      <c r="F169" s="6">
        <v>8</v>
      </c>
      <c r="G169" s="6">
        <v>1</v>
      </c>
      <c r="H169" s="6">
        <v>1</v>
      </c>
      <c r="I169" s="6">
        <v>6</v>
      </c>
      <c r="J169" s="18">
        <f t="shared" si="2"/>
        <v>21780</v>
      </c>
    </row>
    <row r="170" spans="1:10" hidden="1" x14ac:dyDescent="0.3">
      <c r="A170" s="5" t="s">
        <v>343</v>
      </c>
      <c r="B170" s="6" t="s">
        <v>344</v>
      </c>
      <c r="C170" s="8" t="s">
        <v>308</v>
      </c>
      <c r="D170" s="18">
        <v>5744</v>
      </c>
      <c r="E170" s="6">
        <v>2</v>
      </c>
      <c r="F170" s="6">
        <v>3</v>
      </c>
      <c r="G170" s="6">
        <v>0</v>
      </c>
      <c r="H170" s="6">
        <v>0</v>
      </c>
      <c r="I170" s="6">
        <v>3</v>
      </c>
      <c r="J170" s="18">
        <f t="shared" si="2"/>
        <v>17232</v>
      </c>
    </row>
    <row r="171" spans="1:10" hidden="1" x14ac:dyDescent="0.3">
      <c r="A171" s="5" t="s">
        <v>345</v>
      </c>
      <c r="B171" s="6" t="s">
        <v>346</v>
      </c>
      <c r="C171" s="8" t="s">
        <v>308</v>
      </c>
      <c r="D171" s="18">
        <v>4869</v>
      </c>
      <c r="E171" s="6">
        <v>2</v>
      </c>
      <c r="F171" s="6">
        <v>3</v>
      </c>
      <c r="G171" s="6">
        <v>1</v>
      </c>
      <c r="H171" s="6">
        <v>0</v>
      </c>
      <c r="I171" s="6">
        <v>2</v>
      </c>
      <c r="J171" s="18">
        <f t="shared" si="2"/>
        <v>9738</v>
      </c>
    </row>
    <row r="172" spans="1:10" hidden="1" x14ac:dyDescent="0.3">
      <c r="A172" s="5" t="s">
        <v>347</v>
      </c>
      <c r="B172" s="6" t="s">
        <v>348</v>
      </c>
      <c r="C172" s="8" t="s">
        <v>308</v>
      </c>
      <c r="D172" s="18">
        <v>1200</v>
      </c>
      <c r="E172" s="6">
        <v>0</v>
      </c>
      <c r="F172" s="6">
        <v>1</v>
      </c>
      <c r="G172" s="6">
        <v>0</v>
      </c>
      <c r="H172" s="6">
        <v>0</v>
      </c>
      <c r="I172" s="6">
        <v>1</v>
      </c>
      <c r="J172" s="18">
        <f t="shared" si="2"/>
        <v>1200</v>
      </c>
    </row>
    <row r="173" spans="1:10" hidden="1" x14ac:dyDescent="0.3">
      <c r="A173" s="5" t="s">
        <v>349</v>
      </c>
      <c r="B173" s="6" t="s">
        <v>350</v>
      </c>
      <c r="C173" s="8" t="s">
        <v>308</v>
      </c>
      <c r="D173" s="18">
        <v>5225</v>
      </c>
      <c r="E173" s="6">
        <v>2</v>
      </c>
      <c r="F173" s="6">
        <v>2</v>
      </c>
      <c r="G173" s="6">
        <v>0</v>
      </c>
      <c r="H173" s="6">
        <v>0</v>
      </c>
      <c r="I173" s="6">
        <v>2</v>
      </c>
      <c r="J173" s="18">
        <f t="shared" si="2"/>
        <v>10450</v>
      </c>
    </row>
    <row r="174" spans="1:10" hidden="1" x14ac:dyDescent="0.3">
      <c r="A174" s="5" t="s">
        <v>351</v>
      </c>
      <c r="B174" s="6" t="s">
        <v>352</v>
      </c>
      <c r="C174" s="8" t="s">
        <v>308</v>
      </c>
      <c r="D174" s="18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18">
        <f t="shared" si="2"/>
        <v>0</v>
      </c>
    </row>
    <row r="175" spans="1:10" hidden="1" x14ac:dyDescent="0.3">
      <c r="A175" s="5" t="s">
        <v>353</v>
      </c>
      <c r="B175" s="6" t="s">
        <v>354</v>
      </c>
      <c r="C175" s="8" t="s">
        <v>308</v>
      </c>
      <c r="D175" s="18">
        <v>7076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18">
        <f t="shared" si="2"/>
        <v>0</v>
      </c>
    </row>
    <row r="176" spans="1:10" hidden="1" x14ac:dyDescent="0.3">
      <c r="A176" s="5" t="s">
        <v>329</v>
      </c>
      <c r="B176" s="6" t="s">
        <v>330</v>
      </c>
      <c r="C176" s="8" t="s">
        <v>308</v>
      </c>
      <c r="D176" s="18">
        <v>7897.17</v>
      </c>
      <c r="E176" s="6">
        <v>0</v>
      </c>
      <c r="F176" s="6">
        <v>1</v>
      </c>
      <c r="G176" s="6">
        <v>0</v>
      </c>
      <c r="H176" s="6">
        <v>0</v>
      </c>
      <c r="I176" s="6">
        <v>1</v>
      </c>
      <c r="J176" s="18">
        <f t="shared" si="2"/>
        <v>7897.17</v>
      </c>
    </row>
    <row r="177" spans="1:10" x14ac:dyDescent="0.3">
      <c r="A177" s="5" t="s">
        <v>355</v>
      </c>
      <c r="B177" s="6" t="s">
        <v>356</v>
      </c>
      <c r="C177" s="8" t="s">
        <v>357</v>
      </c>
      <c r="D177" s="18">
        <v>1340</v>
      </c>
      <c r="E177" s="6">
        <v>12</v>
      </c>
      <c r="F177" s="6">
        <v>20</v>
      </c>
      <c r="G177" s="6">
        <v>8</v>
      </c>
      <c r="H177" s="6">
        <v>0</v>
      </c>
      <c r="I177" s="6">
        <v>12</v>
      </c>
      <c r="J177" s="18">
        <f t="shared" si="2"/>
        <v>16080</v>
      </c>
    </row>
    <row r="178" spans="1:10" x14ac:dyDescent="0.3">
      <c r="A178" s="5" t="s">
        <v>360</v>
      </c>
      <c r="B178" s="6" t="s">
        <v>361</v>
      </c>
      <c r="C178" s="8" t="s">
        <v>357</v>
      </c>
      <c r="D178" s="18">
        <v>1632</v>
      </c>
      <c r="E178" s="6">
        <v>9</v>
      </c>
      <c r="F178" s="6">
        <v>15</v>
      </c>
      <c r="G178" s="6">
        <v>6</v>
      </c>
      <c r="H178" s="6">
        <v>0</v>
      </c>
      <c r="I178" s="6">
        <v>9</v>
      </c>
      <c r="J178" s="18">
        <f t="shared" si="2"/>
        <v>14688</v>
      </c>
    </row>
    <row r="179" spans="1:10" x14ac:dyDescent="0.3">
      <c r="A179" s="5" t="s">
        <v>364</v>
      </c>
      <c r="B179" s="6" t="s">
        <v>365</v>
      </c>
      <c r="C179" s="8" t="s">
        <v>357</v>
      </c>
      <c r="D179" s="18">
        <v>2025</v>
      </c>
      <c r="E179" s="6">
        <v>6</v>
      </c>
      <c r="F179" s="6">
        <v>10</v>
      </c>
      <c r="G179" s="6">
        <v>2</v>
      </c>
      <c r="H179" s="6">
        <v>0</v>
      </c>
      <c r="I179" s="6">
        <v>8</v>
      </c>
      <c r="J179" s="18">
        <f t="shared" si="2"/>
        <v>16200</v>
      </c>
    </row>
    <row r="180" spans="1:10" x14ac:dyDescent="0.3">
      <c r="A180" s="5" t="s">
        <v>368</v>
      </c>
      <c r="B180" s="6" t="s">
        <v>369</v>
      </c>
      <c r="C180" s="8" t="s">
        <v>357</v>
      </c>
      <c r="D180" s="18">
        <v>2617</v>
      </c>
      <c r="E180" s="6">
        <v>9</v>
      </c>
      <c r="F180" s="6">
        <v>15</v>
      </c>
      <c r="G180" s="6">
        <v>4</v>
      </c>
      <c r="H180" s="6">
        <v>0</v>
      </c>
      <c r="I180" s="6">
        <v>11</v>
      </c>
      <c r="J180" s="18">
        <f t="shared" si="2"/>
        <v>28787</v>
      </c>
    </row>
    <row r="181" spans="1:10" x14ac:dyDescent="0.3">
      <c r="A181" s="5" t="s">
        <v>372</v>
      </c>
      <c r="B181" s="6" t="s">
        <v>373</v>
      </c>
      <c r="C181" s="8" t="s">
        <v>357</v>
      </c>
      <c r="D181" s="18">
        <v>3010</v>
      </c>
      <c r="E181" s="6">
        <v>8</v>
      </c>
      <c r="F181" s="6">
        <v>13</v>
      </c>
      <c r="G181" s="6">
        <v>12</v>
      </c>
      <c r="H181" s="6">
        <v>0</v>
      </c>
      <c r="I181" s="6">
        <v>0</v>
      </c>
      <c r="J181" s="18">
        <f t="shared" si="2"/>
        <v>0</v>
      </c>
    </row>
    <row r="182" spans="1:10" x14ac:dyDescent="0.3">
      <c r="A182" s="5" t="s">
        <v>374</v>
      </c>
      <c r="B182" s="6" t="s">
        <v>375</v>
      </c>
      <c r="C182" s="8" t="s">
        <v>357</v>
      </c>
      <c r="D182" s="18">
        <v>3685</v>
      </c>
      <c r="E182" s="6">
        <v>5</v>
      </c>
      <c r="F182" s="6">
        <v>8</v>
      </c>
      <c r="G182" s="6">
        <v>0</v>
      </c>
      <c r="H182" s="6">
        <v>0</v>
      </c>
      <c r="I182" s="6">
        <v>8</v>
      </c>
      <c r="J182" s="18">
        <f t="shared" si="2"/>
        <v>29480</v>
      </c>
    </row>
    <row r="183" spans="1:10" x14ac:dyDescent="0.3">
      <c r="A183" s="5" t="s">
        <v>358</v>
      </c>
      <c r="B183" s="6" t="s">
        <v>359</v>
      </c>
      <c r="C183" s="8" t="s">
        <v>357</v>
      </c>
      <c r="D183" s="18">
        <v>0</v>
      </c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18">
        <f t="shared" si="2"/>
        <v>0</v>
      </c>
    </row>
    <row r="184" spans="1:10" x14ac:dyDescent="0.3">
      <c r="A184" s="5" t="s">
        <v>362</v>
      </c>
      <c r="B184" s="6" t="s">
        <v>363</v>
      </c>
      <c r="C184" s="8" t="s">
        <v>357</v>
      </c>
      <c r="D184" s="18">
        <v>2077</v>
      </c>
      <c r="E184" s="6">
        <v>0</v>
      </c>
      <c r="F184" s="6">
        <v>0</v>
      </c>
      <c r="G184" s="6">
        <v>4</v>
      </c>
      <c r="H184" s="6">
        <v>0</v>
      </c>
      <c r="I184" s="6">
        <v>0</v>
      </c>
      <c r="J184" s="18">
        <f t="shared" si="2"/>
        <v>0</v>
      </c>
    </row>
    <row r="185" spans="1:10" x14ac:dyDescent="0.3">
      <c r="A185" s="5" t="s">
        <v>366</v>
      </c>
      <c r="B185" s="6" t="s">
        <v>367</v>
      </c>
      <c r="C185" s="8" t="s">
        <v>357</v>
      </c>
      <c r="D185" s="18">
        <v>2608</v>
      </c>
      <c r="E185" s="6">
        <v>0</v>
      </c>
      <c r="F185" s="6">
        <v>0</v>
      </c>
      <c r="G185" s="6">
        <v>7</v>
      </c>
      <c r="H185" s="6">
        <v>0</v>
      </c>
      <c r="I185" s="6">
        <v>0</v>
      </c>
      <c r="J185" s="18">
        <f t="shared" si="2"/>
        <v>0</v>
      </c>
    </row>
    <row r="186" spans="1:10" x14ac:dyDescent="0.3">
      <c r="A186" s="5" t="s">
        <v>370</v>
      </c>
      <c r="B186" s="6" t="s">
        <v>371</v>
      </c>
      <c r="C186" s="8" t="s">
        <v>357</v>
      </c>
      <c r="D186" s="18">
        <v>3435</v>
      </c>
      <c r="E186" s="6">
        <v>0</v>
      </c>
      <c r="F186" s="6">
        <v>0</v>
      </c>
      <c r="G186" s="6">
        <v>4</v>
      </c>
      <c r="H186" s="6">
        <v>0</v>
      </c>
      <c r="I186" s="6">
        <v>0</v>
      </c>
      <c r="J186" s="18">
        <f t="shared" si="2"/>
        <v>0</v>
      </c>
    </row>
    <row r="187" spans="1:10" x14ac:dyDescent="0.3">
      <c r="A187" s="5" t="s">
        <v>376</v>
      </c>
      <c r="B187" s="6" t="s">
        <v>377</v>
      </c>
      <c r="C187" s="8" t="s">
        <v>357</v>
      </c>
      <c r="D187" s="18">
        <v>3500.75</v>
      </c>
      <c r="E187" s="6">
        <v>0</v>
      </c>
      <c r="F187" s="6">
        <v>0</v>
      </c>
      <c r="G187" s="6">
        <v>2</v>
      </c>
      <c r="H187" s="6">
        <v>0</v>
      </c>
      <c r="I187" s="6">
        <v>0</v>
      </c>
      <c r="J187" s="18">
        <f t="shared" si="2"/>
        <v>0</v>
      </c>
    </row>
    <row r="188" spans="1:10" x14ac:dyDescent="0.3">
      <c r="A188" s="5" t="s">
        <v>378</v>
      </c>
      <c r="B188" s="6" t="s">
        <v>379</v>
      </c>
      <c r="C188" s="8" t="s">
        <v>357</v>
      </c>
      <c r="D188" s="18">
        <v>4804</v>
      </c>
      <c r="E188" s="6">
        <v>0</v>
      </c>
      <c r="F188" s="6">
        <v>0</v>
      </c>
      <c r="G188" s="6">
        <v>1</v>
      </c>
      <c r="H188" s="6">
        <v>0</v>
      </c>
      <c r="I188" s="6">
        <v>0</v>
      </c>
      <c r="J188" s="18">
        <f t="shared" si="2"/>
        <v>0</v>
      </c>
    </row>
    <row r="189" spans="1:10" x14ac:dyDescent="0.3">
      <c r="A189" s="5" t="s">
        <v>380</v>
      </c>
      <c r="B189" s="6" t="s">
        <v>381</v>
      </c>
      <c r="C189" s="8" t="s">
        <v>382</v>
      </c>
      <c r="D189" s="18">
        <v>341</v>
      </c>
      <c r="E189" s="6">
        <v>3</v>
      </c>
      <c r="F189" s="6">
        <v>5</v>
      </c>
      <c r="G189" s="6">
        <v>9</v>
      </c>
      <c r="H189" s="6">
        <v>0</v>
      </c>
      <c r="I189" s="6">
        <v>0</v>
      </c>
      <c r="J189" s="18">
        <f t="shared" si="2"/>
        <v>0</v>
      </c>
    </row>
    <row r="190" spans="1:10" x14ac:dyDescent="0.3">
      <c r="A190" s="5" t="s">
        <v>383</v>
      </c>
      <c r="B190" s="6" t="s">
        <v>384</v>
      </c>
      <c r="C190" s="8" t="s">
        <v>382</v>
      </c>
      <c r="D190" s="18">
        <v>448</v>
      </c>
      <c r="E190" s="6">
        <v>2</v>
      </c>
      <c r="F190" s="6">
        <v>3</v>
      </c>
      <c r="G190" s="6">
        <v>4</v>
      </c>
      <c r="H190" s="6">
        <v>0</v>
      </c>
      <c r="I190" s="6">
        <v>0</v>
      </c>
      <c r="J190" s="18">
        <f t="shared" si="2"/>
        <v>0</v>
      </c>
    </row>
    <row r="191" spans="1:10" x14ac:dyDescent="0.3">
      <c r="A191" s="5" t="s">
        <v>385</v>
      </c>
      <c r="B191" s="6" t="s">
        <v>386</v>
      </c>
      <c r="C191" s="8" t="s">
        <v>382</v>
      </c>
      <c r="D191" s="18">
        <v>478</v>
      </c>
      <c r="E191" s="6">
        <v>9</v>
      </c>
      <c r="F191" s="6">
        <v>15</v>
      </c>
      <c r="G191" s="6">
        <v>11</v>
      </c>
      <c r="H191" s="6">
        <v>0</v>
      </c>
      <c r="I191" s="6">
        <v>0</v>
      </c>
      <c r="J191" s="18">
        <f t="shared" si="2"/>
        <v>0</v>
      </c>
    </row>
    <row r="192" spans="1:10" x14ac:dyDescent="0.3">
      <c r="A192" s="5" t="s">
        <v>387</v>
      </c>
      <c r="B192" s="6" t="s">
        <v>388</v>
      </c>
      <c r="C192" s="8" t="s">
        <v>382</v>
      </c>
      <c r="D192" s="18">
        <v>250</v>
      </c>
      <c r="E192" s="6">
        <v>15</v>
      </c>
      <c r="F192" s="6">
        <v>25</v>
      </c>
      <c r="G192" s="6">
        <v>16</v>
      </c>
      <c r="H192" s="6">
        <v>0</v>
      </c>
      <c r="I192" s="6">
        <v>0</v>
      </c>
      <c r="J192" s="18">
        <f t="shared" si="2"/>
        <v>0</v>
      </c>
    </row>
    <row r="193" spans="1:10" x14ac:dyDescent="0.3">
      <c r="A193" s="5" t="s">
        <v>389</v>
      </c>
      <c r="B193" s="6" t="s">
        <v>390</v>
      </c>
      <c r="C193" s="8" t="s">
        <v>382</v>
      </c>
      <c r="D193" s="18">
        <v>595</v>
      </c>
      <c r="E193" s="6">
        <v>12</v>
      </c>
      <c r="F193" s="6">
        <v>20</v>
      </c>
      <c r="G193" s="6">
        <v>6</v>
      </c>
      <c r="H193" s="6">
        <v>0</v>
      </c>
      <c r="I193" s="6">
        <v>14</v>
      </c>
      <c r="J193" s="18">
        <f t="shared" si="2"/>
        <v>8330</v>
      </c>
    </row>
    <row r="194" spans="1:10" x14ac:dyDescent="0.3">
      <c r="A194" s="5" t="s">
        <v>391</v>
      </c>
      <c r="B194" s="6" t="s">
        <v>392</v>
      </c>
      <c r="C194" s="8" t="s">
        <v>382</v>
      </c>
      <c r="D194" s="18">
        <v>679</v>
      </c>
      <c r="E194" s="6">
        <v>27</v>
      </c>
      <c r="F194" s="6">
        <v>45</v>
      </c>
      <c r="G194" s="6">
        <v>29</v>
      </c>
      <c r="H194" s="6">
        <v>0</v>
      </c>
      <c r="I194" s="6">
        <v>0</v>
      </c>
      <c r="J194" s="18">
        <f t="shared" si="2"/>
        <v>0</v>
      </c>
    </row>
    <row r="195" spans="1:10" x14ac:dyDescent="0.3">
      <c r="A195" s="5" t="s">
        <v>393</v>
      </c>
      <c r="B195" s="6" t="s">
        <v>394</v>
      </c>
      <c r="C195" s="8" t="s">
        <v>382</v>
      </c>
      <c r="D195" s="18">
        <v>731</v>
      </c>
      <c r="E195" s="6">
        <v>5</v>
      </c>
      <c r="F195" s="6">
        <v>8</v>
      </c>
      <c r="G195" s="6">
        <v>1</v>
      </c>
      <c r="H195" s="6">
        <v>0</v>
      </c>
      <c r="I195" s="6">
        <v>7</v>
      </c>
      <c r="J195" s="18">
        <f t="shared" ref="J195:J229" si="3">I195*D195</f>
        <v>5117</v>
      </c>
    </row>
    <row r="196" spans="1:10" hidden="1" x14ac:dyDescent="0.3">
      <c r="A196" s="5" t="s">
        <v>395</v>
      </c>
      <c r="B196" s="6" t="s">
        <v>396</v>
      </c>
      <c r="C196" s="8" t="s">
        <v>397</v>
      </c>
      <c r="D196" s="18">
        <v>30</v>
      </c>
      <c r="E196" s="6">
        <v>3</v>
      </c>
      <c r="F196" s="6">
        <v>5</v>
      </c>
      <c r="G196" s="6">
        <v>16</v>
      </c>
      <c r="H196" s="6">
        <v>0</v>
      </c>
      <c r="I196" s="6">
        <v>0</v>
      </c>
      <c r="J196" s="18">
        <f t="shared" si="3"/>
        <v>0</v>
      </c>
    </row>
    <row r="197" spans="1:10" hidden="1" x14ac:dyDescent="0.3">
      <c r="A197" s="5" t="s">
        <v>398</v>
      </c>
      <c r="B197" s="6" t="s">
        <v>399</v>
      </c>
      <c r="C197" s="8" t="s">
        <v>397</v>
      </c>
      <c r="D197" s="18">
        <v>0.24</v>
      </c>
      <c r="E197" s="6">
        <v>100</v>
      </c>
      <c r="F197" s="6">
        <v>150</v>
      </c>
      <c r="G197" s="6">
        <v>200</v>
      </c>
      <c r="H197" s="6">
        <v>0</v>
      </c>
      <c r="I197" s="6">
        <v>0</v>
      </c>
      <c r="J197" s="18">
        <f t="shared" si="3"/>
        <v>0</v>
      </c>
    </row>
    <row r="198" spans="1:10" hidden="1" x14ac:dyDescent="0.3">
      <c r="A198" s="5" t="s">
        <v>400</v>
      </c>
      <c r="B198" s="6" t="s">
        <v>401</v>
      </c>
      <c r="C198" s="8" t="s">
        <v>397</v>
      </c>
      <c r="D198" s="18">
        <v>0.24</v>
      </c>
      <c r="E198" s="6">
        <v>100</v>
      </c>
      <c r="F198" s="6">
        <v>150</v>
      </c>
      <c r="G198" s="6">
        <v>800</v>
      </c>
      <c r="H198" s="6">
        <v>0</v>
      </c>
      <c r="I198" s="6">
        <v>0</v>
      </c>
      <c r="J198" s="18">
        <f t="shared" si="3"/>
        <v>0</v>
      </c>
    </row>
    <row r="199" spans="1:10" hidden="1" x14ac:dyDescent="0.3">
      <c r="A199" s="5" t="s">
        <v>402</v>
      </c>
      <c r="B199" s="6" t="s">
        <v>403</v>
      </c>
      <c r="C199" s="8" t="s">
        <v>397</v>
      </c>
      <c r="D199" s="18">
        <v>30</v>
      </c>
      <c r="E199" s="6">
        <v>15</v>
      </c>
      <c r="F199" s="6">
        <v>25</v>
      </c>
      <c r="G199" s="6">
        <v>21</v>
      </c>
      <c r="H199" s="6">
        <v>0</v>
      </c>
      <c r="I199" s="6">
        <v>0</v>
      </c>
      <c r="J199" s="18">
        <f t="shared" si="3"/>
        <v>0</v>
      </c>
    </row>
    <row r="200" spans="1:10" hidden="1" x14ac:dyDescent="0.3">
      <c r="A200" s="5" t="s">
        <v>404</v>
      </c>
      <c r="B200" s="6" t="s">
        <v>405</v>
      </c>
      <c r="C200" s="8" t="s">
        <v>397</v>
      </c>
      <c r="D200" s="18">
        <v>30</v>
      </c>
      <c r="E200" s="6">
        <v>15</v>
      </c>
      <c r="F200" s="6">
        <v>25</v>
      </c>
      <c r="G200" s="6">
        <v>32</v>
      </c>
      <c r="H200" s="6">
        <v>0</v>
      </c>
      <c r="I200" s="6">
        <v>0</v>
      </c>
      <c r="J200" s="18">
        <f t="shared" si="3"/>
        <v>0</v>
      </c>
    </row>
    <row r="201" spans="1:10" hidden="1" x14ac:dyDescent="0.3">
      <c r="A201" s="5" t="s">
        <v>406</v>
      </c>
      <c r="B201" s="6" t="s">
        <v>407</v>
      </c>
      <c r="C201" s="8" t="s">
        <v>397</v>
      </c>
      <c r="D201" s="18">
        <v>30</v>
      </c>
      <c r="E201" s="6">
        <v>15</v>
      </c>
      <c r="F201" s="6">
        <v>25</v>
      </c>
      <c r="G201" s="6">
        <v>44</v>
      </c>
      <c r="H201" s="6">
        <v>0</v>
      </c>
      <c r="I201" s="6">
        <v>0</v>
      </c>
      <c r="J201" s="18">
        <f t="shared" si="3"/>
        <v>0</v>
      </c>
    </row>
    <row r="202" spans="1:10" hidden="1" x14ac:dyDescent="0.3">
      <c r="A202" s="5" t="s">
        <v>408</v>
      </c>
      <c r="B202" s="6" t="s">
        <v>409</v>
      </c>
      <c r="C202" s="8" t="s">
        <v>397</v>
      </c>
      <c r="D202" s="18">
        <v>210</v>
      </c>
      <c r="E202" s="6">
        <v>3</v>
      </c>
      <c r="F202" s="6">
        <v>5</v>
      </c>
      <c r="G202" s="6">
        <v>0</v>
      </c>
      <c r="H202" s="6">
        <v>0</v>
      </c>
      <c r="I202" s="6">
        <v>5</v>
      </c>
      <c r="J202" s="18">
        <f t="shared" si="3"/>
        <v>1050</v>
      </c>
    </row>
    <row r="203" spans="1:10" hidden="1" x14ac:dyDescent="0.3">
      <c r="A203" s="5" t="s">
        <v>410</v>
      </c>
      <c r="B203" s="6" t="s">
        <v>411</v>
      </c>
      <c r="C203" s="8" t="s">
        <v>397</v>
      </c>
      <c r="D203" s="18">
        <v>4</v>
      </c>
      <c r="E203" s="6">
        <v>15</v>
      </c>
      <c r="F203" s="6">
        <v>25</v>
      </c>
      <c r="G203" s="6">
        <v>50</v>
      </c>
      <c r="H203" s="6">
        <v>0</v>
      </c>
      <c r="I203" s="6">
        <v>0</v>
      </c>
      <c r="J203" s="18">
        <f t="shared" si="3"/>
        <v>0</v>
      </c>
    </row>
    <row r="204" spans="1:10" hidden="1" x14ac:dyDescent="0.3">
      <c r="A204" s="5" t="s">
        <v>412</v>
      </c>
      <c r="B204" s="6" t="s">
        <v>413</v>
      </c>
      <c r="C204" s="8" t="s">
        <v>397</v>
      </c>
      <c r="D204" s="18">
        <v>12</v>
      </c>
      <c r="E204" s="6">
        <v>15</v>
      </c>
      <c r="F204" s="6">
        <v>25</v>
      </c>
      <c r="G204" s="6">
        <v>24</v>
      </c>
      <c r="H204" s="6">
        <v>0</v>
      </c>
      <c r="I204" s="6">
        <v>0</v>
      </c>
      <c r="J204" s="18">
        <f t="shared" si="3"/>
        <v>0</v>
      </c>
    </row>
    <row r="205" spans="1:10" hidden="1" x14ac:dyDescent="0.3">
      <c r="A205" s="5" t="s">
        <v>414</v>
      </c>
      <c r="B205" s="6" t="s">
        <v>415</v>
      </c>
      <c r="C205" s="8" t="s">
        <v>397</v>
      </c>
      <c r="D205" s="18">
        <v>18</v>
      </c>
      <c r="E205" s="6">
        <v>12</v>
      </c>
      <c r="F205" s="6">
        <v>20</v>
      </c>
      <c r="G205" s="6">
        <v>15</v>
      </c>
      <c r="H205" s="6">
        <v>0</v>
      </c>
      <c r="I205" s="6">
        <v>0</v>
      </c>
      <c r="J205" s="18">
        <f t="shared" si="3"/>
        <v>0</v>
      </c>
    </row>
    <row r="206" spans="1:10" hidden="1" x14ac:dyDescent="0.3">
      <c r="A206" s="5" t="s">
        <v>416</v>
      </c>
      <c r="B206" s="6" t="s">
        <v>417</v>
      </c>
      <c r="C206" s="8" t="s">
        <v>397</v>
      </c>
      <c r="D206" s="18">
        <v>32</v>
      </c>
      <c r="E206" s="6">
        <v>15</v>
      </c>
      <c r="F206" s="6">
        <v>25</v>
      </c>
      <c r="G206" s="6">
        <v>20</v>
      </c>
      <c r="H206" s="6">
        <v>0</v>
      </c>
      <c r="I206" s="6">
        <v>0</v>
      </c>
      <c r="J206" s="18">
        <f t="shared" si="3"/>
        <v>0</v>
      </c>
    </row>
    <row r="207" spans="1:10" hidden="1" x14ac:dyDescent="0.3">
      <c r="A207" s="5" t="s">
        <v>418</v>
      </c>
      <c r="B207" s="6" t="s">
        <v>419</v>
      </c>
      <c r="C207" s="8" t="s">
        <v>397</v>
      </c>
      <c r="D207" s="18">
        <v>12</v>
      </c>
      <c r="E207" s="6">
        <v>2</v>
      </c>
      <c r="F207" s="6">
        <v>3</v>
      </c>
      <c r="G207" s="6">
        <v>0</v>
      </c>
      <c r="H207" s="6">
        <v>0</v>
      </c>
      <c r="I207" s="6">
        <v>3</v>
      </c>
      <c r="J207" s="18">
        <f t="shared" si="3"/>
        <v>36</v>
      </c>
    </row>
    <row r="208" spans="1:10" hidden="1" x14ac:dyDescent="0.3">
      <c r="A208" s="5" t="s">
        <v>420</v>
      </c>
      <c r="B208" s="6" t="s">
        <v>421</v>
      </c>
      <c r="C208" s="8" t="s">
        <v>397</v>
      </c>
      <c r="D208" s="18">
        <v>4.3</v>
      </c>
      <c r="E208" s="6">
        <v>6</v>
      </c>
      <c r="F208" s="6">
        <v>10</v>
      </c>
      <c r="G208" s="6">
        <v>1</v>
      </c>
      <c r="H208" s="6">
        <v>0</v>
      </c>
      <c r="I208" s="6">
        <v>9</v>
      </c>
      <c r="J208" s="18">
        <f t="shared" si="3"/>
        <v>38.699999999999996</v>
      </c>
    </row>
    <row r="209" spans="1:10" hidden="1" x14ac:dyDescent="0.3">
      <c r="A209" s="5" t="s">
        <v>422</v>
      </c>
      <c r="B209" s="6" t="s">
        <v>423</v>
      </c>
      <c r="C209" s="8" t="s">
        <v>397</v>
      </c>
      <c r="D209" s="18">
        <v>15</v>
      </c>
      <c r="E209" s="6">
        <v>6</v>
      </c>
      <c r="F209" s="6">
        <v>10</v>
      </c>
      <c r="G209" s="6">
        <v>1</v>
      </c>
      <c r="H209" s="6">
        <v>0</v>
      </c>
      <c r="I209" s="6">
        <v>9</v>
      </c>
      <c r="J209" s="18">
        <f t="shared" si="3"/>
        <v>135</v>
      </c>
    </row>
    <row r="210" spans="1:10" hidden="1" x14ac:dyDescent="0.3">
      <c r="A210" s="5" t="s">
        <v>424</v>
      </c>
      <c r="B210" s="6" t="s">
        <v>425</v>
      </c>
      <c r="C210" s="8" t="s">
        <v>397</v>
      </c>
      <c r="D210" s="18">
        <v>18</v>
      </c>
      <c r="E210" s="6">
        <v>6</v>
      </c>
      <c r="F210" s="6">
        <v>10</v>
      </c>
      <c r="G210" s="6">
        <v>1</v>
      </c>
      <c r="H210" s="6">
        <v>0</v>
      </c>
      <c r="I210" s="6">
        <v>9</v>
      </c>
      <c r="J210" s="18">
        <f t="shared" si="3"/>
        <v>162</v>
      </c>
    </row>
    <row r="211" spans="1:10" hidden="1" x14ac:dyDescent="0.3">
      <c r="A211" s="5" t="s">
        <v>426</v>
      </c>
      <c r="B211" s="6" t="s">
        <v>427</v>
      </c>
      <c r="C211" s="8" t="s">
        <v>397</v>
      </c>
      <c r="D211" s="18">
        <v>20</v>
      </c>
      <c r="E211" s="6">
        <v>6</v>
      </c>
      <c r="F211" s="6">
        <v>10</v>
      </c>
      <c r="G211" s="6">
        <v>1</v>
      </c>
      <c r="H211" s="6">
        <v>0</v>
      </c>
      <c r="I211" s="6">
        <v>9</v>
      </c>
      <c r="J211" s="18">
        <f t="shared" si="3"/>
        <v>180</v>
      </c>
    </row>
    <row r="212" spans="1:10" hidden="1" x14ac:dyDescent="0.3">
      <c r="A212" s="5" t="s">
        <v>428</v>
      </c>
      <c r="B212" s="6" t="s">
        <v>429</v>
      </c>
      <c r="C212" s="8" t="s">
        <v>397</v>
      </c>
      <c r="D212" s="18">
        <v>291.06</v>
      </c>
      <c r="E212" s="6">
        <v>3</v>
      </c>
      <c r="F212" s="6">
        <v>5</v>
      </c>
      <c r="G212" s="6">
        <v>6</v>
      </c>
      <c r="H212" s="6">
        <v>0</v>
      </c>
      <c r="I212" s="6">
        <v>0</v>
      </c>
      <c r="J212" s="18">
        <f t="shared" si="3"/>
        <v>0</v>
      </c>
    </row>
    <row r="213" spans="1:10" hidden="1" x14ac:dyDescent="0.3">
      <c r="A213" s="5" t="s">
        <v>430</v>
      </c>
      <c r="B213" s="6" t="s">
        <v>431</v>
      </c>
      <c r="C213" s="8" t="s">
        <v>397</v>
      </c>
      <c r="D213" s="18">
        <v>31.55</v>
      </c>
      <c r="E213" s="6">
        <v>38</v>
      </c>
      <c r="F213" s="6">
        <v>63</v>
      </c>
      <c r="G213" s="6">
        <v>150</v>
      </c>
      <c r="H213" s="6">
        <v>0</v>
      </c>
      <c r="I213" s="6">
        <v>0</v>
      </c>
      <c r="J213" s="18">
        <f t="shared" si="3"/>
        <v>0</v>
      </c>
    </row>
    <row r="214" spans="1:10" hidden="1" x14ac:dyDescent="0.3">
      <c r="A214" s="5" t="s">
        <v>432</v>
      </c>
      <c r="B214" s="6" t="s">
        <v>433</v>
      </c>
      <c r="C214" s="8" t="s">
        <v>397</v>
      </c>
      <c r="D214" s="18">
        <v>85</v>
      </c>
      <c r="E214" s="6">
        <v>6</v>
      </c>
      <c r="F214" s="6">
        <v>10</v>
      </c>
      <c r="G214" s="6">
        <v>6</v>
      </c>
      <c r="H214" s="6">
        <v>0</v>
      </c>
      <c r="I214" s="6">
        <v>4</v>
      </c>
      <c r="J214" s="18">
        <f t="shared" si="3"/>
        <v>340</v>
      </c>
    </row>
    <row r="215" spans="1:10" hidden="1" x14ac:dyDescent="0.3">
      <c r="A215" s="5" t="s">
        <v>434</v>
      </c>
      <c r="B215" s="6" t="s">
        <v>435</v>
      </c>
      <c r="C215" s="8" t="s">
        <v>397</v>
      </c>
      <c r="D215" s="18">
        <v>6.48</v>
      </c>
      <c r="E215" s="6">
        <v>23</v>
      </c>
      <c r="F215" s="6">
        <v>38</v>
      </c>
      <c r="G215" s="6">
        <v>200</v>
      </c>
      <c r="H215" s="6">
        <v>0</v>
      </c>
      <c r="I215" s="6">
        <v>0</v>
      </c>
      <c r="J215" s="18">
        <f t="shared" si="3"/>
        <v>0</v>
      </c>
    </row>
    <row r="216" spans="1:10" hidden="1" x14ac:dyDescent="0.3">
      <c r="A216" s="5" t="s">
        <v>436</v>
      </c>
      <c r="B216" s="6" t="s">
        <v>437</v>
      </c>
      <c r="C216" s="8" t="s">
        <v>397</v>
      </c>
      <c r="D216" s="18">
        <v>6.48</v>
      </c>
      <c r="E216" s="6">
        <v>23</v>
      </c>
      <c r="F216" s="6">
        <v>38</v>
      </c>
      <c r="G216" s="6">
        <v>30</v>
      </c>
      <c r="H216" s="6">
        <v>0</v>
      </c>
      <c r="I216" s="6">
        <v>0</v>
      </c>
      <c r="J216" s="18">
        <f t="shared" si="3"/>
        <v>0</v>
      </c>
    </row>
    <row r="217" spans="1:10" hidden="1" x14ac:dyDescent="0.3">
      <c r="A217" s="5" t="s">
        <v>438</v>
      </c>
      <c r="B217" s="6" t="s">
        <v>439</v>
      </c>
      <c r="C217" s="8" t="s">
        <v>397</v>
      </c>
      <c r="D217" s="18">
        <v>5.22</v>
      </c>
      <c r="E217" s="6">
        <v>23</v>
      </c>
      <c r="F217" s="6">
        <v>38</v>
      </c>
      <c r="G217" s="6">
        <v>500</v>
      </c>
      <c r="H217" s="6">
        <v>0</v>
      </c>
      <c r="I217" s="6">
        <v>0</v>
      </c>
      <c r="J217" s="18">
        <f t="shared" si="3"/>
        <v>0</v>
      </c>
    </row>
    <row r="218" spans="1:10" hidden="1" x14ac:dyDescent="0.3">
      <c r="A218" s="5" t="s">
        <v>440</v>
      </c>
      <c r="B218" s="6" t="s">
        <v>441</v>
      </c>
      <c r="C218" s="8" t="s">
        <v>397</v>
      </c>
      <c r="D218" s="18">
        <v>7.11</v>
      </c>
      <c r="E218" s="6">
        <v>8</v>
      </c>
      <c r="F218" s="6">
        <v>13</v>
      </c>
      <c r="G218" s="6">
        <v>300</v>
      </c>
      <c r="H218" s="6">
        <v>0</v>
      </c>
      <c r="I218" s="6">
        <v>0</v>
      </c>
      <c r="J218" s="18">
        <f t="shared" si="3"/>
        <v>0</v>
      </c>
    </row>
    <row r="219" spans="1:10" hidden="1" x14ac:dyDescent="0.3">
      <c r="A219" s="5" t="s">
        <v>442</v>
      </c>
      <c r="B219" s="6" t="s">
        <v>443</v>
      </c>
      <c r="C219" s="8" t="s">
        <v>397</v>
      </c>
      <c r="D219" s="18">
        <v>243.48</v>
      </c>
      <c r="E219" s="6">
        <v>3</v>
      </c>
      <c r="F219" s="6">
        <v>5</v>
      </c>
      <c r="G219" s="6">
        <v>2</v>
      </c>
      <c r="H219" s="6">
        <v>0</v>
      </c>
      <c r="I219" s="6">
        <v>3</v>
      </c>
      <c r="J219" s="18">
        <f t="shared" si="3"/>
        <v>730.43999999999994</v>
      </c>
    </row>
    <row r="220" spans="1:10" hidden="1" x14ac:dyDescent="0.3">
      <c r="A220" s="5" t="s">
        <v>444</v>
      </c>
      <c r="B220" s="6" t="s">
        <v>445</v>
      </c>
      <c r="C220" s="8" t="s">
        <v>397</v>
      </c>
      <c r="D220" s="18">
        <v>0.63</v>
      </c>
      <c r="E220" s="6">
        <v>120</v>
      </c>
      <c r="F220" s="6">
        <v>200</v>
      </c>
      <c r="G220" s="6">
        <v>1000</v>
      </c>
      <c r="H220" s="6">
        <v>0</v>
      </c>
      <c r="I220" s="6">
        <v>0</v>
      </c>
      <c r="J220" s="18">
        <f t="shared" si="3"/>
        <v>0</v>
      </c>
    </row>
    <row r="221" spans="1:10" hidden="1" x14ac:dyDescent="0.3">
      <c r="A221" s="5" t="s">
        <v>446</v>
      </c>
      <c r="B221" s="6" t="s">
        <v>447</v>
      </c>
      <c r="C221" s="8" t="s">
        <v>397</v>
      </c>
      <c r="D221" s="18">
        <v>0.7</v>
      </c>
      <c r="E221" s="6">
        <v>120</v>
      </c>
      <c r="F221" s="6">
        <v>200</v>
      </c>
      <c r="G221" s="6">
        <v>800</v>
      </c>
      <c r="H221" s="6">
        <v>0</v>
      </c>
      <c r="I221" s="6">
        <v>0</v>
      </c>
      <c r="J221" s="18">
        <f t="shared" si="3"/>
        <v>0</v>
      </c>
    </row>
    <row r="222" spans="1:10" hidden="1" x14ac:dyDescent="0.3">
      <c r="A222" s="5" t="s">
        <v>448</v>
      </c>
      <c r="B222" s="6" t="s">
        <v>449</v>
      </c>
      <c r="C222" s="8" t="s">
        <v>397</v>
      </c>
      <c r="D222" s="18">
        <v>0.91</v>
      </c>
      <c r="E222" s="6">
        <v>30</v>
      </c>
      <c r="F222" s="6">
        <v>50</v>
      </c>
      <c r="G222" s="6">
        <v>300</v>
      </c>
      <c r="H222" s="6">
        <v>0</v>
      </c>
      <c r="I222" s="6">
        <v>0</v>
      </c>
      <c r="J222" s="18">
        <f t="shared" si="3"/>
        <v>0</v>
      </c>
    </row>
    <row r="223" spans="1:10" hidden="1" x14ac:dyDescent="0.3">
      <c r="A223" s="5" t="s">
        <v>450</v>
      </c>
      <c r="B223" s="6" t="s">
        <v>451</v>
      </c>
      <c r="C223" s="8" t="s">
        <v>397</v>
      </c>
      <c r="D223" s="18">
        <v>1.69</v>
      </c>
      <c r="E223" s="6">
        <v>38</v>
      </c>
      <c r="F223" s="6">
        <v>63</v>
      </c>
      <c r="G223" s="6">
        <v>150</v>
      </c>
      <c r="H223" s="6">
        <v>0</v>
      </c>
      <c r="I223" s="6">
        <v>0</v>
      </c>
      <c r="J223" s="18">
        <f t="shared" si="3"/>
        <v>0</v>
      </c>
    </row>
    <row r="224" spans="1:10" hidden="1" x14ac:dyDescent="0.3">
      <c r="A224" s="5" t="s">
        <v>452</v>
      </c>
      <c r="B224" s="6" t="s">
        <v>453</v>
      </c>
      <c r="C224" s="8" t="s">
        <v>397</v>
      </c>
      <c r="D224" s="18">
        <v>496.99</v>
      </c>
      <c r="E224" s="6">
        <v>75</v>
      </c>
      <c r="F224" s="6">
        <v>125</v>
      </c>
      <c r="G224" s="6">
        <v>1100</v>
      </c>
      <c r="H224" s="6">
        <v>0</v>
      </c>
      <c r="I224" s="6">
        <v>0</v>
      </c>
      <c r="J224" s="18">
        <f t="shared" si="3"/>
        <v>0</v>
      </c>
    </row>
    <row r="225" spans="1:10" hidden="1" x14ac:dyDescent="0.3">
      <c r="A225" s="5" t="s">
        <v>454</v>
      </c>
      <c r="B225" s="6" t="s">
        <v>455</v>
      </c>
      <c r="C225" s="8" t="s">
        <v>397</v>
      </c>
      <c r="D225" s="18">
        <v>77.05</v>
      </c>
      <c r="E225" s="6">
        <v>45</v>
      </c>
      <c r="F225" s="6">
        <v>75</v>
      </c>
      <c r="G225" s="6">
        <v>131</v>
      </c>
      <c r="H225" s="6">
        <v>0</v>
      </c>
      <c r="I225" s="6">
        <v>0</v>
      </c>
      <c r="J225" s="18">
        <f t="shared" si="3"/>
        <v>0</v>
      </c>
    </row>
    <row r="226" spans="1:10" hidden="1" x14ac:dyDescent="0.3">
      <c r="A226" s="5" t="s">
        <v>456</v>
      </c>
      <c r="B226" s="6" t="s">
        <v>457</v>
      </c>
      <c r="C226" s="8" t="s">
        <v>397</v>
      </c>
      <c r="D226" s="18">
        <v>169.6</v>
      </c>
      <c r="E226" s="6">
        <v>18</v>
      </c>
      <c r="F226" s="6">
        <v>30</v>
      </c>
      <c r="G226" s="6">
        <v>11</v>
      </c>
      <c r="H226" s="6">
        <v>0</v>
      </c>
      <c r="I226" s="6">
        <v>19</v>
      </c>
      <c r="J226" s="18">
        <f t="shared" si="3"/>
        <v>3222.4</v>
      </c>
    </row>
    <row r="227" spans="1:10" hidden="1" x14ac:dyDescent="0.3">
      <c r="A227" s="5" t="s">
        <v>458</v>
      </c>
      <c r="B227" s="6" t="s">
        <v>459</v>
      </c>
      <c r="C227" s="8" t="s">
        <v>397</v>
      </c>
      <c r="D227" s="18">
        <f>670.43/25</f>
        <v>26.8172</v>
      </c>
      <c r="E227" s="6">
        <v>15</v>
      </c>
      <c r="F227" s="6">
        <v>25</v>
      </c>
      <c r="G227" s="6">
        <v>10</v>
      </c>
      <c r="H227" s="6">
        <v>0</v>
      </c>
      <c r="I227" s="6">
        <v>15</v>
      </c>
      <c r="J227" s="18">
        <f t="shared" si="3"/>
        <v>402.25799999999998</v>
      </c>
    </row>
    <row r="228" spans="1:10" hidden="1" x14ac:dyDescent="0.3">
      <c r="A228" s="5" t="s">
        <v>460</v>
      </c>
      <c r="B228" s="6" t="s">
        <v>461</v>
      </c>
      <c r="C228" s="8" t="s">
        <v>397</v>
      </c>
      <c r="D228" s="18">
        <v>0</v>
      </c>
      <c r="E228" s="6">
        <v>15</v>
      </c>
      <c r="F228" s="6">
        <v>25</v>
      </c>
      <c r="G228" s="6">
        <v>0</v>
      </c>
      <c r="H228" s="6">
        <v>0</v>
      </c>
      <c r="I228" s="6">
        <v>25</v>
      </c>
      <c r="J228" s="18">
        <f t="shared" si="3"/>
        <v>0</v>
      </c>
    </row>
    <row r="229" spans="1:10" hidden="1" x14ac:dyDescent="0.3">
      <c r="A229" s="5" t="s">
        <v>468</v>
      </c>
      <c r="B229" s="6" t="s">
        <v>469</v>
      </c>
      <c r="C229" s="8" t="s">
        <v>397</v>
      </c>
      <c r="D229" s="18">
        <v>279.60000000000002</v>
      </c>
      <c r="E229" s="6">
        <v>8</v>
      </c>
      <c r="F229" s="6">
        <v>13</v>
      </c>
      <c r="G229" s="6">
        <v>12</v>
      </c>
      <c r="H229" s="6">
        <v>0</v>
      </c>
      <c r="I229" s="6">
        <v>0</v>
      </c>
      <c r="J229" s="18">
        <f t="shared" si="3"/>
        <v>0</v>
      </c>
    </row>
    <row r="230" spans="1:10" x14ac:dyDescent="0.3">
      <c r="J230" s="18">
        <f>SUBTOTAL(9,J2:J229)</f>
        <v>118682</v>
      </c>
    </row>
  </sheetData>
  <autoFilter ref="A1:J229" xr:uid="{074DA15B-B3A5-493D-963A-AA9D40019EBF}">
    <filterColumn colId="2">
      <filters>
        <filter val="FM - SILENCER"/>
        <filter val="FM - TUBES"/>
      </filters>
    </filterColumn>
  </autoFilter>
  <pageMargins left="0.23622047244094491" right="0.23622047244094491" top="0.74803149606299213" bottom="0.74803149606299213" header="0.31496062992125984" footer="0.31496062992125984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73D3-FA9F-40BE-AED2-A3498C6F38F9}">
  <dimension ref="A1:K232"/>
  <sheetViews>
    <sheetView view="pageBreakPreview" zoomScale="60" zoomScaleNormal="9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D241" sqref="D241"/>
    </sheetView>
  </sheetViews>
  <sheetFormatPr defaultRowHeight="14.4" x14ac:dyDescent="0.3"/>
  <cols>
    <col min="1" max="1" width="26.33203125" style="12" customWidth="1"/>
    <col min="2" max="2" width="65.77734375" style="4" bestFit="1" customWidth="1"/>
    <col min="3" max="3" width="15.21875" style="13" bestFit="1" customWidth="1"/>
    <col min="4" max="4" width="11" style="17" bestFit="1" customWidth="1"/>
    <col min="5" max="6" width="11.88671875" style="4" customWidth="1"/>
    <col min="7" max="9" width="8.88671875" style="4"/>
    <col min="10" max="10" width="14.88671875" style="4" bestFit="1" customWidth="1"/>
    <col min="11" max="11" width="14.77734375" style="4" bestFit="1" customWidth="1"/>
    <col min="12" max="16384" width="8.88671875" style="4"/>
  </cols>
  <sheetData>
    <row r="1" spans="1:11" ht="28.8" x14ac:dyDescent="0.3">
      <c r="A1" s="1" t="s">
        <v>0</v>
      </c>
      <c r="B1" s="2" t="s">
        <v>1</v>
      </c>
      <c r="C1" s="3" t="s">
        <v>2</v>
      </c>
      <c r="D1" s="14" t="s">
        <v>462</v>
      </c>
      <c r="E1" s="3" t="s">
        <v>470</v>
      </c>
      <c r="F1" s="3" t="s">
        <v>10</v>
      </c>
      <c r="G1" s="3" t="s">
        <v>3</v>
      </c>
      <c r="H1" s="3" t="s">
        <v>11</v>
      </c>
      <c r="I1" s="3" t="s">
        <v>12</v>
      </c>
      <c r="J1" s="3" t="s">
        <v>471</v>
      </c>
      <c r="K1" s="3" t="s">
        <v>472</v>
      </c>
    </row>
    <row r="2" spans="1:11" x14ac:dyDescent="0.3">
      <c r="A2" s="5" t="s">
        <v>72</v>
      </c>
      <c r="B2" s="6" t="s">
        <v>73</v>
      </c>
      <c r="C2" s="8" t="s">
        <v>14</v>
      </c>
      <c r="D2" s="18">
        <v>0.15</v>
      </c>
      <c r="E2" s="6">
        <v>75</v>
      </c>
      <c r="F2" s="6">
        <v>125</v>
      </c>
      <c r="G2" s="6">
        <v>600</v>
      </c>
      <c r="H2" s="6">
        <v>0</v>
      </c>
      <c r="I2" s="6">
        <v>0</v>
      </c>
      <c r="J2" s="18">
        <f>I2*D2</f>
        <v>0</v>
      </c>
      <c r="K2" s="18">
        <f>(G2*D2)+(H2*D2)</f>
        <v>90</v>
      </c>
    </row>
    <row r="3" spans="1:11" x14ac:dyDescent="0.3">
      <c r="A3" s="5">
        <v>258032</v>
      </c>
      <c r="B3" s="6" t="s">
        <v>19</v>
      </c>
      <c r="C3" s="8" t="s">
        <v>14</v>
      </c>
      <c r="D3" s="18">
        <v>0.15</v>
      </c>
      <c r="E3" s="6">
        <v>150</v>
      </c>
      <c r="F3" s="6">
        <v>250</v>
      </c>
      <c r="G3" s="6">
        <v>158</v>
      </c>
      <c r="H3" s="6">
        <v>0</v>
      </c>
      <c r="I3" s="6">
        <v>0</v>
      </c>
      <c r="J3" s="18">
        <f t="shared" ref="J3:J66" si="0">I3*D3</f>
        <v>0</v>
      </c>
      <c r="K3" s="18">
        <f t="shared" ref="K3:K66" si="1">(G3*D3)+(H3*D3)</f>
        <v>23.7</v>
      </c>
    </row>
    <row r="4" spans="1:11" x14ac:dyDescent="0.3">
      <c r="A4" s="5">
        <v>258306</v>
      </c>
      <c r="B4" s="6" t="s">
        <v>21</v>
      </c>
      <c r="C4" s="8" t="s">
        <v>14</v>
      </c>
      <c r="D4" s="18">
        <v>0.2</v>
      </c>
      <c r="E4" s="6">
        <v>75</v>
      </c>
      <c r="F4" s="6">
        <v>125</v>
      </c>
      <c r="G4" s="6">
        <v>443</v>
      </c>
      <c r="H4" s="6">
        <v>0</v>
      </c>
      <c r="I4" s="6">
        <v>0</v>
      </c>
      <c r="J4" s="18">
        <f t="shared" si="0"/>
        <v>0</v>
      </c>
      <c r="K4" s="18">
        <f t="shared" si="1"/>
        <v>88.600000000000009</v>
      </c>
    </row>
    <row r="5" spans="1:11" x14ac:dyDescent="0.3">
      <c r="A5" s="5" t="s">
        <v>68</v>
      </c>
      <c r="B5" s="6" t="s">
        <v>69</v>
      </c>
      <c r="C5" s="8" t="s">
        <v>14</v>
      </c>
      <c r="D5" s="18">
        <v>0.4</v>
      </c>
      <c r="E5" s="6">
        <v>75</v>
      </c>
      <c r="F5" s="6">
        <v>125</v>
      </c>
      <c r="G5" s="6">
        <v>41</v>
      </c>
      <c r="H5" s="6">
        <v>0</v>
      </c>
      <c r="I5" s="6">
        <v>84</v>
      </c>
      <c r="J5" s="18">
        <f t="shared" si="0"/>
        <v>33.6</v>
      </c>
      <c r="K5" s="18">
        <f t="shared" si="1"/>
        <v>16.400000000000002</v>
      </c>
    </row>
    <row r="6" spans="1:11" x14ac:dyDescent="0.3">
      <c r="A6" s="5" t="s">
        <v>70</v>
      </c>
      <c r="B6" s="6" t="s">
        <v>71</v>
      </c>
      <c r="C6" s="8" t="s">
        <v>14</v>
      </c>
      <c r="D6" s="18">
        <v>1</v>
      </c>
      <c r="E6" s="6">
        <v>75</v>
      </c>
      <c r="F6" s="6">
        <v>125</v>
      </c>
      <c r="G6" s="6">
        <v>150</v>
      </c>
      <c r="H6" s="6">
        <v>0</v>
      </c>
      <c r="I6" s="6">
        <v>0</v>
      </c>
      <c r="J6" s="18">
        <f t="shared" si="0"/>
        <v>0</v>
      </c>
      <c r="K6" s="18">
        <f t="shared" si="1"/>
        <v>150</v>
      </c>
    </row>
    <row r="7" spans="1:11" x14ac:dyDescent="0.3">
      <c r="A7" s="5" t="s">
        <v>74</v>
      </c>
      <c r="B7" s="6" t="s">
        <v>75</v>
      </c>
      <c r="C7" s="8" t="s">
        <v>14</v>
      </c>
      <c r="D7" s="18">
        <v>0.08</v>
      </c>
      <c r="E7" s="6">
        <v>390</v>
      </c>
      <c r="F7" s="6">
        <v>650</v>
      </c>
      <c r="G7" s="6">
        <v>192</v>
      </c>
      <c r="H7" s="6">
        <v>0</v>
      </c>
      <c r="I7" s="6">
        <v>458</v>
      </c>
      <c r="J7" s="18">
        <f t="shared" si="0"/>
        <v>36.64</v>
      </c>
      <c r="K7" s="18">
        <f t="shared" si="1"/>
        <v>15.36</v>
      </c>
    </row>
    <row r="8" spans="1:11" x14ac:dyDescent="0.3">
      <c r="A8" s="5" t="s">
        <v>76</v>
      </c>
      <c r="B8" s="6" t="s">
        <v>77</v>
      </c>
      <c r="C8" s="8" t="s">
        <v>14</v>
      </c>
      <c r="D8" s="18">
        <v>0.12</v>
      </c>
      <c r="E8" s="6">
        <v>75</v>
      </c>
      <c r="F8" s="6">
        <v>125</v>
      </c>
      <c r="G8" s="6">
        <v>360</v>
      </c>
      <c r="H8" s="6">
        <v>0</v>
      </c>
      <c r="I8" s="6">
        <v>0</v>
      </c>
      <c r="J8" s="18">
        <f t="shared" si="0"/>
        <v>0</v>
      </c>
      <c r="K8" s="18">
        <f t="shared" si="1"/>
        <v>43.199999999999996</v>
      </c>
    </row>
    <row r="9" spans="1:11" x14ac:dyDescent="0.3">
      <c r="A9" s="5" t="s">
        <v>78</v>
      </c>
      <c r="B9" s="6" t="s">
        <v>79</v>
      </c>
      <c r="C9" s="8" t="s">
        <v>14</v>
      </c>
      <c r="D9" s="18">
        <v>0.6</v>
      </c>
      <c r="E9" s="6">
        <v>75</v>
      </c>
      <c r="F9" s="6">
        <v>125</v>
      </c>
      <c r="G9" s="6">
        <v>1234</v>
      </c>
      <c r="H9" s="6">
        <v>0</v>
      </c>
      <c r="I9" s="6">
        <v>0</v>
      </c>
      <c r="J9" s="18">
        <f t="shared" si="0"/>
        <v>0</v>
      </c>
      <c r="K9" s="18">
        <f t="shared" si="1"/>
        <v>740.4</v>
      </c>
    </row>
    <row r="10" spans="1:11" x14ac:dyDescent="0.3">
      <c r="A10" s="5" t="s">
        <v>464</v>
      </c>
      <c r="B10" s="6" t="s">
        <v>465</v>
      </c>
      <c r="C10" s="8" t="s">
        <v>14</v>
      </c>
      <c r="D10" s="18">
        <v>0.65</v>
      </c>
      <c r="E10" s="6">
        <v>233</v>
      </c>
      <c r="F10" s="6">
        <v>388</v>
      </c>
      <c r="G10" s="6">
        <v>450</v>
      </c>
      <c r="H10" s="6">
        <v>0</v>
      </c>
      <c r="I10" s="6">
        <v>0</v>
      </c>
      <c r="J10" s="18">
        <f t="shared" si="0"/>
        <v>0</v>
      </c>
      <c r="K10" s="18">
        <f t="shared" si="1"/>
        <v>292.5</v>
      </c>
    </row>
    <row r="11" spans="1:11" x14ac:dyDescent="0.3">
      <c r="A11" s="5" t="s">
        <v>80</v>
      </c>
      <c r="B11" s="6" t="s">
        <v>81</v>
      </c>
      <c r="C11" s="8" t="s">
        <v>14</v>
      </c>
      <c r="D11" s="18">
        <v>3</v>
      </c>
      <c r="E11" s="6">
        <v>75</v>
      </c>
      <c r="F11" s="6">
        <v>125</v>
      </c>
      <c r="G11" s="6">
        <v>293</v>
      </c>
      <c r="H11" s="6">
        <v>0</v>
      </c>
      <c r="I11" s="6">
        <v>0</v>
      </c>
      <c r="J11" s="18">
        <f t="shared" si="0"/>
        <v>0</v>
      </c>
      <c r="K11" s="18">
        <f t="shared" si="1"/>
        <v>879</v>
      </c>
    </row>
    <row r="12" spans="1:11" x14ac:dyDescent="0.3">
      <c r="A12" s="5" t="s">
        <v>82</v>
      </c>
      <c r="B12" s="6" t="s">
        <v>83</v>
      </c>
      <c r="C12" s="8" t="s">
        <v>14</v>
      </c>
      <c r="D12" s="18">
        <v>0.8</v>
      </c>
      <c r="E12" s="6">
        <v>75</v>
      </c>
      <c r="F12" s="6">
        <v>125</v>
      </c>
      <c r="G12" s="6">
        <v>40</v>
      </c>
      <c r="H12" s="6">
        <v>0</v>
      </c>
      <c r="I12" s="6">
        <v>85</v>
      </c>
      <c r="J12" s="18">
        <f t="shared" si="0"/>
        <v>68</v>
      </c>
      <c r="K12" s="18">
        <f t="shared" si="1"/>
        <v>32</v>
      </c>
    </row>
    <row r="13" spans="1:11" x14ac:dyDescent="0.3">
      <c r="A13" s="5" t="s">
        <v>84</v>
      </c>
      <c r="B13" s="6" t="s">
        <v>85</v>
      </c>
      <c r="C13" s="8" t="s">
        <v>14</v>
      </c>
      <c r="D13" s="18">
        <v>0.3</v>
      </c>
      <c r="E13" s="6">
        <v>120</v>
      </c>
      <c r="F13" s="6">
        <v>200</v>
      </c>
      <c r="G13" s="6">
        <v>500</v>
      </c>
      <c r="H13" s="6">
        <v>0</v>
      </c>
      <c r="I13" s="6">
        <v>0</v>
      </c>
      <c r="J13" s="18">
        <f t="shared" si="0"/>
        <v>0</v>
      </c>
      <c r="K13" s="18">
        <f t="shared" si="1"/>
        <v>150</v>
      </c>
    </row>
    <row r="14" spans="1:11" x14ac:dyDescent="0.3">
      <c r="A14" s="5" t="s">
        <v>86</v>
      </c>
      <c r="B14" s="6" t="s">
        <v>87</v>
      </c>
      <c r="C14" s="8" t="s">
        <v>14</v>
      </c>
      <c r="D14" s="18">
        <v>1.8</v>
      </c>
      <c r="E14" s="6">
        <v>75</v>
      </c>
      <c r="F14" s="6">
        <v>125</v>
      </c>
      <c r="G14" s="6">
        <v>450</v>
      </c>
      <c r="H14" s="6">
        <v>0</v>
      </c>
      <c r="I14" s="6">
        <v>0</v>
      </c>
      <c r="J14" s="18">
        <f t="shared" si="0"/>
        <v>0</v>
      </c>
      <c r="K14" s="18">
        <f t="shared" si="1"/>
        <v>810</v>
      </c>
    </row>
    <row r="15" spans="1:11" x14ac:dyDescent="0.3">
      <c r="A15" s="5" t="s">
        <v>88</v>
      </c>
      <c r="B15" s="6" t="s">
        <v>89</v>
      </c>
      <c r="C15" s="8" t="s">
        <v>14</v>
      </c>
      <c r="D15" s="18">
        <v>0.12</v>
      </c>
      <c r="E15" s="6">
        <v>173</v>
      </c>
      <c r="F15" s="6">
        <v>288</v>
      </c>
      <c r="G15" s="6">
        <v>1196</v>
      </c>
      <c r="H15" s="6">
        <v>0</v>
      </c>
      <c r="I15" s="6">
        <v>0</v>
      </c>
      <c r="J15" s="18">
        <f t="shared" si="0"/>
        <v>0</v>
      </c>
      <c r="K15" s="18">
        <f t="shared" si="1"/>
        <v>143.51999999999998</v>
      </c>
    </row>
    <row r="16" spans="1:11" x14ac:dyDescent="0.3">
      <c r="A16" s="5" t="s">
        <v>90</v>
      </c>
      <c r="B16" s="6" t="s">
        <v>91</v>
      </c>
      <c r="C16" s="8" t="s">
        <v>14</v>
      </c>
      <c r="D16" s="18">
        <v>0.4</v>
      </c>
      <c r="E16" s="6">
        <v>75</v>
      </c>
      <c r="F16" s="6">
        <v>125</v>
      </c>
      <c r="G16" s="6">
        <v>130</v>
      </c>
      <c r="H16" s="6">
        <v>0</v>
      </c>
      <c r="I16" s="6">
        <v>0</v>
      </c>
      <c r="J16" s="18">
        <f t="shared" si="0"/>
        <v>0</v>
      </c>
      <c r="K16" s="18">
        <f t="shared" si="1"/>
        <v>52</v>
      </c>
    </row>
    <row r="17" spans="1:11" x14ac:dyDescent="0.3">
      <c r="A17" s="5" t="s">
        <v>92</v>
      </c>
      <c r="B17" s="6" t="s">
        <v>93</v>
      </c>
      <c r="C17" s="8" t="s">
        <v>14</v>
      </c>
      <c r="D17" s="18">
        <v>0.3</v>
      </c>
      <c r="E17" s="6">
        <v>150</v>
      </c>
      <c r="F17" s="6">
        <v>250</v>
      </c>
      <c r="G17" s="6">
        <v>854</v>
      </c>
      <c r="H17" s="6">
        <v>0</v>
      </c>
      <c r="I17" s="6">
        <v>0</v>
      </c>
      <c r="J17" s="18">
        <f t="shared" si="0"/>
        <v>0</v>
      </c>
      <c r="K17" s="18">
        <f t="shared" si="1"/>
        <v>256.2</v>
      </c>
    </row>
    <row r="18" spans="1:11" x14ac:dyDescent="0.3">
      <c r="A18" s="5" t="s">
        <v>94</v>
      </c>
      <c r="B18" s="6" t="s">
        <v>94</v>
      </c>
      <c r="C18" s="8" t="s">
        <v>14</v>
      </c>
      <c r="D18" s="18">
        <v>0.9</v>
      </c>
      <c r="E18" s="6">
        <v>150</v>
      </c>
      <c r="F18" s="6">
        <v>250</v>
      </c>
      <c r="G18" s="6">
        <v>580</v>
      </c>
      <c r="H18" s="6">
        <v>0</v>
      </c>
      <c r="I18" s="6">
        <v>0</v>
      </c>
      <c r="J18" s="18">
        <f t="shared" si="0"/>
        <v>0</v>
      </c>
      <c r="K18" s="18">
        <f t="shared" si="1"/>
        <v>522</v>
      </c>
    </row>
    <row r="19" spans="1:11" x14ac:dyDescent="0.3">
      <c r="A19" s="5" t="s">
        <v>95</v>
      </c>
      <c r="B19" s="6" t="s">
        <v>96</v>
      </c>
      <c r="C19" s="8" t="s">
        <v>14</v>
      </c>
      <c r="D19" s="18">
        <v>1</v>
      </c>
      <c r="E19" s="6">
        <v>75</v>
      </c>
      <c r="F19" s="6">
        <v>125</v>
      </c>
      <c r="G19" s="6">
        <v>107</v>
      </c>
      <c r="H19" s="6">
        <v>0</v>
      </c>
      <c r="I19" s="6">
        <v>0</v>
      </c>
      <c r="J19" s="18">
        <f t="shared" si="0"/>
        <v>0</v>
      </c>
      <c r="K19" s="18">
        <f t="shared" si="1"/>
        <v>107</v>
      </c>
    </row>
    <row r="20" spans="1:11" x14ac:dyDescent="0.3">
      <c r="A20" s="5" t="s">
        <v>97</v>
      </c>
      <c r="B20" s="6" t="s">
        <v>98</v>
      </c>
      <c r="C20" s="8" t="s">
        <v>14</v>
      </c>
      <c r="D20" s="18">
        <v>2</v>
      </c>
      <c r="E20" s="6">
        <v>75</v>
      </c>
      <c r="F20" s="6">
        <v>125</v>
      </c>
      <c r="G20" s="6">
        <v>400</v>
      </c>
      <c r="H20" s="6">
        <v>0</v>
      </c>
      <c r="I20" s="6">
        <v>0</v>
      </c>
      <c r="J20" s="18">
        <f t="shared" si="0"/>
        <v>0</v>
      </c>
      <c r="K20" s="18">
        <f t="shared" si="1"/>
        <v>800</v>
      </c>
    </row>
    <row r="21" spans="1:11" x14ac:dyDescent="0.3">
      <c r="A21" s="5" t="s">
        <v>99</v>
      </c>
      <c r="B21" s="6" t="s">
        <v>100</v>
      </c>
      <c r="C21" s="8" t="s">
        <v>14</v>
      </c>
      <c r="D21" s="18">
        <v>2</v>
      </c>
      <c r="E21" s="6">
        <v>15</v>
      </c>
      <c r="F21" s="6">
        <v>25</v>
      </c>
      <c r="G21" s="6">
        <v>19</v>
      </c>
      <c r="H21" s="6">
        <v>0</v>
      </c>
      <c r="I21" s="6">
        <v>0</v>
      </c>
      <c r="J21" s="18">
        <f t="shared" si="0"/>
        <v>0</v>
      </c>
      <c r="K21" s="18">
        <f t="shared" si="1"/>
        <v>38</v>
      </c>
    </row>
    <row r="22" spans="1:11" x14ac:dyDescent="0.3">
      <c r="A22" s="5">
        <v>237756</v>
      </c>
      <c r="B22" s="6" t="s">
        <v>13</v>
      </c>
      <c r="C22" s="8" t="s">
        <v>14</v>
      </c>
      <c r="D22" s="18">
        <v>1.8</v>
      </c>
      <c r="E22" s="6">
        <v>150</v>
      </c>
      <c r="F22" s="6">
        <v>250</v>
      </c>
      <c r="G22" s="6">
        <v>200</v>
      </c>
      <c r="H22" s="6">
        <v>0</v>
      </c>
      <c r="I22" s="6">
        <v>0</v>
      </c>
      <c r="J22" s="18">
        <f t="shared" si="0"/>
        <v>0</v>
      </c>
      <c r="K22" s="18">
        <f t="shared" si="1"/>
        <v>360</v>
      </c>
    </row>
    <row r="23" spans="1:11" x14ac:dyDescent="0.3">
      <c r="A23" s="5" t="s">
        <v>23</v>
      </c>
      <c r="B23" s="6" t="s">
        <v>24</v>
      </c>
      <c r="C23" s="8" t="s">
        <v>14</v>
      </c>
      <c r="D23" s="18">
        <v>0.2</v>
      </c>
      <c r="E23" s="6">
        <v>300</v>
      </c>
      <c r="F23" s="6">
        <v>500</v>
      </c>
      <c r="G23" s="6">
        <v>2118</v>
      </c>
      <c r="H23" s="6">
        <v>0</v>
      </c>
      <c r="I23" s="6">
        <v>0</v>
      </c>
      <c r="J23" s="18">
        <f t="shared" si="0"/>
        <v>0</v>
      </c>
      <c r="K23" s="18">
        <f t="shared" si="1"/>
        <v>423.6</v>
      </c>
    </row>
    <row r="24" spans="1:11" x14ac:dyDescent="0.3">
      <c r="A24" s="5" t="s">
        <v>25</v>
      </c>
      <c r="B24" s="6" t="s">
        <v>26</v>
      </c>
      <c r="C24" s="8" t="s">
        <v>14</v>
      </c>
      <c r="D24" s="18">
        <v>0.65</v>
      </c>
      <c r="E24" s="6">
        <v>150</v>
      </c>
      <c r="F24" s="6">
        <v>250</v>
      </c>
      <c r="G24" s="6">
        <v>1986</v>
      </c>
      <c r="H24" s="6">
        <v>0</v>
      </c>
      <c r="I24" s="6">
        <v>0</v>
      </c>
      <c r="J24" s="18">
        <f t="shared" si="0"/>
        <v>0</v>
      </c>
      <c r="K24" s="18">
        <f t="shared" si="1"/>
        <v>1290.9000000000001</v>
      </c>
    </row>
    <row r="25" spans="1:11" x14ac:dyDescent="0.3">
      <c r="A25" s="5" t="s">
        <v>27</v>
      </c>
      <c r="B25" s="6" t="s">
        <v>28</v>
      </c>
      <c r="C25" s="8" t="s">
        <v>14</v>
      </c>
      <c r="D25" s="18">
        <v>1.8</v>
      </c>
      <c r="E25" s="6">
        <v>75</v>
      </c>
      <c r="F25" s="6">
        <v>125</v>
      </c>
      <c r="G25" s="6">
        <v>242</v>
      </c>
      <c r="H25" s="6">
        <v>0</v>
      </c>
      <c r="I25" s="6">
        <v>0</v>
      </c>
      <c r="J25" s="18">
        <f t="shared" si="0"/>
        <v>0</v>
      </c>
      <c r="K25" s="18">
        <f t="shared" si="1"/>
        <v>435.6</v>
      </c>
    </row>
    <row r="26" spans="1:11" x14ac:dyDescent="0.3">
      <c r="A26" s="5" t="s">
        <v>29</v>
      </c>
      <c r="B26" s="6" t="s">
        <v>30</v>
      </c>
      <c r="C26" s="8" t="s">
        <v>14</v>
      </c>
      <c r="D26" s="18">
        <v>1.8</v>
      </c>
      <c r="E26" s="6">
        <v>150</v>
      </c>
      <c r="F26" s="6">
        <v>250</v>
      </c>
      <c r="G26" s="6">
        <v>800</v>
      </c>
      <c r="H26" s="6">
        <v>0</v>
      </c>
      <c r="I26" s="6">
        <v>0</v>
      </c>
      <c r="J26" s="18">
        <f t="shared" si="0"/>
        <v>0</v>
      </c>
      <c r="K26" s="18">
        <f t="shared" si="1"/>
        <v>1440</v>
      </c>
    </row>
    <row r="27" spans="1:11" x14ac:dyDescent="0.3">
      <c r="A27" s="5" t="s">
        <v>31</v>
      </c>
      <c r="B27" s="6" t="s">
        <v>32</v>
      </c>
      <c r="C27" s="8" t="s">
        <v>14</v>
      </c>
      <c r="D27" s="18">
        <v>0.5</v>
      </c>
      <c r="E27" s="6">
        <v>300</v>
      </c>
      <c r="F27" s="6">
        <v>500</v>
      </c>
      <c r="G27" s="6">
        <v>921</v>
      </c>
      <c r="H27" s="6">
        <v>0</v>
      </c>
      <c r="I27" s="6">
        <v>0</v>
      </c>
      <c r="J27" s="18">
        <f t="shared" si="0"/>
        <v>0</v>
      </c>
      <c r="K27" s="18">
        <f t="shared" si="1"/>
        <v>460.5</v>
      </c>
    </row>
    <row r="28" spans="1:11" x14ac:dyDescent="0.3">
      <c r="A28" s="5" t="s">
        <v>33</v>
      </c>
      <c r="B28" s="6" t="s">
        <v>34</v>
      </c>
      <c r="C28" s="8" t="s">
        <v>14</v>
      </c>
      <c r="D28" s="18">
        <v>1.8</v>
      </c>
      <c r="E28" s="6">
        <v>75</v>
      </c>
      <c r="F28" s="6">
        <v>125</v>
      </c>
      <c r="G28" s="6">
        <v>99</v>
      </c>
      <c r="H28" s="6">
        <v>0</v>
      </c>
      <c r="I28" s="6">
        <v>0</v>
      </c>
      <c r="J28" s="18">
        <f t="shared" si="0"/>
        <v>0</v>
      </c>
      <c r="K28" s="18">
        <f t="shared" si="1"/>
        <v>178.20000000000002</v>
      </c>
    </row>
    <row r="29" spans="1:11" x14ac:dyDescent="0.3">
      <c r="A29" s="5" t="s">
        <v>35</v>
      </c>
      <c r="B29" s="6" t="s">
        <v>36</v>
      </c>
      <c r="C29" s="8" t="s">
        <v>14</v>
      </c>
      <c r="D29" s="18">
        <v>4</v>
      </c>
      <c r="E29" s="6">
        <v>75</v>
      </c>
      <c r="F29" s="6">
        <v>125</v>
      </c>
      <c r="G29" s="6">
        <v>300</v>
      </c>
      <c r="H29" s="6">
        <v>0</v>
      </c>
      <c r="I29" s="6">
        <v>0</v>
      </c>
      <c r="J29" s="18">
        <f t="shared" si="0"/>
        <v>0</v>
      </c>
      <c r="K29" s="18">
        <f t="shared" si="1"/>
        <v>1200</v>
      </c>
    </row>
    <row r="30" spans="1:11" x14ac:dyDescent="0.3">
      <c r="A30" s="5" t="s">
        <v>37</v>
      </c>
      <c r="B30" s="6" t="s">
        <v>38</v>
      </c>
      <c r="C30" s="8" t="s">
        <v>14</v>
      </c>
      <c r="D30" s="18">
        <v>2.6</v>
      </c>
      <c r="E30" s="6">
        <v>75</v>
      </c>
      <c r="F30" s="6">
        <v>125</v>
      </c>
      <c r="G30" s="6">
        <v>5</v>
      </c>
      <c r="H30" s="6">
        <v>0</v>
      </c>
      <c r="I30" s="6">
        <v>120</v>
      </c>
      <c r="J30" s="18">
        <f t="shared" si="0"/>
        <v>312</v>
      </c>
      <c r="K30" s="18">
        <f t="shared" si="1"/>
        <v>13</v>
      </c>
    </row>
    <row r="31" spans="1:11" x14ac:dyDescent="0.3">
      <c r="A31" s="5" t="s">
        <v>39</v>
      </c>
      <c r="B31" s="6" t="s">
        <v>40</v>
      </c>
      <c r="C31" s="8" t="s">
        <v>14</v>
      </c>
      <c r="D31" s="18">
        <v>4</v>
      </c>
      <c r="E31" s="6">
        <v>75</v>
      </c>
      <c r="F31" s="6">
        <v>125</v>
      </c>
      <c r="G31" s="6">
        <v>22</v>
      </c>
      <c r="H31" s="6">
        <v>0</v>
      </c>
      <c r="I31" s="6">
        <v>103</v>
      </c>
      <c r="J31" s="18">
        <f t="shared" si="0"/>
        <v>412</v>
      </c>
      <c r="K31" s="18">
        <f t="shared" si="1"/>
        <v>88</v>
      </c>
    </row>
    <row r="32" spans="1:11" x14ac:dyDescent="0.3">
      <c r="A32" s="5">
        <v>237993</v>
      </c>
      <c r="B32" s="6" t="s">
        <v>15</v>
      </c>
      <c r="C32" s="8" t="s">
        <v>14</v>
      </c>
      <c r="D32" s="18">
        <v>4</v>
      </c>
      <c r="E32" s="6">
        <v>75</v>
      </c>
      <c r="F32" s="6">
        <v>125</v>
      </c>
      <c r="G32" s="6">
        <v>489</v>
      </c>
      <c r="H32" s="6">
        <v>0</v>
      </c>
      <c r="I32" s="6">
        <v>0</v>
      </c>
      <c r="J32" s="18">
        <f t="shared" si="0"/>
        <v>0</v>
      </c>
      <c r="K32" s="18">
        <f t="shared" si="1"/>
        <v>1956</v>
      </c>
    </row>
    <row r="33" spans="1:11" x14ac:dyDescent="0.3">
      <c r="A33" s="5">
        <v>238028</v>
      </c>
      <c r="B33" s="6" t="s">
        <v>16</v>
      </c>
      <c r="C33" s="8" t="s">
        <v>14</v>
      </c>
      <c r="D33" s="18">
        <v>4.4000000000000004</v>
      </c>
      <c r="E33" s="6">
        <v>75</v>
      </c>
      <c r="F33" s="6">
        <v>125</v>
      </c>
      <c r="G33" s="6">
        <v>198</v>
      </c>
      <c r="H33" s="6">
        <v>0</v>
      </c>
      <c r="I33" s="6">
        <v>0</v>
      </c>
      <c r="J33" s="18">
        <f t="shared" si="0"/>
        <v>0</v>
      </c>
      <c r="K33" s="18">
        <f t="shared" si="1"/>
        <v>871.2</v>
      </c>
    </row>
    <row r="34" spans="1:11" x14ac:dyDescent="0.3">
      <c r="A34" s="5">
        <v>238062</v>
      </c>
      <c r="B34" s="6" t="s">
        <v>17</v>
      </c>
      <c r="C34" s="8" t="s">
        <v>14</v>
      </c>
      <c r="D34" s="18">
        <v>5.9</v>
      </c>
      <c r="E34" s="6">
        <v>75</v>
      </c>
      <c r="F34" s="6">
        <v>125</v>
      </c>
      <c r="G34" s="6">
        <v>603</v>
      </c>
      <c r="H34" s="6">
        <v>0</v>
      </c>
      <c r="I34" s="6">
        <v>0</v>
      </c>
      <c r="J34" s="18">
        <f t="shared" si="0"/>
        <v>0</v>
      </c>
      <c r="K34" s="18">
        <f t="shared" si="1"/>
        <v>3557.7000000000003</v>
      </c>
    </row>
    <row r="35" spans="1:11" x14ac:dyDescent="0.3">
      <c r="A35" s="5">
        <v>258205</v>
      </c>
      <c r="B35" s="6" t="s">
        <v>20</v>
      </c>
      <c r="C35" s="8" t="s">
        <v>14</v>
      </c>
      <c r="D35" s="18">
        <v>0.9</v>
      </c>
      <c r="E35" s="6">
        <v>75</v>
      </c>
      <c r="F35" s="6">
        <v>125</v>
      </c>
      <c r="G35" s="6">
        <v>242</v>
      </c>
      <c r="H35" s="6">
        <v>0</v>
      </c>
      <c r="I35" s="6">
        <v>0</v>
      </c>
      <c r="J35" s="18">
        <f t="shared" si="0"/>
        <v>0</v>
      </c>
      <c r="K35" s="18">
        <f t="shared" si="1"/>
        <v>217.8</v>
      </c>
    </row>
    <row r="36" spans="1:11" x14ac:dyDescent="0.3">
      <c r="A36" s="5">
        <v>267215</v>
      </c>
      <c r="B36" s="6" t="s">
        <v>22</v>
      </c>
      <c r="C36" s="8" t="s">
        <v>14</v>
      </c>
      <c r="D36" s="18">
        <v>1</v>
      </c>
      <c r="E36" s="6">
        <v>300</v>
      </c>
      <c r="F36" s="6">
        <v>500</v>
      </c>
      <c r="G36" s="6">
        <v>483</v>
      </c>
      <c r="H36" s="6">
        <v>0</v>
      </c>
      <c r="I36" s="6">
        <v>0</v>
      </c>
      <c r="J36" s="18">
        <f t="shared" si="0"/>
        <v>0</v>
      </c>
      <c r="K36" s="18">
        <f t="shared" si="1"/>
        <v>483</v>
      </c>
    </row>
    <row r="37" spans="1:11" x14ac:dyDescent="0.3">
      <c r="A37" s="5" t="s">
        <v>41</v>
      </c>
      <c r="B37" s="6" t="s">
        <v>42</v>
      </c>
      <c r="C37" s="8" t="s">
        <v>14</v>
      </c>
      <c r="D37" s="18">
        <v>3</v>
      </c>
      <c r="E37" s="6">
        <v>75</v>
      </c>
      <c r="F37" s="6">
        <v>125</v>
      </c>
      <c r="G37" s="6">
        <v>93</v>
      </c>
      <c r="H37" s="6">
        <v>0</v>
      </c>
      <c r="I37" s="6">
        <v>0</v>
      </c>
      <c r="J37" s="18">
        <f t="shared" si="0"/>
        <v>0</v>
      </c>
      <c r="K37" s="18">
        <f t="shared" si="1"/>
        <v>279</v>
      </c>
    </row>
    <row r="38" spans="1:11" x14ac:dyDescent="0.3">
      <c r="A38" s="5" t="s">
        <v>43</v>
      </c>
      <c r="B38" s="6" t="s">
        <v>44</v>
      </c>
      <c r="C38" s="8" t="s">
        <v>14</v>
      </c>
      <c r="D38" s="18">
        <v>0.3</v>
      </c>
      <c r="E38" s="6">
        <v>75</v>
      </c>
      <c r="F38" s="6">
        <v>125</v>
      </c>
      <c r="G38" s="6">
        <v>434</v>
      </c>
      <c r="H38" s="6">
        <v>0</v>
      </c>
      <c r="I38" s="6">
        <v>0</v>
      </c>
      <c r="J38" s="18">
        <f t="shared" si="0"/>
        <v>0</v>
      </c>
      <c r="K38" s="18">
        <f t="shared" si="1"/>
        <v>130.19999999999999</v>
      </c>
    </row>
    <row r="39" spans="1:11" x14ac:dyDescent="0.3">
      <c r="A39" s="5" t="s">
        <v>45</v>
      </c>
      <c r="B39" s="6" t="s">
        <v>46</v>
      </c>
      <c r="C39" s="8" t="s">
        <v>14</v>
      </c>
      <c r="D39" s="18">
        <v>3</v>
      </c>
      <c r="E39" s="6">
        <v>75</v>
      </c>
      <c r="F39" s="6">
        <v>125</v>
      </c>
      <c r="G39" s="6">
        <v>725</v>
      </c>
      <c r="H39" s="6">
        <v>0</v>
      </c>
      <c r="I39" s="6">
        <v>0</v>
      </c>
      <c r="J39" s="18">
        <f t="shared" si="0"/>
        <v>0</v>
      </c>
      <c r="K39" s="18">
        <f t="shared" si="1"/>
        <v>2175</v>
      </c>
    </row>
    <row r="40" spans="1:11" x14ac:dyDescent="0.3">
      <c r="A40" s="5" t="s">
        <v>47</v>
      </c>
      <c r="B40" s="6" t="s">
        <v>48</v>
      </c>
      <c r="C40" s="8" t="s">
        <v>14</v>
      </c>
      <c r="D40" s="18">
        <v>0.8</v>
      </c>
      <c r="E40" s="6">
        <v>300</v>
      </c>
      <c r="F40" s="6">
        <v>500</v>
      </c>
      <c r="G40" s="6">
        <v>223</v>
      </c>
      <c r="H40" s="6">
        <v>0</v>
      </c>
      <c r="I40" s="6">
        <v>277</v>
      </c>
      <c r="J40" s="18">
        <f t="shared" si="0"/>
        <v>221.60000000000002</v>
      </c>
      <c r="K40" s="18">
        <f t="shared" si="1"/>
        <v>178.4</v>
      </c>
    </row>
    <row r="41" spans="1:11" x14ac:dyDescent="0.3">
      <c r="A41" s="5" t="s">
        <v>49</v>
      </c>
      <c r="B41" s="6" t="s">
        <v>50</v>
      </c>
      <c r="C41" s="8" t="s">
        <v>14</v>
      </c>
      <c r="D41" s="18">
        <v>3</v>
      </c>
      <c r="E41" s="6">
        <v>75</v>
      </c>
      <c r="F41" s="6">
        <v>125</v>
      </c>
      <c r="G41" s="6">
        <v>188</v>
      </c>
      <c r="H41" s="6">
        <v>0</v>
      </c>
      <c r="I41" s="6">
        <v>0</v>
      </c>
      <c r="J41" s="18">
        <f t="shared" si="0"/>
        <v>0</v>
      </c>
      <c r="K41" s="18">
        <f t="shared" si="1"/>
        <v>564</v>
      </c>
    </row>
    <row r="42" spans="1:11" x14ac:dyDescent="0.3">
      <c r="A42" s="5" t="s">
        <v>51</v>
      </c>
      <c r="B42" s="6" t="s">
        <v>52</v>
      </c>
      <c r="C42" s="8" t="s">
        <v>14</v>
      </c>
      <c r="D42" s="18">
        <v>1.3</v>
      </c>
      <c r="E42" s="6">
        <v>75</v>
      </c>
      <c r="F42" s="6">
        <v>125</v>
      </c>
      <c r="G42" s="6">
        <v>0</v>
      </c>
      <c r="H42" s="6">
        <v>0</v>
      </c>
      <c r="I42" s="6">
        <v>125</v>
      </c>
      <c r="J42" s="18">
        <f t="shared" si="0"/>
        <v>162.5</v>
      </c>
      <c r="K42" s="18">
        <f t="shared" si="1"/>
        <v>0</v>
      </c>
    </row>
    <row r="43" spans="1:11" x14ac:dyDescent="0.3">
      <c r="A43" s="5" t="s">
        <v>62</v>
      </c>
      <c r="B43" s="6" t="s">
        <v>63</v>
      </c>
      <c r="C43" s="8" t="s">
        <v>14</v>
      </c>
      <c r="D43" s="18">
        <v>0.65</v>
      </c>
      <c r="E43" s="6">
        <v>75</v>
      </c>
      <c r="F43" s="6">
        <v>125</v>
      </c>
      <c r="G43" s="6">
        <v>129</v>
      </c>
      <c r="H43" s="6">
        <v>0</v>
      </c>
      <c r="I43" s="6">
        <v>0</v>
      </c>
      <c r="J43" s="18">
        <f t="shared" si="0"/>
        <v>0</v>
      </c>
      <c r="K43" s="18">
        <f t="shared" si="1"/>
        <v>83.850000000000009</v>
      </c>
    </row>
    <row r="44" spans="1:11" x14ac:dyDescent="0.3">
      <c r="A44" s="5">
        <v>238152</v>
      </c>
      <c r="B44" s="6" t="s">
        <v>18</v>
      </c>
      <c r="C44" s="8" t="s">
        <v>14</v>
      </c>
      <c r="D44" s="18">
        <v>12.5</v>
      </c>
      <c r="E44" s="6">
        <v>75</v>
      </c>
      <c r="F44" s="6">
        <v>125</v>
      </c>
      <c r="G44" s="6">
        <v>43</v>
      </c>
      <c r="H44" s="6">
        <v>0</v>
      </c>
      <c r="I44" s="6">
        <v>82</v>
      </c>
      <c r="J44" s="18">
        <f t="shared" si="0"/>
        <v>1025</v>
      </c>
      <c r="K44" s="18">
        <f t="shared" si="1"/>
        <v>537.5</v>
      </c>
    </row>
    <row r="45" spans="1:11" x14ac:dyDescent="0.3">
      <c r="A45" s="5" t="s">
        <v>53</v>
      </c>
      <c r="B45" s="6" t="s">
        <v>54</v>
      </c>
      <c r="C45" s="8" t="s">
        <v>14</v>
      </c>
      <c r="D45" s="18">
        <v>0.8</v>
      </c>
      <c r="E45" s="6">
        <v>450</v>
      </c>
      <c r="F45" s="6">
        <v>750</v>
      </c>
      <c r="G45" s="6">
        <v>535</v>
      </c>
      <c r="H45" s="6">
        <v>0</v>
      </c>
      <c r="I45" s="6">
        <v>0</v>
      </c>
      <c r="J45" s="18">
        <f t="shared" si="0"/>
        <v>0</v>
      </c>
      <c r="K45" s="18">
        <f t="shared" si="1"/>
        <v>428</v>
      </c>
    </row>
    <row r="46" spans="1:11" x14ac:dyDescent="0.3">
      <c r="A46" s="5" t="s">
        <v>55</v>
      </c>
      <c r="B46" s="6" t="s">
        <v>56</v>
      </c>
      <c r="C46" s="8" t="s">
        <v>14</v>
      </c>
      <c r="D46" s="18">
        <v>1.8</v>
      </c>
      <c r="E46" s="6">
        <v>375</v>
      </c>
      <c r="F46" s="6">
        <v>625</v>
      </c>
      <c r="G46" s="6">
        <v>163</v>
      </c>
      <c r="H46" s="6">
        <v>0</v>
      </c>
      <c r="I46" s="6">
        <v>462</v>
      </c>
      <c r="J46" s="18">
        <f t="shared" si="0"/>
        <v>831.6</v>
      </c>
      <c r="K46" s="18">
        <f t="shared" si="1"/>
        <v>293.40000000000003</v>
      </c>
    </row>
    <row r="47" spans="1:11" x14ac:dyDescent="0.3">
      <c r="A47" s="5" t="s">
        <v>57</v>
      </c>
      <c r="B47" s="6" t="s">
        <v>57</v>
      </c>
      <c r="C47" s="8" t="s">
        <v>14</v>
      </c>
      <c r="D47" s="18">
        <v>1.8</v>
      </c>
      <c r="E47" s="6">
        <v>75</v>
      </c>
      <c r="F47" s="6">
        <v>125</v>
      </c>
      <c r="G47" s="6">
        <v>317</v>
      </c>
      <c r="H47" s="6">
        <v>0</v>
      </c>
      <c r="I47" s="6">
        <v>0</v>
      </c>
      <c r="J47" s="18">
        <f t="shared" si="0"/>
        <v>0</v>
      </c>
      <c r="K47" s="18">
        <f t="shared" si="1"/>
        <v>570.6</v>
      </c>
    </row>
    <row r="48" spans="1:11" x14ac:dyDescent="0.3">
      <c r="A48" s="5" t="s">
        <v>58</v>
      </c>
      <c r="B48" s="6" t="s">
        <v>59</v>
      </c>
      <c r="C48" s="8" t="s">
        <v>14</v>
      </c>
      <c r="D48" s="18">
        <v>18</v>
      </c>
      <c r="E48" s="6">
        <v>150</v>
      </c>
      <c r="F48" s="6">
        <v>250</v>
      </c>
      <c r="G48" s="6">
        <v>197</v>
      </c>
      <c r="H48" s="6">
        <v>0</v>
      </c>
      <c r="I48" s="6">
        <v>0</v>
      </c>
      <c r="J48" s="18">
        <f t="shared" si="0"/>
        <v>0</v>
      </c>
      <c r="K48" s="18">
        <f t="shared" si="1"/>
        <v>3546</v>
      </c>
    </row>
    <row r="49" spans="1:11" x14ac:dyDescent="0.3">
      <c r="A49" s="5" t="s">
        <v>60</v>
      </c>
      <c r="B49" s="6" t="s">
        <v>61</v>
      </c>
      <c r="C49" s="8" t="s">
        <v>14</v>
      </c>
      <c r="D49" s="18">
        <v>5.8</v>
      </c>
      <c r="E49" s="6">
        <v>150</v>
      </c>
      <c r="F49" s="6">
        <v>250</v>
      </c>
      <c r="G49" s="6">
        <v>157</v>
      </c>
      <c r="H49" s="6">
        <v>0</v>
      </c>
      <c r="I49" s="6">
        <v>0</v>
      </c>
      <c r="J49" s="18">
        <f t="shared" si="0"/>
        <v>0</v>
      </c>
      <c r="K49" s="18">
        <f t="shared" si="1"/>
        <v>910.6</v>
      </c>
    </row>
    <row r="50" spans="1:11" x14ac:dyDescent="0.3">
      <c r="A50" s="5" t="s">
        <v>64</v>
      </c>
      <c r="B50" s="6" t="s">
        <v>65</v>
      </c>
      <c r="C50" s="8" t="s">
        <v>14</v>
      </c>
      <c r="D50" s="18">
        <v>75</v>
      </c>
      <c r="E50" s="6">
        <v>3</v>
      </c>
      <c r="F50" s="6">
        <v>5</v>
      </c>
      <c r="G50" s="6">
        <v>4</v>
      </c>
      <c r="H50" s="6">
        <v>0</v>
      </c>
      <c r="I50" s="6">
        <v>0</v>
      </c>
      <c r="J50" s="18">
        <f t="shared" si="0"/>
        <v>0</v>
      </c>
      <c r="K50" s="18">
        <f t="shared" si="1"/>
        <v>300</v>
      </c>
    </row>
    <row r="51" spans="1:11" x14ac:dyDescent="0.3">
      <c r="A51" s="5" t="s">
        <v>66</v>
      </c>
      <c r="B51" s="6" t="s">
        <v>67</v>
      </c>
      <c r="C51" s="8" t="s">
        <v>14</v>
      </c>
      <c r="D51" s="18">
        <v>12</v>
      </c>
      <c r="E51" s="6">
        <v>75</v>
      </c>
      <c r="F51" s="6">
        <v>125</v>
      </c>
      <c r="G51" s="6">
        <v>255</v>
      </c>
      <c r="H51" s="6">
        <v>0</v>
      </c>
      <c r="I51" s="6">
        <v>0</v>
      </c>
      <c r="J51" s="18">
        <f t="shared" si="0"/>
        <v>0</v>
      </c>
      <c r="K51" s="18">
        <f t="shared" si="1"/>
        <v>3060</v>
      </c>
    </row>
    <row r="52" spans="1:11" x14ac:dyDescent="0.3">
      <c r="A52" s="5" t="s">
        <v>101</v>
      </c>
      <c r="B52" s="6" t="s">
        <v>102</v>
      </c>
      <c r="C52" s="8" t="s">
        <v>14</v>
      </c>
      <c r="D52" s="18">
        <v>0.3</v>
      </c>
      <c r="E52" s="6">
        <v>225</v>
      </c>
      <c r="F52" s="6">
        <v>375</v>
      </c>
      <c r="G52" s="6">
        <v>500</v>
      </c>
      <c r="H52" s="6">
        <v>0</v>
      </c>
      <c r="I52" s="6">
        <v>0</v>
      </c>
      <c r="J52" s="18">
        <f t="shared" si="0"/>
        <v>0</v>
      </c>
      <c r="K52" s="18">
        <f t="shared" si="1"/>
        <v>150</v>
      </c>
    </row>
    <row r="53" spans="1:11" x14ac:dyDescent="0.3">
      <c r="A53" s="5" t="s">
        <v>103</v>
      </c>
      <c r="B53" s="6" t="s">
        <v>104</v>
      </c>
      <c r="C53" s="8" t="s">
        <v>105</v>
      </c>
      <c r="D53" s="18">
        <v>936</v>
      </c>
      <c r="E53" s="6">
        <v>6</v>
      </c>
      <c r="F53" s="6">
        <v>10</v>
      </c>
      <c r="G53" s="6">
        <v>2</v>
      </c>
      <c r="H53" s="6">
        <v>6</v>
      </c>
      <c r="I53" s="6">
        <v>2</v>
      </c>
      <c r="J53" s="18">
        <f t="shared" si="0"/>
        <v>1872</v>
      </c>
      <c r="K53" s="18">
        <f t="shared" si="1"/>
        <v>7488</v>
      </c>
    </row>
    <row r="54" spans="1:11" x14ac:dyDescent="0.3">
      <c r="A54" s="5" t="s">
        <v>108</v>
      </c>
      <c r="B54" s="6" t="s">
        <v>109</v>
      </c>
      <c r="C54" s="8" t="s">
        <v>105</v>
      </c>
      <c r="D54" s="18">
        <v>1241</v>
      </c>
      <c r="E54" s="6">
        <v>6</v>
      </c>
      <c r="F54" s="6">
        <v>10</v>
      </c>
      <c r="G54" s="6">
        <v>5</v>
      </c>
      <c r="H54" s="6">
        <v>4</v>
      </c>
      <c r="I54" s="6">
        <v>1</v>
      </c>
      <c r="J54" s="18">
        <f t="shared" si="0"/>
        <v>1241</v>
      </c>
      <c r="K54" s="18">
        <f t="shared" si="1"/>
        <v>11169</v>
      </c>
    </row>
    <row r="55" spans="1:11" x14ac:dyDescent="0.3">
      <c r="A55" s="5" t="s">
        <v>112</v>
      </c>
      <c r="B55" s="6" t="s">
        <v>113</v>
      </c>
      <c r="C55" s="8" t="s">
        <v>105</v>
      </c>
      <c r="D55" s="18">
        <v>1344.6</v>
      </c>
      <c r="E55" s="6">
        <v>6</v>
      </c>
      <c r="F55" s="6">
        <v>10</v>
      </c>
      <c r="G55" s="6">
        <v>2</v>
      </c>
      <c r="H55" s="6">
        <v>6</v>
      </c>
      <c r="I55" s="6">
        <v>2</v>
      </c>
      <c r="J55" s="18">
        <f t="shared" si="0"/>
        <v>2689.2</v>
      </c>
      <c r="K55" s="18">
        <f t="shared" si="1"/>
        <v>10756.8</v>
      </c>
    </row>
    <row r="56" spans="1:11" x14ac:dyDescent="0.3">
      <c r="A56" s="5" t="s">
        <v>116</v>
      </c>
      <c r="B56" s="6" t="s">
        <v>117</v>
      </c>
      <c r="C56" s="8" t="s">
        <v>105</v>
      </c>
      <c r="D56" s="18">
        <v>1494</v>
      </c>
      <c r="E56" s="6">
        <v>3</v>
      </c>
      <c r="F56" s="6">
        <v>5</v>
      </c>
      <c r="G56" s="6">
        <v>2</v>
      </c>
      <c r="H56" s="6">
        <v>0</v>
      </c>
      <c r="I56" s="6">
        <v>3</v>
      </c>
      <c r="J56" s="18">
        <f t="shared" si="0"/>
        <v>4482</v>
      </c>
      <c r="K56" s="18">
        <f t="shared" si="1"/>
        <v>2988</v>
      </c>
    </row>
    <row r="57" spans="1:11" x14ac:dyDescent="0.3">
      <c r="A57" s="5" t="s">
        <v>120</v>
      </c>
      <c r="B57" s="6" t="s">
        <v>121</v>
      </c>
      <c r="C57" s="8" t="s">
        <v>105</v>
      </c>
      <c r="D57" s="18">
        <v>1702</v>
      </c>
      <c r="E57" s="6">
        <v>5</v>
      </c>
      <c r="F57" s="6">
        <v>8</v>
      </c>
      <c r="G57" s="6">
        <v>10</v>
      </c>
      <c r="H57" s="6">
        <v>2</v>
      </c>
      <c r="I57" s="6">
        <v>0</v>
      </c>
      <c r="J57" s="18">
        <f t="shared" si="0"/>
        <v>0</v>
      </c>
      <c r="K57" s="18">
        <f t="shared" si="1"/>
        <v>20424</v>
      </c>
    </row>
    <row r="58" spans="1:11" x14ac:dyDescent="0.3">
      <c r="A58" s="5" t="s">
        <v>124</v>
      </c>
      <c r="B58" s="6" t="s">
        <v>125</v>
      </c>
      <c r="C58" s="8" t="s">
        <v>105</v>
      </c>
      <c r="D58" s="18">
        <v>1792</v>
      </c>
      <c r="E58" s="6">
        <v>5</v>
      </c>
      <c r="F58" s="6">
        <v>8</v>
      </c>
      <c r="G58" s="6">
        <v>2</v>
      </c>
      <c r="H58" s="6">
        <v>0</v>
      </c>
      <c r="I58" s="6">
        <v>6</v>
      </c>
      <c r="J58" s="18">
        <f t="shared" si="0"/>
        <v>10752</v>
      </c>
      <c r="K58" s="18">
        <f t="shared" si="1"/>
        <v>3584</v>
      </c>
    </row>
    <row r="59" spans="1:11" x14ac:dyDescent="0.3">
      <c r="A59" s="5" t="s">
        <v>128</v>
      </c>
      <c r="B59" s="6" t="s">
        <v>129</v>
      </c>
      <c r="C59" s="8" t="s">
        <v>105</v>
      </c>
      <c r="D59" s="18">
        <v>1971</v>
      </c>
      <c r="E59" s="6">
        <v>3</v>
      </c>
      <c r="F59" s="6">
        <v>5</v>
      </c>
      <c r="G59" s="6">
        <v>4</v>
      </c>
      <c r="H59" s="6">
        <v>4</v>
      </c>
      <c r="I59" s="6">
        <v>0</v>
      </c>
      <c r="J59" s="18">
        <f t="shared" si="0"/>
        <v>0</v>
      </c>
      <c r="K59" s="18">
        <f t="shared" si="1"/>
        <v>15768</v>
      </c>
    </row>
    <row r="60" spans="1:11" x14ac:dyDescent="0.3">
      <c r="A60" s="5" t="s">
        <v>132</v>
      </c>
      <c r="B60" s="6" t="s">
        <v>133</v>
      </c>
      <c r="C60" s="8" t="s">
        <v>105</v>
      </c>
      <c r="D60" s="18">
        <v>2298</v>
      </c>
      <c r="E60" s="6">
        <v>3</v>
      </c>
      <c r="F60" s="6">
        <v>5</v>
      </c>
      <c r="G60" s="6">
        <v>4</v>
      </c>
      <c r="H60" s="6">
        <v>0</v>
      </c>
      <c r="I60" s="6">
        <v>0</v>
      </c>
      <c r="J60" s="18">
        <f t="shared" si="0"/>
        <v>0</v>
      </c>
      <c r="K60" s="18">
        <f t="shared" si="1"/>
        <v>9192</v>
      </c>
    </row>
    <row r="61" spans="1:11" x14ac:dyDescent="0.3">
      <c r="A61" s="5" t="s">
        <v>136</v>
      </c>
      <c r="B61" s="6" t="s">
        <v>137</v>
      </c>
      <c r="C61" s="8" t="s">
        <v>105</v>
      </c>
      <c r="D61" s="18">
        <v>2158</v>
      </c>
      <c r="E61" s="6">
        <v>3</v>
      </c>
      <c r="F61" s="6">
        <v>5</v>
      </c>
      <c r="G61" s="6">
        <v>0</v>
      </c>
      <c r="H61" s="6">
        <v>4</v>
      </c>
      <c r="I61" s="6">
        <v>1</v>
      </c>
      <c r="J61" s="18">
        <f t="shared" si="0"/>
        <v>2158</v>
      </c>
      <c r="K61" s="18">
        <f t="shared" si="1"/>
        <v>8632</v>
      </c>
    </row>
    <row r="62" spans="1:11" x14ac:dyDescent="0.3">
      <c r="A62" s="5" t="s">
        <v>140</v>
      </c>
      <c r="B62" s="6" t="s">
        <v>141</v>
      </c>
      <c r="C62" s="8" t="s">
        <v>105</v>
      </c>
      <c r="D62" s="18">
        <v>2516</v>
      </c>
      <c r="E62" s="6">
        <v>3</v>
      </c>
      <c r="F62" s="6">
        <v>5</v>
      </c>
      <c r="G62" s="6">
        <v>3</v>
      </c>
      <c r="H62" s="6">
        <v>0</v>
      </c>
      <c r="I62" s="6">
        <v>2</v>
      </c>
      <c r="J62" s="18">
        <f t="shared" si="0"/>
        <v>5032</v>
      </c>
      <c r="K62" s="18">
        <f t="shared" si="1"/>
        <v>7548</v>
      </c>
    </row>
    <row r="63" spans="1:11" x14ac:dyDescent="0.3">
      <c r="A63" s="5" t="s">
        <v>144</v>
      </c>
      <c r="B63" s="6" t="s">
        <v>145</v>
      </c>
      <c r="C63" s="8" t="s">
        <v>105</v>
      </c>
      <c r="D63" s="18">
        <v>2817</v>
      </c>
      <c r="E63" s="6">
        <v>3</v>
      </c>
      <c r="F63" s="6">
        <v>5</v>
      </c>
      <c r="G63" s="6">
        <v>0</v>
      </c>
      <c r="H63" s="6">
        <v>4</v>
      </c>
      <c r="I63" s="6">
        <v>1</v>
      </c>
      <c r="J63" s="18">
        <f t="shared" si="0"/>
        <v>2817</v>
      </c>
      <c r="K63" s="18">
        <f t="shared" si="1"/>
        <v>11268</v>
      </c>
    </row>
    <row r="64" spans="1:11" x14ac:dyDescent="0.3">
      <c r="A64" s="5" t="s">
        <v>148</v>
      </c>
      <c r="B64" s="6" t="s">
        <v>149</v>
      </c>
      <c r="C64" s="8" t="s">
        <v>105</v>
      </c>
      <c r="D64" s="18">
        <v>3285</v>
      </c>
      <c r="E64" s="6">
        <v>3</v>
      </c>
      <c r="F64" s="6">
        <v>5</v>
      </c>
      <c r="G64" s="6">
        <v>1</v>
      </c>
      <c r="H64" s="6">
        <v>0</v>
      </c>
      <c r="I64" s="6">
        <v>4</v>
      </c>
      <c r="J64" s="18">
        <f t="shared" si="0"/>
        <v>13140</v>
      </c>
      <c r="K64" s="18">
        <f t="shared" si="1"/>
        <v>3285</v>
      </c>
    </row>
    <row r="65" spans="1:11" x14ac:dyDescent="0.3">
      <c r="A65" s="5" t="s">
        <v>150</v>
      </c>
      <c r="B65" s="6" t="s">
        <v>152</v>
      </c>
      <c r="C65" s="8" t="s">
        <v>105</v>
      </c>
      <c r="D65" s="18">
        <v>3285</v>
      </c>
      <c r="E65" s="6">
        <v>0</v>
      </c>
      <c r="F65" s="6">
        <v>0</v>
      </c>
      <c r="G65" s="6">
        <v>4</v>
      </c>
      <c r="H65" s="6">
        <v>0</v>
      </c>
      <c r="I65" s="6">
        <v>0</v>
      </c>
      <c r="J65" s="18">
        <f t="shared" si="0"/>
        <v>0</v>
      </c>
      <c r="K65" s="18">
        <f t="shared" si="1"/>
        <v>13140</v>
      </c>
    </row>
    <row r="66" spans="1:11" x14ac:dyDescent="0.3">
      <c r="A66" s="5" t="s">
        <v>155</v>
      </c>
      <c r="B66" s="6" t="s">
        <v>156</v>
      </c>
      <c r="C66" s="8" t="s">
        <v>105</v>
      </c>
      <c r="D66" s="18">
        <v>4386</v>
      </c>
      <c r="E66" s="6">
        <v>2</v>
      </c>
      <c r="F66" s="6">
        <v>3</v>
      </c>
      <c r="G66" s="6">
        <v>1</v>
      </c>
      <c r="H66" s="6">
        <v>0</v>
      </c>
      <c r="I66" s="6">
        <v>2</v>
      </c>
      <c r="J66" s="18">
        <f t="shared" si="0"/>
        <v>8772</v>
      </c>
      <c r="K66" s="18">
        <f t="shared" si="1"/>
        <v>4386</v>
      </c>
    </row>
    <row r="67" spans="1:11" x14ac:dyDescent="0.3">
      <c r="A67" s="5" t="s">
        <v>159</v>
      </c>
      <c r="B67" s="6" t="s">
        <v>160</v>
      </c>
      <c r="C67" s="8" t="s">
        <v>105</v>
      </c>
      <c r="D67" s="18">
        <v>0</v>
      </c>
      <c r="E67" s="6">
        <v>50</v>
      </c>
      <c r="F67" s="6">
        <v>83</v>
      </c>
      <c r="G67" s="6">
        <v>28</v>
      </c>
      <c r="H67" s="6">
        <v>24</v>
      </c>
      <c r="I67" s="6">
        <v>31</v>
      </c>
      <c r="J67" s="18">
        <f t="shared" ref="J67:J130" si="2">I67*D67</f>
        <v>0</v>
      </c>
      <c r="K67" s="18">
        <f t="shared" ref="K67:K130" si="3">(G67*D67)+(H67*D67)</f>
        <v>0</v>
      </c>
    </row>
    <row r="68" spans="1:11" x14ac:dyDescent="0.3">
      <c r="A68" s="5" t="s">
        <v>106</v>
      </c>
      <c r="B68" s="6" t="s">
        <v>107</v>
      </c>
      <c r="C68" s="8" t="s">
        <v>105</v>
      </c>
      <c r="D68" s="18">
        <v>794.72249999999997</v>
      </c>
      <c r="E68" s="6">
        <v>6</v>
      </c>
      <c r="F68" s="6">
        <v>10</v>
      </c>
      <c r="G68" s="6">
        <v>0</v>
      </c>
      <c r="H68" s="6">
        <v>0</v>
      </c>
      <c r="I68" s="6">
        <v>10</v>
      </c>
      <c r="J68" s="18">
        <f t="shared" si="2"/>
        <v>7947.2249999999995</v>
      </c>
      <c r="K68" s="18">
        <f t="shared" si="3"/>
        <v>0</v>
      </c>
    </row>
    <row r="69" spans="1:11" x14ac:dyDescent="0.3">
      <c r="A69" s="5" t="s">
        <v>110</v>
      </c>
      <c r="B69" s="6" t="s">
        <v>111</v>
      </c>
      <c r="C69" s="8" t="s">
        <v>105</v>
      </c>
      <c r="D69" s="18">
        <v>1061.5999999999999</v>
      </c>
      <c r="E69" s="6">
        <v>6</v>
      </c>
      <c r="F69" s="6">
        <v>10</v>
      </c>
      <c r="G69" s="6">
        <v>0</v>
      </c>
      <c r="H69" s="6">
        <v>0</v>
      </c>
      <c r="I69" s="6">
        <v>10</v>
      </c>
      <c r="J69" s="18">
        <f t="shared" si="2"/>
        <v>10616</v>
      </c>
      <c r="K69" s="18">
        <f t="shared" si="3"/>
        <v>0</v>
      </c>
    </row>
    <row r="70" spans="1:11" x14ac:dyDescent="0.3">
      <c r="A70" s="5" t="s">
        <v>114</v>
      </c>
      <c r="B70" s="6" t="s">
        <v>115</v>
      </c>
      <c r="C70" s="8" t="s">
        <v>105</v>
      </c>
      <c r="D70" s="18">
        <v>1120.3500000000001</v>
      </c>
      <c r="E70" s="6">
        <v>6</v>
      </c>
      <c r="F70" s="6">
        <v>10</v>
      </c>
      <c r="G70" s="6">
        <v>0</v>
      </c>
      <c r="H70" s="6">
        <v>0</v>
      </c>
      <c r="I70" s="6">
        <v>10</v>
      </c>
      <c r="J70" s="18">
        <f t="shared" si="2"/>
        <v>11203.500000000002</v>
      </c>
      <c r="K70" s="18">
        <f t="shared" si="3"/>
        <v>0</v>
      </c>
    </row>
    <row r="71" spans="1:11" x14ac:dyDescent="0.3">
      <c r="A71" s="5" t="s">
        <v>118</v>
      </c>
      <c r="B71" s="6" t="s">
        <v>119</v>
      </c>
      <c r="C71" s="8" t="s">
        <v>105</v>
      </c>
      <c r="D71" s="18">
        <v>1269.75</v>
      </c>
      <c r="E71" s="6">
        <v>3</v>
      </c>
      <c r="F71" s="6">
        <v>5</v>
      </c>
      <c r="G71" s="6">
        <v>0</v>
      </c>
      <c r="H71" s="6">
        <v>0</v>
      </c>
      <c r="I71" s="6">
        <v>5</v>
      </c>
      <c r="J71" s="18">
        <f t="shared" si="2"/>
        <v>6348.75</v>
      </c>
      <c r="K71" s="18">
        <f t="shared" si="3"/>
        <v>0</v>
      </c>
    </row>
    <row r="72" spans="1:11" x14ac:dyDescent="0.3">
      <c r="A72" s="5" t="s">
        <v>122</v>
      </c>
      <c r="B72" s="6" t="s">
        <v>123</v>
      </c>
      <c r="C72" s="8" t="s">
        <v>105</v>
      </c>
      <c r="D72" s="18">
        <v>1450.84</v>
      </c>
      <c r="E72" s="6">
        <v>5</v>
      </c>
      <c r="F72" s="6">
        <v>8</v>
      </c>
      <c r="G72" s="6">
        <v>0</v>
      </c>
      <c r="H72" s="6">
        <v>0</v>
      </c>
      <c r="I72" s="6">
        <v>8</v>
      </c>
      <c r="J72" s="18">
        <f t="shared" si="2"/>
        <v>11606.72</v>
      </c>
      <c r="K72" s="18">
        <f t="shared" si="3"/>
        <v>0</v>
      </c>
    </row>
    <row r="73" spans="1:11" x14ac:dyDescent="0.3">
      <c r="A73" s="5" t="s">
        <v>126</v>
      </c>
      <c r="B73" s="6" t="s">
        <v>127</v>
      </c>
      <c r="C73" s="8" t="s">
        <v>105</v>
      </c>
      <c r="D73" s="18">
        <v>1515.7239999999999</v>
      </c>
      <c r="E73" s="6">
        <v>5</v>
      </c>
      <c r="F73" s="6">
        <v>8</v>
      </c>
      <c r="G73" s="6">
        <v>0</v>
      </c>
      <c r="H73" s="6">
        <v>0</v>
      </c>
      <c r="I73" s="6">
        <v>8</v>
      </c>
      <c r="J73" s="18">
        <f t="shared" si="2"/>
        <v>12125.791999999999</v>
      </c>
      <c r="K73" s="18">
        <f t="shared" si="3"/>
        <v>0</v>
      </c>
    </row>
    <row r="74" spans="1:11" x14ac:dyDescent="0.3">
      <c r="A74" s="5" t="s">
        <v>130</v>
      </c>
      <c r="B74" s="6" t="s">
        <v>131</v>
      </c>
      <c r="C74" s="8" t="s">
        <v>105</v>
      </c>
      <c r="D74" s="18">
        <v>1688.4449999999999</v>
      </c>
      <c r="E74" s="6">
        <v>3</v>
      </c>
      <c r="F74" s="6">
        <v>5</v>
      </c>
      <c r="G74" s="6">
        <v>0</v>
      </c>
      <c r="H74" s="6">
        <v>0</v>
      </c>
      <c r="I74" s="6">
        <v>5</v>
      </c>
      <c r="J74" s="18">
        <f t="shared" si="2"/>
        <v>8442.2250000000004</v>
      </c>
      <c r="K74" s="18">
        <f t="shared" si="3"/>
        <v>0</v>
      </c>
    </row>
    <row r="75" spans="1:11" x14ac:dyDescent="0.3">
      <c r="A75" s="5" t="s">
        <v>134</v>
      </c>
      <c r="B75" s="6" t="s">
        <v>135</v>
      </c>
      <c r="C75" s="8" t="s">
        <v>105</v>
      </c>
      <c r="D75" s="18">
        <v>1987.1895</v>
      </c>
      <c r="E75" s="6">
        <v>3</v>
      </c>
      <c r="F75" s="6">
        <v>5</v>
      </c>
      <c r="G75" s="6">
        <v>0</v>
      </c>
      <c r="H75" s="6">
        <v>0</v>
      </c>
      <c r="I75" s="6">
        <v>5</v>
      </c>
      <c r="J75" s="18">
        <f t="shared" si="2"/>
        <v>9935.9475000000002</v>
      </c>
      <c r="K75" s="18">
        <f t="shared" si="3"/>
        <v>0</v>
      </c>
    </row>
    <row r="76" spans="1:11" x14ac:dyDescent="0.3">
      <c r="A76" s="5" t="s">
        <v>138</v>
      </c>
      <c r="B76" s="6" t="s">
        <v>139</v>
      </c>
      <c r="C76" s="8" t="s">
        <v>105</v>
      </c>
      <c r="D76" s="18">
        <v>1839.5650000000001</v>
      </c>
      <c r="E76" s="6">
        <v>3</v>
      </c>
      <c r="F76" s="6">
        <v>5</v>
      </c>
      <c r="G76" s="6">
        <v>0</v>
      </c>
      <c r="H76" s="6">
        <v>0</v>
      </c>
      <c r="I76" s="6">
        <v>5</v>
      </c>
      <c r="J76" s="18">
        <f t="shared" si="2"/>
        <v>9197.8250000000007</v>
      </c>
      <c r="K76" s="18">
        <f t="shared" si="3"/>
        <v>0</v>
      </c>
    </row>
    <row r="77" spans="1:11" x14ac:dyDescent="0.3">
      <c r="A77" s="5" t="s">
        <v>142</v>
      </c>
      <c r="B77" s="6" t="s">
        <v>143</v>
      </c>
      <c r="C77" s="8" t="s">
        <v>105</v>
      </c>
      <c r="D77" s="18">
        <v>2165.7215000000001</v>
      </c>
      <c r="E77" s="6">
        <v>3</v>
      </c>
      <c r="F77" s="6">
        <v>5</v>
      </c>
      <c r="G77" s="6">
        <v>0</v>
      </c>
      <c r="H77" s="6">
        <v>0</v>
      </c>
      <c r="I77" s="6">
        <v>5</v>
      </c>
      <c r="J77" s="18">
        <f t="shared" si="2"/>
        <v>10828.6075</v>
      </c>
      <c r="K77" s="18">
        <f t="shared" si="3"/>
        <v>0</v>
      </c>
    </row>
    <row r="78" spans="1:11" x14ac:dyDescent="0.3">
      <c r="A78" s="5" t="s">
        <v>146</v>
      </c>
      <c r="B78" s="6" t="s">
        <v>147</v>
      </c>
      <c r="C78" s="8" t="s">
        <v>105</v>
      </c>
      <c r="D78" s="18">
        <v>2458.1999999999998</v>
      </c>
      <c r="E78" s="6">
        <v>3</v>
      </c>
      <c r="F78" s="6">
        <v>5</v>
      </c>
      <c r="G78" s="6">
        <v>0</v>
      </c>
      <c r="H78" s="6">
        <v>0</v>
      </c>
      <c r="I78" s="6">
        <v>5</v>
      </c>
      <c r="J78" s="18">
        <f t="shared" si="2"/>
        <v>12291</v>
      </c>
      <c r="K78" s="18">
        <f t="shared" si="3"/>
        <v>0</v>
      </c>
    </row>
    <row r="79" spans="1:11" x14ac:dyDescent="0.3">
      <c r="A79" s="5" t="s">
        <v>153</v>
      </c>
      <c r="B79" s="6" t="s">
        <v>154</v>
      </c>
      <c r="C79" s="8" t="s">
        <v>105</v>
      </c>
      <c r="D79" s="18">
        <v>2890.3199999999997</v>
      </c>
      <c r="E79" s="6">
        <v>3</v>
      </c>
      <c r="F79" s="6">
        <v>5</v>
      </c>
      <c r="G79" s="6">
        <v>0</v>
      </c>
      <c r="H79" s="6">
        <v>0</v>
      </c>
      <c r="I79" s="6">
        <v>5</v>
      </c>
      <c r="J79" s="18">
        <f t="shared" si="2"/>
        <v>14451.599999999999</v>
      </c>
      <c r="K79" s="18">
        <f t="shared" si="3"/>
        <v>0</v>
      </c>
    </row>
    <row r="80" spans="1:11" x14ac:dyDescent="0.3">
      <c r="A80" s="5" t="s">
        <v>150</v>
      </c>
      <c r="B80" s="6" t="s">
        <v>151</v>
      </c>
      <c r="C80" s="8" t="s">
        <v>105</v>
      </c>
      <c r="D80" s="18">
        <v>2890.3199999999997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18">
        <f t="shared" si="2"/>
        <v>0</v>
      </c>
      <c r="K80" s="18">
        <f t="shared" si="3"/>
        <v>0</v>
      </c>
    </row>
    <row r="81" spans="1:11" x14ac:dyDescent="0.3">
      <c r="A81" s="5" t="s">
        <v>157</v>
      </c>
      <c r="B81" s="6" t="s">
        <v>158</v>
      </c>
      <c r="C81" s="8" t="s">
        <v>105</v>
      </c>
      <c r="D81" s="18">
        <v>3357.35</v>
      </c>
      <c r="E81" s="6">
        <v>2</v>
      </c>
      <c r="F81" s="6">
        <v>3</v>
      </c>
      <c r="G81" s="6">
        <v>0</v>
      </c>
      <c r="H81" s="6">
        <v>0</v>
      </c>
      <c r="I81" s="6">
        <v>3</v>
      </c>
      <c r="J81" s="18">
        <f t="shared" si="2"/>
        <v>10072.049999999999</v>
      </c>
      <c r="K81" s="18">
        <f t="shared" si="3"/>
        <v>0</v>
      </c>
    </row>
    <row r="82" spans="1:11" x14ac:dyDescent="0.3">
      <c r="A82" s="5" t="s">
        <v>161</v>
      </c>
      <c r="B82" s="6" t="s">
        <v>162</v>
      </c>
      <c r="C82" s="8" t="s">
        <v>163</v>
      </c>
      <c r="D82" s="18">
        <v>80</v>
      </c>
      <c r="E82" s="6">
        <v>36</v>
      </c>
      <c r="F82" s="6">
        <v>60</v>
      </c>
      <c r="G82" s="6">
        <v>34</v>
      </c>
      <c r="H82" s="6">
        <v>0</v>
      </c>
      <c r="I82" s="6">
        <v>26</v>
      </c>
      <c r="J82" s="18">
        <f t="shared" si="2"/>
        <v>2080</v>
      </c>
      <c r="K82" s="18">
        <f t="shared" si="3"/>
        <v>2720</v>
      </c>
    </row>
    <row r="83" spans="1:11" x14ac:dyDescent="0.3">
      <c r="A83" s="5" t="s">
        <v>166</v>
      </c>
      <c r="B83" s="6" t="s">
        <v>167</v>
      </c>
      <c r="C83" s="8" t="s">
        <v>163</v>
      </c>
      <c r="D83" s="18">
        <v>85</v>
      </c>
      <c r="E83" s="6">
        <v>12</v>
      </c>
      <c r="F83" s="6">
        <v>20</v>
      </c>
      <c r="G83" s="6">
        <v>40</v>
      </c>
      <c r="H83" s="6">
        <v>0</v>
      </c>
      <c r="I83" s="6">
        <v>0</v>
      </c>
      <c r="J83" s="18">
        <f t="shared" si="2"/>
        <v>0</v>
      </c>
      <c r="K83" s="18">
        <f t="shared" si="3"/>
        <v>3400</v>
      </c>
    </row>
    <row r="84" spans="1:11" x14ac:dyDescent="0.3">
      <c r="A84" s="5" t="s">
        <v>170</v>
      </c>
      <c r="B84" s="6" t="s">
        <v>171</v>
      </c>
      <c r="C84" s="8" t="s">
        <v>163</v>
      </c>
      <c r="D84" s="18">
        <v>100</v>
      </c>
      <c r="E84" s="6">
        <v>24</v>
      </c>
      <c r="F84" s="6">
        <v>40</v>
      </c>
      <c r="G84" s="6">
        <v>20</v>
      </c>
      <c r="H84" s="6">
        <v>0</v>
      </c>
      <c r="I84" s="6">
        <v>20</v>
      </c>
      <c r="J84" s="18">
        <f t="shared" si="2"/>
        <v>2000</v>
      </c>
      <c r="K84" s="18">
        <f t="shared" si="3"/>
        <v>2000</v>
      </c>
    </row>
    <row r="85" spans="1:11" x14ac:dyDescent="0.3">
      <c r="A85" s="5" t="s">
        <v>176</v>
      </c>
      <c r="B85" s="6" t="s">
        <v>177</v>
      </c>
      <c r="C85" s="8" t="s">
        <v>163</v>
      </c>
      <c r="D85" s="18">
        <v>108</v>
      </c>
      <c r="E85" s="6">
        <v>15</v>
      </c>
      <c r="F85" s="6">
        <v>25</v>
      </c>
      <c r="G85" s="6">
        <v>23</v>
      </c>
      <c r="H85" s="6">
        <v>0</v>
      </c>
      <c r="I85" s="6">
        <v>0</v>
      </c>
      <c r="J85" s="18">
        <f t="shared" si="2"/>
        <v>0</v>
      </c>
      <c r="K85" s="18">
        <f t="shared" si="3"/>
        <v>2484</v>
      </c>
    </row>
    <row r="86" spans="1:11" x14ac:dyDescent="0.3">
      <c r="A86" s="5" t="s">
        <v>180</v>
      </c>
      <c r="B86" s="6" t="s">
        <v>181</v>
      </c>
      <c r="C86" s="8" t="s">
        <v>163</v>
      </c>
      <c r="D86" s="18">
        <v>114</v>
      </c>
      <c r="E86" s="6">
        <v>18</v>
      </c>
      <c r="F86" s="6">
        <v>30</v>
      </c>
      <c r="G86" s="6">
        <v>13</v>
      </c>
      <c r="H86" s="6">
        <v>0</v>
      </c>
      <c r="I86" s="6">
        <v>17</v>
      </c>
      <c r="J86" s="18">
        <f t="shared" si="2"/>
        <v>1938</v>
      </c>
      <c r="K86" s="18">
        <f t="shared" si="3"/>
        <v>1482</v>
      </c>
    </row>
    <row r="87" spans="1:11" x14ac:dyDescent="0.3">
      <c r="A87" s="5" t="s">
        <v>184</v>
      </c>
      <c r="B87" s="6" t="s">
        <v>185</v>
      </c>
      <c r="C87" s="8" t="s">
        <v>163</v>
      </c>
      <c r="D87" s="18">
        <v>128</v>
      </c>
      <c r="E87" s="6">
        <v>9</v>
      </c>
      <c r="F87" s="6">
        <v>15</v>
      </c>
      <c r="G87" s="6">
        <v>30</v>
      </c>
      <c r="H87" s="6">
        <v>0</v>
      </c>
      <c r="I87" s="6">
        <v>0</v>
      </c>
      <c r="J87" s="18">
        <f t="shared" si="2"/>
        <v>0</v>
      </c>
      <c r="K87" s="18">
        <f t="shared" si="3"/>
        <v>3840</v>
      </c>
    </row>
    <row r="88" spans="1:11" x14ac:dyDescent="0.3">
      <c r="A88" s="5" t="s">
        <v>188</v>
      </c>
      <c r="B88" s="6" t="s">
        <v>189</v>
      </c>
      <c r="C88" s="8" t="s">
        <v>163</v>
      </c>
      <c r="D88" s="18">
        <v>165.5</v>
      </c>
      <c r="E88" s="6">
        <v>6</v>
      </c>
      <c r="F88" s="6">
        <v>10</v>
      </c>
      <c r="G88" s="6">
        <v>17</v>
      </c>
      <c r="H88" s="6">
        <v>0</v>
      </c>
      <c r="I88" s="6">
        <v>0</v>
      </c>
      <c r="J88" s="18">
        <f t="shared" si="2"/>
        <v>0</v>
      </c>
      <c r="K88" s="18">
        <f t="shared" si="3"/>
        <v>2813.5</v>
      </c>
    </row>
    <row r="89" spans="1:11" x14ac:dyDescent="0.3">
      <c r="A89" s="5" t="s">
        <v>192</v>
      </c>
      <c r="B89" s="6" t="s">
        <v>193</v>
      </c>
      <c r="C89" s="8" t="s">
        <v>163</v>
      </c>
      <c r="D89" s="18">
        <v>403.65000000000003</v>
      </c>
      <c r="E89" s="6">
        <v>3</v>
      </c>
      <c r="F89" s="6">
        <v>5</v>
      </c>
      <c r="G89" s="6">
        <v>2</v>
      </c>
      <c r="H89" s="6">
        <v>0</v>
      </c>
      <c r="I89" s="6">
        <v>3</v>
      </c>
      <c r="J89" s="18">
        <f t="shared" si="2"/>
        <v>1210.95</v>
      </c>
      <c r="K89" s="18">
        <f t="shared" si="3"/>
        <v>807.30000000000007</v>
      </c>
    </row>
    <row r="90" spans="1:11" x14ac:dyDescent="0.3">
      <c r="A90" s="5" t="s">
        <v>164</v>
      </c>
      <c r="B90" s="6" t="s">
        <v>165</v>
      </c>
      <c r="C90" s="8" t="s">
        <v>163</v>
      </c>
      <c r="D90" s="18">
        <v>80</v>
      </c>
      <c r="E90" s="6">
        <v>36</v>
      </c>
      <c r="F90" s="6">
        <v>60</v>
      </c>
      <c r="G90" s="6">
        <v>64</v>
      </c>
      <c r="H90" s="6">
        <v>0</v>
      </c>
      <c r="I90" s="6">
        <v>0</v>
      </c>
      <c r="J90" s="18">
        <f t="shared" si="2"/>
        <v>0</v>
      </c>
      <c r="K90" s="18">
        <f t="shared" si="3"/>
        <v>5120</v>
      </c>
    </row>
    <row r="91" spans="1:11" x14ac:dyDescent="0.3">
      <c r="A91" s="5" t="s">
        <v>168</v>
      </c>
      <c r="B91" s="6" t="s">
        <v>169</v>
      </c>
      <c r="C91" s="8" t="s">
        <v>163</v>
      </c>
      <c r="D91" s="18">
        <v>85</v>
      </c>
      <c r="E91" s="6">
        <v>12</v>
      </c>
      <c r="F91" s="6">
        <v>20</v>
      </c>
      <c r="G91" s="6">
        <v>86</v>
      </c>
      <c r="H91" s="6">
        <v>0</v>
      </c>
      <c r="I91" s="6">
        <v>0</v>
      </c>
      <c r="J91" s="18">
        <f t="shared" si="2"/>
        <v>0</v>
      </c>
      <c r="K91" s="18">
        <f t="shared" si="3"/>
        <v>7310</v>
      </c>
    </row>
    <row r="92" spans="1:11" x14ac:dyDescent="0.3">
      <c r="A92" s="5" t="s">
        <v>172</v>
      </c>
      <c r="B92" s="6" t="s">
        <v>173</v>
      </c>
      <c r="C92" s="8" t="s">
        <v>163</v>
      </c>
      <c r="D92" s="18">
        <v>100</v>
      </c>
      <c r="E92" s="6">
        <v>24</v>
      </c>
      <c r="F92" s="6">
        <v>40</v>
      </c>
      <c r="G92" s="6">
        <v>33</v>
      </c>
      <c r="H92" s="6">
        <v>0</v>
      </c>
      <c r="I92" s="6">
        <v>0</v>
      </c>
      <c r="J92" s="18">
        <f t="shared" si="2"/>
        <v>0</v>
      </c>
      <c r="K92" s="18">
        <f t="shared" si="3"/>
        <v>3300</v>
      </c>
    </row>
    <row r="93" spans="1:11" x14ac:dyDescent="0.3">
      <c r="A93" s="5" t="s">
        <v>174</v>
      </c>
      <c r="B93" s="6" t="s">
        <v>175</v>
      </c>
      <c r="C93" s="8" t="s">
        <v>163</v>
      </c>
      <c r="D93" s="18">
        <v>108</v>
      </c>
      <c r="E93" s="6">
        <v>0</v>
      </c>
      <c r="F93" s="6">
        <v>0</v>
      </c>
      <c r="G93" s="6">
        <v>4</v>
      </c>
      <c r="H93" s="6">
        <v>0</v>
      </c>
      <c r="I93" s="6">
        <v>0</v>
      </c>
      <c r="J93" s="18">
        <f t="shared" si="2"/>
        <v>0</v>
      </c>
      <c r="K93" s="18">
        <f t="shared" si="3"/>
        <v>432</v>
      </c>
    </row>
    <row r="94" spans="1:11" x14ac:dyDescent="0.3">
      <c r="A94" s="5" t="s">
        <v>178</v>
      </c>
      <c r="B94" s="6" t="s">
        <v>179</v>
      </c>
      <c r="C94" s="8" t="s">
        <v>163</v>
      </c>
      <c r="D94" s="18">
        <v>108</v>
      </c>
      <c r="E94" s="6">
        <v>15</v>
      </c>
      <c r="F94" s="6">
        <v>25</v>
      </c>
      <c r="G94" s="6">
        <v>20</v>
      </c>
      <c r="H94" s="6">
        <v>0</v>
      </c>
      <c r="I94" s="6">
        <v>0</v>
      </c>
      <c r="J94" s="18">
        <f t="shared" si="2"/>
        <v>0</v>
      </c>
      <c r="K94" s="18">
        <f t="shared" si="3"/>
        <v>2160</v>
      </c>
    </row>
    <row r="95" spans="1:11" x14ac:dyDescent="0.3">
      <c r="A95" s="5" t="s">
        <v>182</v>
      </c>
      <c r="B95" s="6" t="s">
        <v>183</v>
      </c>
      <c r="C95" s="8" t="s">
        <v>163</v>
      </c>
      <c r="D95" s="18">
        <v>114</v>
      </c>
      <c r="E95" s="6">
        <v>18</v>
      </c>
      <c r="F95" s="6">
        <v>30</v>
      </c>
      <c r="G95" s="6">
        <v>37</v>
      </c>
      <c r="H95" s="6">
        <v>0</v>
      </c>
      <c r="I95" s="6">
        <v>0</v>
      </c>
      <c r="J95" s="18">
        <f t="shared" si="2"/>
        <v>0</v>
      </c>
      <c r="K95" s="18">
        <f t="shared" si="3"/>
        <v>4218</v>
      </c>
    </row>
    <row r="96" spans="1:11" x14ac:dyDescent="0.3">
      <c r="A96" s="5" t="s">
        <v>186</v>
      </c>
      <c r="B96" s="6" t="s">
        <v>187</v>
      </c>
      <c r="C96" s="8" t="s">
        <v>163</v>
      </c>
      <c r="D96" s="18">
        <v>128</v>
      </c>
      <c r="E96" s="6">
        <v>9</v>
      </c>
      <c r="F96" s="6">
        <v>15</v>
      </c>
      <c r="G96" s="6">
        <v>27</v>
      </c>
      <c r="H96" s="6">
        <v>0</v>
      </c>
      <c r="I96" s="6">
        <v>0</v>
      </c>
      <c r="J96" s="18">
        <f t="shared" si="2"/>
        <v>0</v>
      </c>
      <c r="K96" s="18">
        <f t="shared" si="3"/>
        <v>3456</v>
      </c>
    </row>
    <row r="97" spans="1:11" x14ac:dyDescent="0.3">
      <c r="A97" s="5" t="s">
        <v>190</v>
      </c>
      <c r="B97" s="6" t="s">
        <v>191</v>
      </c>
      <c r="C97" s="8" t="s">
        <v>163</v>
      </c>
      <c r="D97" s="18">
        <v>165.5</v>
      </c>
      <c r="E97" s="6">
        <v>6</v>
      </c>
      <c r="F97" s="6">
        <v>10</v>
      </c>
      <c r="G97" s="6">
        <v>36</v>
      </c>
      <c r="H97" s="6">
        <v>0</v>
      </c>
      <c r="I97" s="6">
        <v>0</v>
      </c>
      <c r="J97" s="18">
        <f t="shared" si="2"/>
        <v>0</v>
      </c>
      <c r="K97" s="18">
        <f t="shared" si="3"/>
        <v>5958</v>
      </c>
    </row>
    <row r="98" spans="1:11" x14ac:dyDescent="0.3">
      <c r="A98" s="5" t="s">
        <v>194</v>
      </c>
      <c r="B98" s="6" t="s">
        <v>195</v>
      </c>
      <c r="C98" s="8" t="s">
        <v>196</v>
      </c>
      <c r="D98" s="18">
        <v>44.29</v>
      </c>
      <c r="E98" s="6">
        <v>113</v>
      </c>
      <c r="F98" s="6">
        <v>188</v>
      </c>
      <c r="G98" s="6">
        <v>104</v>
      </c>
      <c r="H98" s="6">
        <v>0</v>
      </c>
      <c r="I98" s="6">
        <v>84</v>
      </c>
      <c r="J98" s="18">
        <f t="shared" si="2"/>
        <v>3720.36</v>
      </c>
      <c r="K98" s="18">
        <f t="shared" si="3"/>
        <v>4606.16</v>
      </c>
    </row>
    <row r="99" spans="1:11" x14ac:dyDescent="0.3">
      <c r="A99" s="5" t="s">
        <v>197</v>
      </c>
      <c r="B99" s="6" t="s">
        <v>198</v>
      </c>
      <c r="C99" s="8" t="s">
        <v>196</v>
      </c>
      <c r="D99" s="18">
        <v>58.37</v>
      </c>
      <c r="E99" s="6">
        <v>98</v>
      </c>
      <c r="F99" s="6">
        <v>163</v>
      </c>
      <c r="G99" s="6">
        <v>32</v>
      </c>
      <c r="H99" s="6">
        <v>0</v>
      </c>
      <c r="I99" s="6">
        <v>131</v>
      </c>
      <c r="J99" s="18">
        <f t="shared" si="2"/>
        <v>7646.4699999999993</v>
      </c>
      <c r="K99" s="18">
        <f t="shared" si="3"/>
        <v>1867.84</v>
      </c>
    </row>
    <row r="100" spans="1:11" x14ac:dyDescent="0.3">
      <c r="A100" s="5" t="s">
        <v>199</v>
      </c>
      <c r="B100" s="6" t="s">
        <v>200</v>
      </c>
      <c r="C100" s="8" t="s">
        <v>201</v>
      </c>
      <c r="D100" s="18">
        <v>235</v>
      </c>
      <c r="E100" s="6">
        <v>30</v>
      </c>
      <c r="F100" s="6">
        <v>50</v>
      </c>
      <c r="G100" s="6">
        <v>35</v>
      </c>
      <c r="H100" s="6">
        <v>0</v>
      </c>
      <c r="I100" s="6">
        <v>0</v>
      </c>
      <c r="J100" s="18">
        <f t="shared" si="2"/>
        <v>0</v>
      </c>
      <c r="K100" s="18">
        <f t="shared" si="3"/>
        <v>8225</v>
      </c>
    </row>
    <row r="101" spans="1:11" x14ac:dyDescent="0.3">
      <c r="A101" s="5" t="s">
        <v>202</v>
      </c>
      <c r="B101" s="6" t="s">
        <v>203</v>
      </c>
      <c r="C101" s="8" t="s">
        <v>201</v>
      </c>
      <c r="D101" s="18">
        <v>270</v>
      </c>
      <c r="E101" s="6">
        <v>15</v>
      </c>
      <c r="F101" s="6">
        <v>25</v>
      </c>
      <c r="G101" s="6">
        <v>4</v>
      </c>
      <c r="H101" s="6">
        <v>0</v>
      </c>
      <c r="I101" s="6">
        <v>21</v>
      </c>
      <c r="J101" s="18">
        <f t="shared" si="2"/>
        <v>5670</v>
      </c>
      <c r="K101" s="18">
        <f t="shared" si="3"/>
        <v>1080</v>
      </c>
    </row>
    <row r="102" spans="1:11" x14ac:dyDescent="0.3">
      <c r="A102" s="5" t="s">
        <v>204</v>
      </c>
      <c r="B102" s="6" t="s">
        <v>205</v>
      </c>
      <c r="C102" s="8" t="s">
        <v>201</v>
      </c>
      <c r="D102" s="18">
        <v>270</v>
      </c>
      <c r="E102" s="6">
        <v>9</v>
      </c>
      <c r="F102" s="6">
        <v>15</v>
      </c>
      <c r="G102" s="6">
        <v>10</v>
      </c>
      <c r="H102" s="6">
        <v>0</v>
      </c>
      <c r="I102" s="6">
        <v>0</v>
      </c>
      <c r="J102" s="18">
        <f t="shared" si="2"/>
        <v>0</v>
      </c>
      <c r="K102" s="18">
        <f t="shared" si="3"/>
        <v>2700</v>
      </c>
    </row>
    <row r="103" spans="1:11" x14ac:dyDescent="0.3">
      <c r="A103" s="5" t="s">
        <v>206</v>
      </c>
      <c r="B103" s="6" t="s">
        <v>207</v>
      </c>
      <c r="C103" s="8" t="s">
        <v>201</v>
      </c>
      <c r="D103" s="18">
        <v>270</v>
      </c>
      <c r="E103" s="6">
        <v>9</v>
      </c>
      <c r="F103" s="6">
        <v>15</v>
      </c>
      <c r="G103" s="6">
        <v>10</v>
      </c>
      <c r="H103" s="6">
        <v>0</v>
      </c>
      <c r="I103" s="6">
        <v>0</v>
      </c>
      <c r="J103" s="18">
        <f t="shared" si="2"/>
        <v>0</v>
      </c>
      <c r="K103" s="18">
        <f t="shared" si="3"/>
        <v>2700</v>
      </c>
    </row>
    <row r="104" spans="1:11" x14ac:dyDescent="0.3">
      <c r="A104" s="5" t="s">
        <v>208</v>
      </c>
      <c r="B104" s="6" t="s">
        <v>209</v>
      </c>
      <c r="C104" s="8" t="s">
        <v>201</v>
      </c>
      <c r="D104" s="18">
        <v>270</v>
      </c>
      <c r="E104" s="6">
        <v>9</v>
      </c>
      <c r="F104" s="6">
        <v>15</v>
      </c>
      <c r="G104" s="6">
        <v>17</v>
      </c>
      <c r="H104" s="6">
        <v>0</v>
      </c>
      <c r="I104" s="6">
        <v>0</v>
      </c>
      <c r="J104" s="18">
        <f t="shared" si="2"/>
        <v>0</v>
      </c>
      <c r="K104" s="18">
        <f t="shared" si="3"/>
        <v>4590</v>
      </c>
    </row>
    <row r="105" spans="1:11" x14ac:dyDescent="0.3">
      <c r="A105" s="5" t="s">
        <v>210</v>
      </c>
      <c r="B105" s="6" t="s">
        <v>211</v>
      </c>
      <c r="C105" s="8" t="s">
        <v>201</v>
      </c>
      <c r="D105" s="18">
        <v>297</v>
      </c>
      <c r="E105" s="6">
        <v>6</v>
      </c>
      <c r="F105" s="6">
        <v>10</v>
      </c>
      <c r="G105" s="6">
        <v>30</v>
      </c>
      <c r="H105" s="6">
        <v>0</v>
      </c>
      <c r="I105" s="6">
        <v>0</v>
      </c>
      <c r="J105" s="18">
        <f t="shared" si="2"/>
        <v>0</v>
      </c>
      <c r="K105" s="18">
        <f t="shared" si="3"/>
        <v>8910</v>
      </c>
    </row>
    <row r="106" spans="1:11" x14ac:dyDescent="0.3">
      <c r="A106" s="5" t="s">
        <v>212</v>
      </c>
      <c r="B106" s="6" t="s">
        <v>213</v>
      </c>
      <c r="C106" s="8" t="s">
        <v>201</v>
      </c>
      <c r="D106" s="18">
        <v>384</v>
      </c>
      <c r="E106" s="6">
        <v>0</v>
      </c>
      <c r="F106" s="6">
        <v>1</v>
      </c>
      <c r="G106" s="6">
        <v>0</v>
      </c>
      <c r="H106" s="6">
        <v>0</v>
      </c>
      <c r="I106" s="6">
        <v>1</v>
      </c>
      <c r="J106" s="18">
        <f t="shared" si="2"/>
        <v>384</v>
      </c>
      <c r="K106" s="18">
        <f t="shared" si="3"/>
        <v>0</v>
      </c>
    </row>
    <row r="107" spans="1:11" x14ac:dyDescent="0.3">
      <c r="A107" s="5" t="s">
        <v>214</v>
      </c>
      <c r="B107" s="6" t="s">
        <v>215</v>
      </c>
      <c r="C107" s="8" t="s">
        <v>201</v>
      </c>
      <c r="D107" s="18">
        <v>384</v>
      </c>
      <c r="E107" s="6">
        <v>3</v>
      </c>
      <c r="F107" s="6">
        <v>5</v>
      </c>
      <c r="G107" s="6">
        <v>17</v>
      </c>
      <c r="H107" s="6">
        <v>0</v>
      </c>
      <c r="I107" s="6">
        <v>0</v>
      </c>
      <c r="J107" s="18">
        <f t="shared" si="2"/>
        <v>0</v>
      </c>
      <c r="K107" s="18">
        <f t="shared" si="3"/>
        <v>6528</v>
      </c>
    </row>
    <row r="108" spans="1:11" x14ac:dyDescent="0.3">
      <c r="A108" s="5" t="s">
        <v>216</v>
      </c>
      <c r="B108" s="6" t="s">
        <v>217</v>
      </c>
      <c r="C108" s="8" t="s">
        <v>201</v>
      </c>
      <c r="D108" s="18">
        <v>384</v>
      </c>
      <c r="E108" s="6">
        <v>2</v>
      </c>
      <c r="F108" s="6">
        <v>3</v>
      </c>
      <c r="G108" s="6">
        <v>7</v>
      </c>
      <c r="H108" s="6">
        <v>0</v>
      </c>
      <c r="I108" s="6">
        <v>0</v>
      </c>
      <c r="J108" s="18">
        <f t="shared" si="2"/>
        <v>0</v>
      </c>
      <c r="K108" s="18">
        <f t="shared" si="3"/>
        <v>2688</v>
      </c>
    </row>
    <row r="109" spans="1:11" x14ac:dyDescent="0.3">
      <c r="A109" s="5" t="s">
        <v>218</v>
      </c>
      <c r="B109" s="6" t="s">
        <v>219</v>
      </c>
      <c r="C109" s="8" t="s">
        <v>201</v>
      </c>
      <c r="D109" s="18">
        <v>384</v>
      </c>
      <c r="E109" s="6">
        <v>0</v>
      </c>
      <c r="F109" s="6">
        <v>1</v>
      </c>
      <c r="G109" s="6">
        <v>0</v>
      </c>
      <c r="H109" s="6">
        <v>0</v>
      </c>
      <c r="I109" s="6">
        <v>1</v>
      </c>
      <c r="J109" s="18">
        <f t="shared" si="2"/>
        <v>384</v>
      </c>
      <c r="K109" s="18">
        <f t="shared" si="3"/>
        <v>0</v>
      </c>
    </row>
    <row r="110" spans="1:11" x14ac:dyDescent="0.3">
      <c r="A110" s="5" t="s">
        <v>220</v>
      </c>
      <c r="B110" s="6" t="s">
        <v>221</v>
      </c>
      <c r="C110" s="8" t="s">
        <v>201</v>
      </c>
      <c r="D110" s="18">
        <v>384</v>
      </c>
      <c r="E110" s="6">
        <v>0</v>
      </c>
      <c r="F110" s="6">
        <v>1</v>
      </c>
      <c r="G110" s="6">
        <v>6</v>
      </c>
      <c r="H110" s="6">
        <v>0</v>
      </c>
      <c r="I110" s="6">
        <v>0</v>
      </c>
      <c r="J110" s="18">
        <f t="shared" si="2"/>
        <v>0</v>
      </c>
      <c r="K110" s="18">
        <f t="shared" si="3"/>
        <v>2304</v>
      </c>
    </row>
    <row r="111" spans="1:11" x14ac:dyDescent="0.3">
      <c r="A111" s="5" t="s">
        <v>222</v>
      </c>
      <c r="B111" s="6" t="s">
        <v>223</v>
      </c>
      <c r="C111" s="8" t="s">
        <v>201</v>
      </c>
      <c r="D111" s="18">
        <v>85</v>
      </c>
      <c r="E111" s="6">
        <v>135</v>
      </c>
      <c r="F111" s="6">
        <v>225</v>
      </c>
      <c r="G111" s="6">
        <v>122</v>
      </c>
      <c r="H111" s="6">
        <v>0</v>
      </c>
      <c r="I111" s="6">
        <v>103</v>
      </c>
      <c r="J111" s="18">
        <f t="shared" si="2"/>
        <v>8755</v>
      </c>
      <c r="K111" s="18">
        <f t="shared" si="3"/>
        <v>10370</v>
      </c>
    </row>
    <row r="112" spans="1:11" x14ac:dyDescent="0.3">
      <c r="A112" s="5" t="s">
        <v>224</v>
      </c>
      <c r="B112" s="6" t="s">
        <v>225</v>
      </c>
      <c r="C112" s="8" t="s">
        <v>201</v>
      </c>
      <c r="D112" s="18">
        <v>11</v>
      </c>
      <c r="E112" s="6">
        <v>24</v>
      </c>
      <c r="F112" s="6">
        <v>40</v>
      </c>
      <c r="G112" s="6">
        <v>68</v>
      </c>
      <c r="H112" s="6">
        <v>0</v>
      </c>
      <c r="I112" s="6">
        <v>0</v>
      </c>
      <c r="J112" s="18">
        <f t="shared" si="2"/>
        <v>0</v>
      </c>
      <c r="K112" s="18">
        <f t="shared" si="3"/>
        <v>748</v>
      </c>
    </row>
    <row r="113" spans="1:11" x14ac:dyDescent="0.3">
      <c r="A113" s="5" t="s">
        <v>226</v>
      </c>
      <c r="B113" s="6" t="s">
        <v>227</v>
      </c>
      <c r="C113" s="8" t="s">
        <v>201</v>
      </c>
      <c r="D113" s="18">
        <v>4.5999999999999996</v>
      </c>
      <c r="E113" s="6">
        <v>45</v>
      </c>
      <c r="F113" s="6">
        <v>75</v>
      </c>
      <c r="G113" s="6">
        <v>54</v>
      </c>
      <c r="H113" s="6">
        <v>0</v>
      </c>
      <c r="I113" s="6">
        <v>0</v>
      </c>
      <c r="J113" s="18">
        <f t="shared" si="2"/>
        <v>0</v>
      </c>
      <c r="K113" s="18">
        <f t="shared" si="3"/>
        <v>248.39999999999998</v>
      </c>
    </row>
    <row r="114" spans="1:11" x14ac:dyDescent="0.3">
      <c r="A114" s="5" t="s">
        <v>228</v>
      </c>
      <c r="B114" s="6" t="s">
        <v>229</v>
      </c>
      <c r="C114" s="8" t="s">
        <v>201</v>
      </c>
      <c r="D114" s="18">
        <v>4.8499999999999996</v>
      </c>
      <c r="E114" s="6">
        <v>30</v>
      </c>
      <c r="F114" s="6">
        <v>50</v>
      </c>
      <c r="G114" s="6">
        <v>92</v>
      </c>
      <c r="H114" s="6">
        <v>0</v>
      </c>
      <c r="I114" s="6">
        <v>0</v>
      </c>
      <c r="J114" s="18">
        <f t="shared" si="2"/>
        <v>0</v>
      </c>
      <c r="K114" s="18">
        <f t="shared" si="3"/>
        <v>446.2</v>
      </c>
    </row>
    <row r="115" spans="1:11" x14ac:dyDescent="0.3">
      <c r="A115" s="5" t="s">
        <v>230</v>
      </c>
      <c r="B115" s="6" t="s">
        <v>231</v>
      </c>
      <c r="C115" s="8" t="s">
        <v>201</v>
      </c>
      <c r="D115" s="18">
        <v>42</v>
      </c>
      <c r="E115" s="6">
        <v>90</v>
      </c>
      <c r="F115" s="6">
        <v>150</v>
      </c>
      <c r="G115" s="6">
        <v>127</v>
      </c>
      <c r="H115" s="6">
        <v>0</v>
      </c>
      <c r="I115" s="6">
        <v>0</v>
      </c>
      <c r="J115" s="18">
        <f t="shared" si="2"/>
        <v>0</v>
      </c>
      <c r="K115" s="18">
        <f t="shared" si="3"/>
        <v>5334</v>
      </c>
    </row>
    <row r="116" spans="1:11" x14ac:dyDescent="0.3">
      <c r="A116" s="5" t="s">
        <v>232</v>
      </c>
      <c r="B116" s="6" t="s">
        <v>233</v>
      </c>
      <c r="C116" s="8" t="s">
        <v>201</v>
      </c>
      <c r="D116" s="18">
        <v>11</v>
      </c>
      <c r="E116" s="6">
        <v>24</v>
      </c>
      <c r="F116" s="6">
        <v>40</v>
      </c>
      <c r="G116" s="6">
        <v>92</v>
      </c>
      <c r="H116" s="6">
        <v>0</v>
      </c>
      <c r="I116" s="6">
        <v>0</v>
      </c>
      <c r="J116" s="18">
        <f t="shared" si="2"/>
        <v>0</v>
      </c>
      <c r="K116" s="18">
        <f t="shared" si="3"/>
        <v>1012</v>
      </c>
    </row>
    <row r="117" spans="1:11" x14ac:dyDescent="0.3">
      <c r="A117" s="5" t="s">
        <v>239</v>
      </c>
      <c r="B117" s="6" t="s">
        <v>240</v>
      </c>
      <c r="C117" s="8" t="s">
        <v>236</v>
      </c>
      <c r="D117" s="18">
        <v>141.608115942029</v>
      </c>
      <c r="E117" s="6">
        <v>5</v>
      </c>
      <c r="F117" s="6">
        <v>8</v>
      </c>
      <c r="G117" s="6">
        <v>18</v>
      </c>
      <c r="H117" s="6">
        <v>0</v>
      </c>
      <c r="I117" s="6">
        <v>0</v>
      </c>
      <c r="J117" s="18">
        <f t="shared" si="2"/>
        <v>0</v>
      </c>
      <c r="K117" s="18">
        <f t="shared" si="3"/>
        <v>2548.9460869565219</v>
      </c>
    </row>
    <row r="118" spans="1:11" x14ac:dyDescent="0.3">
      <c r="A118" s="5" t="s">
        <v>243</v>
      </c>
      <c r="B118" s="6" t="s">
        <v>244</v>
      </c>
      <c r="C118" s="8" t="s">
        <v>236</v>
      </c>
      <c r="D118" s="18">
        <v>144.44811594202901</v>
      </c>
      <c r="E118" s="6">
        <v>5</v>
      </c>
      <c r="F118" s="6">
        <v>8</v>
      </c>
      <c r="G118" s="6">
        <v>17</v>
      </c>
      <c r="H118" s="6">
        <v>0</v>
      </c>
      <c r="I118" s="6">
        <v>0</v>
      </c>
      <c r="J118" s="18">
        <f t="shared" si="2"/>
        <v>0</v>
      </c>
      <c r="K118" s="18">
        <f t="shared" si="3"/>
        <v>2455.6179710144929</v>
      </c>
    </row>
    <row r="119" spans="1:11" x14ac:dyDescent="0.3">
      <c r="A119" s="5" t="s">
        <v>247</v>
      </c>
      <c r="B119" s="6" t="s">
        <v>248</v>
      </c>
      <c r="C119" s="8" t="s">
        <v>236</v>
      </c>
      <c r="D119" s="18">
        <v>159.84811594202901</v>
      </c>
      <c r="E119" s="6">
        <v>3</v>
      </c>
      <c r="F119" s="6">
        <v>5</v>
      </c>
      <c r="G119" s="6">
        <v>23</v>
      </c>
      <c r="H119" s="6">
        <v>0</v>
      </c>
      <c r="I119" s="6">
        <v>0</v>
      </c>
      <c r="J119" s="18">
        <f t="shared" si="2"/>
        <v>0</v>
      </c>
      <c r="K119" s="18">
        <f t="shared" si="3"/>
        <v>3676.5066666666671</v>
      </c>
    </row>
    <row r="120" spans="1:11" x14ac:dyDescent="0.3">
      <c r="A120" s="5" t="s">
        <v>251</v>
      </c>
      <c r="B120" s="6" t="s">
        <v>252</v>
      </c>
      <c r="C120" s="8" t="s">
        <v>236</v>
      </c>
      <c r="D120" s="18">
        <v>169.40811594202899</v>
      </c>
      <c r="E120" s="6">
        <v>3</v>
      </c>
      <c r="F120" s="6">
        <v>5</v>
      </c>
      <c r="G120" s="6">
        <v>19</v>
      </c>
      <c r="H120" s="6">
        <v>0</v>
      </c>
      <c r="I120" s="6">
        <v>0</v>
      </c>
      <c r="J120" s="18">
        <f t="shared" si="2"/>
        <v>0</v>
      </c>
      <c r="K120" s="18">
        <f t="shared" si="3"/>
        <v>3218.7542028985508</v>
      </c>
    </row>
    <row r="121" spans="1:11" x14ac:dyDescent="0.3">
      <c r="A121" s="5" t="s">
        <v>255</v>
      </c>
      <c r="B121" s="6" t="s">
        <v>256</v>
      </c>
      <c r="C121" s="8" t="s">
        <v>236</v>
      </c>
      <c r="D121" s="18">
        <v>181.12811594202901</v>
      </c>
      <c r="E121" s="6">
        <v>3</v>
      </c>
      <c r="F121" s="6">
        <v>5</v>
      </c>
      <c r="G121" s="6">
        <v>36</v>
      </c>
      <c r="H121" s="6">
        <v>10</v>
      </c>
      <c r="I121" s="6">
        <v>0</v>
      </c>
      <c r="J121" s="18">
        <f t="shared" si="2"/>
        <v>0</v>
      </c>
      <c r="K121" s="18">
        <f t="shared" si="3"/>
        <v>8331.8933333333352</v>
      </c>
    </row>
    <row r="122" spans="1:11" x14ac:dyDescent="0.3">
      <c r="A122" s="5" t="s">
        <v>259</v>
      </c>
      <c r="B122" s="6" t="s">
        <v>260</v>
      </c>
      <c r="C122" s="8" t="s">
        <v>236</v>
      </c>
      <c r="D122" s="18">
        <v>212.608115942029</v>
      </c>
      <c r="E122" s="6">
        <v>3</v>
      </c>
      <c r="F122" s="6">
        <v>5</v>
      </c>
      <c r="G122" s="6">
        <v>46</v>
      </c>
      <c r="H122" s="6">
        <v>9</v>
      </c>
      <c r="I122" s="6">
        <v>0</v>
      </c>
      <c r="J122" s="18">
        <f t="shared" si="2"/>
        <v>0</v>
      </c>
      <c r="K122" s="18">
        <f t="shared" si="3"/>
        <v>11693.446376811595</v>
      </c>
    </row>
    <row r="123" spans="1:11" x14ac:dyDescent="0.3">
      <c r="A123" s="5" t="s">
        <v>263</v>
      </c>
      <c r="B123" s="6" t="s">
        <v>264</v>
      </c>
      <c r="C123" s="8" t="s">
        <v>236</v>
      </c>
      <c r="D123" s="18">
        <v>228.84811594202901</v>
      </c>
      <c r="E123" s="6">
        <v>2</v>
      </c>
      <c r="F123" s="6">
        <v>3</v>
      </c>
      <c r="G123" s="6">
        <v>36</v>
      </c>
      <c r="H123" s="6">
        <v>8</v>
      </c>
      <c r="I123" s="6">
        <v>0</v>
      </c>
      <c r="J123" s="18">
        <f t="shared" si="2"/>
        <v>0</v>
      </c>
      <c r="K123" s="18">
        <f t="shared" si="3"/>
        <v>10069.317101449276</v>
      </c>
    </row>
    <row r="124" spans="1:11" x14ac:dyDescent="0.3">
      <c r="A124" s="5" t="s">
        <v>267</v>
      </c>
      <c r="B124" s="6" t="s">
        <v>268</v>
      </c>
      <c r="C124" s="8" t="s">
        <v>236</v>
      </c>
      <c r="D124" s="18">
        <v>247.00811594202901</v>
      </c>
      <c r="E124" s="6">
        <v>2</v>
      </c>
      <c r="F124" s="6">
        <v>3</v>
      </c>
      <c r="G124" s="6">
        <v>3</v>
      </c>
      <c r="H124" s="6">
        <v>0</v>
      </c>
      <c r="I124" s="6">
        <v>0</v>
      </c>
      <c r="J124" s="18">
        <f t="shared" si="2"/>
        <v>0</v>
      </c>
      <c r="K124" s="18">
        <f t="shared" si="3"/>
        <v>741.02434782608702</v>
      </c>
    </row>
    <row r="125" spans="1:11" x14ac:dyDescent="0.3">
      <c r="A125" s="5" t="s">
        <v>234</v>
      </c>
      <c r="B125" s="6" t="s">
        <v>235</v>
      </c>
      <c r="C125" s="8" t="s">
        <v>236</v>
      </c>
      <c r="D125" s="18">
        <v>264.68811594202896</v>
      </c>
      <c r="E125" s="6">
        <v>2</v>
      </c>
      <c r="F125" s="6">
        <v>3</v>
      </c>
      <c r="G125" s="6">
        <v>3</v>
      </c>
      <c r="H125" s="6">
        <v>0</v>
      </c>
      <c r="I125" s="6">
        <v>0</v>
      </c>
      <c r="J125" s="18">
        <f t="shared" si="2"/>
        <v>0</v>
      </c>
      <c r="K125" s="18">
        <f t="shared" si="3"/>
        <v>794.06434782608687</v>
      </c>
    </row>
    <row r="126" spans="1:11" x14ac:dyDescent="0.3">
      <c r="A126" s="5" t="s">
        <v>269</v>
      </c>
      <c r="B126" s="6" t="s">
        <v>270</v>
      </c>
      <c r="C126" s="8" t="s">
        <v>236</v>
      </c>
      <c r="D126" s="18">
        <v>300</v>
      </c>
      <c r="E126" s="6">
        <v>0</v>
      </c>
      <c r="F126" s="6">
        <v>0</v>
      </c>
      <c r="G126" s="6">
        <v>1</v>
      </c>
      <c r="H126" s="6">
        <v>0</v>
      </c>
      <c r="I126" s="6">
        <v>0</v>
      </c>
      <c r="J126" s="18">
        <f t="shared" si="2"/>
        <v>0</v>
      </c>
      <c r="K126" s="18">
        <f t="shared" si="3"/>
        <v>300</v>
      </c>
    </row>
    <row r="127" spans="1:11" x14ac:dyDescent="0.3">
      <c r="A127" s="5" t="s">
        <v>237</v>
      </c>
      <c r="B127" s="6" t="s">
        <v>238</v>
      </c>
      <c r="C127" s="8" t="s">
        <v>236</v>
      </c>
      <c r="D127" s="18">
        <v>311</v>
      </c>
      <c r="E127" s="6">
        <v>0</v>
      </c>
      <c r="F127" s="6">
        <v>0</v>
      </c>
      <c r="G127" s="6">
        <v>1</v>
      </c>
      <c r="H127" s="6">
        <v>0</v>
      </c>
      <c r="I127" s="6">
        <v>0</v>
      </c>
      <c r="J127" s="18">
        <f t="shared" si="2"/>
        <v>0</v>
      </c>
      <c r="K127" s="18">
        <f t="shared" si="3"/>
        <v>311</v>
      </c>
    </row>
    <row r="128" spans="1:11" x14ac:dyDescent="0.3">
      <c r="A128" s="5" t="s">
        <v>241</v>
      </c>
      <c r="B128" s="6" t="s">
        <v>242</v>
      </c>
      <c r="C128" s="8" t="s">
        <v>236</v>
      </c>
      <c r="D128" s="18">
        <v>31.96</v>
      </c>
      <c r="E128" s="6">
        <v>5</v>
      </c>
      <c r="F128" s="6">
        <v>8</v>
      </c>
      <c r="G128" s="6">
        <v>0</v>
      </c>
      <c r="H128" s="6">
        <v>0</v>
      </c>
      <c r="I128" s="6">
        <v>8</v>
      </c>
      <c r="J128" s="18">
        <f t="shared" si="2"/>
        <v>255.68</v>
      </c>
      <c r="K128" s="18">
        <f t="shared" si="3"/>
        <v>0</v>
      </c>
    </row>
    <row r="129" spans="1:11" x14ac:dyDescent="0.3">
      <c r="A129" s="5" t="s">
        <v>245</v>
      </c>
      <c r="B129" s="6" t="s">
        <v>246</v>
      </c>
      <c r="C129" s="8" t="s">
        <v>236</v>
      </c>
      <c r="D129" s="18">
        <v>32.67</v>
      </c>
      <c r="E129" s="6">
        <v>5</v>
      </c>
      <c r="F129" s="6">
        <v>8</v>
      </c>
      <c r="G129" s="6">
        <v>0</v>
      </c>
      <c r="H129" s="6">
        <v>0</v>
      </c>
      <c r="I129" s="6">
        <v>8</v>
      </c>
      <c r="J129" s="18">
        <f t="shared" si="2"/>
        <v>261.36</v>
      </c>
      <c r="K129" s="18">
        <f t="shared" si="3"/>
        <v>0</v>
      </c>
    </row>
    <row r="130" spans="1:11" x14ac:dyDescent="0.3">
      <c r="A130" s="5" t="s">
        <v>249</v>
      </c>
      <c r="B130" s="6" t="s">
        <v>250</v>
      </c>
      <c r="C130" s="8" t="s">
        <v>236</v>
      </c>
      <c r="D130" s="18">
        <v>36.520000000000003</v>
      </c>
      <c r="E130" s="6">
        <v>3</v>
      </c>
      <c r="F130" s="6">
        <v>5</v>
      </c>
      <c r="G130" s="6">
        <v>0</v>
      </c>
      <c r="H130" s="6">
        <v>0</v>
      </c>
      <c r="I130" s="6">
        <v>5</v>
      </c>
      <c r="J130" s="18">
        <f t="shared" si="2"/>
        <v>182.60000000000002</v>
      </c>
      <c r="K130" s="18">
        <f t="shared" si="3"/>
        <v>0</v>
      </c>
    </row>
    <row r="131" spans="1:11" x14ac:dyDescent="0.3">
      <c r="A131" s="5" t="s">
        <v>253</v>
      </c>
      <c r="B131" s="6" t="s">
        <v>254</v>
      </c>
      <c r="C131" s="8" t="s">
        <v>236</v>
      </c>
      <c r="D131" s="18">
        <v>38.909999999999997</v>
      </c>
      <c r="E131" s="6">
        <v>3</v>
      </c>
      <c r="F131" s="6">
        <v>5</v>
      </c>
      <c r="G131" s="6">
        <v>0</v>
      </c>
      <c r="H131" s="6">
        <v>0</v>
      </c>
      <c r="I131" s="6">
        <v>5</v>
      </c>
      <c r="J131" s="18">
        <f t="shared" ref="J131:J194" si="4">I131*D131</f>
        <v>194.54999999999998</v>
      </c>
      <c r="K131" s="18">
        <f t="shared" ref="K131:K194" si="5">(G131*D131)+(H131*D131)</f>
        <v>0</v>
      </c>
    </row>
    <row r="132" spans="1:11" x14ac:dyDescent="0.3">
      <c r="A132" s="5" t="s">
        <v>257</v>
      </c>
      <c r="B132" s="6" t="s">
        <v>258</v>
      </c>
      <c r="C132" s="8" t="s">
        <v>236</v>
      </c>
      <c r="D132" s="18">
        <v>41.84</v>
      </c>
      <c r="E132" s="6">
        <v>3</v>
      </c>
      <c r="F132" s="6">
        <v>5</v>
      </c>
      <c r="G132" s="6">
        <v>0</v>
      </c>
      <c r="H132" s="6">
        <v>0</v>
      </c>
      <c r="I132" s="6">
        <v>5</v>
      </c>
      <c r="J132" s="18">
        <f t="shared" si="4"/>
        <v>209.20000000000002</v>
      </c>
      <c r="K132" s="18">
        <f t="shared" si="5"/>
        <v>0</v>
      </c>
    </row>
    <row r="133" spans="1:11" x14ac:dyDescent="0.3">
      <c r="A133" s="5" t="s">
        <v>261</v>
      </c>
      <c r="B133" s="6" t="s">
        <v>262</v>
      </c>
      <c r="C133" s="8" t="s">
        <v>236</v>
      </c>
      <c r="D133" s="18">
        <v>49.71</v>
      </c>
      <c r="E133" s="6">
        <v>3</v>
      </c>
      <c r="F133" s="6">
        <v>5</v>
      </c>
      <c r="G133" s="6">
        <v>0</v>
      </c>
      <c r="H133" s="6">
        <v>0</v>
      </c>
      <c r="I133" s="6">
        <v>5</v>
      </c>
      <c r="J133" s="18">
        <f t="shared" si="4"/>
        <v>248.55</v>
      </c>
      <c r="K133" s="18">
        <f t="shared" si="5"/>
        <v>0</v>
      </c>
    </row>
    <row r="134" spans="1:11" x14ac:dyDescent="0.3">
      <c r="A134" s="5" t="s">
        <v>265</v>
      </c>
      <c r="B134" s="6" t="s">
        <v>266</v>
      </c>
      <c r="C134" s="8" t="s">
        <v>236</v>
      </c>
      <c r="D134" s="18">
        <v>53.77</v>
      </c>
      <c r="E134" s="6">
        <v>2</v>
      </c>
      <c r="F134" s="6">
        <v>3</v>
      </c>
      <c r="G134" s="6">
        <v>0</v>
      </c>
      <c r="H134" s="6">
        <v>0</v>
      </c>
      <c r="I134" s="6">
        <v>3</v>
      </c>
      <c r="J134" s="18">
        <f t="shared" si="4"/>
        <v>161.31</v>
      </c>
      <c r="K134" s="18">
        <f t="shared" si="5"/>
        <v>0</v>
      </c>
    </row>
    <row r="135" spans="1:11" x14ac:dyDescent="0.3">
      <c r="A135" s="5" t="s">
        <v>271</v>
      </c>
      <c r="B135" s="6" t="s">
        <v>272</v>
      </c>
      <c r="C135" s="8" t="s">
        <v>236</v>
      </c>
      <c r="D135" s="18">
        <v>58.31</v>
      </c>
      <c r="E135" s="6">
        <v>2</v>
      </c>
      <c r="F135" s="6">
        <v>3</v>
      </c>
      <c r="G135" s="6">
        <v>0</v>
      </c>
      <c r="H135" s="6">
        <v>0</v>
      </c>
      <c r="I135" s="6">
        <v>3</v>
      </c>
      <c r="J135" s="18">
        <f t="shared" si="4"/>
        <v>174.93</v>
      </c>
      <c r="K135" s="18">
        <f t="shared" si="5"/>
        <v>0</v>
      </c>
    </row>
    <row r="136" spans="1:11" x14ac:dyDescent="0.3">
      <c r="A136" s="5" t="s">
        <v>276</v>
      </c>
      <c r="B136" s="6" t="s">
        <v>277</v>
      </c>
      <c r="C136" s="8" t="s">
        <v>275</v>
      </c>
      <c r="D136" s="18">
        <v>36.718115942028987</v>
      </c>
      <c r="E136" s="6">
        <v>27</v>
      </c>
      <c r="F136" s="6">
        <v>45</v>
      </c>
      <c r="G136" s="6">
        <v>32</v>
      </c>
      <c r="H136" s="6">
        <v>0</v>
      </c>
      <c r="I136" s="6">
        <v>0</v>
      </c>
      <c r="J136" s="18">
        <f t="shared" si="4"/>
        <v>0</v>
      </c>
      <c r="K136" s="18">
        <f t="shared" si="5"/>
        <v>1174.9797101449276</v>
      </c>
    </row>
    <row r="137" spans="1:11" x14ac:dyDescent="0.3">
      <c r="A137" s="5" t="s">
        <v>280</v>
      </c>
      <c r="B137" s="6" t="s">
        <v>281</v>
      </c>
      <c r="C137" s="8" t="s">
        <v>275</v>
      </c>
      <c r="D137" s="18">
        <v>51.068115942028982</v>
      </c>
      <c r="E137" s="6">
        <v>27</v>
      </c>
      <c r="F137" s="6">
        <v>45</v>
      </c>
      <c r="G137" s="6">
        <v>24</v>
      </c>
      <c r="H137" s="6">
        <v>0</v>
      </c>
      <c r="I137" s="6">
        <v>21</v>
      </c>
      <c r="J137" s="18">
        <f t="shared" si="4"/>
        <v>1072.4304347826087</v>
      </c>
      <c r="K137" s="18">
        <f t="shared" si="5"/>
        <v>1225.6347826086956</v>
      </c>
    </row>
    <row r="138" spans="1:11" x14ac:dyDescent="0.3">
      <c r="A138" s="5" t="s">
        <v>284</v>
      </c>
      <c r="B138" s="6" t="s">
        <v>285</v>
      </c>
      <c r="C138" s="8" t="s">
        <v>275</v>
      </c>
      <c r="D138" s="18">
        <v>75.318115942028982</v>
      </c>
      <c r="E138" s="6">
        <v>21</v>
      </c>
      <c r="F138" s="6">
        <v>35</v>
      </c>
      <c r="G138" s="6">
        <v>92</v>
      </c>
      <c r="H138" s="6">
        <v>18</v>
      </c>
      <c r="I138" s="6">
        <v>0</v>
      </c>
      <c r="J138" s="18">
        <f t="shared" si="4"/>
        <v>0</v>
      </c>
      <c r="K138" s="18">
        <f t="shared" si="5"/>
        <v>8284.992753623188</v>
      </c>
    </row>
    <row r="139" spans="1:11" x14ac:dyDescent="0.3">
      <c r="A139" s="5" t="s">
        <v>288</v>
      </c>
      <c r="B139" s="6" t="s">
        <v>289</v>
      </c>
      <c r="C139" s="8" t="s">
        <v>275</v>
      </c>
      <c r="D139" s="18">
        <v>117.24811594202899</v>
      </c>
      <c r="E139" s="6">
        <v>32</v>
      </c>
      <c r="F139" s="6">
        <v>53</v>
      </c>
      <c r="G139" s="6">
        <v>91</v>
      </c>
      <c r="H139" s="6">
        <v>0</v>
      </c>
      <c r="I139" s="6">
        <v>0</v>
      </c>
      <c r="J139" s="18">
        <f t="shared" si="4"/>
        <v>0</v>
      </c>
      <c r="K139" s="18">
        <f t="shared" si="5"/>
        <v>10669.578550724638</v>
      </c>
    </row>
    <row r="140" spans="1:11" x14ac:dyDescent="0.3">
      <c r="A140" s="5" t="s">
        <v>290</v>
      </c>
      <c r="B140" s="6" t="s">
        <v>291</v>
      </c>
      <c r="C140" s="8" t="s">
        <v>275</v>
      </c>
      <c r="D140" s="18">
        <v>132.918115942029</v>
      </c>
      <c r="E140" s="6">
        <v>33</v>
      </c>
      <c r="F140" s="6">
        <v>55</v>
      </c>
      <c r="G140" s="6">
        <v>43</v>
      </c>
      <c r="H140" s="6">
        <v>21</v>
      </c>
      <c r="I140" s="6">
        <v>0</v>
      </c>
      <c r="J140" s="18">
        <f t="shared" si="4"/>
        <v>0</v>
      </c>
      <c r="K140" s="18">
        <f t="shared" si="5"/>
        <v>8506.7594202898563</v>
      </c>
    </row>
    <row r="141" spans="1:11" x14ac:dyDescent="0.3">
      <c r="A141" s="5" t="s">
        <v>294</v>
      </c>
      <c r="B141" s="6" t="s">
        <v>295</v>
      </c>
      <c r="C141" s="8" t="s">
        <v>275</v>
      </c>
      <c r="D141" s="18">
        <v>124.85811594202899</v>
      </c>
      <c r="E141" s="6">
        <v>21</v>
      </c>
      <c r="F141" s="6">
        <v>35</v>
      </c>
      <c r="G141" s="6">
        <v>24</v>
      </c>
      <c r="H141" s="6">
        <v>21</v>
      </c>
      <c r="I141" s="6">
        <v>0</v>
      </c>
      <c r="J141" s="18">
        <f t="shared" si="4"/>
        <v>0</v>
      </c>
      <c r="K141" s="18">
        <f t="shared" si="5"/>
        <v>5618.6152173913051</v>
      </c>
    </row>
    <row r="142" spans="1:11" x14ac:dyDescent="0.3">
      <c r="A142" s="5" t="s">
        <v>298</v>
      </c>
      <c r="B142" s="6" t="s">
        <v>299</v>
      </c>
      <c r="C142" s="8" t="s">
        <v>275</v>
      </c>
      <c r="D142" s="18">
        <v>154.11811594202899</v>
      </c>
      <c r="E142" s="6">
        <v>15</v>
      </c>
      <c r="F142" s="6">
        <v>25</v>
      </c>
      <c r="G142" s="6">
        <v>44</v>
      </c>
      <c r="H142" s="6">
        <v>17</v>
      </c>
      <c r="I142" s="6">
        <v>0</v>
      </c>
      <c r="J142" s="18">
        <f t="shared" si="4"/>
        <v>0</v>
      </c>
      <c r="K142" s="18">
        <f t="shared" si="5"/>
        <v>9401.2050724637684</v>
      </c>
    </row>
    <row r="143" spans="1:11" x14ac:dyDescent="0.3">
      <c r="A143" s="5" t="s">
        <v>302</v>
      </c>
      <c r="B143" s="6" t="s">
        <v>303</v>
      </c>
      <c r="C143" s="8" t="s">
        <v>275</v>
      </c>
      <c r="D143" s="18">
        <v>178.768115942029</v>
      </c>
      <c r="E143" s="6">
        <v>8</v>
      </c>
      <c r="F143" s="6">
        <v>13</v>
      </c>
      <c r="G143" s="6">
        <v>7</v>
      </c>
      <c r="H143" s="6">
        <v>0</v>
      </c>
      <c r="I143" s="6">
        <v>6</v>
      </c>
      <c r="J143" s="18">
        <f t="shared" si="4"/>
        <v>1072.608695652174</v>
      </c>
      <c r="K143" s="18">
        <f t="shared" si="5"/>
        <v>1251.376811594203</v>
      </c>
    </row>
    <row r="144" spans="1:11" x14ac:dyDescent="0.3">
      <c r="A144" s="5" t="s">
        <v>273</v>
      </c>
      <c r="B144" s="6" t="s">
        <v>274</v>
      </c>
      <c r="C144" s="8" t="s">
        <v>275</v>
      </c>
      <c r="D144" s="18">
        <v>197</v>
      </c>
      <c r="E144" s="6">
        <v>6</v>
      </c>
      <c r="F144" s="6">
        <v>10</v>
      </c>
      <c r="G144" s="6">
        <v>8</v>
      </c>
      <c r="H144" s="6">
        <v>0</v>
      </c>
      <c r="I144" s="6">
        <v>0</v>
      </c>
      <c r="J144" s="18">
        <f t="shared" si="4"/>
        <v>0</v>
      </c>
      <c r="K144" s="18">
        <f t="shared" si="5"/>
        <v>1576</v>
      </c>
    </row>
    <row r="145" spans="1:11" x14ac:dyDescent="0.3">
      <c r="A145" s="5" t="s">
        <v>278</v>
      </c>
      <c r="B145" s="6" t="s">
        <v>279</v>
      </c>
      <c r="C145" s="8" t="s">
        <v>275</v>
      </c>
      <c r="D145" s="18">
        <v>22.95</v>
      </c>
      <c r="E145" s="6">
        <v>27</v>
      </c>
      <c r="F145" s="6">
        <v>45</v>
      </c>
      <c r="G145" s="6">
        <v>0</v>
      </c>
      <c r="H145" s="6">
        <v>0</v>
      </c>
      <c r="I145" s="6">
        <v>45</v>
      </c>
      <c r="J145" s="18">
        <f t="shared" si="4"/>
        <v>1032.75</v>
      </c>
      <c r="K145" s="18">
        <f t="shared" si="5"/>
        <v>0</v>
      </c>
    </row>
    <row r="146" spans="1:11" x14ac:dyDescent="0.3">
      <c r="A146" s="5" t="s">
        <v>282</v>
      </c>
      <c r="B146" s="6" t="s">
        <v>283</v>
      </c>
      <c r="C146" s="8" t="s">
        <v>275</v>
      </c>
      <c r="D146" s="18">
        <v>37.299999999999997</v>
      </c>
      <c r="E146" s="6">
        <v>27</v>
      </c>
      <c r="F146" s="6">
        <v>45</v>
      </c>
      <c r="G146" s="6">
        <v>0</v>
      </c>
      <c r="H146" s="6">
        <v>0</v>
      </c>
      <c r="I146" s="6">
        <v>45</v>
      </c>
      <c r="J146" s="18">
        <f t="shared" si="4"/>
        <v>1678.4999999999998</v>
      </c>
      <c r="K146" s="18">
        <f t="shared" si="5"/>
        <v>0</v>
      </c>
    </row>
    <row r="147" spans="1:11" x14ac:dyDescent="0.3">
      <c r="A147" s="5" t="s">
        <v>286</v>
      </c>
      <c r="B147" s="6" t="s">
        <v>287</v>
      </c>
      <c r="C147" s="8" t="s">
        <v>275</v>
      </c>
      <c r="D147" s="18">
        <v>61.55</v>
      </c>
      <c r="E147" s="6">
        <v>21</v>
      </c>
      <c r="F147" s="6">
        <v>35</v>
      </c>
      <c r="G147" s="6">
        <v>0</v>
      </c>
      <c r="H147" s="6">
        <v>0</v>
      </c>
      <c r="I147" s="6">
        <v>35</v>
      </c>
      <c r="J147" s="18">
        <f t="shared" si="4"/>
        <v>2154.25</v>
      </c>
      <c r="K147" s="18">
        <f t="shared" si="5"/>
        <v>0</v>
      </c>
    </row>
    <row r="148" spans="1:11" x14ac:dyDescent="0.3">
      <c r="A148" s="5" t="s">
        <v>466</v>
      </c>
      <c r="B148" s="6" t="s">
        <v>467</v>
      </c>
      <c r="C148" s="8" t="s">
        <v>275</v>
      </c>
      <c r="D148" s="18">
        <v>103.48</v>
      </c>
      <c r="E148" s="6">
        <v>32</v>
      </c>
      <c r="F148" s="6">
        <v>53</v>
      </c>
      <c r="G148" s="6">
        <v>0</v>
      </c>
      <c r="H148" s="6">
        <v>0</v>
      </c>
      <c r="I148" s="6">
        <v>53</v>
      </c>
      <c r="J148" s="18">
        <f t="shared" si="4"/>
        <v>5484.4400000000005</v>
      </c>
      <c r="K148" s="18">
        <f t="shared" si="5"/>
        <v>0</v>
      </c>
    </row>
    <row r="149" spans="1:11" x14ac:dyDescent="0.3">
      <c r="A149" s="5" t="s">
        <v>292</v>
      </c>
      <c r="B149" s="6" t="s">
        <v>293</v>
      </c>
      <c r="C149" s="8" t="s">
        <v>275</v>
      </c>
      <c r="D149" s="18">
        <v>121.15</v>
      </c>
      <c r="E149" s="6">
        <v>33</v>
      </c>
      <c r="F149" s="6">
        <v>55</v>
      </c>
      <c r="G149" s="6">
        <v>0</v>
      </c>
      <c r="H149" s="6">
        <v>0</v>
      </c>
      <c r="I149" s="6">
        <v>55</v>
      </c>
      <c r="J149" s="18">
        <f t="shared" si="4"/>
        <v>6663.25</v>
      </c>
      <c r="K149" s="18">
        <f t="shared" si="5"/>
        <v>0</v>
      </c>
    </row>
    <row r="150" spans="1:11" x14ac:dyDescent="0.3">
      <c r="A150" s="5" t="s">
        <v>296</v>
      </c>
      <c r="B150" s="6" t="s">
        <v>297</v>
      </c>
      <c r="C150" s="8" t="s">
        <v>275</v>
      </c>
      <c r="D150" s="18">
        <v>111.09</v>
      </c>
      <c r="E150" s="6">
        <v>21</v>
      </c>
      <c r="F150" s="6">
        <v>35</v>
      </c>
      <c r="G150" s="6">
        <v>0</v>
      </c>
      <c r="H150" s="6">
        <v>0</v>
      </c>
      <c r="I150" s="6">
        <v>35</v>
      </c>
      <c r="J150" s="18">
        <f t="shared" si="4"/>
        <v>3888.15</v>
      </c>
      <c r="K150" s="18">
        <f t="shared" si="5"/>
        <v>0</v>
      </c>
    </row>
    <row r="151" spans="1:11" x14ac:dyDescent="0.3">
      <c r="A151" s="5" t="s">
        <v>300</v>
      </c>
      <c r="B151" s="6" t="s">
        <v>301</v>
      </c>
      <c r="C151" s="8" t="s">
        <v>275</v>
      </c>
      <c r="D151" s="18">
        <v>148.35</v>
      </c>
      <c r="E151" s="6">
        <v>15</v>
      </c>
      <c r="F151" s="6">
        <v>25</v>
      </c>
      <c r="G151" s="6">
        <v>0</v>
      </c>
      <c r="H151" s="6">
        <v>0</v>
      </c>
      <c r="I151" s="6">
        <v>25</v>
      </c>
      <c r="J151" s="18">
        <f t="shared" si="4"/>
        <v>3708.75</v>
      </c>
      <c r="K151" s="18">
        <f t="shared" si="5"/>
        <v>0</v>
      </c>
    </row>
    <row r="152" spans="1:11" x14ac:dyDescent="0.3">
      <c r="A152" s="5" t="s">
        <v>304</v>
      </c>
      <c r="B152" s="6" t="s">
        <v>305</v>
      </c>
      <c r="C152" s="8" t="s">
        <v>275</v>
      </c>
      <c r="D152" s="18">
        <v>165.66</v>
      </c>
      <c r="E152" s="6">
        <v>8</v>
      </c>
      <c r="F152" s="6">
        <v>13</v>
      </c>
      <c r="G152" s="6">
        <v>0</v>
      </c>
      <c r="H152" s="6">
        <v>0</v>
      </c>
      <c r="I152" s="6">
        <v>13</v>
      </c>
      <c r="J152" s="18">
        <f t="shared" si="4"/>
        <v>2153.58</v>
      </c>
      <c r="K152" s="18">
        <f t="shared" si="5"/>
        <v>0</v>
      </c>
    </row>
    <row r="153" spans="1:11" x14ac:dyDescent="0.3">
      <c r="A153" s="5" t="s">
        <v>306</v>
      </c>
      <c r="B153" s="6" t="s">
        <v>307</v>
      </c>
      <c r="C153" s="8" t="s">
        <v>308</v>
      </c>
      <c r="D153" s="18">
        <v>1138</v>
      </c>
      <c r="E153" s="6">
        <v>6</v>
      </c>
      <c r="F153" s="6">
        <v>8</v>
      </c>
      <c r="G153" s="6">
        <v>5</v>
      </c>
      <c r="H153" s="6">
        <v>0</v>
      </c>
      <c r="I153" s="6">
        <v>3</v>
      </c>
      <c r="J153" s="18">
        <f t="shared" si="4"/>
        <v>3414</v>
      </c>
      <c r="K153" s="18">
        <f t="shared" si="5"/>
        <v>5690</v>
      </c>
    </row>
    <row r="154" spans="1:11" x14ac:dyDescent="0.3">
      <c r="A154" s="5" t="s">
        <v>309</v>
      </c>
      <c r="B154" s="6" t="s">
        <v>310</v>
      </c>
      <c r="C154" s="8" t="s">
        <v>308</v>
      </c>
      <c r="D154" s="18">
        <v>1193</v>
      </c>
      <c r="E154" s="6">
        <v>9</v>
      </c>
      <c r="F154" s="6">
        <v>12</v>
      </c>
      <c r="G154" s="6">
        <v>1</v>
      </c>
      <c r="H154" s="6">
        <v>0</v>
      </c>
      <c r="I154" s="6">
        <v>11</v>
      </c>
      <c r="J154" s="18">
        <f t="shared" si="4"/>
        <v>13123</v>
      </c>
      <c r="K154" s="18">
        <f t="shared" si="5"/>
        <v>1193</v>
      </c>
    </row>
    <row r="155" spans="1:11" x14ac:dyDescent="0.3">
      <c r="A155" s="5" t="s">
        <v>311</v>
      </c>
      <c r="B155" s="6" t="s">
        <v>312</v>
      </c>
      <c r="C155" s="8" t="s">
        <v>308</v>
      </c>
      <c r="D155" s="18">
        <v>1226</v>
      </c>
      <c r="E155" s="6">
        <v>9</v>
      </c>
      <c r="F155" s="6">
        <v>12</v>
      </c>
      <c r="G155" s="6">
        <v>6</v>
      </c>
      <c r="H155" s="6">
        <v>0</v>
      </c>
      <c r="I155" s="6">
        <v>6</v>
      </c>
      <c r="J155" s="18">
        <f t="shared" si="4"/>
        <v>7356</v>
      </c>
      <c r="K155" s="18">
        <f t="shared" si="5"/>
        <v>7356</v>
      </c>
    </row>
    <row r="156" spans="1:11" x14ac:dyDescent="0.3">
      <c r="A156" s="5" t="s">
        <v>313</v>
      </c>
      <c r="B156" s="6" t="s">
        <v>314</v>
      </c>
      <c r="C156" s="8" t="s">
        <v>308</v>
      </c>
      <c r="D156" s="18">
        <v>1277</v>
      </c>
      <c r="E156" s="6">
        <v>9</v>
      </c>
      <c r="F156" s="6">
        <v>12</v>
      </c>
      <c r="G156" s="6">
        <v>5</v>
      </c>
      <c r="H156" s="6">
        <v>0</v>
      </c>
      <c r="I156" s="6">
        <v>7</v>
      </c>
      <c r="J156" s="18">
        <f t="shared" si="4"/>
        <v>8939</v>
      </c>
      <c r="K156" s="18">
        <f t="shared" si="5"/>
        <v>6385</v>
      </c>
    </row>
    <row r="157" spans="1:11" x14ac:dyDescent="0.3">
      <c r="A157" s="5" t="s">
        <v>315</v>
      </c>
      <c r="B157" s="6" t="s">
        <v>316</v>
      </c>
      <c r="C157" s="8" t="s">
        <v>308</v>
      </c>
      <c r="D157" s="18">
        <v>1535</v>
      </c>
      <c r="E157" s="6">
        <v>9</v>
      </c>
      <c r="F157" s="6">
        <v>12</v>
      </c>
      <c r="G157" s="6">
        <v>3</v>
      </c>
      <c r="H157" s="6">
        <v>0</v>
      </c>
      <c r="I157" s="6">
        <v>9</v>
      </c>
      <c r="J157" s="18">
        <f t="shared" si="4"/>
        <v>13815</v>
      </c>
      <c r="K157" s="18">
        <f t="shared" si="5"/>
        <v>4605</v>
      </c>
    </row>
    <row r="158" spans="1:11" x14ac:dyDescent="0.3">
      <c r="A158" s="5" t="s">
        <v>317</v>
      </c>
      <c r="B158" s="6" t="s">
        <v>318</v>
      </c>
      <c r="C158" s="8" t="s">
        <v>308</v>
      </c>
      <c r="D158" s="18">
        <v>1641</v>
      </c>
      <c r="E158" s="6">
        <v>3</v>
      </c>
      <c r="F158" s="6">
        <v>4</v>
      </c>
      <c r="G158" s="6">
        <v>1</v>
      </c>
      <c r="H158" s="6">
        <v>0</v>
      </c>
      <c r="I158" s="6">
        <v>3</v>
      </c>
      <c r="J158" s="18">
        <f t="shared" si="4"/>
        <v>4923</v>
      </c>
      <c r="K158" s="18">
        <f t="shared" si="5"/>
        <v>1641</v>
      </c>
    </row>
    <row r="159" spans="1:11" x14ac:dyDescent="0.3">
      <c r="A159" s="5" t="s">
        <v>319</v>
      </c>
      <c r="B159" s="6" t="s">
        <v>320</v>
      </c>
      <c r="C159" s="8" t="s">
        <v>308</v>
      </c>
      <c r="D159" s="18">
        <v>1768</v>
      </c>
      <c r="E159" s="6">
        <v>6</v>
      </c>
      <c r="F159" s="6">
        <v>8</v>
      </c>
      <c r="G159" s="6">
        <v>5</v>
      </c>
      <c r="H159" s="6">
        <v>0</v>
      </c>
      <c r="I159" s="6">
        <v>3</v>
      </c>
      <c r="J159" s="18">
        <f t="shared" si="4"/>
        <v>5304</v>
      </c>
      <c r="K159" s="18">
        <f t="shared" si="5"/>
        <v>8840</v>
      </c>
    </row>
    <row r="160" spans="1:11" x14ac:dyDescent="0.3">
      <c r="A160" s="5" t="s">
        <v>321</v>
      </c>
      <c r="B160" s="6" t="s">
        <v>322</v>
      </c>
      <c r="C160" s="8" t="s">
        <v>308</v>
      </c>
      <c r="D160" s="18">
        <v>1874</v>
      </c>
      <c r="E160" s="6">
        <v>3</v>
      </c>
      <c r="F160" s="6">
        <v>4</v>
      </c>
      <c r="G160" s="6">
        <v>0</v>
      </c>
      <c r="H160" s="6">
        <v>2</v>
      </c>
      <c r="I160" s="6">
        <v>2</v>
      </c>
      <c r="J160" s="18">
        <f t="shared" si="4"/>
        <v>3748</v>
      </c>
      <c r="K160" s="18">
        <f t="shared" si="5"/>
        <v>3748</v>
      </c>
    </row>
    <row r="161" spans="1:11" x14ac:dyDescent="0.3">
      <c r="A161" s="5" t="s">
        <v>323</v>
      </c>
      <c r="B161" s="6" t="s">
        <v>324</v>
      </c>
      <c r="C161" s="8" t="s">
        <v>308</v>
      </c>
      <c r="D161" s="18">
        <v>1805</v>
      </c>
      <c r="E161" s="6">
        <v>12</v>
      </c>
      <c r="F161" s="6">
        <v>16</v>
      </c>
      <c r="G161" s="6">
        <v>0</v>
      </c>
      <c r="H161" s="6">
        <v>5</v>
      </c>
      <c r="I161" s="6">
        <v>11</v>
      </c>
      <c r="J161" s="18">
        <f t="shared" si="4"/>
        <v>19855</v>
      </c>
      <c r="K161" s="18">
        <f t="shared" si="5"/>
        <v>9025</v>
      </c>
    </row>
    <row r="162" spans="1:11" x14ac:dyDescent="0.3">
      <c r="A162" s="5" t="s">
        <v>325</v>
      </c>
      <c r="B162" s="6" t="s">
        <v>326</v>
      </c>
      <c r="C162" s="8" t="s">
        <v>308</v>
      </c>
      <c r="D162" s="18">
        <v>1829</v>
      </c>
      <c r="E162" s="6">
        <v>3</v>
      </c>
      <c r="F162" s="6">
        <v>4</v>
      </c>
      <c r="G162" s="6">
        <v>2</v>
      </c>
      <c r="H162" s="6">
        <v>2</v>
      </c>
      <c r="I162" s="6">
        <v>0</v>
      </c>
      <c r="J162" s="18">
        <f t="shared" si="4"/>
        <v>0</v>
      </c>
      <c r="K162" s="18">
        <f t="shared" si="5"/>
        <v>7316</v>
      </c>
    </row>
    <row r="163" spans="1:11" x14ac:dyDescent="0.3">
      <c r="A163" s="5" t="s">
        <v>327</v>
      </c>
      <c r="B163" s="6" t="s">
        <v>328</v>
      </c>
      <c r="C163" s="8" t="s">
        <v>308</v>
      </c>
      <c r="D163" s="18">
        <v>2182</v>
      </c>
      <c r="E163" s="6">
        <v>9</v>
      </c>
      <c r="F163" s="6">
        <v>12</v>
      </c>
      <c r="G163" s="6">
        <v>0</v>
      </c>
      <c r="H163" s="6">
        <v>1</v>
      </c>
      <c r="I163" s="6">
        <v>11</v>
      </c>
      <c r="J163" s="18">
        <f t="shared" si="4"/>
        <v>24002</v>
      </c>
      <c r="K163" s="18">
        <f t="shared" si="5"/>
        <v>2182</v>
      </c>
    </row>
    <row r="164" spans="1:11" x14ac:dyDescent="0.3">
      <c r="A164" s="5" t="s">
        <v>331</v>
      </c>
      <c r="B164" s="6" t="s">
        <v>332</v>
      </c>
      <c r="C164" s="8" t="s">
        <v>308</v>
      </c>
      <c r="D164" s="18">
        <v>2304</v>
      </c>
      <c r="E164" s="6">
        <v>3</v>
      </c>
      <c r="F164" s="6">
        <v>4</v>
      </c>
      <c r="G164" s="6">
        <v>0</v>
      </c>
      <c r="H164" s="6">
        <v>0</v>
      </c>
      <c r="I164" s="6">
        <v>4</v>
      </c>
      <c r="J164" s="18">
        <f t="shared" si="4"/>
        <v>9216</v>
      </c>
      <c r="K164" s="18">
        <f t="shared" si="5"/>
        <v>0</v>
      </c>
    </row>
    <row r="165" spans="1:11" x14ac:dyDescent="0.3">
      <c r="A165" s="5" t="s">
        <v>333</v>
      </c>
      <c r="B165" s="6" t="s">
        <v>334</v>
      </c>
      <c r="C165" s="8" t="s">
        <v>308</v>
      </c>
      <c r="D165" s="18">
        <v>2892</v>
      </c>
      <c r="E165" s="6">
        <v>9</v>
      </c>
      <c r="F165" s="6">
        <v>12</v>
      </c>
      <c r="G165" s="6">
        <v>3</v>
      </c>
      <c r="H165" s="6">
        <v>4</v>
      </c>
      <c r="I165" s="6">
        <v>5</v>
      </c>
      <c r="J165" s="18">
        <f t="shared" si="4"/>
        <v>14460</v>
      </c>
      <c r="K165" s="18">
        <f t="shared" si="5"/>
        <v>20244</v>
      </c>
    </row>
    <row r="166" spans="1:11" x14ac:dyDescent="0.3">
      <c r="A166" s="5" t="s">
        <v>335</v>
      </c>
      <c r="B166" s="6" t="s">
        <v>336</v>
      </c>
      <c r="C166" s="8" t="s">
        <v>308</v>
      </c>
      <c r="D166" s="18">
        <v>3150</v>
      </c>
      <c r="E166" s="6">
        <v>3</v>
      </c>
      <c r="F166" s="6">
        <v>4</v>
      </c>
      <c r="G166" s="6">
        <v>0</v>
      </c>
      <c r="H166" s="6">
        <v>1</v>
      </c>
      <c r="I166" s="6">
        <v>3</v>
      </c>
      <c r="J166" s="18">
        <f t="shared" si="4"/>
        <v>9450</v>
      </c>
      <c r="K166" s="18">
        <f t="shared" si="5"/>
        <v>3150</v>
      </c>
    </row>
    <row r="167" spans="1:11" x14ac:dyDescent="0.3">
      <c r="A167" s="5" t="s">
        <v>337</v>
      </c>
      <c r="B167" s="6" t="s">
        <v>338</v>
      </c>
      <c r="C167" s="8" t="s">
        <v>308</v>
      </c>
      <c r="D167" s="18">
        <v>2808</v>
      </c>
      <c r="E167" s="6">
        <v>9</v>
      </c>
      <c r="F167" s="6">
        <v>12</v>
      </c>
      <c r="G167" s="6">
        <v>0</v>
      </c>
      <c r="H167" s="6">
        <v>0</v>
      </c>
      <c r="I167" s="6">
        <v>12</v>
      </c>
      <c r="J167" s="18">
        <f t="shared" si="4"/>
        <v>33696</v>
      </c>
      <c r="K167" s="18">
        <f t="shared" si="5"/>
        <v>0</v>
      </c>
    </row>
    <row r="168" spans="1:11" x14ac:dyDescent="0.3">
      <c r="A168" s="5" t="s">
        <v>339</v>
      </c>
      <c r="B168" s="6" t="s">
        <v>340</v>
      </c>
      <c r="C168" s="8" t="s">
        <v>308</v>
      </c>
      <c r="D168" s="18">
        <v>3630</v>
      </c>
      <c r="E168" s="6">
        <v>6</v>
      </c>
      <c r="F168" s="6">
        <v>8</v>
      </c>
      <c r="G168" s="6">
        <v>3</v>
      </c>
      <c r="H168" s="6">
        <v>0</v>
      </c>
      <c r="I168" s="6">
        <v>5</v>
      </c>
      <c r="J168" s="18">
        <f t="shared" si="4"/>
        <v>18150</v>
      </c>
      <c r="K168" s="18">
        <f t="shared" si="5"/>
        <v>10890</v>
      </c>
    </row>
    <row r="169" spans="1:11" x14ac:dyDescent="0.3">
      <c r="A169" s="5" t="s">
        <v>341</v>
      </c>
      <c r="B169" s="6" t="s">
        <v>342</v>
      </c>
      <c r="C169" s="8" t="s">
        <v>308</v>
      </c>
      <c r="D169" s="18">
        <v>3630</v>
      </c>
      <c r="E169" s="6">
        <v>6</v>
      </c>
      <c r="F169" s="6">
        <v>8</v>
      </c>
      <c r="G169" s="6">
        <v>1</v>
      </c>
      <c r="H169" s="6">
        <v>1</v>
      </c>
      <c r="I169" s="6">
        <v>6</v>
      </c>
      <c r="J169" s="18">
        <f t="shared" si="4"/>
        <v>21780</v>
      </c>
      <c r="K169" s="18">
        <f t="shared" si="5"/>
        <v>7260</v>
      </c>
    </row>
    <row r="170" spans="1:11" x14ac:dyDescent="0.3">
      <c r="A170" s="5" t="s">
        <v>343</v>
      </c>
      <c r="B170" s="6" t="s">
        <v>344</v>
      </c>
      <c r="C170" s="8" t="s">
        <v>308</v>
      </c>
      <c r="D170" s="18">
        <v>5744</v>
      </c>
      <c r="E170" s="6">
        <v>2</v>
      </c>
      <c r="F170" s="6">
        <v>3</v>
      </c>
      <c r="G170" s="6">
        <v>0</v>
      </c>
      <c r="H170" s="6">
        <v>0</v>
      </c>
      <c r="I170" s="6">
        <v>3</v>
      </c>
      <c r="J170" s="18">
        <f t="shared" si="4"/>
        <v>17232</v>
      </c>
      <c r="K170" s="18">
        <f t="shared" si="5"/>
        <v>0</v>
      </c>
    </row>
    <row r="171" spans="1:11" x14ac:dyDescent="0.3">
      <c r="A171" s="5" t="s">
        <v>345</v>
      </c>
      <c r="B171" s="6" t="s">
        <v>346</v>
      </c>
      <c r="C171" s="8" t="s">
        <v>308</v>
      </c>
      <c r="D171" s="18">
        <v>4869</v>
      </c>
      <c r="E171" s="6">
        <v>2</v>
      </c>
      <c r="F171" s="6">
        <v>3</v>
      </c>
      <c r="G171" s="6">
        <v>1</v>
      </c>
      <c r="H171" s="6">
        <v>0</v>
      </c>
      <c r="I171" s="6">
        <v>2</v>
      </c>
      <c r="J171" s="18">
        <f t="shared" si="4"/>
        <v>9738</v>
      </c>
      <c r="K171" s="18">
        <f t="shared" si="5"/>
        <v>4869</v>
      </c>
    </row>
    <row r="172" spans="1:11" x14ac:dyDescent="0.3">
      <c r="A172" s="5" t="s">
        <v>347</v>
      </c>
      <c r="B172" s="6" t="s">
        <v>348</v>
      </c>
      <c r="C172" s="8" t="s">
        <v>308</v>
      </c>
      <c r="D172" s="18">
        <v>1200</v>
      </c>
      <c r="E172" s="6">
        <v>0</v>
      </c>
      <c r="F172" s="6">
        <v>1</v>
      </c>
      <c r="G172" s="6">
        <v>0</v>
      </c>
      <c r="H172" s="6">
        <v>0</v>
      </c>
      <c r="I172" s="6">
        <v>1</v>
      </c>
      <c r="J172" s="18">
        <f t="shared" si="4"/>
        <v>1200</v>
      </c>
      <c r="K172" s="18">
        <f t="shared" si="5"/>
        <v>0</v>
      </c>
    </row>
    <row r="173" spans="1:11" x14ac:dyDescent="0.3">
      <c r="A173" s="5" t="s">
        <v>349</v>
      </c>
      <c r="B173" s="6" t="s">
        <v>350</v>
      </c>
      <c r="C173" s="8" t="s">
        <v>308</v>
      </c>
      <c r="D173" s="18">
        <v>5225</v>
      </c>
      <c r="E173" s="6">
        <v>2</v>
      </c>
      <c r="F173" s="6">
        <v>2</v>
      </c>
      <c r="G173" s="6">
        <v>0</v>
      </c>
      <c r="H173" s="6">
        <v>0</v>
      </c>
      <c r="I173" s="6">
        <v>2</v>
      </c>
      <c r="J173" s="18">
        <f t="shared" si="4"/>
        <v>10450</v>
      </c>
      <c r="K173" s="18">
        <f t="shared" si="5"/>
        <v>0</v>
      </c>
    </row>
    <row r="174" spans="1:11" x14ac:dyDescent="0.3">
      <c r="A174" s="5" t="s">
        <v>351</v>
      </c>
      <c r="B174" s="6" t="s">
        <v>352</v>
      </c>
      <c r="C174" s="8" t="s">
        <v>308</v>
      </c>
      <c r="D174" s="18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18">
        <f t="shared" si="4"/>
        <v>0</v>
      </c>
      <c r="K174" s="18">
        <f t="shared" si="5"/>
        <v>0</v>
      </c>
    </row>
    <row r="175" spans="1:11" x14ac:dyDescent="0.3">
      <c r="A175" s="5" t="s">
        <v>353</v>
      </c>
      <c r="B175" s="6" t="s">
        <v>354</v>
      </c>
      <c r="C175" s="8" t="s">
        <v>308</v>
      </c>
      <c r="D175" s="18">
        <v>7076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18">
        <f t="shared" si="4"/>
        <v>0</v>
      </c>
      <c r="K175" s="18">
        <f t="shared" si="5"/>
        <v>0</v>
      </c>
    </row>
    <row r="176" spans="1:11" x14ac:dyDescent="0.3">
      <c r="A176" s="5" t="s">
        <v>329</v>
      </c>
      <c r="B176" s="6" t="s">
        <v>330</v>
      </c>
      <c r="C176" s="8" t="s">
        <v>308</v>
      </c>
      <c r="D176" s="18">
        <v>7897.17</v>
      </c>
      <c r="E176" s="6">
        <v>0</v>
      </c>
      <c r="F176" s="6">
        <v>1</v>
      </c>
      <c r="G176" s="6">
        <v>0</v>
      </c>
      <c r="H176" s="6">
        <v>0</v>
      </c>
      <c r="I176" s="6">
        <v>1</v>
      </c>
      <c r="J176" s="18">
        <f t="shared" si="4"/>
        <v>7897.17</v>
      </c>
      <c r="K176" s="18">
        <f t="shared" si="5"/>
        <v>0</v>
      </c>
    </row>
    <row r="177" spans="1:11" x14ac:dyDescent="0.3">
      <c r="A177" s="5" t="s">
        <v>355</v>
      </c>
      <c r="B177" s="6" t="s">
        <v>356</v>
      </c>
      <c r="C177" s="8" t="s">
        <v>357</v>
      </c>
      <c r="D177" s="18">
        <v>1340</v>
      </c>
      <c r="E177" s="6">
        <v>12</v>
      </c>
      <c r="F177" s="6">
        <v>20</v>
      </c>
      <c r="G177" s="6">
        <v>8</v>
      </c>
      <c r="H177" s="6">
        <v>0</v>
      </c>
      <c r="I177" s="6">
        <v>12</v>
      </c>
      <c r="J177" s="18">
        <f t="shared" si="4"/>
        <v>16080</v>
      </c>
      <c r="K177" s="18">
        <f t="shared" si="5"/>
        <v>10720</v>
      </c>
    </row>
    <row r="178" spans="1:11" x14ac:dyDescent="0.3">
      <c r="A178" s="5" t="s">
        <v>360</v>
      </c>
      <c r="B178" s="6" t="s">
        <v>361</v>
      </c>
      <c r="C178" s="8" t="s">
        <v>357</v>
      </c>
      <c r="D178" s="18">
        <v>1632</v>
      </c>
      <c r="E178" s="6">
        <v>9</v>
      </c>
      <c r="F178" s="6">
        <v>15</v>
      </c>
      <c r="G178" s="6">
        <v>6</v>
      </c>
      <c r="H178" s="6">
        <v>0</v>
      </c>
      <c r="I178" s="6">
        <v>9</v>
      </c>
      <c r="J178" s="18">
        <f t="shared" si="4"/>
        <v>14688</v>
      </c>
      <c r="K178" s="18">
        <f t="shared" si="5"/>
        <v>9792</v>
      </c>
    </row>
    <row r="179" spans="1:11" x14ac:dyDescent="0.3">
      <c r="A179" s="5" t="s">
        <v>364</v>
      </c>
      <c r="B179" s="6" t="s">
        <v>365</v>
      </c>
      <c r="C179" s="8" t="s">
        <v>357</v>
      </c>
      <c r="D179" s="18">
        <v>2025</v>
      </c>
      <c r="E179" s="6">
        <v>6</v>
      </c>
      <c r="F179" s="6">
        <v>10</v>
      </c>
      <c r="G179" s="6">
        <v>2</v>
      </c>
      <c r="H179" s="6">
        <v>0</v>
      </c>
      <c r="I179" s="6">
        <v>8</v>
      </c>
      <c r="J179" s="18">
        <f t="shared" si="4"/>
        <v>16200</v>
      </c>
      <c r="K179" s="18">
        <f t="shared" si="5"/>
        <v>4050</v>
      </c>
    </row>
    <row r="180" spans="1:11" x14ac:dyDescent="0.3">
      <c r="A180" s="5" t="s">
        <v>368</v>
      </c>
      <c r="B180" s="6" t="s">
        <v>369</v>
      </c>
      <c r="C180" s="8" t="s">
        <v>357</v>
      </c>
      <c r="D180" s="18">
        <v>2617</v>
      </c>
      <c r="E180" s="6">
        <v>9</v>
      </c>
      <c r="F180" s="6">
        <v>15</v>
      </c>
      <c r="G180" s="6">
        <v>4</v>
      </c>
      <c r="H180" s="6">
        <v>0</v>
      </c>
      <c r="I180" s="6">
        <v>11</v>
      </c>
      <c r="J180" s="18">
        <f t="shared" si="4"/>
        <v>28787</v>
      </c>
      <c r="K180" s="18">
        <f t="shared" si="5"/>
        <v>10468</v>
      </c>
    </row>
    <row r="181" spans="1:11" x14ac:dyDescent="0.3">
      <c r="A181" s="5" t="s">
        <v>372</v>
      </c>
      <c r="B181" s="6" t="s">
        <v>373</v>
      </c>
      <c r="C181" s="8" t="s">
        <v>357</v>
      </c>
      <c r="D181" s="18">
        <v>3010</v>
      </c>
      <c r="E181" s="6">
        <v>8</v>
      </c>
      <c r="F181" s="6">
        <v>13</v>
      </c>
      <c r="G181" s="6">
        <v>12</v>
      </c>
      <c r="H181" s="6">
        <v>0</v>
      </c>
      <c r="I181" s="6">
        <v>0</v>
      </c>
      <c r="J181" s="18">
        <f t="shared" si="4"/>
        <v>0</v>
      </c>
      <c r="K181" s="18">
        <f t="shared" si="5"/>
        <v>36120</v>
      </c>
    </row>
    <row r="182" spans="1:11" x14ac:dyDescent="0.3">
      <c r="A182" s="5" t="s">
        <v>374</v>
      </c>
      <c r="B182" s="6" t="s">
        <v>375</v>
      </c>
      <c r="C182" s="8" t="s">
        <v>357</v>
      </c>
      <c r="D182" s="18">
        <v>3685</v>
      </c>
      <c r="E182" s="6">
        <v>5</v>
      </c>
      <c r="F182" s="6">
        <v>8</v>
      </c>
      <c r="G182" s="6">
        <v>0</v>
      </c>
      <c r="H182" s="6">
        <v>0</v>
      </c>
      <c r="I182" s="6">
        <v>8</v>
      </c>
      <c r="J182" s="18">
        <f t="shared" si="4"/>
        <v>29480</v>
      </c>
      <c r="K182" s="18">
        <f t="shared" si="5"/>
        <v>0</v>
      </c>
    </row>
    <row r="183" spans="1:11" x14ac:dyDescent="0.3">
      <c r="A183" s="5" t="s">
        <v>358</v>
      </c>
      <c r="B183" s="6" t="s">
        <v>359</v>
      </c>
      <c r="C183" s="8" t="s">
        <v>357</v>
      </c>
      <c r="D183" s="18">
        <v>0</v>
      </c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18">
        <f t="shared" si="4"/>
        <v>0</v>
      </c>
      <c r="K183" s="18">
        <f t="shared" si="5"/>
        <v>0</v>
      </c>
    </row>
    <row r="184" spans="1:11" x14ac:dyDescent="0.3">
      <c r="A184" s="5" t="s">
        <v>362</v>
      </c>
      <c r="B184" s="6" t="s">
        <v>363</v>
      </c>
      <c r="C184" s="8" t="s">
        <v>357</v>
      </c>
      <c r="D184" s="18">
        <v>2077</v>
      </c>
      <c r="E184" s="6">
        <v>0</v>
      </c>
      <c r="F184" s="6">
        <v>0</v>
      </c>
      <c r="G184" s="6">
        <v>4</v>
      </c>
      <c r="H184" s="6">
        <v>0</v>
      </c>
      <c r="I184" s="6">
        <v>0</v>
      </c>
      <c r="J184" s="18">
        <f t="shared" si="4"/>
        <v>0</v>
      </c>
      <c r="K184" s="18">
        <f t="shared" si="5"/>
        <v>8308</v>
      </c>
    </row>
    <row r="185" spans="1:11" x14ac:dyDescent="0.3">
      <c r="A185" s="5" t="s">
        <v>366</v>
      </c>
      <c r="B185" s="6" t="s">
        <v>367</v>
      </c>
      <c r="C185" s="8" t="s">
        <v>357</v>
      </c>
      <c r="D185" s="18">
        <v>2608</v>
      </c>
      <c r="E185" s="6">
        <v>0</v>
      </c>
      <c r="F185" s="6">
        <v>0</v>
      </c>
      <c r="G185" s="6">
        <v>7</v>
      </c>
      <c r="H185" s="6">
        <v>0</v>
      </c>
      <c r="I185" s="6">
        <v>0</v>
      </c>
      <c r="J185" s="18">
        <f t="shared" si="4"/>
        <v>0</v>
      </c>
      <c r="K185" s="18">
        <f t="shared" si="5"/>
        <v>18256</v>
      </c>
    </row>
    <row r="186" spans="1:11" x14ac:dyDescent="0.3">
      <c r="A186" s="5" t="s">
        <v>370</v>
      </c>
      <c r="B186" s="6" t="s">
        <v>371</v>
      </c>
      <c r="C186" s="8" t="s">
        <v>357</v>
      </c>
      <c r="D186" s="18">
        <v>3435</v>
      </c>
      <c r="E186" s="6">
        <v>0</v>
      </c>
      <c r="F186" s="6">
        <v>0</v>
      </c>
      <c r="G186" s="6">
        <v>4</v>
      </c>
      <c r="H186" s="6">
        <v>0</v>
      </c>
      <c r="I186" s="6">
        <v>0</v>
      </c>
      <c r="J186" s="18">
        <f t="shared" si="4"/>
        <v>0</v>
      </c>
      <c r="K186" s="18">
        <f t="shared" si="5"/>
        <v>13740</v>
      </c>
    </row>
    <row r="187" spans="1:11" x14ac:dyDescent="0.3">
      <c r="A187" s="5" t="s">
        <v>376</v>
      </c>
      <c r="B187" s="6" t="s">
        <v>377</v>
      </c>
      <c r="C187" s="8" t="s">
        <v>357</v>
      </c>
      <c r="D187" s="18">
        <v>3500.75</v>
      </c>
      <c r="E187" s="6">
        <v>0</v>
      </c>
      <c r="F187" s="6">
        <v>0</v>
      </c>
      <c r="G187" s="6">
        <v>2</v>
      </c>
      <c r="H187" s="6">
        <v>0</v>
      </c>
      <c r="I187" s="6">
        <v>0</v>
      </c>
      <c r="J187" s="18">
        <f t="shared" si="4"/>
        <v>0</v>
      </c>
      <c r="K187" s="18">
        <f t="shared" si="5"/>
        <v>7001.5</v>
      </c>
    </row>
    <row r="188" spans="1:11" x14ac:dyDescent="0.3">
      <c r="A188" s="5" t="s">
        <v>378</v>
      </c>
      <c r="B188" s="6" t="s">
        <v>379</v>
      </c>
      <c r="C188" s="8" t="s">
        <v>357</v>
      </c>
      <c r="D188" s="18">
        <v>4804</v>
      </c>
      <c r="E188" s="6">
        <v>0</v>
      </c>
      <c r="F188" s="6">
        <v>0</v>
      </c>
      <c r="G188" s="6">
        <v>1</v>
      </c>
      <c r="H188" s="6">
        <v>0</v>
      </c>
      <c r="I188" s="6">
        <v>0</v>
      </c>
      <c r="J188" s="18">
        <f t="shared" si="4"/>
        <v>0</v>
      </c>
      <c r="K188" s="18">
        <f t="shared" si="5"/>
        <v>4804</v>
      </c>
    </row>
    <row r="189" spans="1:11" x14ac:dyDescent="0.3">
      <c r="A189" s="5" t="s">
        <v>380</v>
      </c>
      <c r="B189" s="6" t="s">
        <v>381</v>
      </c>
      <c r="C189" s="8" t="s">
        <v>382</v>
      </c>
      <c r="D189" s="18">
        <v>341</v>
      </c>
      <c r="E189" s="6">
        <v>3</v>
      </c>
      <c r="F189" s="6">
        <v>5</v>
      </c>
      <c r="G189" s="6">
        <v>9</v>
      </c>
      <c r="H189" s="6">
        <v>0</v>
      </c>
      <c r="I189" s="6">
        <v>0</v>
      </c>
      <c r="J189" s="18">
        <f t="shared" si="4"/>
        <v>0</v>
      </c>
      <c r="K189" s="18">
        <f t="shared" si="5"/>
        <v>3069</v>
      </c>
    </row>
    <row r="190" spans="1:11" x14ac:dyDescent="0.3">
      <c r="A190" s="5" t="s">
        <v>383</v>
      </c>
      <c r="B190" s="6" t="s">
        <v>384</v>
      </c>
      <c r="C190" s="8" t="s">
        <v>382</v>
      </c>
      <c r="D190" s="18">
        <v>448</v>
      </c>
      <c r="E190" s="6">
        <v>2</v>
      </c>
      <c r="F190" s="6">
        <v>3</v>
      </c>
      <c r="G190" s="6">
        <v>4</v>
      </c>
      <c r="H190" s="6">
        <v>0</v>
      </c>
      <c r="I190" s="6">
        <v>0</v>
      </c>
      <c r="J190" s="18">
        <f t="shared" si="4"/>
        <v>0</v>
      </c>
      <c r="K190" s="18">
        <f t="shared" si="5"/>
        <v>1792</v>
      </c>
    </row>
    <row r="191" spans="1:11" x14ac:dyDescent="0.3">
      <c r="A191" s="5" t="s">
        <v>385</v>
      </c>
      <c r="B191" s="6" t="s">
        <v>386</v>
      </c>
      <c r="C191" s="8" t="s">
        <v>382</v>
      </c>
      <c r="D191" s="18">
        <v>478</v>
      </c>
      <c r="E191" s="6">
        <v>9</v>
      </c>
      <c r="F191" s="6">
        <v>15</v>
      </c>
      <c r="G191" s="6">
        <v>11</v>
      </c>
      <c r="H191" s="6">
        <v>0</v>
      </c>
      <c r="I191" s="6">
        <v>0</v>
      </c>
      <c r="J191" s="18">
        <f t="shared" si="4"/>
        <v>0</v>
      </c>
      <c r="K191" s="18">
        <f t="shared" si="5"/>
        <v>5258</v>
      </c>
    </row>
    <row r="192" spans="1:11" x14ac:dyDescent="0.3">
      <c r="A192" s="5" t="s">
        <v>387</v>
      </c>
      <c r="B192" s="6" t="s">
        <v>388</v>
      </c>
      <c r="C192" s="8" t="s">
        <v>382</v>
      </c>
      <c r="D192" s="18">
        <v>250</v>
      </c>
      <c r="E192" s="6">
        <v>15</v>
      </c>
      <c r="F192" s="6">
        <v>25</v>
      </c>
      <c r="G192" s="6">
        <v>16</v>
      </c>
      <c r="H192" s="6">
        <v>0</v>
      </c>
      <c r="I192" s="6">
        <v>0</v>
      </c>
      <c r="J192" s="18">
        <f t="shared" si="4"/>
        <v>0</v>
      </c>
      <c r="K192" s="18">
        <f t="shared" si="5"/>
        <v>4000</v>
      </c>
    </row>
    <row r="193" spans="1:11" x14ac:dyDescent="0.3">
      <c r="A193" s="5" t="s">
        <v>389</v>
      </c>
      <c r="B193" s="6" t="s">
        <v>390</v>
      </c>
      <c r="C193" s="8" t="s">
        <v>382</v>
      </c>
      <c r="D193" s="18">
        <v>595</v>
      </c>
      <c r="E193" s="6">
        <v>12</v>
      </c>
      <c r="F193" s="6">
        <v>20</v>
      </c>
      <c r="G193" s="6">
        <v>6</v>
      </c>
      <c r="H193" s="6">
        <v>0</v>
      </c>
      <c r="I193" s="6">
        <v>14</v>
      </c>
      <c r="J193" s="18">
        <f t="shared" si="4"/>
        <v>8330</v>
      </c>
      <c r="K193" s="18">
        <f t="shared" si="5"/>
        <v>3570</v>
      </c>
    </row>
    <row r="194" spans="1:11" x14ac:dyDescent="0.3">
      <c r="A194" s="5" t="s">
        <v>391</v>
      </c>
      <c r="B194" s="6" t="s">
        <v>392</v>
      </c>
      <c r="C194" s="8" t="s">
        <v>382</v>
      </c>
      <c r="D194" s="18">
        <v>679</v>
      </c>
      <c r="E194" s="6">
        <v>27</v>
      </c>
      <c r="F194" s="6">
        <v>45</v>
      </c>
      <c r="G194" s="6">
        <v>29</v>
      </c>
      <c r="H194" s="6">
        <v>0</v>
      </c>
      <c r="I194" s="6">
        <v>0</v>
      </c>
      <c r="J194" s="18">
        <f t="shared" si="4"/>
        <v>0</v>
      </c>
      <c r="K194" s="18">
        <f t="shared" si="5"/>
        <v>19691</v>
      </c>
    </row>
    <row r="195" spans="1:11" x14ac:dyDescent="0.3">
      <c r="A195" s="5" t="s">
        <v>393</v>
      </c>
      <c r="B195" s="6" t="s">
        <v>394</v>
      </c>
      <c r="C195" s="8" t="s">
        <v>382</v>
      </c>
      <c r="D195" s="18">
        <v>731</v>
      </c>
      <c r="E195" s="6">
        <v>5</v>
      </c>
      <c r="F195" s="6">
        <v>8</v>
      </c>
      <c r="G195" s="6">
        <v>1</v>
      </c>
      <c r="H195" s="6">
        <v>0</v>
      </c>
      <c r="I195" s="6">
        <v>7</v>
      </c>
      <c r="J195" s="18">
        <f t="shared" ref="J195:J229" si="6">I195*D195</f>
        <v>5117</v>
      </c>
      <c r="K195" s="18">
        <f t="shared" ref="K195:K229" si="7">(G195*D195)+(H195*D195)</f>
        <v>731</v>
      </c>
    </row>
    <row r="196" spans="1:11" x14ac:dyDescent="0.3">
      <c r="A196" s="5" t="s">
        <v>395</v>
      </c>
      <c r="B196" s="6" t="s">
        <v>396</v>
      </c>
      <c r="C196" s="8" t="s">
        <v>397</v>
      </c>
      <c r="D196" s="18">
        <v>30</v>
      </c>
      <c r="E196" s="6">
        <v>3</v>
      </c>
      <c r="F196" s="6">
        <v>5</v>
      </c>
      <c r="G196" s="6">
        <v>16</v>
      </c>
      <c r="H196" s="6">
        <v>0</v>
      </c>
      <c r="I196" s="6">
        <v>0</v>
      </c>
      <c r="J196" s="18">
        <f t="shared" si="6"/>
        <v>0</v>
      </c>
      <c r="K196" s="18">
        <f t="shared" si="7"/>
        <v>480</v>
      </c>
    </row>
    <row r="197" spans="1:11" x14ac:dyDescent="0.3">
      <c r="A197" s="5" t="s">
        <v>398</v>
      </c>
      <c r="B197" s="6" t="s">
        <v>399</v>
      </c>
      <c r="C197" s="8" t="s">
        <v>397</v>
      </c>
      <c r="D197" s="18">
        <v>0.24</v>
      </c>
      <c r="E197" s="6">
        <v>100</v>
      </c>
      <c r="F197" s="6">
        <v>150</v>
      </c>
      <c r="G197" s="6">
        <v>200</v>
      </c>
      <c r="H197" s="6">
        <v>0</v>
      </c>
      <c r="I197" s="6">
        <v>0</v>
      </c>
      <c r="J197" s="18">
        <f t="shared" si="6"/>
        <v>0</v>
      </c>
      <c r="K197" s="18">
        <f t="shared" si="7"/>
        <v>48</v>
      </c>
    </row>
    <row r="198" spans="1:11" x14ac:dyDescent="0.3">
      <c r="A198" s="5" t="s">
        <v>400</v>
      </c>
      <c r="B198" s="6" t="s">
        <v>401</v>
      </c>
      <c r="C198" s="8" t="s">
        <v>397</v>
      </c>
      <c r="D198" s="18">
        <v>0.24</v>
      </c>
      <c r="E198" s="6">
        <v>100</v>
      </c>
      <c r="F198" s="6">
        <v>150</v>
      </c>
      <c r="G198" s="6">
        <v>800</v>
      </c>
      <c r="H198" s="6">
        <v>0</v>
      </c>
      <c r="I198" s="6">
        <v>0</v>
      </c>
      <c r="J198" s="18">
        <f t="shared" si="6"/>
        <v>0</v>
      </c>
      <c r="K198" s="18">
        <f t="shared" si="7"/>
        <v>192</v>
      </c>
    </row>
    <row r="199" spans="1:11" x14ac:dyDescent="0.3">
      <c r="A199" s="5" t="s">
        <v>402</v>
      </c>
      <c r="B199" s="6" t="s">
        <v>403</v>
      </c>
      <c r="C199" s="8" t="s">
        <v>397</v>
      </c>
      <c r="D199" s="18">
        <v>30</v>
      </c>
      <c r="E199" s="6">
        <v>15</v>
      </c>
      <c r="F199" s="6">
        <v>25</v>
      </c>
      <c r="G199" s="6">
        <v>21</v>
      </c>
      <c r="H199" s="6">
        <v>0</v>
      </c>
      <c r="I199" s="6">
        <v>0</v>
      </c>
      <c r="J199" s="18">
        <f t="shared" si="6"/>
        <v>0</v>
      </c>
      <c r="K199" s="18">
        <f t="shared" si="7"/>
        <v>630</v>
      </c>
    </row>
    <row r="200" spans="1:11" x14ac:dyDescent="0.3">
      <c r="A200" s="5" t="s">
        <v>404</v>
      </c>
      <c r="B200" s="6" t="s">
        <v>405</v>
      </c>
      <c r="C200" s="8" t="s">
        <v>397</v>
      </c>
      <c r="D200" s="18">
        <v>30</v>
      </c>
      <c r="E200" s="6">
        <v>15</v>
      </c>
      <c r="F200" s="6">
        <v>25</v>
      </c>
      <c r="G200" s="6">
        <v>32</v>
      </c>
      <c r="H200" s="6">
        <v>0</v>
      </c>
      <c r="I200" s="6">
        <v>0</v>
      </c>
      <c r="J200" s="18">
        <f t="shared" si="6"/>
        <v>0</v>
      </c>
      <c r="K200" s="18">
        <f t="shared" si="7"/>
        <v>960</v>
      </c>
    </row>
    <row r="201" spans="1:11" x14ac:dyDescent="0.3">
      <c r="A201" s="5" t="s">
        <v>406</v>
      </c>
      <c r="B201" s="6" t="s">
        <v>407</v>
      </c>
      <c r="C201" s="8" t="s">
        <v>397</v>
      </c>
      <c r="D201" s="18">
        <v>30</v>
      </c>
      <c r="E201" s="6">
        <v>15</v>
      </c>
      <c r="F201" s="6">
        <v>25</v>
      </c>
      <c r="G201" s="6">
        <v>44</v>
      </c>
      <c r="H201" s="6">
        <v>0</v>
      </c>
      <c r="I201" s="6">
        <v>0</v>
      </c>
      <c r="J201" s="18">
        <f t="shared" si="6"/>
        <v>0</v>
      </c>
      <c r="K201" s="18">
        <f t="shared" si="7"/>
        <v>1320</v>
      </c>
    </row>
    <row r="202" spans="1:11" x14ac:dyDescent="0.3">
      <c r="A202" s="5" t="s">
        <v>408</v>
      </c>
      <c r="B202" s="6" t="s">
        <v>409</v>
      </c>
      <c r="C202" s="8" t="s">
        <v>397</v>
      </c>
      <c r="D202" s="18">
        <v>210</v>
      </c>
      <c r="E202" s="6">
        <v>3</v>
      </c>
      <c r="F202" s="6">
        <v>5</v>
      </c>
      <c r="G202" s="6">
        <v>0</v>
      </c>
      <c r="H202" s="6">
        <v>0</v>
      </c>
      <c r="I202" s="6">
        <v>5</v>
      </c>
      <c r="J202" s="18">
        <f t="shared" si="6"/>
        <v>1050</v>
      </c>
      <c r="K202" s="18">
        <f t="shared" si="7"/>
        <v>0</v>
      </c>
    </row>
    <row r="203" spans="1:11" x14ac:dyDescent="0.3">
      <c r="A203" s="5" t="s">
        <v>410</v>
      </c>
      <c r="B203" s="6" t="s">
        <v>411</v>
      </c>
      <c r="C203" s="8" t="s">
        <v>397</v>
      </c>
      <c r="D203" s="18">
        <v>4</v>
      </c>
      <c r="E203" s="6">
        <v>15</v>
      </c>
      <c r="F203" s="6">
        <v>25</v>
      </c>
      <c r="G203" s="6">
        <v>50</v>
      </c>
      <c r="H203" s="6">
        <v>0</v>
      </c>
      <c r="I203" s="6">
        <v>0</v>
      </c>
      <c r="J203" s="18">
        <f t="shared" si="6"/>
        <v>0</v>
      </c>
      <c r="K203" s="18">
        <f t="shared" si="7"/>
        <v>200</v>
      </c>
    </row>
    <row r="204" spans="1:11" x14ac:dyDescent="0.3">
      <c r="A204" s="5" t="s">
        <v>412</v>
      </c>
      <c r="B204" s="6" t="s">
        <v>413</v>
      </c>
      <c r="C204" s="8" t="s">
        <v>397</v>
      </c>
      <c r="D204" s="18">
        <v>12</v>
      </c>
      <c r="E204" s="6">
        <v>15</v>
      </c>
      <c r="F204" s="6">
        <v>25</v>
      </c>
      <c r="G204" s="6">
        <v>24</v>
      </c>
      <c r="H204" s="6">
        <v>0</v>
      </c>
      <c r="I204" s="6">
        <v>0</v>
      </c>
      <c r="J204" s="18">
        <f t="shared" si="6"/>
        <v>0</v>
      </c>
      <c r="K204" s="18">
        <f t="shared" si="7"/>
        <v>288</v>
      </c>
    </row>
    <row r="205" spans="1:11" x14ac:dyDescent="0.3">
      <c r="A205" s="5" t="s">
        <v>414</v>
      </c>
      <c r="B205" s="6" t="s">
        <v>415</v>
      </c>
      <c r="C205" s="8" t="s">
        <v>397</v>
      </c>
      <c r="D205" s="18">
        <v>18</v>
      </c>
      <c r="E205" s="6">
        <v>12</v>
      </c>
      <c r="F205" s="6">
        <v>20</v>
      </c>
      <c r="G205" s="6">
        <v>15</v>
      </c>
      <c r="H205" s="6">
        <v>0</v>
      </c>
      <c r="I205" s="6">
        <v>0</v>
      </c>
      <c r="J205" s="18">
        <f t="shared" si="6"/>
        <v>0</v>
      </c>
      <c r="K205" s="18">
        <f t="shared" si="7"/>
        <v>270</v>
      </c>
    </row>
    <row r="206" spans="1:11" x14ac:dyDescent="0.3">
      <c r="A206" s="5" t="s">
        <v>416</v>
      </c>
      <c r="B206" s="6" t="s">
        <v>417</v>
      </c>
      <c r="C206" s="8" t="s">
        <v>397</v>
      </c>
      <c r="D206" s="18">
        <v>32</v>
      </c>
      <c r="E206" s="6">
        <v>15</v>
      </c>
      <c r="F206" s="6">
        <v>25</v>
      </c>
      <c r="G206" s="6">
        <v>20</v>
      </c>
      <c r="H206" s="6">
        <v>0</v>
      </c>
      <c r="I206" s="6">
        <v>0</v>
      </c>
      <c r="J206" s="18">
        <f t="shared" si="6"/>
        <v>0</v>
      </c>
      <c r="K206" s="18">
        <f t="shared" si="7"/>
        <v>640</v>
      </c>
    </row>
    <row r="207" spans="1:11" x14ac:dyDescent="0.3">
      <c r="A207" s="5" t="s">
        <v>418</v>
      </c>
      <c r="B207" s="6" t="s">
        <v>419</v>
      </c>
      <c r="C207" s="8" t="s">
        <v>397</v>
      </c>
      <c r="D207" s="18">
        <v>12</v>
      </c>
      <c r="E207" s="6">
        <v>2</v>
      </c>
      <c r="F207" s="6">
        <v>3</v>
      </c>
      <c r="G207" s="6">
        <v>0</v>
      </c>
      <c r="H207" s="6">
        <v>0</v>
      </c>
      <c r="I207" s="6">
        <v>3</v>
      </c>
      <c r="J207" s="18">
        <f t="shared" si="6"/>
        <v>36</v>
      </c>
      <c r="K207" s="18">
        <f t="shared" si="7"/>
        <v>0</v>
      </c>
    </row>
    <row r="208" spans="1:11" x14ac:dyDescent="0.3">
      <c r="A208" s="5" t="s">
        <v>420</v>
      </c>
      <c r="B208" s="6" t="s">
        <v>421</v>
      </c>
      <c r="C208" s="8" t="s">
        <v>397</v>
      </c>
      <c r="D208" s="18">
        <v>4.3</v>
      </c>
      <c r="E208" s="6">
        <v>6</v>
      </c>
      <c r="F208" s="6">
        <v>10</v>
      </c>
      <c r="G208" s="6">
        <v>1</v>
      </c>
      <c r="H208" s="6">
        <v>0</v>
      </c>
      <c r="I208" s="6">
        <v>9</v>
      </c>
      <c r="J208" s="18">
        <f t="shared" si="6"/>
        <v>38.699999999999996</v>
      </c>
      <c r="K208" s="18">
        <f t="shared" si="7"/>
        <v>4.3</v>
      </c>
    </row>
    <row r="209" spans="1:11" x14ac:dyDescent="0.3">
      <c r="A209" s="5" t="s">
        <v>422</v>
      </c>
      <c r="B209" s="6" t="s">
        <v>423</v>
      </c>
      <c r="C209" s="8" t="s">
        <v>397</v>
      </c>
      <c r="D209" s="18">
        <v>15</v>
      </c>
      <c r="E209" s="6">
        <v>6</v>
      </c>
      <c r="F209" s="6">
        <v>10</v>
      </c>
      <c r="G209" s="6">
        <v>1</v>
      </c>
      <c r="H209" s="6">
        <v>0</v>
      </c>
      <c r="I209" s="6">
        <v>9</v>
      </c>
      <c r="J209" s="18">
        <f t="shared" si="6"/>
        <v>135</v>
      </c>
      <c r="K209" s="18">
        <f t="shared" si="7"/>
        <v>15</v>
      </c>
    </row>
    <row r="210" spans="1:11" x14ac:dyDescent="0.3">
      <c r="A210" s="5" t="s">
        <v>424</v>
      </c>
      <c r="B210" s="6" t="s">
        <v>425</v>
      </c>
      <c r="C210" s="8" t="s">
        <v>397</v>
      </c>
      <c r="D210" s="18">
        <v>18</v>
      </c>
      <c r="E210" s="6">
        <v>6</v>
      </c>
      <c r="F210" s="6">
        <v>10</v>
      </c>
      <c r="G210" s="6">
        <v>1</v>
      </c>
      <c r="H210" s="6">
        <v>0</v>
      </c>
      <c r="I210" s="6">
        <v>9</v>
      </c>
      <c r="J210" s="18">
        <f t="shared" si="6"/>
        <v>162</v>
      </c>
      <c r="K210" s="18">
        <f t="shared" si="7"/>
        <v>18</v>
      </c>
    </row>
    <row r="211" spans="1:11" x14ac:dyDescent="0.3">
      <c r="A211" s="5" t="s">
        <v>426</v>
      </c>
      <c r="B211" s="6" t="s">
        <v>427</v>
      </c>
      <c r="C211" s="8" t="s">
        <v>397</v>
      </c>
      <c r="D211" s="18">
        <v>20</v>
      </c>
      <c r="E211" s="6">
        <v>6</v>
      </c>
      <c r="F211" s="6">
        <v>10</v>
      </c>
      <c r="G211" s="6">
        <v>1</v>
      </c>
      <c r="H211" s="6">
        <v>0</v>
      </c>
      <c r="I211" s="6">
        <v>9</v>
      </c>
      <c r="J211" s="18">
        <f t="shared" si="6"/>
        <v>180</v>
      </c>
      <c r="K211" s="18">
        <f t="shared" si="7"/>
        <v>20</v>
      </c>
    </row>
    <row r="212" spans="1:11" x14ac:dyDescent="0.3">
      <c r="A212" s="5" t="s">
        <v>428</v>
      </c>
      <c r="B212" s="6" t="s">
        <v>429</v>
      </c>
      <c r="C212" s="8" t="s">
        <v>397</v>
      </c>
      <c r="D212" s="18">
        <v>291.06</v>
      </c>
      <c r="E212" s="6">
        <v>3</v>
      </c>
      <c r="F212" s="6">
        <v>5</v>
      </c>
      <c r="G212" s="6">
        <v>6</v>
      </c>
      <c r="H212" s="6">
        <v>0</v>
      </c>
      <c r="I212" s="6">
        <v>0</v>
      </c>
      <c r="J212" s="18">
        <f t="shared" si="6"/>
        <v>0</v>
      </c>
      <c r="K212" s="18">
        <f t="shared" si="7"/>
        <v>1746.3600000000001</v>
      </c>
    </row>
    <row r="213" spans="1:11" x14ac:dyDescent="0.3">
      <c r="A213" s="5" t="s">
        <v>430</v>
      </c>
      <c r="B213" s="6" t="s">
        <v>431</v>
      </c>
      <c r="C213" s="8" t="s">
        <v>397</v>
      </c>
      <c r="D213" s="18">
        <v>31.55</v>
      </c>
      <c r="E213" s="6">
        <v>38</v>
      </c>
      <c r="F213" s="6">
        <v>63</v>
      </c>
      <c r="G213" s="6">
        <v>150</v>
      </c>
      <c r="H213" s="6">
        <v>0</v>
      </c>
      <c r="I213" s="6">
        <v>0</v>
      </c>
      <c r="J213" s="18">
        <f t="shared" si="6"/>
        <v>0</v>
      </c>
      <c r="K213" s="18">
        <f t="shared" si="7"/>
        <v>4732.5</v>
      </c>
    </row>
    <row r="214" spans="1:11" x14ac:dyDescent="0.3">
      <c r="A214" s="5" t="s">
        <v>432</v>
      </c>
      <c r="B214" s="6" t="s">
        <v>433</v>
      </c>
      <c r="C214" s="8" t="s">
        <v>397</v>
      </c>
      <c r="D214" s="18">
        <v>85</v>
      </c>
      <c r="E214" s="6">
        <v>6</v>
      </c>
      <c r="F214" s="6">
        <v>10</v>
      </c>
      <c r="G214" s="6">
        <v>6</v>
      </c>
      <c r="H214" s="6">
        <v>0</v>
      </c>
      <c r="I214" s="6">
        <v>4</v>
      </c>
      <c r="J214" s="18">
        <f t="shared" si="6"/>
        <v>340</v>
      </c>
      <c r="K214" s="18">
        <f t="shared" si="7"/>
        <v>510</v>
      </c>
    </row>
    <row r="215" spans="1:11" x14ac:dyDescent="0.3">
      <c r="A215" s="5" t="s">
        <v>434</v>
      </c>
      <c r="B215" s="6" t="s">
        <v>435</v>
      </c>
      <c r="C215" s="8" t="s">
        <v>397</v>
      </c>
      <c r="D215" s="18">
        <v>6.48</v>
      </c>
      <c r="E215" s="6">
        <v>23</v>
      </c>
      <c r="F215" s="6">
        <v>38</v>
      </c>
      <c r="G215" s="6">
        <v>200</v>
      </c>
      <c r="H215" s="6">
        <v>0</v>
      </c>
      <c r="I215" s="6">
        <v>0</v>
      </c>
      <c r="J215" s="18">
        <f t="shared" si="6"/>
        <v>0</v>
      </c>
      <c r="K215" s="18">
        <f t="shared" si="7"/>
        <v>1296</v>
      </c>
    </row>
    <row r="216" spans="1:11" x14ac:dyDescent="0.3">
      <c r="A216" s="5" t="s">
        <v>436</v>
      </c>
      <c r="B216" s="6" t="s">
        <v>437</v>
      </c>
      <c r="C216" s="8" t="s">
        <v>397</v>
      </c>
      <c r="D216" s="18">
        <v>6.48</v>
      </c>
      <c r="E216" s="6">
        <v>23</v>
      </c>
      <c r="F216" s="6">
        <v>38</v>
      </c>
      <c r="G216" s="6">
        <v>30</v>
      </c>
      <c r="H216" s="6">
        <v>0</v>
      </c>
      <c r="I216" s="6">
        <v>0</v>
      </c>
      <c r="J216" s="18">
        <f t="shared" si="6"/>
        <v>0</v>
      </c>
      <c r="K216" s="18">
        <f t="shared" si="7"/>
        <v>194.4</v>
      </c>
    </row>
    <row r="217" spans="1:11" x14ac:dyDescent="0.3">
      <c r="A217" s="5" t="s">
        <v>438</v>
      </c>
      <c r="B217" s="6" t="s">
        <v>439</v>
      </c>
      <c r="C217" s="8" t="s">
        <v>397</v>
      </c>
      <c r="D217" s="18">
        <v>5.22</v>
      </c>
      <c r="E217" s="6">
        <v>23</v>
      </c>
      <c r="F217" s="6">
        <v>38</v>
      </c>
      <c r="G217" s="6">
        <v>500</v>
      </c>
      <c r="H217" s="6">
        <v>0</v>
      </c>
      <c r="I217" s="6">
        <v>0</v>
      </c>
      <c r="J217" s="18">
        <f t="shared" si="6"/>
        <v>0</v>
      </c>
      <c r="K217" s="18">
        <f t="shared" si="7"/>
        <v>2610</v>
      </c>
    </row>
    <row r="218" spans="1:11" x14ac:dyDescent="0.3">
      <c r="A218" s="5" t="s">
        <v>440</v>
      </c>
      <c r="B218" s="6" t="s">
        <v>441</v>
      </c>
      <c r="C218" s="8" t="s">
        <v>397</v>
      </c>
      <c r="D218" s="18">
        <v>7.11</v>
      </c>
      <c r="E218" s="6">
        <v>8</v>
      </c>
      <c r="F218" s="6">
        <v>13</v>
      </c>
      <c r="G218" s="6">
        <v>300</v>
      </c>
      <c r="H218" s="6">
        <v>0</v>
      </c>
      <c r="I218" s="6">
        <v>0</v>
      </c>
      <c r="J218" s="18">
        <f t="shared" si="6"/>
        <v>0</v>
      </c>
      <c r="K218" s="18">
        <f t="shared" si="7"/>
        <v>2133</v>
      </c>
    </row>
    <row r="219" spans="1:11" x14ac:dyDescent="0.3">
      <c r="A219" s="5" t="s">
        <v>442</v>
      </c>
      <c r="B219" s="6" t="s">
        <v>443</v>
      </c>
      <c r="C219" s="8" t="s">
        <v>397</v>
      </c>
      <c r="D219" s="18">
        <v>243.48</v>
      </c>
      <c r="E219" s="6">
        <v>3</v>
      </c>
      <c r="F219" s="6">
        <v>5</v>
      </c>
      <c r="G219" s="6">
        <v>2</v>
      </c>
      <c r="H219" s="6">
        <v>0</v>
      </c>
      <c r="I219" s="6">
        <v>3</v>
      </c>
      <c r="J219" s="18">
        <f t="shared" si="6"/>
        <v>730.43999999999994</v>
      </c>
      <c r="K219" s="18">
        <f t="shared" si="7"/>
        <v>486.96</v>
      </c>
    </row>
    <row r="220" spans="1:11" x14ac:dyDescent="0.3">
      <c r="A220" s="5" t="s">
        <v>444</v>
      </c>
      <c r="B220" s="6" t="s">
        <v>445</v>
      </c>
      <c r="C220" s="8" t="s">
        <v>397</v>
      </c>
      <c r="D220" s="18">
        <v>0.63</v>
      </c>
      <c r="E220" s="6">
        <v>120</v>
      </c>
      <c r="F220" s="6">
        <v>200</v>
      </c>
      <c r="G220" s="6">
        <v>1000</v>
      </c>
      <c r="H220" s="6">
        <v>0</v>
      </c>
      <c r="I220" s="6">
        <v>0</v>
      </c>
      <c r="J220" s="18">
        <f t="shared" si="6"/>
        <v>0</v>
      </c>
      <c r="K220" s="18">
        <f t="shared" si="7"/>
        <v>630</v>
      </c>
    </row>
    <row r="221" spans="1:11" x14ac:dyDescent="0.3">
      <c r="A221" s="5" t="s">
        <v>446</v>
      </c>
      <c r="B221" s="6" t="s">
        <v>447</v>
      </c>
      <c r="C221" s="8" t="s">
        <v>397</v>
      </c>
      <c r="D221" s="18">
        <v>0.7</v>
      </c>
      <c r="E221" s="6">
        <v>120</v>
      </c>
      <c r="F221" s="6">
        <v>200</v>
      </c>
      <c r="G221" s="6">
        <v>800</v>
      </c>
      <c r="H221" s="6">
        <v>0</v>
      </c>
      <c r="I221" s="6">
        <v>0</v>
      </c>
      <c r="J221" s="18">
        <f t="shared" si="6"/>
        <v>0</v>
      </c>
      <c r="K221" s="18">
        <f t="shared" si="7"/>
        <v>560</v>
      </c>
    </row>
    <row r="222" spans="1:11" x14ac:dyDescent="0.3">
      <c r="A222" s="5" t="s">
        <v>448</v>
      </c>
      <c r="B222" s="6" t="s">
        <v>449</v>
      </c>
      <c r="C222" s="8" t="s">
        <v>397</v>
      </c>
      <c r="D222" s="18">
        <v>0.91</v>
      </c>
      <c r="E222" s="6">
        <v>30</v>
      </c>
      <c r="F222" s="6">
        <v>50</v>
      </c>
      <c r="G222" s="6">
        <v>300</v>
      </c>
      <c r="H222" s="6">
        <v>0</v>
      </c>
      <c r="I222" s="6">
        <v>0</v>
      </c>
      <c r="J222" s="18">
        <f t="shared" si="6"/>
        <v>0</v>
      </c>
      <c r="K222" s="18">
        <f t="shared" si="7"/>
        <v>273</v>
      </c>
    </row>
    <row r="223" spans="1:11" x14ac:dyDescent="0.3">
      <c r="A223" s="5" t="s">
        <v>450</v>
      </c>
      <c r="B223" s="6" t="s">
        <v>451</v>
      </c>
      <c r="C223" s="8" t="s">
        <v>397</v>
      </c>
      <c r="D223" s="18">
        <v>1.69</v>
      </c>
      <c r="E223" s="6">
        <v>38</v>
      </c>
      <c r="F223" s="6">
        <v>63</v>
      </c>
      <c r="G223" s="6">
        <v>150</v>
      </c>
      <c r="H223" s="6">
        <v>0</v>
      </c>
      <c r="I223" s="6">
        <v>0</v>
      </c>
      <c r="J223" s="18">
        <f t="shared" si="6"/>
        <v>0</v>
      </c>
      <c r="K223" s="18">
        <f t="shared" si="7"/>
        <v>253.5</v>
      </c>
    </row>
    <row r="224" spans="1:11" x14ac:dyDescent="0.3">
      <c r="A224" s="5" t="s">
        <v>452</v>
      </c>
      <c r="B224" s="6" t="s">
        <v>453</v>
      </c>
      <c r="C224" s="8" t="s">
        <v>397</v>
      </c>
      <c r="D224" s="18">
        <v>496.99</v>
      </c>
      <c r="E224" s="6">
        <v>75</v>
      </c>
      <c r="F224" s="6">
        <v>125</v>
      </c>
      <c r="G224" s="6">
        <v>1100</v>
      </c>
      <c r="H224" s="6">
        <v>0</v>
      </c>
      <c r="I224" s="6">
        <v>0</v>
      </c>
      <c r="J224" s="18">
        <f t="shared" si="6"/>
        <v>0</v>
      </c>
      <c r="K224" s="18">
        <f t="shared" si="7"/>
        <v>546689</v>
      </c>
    </row>
    <row r="225" spans="1:11" x14ac:dyDescent="0.3">
      <c r="A225" s="5" t="s">
        <v>454</v>
      </c>
      <c r="B225" s="6" t="s">
        <v>455</v>
      </c>
      <c r="C225" s="8" t="s">
        <v>397</v>
      </c>
      <c r="D225" s="18">
        <v>77.05</v>
      </c>
      <c r="E225" s="6">
        <v>45</v>
      </c>
      <c r="F225" s="6">
        <v>75</v>
      </c>
      <c r="G225" s="6">
        <v>131</v>
      </c>
      <c r="H225" s="6">
        <v>0</v>
      </c>
      <c r="I225" s="6">
        <v>0</v>
      </c>
      <c r="J225" s="18">
        <f t="shared" si="6"/>
        <v>0</v>
      </c>
      <c r="K225" s="18">
        <f t="shared" si="7"/>
        <v>10093.549999999999</v>
      </c>
    </row>
    <row r="226" spans="1:11" x14ac:dyDescent="0.3">
      <c r="A226" s="5" t="s">
        <v>456</v>
      </c>
      <c r="B226" s="6" t="s">
        <v>457</v>
      </c>
      <c r="C226" s="8" t="s">
        <v>397</v>
      </c>
      <c r="D226" s="18">
        <v>169.6</v>
      </c>
      <c r="E226" s="6">
        <v>18</v>
      </c>
      <c r="F226" s="6">
        <v>30</v>
      </c>
      <c r="G226" s="6">
        <v>11</v>
      </c>
      <c r="H226" s="6">
        <v>0</v>
      </c>
      <c r="I226" s="6">
        <v>19</v>
      </c>
      <c r="J226" s="18">
        <f t="shared" si="6"/>
        <v>3222.4</v>
      </c>
      <c r="K226" s="18">
        <f t="shared" si="7"/>
        <v>1865.6</v>
      </c>
    </row>
    <row r="227" spans="1:11" x14ac:dyDescent="0.3">
      <c r="A227" s="5" t="s">
        <v>458</v>
      </c>
      <c r="B227" s="6" t="s">
        <v>459</v>
      </c>
      <c r="C227" s="8" t="s">
        <v>397</v>
      </c>
      <c r="D227" s="18">
        <f>670.43/25</f>
        <v>26.8172</v>
      </c>
      <c r="E227" s="6">
        <v>15</v>
      </c>
      <c r="F227" s="6">
        <v>25</v>
      </c>
      <c r="G227" s="6">
        <v>10</v>
      </c>
      <c r="H227" s="6">
        <v>0</v>
      </c>
      <c r="I227" s="6">
        <v>15</v>
      </c>
      <c r="J227" s="18">
        <f t="shared" si="6"/>
        <v>402.25799999999998</v>
      </c>
      <c r="K227" s="18">
        <f t="shared" si="7"/>
        <v>268.17200000000003</v>
      </c>
    </row>
    <row r="228" spans="1:11" x14ac:dyDescent="0.3">
      <c r="A228" s="5" t="s">
        <v>460</v>
      </c>
      <c r="B228" s="6" t="s">
        <v>461</v>
      </c>
      <c r="C228" s="8" t="s">
        <v>397</v>
      </c>
      <c r="D228" s="18">
        <v>0</v>
      </c>
      <c r="E228" s="6">
        <v>15</v>
      </c>
      <c r="F228" s="6">
        <v>25</v>
      </c>
      <c r="G228" s="6">
        <v>0</v>
      </c>
      <c r="H228" s="6">
        <v>0</v>
      </c>
      <c r="I228" s="6">
        <v>25</v>
      </c>
      <c r="J228" s="18">
        <f t="shared" si="6"/>
        <v>0</v>
      </c>
      <c r="K228" s="18">
        <f t="shared" si="7"/>
        <v>0</v>
      </c>
    </row>
    <row r="229" spans="1:11" x14ac:dyDescent="0.3">
      <c r="A229" s="5" t="s">
        <v>468</v>
      </c>
      <c r="B229" s="6" t="s">
        <v>469</v>
      </c>
      <c r="C229" s="8" t="s">
        <v>397</v>
      </c>
      <c r="D229" s="18">
        <v>279.60000000000002</v>
      </c>
      <c r="E229" s="6">
        <v>8</v>
      </c>
      <c r="F229" s="6">
        <v>13</v>
      </c>
      <c r="G229" s="6">
        <v>12</v>
      </c>
      <c r="H229" s="6">
        <v>0</v>
      </c>
      <c r="I229" s="6">
        <v>0</v>
      </c>
      <c r="J229" s="18">
        <f t="shared" si="6"/>
        <v>0</v>
      </c>
      <c r="K229" s="18">
        <f t="shared" si="7"/>
        <v>3355.2000000000003</v>
      </c>
    </row>
    <row r="230" spans="1:11" x14ac:dyDescent="0.3">
      <c r="J230" s="20" t="s">
        <v>473</v>
      </c>
      <c r="K230" s="18">
        <f>SUBTOTAL(9,K2:K229)</f>
        <v>1217315.8847536233</v>
      </c>
    </row>
    <row r="232" spans="1:11" x14ac:dyDescent="0.3">
      <c r="J232" s="20" t="s">
        <v>474</v>
      </c>
      <c r="K232" s="18">
        <f>SUBTOTAL(9,J2:J229)</f>
        <v>638238.01913043461</v>
      </c>
    </row>
  </sheetData>
  <autoFilter ref="A1:J229" xr:uid="{074DA15B-B3A5-493D-963A-AA9D40019EBF}"/>
  <pageMargins left="0.23622047244094491" right="0.23622047244094491" top="0.74803149606299213" bottom="0.74803149606299213" header="0.31496062992125984" footer="0.31496062992125984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8A59-0DB4-4887-87F1-6659B5C92CF5}">
  <sheetPr>
    <pageSetUpPr fitToPage="1"/>
  </sheetPr>
  <dimension ref="A1:M109"/>
  <sheetViews>
    <sheetView tabSelected="1" workbookViewId="0">
      <selection activeCell="C27" sqref="C27"/>
    </sheetView>
  </sheetViews>
  <sheetFormatPr defaultRowHeight="14.4" x14ac:dyDescent="0.3"/>
  <cols>
    <col min="1" max="1" width="24.88671875" bestFit="1" customWidth="1"/>
    <col min="2" max="2" width="46.21875" bestFit="1" customWidth="1"/>
    <col min="3" max="3" width="13.77734375" customWidth="1"/>
    <col min="4" max="4" width="10.33203125" customWidth="1"/>
    <col min="5" max="5" width="8.88671875" customWidth="1"/>
    <col min="6" max="6" width="7.77734375" customWidth="1"/>
    <col min="7" max="7" width="7.21875" customWidth="1"/>
    <col min="8" max="8" width="8.44140625" customWidth="1"/>
    <col min="9" max="9" width="8.109375" bestFit="1" customWidth="1"/>
    <col min="10" max="13" width="12.33203125" bestFit="1" customWidth="1"/>
  </cols>
  <sheetData>
    <row r="1" spans="1:10" s="19" customFormat="1" ht="43.2" x14ac:dyDescent="0.3">
      <c r="A1" s="1" t="s">
        <v>0</v>
      </c>
      <c r="B1" s="3" t="s">
        <v>1</v>
      </c>
      <c r="C1" s="3" t="s">
        <v>2</v>
      </c>
      <c r="D1" s="14" t="s">
        <v>462</v>
      </c>
      <c r="E1" s="3" t="s">
        <v>470</v>
      </c>
      <c r="F1" s="3" t="s">
        <v>10</v>
      </c>
      <c r="G1" s="3" t="s">
        <v>3</v>
      </c>
      <c r="H1" s="3" t="s">
        <v>11</v>
      </c>
      <c r="I1" s="3" t="s">
        <v>12</v>
      </c>
      <c r="J1" s="3" t="s">
        <v>471</v>
      </c>
    </row>
    <row r="2" spans="1:10" x14ac:dyDescent="0.3">
      <c r="A2" s="9" t="s">
        <v>103</v>
      </c>
      <c r="B2" s="6" t="s">
        <v>104</v>
      </c>
      <c r="C2" s="7" t="s">
        <v>105</v>
      </c>
      <c r="D2" s="18">
        <v>936</v>
      </c>
      <c r="E2" s="6">
        <v>6</v>
      </c>
      <c r="F2" s="6">
        <v>10</v>
      </c>
      <c r="G2" s="6">
        <v>2</v>
      </c>
      <c r="H2" s="6">
        <v>6</v>
      </c>
      <c r="I2" s="6">
        <v>2</v>
      </c>
      <c r="J2" s="18">
        <v>1872</v>
      </c>
    </row>
    <row r="3" spans="1:10" x14ac:dyDescent="0.3">
      <c r="A3" s="9" t="s">
        <v>108</v>
      </c>
      <c r="B3" s="6" t="s">
        <v>109</v>
      </c>
      <c r="C3" s="7" t="s">
        <v>105</v>
      </c>
      <c r="D3" s="18">
        <v>1241</v>
      </c>
      <c r="E3" s="6">
        <v>6</v>
      </c>
      <c r="F3" s="6">
        <v>10</v>
      </c>
      <c r="G3" s="6">
        <v>5</v>
      </c>
      <c r="H3" s="6">
        <v>4</v>
      </c>
      <c r="I3" s="6">
        <v>1</v>
      </c>
      <c r="J3" s="18">
        <v>1241</v>
      </c>
    </row>
    <row r="4" spans="1:10" x14ac:dyDescent="0.3">
      <c r="A4" s="9" t="s">
        <v>112</v>
      </c>
      <c r="B4" s="6" t="s">
        <v>113</v>
      </c>
      <c r="C4" s="7" t="s">
        <v>105</v>
      </c>
      <c r="D4" s="18">
        <v>1344.6</v>
      </c>
      <c r="E4" s="6">
        <v>6</v>
      </c>
      <c r="F4" s="6">
        <v>10</v>
      </c>
      <c r="G4" s="6">
        <v>2</v>
      </c>
      <c r="H4" s="6">
        <v>6</v>
      </c>
      <c r="I4" s="6">
        <v>2</v>
      </c>
      <c r="J4" s="18">
        <v>2689.2</v>
      </c>
    </row>
    <row r="5" spans="1:10" x14ac:dyDescent="0.3">
      <c r="A5" s="9" t="s">
        <v>116</v>
      </c>
      <c r="B5" s="6" t="s">
        <v>117</v>
      </c>
      <c r="C5" s="7" t="s">
        <v>105</v>
      </c>
      <c r="D5" s="18">
        <v>1494</v>
      </c>
      <c r="E5" s="6">
        <v>3</v>
      </c>
      <c r="F5" s="6">
        <v>5</v>
      </c>
      <c r="G5" s="6">
        <v>2</v>
      </c>
      <c r="H5" s="6">
        <v>0</v>
      </c>
      <c r="I5" s="6">
        <v>3</v>
      </c>
      <c r="J5" s="18">
        <v>4482</v>
      </c>
    </row>
    <row r="6" spans="1:10" x14ac:dyDescent="0.3">
      <c r="A6" s="9" t="s">
        <v>124</v>
      </c>
      <c r="B6" s="6" t="s">
        <v>125</v>
      </c>
      <c r="C6" s="7" t="s">
        <v>105</v>
      </c>
      <c r="D6" s="18">
        <v>1792</v>
      </c>
      <c r="E6" s="6">
        <v>5</v>
      </c>
      <c r="F6" s="6">
        <v>8</v>
      </c>
      <c r="G6" s="6">
        <v>2</v>
      </c>
      <c r="H6" s="6">
        <v>0</v>
      </c>
      <c r="I6" s="6">
        <v>6</v>
      </c>
      <c r="J6" s="18">
        <v>10752</v>
      </c>
    </row>
    <row r="7" spans="1:10" x14ac:dyDescent="0.3">
      <c r="A7" s="9" t="s">
        <v>136</v>
      </c>
      <c r="B7" s="6" t="s">
        <v>137</v>
      </c>
      <c r="C7" s="7" t="s">
        <v>105</v>
      </c>
      <c r="D7" s="18">
        <v>2158</v>
      </c>
      <c r="E7" s="6">
        <v>3</v>
      </c>
      <c r="F7" s="6">
        <v>5</v>
      </c>
      <c r="G7" s="6">
        <v>0</v>
      </c>
      <c r="H7" s="6">
        <v>4</v>
      </c>
      <c r="I7" s="6">
        <v>1</v>
      </c>
      <c r="J7" s="18">
        <v>2158</v>
      </c>
    </row>
    <row r="8" spans="1:10" x14ac:dyDescent="0.3">
      <c r="A8" s="9" t="s">
        <v>140</v>
      </c>
      <c r="B8" s="6" t="s">
        <v>141</v>
      </c>
      <c r="C8" s="7" t="s">
        <v>105</v>
      </c>
      <c r="D8" s="18">
        <v>2516</v>
      </c>
      <c r="E8" s="6">
        <v>3</v>
      </c>
      <c r="F8" s="6">
        <v>5</v>
      </c>
      <c r="G8" s="6">
        <v>3</v>
      </c>
      <c r="H8" s="6">
        <v>0</v>
      </c>
      <c r="I8" s="6">
        <v>2</v>
      </c>
      <c r="J8" s="18">
        <v>5032</v>
      </c>
    </row>
    <row r="9" spans="1:10" x14ac:dyDescent="0.3">
      <c r="A9" s="9" t="s">
        <v>144</v>
      </c>
      <c r="B9" s="6" t="s">
        <v>145</v>
      </c>
      <c r="C9" s="7" t="s">
        <v>105</v>
      </c>
      <c r="D9" s="18">
        <v>2817</v>
      </c>
      <c r="E9" s="6">
        <v>3</v>
      </c>
      <c r="F9" s="6">
        <v>5</v>
      </c>
      <c r="G9" s="6">
        <v>0</v>
      </c>
      <c r="H9" s="6">
        <v>4</v>
      </c>
      <c r="I9" s="6">
        <v>1</v>
      </c>
      <c r="J9" s="18">
        <v>2817</v>
      </c>
    </row>
    <row r="10" spans="1:10" x14ac:dyDescent="0.3">
      <c r="A10" s="9" t="s">
        <v>148</v>
      </c>
      <c r="B10" s="6" t="s">
        <v>149</v>
      </c>
      <c r="C10" s="7" t="s">
        <v>105</v>
      </c>
      <c r="D10" s="18">
        <v>3285</v>
      </c>
      <c r="E10" s="6">
        <v>3</v>
      </c>
      <c r="F10" s="6">
        <v>5</v>
      </c>
      <c r="G10" s="6">
        <v>1</v>
      </c>
      <c r="H10" s="6">
        <v>0</v>
      </c>
      <c r="I10" s="6">
        <v>4</v>
      </c>
      <c r="J10" s="18">
        <v>13140</v>
      </c>
    </row>
    <row r="11" spans="1:10" x14ac:dyDescent="0.3">
      <c r="A11" s="9" t="s">
        <v>155</v>
      </c>
      <c r="B11" s="6" t="s">
        <v>156</v>
      </c>
      <c r="C11" s="7" t="s">
        <v>105</v>
      </c>
      <c r="D11" s="18">
        <v>4386</v>
      </c>
      <c r="E11" s="6">
        <v>2</v>
      </c>
      <c r="F11" s="6">
        <v>3</v>
      </c>
      <c r="G11" s="6">
        <v>1</v>
      </c>
      <c r="H11" s="6">
        <v>0</v>
      </c>
      <c r="I11" s="6">
        <v>2</v>
      </c>
      <c r="J11" s="18">
        <v>8772</v>
      </c>
    </row>
    <row r="12" spans="1:10" x14ac:dyDescent="0.3">
      <c r="A12" s="9" t="s">
        <v>106</v>
      </c>
      <c r="B12" s="6" t="s">
        <v>107</v>
      </c>
      <c r="C12" s="7" t="s">
        <v>105</v>
      </c>
      <c r="D12" s="18">
        <v>794.72249999999997</v>
      </c>
      <c r="E12" s="6">
        <v>6</v>
      </c>
      <c r="F12" s="6">
        <v>10</v>
      </c>
      <c r="G12" s="6">
        <v>0</v>
      </c>
      <c r="H12" s="6">
        <v>0</v>
      </c>
      <c r="I12" s="6">
        <v>10</v>
      </c>
      <c r="J12" s="18">
        <v>7947.2249999999995</v>
      </c>
    </row>
    <row r="13" spans="1:10" x14ac:dyDescent="0.3">
      <c r="A13" s="9" t="s">
        <v>110</v>
      </c>
      <c r="B13" s="6" t="s">
        <v>111</v>
      </c>
      <c r="C13" s="7" t="s">
        <v>105</v>
      </c>
      <c r="D13" s="18">
        <v>1061.5999999999999</v>
      </c>
      <c r="E13" s="6">
        <v>6</v>
      </c>
      <c r="F13" s="6">
        <v>10</v>
      </c>
      <c r="G13" s="6">
        <v>0</v>
      </c>
      <c r="H13" s="6">
        <v>0</v>
      </c>
      <c r="I13" s="6">
        <v>10</v>
      </c>
      <c r="J13" s="18">
        <v>10616</v>
      </c>
    </row>
    <row r="14" spans="1:10" x14ac:dyDescent="0.3">
      <c r="A14" s="9" t="s">
        <v>114</v>
      </c>
      <c r="B14" s="6" t="s">
        <v>115</v>
      </c>
      <c r="C14" s="7" t="s">
        <v>105</v>
      </c>
      <c r="D14" s="18">
        <v>1120.3500000000001</v>
      </c>
      <c r="E14" s="6">
        <v>6</v>
      </c>
      <c r="F14" s="6">
        <v>10</v>
      </c>
      <c r="G14" s="6">
        <v>0</v>
      </c>
      <c r="H14" s="6">
        <v>0</v>
      </c>
      <c r="I14" s="6">
        <v>10</v>
      </c>
      <c r="J14" s="18">
        <v>11203.500000000002</v>
      </c>
    </row>
    <row r="15" spans="1:10" x14ac:dyDescent="0.3">
      <c r="A15" s="9" t="s">
        <v>118</v>
      </c>
      <c r="B15" s="6" t="s">
        <v>119</v>
      </c>
      <c r="C15" s="7" t="s">
        <v>105</v>
      </c>
      <c r="D15" s="18">
        <v>1269.75</v>
      </c>
      <c r="E15" s="6">
        <v>3</v>
      </c>
      <c r="F15" s="6">
        <v>5</v>
      </c>
      <c r="G15" s="6">
        <v>0</v>
      </c>
      <c r="H15" s="6">
        <v>0</v>
      </c>
      <c r="I15" s="6">
        <v>5</v>
      </c>
      <c r="J15" s="18">
        <v>6348.75</v>
      </c>
    </row>
    <row r="16" spans="1:10" x14ac:dyDescent="0.3">
      <c r="A16" s="9" t="s">
        <v>122</v>
      </c>
      <c r="B16" s="6" t="s">
        <v>123</v>
      </c>
      <c r="C16" s="7" t="s">
        <v>105</v>
      </c>
      <c r="D16" s="18">
        <v>1450.84</v>
      </c>
      <c r="E16" s="6">
        <v>5</v>
      </c>
      <c r="F16" s="6">
        <v>8</v>
      </c>
      <c r="G16" s="6">
        <v>0</v>
      </c>
      <c r="H16" s="6">
        <v>0</v>
      </c>
      <c r="I16" s="6">
        <v>8</v>
      </c>
      <c r="J16" s="18">
        <v>11606.72</v>
      </c>
    </row>
    <row r="17" spans="1:13" x14ac:dyDescent="0.3">
      <c r="A17" s="9" t="s">
        <v>126</v>
      </c>
      <c r="B17" s="6" t="s">
        <v>127</v>
      </c>
      <c r="C17" s="7" t="s">
        <v>105</v>
      </c>
      <c r="D17" s="18">
        <v>1515.7239999999999</v>
      </c>
      <c r="E17" s="6">
        <v>5</v>
      </c>
      <c r="F17" s="6">
        <v>8</v>
      </c>
      <c r="G17" s="6">
        <v>0</v>
      </c>
      <c r="H17" s="6">
        <v>0</v>
      </c>
      <c r="I17" s="6">
        <v>8</v>
      </c>
      <c r="J17" s="18">
        <v>12125.791999999999</v>
      </c>
    </row>
    <row r="18" spans="1:13" x14ac:dyDescent="0.3">
      <c r="A18" s="9" t="s">
        <v>130</v>
      </c>
      <c r="B18" s="6" t="s">
        <v>131</v>
      </c>
      <c r="C18" s="7" t="s">
        <v>105</v>
      </c>
      <c r="D18" s="18">
        <v>1688.4449999999999</v>
      </c>
      <c r="E18" s="6">
        <v>3</v>
      </c>
      <c r="F18" s="6">
        <v>5</v>
      </c>
      <c r="G18" s="6">
        <v>0</v>
      </c>
      <c r="H18" s="6">
        <v>0</v>
      </c>
      <c r="I18" s="6">
        <v>5</v>
      </c>
      <c r="J18" s="18">
        <v>8442.2250000000004</v>
      </c>
    </row>
    <row r="19" spans="1:13" x14ac:dyDescent="0.3">
      <c r="A19" s="9" t="s">
        <v>134</v>
      </c>
      <c r="B19" s="6" t="s">
        <v>135</v>
      </c>
      <c r="C19" s="7" t="s">
        <v>105</v>
      </c>
      <c r="D19" s="18">
        <v>1987.1895</v>
      </c>
      <c r="E19" s="6">
        <v>3</v>
      </c>
      <c r="F19" s="6">
        <v>5</v>
      </c>
      <c r="G19" s="6">
        <v>0</v>
      </c>
      <c r="H19" s="6">
        <v>0</v>
      </c>
      <c r="I19" s="6">
        <v>5</v>
      </c>
      <c r="J19" s="18">
        <v>9935.9475000000002</v>
      </c>
    </row>
    <row r="20" spans="1:13" x14ac:dyDescent="0.3">
      <c r="A20" s="9" t="s">
        <v>138</v>
      </c>
      <c r="B20" s="6" t="s">
        <v>139</v>
      </c>
      <c r="C20" s="7" t="s">
        <v>105</v>
      </c>
      <c r="D20" s="18">
        <v>1839.5650000000001</v>
      </c>
      <c r="E20" s="6">
        <v>3</v>
      </c>
      <c r="F20" s="6">
        <v>5</v>
      </c>
      <c r="G20" s="6">
        <v>0</v>
      </c>
      <c r="H20" s="6">
        <v>0</v>
      </c>
      <c r="I20" s="6">
        <v>5</v>
      </c>
      <c r="J20" s="18">
        <v>9197.8250000000007</v>
      </c>
    </row>
    <row r="21" spans="1:13" x14ac:dyDescent="0.3">
      <c r="A21" s="9" t="s">
        <v>142</v>
      </c>
      <c r="B21" s="6" t="s">
        <v>143</v>
      </c>
      <c r="C21" s="7" t="s">
        <v>105</v>
      </c>
      <c r="D21" s="18">
        <v>2165.7215000000001</v>
      </c>
      <c r="E21" s="6">
        <v>3</v>
      </c>
      <c r="F21" s="6">
        <v>5</v>
      </c>
      <c r="G21" s="6">
        <v>0</v>
      </c>
      <c r="H21" s="6">
        <v>0</v>
      </c>
      <c r="I21" s="6">
        <v>5</v>
      </c>
      <c r="J21" s="18">
        <v>10828.6075</v>
      </c>
    </row>
    <row r="22" spans="1:13" x14ac:dyDescent="0.3">
      <c r="A22" s="9" t="s">
        <v>146</v>
      </c>
      <c r="B22" s="6" t="s">
        <v>147</v>
      </c>
      <c r="C22" s="7" t="s">
        <v>105</v>
      </c>
      <c r="D22" s="18">
        <v>2458.1999999999998</v>
      </c>
      <c r="E22" s="6">
        <v>3</v>
      </c>
      <c r="F22" s="6">
        <v>5</v>
      </c>
      <c r="G22" s="6">
        <v>0</v>
      </c>
      <c r="H22" s="6">
        <v>0</v>
      </c>
      <c r="I22" s="6">
        <v>5</v>
      </c>
      <c r="J22" s="18">
        <v>12291</v>
      </c>
    </row>
    <row r="23" spans="1:13" x14ac:dyDescent="0.3">
      <c r="A23" s="9" t="s">
        <v>153</v>
      </c>
      <c r="B23" s="6" t="s">
        <v>154</v>
      </c>
      <c r="C23" s="7" t="s">
        <v>105</v>
      </c>
      <c r="D23" s="18">
        <v>2890.3199999999997</v>
      </c>
      <c r="E23" s="6">
        <v>3</v>
      </c>
      <c r="F23" s="6">
        <v>5</v>
      </c>
      <c r="G23" s="6">
        <v>0</v>
      </c>
      <c r="H23" s="6">
        <v>0</v>
      </c>
      <c r="I23" s="6">
        <v>5</v>
      </c>
      <c r="J23" s="18">
        <v>14451.599999999999</v>
      </c>
    </row>
    <row r="24" spans="1:13" x14ac:dyDescent="0.3">
      <c r="A24" s="9" t="s">
        <v>157</v>
      </c>
      <c r="B24" s="6" t="s">
        <v>158</v>
      </c>
      <c r="C24" s="7" t="s">
        <v>105</v>
      </c>
      <c r="D24" s="18">
        <v>3357.35</v>
      </c>
      <c r="E24" s="6">
        <v>2</v>
      </c>
      <c r="F24" s="6">
        <v>3</v>
      </c>
      <c r="G24" s="6">
        <v>0</v>
      </c>
      <c r="H24" s="6">
        <v>0</v>
      </c>
      <c r="I24" s="6">
        <v>3</v>
      </c>
      <c r="J24" s="18">
        <v>10072.049999999999</v>
      </c>
    </row>
    <row r="25" spans="1:13" x14ac:dyDescent="0.3">
      <c r="A25" s="12"/>
      <c r="B25" s="4"/>
      <c r="C25" s="13"/>
      <c r="D25" s="17"/>
      <c r="E25" s="4"/>
      <c r="F25" s="4"/>
      <c r="G25" s="4"/>
      <c r="H25" s="4"/>
      <c r="I25" s="4"/>
      <c r="J25" s="18">
        <v>188022.44200000001</v>
      </c>
    </row>
    <row r="27" spans="1:13" ht="57.6" x14ac:dyDescent="0.3">
      <c r="A27" s="1" t="s">
        <v>0</v>
      </c>
      <c r="B27" s="2" t="s">
        <v>1</v>
      </c>
      <c r="C27" s="3" t="s">
        <v>2</v>
      </c>
      <c r="D27" s="14" t="s">
        <v>477</v>
      </c>
      <c r="E27" s="14" t="s">
        <v>475</v>
      </c>
      <c r="F27" s="3" t="s">
        <v>470</v>
      </c>
      <c r="G27" s="3" t="s">
        <v>10</v>
      </c>
      <c r="H27" s="23" t="s">
        <v>3</v>
      </c>
      <c r="I27" s="3" t="s">
        <v>11</v>
      </c>
      <c r="J27" s="3" t="s">
        <v>12</v>
      </c>
      <c r="K27" s="3" t="s">
        <v>471</v>
      </c>
      <c r="L27" s="3" t="s">
        <v>12</v>
      </c>
      <c r="M27" s="3" t="s">
        <v>471</v>
      </c>
    </row>
    <row r="28" spans="1:13" x14ac:dyDescent="0.3">
      <c r="A28" s="5" t="s">
        <v>306</v>
      </c>
      <c r="B28" s="6" t="s">
        <v>307</v>
      </c>
      <c r="C28" s="8" t="s">
        <v>308</v>
      </c>
      <c r="D28" s="18">
        <v>1138</v>
      </c>
      <c r="E28" s="24"/>
      <c r="F28" s="6">
        <v>6</v>
      </c>
      <c r="G28" s="6">
        <v>8</v>
      </c>
      <c r="H28" s="22">
        <v>8</v>
      </c>
      <c r="I28" s="6">
        <v>0</v>
      </c>
      <c r="J28" s="6">
        <v>3</v>
      </c>
      <c r="K28" s="18">
        <v>3414</v>
      </c>
      <c r="L28" s="6">
        <v>3</v>
      </c>
      <c r="M28" s="18">
        <f>D28*L28</f>
        <v>3414</v>
      </c>
    </row>
    <row r="29" spans="1:13" x14ac:dyDescent="0.3">
      <c r="A29" s="5" t="s">
        <v>309</v>
      </c>
      <c r="B29" s="6" t="s">
        <v>310</v>
      </c>
      <c r="C29" s="8" t="s">
        <v>308</v>
      </c>
      <c r="D29" s="18">
        <v>1193</v>
      </c>
      <c r="E29" s="24"/>
      <c r="F29" s="6">
        <v>9</v>
      </c>
      <c r="G29" s="6">
        <v>12</v>
      </c>
      <c r="H29" s="22">
        <v>1</v>
      </c>
      <c r="I29" s="6">
        <v>0</v>
      </c>
      <c r="J29" s="6">
        <v>11</v>
      </c>
      <c r="K29" s="18">
        <v>13123</v>
      </c>
      <c r="L29" s="6">
        <v>11</v>
      </c>
      <c r="M29" s="18">
        <f t="shared" ref="M29:M48" si="0">D29*L29</f>
        <v>13123</v>
      </c>
    </row>
    <row r="30" spans="1:13" x14ac:dyDescent="0.3">
      <c r="A30" s="5" t="s">
        <v>311</v>
      </c>
      <c r="B30" s="6" t="s">
        <v>312</v>
      </c>
      <c r="C30" s="8" t="s">
        <v>308</v>
      </c>
      <c r="D30" s="18">
        <v>1226</v>
      </c>
      <c r="E30" s="24" t="s">
        <v>476</v>
      </c>
      <c r="F30" s="6">
        <v>9</v>
      </c>
      <c r="G30" s="6">
        <v>12</v>
      </c>
      <c r="H30" s="22">
        <v>6</v>
      </c>
      <c r="I30" s="6">
        <v>0</v>
      </c>
      <c r="J30" s="6">
        <v>6</v>
      </c>
      <c r="K30" s="18">
        <v>7356</v>
      </c>
      <c r="L30" s="6"/>
      <c r="M30" s="18">
        <f t="shared" si="0"/>
        <v>0</v>
      </c>
    </row>
    <row r="31" spans="1:13" x14ac:dyDescent="0.3">
      <c r="A31" s="5" t="s">
        <v>313</v>
      </c>
      <c r="B31" s="6" t="s">
        <v>314</v>
      </c>
      <c r="C31" s="8" t="s">
        <v>308</v>
      </c>
      <c r="D31" s="18">
        <v>1277</v>
      </c>
      <c r="E31" s="24"/>
      <c r="F31" s="6">
        <v>9</v>
      </c>
      <c r="G31" s="6">
        <v>12</v>
      </c>
      <c r="H31" s="22">
        <v>5</v>
      </c>
      <c r="I31" s="6">
        <v>0</v>
      </c>
      <c r="J31" s="6">
        <v>7</v>
      </c>
      <c r="K31" s="18">
        <v>8939</v>
      </c>
      <c r="L31" s="6">
        <v>7</v>
      </c>
      <c r="M31" s="18">
        <f t="shared" si="0"/>
        <v>8939</v>
      </c>
    </row>
    <row r="32" spans="1:13" x14ac:dyDescent="0.3">
      <c r="A32" s="5" t="s">
        <v>315</v>
      </c>
      <c r="B32" s="6" t="s">
        <v>316</v>
      </c>
      <c r="C32" s="8" t="s">
        <v>308</v>
      </c>
      <c r="D32" s="18">
        <v>1535</v>
      </c>
      <c r="E32" s="24"/>
      <c r="F32" s="6">
        <v>9</v>
      </c>
      <c r="G32" s="6">
        <v>12</v>
      </c>
      <c r="H32" s="22">
        <v>3</v>
      </c>
      <c r="I32" s="6">
        <v>0</v>
      </c>
      <c r="J32" s="6">
        <v>9</v>
      </c>
      <c r="K32" s="18">
        <v>13815</v>
      </c>
      <c r="L32" s="6">
        <v>9</v>
      </c>
      <c r="M32" s="18">
        <f t="shared" si="0"/>
        <v>13815</v>
      </c>
    </row>
    <row r="33" spans="1:13" x14ac:dyDescent="0.3">
      <c r="A33" s="5" t="s">
        <v>317</v>
      </c>
      <c r="B33" s="6" t="s">
        <v>318</v>
      </c>
      <c r="C33" s="8" t="s">
        <v>308</v>
      </c>
      <c r="D33" s="18">
        <v>1641</v>
      </c>
      <c r="E33" s="24"/>
      <c r="F33" s="6">
        <v>3</v>
      </c>
      <c r="G33" s="6">
        <v>4</v>
      </c>
      <c r="H33" s="22">
        <v>1</v>
      </c>
      <c r="I33" s="6">
        <v>0</v>
      </c>
      <c r="J33" s="6">
        <v>3</v>
      </c>
      <c r="K33" s="18">
        <v>4923</v>
      </c>
      <c r="L33" s="6">
        <v>3</v>
      </c>
      <c r="M33" s="18">
        <f t="shared" si="0"/>
        <v>4923</v>
      </c>
    </row>
    <row r="34" spans="1:13" x14ac:dyDescent="0.3">
      <c r="A34" s="5" t="s">
        <v>319</v>
      </c>
      <c r="B34" s="6" t="s">
        <v>320</v>
      </c>
      <c r="C34" s="8" t="s">
        <v>308</v>
      </c>
      <c r="D34" s="18">
        <v>1768</v>
      </c>
      <c r="E34" s="24"/>
      <c r="F34" s="6">
        <v>6</v>
      </c>
      <c r="G34" s="6">
        <v>8</v>
      </c>
      <c r="H34" s="22">
        <v>5</v>
      </c>
      <c r="I34" s="6">
        <v>0</v>
      </c>
      <c r="J34" s="6">
        <v>3</v>
      </c>
      <c r="K34" s="18">
        <v>5304</v>
      </c>
      <c r="L34" s="6">
        <v>3</v>
      </c>
      <c r="M34" s="18">
        <f t="shared" si="0"/>
        <v>5304</v>
      </c>
    </row>
    <row r="35" spans="1:13" x14ac:dyDescent="0.3">
      <c r="A35" s="5" t="s">
        <v>321</v>
      </c>
      <c r="B35" s="6" t="s">
        <v>322</v>
      </c>
      <c r="C35" s="8" t="s">
        <v>308</v>
      </c>
      <c r="D35" s="18">
        <v>1874</v>
      </c>
      <c r="E35" s="24" t="s">
        <v>476</v>
      </c>
      <c r="F35" s="6">
        <v>3</v>
      </c>
      <c r="G35" s="6">
        <v>4</v>
      </c>
      <c r="H35" s="22">
        <v>0</v>
      </c>
      <c r="I35" s="6">
        <v>2</v>
      </c>
      <c r="J35" s="6">
        <v>2</v>
      </c>
      <c r="K35" s="18">
        <v>3748</v>
      </c>
      <c r="L35" s="6"/>
      <c r="M35" s="18">
        <f t="shared" si="0"/>
        <v>0</v>
      </c>
    </row>
    <row r="36" spans="1:13" x14ac:dyDescent="0.3">
      <c r="A36" s="5" t="s">
        <v>323</v>
      </c>
      <c r="B36" s="6" t="s">
        <v>324</v>
      </c>
      <c r="C36" s="8" t="s">
        <v>308</v>
      </c>
      <c r="D36" s="18">
        <v>1805</v>
      </c>
      <c r="E36" s="24" t="s">
        <v>476</v>
      </c>
      <c r="F36" s="6">
        <v>12</v>
      </c>
      <c r="G36" s="6">
        <v>16</v>
      </c>
      <c r="H36" s="22">
        <v>0</v>
      </c>
      <c r="I36" s="6">
        <v>5</v>
      </c>
      <c r="J36" s="6">
        <v>11</v>
      </c>
      <c r="K36" s="18">
        <v>19855</v>
      </c>
      <c r="L36" s="6"/>
      <c r="M36" s="18">
        <f t="shared" si="0"/>
        <v>0</v>
      </c>
    </row>
    <row r="37" spans="1:13" x14ac:dyDescent="0.3">
      <c r="A37" s="5" t="s">
        <v>327</v>
      </c>
      <c r="B37" s="6" t="s">
        <v>328</v>
      </c>
      <c r="C37" s="8" t="s">
        <v>308</v>
      </c>
      <c r="D37" s="18">
        <v>2182</v>
      </c>
      <c r="E37" s="24" t="s">
        <v>476</v>
      </c>
      <c r="F37" s="6">
        <v>9</v>
      </c>
      <c r="G37" s="6">
        <v>12</v>
      </c>
      <c r="H37" s="22">
        <v>0</v>
      </c>
      <c r="I37" s="6">
        <v>1</v>
      </c>
      <c r="J37" s="6">
        <v>11</v>
      </c>
      <c r="K37" s="18">
        <v>24002</v>
      </c>
      <c r="L37" s="6"/>
      <c r="M37" s="18">
        <f t="shared" si="0"/>
        <v>0</v>
      </c>
    </row>
    <row r="38" spans="1:13" x14ac:dyDescent="0.3">
      <c r="A38" s="5" t="s">
        <v>331</v>
      </c>
      <c r="B38" s="6" t="s">
        <v>332</v>
      </c>
      <c r="C38" s="8" t="s">
        <v>308</v>
      </c>
      <c r="D38" s="18">
        <v>2304</v>
      </c>
      <c r="E38" s="24"/>
      <c r="F38" s="6">
        <v>3</v>
      </c>
      <c r="G38" s="6">
        <v>4</v>
      </c>
      <c r="H38" s="22">
        <v>0</v>
      </c>
      <c r="I38" s="6">
        <v>0</v>
      </c>
      <c r="J38" s="6">
        <v>4</v>
      </c>
      <c r="K38" s="18">
        <v>9216</v>
      </c>
      <c r="L38" s="6">
        <v>4</v>
      </c>
      <c r="M38" s="18">
        <f t="shared" si="0"/>
        <v>9216</v>
      </c>
    </row>
    <row r="39" spans="1:13" x14ac:dyDescent="0.3">
      <c r="A39" s="5" t="s">
        <v>333</v>
      </c>
      <c r="B39" s="6" t="s">
        <v>334</v>
      </c>
      <c r="C39" s="8" t="s">
        <v>308</v>
      </c>
      <c r="D39" s="18">
        <v>2892</v>
      </c>
      <c r="E39" s="24" t="s">
        <v>476</v>
      </c>
      <c r="F39" s="6">
        <v>9</v>
      </c>
      <c r="G39" s="6">
        <v>12</v>
      </c>
      <c r="H39" s="22">
        <v>3</v>
      </c>
      <c r="I39" s="6">
        <v>4</v>
      </c>
      <c r="J39" s="6">
        <v>5</v>
      </c>
      <c r="K39" s="18">
        <v>14460</v>
      </c>
      <c r="L39" s="6"/>
      <c r="M39" s="18">
        <f t="shared" si="0"/>
        <v>0</v>
      </c>
    </row>
    <row r="40" spans="1:13" x14ac:dyDescent="0.3">
      <c r="A40" s="5" t="s">
        <v>335</v>
      </c>
      <c r="B40" s="6" t="s">
        <v>336</v>
      </c>
      <c r="C40" s="8" t="s">
        <v>308</v>
      </c>
      <c r="D40" s="18">
        <v>3150</v>
      </c>
      <c r="E40" s="24"/>
      <c r="F40" s="6">
        <v>3</v>
      </c>
      <c r="G40" s="6">
        <v>4</v>
      </c>
      <c r="H40" s="22">
        <v>0</v>
      </c>
      <c r="I40" s="6">
        <v>1</v>
      </c>
      <c r="J40" s="6">
        <v>3</v>
      </c>
      <c r="K40" s="18">
        <v>9450</v>
      </c>
      <c r="L40" s="6">
        <v>3</v>
      </c>
      <c r="M40" s="18">
        <f t="shared" si="0"/>
        <v>9450</v>
      </c>
    </row>
    <row r="41" spans="1:13" x14ac:dyDescent="0.3">
      <c r="A41" s="5" t="s">
        <v>337</v>
      </c>
      <c r="B41" s="6" t="s">
        <v>338</v>
      </c>
      <c r="C41" s="8" t="s">
        <v>308</v>
      </c>
      <c r="D41" s="18">
        <v>2808</v>
      </c>
      <c r="E41" s="24" t="s">
        <v>476</v>
      </c>
      <c r="F41" s="6">
        <v>9</v>
      </c>
      <c r="G41" s="6">
        <v>12</v>
      </c>
      <c r="H41" s="22">
        <v>0</v>
      </c>
      <c r="I41" s="6">
        <v>0</v>
      </c>
      <c r="J41" s="6">
        <v>12</v>
      </c>
      <c r="K41" s="18">
        <v>33696</v>
      </c>
      <c r="L41" s="6"/>
      <c r="M41" s="18">
        <f t="shared" si="0"/>
        <v>0</v>
      </c>
    </row>
    <row r="42" spans="1:13" x14ac:dyDescent="0.3">
      <c r="A42" s="5" t="s">
        <v>339</v>
      </c>
      <c r="B42" s="6" t="s">
        <v>340</v>
      </c>
      <c r="C42" s="8" t="s">
        <v>308</v>
      </c>
      <c r="D42" s="18">
        <v>3630</v>
      </c>
      <c r="E42" s="24" t="s">
        <v>476</v>
      </c>
      <c r="F42" s="6">
        <v>6</v>
      </c>
      <c r="G42" s="6">
        <v>8</v>
      </c>
      <c r="H42" s="22">
        <v>3</v>
      </c>
      <c r="I42" s="6">
        <v>0</v>
      </c>
      <c r="J42" s="6">
        <v>5</v>
      </c>
      <c r="K42" s="18">
        <v>18150</v>
      </c>
      <c r="L42" s="6"/>
      <c r="M42" s="18">
        <f t="shared" si="0"/>
        <v>0</v>
      </c>
    </row>
    <row r="43" spans="1:13" x14ac:dyDescent="0.3">
      <c r="A43" s="5" t="s">
        <v>341</v>
      </c>
      <c r="B43" s="6" t="s">
        <v>342</v>
      </c>
      <c r="C43" s="8" t="s">
        <v>308</v>
      </c>
      <c r="D43" s="18">
        <v>3630</v>
      </c>
      <c r="E43" s="24"/>
      <c r="F43" s="6">
        <v>6</v>
      </c>
      <c r="G43" s="6">
        <v>8</v>
      </c>
      <c r="H43" s="22">
        <v>1</v>
      </c>
      <c r="I43" s="6">
        <v>1</v>
      </c>
      <c r="J43" s="6">
        <v>6</v>
      </c>
      <c r="K43" s="18">
        <v>21780</v>
      </c>
      <c r="L43" s="6">
        <v>6</v>
      </c>
      <c r="M43" s="18">
        <f t="shared" si="0"/>
        <v>21780</v>
      </c>
    </row>
    <row r="44" spans="1:13" x14ac:dyDescent="0.3">
      <c r="A44" s="5" t="s">
        <v>343</v>
      </c>
      <c r="B44" s="6" t="s">
        <v>344</v>
      </c>
      <c r="C44" s="8" t="s">
        <v>308</v>
      </c>
      <c r="D44" s="18">
        <v>5744</v>
      </c>
      <c r="E44" s="24"/>
      <c r="F44" s="6">
        <v>2</v>
      </c>
      <c r="G44" s="6">
        <v>3</v>
      </c>
      <c r="H44" s="22">
        <v>0</v>
      </c>
      <c r="I44" s="6">
        <v>0</v>
      </c>
      <c r="J44" s="6">
        <v>3</v>
      </c>
      <c r="K44" s="18">
        <v>17232</v>
      </c>
      <c r="L44" s="6">
        <v>3</v>
      </c>
      <c r="M44" s="18">
        <f t="shared" si="0"/>
        <v>17232</v>
      </c>
    </row>
    <row r="45" spans="1:13" x14ac:dyDescent="0.3">
      <c r="A45" s="5" t="s">
        <v>345</v>
      </c>
      <c r="B45" s="6" t="s">
        <v>346</v>
      </c>
      <c r="C45" s="8" t="s">
        <v>308</v>
      </c>
      <c r="D45" s="18">
        <v>4869</v>
      </c>
      <c r="E45" s="24"/>
      <c r="F45" s="6">
        <v>2</v>
      </c>
      <c r="G45" s="6">
        <v>3</v>
      </c>
      <c r="H45" s="22">
        <v>1</v>
      </c>
      <c r="I45" s="6">
        <v>0</v>
      </c>
      <c r="J45" s="6">
        <v>2</v>
      </c>
      <c r="K45" s="18">
        <v>9738</v>
      </c>
      <c r="L45" s="6">
        <v>2</v>
      </c>
      <c r="M45" s="18">
        <f t="shared" si="0"/>
        <v>9738</v>
      </c>
    </row>
    <row r="46" spans="1:13" x14ac:dyDescent="0.3">
      <c r="A46" s="5" t="s">
        <v>347</v>
      </c>
      <c r="B46" s="6" t="s">
        <v>348</v>
      </c>
      <c r="C46" s="8" t="s">
        <v>308</v>
      </c>
      <c r="D46" s="18">
        <v>5492</v>
      </c>
      <c r="E46" s="24"/>
      <c r="F46" s="6">
        <v>0</v>
      </c>
      <c r="G46" s="6">
        <v>1</v>
      </c>
      <c r="H46" s="22">
        <v>0</v>
      </c>
      <c r="I46" s="6">
        <v>0</v>
      </c>
      <c r="J46" s="6">
        <v>1</v>
      </c>
      <c r="K46" s="18">
        <v>5492</v>
      </c>
      <c r="L46" s="6">
        <v>1</v>
      </c>
      <c r="M46" s="18">
        <f t="shared" si="0"/>
        <v>5492</v>
      </c>
    </row>
    <row r="47" spans="1:13" x14ac:dyDescent="0.3">
      <c r="A47" s="5" t="s">
        <v>349</v>
      </c>
      <c r="B47" s="6" t="s">
        <v>350</v>
      </c>
      <c r="C47" s="8" t="s">
        <v>308</v>
      </c>
      <c r="D47" s="18">
        <v>5225</v>
      </c>
      <c r="E47" s="24"/>
      <c r="F47" s="6">
        <v>2</v>
      </c>
      <c r="G47" s="6">
        <v>2</v>
      </c>
      <c r="H47" s="22">
        <v>0</v>
      </c>
      <c r="I47" s="6">
        <v>0</v>
      </c>
      <c r="J47" s="6">
        <v>2</v>
      </c>
      <c r="K47" s="18">
        <v>10450</v>
      </c>
      <c r="L47" s="6">
        <v>2</v>
      </c>
      <c r="M47" s="18">
        <f t="shared" si="0"/>
        <v>10450</v>
      </c>
    </row>
    <row r="48" spans="1:13" x14ac:dyDescent="0.3">
      <c r="A48" s="5" t="s">
        <v>329</v>
      </c>
      <c r="B48" s="6" t="s">
        <v>330</v>
      </c>
      <c r="C48" s="8" t="s">
        <v>308</v>
      </c>
      <c r="D48" s="18">
        <v>7897.17</v>
      </c>
      <c r="E48" s="24" t="s">
        <v>476</v>
      </c>
      <c r="F48" s="6">
        <v>0</v>
      </c>
      <c r="G48" s="6">
        <v>1</v>
      </c>
      <c r="H48" s="22">
        <v>0</v>
      </c>
      <c r="I48" s="6">
        <v>0</v>
      </c>
      <c r="J48" s="6">
        <v>1</v>
      </c>
      <c r="K48" s="18">
        <v>7897.17</v>
      </c>
      <c r="L48" s="6"/>
      <c r="M48" s="18">
        <f t="shared" si="0"/>
        <v>0</v>
      </c>
    </row>
    <row r="49" spans="1:13" x14ac:dyDescent="0.3">
      <c r="A49" s="12"/>
      <c r="B49" s="4"/>
      <c r="C49" s="13"/>
      <c r="D49" s="17"/>
      <c r="E49" s="4"/>
      <c r="F49" s="4"/>
      <c r="G49" s="4"/>
      <c r="H49" s="4"/>
      <c r="I49" s="4"/>
      <c r="K49" s="18">
        <v>257748.17</v>
      </c>
      <c r="M49" s="18">
        <f>SUM(M28:M48)</f>
        <v>132876</v>
      </c>
    </row>
    <row r="51" spans="1:13" ht="43.2" x14ac:dyDescent="0.3">
      <c r="A51" s="1" t="s">
        <v>0</v>
      </c>
      <c r="B51" s="2" t="s">
        <v>1</v>
      </c>
      <c r="C51" s="3" t="s">
        <v>2</v>
      </c>
      <c r="D51" s="14" t="s">
        <v>462</v>
      </c>
      <c r="E51" s="3" t="s">
        <v>470</v>
      </c>
      <c r="F51" s="3" t="s">
        <v>10</v>
      </c>
      <c r="G51" s="3" t="s">
        <v>3</v>
      </c>
      <c r="H51" s="3" t="s">
        <v>11</v>
      </c>
      <c r="I51" s="3" t="s">
        <v>12</v>
      </c>
      <c r="J51" s="3" t="s">
        <v>471</v>
      </c>
    </row>
    <row r="52" spans="1:13" x14ac:dyDescent="0.3">
      <c r="A52" s="5" t="s">
        <v>355</v>
      </c>
      <c r="B52" s="6" t="s">
        <v>356</v>
      </c>
      <c r="C52" s="8" t="s">
        <v>357</v>
      </c>
      <c r="D52" s="18">
        <v>1340</v>
      </c>
      <c r="E52" s="6">
        <v>12</v>
      </c>
      <c r="F52" s="6">
        <v>20</v>
      </c>
      <c r="G52" s="6">
        <v>8</v>
      </c>
      <c r="H52" s="6">
        <v>0</v>
      </c>
      <c r="I52" s="6">
        <v>12</v>
      </c>
      <c r="J52" s="18">
        <v>16080</v>
      </c>
    </row>
    <row r="53" spans="1:13" x14ac:dyDescent="0.3">
      <c r="A53" s="5" t="s">
        <v>360</v>
      </c>
      <c r="B53" s="6" t="s">
        <v>361</v>
      </c>
      <c r="C53" s="8" t="s">
        <v>357</v>
      </c>
      <c r="D53" s="18">
        <v>1632</v>
      </c>
      <c r="E53" s="6">
        <v>9</v>
      </c>
      <c r="F53" s="6">
        <v>15</v>
      </c>
      <c r="G53" s="6">
        <v>6</v>
      </c>
      <c r="H53" s="6">
        <v>0</v>
      </c>
      <c r="I53" s="6">
        <v>9</v>
      </c>
      <c r="J53" s="18">
        <v>14688</v>
      </c>
    </row>
    <row r="54" spans="1:13" x14ac:dyDescent="0.3">
      <c r="A54" s="5" t="s">
        <v>364</v>
      </c>
      <c r="B54" s="6" t="s">
        <v>365</v>
      </c>
      <c r="C54" s="8" t="s">
        <v>357</v>
      </c>
      <c r="D54" s="18">
        <v>2025</v>
      </c>
      <c r="E54" s="6">
        <v>6</v>
      </c>
      <c r="F54" s="6">
        <v>10</v>
      </c>
      <c r="G54" s="6">
        <v>2</v>
      </c>
      <c r="H54" s="6">
        <v>0</v>
      </c>
      <c r="I54" s="6">
        <v>8</v>
      </c>
      <c r="J54" s="18">
        <v>16200</v>
      </c>
    </row>
    <row r="55" spans="1:13" x14ac:dyDescent="0.3">
      <c r="A55" s="5" t="s">
        <v>368</v>
      </c>
      <c r="B55" s="6" t="s">
        <v>369</v>
      </c>
      <c r="C55" s="8" t="s">
        <v>357</v>
      </c>
      <c r="D55" s="18">
        <v>2617</v>
      </c>
      <c r="E55" s="6">
        <v>9</v>
      </c>
      <c r="F55" s="6">
        <v>15</v>
      </c>
      <c r="G55" s="6">
        <v>4</v>
      </c>
      <c r="H55" s="6">
        <v>0</v>
      </c>
      <c r="I55" s="6">
        <v>11</v>
      </c>
      <c r="J55" s="18">
        <v>28787</v>
      </c>
    </row>
    <row r="56" spans="1:13" x14ac:dyDescent="0.3">
      <c r="A56" s="5" t="s">
        <v>374</v>
      </c>
      <c r="B56" s="6" t="s">
        <v>375</v>
      </c>
      <c r="C56" s="8" t="s">
        <v>357</v>
      </c>
      <c r="D56" s="18">
        <v>3685</v>
      </c>
      <c r="E56" s="6">
        <v>5</v>
      </c>
      <c r="F56" s="6">
        <v>8</v>
      </c>
      <c r="G56" s="6">
        <v>0</v>
      </c>
      <c r="H56" s="6">
        <v>0</v>
      </c>
      <c r="I56" s="6">
        <v>8</v>
      </c>
      <c r="J56" s="18">
        <v>29480</v>
      </c>
    </row>
    <row r="57" spans="1:13" x14ac:dyDescent="0.3">
      <c r="A57" s="5" t="s">
        <v>389</v>
      </c>
      <c r="B57" s="6" t="s">
        <v>390</v>
      </c>
      <c r="C57" s="8" t="s">
        <v>382</v>
      </c>
      <c r="D57" s="18">
        <v>595</v>
      </c>
      <c r="E57" s="6">
        <v>12</v>
      </c>
      <c r="F57" s="6">
        <v>20</v>
      </c>
      <c r="G57" s="6">
        <v>6</v>
      </c>
      <c r="H57" s="6">
        <v>0</v>
      </c>
      <c r="I57" s="6">
        <v>14</v>
      </c>
      <c r="J57" s="18">
        <v>8330</v>
      </c>
    </row>
    <row r="58" spans="1:13" x14ac:dyDescent="0.3">
      <c r="A58" s="5" t="s">
        <v>393</v>
      </c>
      <c r="B58" s="6" t="s">
        <v>394</v>
      </c>
      <c r="C58" s="8" t="s">
        <v>382</v>
      </c>
      <c r="D58" s="18">
        <v>731</v>
      </c>
      <c r="E58" s="6">
        <v>5</v>
      </c>
      <c r="F58" s="6">
        <v>8</v>
      </c>
      <c r="G58" s="6">
        <v>1</v>
      </c>
      <c r="H58" s="6">
        <v>0</v>
      </c>
      <c r="I58" s="6">
        <v>7</v>
      </c>
      <c r="J58" s="18">
        <v>5117</v>
      </c>
    </row>
    <row r="59" spans="1:13" x14ac:dyDescent="0.3">
      <c r="A59" s="12"/>
      <c r="B59" s="4"/>
      <c r="C59" s="13"/>
      <c r="D59" s="17"/>
      <c r="E59" s="4"/>
      <c r="F59" s="4"/>
      <c r="G59" s="4"/>
      <c r="H59" s="4"/>
      <c r="I59" s="4"/>
      <c r="J59" s="18">
        <v>118682</v>
      </c>
    </row>
    <row r="60" spans="1:13" x14ac:dyDescent="0.3">
      <c r="A60" s="12"/>
      <c r="B60" s="4"/>
      <c r="C60" s="13"/>
      <c r="D60" s="17"/>
      <c r="E60" s="4"/>
      <c r="F60" s="4"/>
      <c r="G60" s="4"/>
      <c r="H60" s="4"/>
      <c r="I60" s="4"/>
    </row>
    <row r="61" spans="1:13" s="19" customFormat="1" ht="43.2" x14ac:dyDescent="0.3">
      <c r="A61" s="1" t="s">
        <v>0</v>
      </c>
      <c r="B61" s="3" t="s">
        <v>1</v>
      </c>
      <c r="C61" s="3" t="s">
        <v>2</v>
      </c>
      <c r="D61" s="14" t="s">
        <v>462</v>
      </c>
      <c r="E61" s="3" t="s">
        <v>470</v>
      </c>
      <c r="F61" s="3" t="s">
        <v>10</v>
      </c>
      <c r="G61" s="3" t="s">
        <v>3</v>
      </c>
      <c r="H61" s="3" t="s">
        <v>11</v>
      </c>
      <c r="I61" s="3" t="s">
        <v>12</v>
      </c>
      <c r="J61" s="3" t="s">
        <v>471</v>
      </c>
    </row>
    <row r="62" spans="1:13" x14ac:dyDescent="0.3">
      <c r="A62" s="9" t="s">
        <v>68</v>
      </c>
      <c r="B62" s="6" t="s">
        <v>69</v>
      </c>
      <c r="C62" s="7" t="s">
        <v>14</v>
      </c>
      <c r="D62" s="18">
        <v>0.4</v>
      </c>
      <c r="E62" s="6">
        <v>75</v>
      </c>
      <c r="F62" s="6">
        <v>125</v>
      </c>
      <c r="G62" s="6">
        <v>41</v>
      </c>
      <c r="H62" s="6">
        <v>0</v>
      </c>
      <c r="I62" s="6">
        <v>84</v>
      </c>
      <c r="J62" s="18">
        <v>33.6</v>
      </c>
    </row>
    <row r="63" spans="1:13" x14ac:dyDescent="0.3">
      <c r="A63" s="9" t="s">
        <v>74</v>
      </c>
      <c r="B63" s="6" t="s">
        <v>75</v>
      </c>
      <c r="C63" s="7" t="s">
        <v>14</v>
      </c>
      <c r="D63" s="18">
        <v>0.08</v>
      </c>
      <c r="E63" s="6">
        <v>390</v>
      </c>
      <c r="F63" s="6">
        <v>650</v>
      </c>
      <c r="G63" s="6">
        <v>192</v>
      </c>
      <c r="H63" s="6">
        <v>0</v>
      </c>
      <c r="I63" s="6">
        <v>458</v>
      </c>
      <c r="J63" s="18">
        <v>36.64</v>
      </c>
    </row>
    <row r="64" spans="1:13" x14ac:dyDescent="0.3">
      <c r="A64" s="9" t="s">
        <v>82</v>
      </c>
      <c r="B64" s="6" t="s">
        <v>83</v>
      </c>
      <c r="C64" s="7" t="s">
        <v>14</v>
      </c>
      <c r="D64" s="18">
        <v>0.8</v>
      </c>
      <c r="E64" s="6">
        <v>75</v>
      </c>
      <c r="F64" s="6">
        <v>125</v>
      </c>
      <c r="G64" s="6">
        <v>40</v>
      </c>
      <c r="H64" s="6">
        <v>0</v>
      </c>
      <c r="I64" s="6">
        <v>85</v>
      </c>
      <c r="J64" s="18">
        <v>68</v>
      </c>
    </row>
    <row r="65" spans="1:10" x14ac:dyDescent="0.3">
      <c r="A65" s="9" t="s">
        <v>37</v>
      </c>
      <c r="B65" s="6" t="s">
        <v>38</v>
      </c>
      <c r="C65" s="7" t="s">
        <v>14</v>
      </c>
      <c r="D65" s="18">
        <v>2.6</v>
      </c>
      <c r="E65" s="6">
        <v>75</v>
      </c>
      <c r="F65" s="6">
        <v>125</v>
      </c>
      <c r="G65" s="6">
        <v>5</v>
      </c>
      <c r="H65" s="6">
        <v>0</v>
      </c>
      <c r="I65" s="6">
        <v>120</v>
      </c>
      <c r="J65" s="18">
        <v>312</v>
      </c>
    </row>
    <row r="66" spans="1:10" x14ac:dyDescent="0.3">
      <c r="A66" s="9" t="s">
        <v>39</v>
      </c>
      <c r="B66" s="6" t="s">
        <v>40</v>
      </c>
      <c r="C66" s="7" t="s">
        <v>14</v>
      </c>
      <c r="D66" s="18">
        <v>4</v>
      </c>
      <c r="E66" s="6">
        <v>75</v>
      </c>
      <c r="F66" s="6">
        <v>125</v>
      </c>
      <c r="G66" s="6">
        <v>22</v>
      </c>
      <c r="H66" s="6">
        <v>0</v>
      </c>
      <c r="I66" s="6">
        <v>103</v>
      </c>
      <c r="J66" s="18">
        <v>412</v>
      </c>
    </row>
    <row r="67" spans="1:10" x14ac:dyDescent="0.3">
      <c r="A67" s="9" t="s">
        <v>47</v>
      </c>
      <c r="B67" s="6" t="s">
        <v>48</v>
      </c>
      <c r="C67" s="7" t="s">
        <v>14</v>
      </c>
      <c r="D67" s="18">
        <v>0.8</v>
      </c>
      <c r="E67" s="6">
        <v>300</v>
      </c>
      <c r="F67" s="6">
        <v>500</v>
      </c>
      <c r="G67" s="6">
        <v>223</v>
      </c>
      <c r="H67" s="6">
        <v>0</v>
      </c>
      <c r="I67" s="6">
        <v>277</v>
      </c>
      <c r="J67" s="18">
        <v>221.60000000000002</v>
      </c>
    </row>
    <row r="68" spans="1:10" x14ac:dyDescent="0.3">
      <c r="A68" s="9" t="s">
        <v>51</v>
      </c>
      <c r="B68" s="6" t="s">
        <v>52</v>
      </c>
      <c r="C68" s="7" t="s">
        <v>14</v>
      </c>
      <c r="D68" s="18">
        <v>1.3</v>
      </c>
      <c r="E68" s="6">
        <v>75</v>
      </c>
      <c r="F68" s="6">
        <v>125</v>
      </c>
      <c r="G68" s="6">
        <v>0</v>
      </c>
      <c r="H68" s="6">
        <v>0</v>
      </c>
      <c r="I68" s="6">
        <v>125</v>
      </c>
      <c r="J68" s="18">
        <v>162.5</v>
      </c>
    </row>
    <row r="69" spans="1:10" x14ac:dyDescent="0.3">
      <c r="A69" s="9">
        <v>238152</v>
      </c>
      <c r="B69" s="6" t="s">
        <v>18</v>
      </c>
      <c r="C69" s="7" t="s">
        <v>14</v>
      </c>
      <c r="D69" s="18">
        <v>12.5</v>
      </c>
      <c r="E69" s="6">
        <v>75</v>
      </c>
      <c r="F69" s="6">
        <v>125</v>
      </c>
      <c r="G69" s="6">
        <v>43</v>
      </c>
      <c r="H69" s="6">
        <v>0</v>
      </c>
      <c r="I69" s="6">
        <v>82</v>
      </c>
      <c r="J69" s="18">
        <v>1025</v>
      </c>
    </row>
    <row r="70" spans="1:10" x14ac:dyDescent="0.3">
      <c r="A70" s="9" t="s">
        <v>55</v>
      </c>
      <c r="B70" s="6" t="s">
        <v>56</v>
      </c>
      <c r="C70" s="7" t="s">
        <v>14</v>
      </c>
      <c r="D70" s="18">
        <v>1.8</v>
      </c>
      <c r="E70" s="6">
        <v>375</v>
      </c>
      <c r="F70" s="6">
        <v>625</v>
      </c>
      <c r="G70" s="6">
        <v>163</v>
      </c>
      <c r="H70" s="6">
        <v>0</v>
      </c>
      <c r="I70" s="6">
        <v>462</v>
      </c>
      <c r="J70" s="18">
        <v>831.6</v>
      </c>
    </row>
    <row r="71" spans="1:10" x14ac:dyDescent="0.3">
      <c r="A71" s="12"/>
      <c r="B71" s="4"/>
      <c r="C71" s="13"/>
      <c r="D71" s="17"/>
      <c r="E71" s="4"/>
      <c r="F71" s="4"/>
      <c r="G71" s="4"/>
      <c r="H71" s="4"/>
      <c r="I71" s="4"/>
      <c r="J71" s="21">
        <v>3102.94</v>
      </c>
    </row>
    <row r="72" spans="1:10" x14ac:dyDescent="0.3">
      <c r="A72" s="12"/>
      <c r="B72" s="4"/>
      <c r="C72" s="13"/>
      <c r="D72" s="17"/>
      <c r="E72" s="4"/>
      <c r="F72" s="4"/>
      <c r="G72" s="4"/>
      <c r="H72" s="4"/>
      <c r="I72" s="4"/>
    </row>
    <row r="74" spans="1:10" ht="43.2" x14ac:dyDescent="0.3">
      <c r="A74" s="1" t="s">
        <v>0</v>
      </c>
      <c r="B74" s="2" t="s">
        <v>1</v>
      </c>
      <c r="C74" s="3" t="s">
        <v>2</v>
      </c>
      <c r="D74" s="14" t="s">
        <v>462</v>
      </c>
      <c r="E74" s="3" t="s">
        <v>470</v>
      </c>
      <c r="F74" s="3" t="s">
        <v>10</v>
      </c>
      <c r="G74" s="3" t="s">
        <v>3</v>
      </c>
      <c r="H74" s="3" t="s">
        <v>11</v>
      </c>
      <c r="I74" s="3" t="s">
        <v>12</v>
      </c>
      <c r="J74" s="3" t="s">
        <v>471</v>
      </c>
    </row>
    <row r="75" spans="1:10" x14ac:dyDescent="0.3">
      <c r="A75" s="9" t="s">
        <v>161</v>
      </c>
      <c r="B75" s="6" t="s">
        <v>162</v>
      </c>
      <c r="C75" s="7" t="s">
        <v>163</v>
      </c>
      <c r="D75" s="18">
        <v>80</v>
      </c>
      <c r="E75" s="6">
        <v>36</v>
      </c>
      <c r="F75" s="6">
        <v>60</v>
      </c>
      <c r="G75" s="6">
        <v>34</v>
      </c>
      <c r="H75" s="6">
        <v>0</v>
      </c>
      <c r="I75" s="6">
        <v>26</v>
      </c>
      <c r="J75" s="18">
        <v>2080</v>
      </c>
    </row>
    <row r="76" spans="1:10" x14ac:dyDescent="0.3">
      <c r="A76" s="9" t="s">
        <v>170</v>
      </c>
      <c r="B76" s="6" t="s">
        <v>171</v>
      </c>
      <c r="C76" s="7" t="s">
        <v>163</v>
      </c>
      <c r="D76" s="18">
        <v>100</v>
      </c>
      <c r="E76" s="6">
        <v>24</v>
      </c>
      <c r="F76" s="6">
        <v>40</v>
      </c>
      <c r="G76" s="6">
        <v>20</v>
      </c>
      <c r="H76" s="6">
        <v>0</v>
      </c>
      <c r="I76" s="6">
        <v>20</v>
      </c>
      <c r="J76" s="18">
        <v>2000</v>
      </c>
    </row>
    <row r="77" spans="1:10" x14ac:dyDescent="0.3">
      <c r="A77" s="9" t="s">
        <v>180</v>
      </c>
      <c r="B77" s="6" t="s">
        <v>181</v>
      </c>
      <c r="C77" s="7" t="s">
        <v>163</v>
      </c>
      <c r="D77" s="18">
        <v>114</v>
      </c>
      <c r="E77" s="6">
        <v>18</v>
      </c>
      <c r="F77" s="6">
        <v>30</v>
      </c>
      <c r="G77" s="6">
        <v>13</v>
      </c>
      <c r="H77" s="6">
        <v>0</v>
      </c>
      <c r="I77" s="6">
        <v>17</v>
      </c>
      <c r="J77" s="18">
        <v>1938</v>
      </c>
    </row>
    <row r="78" spans="1:10" x14ac:dyDescent="0.3">
      <c r="A78" s="9" t="s">
        <v>192</v>
      </c>
      <c r="B78" s="6" t="s">
        <v>193</v>
      </c>
      <c r="C78" s="7" t="s">
        <v>163</v>
      </c>
      <c r="D78" s="18">
        <v>403.65000000000003</v>
      </c>
      <c r="E78" s="6">
        <v>3</v>
      </c>
      <c r="F78" s="6">
        <v>5</v>
      </c>
      <c r="G78" s="6">
        <v>2</v>
      </c>
      <c r="H78" s="6">
        <v>0</v>
      </c>
      <c r="I78" s="6">
        <v>3</v>
      </c>
      <c r="J78" s="18">
        <v>1210.95</v>
      </c>
    </row>
    <row r="79" spans="1:10" x14ac:dyDescent="0.3">
      <c r="A79" s="12"/>
      <c r="B79" s="4"/>
      <c r="C79" s="13"/>
      <c r="D79" s="17"/>
      <c r="E79" s="4"/>
      <c r="F79" s="4"/>
      <c r="G79" s="4"/>
      <c r="H79" s="4"/>
      <c r="I79" s="4"/>
      <c r="J79" s="18">
        <v>7228.95</v>
      </c>
    </row>
    <row r="81" spans="1:10" ht="43.2" x14ac:dyDescent="0.3">
      <c r="A81" s="1" t="s">
        <v>0</v>
      </c>
      <c r="B81" s="2" t="s">
        <v>1</v>
      </c>
      <c r="C81" s="3" t="s">
        <v>2</v>
      </c>
      <c r="D81" s="14" t="s">
        <v>462</v>
      </c>
      <c r="E81" s="3" t="s">
        <v>470</v>
      </c>
      <c r="F81" s="3" t="s">
        <v>10</v>
      </c>
      <c r="G81" s="3" t="s">
        <v>3</v>
      </c>
      <c r="H81" s="3" t="s">
        <v>11</v>
      </c>
      <c r="I81" s="3" t="s">
        <v>12</v>
      </c>
      <c r="J81" s="3" t="s">
        <v>471</v>
      </c>
    </row>
    <row r="82" spans="1:10" x14ac:dyDescent="0.3">
      <c r="A82" s="5" t="s">
        <v>194</v>
      </c>
      <c r="B82" s="6" t="s">
        <v>195</v>
      </c>
      <c r="C82" s="8" t="s">
        <v>196</v>
      </c>
      <c r="D82" s="18">
        <v>44.29</v>
      </c>
      <c r="E82" s="6">
        <v>113</v>
      </c>
      <c r="F82" s="6">
        <v>188</v>
      </c>
      <c r="G82" s="6">
        <v>52</v>
      </c>
      <c r="H82" s="6">
        <v>0</v>
      </c>
      <c r="I82" s="6">
        <v>150</v>
      </c>
      <c r="J82" s="18">
        <f>D82*I82</f>
        <v>6643.5</v>
      </c>
    </row>
    <row r="83" spans="1:10" x14ac:dyDescent="0.3">
      <c r="A83" s="5" t="s">
        <v>197</v>
      </c>
      <c r="B83" s="6" t="s">
        <v>198</v>
      </c>
      <c r="C83" s="8" t="s">
        <v>196</v>
      </c>
      <c r="D83" s="18">
        <v>58.37</v>
      </c>
      <c r="E83" s="6">
        <v>98</v>
      </c>
      <c r="F83" s="6">
        <v>163</v>
      </c>
      <c r="G83" s="6">
        <v>32</v>
      </c>
      <c r="H83" s="6">
        <v>0</v>
      </c>
      <c r="I83" s="6">
        <v>150</v>
      </c>
      <c r="J83" s="18">
        <f>D83*I83</f>
        <v>8755.5</v>
      </c>
    </row>
    <row r="84" spans="1:10" x14ac:dyDescent="0.3">
      <c r="A84" s="12"/>
      <c r="B84" s="4"/>
      <c r="C84" s="13"/>
      <c r="D84" s="17"/>
      <c r="E84" s="4"/>
      <c r="F84" s="4"/>
      <c r="G84" s="4"/>
      <c r="H84" s="4"/>
      <c r="I84" s="4"/>
      <c r="J84" s="18">
        <v>11366.83</v>
      </c>
    </row>
    <row r="86" spans="1:10" ht="43.2" x14ac:dyDescent="0.3">
      <c r="A86" s="1" t="s">
        <v>0</v>
      </c>
      <c r="B86" s="2" t="s">
        <v>1</v>
      </c>
      <c r="C86" s="3" t="s">
        <v>2</v>
      </c>
      <c r="D86" s="14" t="s">
        <v>462</v>
      </c>
      <c r="E86" s="3" t="s">
        <v>470</v>
      </c>
      <c r="F86" s="3" t="s">
        <v>10</v>
      </c>
      <c r="G86" s="3" t="s">
        <v>3</v>
      </c>
      <c r="H86" s="3" t="s">
        <v>11</v>
      </c>
      <c r="I86" s="3" t="s">
        <v>12</v>
      </c>
      <c r="J86" s="3" t="s">
        <v>471</v>
      </c>
    </row>
    <row r="87" spans="1:10" x14ac:dyDescent="0.3">
      <c r="A87" s="5" t="s">
        <v>202</v>
      </c>
      <c r="B87" s="6" t="s">
        <v>203</v>
      </c>
      <c r="C87" s="8" t="s">
        <v>201</v>
      </c>
      <c r="D87" s="18">
        <v>270</v>
      </c>
      <c r="E87" s="6">
        <v>15</v>
      </c>
      <c r="F87" s="6">
        <v>25</v>
      </c>
      <c r="G87" s="6">
        <v>4</v>
      </c>
      <c r="H87" s="6">
        <v>0</v>
      </c>
      <c r="I87" s="22">
        <v>6</v>
      </c>
      <c r="J87" s="18">
        <v>5670</v>
      </c>
    </row>
    <row r="88" spans="1:10" x14ac:dyDescent="0.3">
      <c r="A88" s="5" t="s">
        <v>212</v>
      </c>
      <c r="B88" s="6" t="s">
        <v>213</v>
      </c>
      <c r="C88" s="8" t="s">
        <v>201</v>
      </c>
      <c r="D88" s="18">
        <v>384</v>
      </c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18">
        <v>384</v>
      </c>
    </row>
    <row r="89" spans="1:10" x14ac:dyDescent="0.3">
      <c r="A89" s="5" t="s">
        <v>218</v>
      </c>
      <c r="B89" s="6" t="s">
        <v>219</v>
      </c>
      <c r="C89" s="8" t="s">
        <v>201</v>
      </c>
      <c r="D89" s="18">
        <v>384</v>
      </c>
      <c r="E89" s="6">
        <v>0</v>
      </c>
      <c r="F89" s="6">
        <v>1</v>
      </c>
      <c r="G89" s="6">
        <v>0</v>
      </c>
      <c r="H89" s="6">
        <v>0</v>
      </c>
      <c r="I89" s="22">
        <v>6</v>
      </c>
      <c r="J89" s="18">
        <v>384</v>
      </c>
    </row>
    <row r="90" spans="1:10" x14ac:dyDescent="0.3">
      <c r="A90" s="5" t="s">
        <v>222</v>
      </c>
      <c r="B90" s="6" t="s">
        <v>223</v>
      </c>
      <c r="C90" s="8" t="s">
        <v>201</v>
      </c>
      <c r="D90" s="18">
        <v>85</v>
      </c>
      <c r="E90" s="6">
        <v>135</v>
      </c>
      <c r="F90" s="6">
        <v>225</v>
      </c>
      <c r="G90" s="6">
        <v>122</v>
      </c>
      <c r="H90" s="6">
        <v>0</v>
      </c>
      <c r="I90" s="22">
        <v>100</v>
      </c>
      <c r="J90" s="18">
        <v>8755</v>
      </c>
    </row>
    <row r="91" spans="1:10" x14ac:dyDescent="0.3">
      <c r="A91" s="12"/>
      <c r="B91" s="4"/>
      <c r="C91" s="13"/>
      <c r="D91" s="17"/>
      <c r="E91" s="4"/>
      <c r="F91" s="4"/>
      <c r="G91" s="4"/>
      <c r="H91" s="4"/>
      <c r="I91" s="4"/>
      <c r="J91" s="21">
        <v>15193</v>
      </c>
    </row>
    <row r="93" spans="1:10" ht="43.2" x14ac:dyDescent="0.3">
      <c r="A93" s="1" t="s">
        <v>0</v>
      </c>
      <c r="B93" s="2" t="s">
        <v>1</v>
      </c>
      <c r="C93" s="3" t="s">
        <v>2</v>
      </c>
      <c r="D93" s="14" t="s">
        <v>462</v>
      </c>
      <c r="E93" s="3" t="s">
        <v>470</v>
      </c>
      <c r="F93" s="3" t="s">
        <v>10</v>
      </c>
      <c r="G93" s="3" t="s">
        <v>3</v>
      </c>
      <c r="H93" s="3" t="s">
        <v>11</v>
      </c>
      <c r="I93" s="3" t="s">
        <v>12</v>
      </c>
      <c r="J93" s="3" t="s">
        <v>471</v>
      </c>
    </row>
    <row r="94" spans="1:10" x14ac:dyDescent="0.3">
      <c r="A94" s="5" t="s">
        <v>280</v>
      </c>
      <c r="B94" s="6" t="s">
        <v>281</v>
      </c>
      <c r="C94" s="8" t="s">
        <v>275</v>
      </c>
      <c r="D94" s="18">
        <v>51.068115942028982</v>
      </c>
      <c r="E94" s="6">
        <v>27</v>
      </c>
      <c r="F94" s="6">
        <v>45</v>
      </c>
      <c r="G94" s="6">
        <v>24</v>
      </c>
      <c r="H94" s="6">
        <v>0</v>
      </c>
      <c r="I94" s="6">
        <v>21</v>
      </c>
      <c r="J94" s="18">
        <v>1072.4304347826087</v>
      </c>
    </row>
    <row r="95" spans="1:10" x14ac:dyDescent="0.3">
      <c r="A95" s="5" t="s">
        <v>302</v>
      </c>
      <c r="B95" s="6" t="s">
        <v>303</v>
      </c>
      <c r="C95" s="8" t="s">
        <v>275</v>
      </c>
      <c r="D95" s="18">
        <v>178.768115942029</v>
      </c>
      <c r="E95" s="6">
        <v>8</v>
      </c>
      <c r="F95" s="6">
        <v>13</v>
      </c>
      <c r="G95" s="6">
        <v>7</v>
      </c>
      <c r="H95" s="6">
        <v>0</v>
      </c>
      <c r="I95" s="6">
        <v>6</v>
      </c>
      <c r="J95" s="18">
        <v>1072.608695652174</v>
      </c>
    </row>
    <row r="96" spans="1:10" x14ac:dyDescent="0.3">
      <c r="A96" s="12"/>
      <c r="B96" s="4"/>
      <c r="C96" s="13"/>
      <c r="D96" s="17"/>
      <c r="E96" s="4"/>
      <c r="F96" s="4"/>
      <c r="G96" s="4"/>
      <c r="H96" s="4"/>
      <c r="I96" s="4"/>
      <c r="J96" s="18">
        <v>28908.709130434785</v>
      </c>
    </row>
    <row r="98" spans="1:10" ht="43.2" x14ac:dyDescent="0.3">
      <c r="A98" s="1" t="s">
        <v>0</v>
      </c>
      <c r="B98" s="2" t="s">
        <v>1</v>
      </c>
      <c r="C98" s="3" t="s">
        <v>2</v>
      </c>
      <c r="D98" s="14" t="s">
        <v>462</v>
      </c>
      <c r="E98" s="3" t="s">
        <v>470</v>
      </c>
      <c r="F98" s="3" t="s">
        <v>10</v>
      </c>
      <c r="G98" s="3" t="s">
        <v>3</v>
      </c>
      <c r="H98" s="3" t="s">
        <v>11</v>
      </c>
      <c r="I98" s="3" t="s">
        <v>12</v>
      </c>
      <c r="J98" s="3" t="s">
        <v>471</v>
      </c>
    </row>
    <row r="99" spans="1:10" x14ac:dyDescent="0.3">
      <c r="A99" s="5" t="s">
        <v>408</v>
      </c>
      <c r="B99" s="6" t="s">
        <v>409</v>
      </c>
      <c r="C99" s="8" t="s">
        <v>397</v>
      </c>
      <c r="D99" s="18">
        <v>210</v>
      </c>
      <c r="E99" s="6">
        <v>3</v>
      </c>
      <c r="F99" s="6">
        <v>5</v>
      </c>
      <c r="G99" s="6">
        <v>0</v>
      </c>
      <c r="H99" s="6">
        <v>0</v>
      </c>
      <c r="I99" s="6">
        <v>5</v>
      </c>
      <c r="J99" s="18">
        <v>1050</v>
      </c>
    </row>
    <row r="100" spans="1:10" x14ac:dyDescent="0.3">
      <c r="A100" s="5" t="s">
        <v>418</v>
      </c>
      <c r="B100" s="6" t="s">
        <v>419</v>
      </c>
      <c r="C100" s="8" t="s">
        <v>397</v>
      </c>
      <c r="D100" s="18">
        <v>12</v>
      </c>
      <c r="E100" s="6">
        <v>2</v>
      </c>
      <c r="F100" s="6">
        <v>3</v>
      </c>
      <c r="G100" s="6">
        <v>0</v>
      </c>
      <c r="H100" s="6">
        <v>0</v>
      </c>
      <c r="I100" s="6">
        <v>3</v>
      </c>
      <c r="J100" s="18">
        <v>36</v>
      </c>
    </row>
    <row r="101" spans="1:10" x14ac:dyDescent="0.3">
      <c r="A101" s="5" t="s">
        <v>420</v>
      </c>
      <c r="B101" s="6" t="s">
        <v>421</v>
      </c>
      <c r="C101" s="8" t="s">
        <v>397</v>
      </c>
      <c r="D101" s="18">
        <v>4.3</v>
      </c>
      <c r="E101" s="6">
        <v>6</v>
      </c>
      <c r="F101" s="6">
        <v>10</v>
      </c>
      <c r="G101" s="6">
        <v>1</v>
      </c>
      <c r="H101" s="6">
        <v>0</v>
      </c>
      <c r="I101" s="6">
        <v>9</v>
      </c>
      <c r="J101" s="18">
        <v>38.699999999999996</v>
      </c>
    </row>
    <row r="102" spans="1:10" x14ac:dyDescent="0.3">
      <c r="A102" s="5" t="s">
        <v>422</v>
      </c>
      <c r="B102" s="6" t="s">
        <v>423</v>
      </c>
      <c r="C102" s="8" t="s">
        <v>397</v>
      </c>
      <c r="D102" s="18">
        <v>15</v>
      </c>
      <c r="E102" s="6">
        <v>6</v>
      </c>
      <c r="F102" s="6">
        <v>10</v>
      </c>
      <c r="G102" s="6">
        <v>1</v>
      </c>
      <c r="H102" s="6">
        <v>0</v>
      </c>
      <c r="I102" s="6">
        <v>9</v>
      </c>
      <c r="J102" s="18">
        <v>135</v>
      </c>
    </row>
    <row r="103" spans="1:10" x14ac:dyDescent="0.3">
      <c r="A103" s="5" t="s">
        <v>424</v>
      </c>
      <c r="B103" s="6" t="s">
        <v>425</v>
      </c>
      <c r="C103" s="8" t="s">
        <v>397</v>
      </c>
      <c r="D103" s="18">
        <v>18</v>
      </c>
      <c r="E103" s="6">
        <v>6</v>
      </c>
      <c r="F103" s="6">
        <v>10</v>
      </c>
      <c r="G103" s="6">
        <v>1</v>
      </c>
      <c r="H103" s="6">
        <v>0</v>
      </c>
      <c r="I103" s="6">
        <v>9</v>
      </c>
      <c r="J103" s="18">
        <v>162</v>
      </c>
    </row>
    <row r="104" spans="1:10" x14ac:dyDescent="0.3">
      <c r="A104" s="5" t="s">
        <v>426</v>
      </c>
      <c r="B104" s="6" t="s">
        <v>427</v>
      </c>
      <c r="C104" s="8" t="s">
        <v>397</v>
      </c>
      <c r="D104" s="18">
        <v>20</v>
      </c>
      <c r="E104" s="6">
        <v>6</v>
      </c>
      <c r="F104" s="6">
        <v>10</v>
      </c>
      <c r="G104" s="6">
        <v>1</v>
      </c>
      <c r="H104" s="6">
        <v>0</v>
      </c>
      <c r="I104" s="6">
        <v>9</v>
      </c>
      <c r="J104" s="18">
        <v>180</v>
      </c>
    </row>
    <row r="105" spans="1:10" x14ac:dyDescent="0.3">
      <c r="A105" s="5" t="s">
        <v>432</v>
      </c>
      <c r="B105" s="6" t="s">
        <v>433</v>
      </c>
      <c r="C105" s="8" t="s">
        <v>397</v>
      </c>
      <c r="D105" s="18">
        <v>85</v>
      </c>
      <c r="E105" s="6">
        <v>6</v>
      </c>
      <c r="F105" s="6">
        <v>10</v>
      </c>
      <c r="G105" s="6">
        <v>6</v>
      </c>
      <c r="H105" s="6">
        <v>0</v>
      </c>
      <c r="I105" s="6">
        <v>4</v>
      </c>
      <c r="J105" s="18">
        <v>340</v>
      </c>
    </row>
    <row r="106" spans="1:10" x14ac:dyDescent="0.3">
      <c r="A106" s="5" t="s">
        <v>442</v>
      </c>
      <c r="B106" s="6" t="s">
        <v>443</v>
      </c>
      <c r="C106" s="8" t="s">
        <v>397</v>
      </c>
      <c r="D106" s="18">
        <v>243.48</v>
      </c>
      <c r="E106" s="6">
        <v>3</v>
      </c>
      <c r="F106" s="6">
        <v>5</v>
      </c>
      <c r="G106" s="6">
        <v>2</v>
      </c>
      <c r="H106" s="6">
        <v>0</v>
      </c>
      <c r="I106" s="6">
        <v>3</v>
      </c>
      <c r="J106" s="18">
        <v>730.43999999999994</v>
      </c>
    </row>
    <row r="107" spans="1:10" x14ac:dyDescent="0.3">
      <c r="A107" s="5" t="s">
        <v>456</v>
      </c>
      <c r="B107" s="6" t="s">
        <v>457</v>
      </c>
      <c r="C107" s="8" t="s">
        <v>397</v>
      </c>
      <c r="D107" s="18">
        <v>169.6</v>
      </c>
      <c r="E107" s="6">
        <v>18</v>
      </c>
      <c r="F107" s="6">
        <v>30</v>
      </c>
      <c r="G107" s="6">
        <v>11</v>
      </c>
      <c r="H107" s="6">
        <v>0</v>
      </c>
      <c r="I107" s="6">
        <v>19</v>
      </c>
      <c r="J107" s="18">
        <v>3222.4</v>
      </c>
    </row>
    <row r="108" spans="1:10" x14ac:dyDescent="0.3">
      <c r="A108" s="5" t="s">
        <v>458</v>
      </c>
      <c r="B108" s="6" t="s">
        <v>459</v>
      </c>
      <c r="C108" s="8" t="s">
        <v>397</v>
      </c>
      <c r="D108" s="18">
        <v>26.8172</v>
      </c>
      <c r="E108" s="6">
        <v>15</v>
      </c>
      <c r="F108" s="6">
        <v>25</v>
      </c>
      <c r="G108" s="6">
        <v>10</v>
      </c>
      <c r="H108" s="6">
        <v>0</v>
      </c>
      <c r="I108" s="6">
        <v>15</v>
      </c>
      <c r="J108" s="18">
        <v>402.25799999999998</v>
      </c>
    </row>
    <row r="109" spans="1:10" x14ac:dyDescent="0.3">
      <c r="A109" s="12"/>
      <c r="B109" s="4"/>
      <c r="C109" s="13"/>
      <c r="D109" s="17"/>
      <c r="E109" s="4"/>
      <c r="F109" s="4"/>
      <c r="G109" s="4"/>
      <c r="H109" s="4"/>
      <c r="I109" s="4"/>
      <c r="J109" s="18">
        <v>6296.7979999999998</v>
      </c>
    </row>
  </sheetData>
  <conditionalFormatting sqref="A28:M48">
    <cfRule type="expression" dxfId="5" priority="1">
      <formula>$E28="x"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96" fitToHeight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6D2D-A993-457B-BF6A-A946A4C0E795}">
  <dimension ref="A1:S2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9" sqref="A9:XFD9"/>
    </sheetView>
  </sheetViews>
  <sheetFormatPr defaultRowHeight="14.4" x14ac:dyDescent="0.3"/>
  <cols>
    <col min="1" max="1" width="9.109375" bestFit="1" customWidth="1"/>
    <col min="2" max="2" width="28.21875" bestFit="1" customWidth="1"/>
    <col min="3" max="3" width="11.88671875" customWidth="1"/>
    <col min="4" max="10" width="10.33203125" style="25" customWidth="1"/>
    <col min="11" max="11" width="10.33203125" style="28" customWidth="1"/>
    <col min="12" max="12" width="10.33203125" style="25" customWidth="1"/>
    <col min="13" max="13" width="10.33203125" style="28" customWidth="1"/>
    <col min="14" max="17" width="10.33203125" style="25" customWidth="1"/>
    <col min="18" max="18" width="12.33203125" style="25" hidden="1" customWidth="1"/>
    <col min="19" max="19" width="13.109375" style="25" hidden="1" customWidth="1"/>
  </cols>
  <sheetData>
    <row r="1" spans="1:19" s="26" customFormat="1" ht="57.6" x14ac:dyDescent="0.3">
      <c r="A1" s="29" t="s">
        <v>0</v>
      </c>
      <c r="B1" s="29" t="s">
        <v>1</v>
      </c>
      <c r="C1" s="29" t="s">
        <v>2</v>
      </c>
      <c r="D1" s="29" t="s">
        <v>477</v>
      </c>
      <c r="E1" s="29" t="s">
        <v>478</v>
      </c>
      <c r="F1" s="29" t="s">
        <v>479</v>
      </c>
      <c r="G1" s="29" t="s">
        <v>463</v>
      </c>
      <c r="H1" s="29" t="s">
        <v>4</v>
      </c>
      <c r="I1" s="29" t="s">
        <v>5</v>
      </c>
      <c r="J1" s="29" t="s">
        <v>6</v>
      </c>
      <c r="K1" s="30" t="s">
        <v>7</v>
      </c>
      <c r="L1" s="29" t="s">
        <v>8</v>
      </c>
      <c r="M1" s="30" t="s">
        <v>9</v>
      </c>
      <c r="N1" s="29" t="s">
        <v>10</v>
      </c>
      <c r="O1" s="33" t="s">
        <v>3</v>
      </c>
      <c r="P1" s="29" t="s">
        <v>11</v>
      </c>
      <c r="Q1" s="29" t="s">
        <v>12</v>
      </c>
      <c r="R1" s="29" t="s">
        <v>480</v>
      </c>
      <c r="S1" s="29" t="s">
        <v>481</v>
      </c>
    </row>
    <row r="2" spans="1:19" x14ac:dyDescent="0.3">
      <c r="A2" s="5" t="s">
        <v>306</v>
      </c>
      <c r="B2" s="6" t="s">
        <v>307</v>
      </c>
      <c r="C2" s="8" t="s">
        <v>308</v>
      </c>
      <c r="D2" s="24">
        <v>1248</v>
      </c>
      <c r="E2" s="24"/>
      <c r="F2" s="24">
        <v>1030</v>
      </c>
      <c r="G2" s="7">
        <v>2</v>
      </c>
      <c r="H2" s="7">
        <v>2</v>
      </c>
      <c r="I2" s="7">
        <v>1</v>
      </c>
      <c r="J2" s="7">
        <v>1</v>
      </c>
      <c r="K2" s="27">
        <f t="shared" ref="K2:K19" si="0">MROUND(G2*I2,1)</f>
        <v>2</v>
      </c>
      <c r="L2" s="7">
        <f t="shared" ref="L2:L19" si="1">MROUND(G2*H2,1)</f>
        <v>4</v>
      </c>
      <c r="M2" s="27">
        <f t="shared" ref="M2:M19" si="2">MROUND(K2+L2,1)</f>
        <v>6</v>
      </c>
      <c r="N2" s="7">
        <f t="shared" ref="N2:N19" si="3">MROUND(G2*(H2+I2+J2),1)</f>
        <v>8</v>
      </c>
      <c r="O2" s="34">
        <v>8</v>
      </c>
      <c r="P2" s="7">
        <v>0</v>
      </c>
      <c r="Q2" s="7">
        <f t="shared" ref="Q2:Q19" si="4">IF(O2&lt;=M2,N2-O2-P2,0)</f>
        <v>0</v>
      </c>
      <c r="R2" s="24">
        <f>Q2*D2</f>
        <v>0</v>
      </c>
      <c r="S2" s="24">
        <f>Q2*F2</f>
        <v>0</v>
      </c>
    </row>
    <row r="3" spans="1:19" x14ac:dyDescent="0.3">
      <c r="A3" s="5" t="s">
        <v>309</v>
      </c>
      <c r="B3" s="6" t="s">
        <v>310</v>
      </c>
      <c r="C3" s="8" t="s">
        <v>308</v>
      </c>
      <c r="D3" s="24">
        <v>1309</v>
      </c>
      <c r="E3" s="24"/>
      <c r="F3" s="24">
        <v>1000</v>
      </c>
      <c r="G3" s="7">
        <v>3</v>
      </c>
      <c r="H3" s="7">
        <v>2</v>
      </c>
      <c r="I3" s="7">
        <v>1</v>
      </c>
      <c r="J3" s="7">
        <v>1</v>
      </c>
      <c r="K3" s="27">
        <f t="shared" si="0"/>
        <v>3</v>
      </c>
      <c r="L3" s="7">
        <f t="shared" si="1"/>
        <v>6</v>
      </c>
      <c r="M3" s="27">
        <f t="shared" si="2"/>
        <v>9</v>
      </c>
      <c r="N3" s="7">
        <f t="shared" si="3"/>
        <v>12</v>
      </c>
      <c r="O3" s="34">
        <v>12</v>
      </c>
      <c r="P3" s="7">
        <v>0</v>
      </c>
      <c r="Q3" s="7">
        <f t="shared" si="4"/>
        <v>0</v>
      </c>
      <c r="R3" s="24">
        <f t="shared" ref="R3:R19" si="5">Q3*D3</f>
        <v>0</v>
      </c>
      <c r="S3" s="24">
        <f t="shared" ref="S3:S19" si="6">Q3*F3</f>
        <v>0</v>
      </c>
    </row>
    <row r="4" spans="1:19" x14ac:dyDescent="0.3">
      <c r="A4" s="5" t="s">
        <v>311</v>
      </c>
      <c r="B4" s="6" t="s">
        <v>312</v>
      </c>
      <c r="C4" s="8" t="s">
        <v>308</v>
      </c>
      <c r="D4" s="24">
        <v>1344</v>
      </c>
      <c r="E4" s="24">
        <v>1629.55</v>
      </c>
      <c r="F4" s="24">
        <v>1240</v>
      </c>
      <c r="G4" s="7">
        <v>3</v>
      </c>
      <c r="H4" s="7">
        <v>2</v>
      </c>
      <c r="I4" s="7">
        <v>1</v>
      </c>
      <c r="J4" s="7">
        <v>1</v>
      </c>
      <c r="K4" s="27">
        <f t="shared" si="0"/>
        <v>3</v>
      </c>
      <c r="L4" s="7">
        <f t="shared" si="1"/>
        <v>6</v>
      </c>
      <c r="M4" s="27">
        <f t="shared" si="2"/>
        <v>9</v>
      </c>
      <c r="N4" s="7">
        <f t="shared" si="3"/>
        <v>12</v>
      </c>
      <c r="O4" s="34">
        <v>1</v>
      </c>
      <c r="P4" s="7">
        <v>0</v>
      </c>
      <c r="Q4" s="7">
        <f t="shared" si="4"/>
        <v>11</v>
      </c>
      <c r="R4" s="24">
        <f t="shared" si="5"/>
        <v>14784</v>
      </c>
      <c r="S4" s="24">
        <f t="shared" si="6"/>
        <v>13640</v>
      </c>
    </row>
    <row r="5" spans="1:19" x14ac:dyDescent="0.3">
      <c r="A5" s="5" t="s">
        <v>313</v>
      </c>
      <c r="B5" s="6" t="s">
        <v>314</v>
      </c>
      <c r="C5" s="8" t="s">
        <v>308</v>
      </c>
      <c r="D5" s="24">
        <v>1400</v>
      </c>
      <c r="E5" s="24"/>
      <c r="F5" s="24">
        <v>1070</v>
      </c>
      <c r="G5" s="7">
        <v>3</v>
      </c>
      <c r="H5" s="7">
        <v>2</v>
      </c>
      <c r="I5" s="7">
        <v>1</v>
      </c>
      <c r="J5" s="7">
        <v>1</v>
      </c>
      <c r="K5" s="27">
        <f t="shared" si="0"/>
        <v>3</v>
      </c>
      <c r="L5" s="7">
        <f t="shared" si="1"/>
        <v>6</v>
      </c>
      <c r="M5" s="27">
        <f t="shared" si="2"/>
        <v>9</v>
      </c>
      <c r="N5" s="7">
        <f t="shared" si="3"/>
        <v>12</v>
      </c>
      <c r="O5" s="34">
        <v>8</v>
      </c>
      <c r="P5" s="7">
        <v>0</v>
      </c>
      <c r="Q5" s="7">
        <f t="shared" si="4"/>
        <v>4</v>
      </c>
      <c r="R5" s="24">
        <f t="shared" si="5"/>
        <v>5600</v>
      </c>
      <c r="S5" s="24">
        <f t="shared" si="6"/>
        <v>4280</v>
      </c>
    </row>
    <row r="6" spans="1:19" x14ac:dyDescent="0.3">
      <c r="A6" s="5" t="s">
        <v>315</v>
      </c>
      <c r="B6" s="6" t="s">
        <v>316</v>
      </c>
      <c r="C6" s="8" t="s">
        <v>308</v>
      </c>
      <c r="D6" s="24">
        <v>1535</v>
      </c>
      <c r="E6" s="24"/>
      <c r="F6" s="24">
        <v>1560</v>
      </c>
      <c r="G6" s="7">
        <f>60*0.05</f>
        <v>3</v>
      </c>
      <c r="H6" s="7">
        <v>2</v>
      </c>
      <c r="I6" s="7">
        <v>1</v>
      </c>
      <c r="J6" s="7">
        <v>1</v>
      </c>
      <c r="K6" s="27">
        <f t="shared" si="0"/>
        <v>3</v>
      </c>
      <c r="L6" s="7">
        <f t="shared" si="1"/>
        <v>6</v>
      </c>
      <c r="M6" s="27">
        <f t="shared" si="2"/>
        <v>9</v>
      </c>
      <c r="N6" s="7">
        <f t="shared" si="3"/>
        <v>12</v>
      </c>
      <c r="O6" s="34">
        <v>17</v>
      </c>
      <c r="P6" s="7">
        <v>0</v>
      </c>
      <c r="Q6" s="7">
        <f t="shared" si="4"/>
        <v>0</v>
      </c>
      <c r="R6" s="24">
        <f t="shared" si="5"/>
        <v>0</v>
      </c>
      <c r="S6" s="24">
        <f t="shared" si="6"/>
        <v>0</v>
      </c>
    </row>
    <row r="7" spans="1:19" x14ac:dyDescent="0.3">
      <c r="A7" s="5" t="s">
        <v>317</v>
      </c>
      <c r="B7" s="6" t="s">
        <v>318</v>
      </c>
      <c r="C7" s="8" t="s">
        <v>308</v>
      </c>
      <c r="D7" s="24">
        <v>1641</v>
      </c>
      <c r="E7" s="24"/>
      <c r="F7" s="24">
        <v>1200</v>
      </c>
      <c r="G7" s="7">
        <v>1</v>
      </c>
      <c r="H7" s="7">
        <v>2</v>
      </c>
      <c r="I7" s="7">
        <v>1</v>
      </c>
      <c r="J7" s="7">
        <v>1</v>
      </c>
      <c r="K7" s="27">
        <f t="shared" si="0"/>
        <v>1</v>
      </c>
      <c r="L7" s="7">
        <f t="shared" si="1"/>
        <v>2</v>
      </c>
      <c r="M7" s="27">
        <f t="shared" si="2"/>
        <v>3</v>
      </c>
      <c r="N7" s="7">
        <f t="shared" si="3"/>
        <v>4</v>
      </c>
      <c r="O7" s="34">
        <v>4</v>
      </c>
      <c r="P7" s="7">
        <v>0</v>
      </c>
      <c r="Q7" s="7">
        <f t="shared" si="4"/>
        <v>0</v>
      </c>
      <c r="R7" s="24">
        <f t="shared" si="5"/>
        <v>0</v>
      </c>
      <c r="S7" s="24">
        <f t="shared" si="6"/>
        <v>0</v>
      </c>
    </row>
    <row r="8" spans="1:19" x14ac:dyDescent="0.3">
      <c r="A8" s="5" t="s">
        <v>319</v>
      </c>
      <c r="B8" s="6" t="s">
        <v>320</v>
      </c>
      <c r="C8" s="8" t="s">
        <v>308</v>
      </c>
      <c r="D8" s="32">
        <v>1593</v>
      </c>
      <c r="E8" s="24"/>
      <c r="F8" s="32">
        <v>1670</v>
      </c>
      <c r="G8" s="7">
        <v>2</v>
      </c>
      <c r="H8" s="7">
        <v>2</v>
      </c>
      <c r="I8" s="7">
        <v>1</v>
      </c>
      <c r="J8" s="7">
        <v>1</v>
      </c>
      <c r="K8" s="27">
        <f t="shared" si="0"/>
        <v>2</v>
      </c>
      <c r="L8" s="7">
        <f t="shared" si="1"/>
        <v>4</v>
      </c>
      <c r="M8" s="27">
        <f t="shared" si="2"/>
        <v>6</v>
      </c>
      <c r="N8" s="7">
        <f t="shared" si="3"/>
        <v>8</v>
      </c>
      <c r="O8" s="34">
        <v>3</v>
      </c>
      <c r="P8" s="7">
        <v>0</v>
      </c>
      <c r="Q8" s="7">
        <f t="shared" si="4"/>
        <v>5</v>
      </c>
      <c r="R8" s="24">
        <f t="shared" si="5"/>
        <v>7965</v>
      </c>
      <c r="S8" s="24">
        <f t="shared" si="6"/>
        <v>8350</v>
      </c>
    </row>
    <row r="9" spans="1:19" x14ac:dyDescent="0.3">
      <c r="A9" s="5" t="s">
        <v>321</v>
      </c>
      <c r="B9" s="6" t="s">
        <v>322</v>
      </c>
      <c r="C9" s="8" t="s">
        <v>308</v>
      </c>
      <c r="D9" s="24">
        <v>1780</v>
      </c>
      <c r="E9" s="24">
        <v>3046</v>
      </c>
      <c r="F9" s="24">
        <v>2320</v>
      </c>
      <c r="G9" s="7">
        <v>1</v>
      </c>
      <c r="H9" s="7">
        <v>2</v>
      </c>
      <c r="I9" s="7">
        <v>1</v>
      </c>
      <c r="J9" s="7">
        <v>1</v>
      </c>
      <c r="K9" s="27">
        <f t="shared" si="0"/>
        <v>1</v>
      </c>
      <c r="L9" s="7">
        <f t="shared" si="1"/>
        <v>2</v>
      </c>
      <c r="M9" s="27">
        <f t="shared" si="2"/>
        <v>3</v>
      </c>
      <c r="N9" s="7">
        <f t="shared" si="3"/>
        <v>4</v>
      </c>
      <c r="O9" s="34">
        <v>0</v>
      </c>
      <c r="P9" s="7">
        <v>2</v>
      </c>
      <c r="Q9" s="7">
        <f t="shared" si="4"/>
        <v>2</v>
      </c>
      <c r="R9" s="24">
        <f t="shared" si="5"/>
        <v>3560</v>
      </c>
      <c r="S9" s="24">
        <f t="shared" si="6"/>
        <v>4640</v>
      </c>
    </row>
    <row r="10" spans="1:19" x14ac:dyDescent="0.3">
      <c r="A10" s="5" t="s">
        <v>323</v>
      </c>
      <c r="B10" s="6" t="s">
        <v>324</v>
      </c>
      <c r="C10" s="8" t="s">
        <v>308</v>
      </c>
      <c r="D10" s="32">
        <v>1805</v>
      </c>
      <c r="E10" s="24">
        <v>3302.1</v>
      </c>
      <c r="F10" s="24">
        <v>1620</v>
      </c>
      <c r="G10" s="7">
        <v>4</v>
      </c>
      <c r="H10" s="7">
        <v>2</v>
      </c>
      <c r="I10" s="7">
        <v>1</v>
      </c>
      <c r="J10" s="7">
        <v>1</v>
      </c>
      <c r="K10" s="27">
        <f t="shared" si="0"/>
        <v>4</v>
      </c>
      <c r="L10" s="7">
        <f t="shared" si="1"/>
        <v>8</v>
      </c>
      <c r="M10" s="27">
        <f t="shared" si="2"/>
        <v>12</v>
      </c>
      <c r="N10" s="7">
        <f t="shared" si="3"/>
        <v>16</v>
      </c>
      <c r="O10" s="34">
        <v>0</v>
      </c>
      <c r="P10" s="7">
        <v>5</v>
      </c>
      <c r="Q10" s="7">
        <f t="shared" si="4"/>
        <v>11</v>
      </c>
      <c r="R10" s="24">
        <f t="shared" si="5"/>
        <v>19855</v>
      </c>
      <c r="S10" s="24">
        <f t="shared" si="6"/>
        <v>17820</v>
      </c>
    </row>
    <row r="11" spans="1:19" x14ac:dyDescent="0.3">
      <c r="A11" s="5" t="s">
        <v>325</v>
      </c>
      <c r="B11" s="6" t="s">
        <v>326</v>
      </c>
      <c r="C11" s="8" t="s">
        <v>308</v>
      </c>
      <c r="D11" s="24">
        <v>2007</v>
      </c>
      <c r="E11" s="24"/>
      <c r="F11" s="24">
        <v>1670</v>
      </c>
      <c r="G11" s="7">
        <v>1</v>
      </c>
      <c r="H11" s="7">
        <v>2</v>
      </c>
      <c r="I11" s="7">
        <v>1</v>
      </c>
      <c r="J11" s="7">
        <v>1</v>
      </c>
      <c r="K11" s="27">
        <f t="shared" si="0"/>
        <v>1</v>
      </c>
      <c r="L11" s="7">
        <f t="shared" si="1"/>
        <v>2</v>
      </c>
      <c r="M11" s="27">
        <f t="shared" si="2"/>
        <v>3</v>
      </c>
      <c r="N11" s="7">
        <f t="shared" si="3"/>
        <v>4</v>
      </c>
      <c r="O11" s="34">
        <v>2</v>
      </c>
      <c r="P11" s="7">
        <v>0</v>
      </c>
      <c r="Q11" s="7">
        <f t="shared" si="4"/>
        <v>2</v>
      </c>
      <c r="R11" s="24">
        <f t="shared" si="5"/>
        <v>4014</v>
      </c>
      <c r="S11" s="24">
        <f t="shared" si="6"/>
        <v>3340</v>
      </c>
    </row>
    <row r="12" spans="1:19" x14ac:dyDescent="0.3">
      <c r="A12" s="5" t="s">
        <v>327</v>
      </c>
      <c r="B12" s="6" t="s">
        <v>328</v>
      </c>
      <c r="C12" s="8" t="s">
        <v>308</v>
      </c>
      <c r="D12" s="24">
        <v>2182</v>
      </c>
      <c r="E12" s="24">
        <v>3946.95</v>
      </c>
      <c r="F12" s="24">
        <v>2190</v>
      </c>
      <c r="G12" s="7">
        <v>3</v>
      </c>
      <c r="H12" s="7">
        <v>2</v>
      </c>
      <c r="I12" s="7">
        <v>1</v>
      </c>
      <c r="J12" s="7">
        <v>1</v>
      </c>
      <c r="K12" s="27">
        <f t="shared" si="0"/>
        <v>3</v>
      </c>
      <c r="L12" s="7">
        <f t="shared" si="1"/>
        <v>6</v>
      </c>
      <c r="M12" s="27">
        <f t="shared" si="2"/>
        <v>9</v>
      </c>
      <c r="N12" s="7">
        <f t="shared" si="3"/>
        <v>12</v>
      </c>
      <c r="O12" s="34">
        <v>0</v>
      </c>
      <c r="P12" s="7">
        <v>0</v>
      </c>
      <c r="Q12" s="7">
        <f t="shared" si="4"/>
        <v>12</v>
      </c>
      <c r="R12" s="24">
        <f t="shared" si="5"/>
        <v>26184</v>
      </c>
      <c r="S12" s="24">
        <f t="shared" si="6"/>
        <v>26280</v>
      </c>
    </row>
    <row r="13" spans="1:19" x14ac:dyDescent="0.3">
      <c r="A13" s="5" t="s">
        <v>331</v>
      </c>
      <c r="B13" s="6" t="s">
        <v>332</v>
      </c>
      <c r="C13" s="8" t="s">
        <v>308</v>
      </c>
      <c r="D13" s="24">
        <v>2304</v>
      </c>
      <c r="E13" s="24"/>
      <c r="F13" s="24">
        <v>1940</v>
      </c>
      <c r="G13" s="7">
        <v>1</v>
      </c>
      <c r="H13" s="7">
        <v>2</v>
      </c>
      <c r="I13" s="7">
        <v>1</v>
      </c>
      <c r="J13" s="7">
        <v>1</v>
      </c>
      <c r="K13" s="27">
        <f t="shared" si="0"/>
        <v>1</v>
      </c>
      <c r="L13" s="7">
        <f t="shared" si="1"/>
        <v>2</v>
      </c>
      <c r="M13" s="27">
        <f t="shared" si="2"/>
        <v>3</v>
      </c>
      <c r="N13" s="7">
        <f t="shared" si="3"/>
        <v>4</v>
      </c>
      <c r="O13" s="34">
        <v>2</v>
      </c>
      <c r="P13" s="7">
        <v>0</v>
      </c>
      <c r="Q13" s="7">
        <f t="shared" si="4"/>
        <v>2</v>
      </c>
      <c r="R13" s="24">
        <f t="shared" si="5"/>
        <v>4608</v>
      </c>
      <c r="S13" s="24">
        <f t="shared" si="6"/>
        <v>3880</v>
      </c>
    </row>
    <row r="14" spans="1:19" x14ac:dyDescent="0.3">
      <c r="A14" s="5" t="s">
        <v>333</v>
      </c>
      <c r="B14" s="6" t="s">
        <v>334</v>
      </c>
      <c r="C14" s="8" t="s">
        <v>308</v>
      </c>
      <c r="D14" s="24">
        <v>2669</v>
      </c>
      <c r="E14" s="24">
        <v>4821.3</v>
      </c>
      <c r="F14" s="24">
        <v>3320</v>
      </c>
      <c r="G14" s="7">
        <v>3</v>
      </c>
      <c r="H14" s="7">
        <v>2</v>
      </c>
      <c r="I14" s="7">
        <v>1</v>
      </c>
      <c r="J14" s="7">
        <v>1</v>
      </c>
      <c r="K14" s="27">
        <f t="shared" si="0"/>
        <v>3</v>
      </c>
      <c r="L14" s="7">
        <f t="shared" si="1"/>
        <v>6</v>
      </c>
      <c r="M14" s="27">
        <f t="shared" si="2"/>
        <v>9</v>
      </c>
      <c r="N14" s="7">
        <f t="shared" si="3"/>
        <v>12</v>
      </c>
      <c r="O14" s="34">
        <v>2</v>
      </c>
      <c r="P14" s="7">
        <v>4</v>
      </c>
      <c r="Q14" s="7">
        <f t="shared" si="4"/>
        <v>6</v>
      </c>
      <c r="R14" s="24">
        <f t="shared" si="5"/>
        <v>16014</v>
      </c>
      <c r="S14" s="24">
        <f t="shared" si="6"/>
        <v>19920</v>
      </c>
    </row>
    <row r="15" spans="1:19" x14ac:dyDescent="0.3">
      <c r="A15" s="5" t="s">
        <v>335</v>
      </c>
      <c r="B15" s="6" t="s">
        <v>336</v>
      </c>
      <c r="C15" s="8" t="s">
        <v>308</v>
      </c>
      <c r="D15" s="24">
        <v>3150</v>
      </c>
      <c r="E15" s="24"/>
      <c r="F15" s="24">
        <v>2780</v>
      </c>
      <c r="G15" s="7">
        <v>1</v>
      </c>
      <c r="H15" s="7">
        <v>2</v>
      </c>
      <c r="I15" s="7">
        <v>1</v>
      </c>
      <c r="J15" s="7">
        <v>1</v>
      </c>
      <c r="K15" s="27">
        <f t="shared" si="0"/>
        <v>1</v>
      </c>
      <c r="L15" s="7">
        <f t="shared" si="1"/>
        <v>2</v>
      </c>
      <c r="M15" s="27">
        <f t="shared" si="2"/>
        <v>3</v>
      </c>
      <c r="N15" s="7">
        <f t="shared" si="3"/>
        <v>4</v>
      </c>
      <c r="O15" s="34">
        <v>1</v>
      </c>
      <c r="P15" s="7">
        <v>0</v>
      </c>
      <c r="Q15" s="7">
        <f t="shared" si="4"/>
        <v>3</v>
      </c>
      <c r="R15" s="24">
        <f t="shared" si="5"/>
        <v>9450</v>
      </c>
      <c r="S15" s="24">
        <f t="shared" si="6"/>
        <v>8340</v>
      </c>
    </row>
    <row r="16" spans="1:19" x14ac:dyDescent="0.3">
      <c r="A16" s="5" t="s">
        <v>337</v>
      </c>
      <c r="B16" s="6" t="s">
        <v>338</v>
      </c>
      <c r="C16" s="8" t="s">
        <v>308</v>
      </c>
      <c r="D16" s="24">
        <v>3080</v>
      </c>
      <c r="E16" s="24">
        <v>5715.9</v>
      </c>
      <c r="F16" s="24">
        <v>3580</v>
      </c>
      <c r="G16" s="7">
        <v>3</v>
      </c>
      <c r="H16" s="7">
        <v>2</v>
      </c>
      <c r="I16" s="7">
        <v>1</v>
      </c>
      <c r="J16" s="7">
        <v>1</v>
      </c>
      <c r="K16" s="27">
        <f t="shared" si="0"/>
        <v>3</v>
      </c>
      <c r="L16" s="7">
        <f t="shared" si="1"/>
        <v>6</v>
      </c>
      <c r="M16" s="27">
        <f t="shared" si="2"/>
        <v>9</v>
      </c>
      <c r="N16" s="7">
        <f t="shared" si="3"/>
        <v>12</v>
      </c>
      <c r="O16" s="34">
        <v>4</v>
      </c>
      <c r="P16" s="7">
        <v>0</v>
      </c>
      <c r="Q16" s="7">
        <f t="shared" si="4"/>
        <v>8</v>
      </c>
      <c r="R16" s="24">
        <f t="shared" si="5"/>
        <v>24640</v>
      </c>
      <c r="S16" s="24">
        <f t="shared" si="6"/>
        <v>28640</v>
      </c>
    </row>
    <row r="17" spans="1:19" x14ac:dyDescent="0.3">
      <c r="A17" s="5" t="s">
        <v>339</v>
      </c>
      <c r="B17" s="6" t="s">
        <v>340</v>
      </c>
      <c r="C17" s="8" t="s">
        <v>308</v>
      </c>
      <c r="D17" s="24">
        <v>3630</v>
      </c>
      <c r="E17" s="24">
        <v>5994.9</v>
      </c>
      <c r="F17" s="24">
        <v>3260</v>
      </c>
      <c r="G17" s="7">
        <v>2</v>
      </c>
      <c r="H17" s="7">
        <v>2</v>
      </c>
      <c r="I17" s="7">
        <v>1</v>
      </c>
      <c r="J17" s="7">
        <v>1</v>
      </c>
      <c r="K17" s="27">
        <f t="shared" si="0"/>
        <v>2</v>
      </c>
      <c r="L17" s="7">
        <f t="shared" si="1"/>
        <v>4</v>
      </c>
      <c r="M17" s="27">
        <f t="shared" si="2"/>
        <v>6</v>
      </c>
      <c r="N17" s="7">
        <f t="shared" si="3"/>
        <v>8</v>
      </c>
      <c r="O17" s="34">
        <v>3</v>
      </c>
      <c r="P17" s="7">
        <v>0</v>
      </c>
      <c r="Q17" s="7">
        <f t="shared" si="4"/>
        <v>5</v>
      </c>
      <c r="R17" s="24">
        <f t="shared" si="5"/>
        <v>18150</v>
      </c>
      <c r="S17" s="24">
        <f t="shared" si="6"/>
        <v>16300</v>
      </c>
    </row>
    <row r="18" spans="1:19" x14ac:dyDescent="0.3">
      <c r="A18" s="5" t="s">
        <v>341</v>
      </c>
      <c r="B18" s="6" t="s">
        <v>342</v>
      </c>
      <c r="C18" s="8" t="s">
        <v>308</v>
      </c>
      <c r="D18" s="24">
        <v>4110</v>
      </c>
      <c r="E18" s="24"/>
      <c r="F18" s="24">
        <v>4520</v>
      </c>
      <c r="G18" s="7">
        <v>2</v>
      </c>
      <c r="H18" s="7">
        <v>2</v>
      </c>
      <c r="I18" s="7">
        <v>1</v>
      </c>
      <c r="J18" s="7">
        <v>1</v>
      </c>
      <c r="K18" s="27">
        <f t="shared" si="0"/>
        <v>2</v>
      </c>
      <c r="L18" s="7">
        <f t="shared" si="1"/>
        <v>4</v>
      </c>
      <c r="M18" s="27">
        <f t="shared" si="2"/>
        <v>6</v>
      </c>
      <c r="N18" s="7">
        <f t="shared" si="3"/>
        <v>8</v>
      </c>
      <c r="O18" s="34">
        <v>3</v>
      </c>
      <c r="P18" s="7">
        <v>0</v>
      </c>
      <c r="Q18" s="7">
        <f t="shared" si="4"/>
        <v>5</v>
      </c>
      <c r="R18" s="24">
        <f t="shared" si="5"/>
        <v>20550</v>
      </c>
      <c r="S18" s="24">
        <f t="shared" si="6"/>
        <v>22600</v>
      </c>
    </row>
    <row r="19" spans="1:19" x14ac:dyDescent="0.3">
      <c r="A19" s="5" t="s">
        <v>345</v>
      </c>
      <c r="B19" s="6" t="s">
        <v>346</v>
      </c>
      <c r="C19" s="8" t="s">
        <v>308</v>
      </c>
      <c r="D19" s="24">
        <v>4722</v>
      </c>
      <c r="E19" s="24"/>
      <c r="F19" s="24"/>
      <c r="G19" s="7">
        <v>1</v>
      </c>
      <c r="H19" s="7">
        <v>0.66</v>
      </c>
      <c r="I19" s="7">
        <v>1</v>
      </c>
      <c r="J19" s="7">
        <v>1</v>
      </c>
      <c r="K19" s="27">
        <f t="shared" si="0"/>
        <v>1</v>
      </c>
      <c r="L19" s="7">
        <f t="shared" si="1"/>
        <v>1</v>
      </c>
      <c r="M19" s="27">
        <f t="shared" si="2"/>
        <v>2</v>
      </c>
      <c r="N19" s="7">
        <f t="shared" si="3"/>
        <v>3</v>
      </c>
      <c r="O19" s="34">
        <v>3</v>
      </c>
      <c r="P19" s="7">
        <v>0</v>
      </c>
      <c r="Q19" s="7">
        <f t="shared" si="4"/>
        <v>0</v>
      </c>
      <c r="R19" s="24">
        <f t="shared" si="5"/>
        <v>0</v>
      </c>
      <c r="S19" s="24">
        <f t="shared" si="6"/>
        <v>0</v>
      </c>
    </row>
    <row r="20" spans="1:19" x14ac:dyDescent="0.3">
      <c r="R20" s="31">
        <f>SUM(R2:R19)</f>
        <v>175374</v>
      </c>
      <c r="S20" s="31">
        <f>SUM(S2:S19)</f>
        <v>178030</v>
      </c>
    </row>
    <row r="21" spans="1:19" x14ac:dyDescent="0.3">
      <c r="O21" s="25" t="s">
        <v>482</v>
      </c>
    </row>
  </sheetData>
  <autoFilter ref="A1:S21" xr:uid="{10C06D2D-A993-457B-BF6A-A946A4C0E795}"/>
  <conditionalFormatting sqref="A2:S19">
    <cfRule type="expression" dxfId="4" priority="3">
      <formula>$Q2&gt;0</formula>
    </cfRule>
  </conditionalFormatting>
  <conditionalFormatting sqref="R2:S19">
    <cfRule type="expression" dxfId="3" priority="1">
      <formula>$Q2&gt;1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C4A3-EA43-4044-9BA2-7A58194F14C4}">
  <dimension ref="A1:I24"/>
  <sheetViews>
    <sheetView workbookViewId="0">
      <selection activeCell="A6" sqref="A6:XFD6"/>
    </sheetView>
  </sheetViews>
  <sheetFormatPr defaultRowHeight="14.4" x14ac:dyDescent="0.3"/>
  <cols>
    <col min="1" max="2" width="9.109375" bestFit="1" customWidth="1"/>
    <col min="3" max="3" width="28.21875" bestFit="1" customWidth="1"/>
    <col min="4" max="4" width="11.88671875" bestFit="1" customWidth="1"/>
    <col min="5" max="5" width="17.109375" customWidth="1"/>
    <col min="6" max="7" width="15.109375" customWidth="1"/>
    <col min="8" max="8" width="3.109375" customWidth="1"/>
    <col min="9" max="9" width="12.33203125" style="37" customWidth="1"/>
  </cols>
  <sheetData>
    <row r="1" spans="1:9" x14ac:dyDescent="0.3">
      <c r="A1" s="43" t="s">
        <v>488</v>
      </c>
      <c r="B1" s="35" t="s">
        <v>0</v>
      </c>
      <c r="C1" s="35" t="s">
        <v>1</v>
      </c>
      <c r="D1" s="35" t="s">
        <v>2</v>
      </c>
      <c r="E1" s="35" t="s">
        <v>477</v>
      </c>
      <c r="F1" s="35" t="s">
        <v>12</v>
      </c>
      <c r="G1" s="35" t="s">
        <v>486</v>
      </c>
      <c r="H1" s="35" t="s">
        <v>484</v>
      </c>
      <c r="I1" s="36" t="s">
        <v>483</v>
      </c>
    </row>
    <row r="2" spans="1:9" x14ac:dyDescent="0.3">
      <c r="A2" s="38" t="s">
        <v>489</v>
      </c>
      <c r="B2" s="12" t="s">
        <v>319</v>
      </c>
      <c r="C2" s="4" t="s">
        <v>320</v>
      </c>
      <c r="D2" s="13" t="s">
        <v>308</v>
      </c>
      <c r="E2" s="38">
        <v>1593</v>
      </c>
      <c r="F2" s="13">
        <v>10</v>
      </c>
      <c r="G2" s="38">
        <f>Table1[[#This Row],[Order Quantity]]*Table1[[#This Row],[Actom Cost Price]]</f>
        <v>15930</v>
      </c>
      <c r="H2" s="38"/>
      <c r="I2" s="37">
        <v>46106</v>
      </c>
    </row>
    <row r="3" spans="1:9" x14ac:dyDescent="0.3">
      <c r="A3" s="38" t="s">
        <v>489</v>
      </c>
      <c r="B3" s="12" t="s">
        <v>339</v>
      </c>
      <c r="C3" s="4" t="s">
        <v>340</v>
      </c>
      <c r="D3" s="13" t="s">
        <v>308</v>
      </c>
      <c r="E3" s="38">
        <v>3630</v>
      </c>
      <c r="F3" s="13">
        <v>1</v>
      </c>
      <c r="G3" s="38">
        <f>Table1[[#This Row],[Order Quantity]]*Table1[[#This Row],[Actom Cost Price]]</f>
        <v>3630</v>
      </c>
      <c r="H3" s="38"/>
      <c r="I3" s="37" t="s">
        <v>485</v>
      </c>
    </row>
    <row r="4" spans="1:9" x14ac:dyDescent="0.3">
      <c r="A4" s="38" t="s">
        <v>489</v>
      </c>
      <c r="B4" s="12" t="s">
        <v>313</v>
      </c>
      <c r="C4" s="4" t="s">
        <v>314</v>
      </c>
      <c r="D4" s="13" t="s">
        <v>308</v>
      </c>
      <c r="E4" s="38">
        <v>1400</v>
      </c>
      <c r="F4" s="13">
        <v>4</v>
      </c>
      <c r="G4" s="38">
        <f>Table1[[#This Row],[Order Quantity]]*Table1[[#This Row],[Actom Cost Price]]</f>
        <v>5600</v>
      </c>
      <c r="H4" s="38"/>
      <c r="I4" s="37" t="s">
        <v>485</v>
      </c>
    </row>
    <row r="5" spans="1:9" x14ac:dyDescent="0.3">
      <c r="A5" s="44" t="s">
        <v>490</v>
      </c>
      <c r="B5" s="45" t="s">
        <v>321</v>
      </c>
      <c r="C5" s="46" t="s">
        <v>322</v>
      </c>
      <c r="D5" s="47" t="s">
        <v>308</v>
      </c>
      <c r="E5" s="44">
        <v>1780</v>
      </c>
      <c r="F5" s="47">
        <v>2</v>
      </c>
      <c r="G5" s="44">
        <f>Table1[[#This Row],[Order Quantity]]*Table1[[#This Row],[Actom Cost Price]]</f>
        <v>3560</v>
      </c>
      <c r="H5" s="44"/>
      <c r="I5" s="48">
        <v>46095</v>
      </c>
    </row>
    <row r="6" spans="1:9" x14ac:dyDescent="0.3">
      <c r="A6" s="38" t="s">
        <v>489</v>
      </c>
      <c r="B6" s="12" t="s">
        <v>321</v>
      </c>
      <c r="C6" s="4" t="s">
        <v>322</v>
      </c>
      <c r="D6" s="13" t="s">
        <v>308</v>
      </c>
      <c r="E6" s="38">
        <v>1780</v>
      </c>
      <c r="F6" s="13">
        <v>2</v>
      </c>
      <c r="G6" s="38">
        <f>Table1[[#This Row],[Order Quantity]]*Table1[[#This Row],[Actom Cost Price]]</f>
        <v>3560</v>
      </c>
      <c r="H6" s="38"/>
      <c r="I6" s="37">
        <v>46095</v>
      </c>
    </row>
    <row r="7" spans="1:9" x14ac:dyDescent="0.3">
      <c r="A7" s="38" t="s">
        <v>489</v>
      </c>
      <c r="B7" s="12" t="s">
        <v>325</v>
      </c>
      <c r="C7" s="4" t="s">
        <v>326</v>
      </c>
      <c r="D7" s="13" t="s">
        <v>308</v>
      </c>
      <c r="E7" s="38">
        <v>2007</v>
      </c>
      <c r="F7" s="13">
        <v>2</v>
      </c>
      <c r="G7" s="38">
        <f>Table1[[#This Row],[Order Quantity]]*Table1[[#This Row],[Actom Cost Price]]</f>
        <v>4014</v>
      </c>
      <c r="H7" s="38"/>
      <c r="I7" s="37" t="s">
        <v>485</v>
      </c>
    </row>
    <row r="8" spans="1:9" ht="15" thickBot="1" x14ac:dyDescent="0.35">
      <c r="A8" s="38" t="s">
        <v>489</v>
      </c>
      <c r="B8" s="12" t="s">
        <v>331</v>
      </c>
      <c r="C8" s="4" t="s">
        <v>332</v>
      </c>
      <c r="D8" s="13" t="s">
        <v>308</v>
      </c>
      <c r="E8" s="38">
        <v>2304</v>
      </c>
      <c r="F8" s="13">
        <v>2</v>
      </c>
      <c r="G8" s="38">
        <f>Table1[[#This Row],[Order Quantity]]*Table1[[#This Row],[Actom Cost Price]]</f>
        <v>4608</v>
      </c>
      <c r="H8" s="38"/>
      <c r="I8" s="37">
        <v>46095</v>
      </c>
    </row>
    <row r="9" spans="1:9" ht="15" thickBot="1" x14ac:dyDescent="0.35">
      <c r="A9" s="38"/>
      <c r="B9" s="12"/>
      <c r="C9" s="4"/>
      <c r="D9" s="13"/>
      <c r="E9" s="38"/>
      <c r="F9" s="13"/>
      <c r="G9" s="39">
        <f>SUBTOTAL(109,G2:G8)</f>
        <v>40902</v>
      </c>
      <c r="H9" s="38"/>
      <c r="I9" s="40">
        <f>Table1[[#This Row],[Total]]*1.15</f>
        <v>47037.299999999996</v>
      </c>
    </row>
    <row r="10" spans="1:9" x14ac:dyDescent="0.3">
      <c r="A10" s="38"/>
      <c r="B10" s="12"/>
      <c r="C10" s="4"/>
      <c r="D10" s="13"/>
      <c r="E10" s="38"/>
      <c r="F10" s="13"/>
      <c r="G10" s="38"/>
      <c r="H10" s="38"/>
    </row>
    <row r="11" spans="1:9" x14ac:dyDescent="0.3">
      <c r="A11" s="38" t="s">
        <v>489</v>
      </c>
      <c r="B11" s="12" t="s">
        <v>311</v>
      </c>
      <c r="C11" s="4" t="s">
        <v>312</v>
      </c>
      <c r="D11" s="13" t="s">
        <v>308</v>
      </c>
      <c r="E11" s="38">
        <v>1344</v>
      </c>
      <c r="F11" s="13">
        <v>11</v>
      </c>
      <c r="G11" s="38">
        <f>Table1[[#This Row],[Order Quantity]]*Table1[[#This Row],[Actom Cost Price]]</f>
        <v>14784</v>
      </c>
      <c r="H11" s="38"/>
      <c r="I11" s="37">
        <v>46166</v>
      </c>
    </row>
    <row r="12" spans="1:9" x14ac:dyDescent="0.3">
      <c r="A12" s="44" t="s">
        <v>490</v>
      </c>
      <c r="B12" s="45" t="s">
        <v>323</v>
      </c>
      <c r="C12" s="46" t="s">
        <v>324</v>
      </c>
      <c r="D12" s="47" t="s">
        <v>308</v>
      </c>
      <c r="E12" s="44">
        <v>1805</v>
      </c>
      <c r="F12" s="47">
        <v>15</v>
      </c>
      <c r="G12" s="44">
        <f>Table1[[#This Row],[Order Quantity]]*Table1[[#This Row],[Actom Cost Price]]</f>
        <v>27075</v>
      </c>
      <c r="H12" s="44"/>
      <c r="I12" s="48">
        <v>46157</v>
      </c>
    </row>
    <row r="13" spans="1:9" x14ac:dyDescent="0.3">
      <c r="A13" s="38" t="s">
        <v>489</v>
      </c>
      <c r="B13" s="12" t="s">
        <v>323</v>
      </c>
      <c r="C13" s="4" t="s">
        <v>324</v>
      </c>
      <c r="D13" s="13" t="s">
        <v>308</v>
      </c>
      <c r="E13" s="38">
        <v>1805</v>
      </c>
      <c r="F13" s="13">
        <v>17</v>
      </c>
      <c r="G13" s="38">
        <f>Table1[[#This Row],[Order Quantity]]*Table1[[#This Row],[Actom Cost Price]]</f>
        <v>30685</v>
      </c>
      <c r="H13" s="38"/>
      <c r="I13" s="37">
        <v>46157</v>
      </c>
    </row>
    <row r="14" spans="1:9" x14ac:dyDescent="0.3">
      <c r="A14" s="44" t="s">
        <v>490</v>
      </c>
      <c r="B14" s="45" t="s">
        <v>333</v>
      </c>
      <c r="C14" s="46" t="s">
        <v>334</v>
      </c>
      <c r="D14" s="47" t="s">
        <v>308</v>
      </c>
      <c r="E14" s="44">
        <v>2669</v>
      </c>
      <c r="F14" s="47">
        <v>6</v>
      </c>
      <c r="G14" s="44">
        <f>Table1[[#This Row],[Order Quantity]]*Table1[[#This Row],[Actom Cost Price]]</f>
        <v>16014</v>
      </c>
      <c r="H14" s="44"/>
      <c r="I14" s="48">
        <v>46157</v>
      </c>
    </row>
    <row r="15" spans="1:9" x14ac:dyDescent="0.3">
      <c r="A15" s="38" t="s">
        <v>489</v>
      </c>
      <c r="B15" s="12" t="s">
        <v>333</v>
      </c>
      <c r="C15" s="4" t="s">
        <v>334</v>
      </c>
      <c r="D15" s="13" t="s">
        <v>308</v>
      </c>
      <c r="E15" s="38">
        <v>2669</v>
      </c>
      <c r="F15" s="13">
        <v>8</v>
      </c>
      <c r="G15" s="38">
        <f>Table1[[#This Row],[Order Quantity]]*Table1[[#This Row],[Actom Cost Price]]</f>
        <v>21352</v>
      </c>
      <c r="H15" s="38"/>
      <c r="I15" s="37">
        <v>46157</v>
      </c>
    </row>
    <row r="16" spans="1:9" x14ac:dyDescent="0.3">
      <c r="A16" s="38" t="s">
        <v>489</v>
      </c>
      <c r="B16" s="12" t="s">
        <v>337</v>
      </c>
      <c r="C16" s="4" t="s">
        <v>338</v>
      </c>
      <c r="D16" s="13" t="s">
        <v>308</v>
      </c>
      <c r="E16" s="38">
        <v>3080</v>
      </c>
      <c r="F16" s="13">
        <v>8</v>
      </c>
      <c r="G16" s="38">
        <f>Table1[[#This Row],[Order Quantity]]*Table1[[#This Row],[Actom Cost Price]]</f>
        <v>24640</v>
      </c>
      <c r="H16" s="38"/>
      <c r="I16" s="37">
        <v>46157</v>
      </c>
    </row>
    <row r="17" spans="1:9" ht="15" thickBot="1" x14ac:dyDescent="0.35">
      <c r="A17" s="38" t="s">
        <v>489</v>
      </c>
      <c r="B17" s="12" t="s">
        <v>341</v>
      </c>
      <c r="C17" s="4" t="s">
        <v>342</v>
      </c>
      <c r="D17" s="13" t="s">
        <v>308</v>
      </c>
      <c r="E17" s="38">
        <v>4110</v>
      </c>
      <c r="F17" s="13">
        <v>4</v>
      </c>
      <c r="G17" s="38">
        <f>Table1[[#This Row],[Order Quantity]]*Table1[[#This Row],[Actom Cost Price]]</f>
        <v>16440</v>
      </c>
      <c r="H17" s="38"/>
      <c r="I17" s="37">
        <v>46157</v>
      </c>
    </row>
    <row r="18" spans="1:9" ht="15" thickBot="1" x14ac:dyDescent="0.35">
      <c r="A18" s="38"/>
      <c r="B18" s="12"/>
      <c r="C18" s="4"/>
      <c r="D18" s="13"/>
      <c r="E18" s="38"/>
      <c r="F18" s="13"/>
      <c r="G18" s="39">
        <f>SUBTOTAL(109,G11:G17)</f>
        <v>150990</v>
      </c>
      <c r="H18" s="38"/>
      <c r="I18" s="40">
        <f>Table1[[#This Row],[Total]]*1.15</f>
        <v>173638.5</v>
      </c>
    </row>
    <row r="19" spans="1:9" x14ac:dyDescent="0.3">
      <c r="A19" s="38"/>
      <c r="B19" s="12"/>
      <c r="C19" s="4"/>
      <c r="D19" s="13"/>
      <c r="E19" s="38"/>
      <c r="F19" s="13"/>
      <c r="G19" s="38"/>
      <c r="H19" s="38"/>
    </row>
    <row r="20" spans="1:9" x14ac:dyDescent="0.3">
      <c r="A20" s="38" t="s">
        <v>489</v>
      </c>
      <c r="B20" s="12" t="s">
        <v>327</v>
      </c>
      <c r="C20" s="4" t="s">
        <v>328</v>
      </c>
      <c r="D20" s="13" t="s">
        <v>308</v>
      </c>
      <c r="E20" s="38">
        <v>2182</v>
      </c>
      <c r="F20" s="13">
        <v>20</v>
      </c>
      <c r="G20" s="38">
        <f>Table1[[#This Row],[Order Quantity]]*Table1[[#This Row],[Actom Cost Price]]</f>
        <v>43640</v>
      </c>
      <c r="H20" s="38"/>
      <c r="I20" s="37">
        <v>46202</v>
      </c>
    </row>
    <row r="21" spans="1:9" ht="15" thickBot="1" x14ac:dyDescent="0.35">
      <c r="A21" s="38" t="s">
        <v>489</v>
      </c>
      <c r="B21" s="12" t="s">
        <v>335</v>
      </c>
      <c r="C21" s="4" t="s">
        <v>336</v>
      </c>
      <c r="D21" s="13" t="s">
        <v>308</v>
      </c>
      <c r="E21" s="38">
        <v>3150</v>
      </c>
      <c r="F21" s="13">
        <v>2</v>
      </c>
      <c r="G21" s="38">
        <f>Table1[[#This Row],[Order Quantity]]*Table1[[#This Row],[Actom Cost Price]]</f>
        <v>6300</v>
      </c>
      <c r="H21" s="38"/>
      <c r="I21" s="37">
        <v>46202</v>
      </c>
    </row>
    <row r="22" spans="1:9" ht="15" thickBot="1" x14ac:dyDescent="0.35">
      <c r="A22" s="38"/>
      <c r="B22" s="12"/>
      <c r="C22" s="4"/>
      <c r="D22" s="13"/>
      <c r="E22" s="38"/>
      <c r="F22" s="13"/>
      <c r="G22" s="39">
        <f>SUBTOTAL(109,G20:G21)</f>
        <v>49940</v>
      </c>
      <c r="H22" s="38"/>
      <c r="I22" s="40">
        <f>Table1[[#This Row],[Total]]*1.15</f>
        <v>57430.999999999993</v>
      </c>
    </row>
    <row r="23" spans="1:9" ht="15" thickBot="1" x14ac:dyDescent="0.35"/>
    <row r="24" spans="1:9" ht="15" thickBot="1" x14ac:dyDescent="0.35">
      <c r="F24" s="42" t="s">
        <v>487</v>
      </c>
      <c r="G24" s="41">
        <f>G22+G18+G9</f>
        <v>241832</v>
      </c>
      <c r="I24" s="41">
        <f>I22+I18+I9</f>
        <v>278106.8</v>
      </c>
    </row>
  </sheetData>
  <phoneticPr fontId="3" type="noConversion"/>
  <conditionalFormatting sqref="B5:E6">
    <cfRule type="expression" dxfId="2" priority="3">
      <formula>#REF!&gt;0</formula>
    </cfRule>
  </conditionalFormatting>
  <conditionalFormatting sqref="B12:E12">
    <cfRule type="expression" dxfId="1" priority="2">
      <formula>#REF!&gt;0</formula>
    </cfRule>
  </conditionalFormatting>
  <conditionalFormatting sqref="B14:E14">
    <cfRule type="expression" dxfId="0" priority="1">
      <formula>#REF!&gt;0</formula>
    </cfRule>
  </conditionalFormatting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A62C-8B05-4E4B-9B04-D76EF31BBE8C}">
  <sheetPr filterMode="1"/>
  <dimension ref="A1:E2754"/>
  <sheetViews>
    <sheetView workbookViewId="0">
      <selection activeCell="G870" sqref="G870"/>
    </sheetView>
  </sheetViews>
  <sheetFormatPr defaultColWidth="15.44140625" defaultRowHeight="14.4" x14ac:dyDescent="0.3"/>
  <cols>
    <col min="1" max="1" width="12.88671875" style="50" customWidth="1"/>
    <col min="2" max="2" width="32.109375" style="50" customWidth="1"/>
    <col min="3" max="3" width="16" style="50" bestFit="1" customWidth="1"/>
    <col min="4" max="4" width="11.5546875" style="50" bestFit="1" customWidth="1"/>
    <col min="5" max="5" width="10" style="50" bestFit="1" customWidth="1"/>
    <col min="6" max="16384" width="15.44140625" style="50"/>
  </cols>
  <sheetData>
    <row r="1" spans="1:5" x14ac:dyDescent="0.3">
      <c r="A1" s="50" t="s">
        <v>0</v>
      </c>
      <c r="B1" s="50" t="s">
        <v>1</v>
      </c>
      <c r="C1" s="50" t="s">
        <v>2</v>
      </c>
      <c r="D1" s="50" t="s">
        <v>5590</v>
      </c>
      <c r="E1" s="50" t="s">
        <v>5589</v>
      </c>
    </row>
    <row r="2" spans="1:5" hidden="1" x14ac:dyDescent="0.3">
      <c r="A2" s="50" t="s">
        <v>5588</v>
      </c>
      <c r="B2" s="50" t="s">
        <v>5587</v>
      </c>
      <c r="C2" s="50" t="s">
        <v>5586</v>
      </c>
      <c r="D2" s="50" t="s">
        <v>5307</v>
      </c>
      <c r="E2" s="50">
        <v>1500</v>
      </c>
    </row>
    <row r="3" spans="1:5" hidden="1" x14ac:dyDescent="0.3">
      <c r="A3" s="50" t="s">
        <v>306</v>
      </c>
      <c r="B3" s="50" t="s">
        <v>307</v>
      </c>
      <c r="D3" s="50" t="s">
        <v>5585</v>
      </c>
      <c r="E3" s="50">
        <v>1149.3800000000001</v>
      </c>
    </row>
    <row r="4" spans="1:5" hidden="1" x14ac:dyDescent="0.3">
      <c r="A4" s="50" t="s">
        <v>309</v>
      </c>
      <c r="B4" s="50" t="s">
        <v>310</v>
      </c>
      <c r="C4" s="50" t="s">
        <v>5571</v>
      </c>
      <c r="D4" s="50" t="s">
        <v>5584</v>
      </c>
      <c r="E4" s="50">
        <v>1207.6500000000001</v>
      </c>
    </row>
    <row r="5" spans="1:5" hidden="1" x14ac:dyDescent="0.3">
      <c r="A5" s="50" t="s">
        <v>5583</v>
      </c>
      <c r="B5" s="50" t="s">
        <v>5582</v>
      </c>
      <c r="C5" s="50" t="s">
        <v>5571</v>
      </c>
      <c r="D5" s="50" t="s">
        <v>5581</v>
      </c>
      <c r="E5" s="50">
        <v>1430</v>
      </c>
    </row>
    <row r="6" spans="1:5" hidden="1" x14ac:dyDescent="0.3">
      <c r="A6" s="50" t="s">
        <v>311</v>
      </c>
      <c r="B6" s="50" t="s">
        <v>312</v>
      </c>
      <c r="C6" s="50" t="s">
        <v>5571</v>
      </c>
      <c r="D6" s="50" t="s">
        <v>5580</v>
      </c>
      <c r="E6" s="50">
        <v>1251.8900000000001</v>
      </c>
    </row>
    <row r="7" spans="1:5" hidden="1" x14ac:dyDescent="0.3">
      <c r="A7" s="50" t="s">
        <v>5579</v>
      </c>
      <c r="B7" s="50" t="s">
        <v>5578</v>
      </c>
      <c r="D7" s="51">
        <v>0</v>
      </c>
      <c r="E7" s="50">
        <v>0</v>
      </c>
    </row>
    <row r="8" spans="1:5" hidden="1" x14ac:dyDescent="0.3">
      <c r="A8" s="50" t="s">
        <v>313</v>
      </c>
      <c r="B8" s="50" t="s">
        <v>314</v>
      </c>
      <c r="D8" s="50" t="s">
        <v>5577</v>
      </c>
      <c r="E8" s="50">
        <v>1296.53</v>
      </c>
    </row>
    <row r="9" spans="1:5" hidden="1" x14ac:dyDescent="0.3">
      <c r="A9" s="50" t="s">
        <v>5576</v>
      </c>
      <c r="B9" s="50" t="s">
        <v>5575</v>
      </c>
      <c r="D9" s="50" t="s">
        <v>5574</v>
      </c>
      <c r="E9" s="50">
        <v>1359</v>
      </c>
    </row>
    <row r="10" spans="1:5" hidden="1" x14ac:dyDescent="0.3">
      <c r="A10" s="50" t="s">
        <v>5573</v>
      </c>
      <c r="B10" s="50" t="s">
        <v>5572</v>
      </c>
      <c r="C10" s="50" t="s">
        <v>5571</v>
      </c>
      <c r="D10" s="50" t="s">
        <v>5570</v>
      </c>
      <c r="E10" s="50">
        <v>1480</v>
      </c>
    </row>
    <row r="11" spans="1:5" hidden="1" x14ac:dyDescent="0.3">
      <c r="A11" s="50" t="s">
        <v>315</v>
      </c>
      <c r="B11" s="50" t="s">
        <v>316</v>
      </c>
      <c r="D11" s="50" t="s">
        <v>5569</v>
      </c>
      <c r="E11" s="50">
        <v>1443.62</v>
      </c>
    </row>
    <row r="12" spans="1:5" hidden="1" x14ac:dyDescent="0.3">
      <c r="A12" s="50" t="s">
        <v>5568</v>
      </c>
      <c r="B12" s="50" t="s">
        <v>5567</v>
      </c>
      <c r="D12" s="51">
        <v>0</v>
      </c>
      <c r="E12" s="50">
        <v>0</v>
      </c>
    </row>
    <row r="13" spans="1:5" hidden="1" x14ac:dyDescent="0.3">
      <c r="A13" s="50" t="s">
        <v>317</v>
      </c>
      <c r="B13" s="50" t="s">
        <v>318</v>
      </c>
      <c r="D13" s="50" t="s">
        <v>5566</v>
      </c>
      <c r="E13" s="50">
        <v>1590.52</v>
      </c>
    </row>
    <row r="14" spans="1:5" hidden="1" x14ac:dyDescent="0.3">
      <c r="A14" s="50" t="s">
        <v>5565</v>
      </c>
      <c r="B14" s="50" t="s">
        <v>5564</v>
      </c>
      <c r="D14" s="50" t="s">
        <v>5563</v>
      </c>
      <c r="E14" s="50">
        <v>1591</v>
      </c>
    </row>
    <row r="15" spans="1:5" hidden="1" x14ac:dyDescent="0.3">
      <c r="A15" s="50" t="s">
        <v>5562</v>
      </c>
      <c r="B15" s="50" t="s">
        <v>5561</v>
      </c>
      <c r="D15" s="50" t="s">
        <v>2981</v>
      </c>
      <c r="E15" s="50">
        <v>1880</v>
      </c>
    </row>
    <row r="16" spans="1:5" hidden="1" x14ac:dyDescent="0.3">
      <c r="A16" s="50" t="s">
        <v>5560</v>
      </c>
      <c r="B16" s="50" t="s">
        <v>5559</v>
      </c>
      <c r="D16" s="50" t="s">
        <v>4377</v>
      </c>
      <c r="E16" s="50">
        <v>1630</v>
      </c>
    </row>
    <row r="17" spans="1:5" hidden="1" x14ac:dyDescent="0.3">
      <c r="A17" s="50" t="s">
        <v>319</v>
      </c>
      <c r="B17" s="50" t="s">
        <v>320</v>
      </c>
      <c r="D17" s="50" t="s">
        <v>5558</v>
      </c>
      <c r="E17" s="50">
        <v>1407.27</v>
      </c>
    </row>
    <row r="18" spans="1:5" hidden="1" x14ac:dyDescent="0.3">
      <c r="A18" s="50" t="s">
        <v>5557</v>
      </c>
      <c r="B18" s="50" t="s">
        <v>5556</v>
      </c>
      <c r="D18" s="50" t="s">
        <v>5555</v>
      </c>
      <c r="E18" s="50">
        <v>1834</v>
      </c>
    </row>
    <row r="19" spans="1:5" hidden="1" x14ac:dyDescent="0.3">
      <c r="A19" s="50" t="s">
        <v>5554</v>
      </c>
      <c r="B19" s="50" t="s">
        <v>5553</v>
      </c>
      <c r="D19" s="50" t="s">
        <v>5552</v>
      </c>
      <c r="E19" s="50">
        <v>2710</v>
      </c>
    </row>
    <row r="20" spans="1:5" ht="43.2" hidden="1" x14ac:dyDescent="0.3">
      <c r="A20" s="52" t="s">
        <v>5551</v>
      </c>
      <c r="B20" s="50" t="s">
        <v>5550</v>
      </c>
      <c r="D20" s="51">
        <v>0</v>
      </c>
      <c r="E20" s="50">
        <v>0</v>
      </c>
    </row>
    <row r="21" spans="1:5" ht="28.8" hidden="1" x14ac:dyDescent="0.3">
      <c r="A21" s="52" t="s">
        <v>5549</v>
      </c>
      <c r="B21" s="50" t="s">
        <v>5548</v>
      </c>
      <c r="D21" s="51">
        <v>0</v>
      </c>
      <c r="E21" s="50">
        <v>0</v>
      </c>
    </row>
    <row r="22" spans="1:5" hidden="1" x14ac:dyDescent="0.3">
      <c r="A22" s="52" t="s">
        <v>5547</v>
      </c>
      <c r="B22" s="50" t="s">
        <v>5546</v>
      </c>
      <c r="D22" s="51">
        <v>0</v>
      </c>
      <c r="E22" s="50">
        <v>0</v>
      </c>
    </row>
    <row r="23" spans="1:5" hidden="1" x14ac:dyDescent="0.3">
      <c r="A23" s="52" t="s">
        <v>5545</v>
      </c>
      <c r="B23" s="50" t="s">
        <v>1128</v>
      </c>
      <c r="D23" s="50" t="s">
        <v>5544</v>
      </c>
      <c r="E23" s="50">
        <v>4276.18</v>
      </c>
    </row>
    <row r="24" spans="1:5" hidden="1" x14ac:dyDescent="0.3">
      <c r="A24" s="52" t="s">
        <v>5543</v>
      </c>
      <c r="B24" s="50" t="s">
        <v>5542</v>
      </c>
      <c r="D24" s="51">
        <v>520</v>
      </c>
      <c r="E24" s="50">
        <v>520</v>
      </c>
    </row>
    <row r="25" spans="1:5" ht="28.8" hidden="1" x14ac:dyDescent="0.3">
      <c r="A25" s="50" t="s">
        <v>5541</v>
      </c>
      <c r="B25" s="50" t="s">
        <v>5540</v>
      </c>
      <c r="D25" s="50" t="s">
        <v>5539</v>
      </c>
      <c r="E25" s="50">
        <v>1004</v>
      </c>
    </row>
    <row r="26" spans="1:5" hidden="1" x14ac:dyDescent="0.3">
      <c r="A26" s="50" t="s">
        <v>5538</v>
      </c>
      <c r="B26" s="50" t="s">
        <v>5537</v>
      </c>
      <c r="D26" s="50" t="s">
        <v>5536</v>
      </c>
      <c r="E26" s="50">
        <v>1670.29</v>
      </c>
    </row>
    <row r="27" spans="1:5" hidden="1" x14ac:dyDescent="0.3">
      <c r="A27" s="50" t="s">
        <v>321</v>
      </c>
      <c r="B27" s="50" t="s">
        <v>322</v>
      </c>
      <c r="D27" s="50" t="s">
        <v>5535</v>
      </c>
      <c r="E27" s="50">
        <v>1714.87</v>
      </c>
    </row>
    <row r="28" spans="1:5" hidden="1" x14ac:dyDescent="0.3">
      <c r="A28" s="50" t="s">
        <v>5534</v>
      </c>
      <c r="B28" s="50" t="s">
        <v>5533</v>
      </c>
      <c r="D28" s="50" t="s">
        <v>5532</v>
      </c>
      <c r="E28" s="50">
        <v>2276</v>
      </c>
    </row>
    <row r="29" spans="1:5" hidden="1" x14ac:dyDescent="0.3">
      <c r="A29" s="50" t="s">
        <v>5531</v>
      </c>
      <c r="B29" s="50" t="s">
        <v>5530</v>
      </c>
      <c r="D29" s="50" t="s">
        <v>5529</v>
      </c>
      <c r="E29" s="50">
        <v>1864</v>
      </c>
    </row>
    <row r="30" spans="1:5" hidden="1" x14ac:dyDescent="0.3">
      <c r="A30" s="50" t="s">
        <v>323</v>
      </c>
      <c r="B30" s="50" t="s">
        <v>324</v>
      </c>
      <c r="D30" s="50" t="s">
        <v>5528</v>
      </c>
      <c r="E30" s="50">
        <v>1719.52</v>
      </c>
    </row>
    <row r="31" spans="1:5" hidden="1" x14ac:dyDescent="0.3">
      <c r="A31" s="50" t="s">
        <v>5527</v>
      </c>
      <c r="B31" s="50" t="s">
        <v>5526</v>
      </c>
      <c r="D31" s="50" t="s">
        <v>5525</v>
      </c>
      <c r="E31" s="50">
        <v>2430</v>
      </c>
    </row>
    <row r="32" spans="1:5" hidden="1" x14ac:dyDescent="0.3">
      <c r="A32" s="50" t="s">
        <v>5524</v>
      </c>
      <c r="B32" s="50" t="s">
        <v>5523</v>
      </c>
      <c r="D32" s="51">
        <v>0</v>
      </c>
      <c r="E32" s="50">
        <v>0</v>
      </c>
    </row>
    <row r="33" spans="1:5" hidden="1" x14ac:dyDescent="0.3">
      <c r="A33" s="50" t="s">
        <v>325</v>
      </c>
      <c r="B33" s="50" t="s">
        <v>326</v>
      </c>
      <c r="D33" s="50" t="s">
        <v>5522</v>
      </c>
      <c r="E33" s="50">
        <v>1889.82</v>
      </c>
    </row>
    <row r="34" spans="1:5" hidden="1" x14ac:dyDescent="0.3">
      <c r="A34" s="50" t="s">
        <v>5521</v>
      </c>
      <c r="B34" s="50" t="s">
        <v>5520</v>
      </c>
      <c r="D34" s="51">
        <v>0</v>
      </c>
      <c r="E34" s="50">
        <v>0</v>
      </c>
    </row>
    <row r="35" spans="1:5" hidden="1" x14ac:dyDescent="0.3">
      <c r="A35" s="50" t="s">
        <v>327</v>
      </c>
      <c r="B35" s="50" t="s">
        <v>328</v>
      </c>
      <c r="D35" s="50" t="s">
        <v>5519</v>
      </c>
      <c r="E35" s="50">
        <v>2780.14</v>
      </c>
    </row>
    <row r="36" spans="1:5" hidden="1" x14ac:dyDescent="0.3">
      <c r="A36" s="50" t="s">
        <v>5518</v>
      </c>
      <c r="B36" s="50" t="s">
        <v>5517</v>
      </c>
      <c r="D36" s="50" t="s">
        <v>5516</v>
      </c>
      <c r="E36" s="50">
        <v>2681</v>
      </c>
    </row>
    <row r="37" spans="1:5" hidden="1" x14ac:dyDescent="0.3">
      <c r="A37" s="50" t="s">
        <v>5515</v>
      </c>
      <c r="B37" s="50" t="s">
        <v>5514</v>
      </c>
      <c r="D37" s="50" t="s">
        <v>5513</v>
      </c>
      <c r="E37" s="50">
        <v>2853.04</v>
      </c>
    </row>
    <row r="38" spans="1:5" ht="28.8" hidden="1" x14ac:dyDescent="0.3">
      <c r="A38" s="50" t="s">
        <v>395</v>
      </c>
      <c r="B38" s="50" t="s">
        <v>396</v>
      </c>
      <c r="D38" s="51">
        <v>30</v>
      </c>
      <c r="E38" s="50">
        <v>30</v>
      </c>
    </row>
    <row r="39" spans="1:5" hidden="1" x14ac:dyDescent="0.3">
      <c r="A39" s="50" t="s">
        <v>5512</v>
      </c>
      <c r="B39" s="50" t="s">
        <v>5511</v>
      </c>
      <c r="D39" s="51">
        <v>0</v>
      </c>
      <c r="E39" s="50">
        <v>0</v>
      </c>
    </row>
    <row r="40" spans="1:5" hidden="1" x14ac:dyDescent="0.3">
      <c r="A40" s="50" t="s">
        <v>5510</v>
      </c>
      <c r="B40" s="50" t="s">
        <v>5509</v>
      </c>
      <c r="D40" s="51">
        <v>0</v>
      </c>
      <c r="E40" s="50">
        <v>0</v>
      </c>
    </row>
    <row r="41" spans="1:5" hidden="1" x14ac:dyDescent="0.3">
      <c r="A41" s="50" t="s">
        <v>5508</v>
      </c>
      <c r="B41" s="50" t="s">
        <v>5507</v>
      </c>
      <c r="D41" s="51">
        <v>0</v>
      </c>
      <c r="E41" s="50">
        <v>0</v>
      </c>
    </row>
    <row r="42" spans="1:5" hidden="1" x14ac:dyDescent="0.3">
      <c r="A42" s="50" t="s">
        <v>5506</v>
      </c>
      <c r="B42" s="50" t="s">
        <v>4318</v>
      </c>
      <c r="D42" s="51">
        <v>0</v>
      </c>
      <c r="E42" s="50">
        <v>0</v>
      </c>
    </row>
    <row r="43" spans="1:5" ht="43.2" hidden="1" x14ac:dyDescent="0.3">
      <c r="A43" s="50" t="s">
        <v>5505</v>
      </c>
      <c r="B43" s="50" t="s">
        <v>5504</v>
      </c>
      <c r="D43" s="51">
        <v>0</v>
      </c>
      <c r="E43" s="50">
        <v>0</v>
      </c>
    </row>
    <row r="44" spans="1:5" hidden="1" x14ac:dyDescent="0.3">
      <c r="A44" s="50" t="s">
        <v>5503</v>
      </c>
      <c r="B44" s="50" t="s">
        <v>4282</v>
      </c>
      <c r="D44" s="51">
        <v>0</v>
      </c>
      <c r="E44" s="50">
        <v>0</v>
      </c>
    </row>
    <row r="45" spans="1:5" ht="28.8" hidden="1" x14ac:dyDescent="0.3">
      <c r="A45" s="50">
        <v>10000000</v>
      </c>
      <c r="B45" s="50" t="s">
        <v>5502</v>
      </c>
      <c r="D45" s="50" t="s">
        <v>2794</v>
      </c>
      <c r="E45" s="50">
        <v>1612</v>
      </c>
    </row>
    <row r="46" spans="1:5" ht="28.8" hidden="1" x14ac:dyDescent="0.3">
      <c r="A46" s="50">
        <v>10000005</v>
      </c>
      <c r="B46" s="50" t="s">
        <v>5501</v>
      </c>
      <c r="D46" s="51">
        <v>0</v>
      </c>
      <c r="E46" s="50">
        <v>0</v>
      </c>
    </row>
    <row r="47" spans="1:5" hidden="1" x14ac:dyDescent="0.3">
      <c r="A47" s="50">
        <v>1000002</v>
      </c>
      <c r="B47" s="50" t="s">
        <v>5500</v>
      </c>
      <c r="D47" s="50" t="s">
        <v>790</v>
      </c>
      <c r="E47" s="50">
        <v>4000</v>
      </c>
    </row>
    <row r="48" spans="1:5" ht="28.8" hidden="1" x14ac:dyDescent="0.3">
      <c r="A48" s="50">
        <v>1000005</v>
      </c>
      <c r="B48" s="50" t="s">
        <v>5499</v>
      </c>
      <c r="C48" s="50" t="s">
        <v>3394</v>
      </c>
      <c r="D48" s="51">
        <v>999.62</v>
      </c>
      <c r="E48" s="50">
        <v>1786.4</v>
      </c>
    </row>
    <row r="49" spans="1:5" ht="28.8" hidden="1" x14ac:dyDescent="0.3">
      <c r="A49" s="50">
        <v>1000005</v>
      </c>
      <c r="B49" s="50" t="s">
        <v>5498</v>
      </c>
      <c r="D49" s="51">
        <v>0</v>
      </c>
      <c r="E49" s="50">
        <v>0</v>
      </c>
    </row>
    <row r="50" spans="1:5" hidden="1" x14ac:dyDescent="0.3">
      <c r="A50" s="50">
        <v>1000012</v>
      </c>
      <c r="B50" s="50" t="s">
        <v>5497</v>
      </c>
      <c r="C50" s="50" t="s">
        <v>3394</v>
      </c>
      <c r="D50" s="50" t="s">
        <v>4537</v>
      </c>
      <c r="E50" s="50">
        <v>798.59</v>
      </c>
    </row>
    <row r="51" spans="1:5" hidden="1" x14ac:dyDescent="0.3">
      <c r="A51" s="50">
        <v>1000013</v>
      </c>
      <c r="B51" s="50" t="s">
        <v>5496</v>
      </c>
      <c r="C51" s="50" t="s">
        <v>3394</v>
      </c>
      <c r="D51" s="50" t="s">
        <v>5495</v>
      </c>
      <c r="E51" s="50">
        <v>299.66000000000003</v>
      </c>
    </row>
    <row r="52" spans="1:5" hidden="1" x14ac:dyDescent="0.3">
      <c r="A52" s="50">
        <v>1000013</v>
      </c>
      <c r="B52" s="50" t="s">
        <v>5494</v>
      </c>
      <c r="D52" s="50" t="s">
        <v>5493</v>
      </c>
      <c r="E52" s="50">
        <v>1635.63</v>
      </c>
    </row>
    <row r="53" spans="1:5" hidden="1" x14ac:dyDescent="0.3">
      <c r="A53" s="50">
        <v>1000015</v>
      </c>
      <c r="B53" s="50" t="s">
        <v>5492</v>
      </c>
      <c r="C53" s="50" t="s">
        <v>3394</v>
      </c>
      <c r="D53" s="50" t="s">
        <v>3391</v>
      </c>
      <c r="E53" s="50">
        <v>2222.02</v>
      </c>
    </row>
    <row r="54" spans="1:5" hidden="1" x14ac:dyDescent="0.3">
      <c r="A54" s="50">
        <v>1000016</v>
      </c>
      <c r="B54" s="50" t="s">
        <v>5491</v>
      </c>
      <c r="C54" s="50" t="s">
        <v>3394</v>
      </c>
      <c r="D54" s="51">
        <v>0</v>
      </c>
      <c r="E54" s="50">
        <v>0</v>
      </c>
    </row>
    <row r="55" spans="1:5" hidden="1" x14ac:dyDescent="0.3">
      <c r="A55" s="50">
        <v>1000039</v>
      </c>
      <c r="B55" s="50" t="s">
        <v>5490</v>
      </c>
      <c r="C55" s="50" t="s">
        <v>3394</v>
      </c>
      <c r="D55" s="51">
        <v>0</v>
      </c>
      <c r="E55" s="50">
        <v>0</v>
      </c>
    </row>
    <row r="56" spans="1:5" hidden="1" x14ac:dyDescent="0.3">
      <c r="A56" s="50">
        <v>1000040</v>
      </c>
      <c r="B56" s="50" t="s">
        <v>5489</v>
      </c>
      <c r="C56" s="50" t="s">
        <v>3394</v>
      </c>
      <c r="D56" s="51">
        <v>0</v>
      </c>
      <c r="E56" s="50">
        <v>0</v>
      </c>
    </row>
    <row r="57" spans="1:5" hidden="1" x14ac:dyDescent="0.3">
      <c r="A57" s="50">
        <v>1000043</v>
      </c>
      <c r="B57" s="50" t="s">
        <v>5488</v>
      </c>
      <c r="C57" s="50" t="s">
        <v>3394</v>
      </c>
      <c r="D57" s="51">
        <v>0</v>
      </c>
      <c r="E57" s="50">
        <v>0</v>
      </c>
    </row>
    <row r="58" spans="1:5" hidden="1" x14ac:dyDescent="0.3">
      <c r="A58" s="50">
        <v>1000044</v>
      </c>
      <c r="B58" s="50" t="s">
        <v>5487</v>
      </c>
      <c r="C58" s="50" t="s">
        <v>3394</v>
      </c>
      <c r="D58" s="51">
        <v>0</v>
      </c>
      <c r="E58" s="50">
        <v>0</v>
      </c>
    </row>
    <row r="59" spans="1:5" hidden="1" x14ac:dyDescent="0.3">
      <c r="A59" s="50">
        <v>1000046</v>
      </c>
      <c r="B59" s="50" t="s">
        <v>5486</v>
      </c>
      <c r="C59" s="50" t="s">
        <v>3394</v>
      </c>
      <c r="D59" s="51">
        <v>0</v>
      </c>
      <c r="E59" s="50">
        <v>0</v>
      </c>
    </row>
    <row r="60" spans="1:5" hidden="1" x14ac:dyDescent="0.3">
      <c r="A60" s="50">
        <v>1000047</v>
      </c>
      <c r="B60" s="50" t="s">
        <v>5485</v>
      </c>
      <c r="C60" s="50" t="s">
        <v>3394</v>
      </c>
      <c r="D60" s="51">
        <v>0</v>
      </c>
      <c r="E60" s="50">
        <v>0</v>
      </c>
    </row>
    <row r="61" spans="1:5" hidden="1" x14ac:dyDescent="0.3">
      <c r="A61" s="50">
        <v>1000049</v>
      </c>
      <c r="B61" s="50" t="s">
        <v>5484</v>
      </c>
      <c r="C61" s="50" t="s">
        <v>3394</v>
      </c>
      <c r="D61" s="51">
        <v>0</v>
      </c>
      <c r="E61" s="50">
        <v>0</v>
      </c>
    </row>
    <row r="62" spans="1:5" ht="28.8" hidden="1" x14ac:dyDescent="0.3">
      <c r="A62" s="50">
        <v>100005</v>
      </c>
      <c r="B62" s="50" t="s">
        <v>5483</v>
      </c>
      <c r="D62" s="51">
        <v>0</v>
      </c>
      <c r="E62" s="50">
        <v>0</v>
      </c>
    </row>
    <row r="63" spans="1:5" hidden="1" x14ac:dyDescent="0.3">
      <c r="A63" s="50">
        <v>1000050</v>
      </c>
      <c r="B63" s="50" t="s">
        <v>5482</v>
      </c>
      <c r="C63" s="50" t="s">
        <v>3394</v>
      </c>
      <c r="D63" s="51">
        <v>0</v>
      </c>
      <c r="E63" s="50">
        <v>0</v>
      </c>
    </row>
    <row r="64" spans="1:5" hidden="1" x14ac:dyDescent="0.3">
      <c r="A64" s="50">
        <v>1000051</v>
      </c>
      <c r="B64" s="50" t="s">
        <v>5481</v>
      </c>
      <c r="C64" s="50" t="s">
        <v>3394</v>
      </c>
      <c r="D64" s="51">
        <v>0</v>
      </c>
      <c r="E64" s="50">
        <v>0</v>
      </c>
    </row>
    <row r="65" spans="1:5" hidden="1" x14ac:dyDescent="0.3">
      <c r="A65" s="50">
        <v>1000052</v>
      </c>
      <c r="B65" s="50" t="s">
        <v>5480</v>
      </c>
      <c r="C65" s="50" t="s">
        <v>3394</v>
      </c>
      <c r="D65" s="51">
        <v>0</v>
      </c>
      <c r="E65" s="50">
        <v>0</v>
      </c>
    </row>
    <row r="66" spans="1:5" hidden="1" x14ac:dyDescent="0.3">
      <c r="A66" s="50">
        <v>1000054</v>
      </c>
      <c r="B66" s="50" t="s">
        <v>5479</v>
      </c>
      <c r="C66" s="50" t="s">
        <v>3394</v>
      </c>
      <c r="D66" s="51">
        <v>0</v>
      </c>
      <c r="E66" s="50">
        <v>0</v>
      </c>
    </row>
    <row r="67" spans="1:5" hidden="1" x14ac:dyDescent="0.3">
      <c r="A67" s="50">
        <v>1000055</v>
      </c>
      <c r="B67" s="50" t="s">
        <v>5478</v>
      </c>
      <c r="C67" s="50" t="s">
        <v>3394</v>
      </c>
      <c r="D67" s="51">
        <v>0</v>
      </c>
      <c r="E67" s="50">
        <v>0</v>
      </c>
    </row>
    <row r="68" spans="1:5" hidden="1" x14ac:dyDescent="0.3">
      <c r="A68" s="50">
        <v>100081</v>
      </c>
      <c r="B68" s="50" t="s">
        <v>5477</v>
      </c>
      <c r="D68" s="51">
        <v>0</v>
      </c>
      <c r="E68" s="50">
        <v>0</v>
      </c>
    </row>
    <row r="69" spans="1:5" hidden="1" x14ac:dyDescent="0.3">
      <c r="A69" s="50">
        <v>100083</v>
      </c>
      <c r="B69" s="50" t="s">
        <v>5476</v>
      </c>
      <c r="D69" s="51">
        <v>0</v>
      </c>
      <c r="E69" s="50">
        <v>0</v>
      </c>
    </row>
    <row r="70" spans="1:5" ht="28.8" hidden="1" x14ac:dyDescent="0.3">
      <c r="A70" s="50">
        <v>100087</v>
      </c>
      <c r="B70" s="50" t="s">
        <v>5475</v>
      </c>
      <c r="D70" s="51">
        <v>0</v>
      </c>
      <c r="E70" s="50">
        <v>0</v>
      </c>
    </row>
    <row r="71" spans="1:5" hidden="1" x14ac:dyDescent="0.3">
      <c r="A71" s="50" t="s">
        <v>5474</v>
      </c>
      <c r="B71" s="50" t="s">
        <v>5473</v>
      </c>
      <c r="D71" s="51">
        <v>0</v>
      </c>
      <c r="E71" s="50">
        <v>0</v>
      </c>
    </row>
    <row r="72" spans="1:5" hidden="1" x14ac:dyDescent="0.3">
      <c r="A72" s="50" t="s">
        <v>5472</v>
      </c>
      <c r="B72" s="50" t="s">
        <v>5471</v>
      </c>
      <c r="C72" s="50" t="s">
        <v>196</v>
      </c>
      <c r="D72" s="51">
        <v>425</v>
      </c>
      <c r="E72" s="50">
        <v>503.99</v>
      </c>
    </row>
    <row r="73" spans="1:5" ht="28.8" hidden="1" x14ac:dyDescent="0.3">
      <c r="A73" s="50" t="s">
        <v>5470</v>
      </c>
      <c r="B73" s="50" t="s">
        <v>5469</v>
      </c>
      <c r="C73" s="50" t="s">
        <v>196</v>
      </c>
      <c r="D73" s="51">
        <v>0</v>
      </c>
      <c r="E73" s="50">
        <v>0</v>
      </c>
    </row>
    <row r="74" spans="1:5" hidden="1" x14ac:dyDescent="0.3">
      <c r="A74" s="50" t="s">
        <v>5468</v>
      </c>
      <c r="B74" s="50" t="s">
        <v>5467</v>
      </c>
      <c r="C74" s="50" t="s">
        <v>196</v>
      </c>
      <c r="D74" s="51">
        <v>0</v>
      </c>
      <c r="E74" s="50">
        <v>0</v>
      </c>
    </row>
    <row r="75" spans="1:5" hidden="1" x14ac:dyDescent="0.3">
      <c r="A75" s="50" t="s">
        <v>5466</v>
      </c>
      <c r="B75" s="50" t="s">
        <v>5465</v>
      </c>
      <c r="C75" s="50" t="s">
        <v>196</v>
      </c>
      <c r="D75" s="51">
        <v>0</v>
      </c>
      <c r="E75" s="50">
        <v>0</v>
      </c>
    </row>
    <row r="76" spans="1:5" hidden="1" x14ac:dyDescent="0.3">
      <c r="A76" s="50" t="s">
        <v>5464</v>
      </c>
      <c r="B76" s="50" t="s">
        <v>5463</v>
      </c>
      <c r="C76" s="50" t="s">
        <v>196</v>
      </c>
      <c r="D76" s="51">
        <v>0</v>
      </c>
      <c r="E76" s="50">
        <v>0</v>
      </c>
    </row>
    <row r="77" spans="1:5" hidden="1" x14ac:dyDescent="0.3">
      <c r="A77" s="50" t="s">
        <v>5462</v>
      </c>
      <c r="B77" s="50" t="s">
        <v>5461</v>
      </c>
      <c r="D77" s="51">
        <v>0</v>
      </c>
      <c r="E77" s="50">
        <v>0</v>
      </c>
    </row>
    <row r="78" spans="1:5" hidden="1" x14ac:dyDescent="0.3">
      <c r="A78" s="50" t="s">
        <v>5460</v>
      </c>
      <c r="B78" s="50" t="s">
        <v>5459</v>
      </c>
      <c r="D78" s="51">
        <v>0</v>
      </c>
      <c r="E78" s="50">
        <v>0</v>
      </c>
    </row>
    <row r="79" spans="1:5" hidden="1" x14ac:dyDescent="0.3">
      <c r="A79" s="50" t="s">
        <v>5458</v>
      </c>
      <c r="B79" s="50" t="s">
        <v>5457</v>
      </c>
      <c r="D79" s="51">
        <v>0</v>
      </c>
      <c r="E79" s="50">
        <v>72.61</v>
      </c>
    </row>
    <row r="80" spans="1:5" hidden="1" x14ac:dyDescent="0.3">
      <c r="A80" s="50" t="s">
        <v>5456</v>
      </c>
      <c r="B80" s="50" t="s">
        <v>5455</v>
      </c>
      <c r="C80" s="50" t="s">
        <v>196</v>
      </c>
      <c r="D80" s="51">
        <v>0</v>
      </c>
      <c r="E80" s="50">
        <v>470.13</v>
      </c>
    </row>
    <row r="81" spans="1:5" ht="28.8" hidden="1" x14ac:dyDescent="0.3">
      <c r="A81" s="50" t="s">
        <v>5454</v>
      </c>
      <c r="B81" s="50" t="s">
        <v>5453</v>
      </c>
      <c r="C81" s="50" t="s">
        <v>196</v>
      </c>
      <c r="D81" s="51">
        <v>0</v>
      </c>
      <c r="E81" s="50">
        <v>0</v>
      </c>
    </row>
    <row r="82" spans="1:5" ht="28.8" x14ac:dyDescent="0.3">
      <c r="A82" s="50" t="s">
        <v>5452</v>
      </c>
      <c r="B82" s="50" t="s">
        <v>5451</v>
      </c>
      <c r="C82" s="50" t="s">
        <v>3945</v>
      </c>
      <c r="D82" s="51">
        <v>797</v>
      </c>
      <c r="E82" s="50">
        <v>797</v>
      </c>
    </row>
    <row r="83" spans="1:5" ht="28.8" x14ac:dyDescent="0.3">
      <c r="A83" s="50" t="s">
        <v>5450</v>
      </c>
      <c r="B83" s="50" t="s">
        <v>5449</v>
      </c>
      <c r="C83" s="50" t="s">
        <v>3945</v>
      </c>
      <c r="D83" s="51">
        <v>997</v>
      </c>
      <c r="E83" s="50">
        <v>997</v>
      </c>
    </row>
    <row r="84" spans="1:5" ht="28.8" hidden="1" x14ac:dyDescent="0.3">
      <c r="A84" s="50" t="s">
        <v>5448</v>
      </c>
      <c r="B84" s="50" t="s">
        <v>5447</v>
      </c>
      <c r="D84" s="51">
        <v>0</v>
      </c>
      <c r="E84" s="50">
        <v>0</v>
      </c>
    </row>
    <row r="85" spans="1:5" hidden="1" x14ac:dyDescent="0.3">
      <c r="A85" s="50" t="s">
        <v>5446</v>
      </c>
      <c r="B85" s="50" t="s">
        <v>5445</v>
      </c>
      <c r="C85" s="50" t="s">
        <v>196</v>
      </c>
      <c r="D85" s="51">
        <v>0</v>
      </c>
      <c r="E85" s="50">
        <v>0</v>
      </c>
    </row>
    <row r="86" spans="1:5" hidden="1" x14ac:dyDescent="0.3">
      <c r="A86" s="50" t="s">
        <v>5444</v>
      </c>
      <c r="B86" s="50" t="s">
        <v>5443</v>
      </c>
      <c r="C86" s="50" t="s">
        <v>196</v>
      </c>
      <c r="D86" s="51">
        <v>0</v>
      </c>
      <c r="E86" s="50">
        <v>0</v>
      </c>
    </row>
    <row r="87" spans="1:5" hidden="1" x14ac:dyDescent="0.3">
      <c r="A87" s="50" t="s">
        <v>5442</v>
      </c>
      <c r="B87" s="50" t="s">
        <v>5441</v>
      </c>
      <c r="C87" s="50" t="s">
        <v>196</v>
      </c>
      <c r="D87" s="51">
        <v>0</v>
      </c>
      <c r="E87" s="50">
        <v>0</v>
      </c>
    </row>
    <row r="88" spans="1:5" hidden="1" x14ac:dyDescent="0.3">
      <c r="A88" s="50" t="s">
        <v>5440</v>
      </c>
      <c r="B88" s="50" t="s">
        <v>5439</v>
      </c>
      <c r="C88" s="50" t="s">
        <v>196</v>
      </c>
      <c r="D88" s="50" t="s">
        <v>5438</v>
      </c>
      <c r="E88" s="50">
        <v>6255</v>
      </c>
    </row>
    <row r="89" spans="1:5" hidden="1" x14ac:dyDescent="0.3">
      <c r="A89" s="50" t="s">
        <v>5437</v>
      </c>
      <c r="B89" s="50" t="s">
        <v>5436</v>
      </c>
      <c r="C89" s="50" t="s">
        <v>196</v>
      </c>
      <c r="D89" s="51">
        <v>0</v>
      </c>
      <c r="E89" s="50">
        <v>0</v>
      </c>
    </row>
    <row r="90" spans="1:5" hidden="1" x14ac:dyDescent="0.3">
      <c r="A90" s="50" t="s">
        <v>5435</v>
      </c>
      <c r="B90" s="50" t="s">
        <v>5434</v>
      </c>
      <c r="C90" s="50" t="s">
        <v>196</v>
      </c>
      <c r="D90" s="50" t="s">
        <v>5433</v>
      </c>
      <c r="E90" s="50">
        <v>7900</v>
      </c>
    </row>
    <row r="91" spans="1:5" ht="28.8" hidden="1" x14ac:dyDescent="0.3">
      <c r="A91" s="50" t="s">
        <v>5432</v>
      </c>
      <c r="B91" s="50" t="s">
        <v>5431</v>
      </c>
      <c r="D91" s="51">
        <v>0</v>
      </c>
      <c r="E91" s="50">
        <v>0</v>
      </c>
    </row>
    <row r="92" spans="1:5" hidden="1" x14ac:dyDescent="0.3">
      <c r="A92" s="50" t="s">
        <v>5430</v>
      </c>
      <c r="B92" s="50" t="s">
        <v>5429</v>
      </c>
      <c r="C92" s="50" t="s">
        <v>196</v>
      </c>
      <c r="D92" s="50" t="s">
        <v>5428</v>
      </c>
      <c r="E92" s="50">
        <v>4463</v>
      </c>
    </row>
    <row r="93" spans="1:5" ht="28.8" hidden="1" x14ac:dyDescent="0.3">
      <c r="A93" s="50" t="s">
        <v>5427</v>
      </c>
      <c r="B93" s="50" t="s">
        <v>5426</v>
      </c>
      <c r="C93" s="50" t="s">
        <v>196</v>
      </c>
      <c r="D93" s="51">
        <v>0</v>
      </c>
      <c r="E93" s="50">
        <v>0</v>
      </c>
    </row>
    <row r="94" spans="1:5" hidden="1" x14ac:dyDescent="0.3">
      <c r="A94" s="50" t="s">
        <v>5425</v>
      </c>
      <c r="B94" s="50" t="s">
        <v>5424</v>
      </c>
      <c r="C94" s="50" t="s">
        <v>196</v>
      </c>
      <c r="D94" s="51">
        <v>0</v>
      </c>
      <c r="E94" s="50">
        <v>0</v>
      </c>
    </row>
    <row r="95" spans="1:5" ht="28.8" hidden="1" x14ac:dyDescent="0.3">
      <c r="A95" s="50" t="s">
        <v>5423</v>
      </c>
      <c r="B95" s="50" t="s">
        <v>5422</v>
      </c>
      <c r="C95" s="50" t="s">
        <v>196</v>
      </c>
      <c r="D95" s="50" t="s">
        <v>5421</v>
      </c>
      <c r="E95" s="50">
        <v>5620</v>
      </c>
    </row>
    <row r="96" spans="1:5" hidden="1" x14ac:dyDescent="0.3">
      <c r="A96" s="50" t="s">
        <v>5420</v>
      </c>
      <c r="B96" s="50" t="s">
        <v>5419</v>
      </c>
      <c r="C96" s="50" t="s">
        <v>196</v>
      </c>
      <c r="D96" s="51">
        <v>0</v>
      </c>
      <c r="E96" s="50">
        <v>0</v>
      </c>
    </row>
    <row r="97" spans="1:5" ht="28.8" hidden="1" x14ac:dyDescent="0.3">
      <c r="A97" s="50" t="s">
        <v>5418</v>
      </c>
      <c r="B97" s="50" t="s">
        <v>5417</v>
      </c>
      <c r="C97" s="50" t="s">
        <v>196</v>
      </c>
      <c r="D97" s="51">
        <v>0</v>
      </c>
      <c r="E97" s="50">
        <v>0</v>
      </c>
    </row>
    <row r="98" spans="1:5" hidden="1" x14ac:dyDescent="0.3">
      <c r="A98" s="50">
        <v>1002948</v>
      </c>
      <c r="B98" s="50" t="s">
        <v>5416</v>
      </c>
      <c r="C98" s="50" t="s">
        <v>3394</v>
      </c>
      <c r="D98" s="51">
        <v>0</v>
      </c>
      <c r="E98" s="50">
        <v>0</v>
      </c>
    </row>
    <row r="99" spans="1:5" hidden="1" x14ac:dyDescent="0.3">
      <c r="A99" s="50">
        <v>1003102</v>
      </c>
      <c r="B99" s="50" t="s">
        <v>5415</v>
      </c>
      <c r="D99" s="51">
        <v>0</v>
      </c>
      <c r="E99" s="50">
        <v>0</v>
      </c>
    </row>
    <row r="100" spans="1:5" hidden="1" x14ac:dyDescent="0.3">
      <c r="A100" s="50">
        <v>1003118</v>
      </c>
      <c r="B100" s="50" t="s">
        <v>5414</v>
      </c>
      <c r="D100" s="51">
        <v>0</v>
      </c>
      <c r="E100" s="50">
        <v>0</v>
      </c>
    </row>
    <row r="101" spans="1:5" hidden="1" x14ac:dyDescent="0.3">
      <c r="A101" s="50">
        <v>1005876</v>
      </c>
      <c r="B101" s="50" t="s">
        <v>5413</v>
      </c>
      <c r="C101" s="50" t="s">
        <v>3394</v>
      </c>
      <c r="D101" s="51">
        <v>0</v>
      </c>
      <c r="E101" s="50">
        <v>0</v>
      </c>
    </row>
    <row r="102" spans="1:5" hidden="1" x14ac:dyDescent="0.3">
      <c r="A102" s="50">
        <v>1005877</v>
      </c>
      <c r="B102" s="50" t="s">
        <v>5412</v>
      </c>
      <c r="C102" s="50" t="s">
        <v>3394</v>
      </c>
      <c r="D102" s="51">
        <v>0</v>
      </c>
      <c r="E102" s="50">
        <v>0</v>
      </c>
    </row>
    <row r="103" spans="1:5" hidden="1" x14ac:dyDescent="0.3">
      <c r="A103" s="50">
        <v>1005878</v>
      </c>
      <c r="B103" s="50" t="s">
        <v>5411</v>
      </c>
      <c r="C103" s="50" t="s">
        <v>3394</v>
      </c>
      <c r="D103" s="51">
        <v>0</v>
      </c>
      <c r="E103" s="50">
        <v>0</v>
      </c>
    </row>
    <row r="104" spans="1:5" hidden="1" x14ac:dyDescent="0.3">
      <c r="A104" s="50">
        <v>1005879</v>
      </c>
      <c r="B104" s="50" t="s">
        <v>5410</v>
      </c>
      <c r="C104" s="50" t="s">
        <v>3394</v>
      </c>
      <c r="D104" s="51">
        <v>0</v>
      </c>
      <c r="E104" s="50">
        <v>0</v>
      </c>
    </row>
    <row r="105" spans="1:5" hidden="1" x14ac:dyDescent="0.3">
      <c r="A105" s="50">
        <v>1005880</v>
      </c>
      <c r="B105" s="50" t="s">
        <v>5409</v>
      </c>
      <c r="C105" s="50" t="s">
        <v>3394</v>
      </c>
      <c r="D105" s="51">
        <v>0</v>
      </c>
      <c r="E105" s="50">
        <v>0</v>
      </c>
    </row>
    <row r="106" spans="1:5" hidden="1" x14ac:dyDescent="0.3">
      <c r="A106" s="50">
        <v>1006313</v>
      </c>
      <c r="B106" s="50" t="s">
        <v>5408</v>
      </c>
      <c r="C106" s="50" t="s">
        <v>3394</v>
      </c>
      <c r="D106" s="50" t="s">
        <v>5407</v>
      </c>
      <c r="E106" s="50">
        <v>10228.92</v>
      </c>
    </row>
    <row r="107" spans="1:5" hidden="1" x14ac:dyDescent="0.3">
      <c r="A107" s="50">
        <v>1006315</v>
      </c>
      <c r="B107" s="50" t="s">
        <v>5406</v>
      </c>
      <c r="C107" s="50" t="s">
        <v>3394</v>
      </c>
      <c r="D107" s="51">
        <v>0</v>
      </c>
      <c r="E107" s="50">
        <v>0</v>
      </c>
    </row>
    <row r="108" spans="1:5" hidden="1" x14ac:dyDescent="0.3">
      <c r="A108" s="50">
        <v>1006317</v>
      </c>
      <c r="B108" s="50" t="s">
        <v>5405</v>
      </c>
      <c r="C108" s="50" t="s">
        <v>3394</v>
      </c>
      <c r="D108" s="51">
        <v>0</v>
      </c>
      <c r="E108" s="50">
        <v>0</v>
      </c>
    </row>
    <row r="109" spans="1:5" hidden="1" x14ac:dyDescent="0.3">
      <c r="A109" s="50">
        <v>1006319</v>
      </c>
      <c r="B109" s="50" t="s">
        <v>5404</v>
      </c>
      <c r="C109" s="50" t="s">
        <v>3394</v>
      </c>
      <c r="D109" s="51">
        <v>0</v>
      </c>
      <c r="E109" s="50">
        <v>0</v>
      </c>
    </row>
    <row r="110" spans="1:5" hidden="1" x14ac:dyDescent="0.3">
      <c r="A110" s="50">
        <v>1006321</v>
      </c>
      <c r="B110" s="50" t="s">
        <v>5403</v>
      </c>
      <c r="C110" s="50" t="s">
        <v>3394</v>
      </c>
      <c r="D110" s="51">
        <v>0</v>
      </c>
      <c r="E110" s="50">
        <v>0</v>
      </c>
    </row>
    <row r="111" spans="1:5" hidden="1" x14ac:dyDescent="0.3">
      <c r="A111" s="50">
        <v>1006323</v>
      </c>
      <c r="B111" s="50" t="s">
        <v>5402</v>
      </c>
      <c r="C111" s="50" t="s">
        <v>3394</v>
      </c>
      <c r="D111" s="51">
        <v>0</v>
      </c>
      <c r="E111" s="50">
        <v>0</v>
      </c>
    </row>
    <row r="112" spans="1:5" hidden="1" x14ac:dyDescent="0.3">
      <c r="A112" s="50">
        <v>1006386</v>
      </c>
      <c r="B112" s="50" t="s">
        <v>5401</v>
      </c>
      <c r="D112" s="51">
        <v>0</v>
      </c>
      <c r="E112" s="50">
        <v>0</v>
      </c>
    </row>
    <row r="113" spans="1:5" hidden="1" x14ac:dyDescent="0.3">
      <c r="A113" s="50">
        <v>1006628</v>
      </c>
      <c r="B113" s="50" t="s">
        <v>5400</v>
      </c>
      <c r="D113" s="51">
        <v>0</v>
      </c>
      <c r="E113" s="50">
        <v>0</v>
      </c>
    </row>
    <row r="114" spans="1:5" hidden="1" x14ac:dyDescent="0.3">
      <c r="A114" s="50">
        <v>1006661</v>
      </c>
      <c r="B114" s="50" t="s">
        <v>5399</v>
      </c>
      <c r="D114" s="51">
        <v>0</v>
      </c>
      <c r="E114" s="50">
        <v>0</v>
      </c>
    </row>
    <row r="115" spans="1:5" hidden="1" x14ac:dyDescent="0.3">
      <c r="A115" s="50">
        <v>1006663</v>
      </c>
      <c r="B115" s="50" t="s">
        <v>5398</v>
      </c>
      <c r="D115" s="51">
        <v>553.54999999999995</v>
      </c>
      <c r="E115" s="50">
        <v>553.54999999999995</v>
      </c>
    </row>
    <row r="116" spans="1:5" hidden="1" x14ac:dyDescent="0.3">
      <c r="A116" s="50">
        <v>1006732</v>
      </c>
      <c r="B116" s="50" t="s">
        <v>5397</v>
      </c>
      <c r="D116" s="51">
        <v>0</v>
      </c>
      <c r="E116" s="50">
        <v>0</v>
      </c>
    </row>
    <row r="117" spans="1:5" hidden="1" x14ac:dyDescent="0.3">
      <c r="A117" s="50">
        <v>1006734</v>
      </c>
      <c r="B117" s="50" t="s">
        <v>5396</v>
      </c>
      <c r="D117" s="51">
        <v>0</v>
      </c>
      <c r="E117" s="50">
        <v>0</v>
      </c>
    </row>
    <row r="118" spans="1:5" hidden="1" x14ac:dyDescent="0.3">
      <c r="A118" s="50">
        <v>1006880</v>
      </c>
      <c r="B118" s="50" t="s">
        <v>5395</v>
      </c>
      <c r="D118" s="51">
        <v>0</v>
      </c>
      <c r="E118" s="50">
        <v>0</v>
      </c>
    </row>
    <row r="119" spans="1:5" hidden="1" x14ac:dyDescent="0.3">
      <c r="A119" s="50">
        <v>1006889</v>
      </c>
      <c r="B119" s="50" t="s">
        <v>5394</v>
      </c>
      <c r="D119" s="51">
        <v>0</v>
      </c>
      <c r="E119" s="50">
        <v>0</v>
      </c>
    </row>
    <row r="120" spans="1:5" hidden="1" x14ac:dyDescent="0.3">
      <c r="A120" s="50">
        <v>1006891</v>
      </c>
      <c r="B120" s="50" t="s">
        <v>5393</v>
      </c>
      <c r="D120" s="51">
        <v>0</v>
      </c>
      <c r="E120" s="50">
        <v>0</v>
      </c>
    </row>
    <row r="121" spans="1:5" hidden="1" x14ac:dyDescent="0.3">
      <c r="A121" s="50">
        <v>1006904</v>
      </c>
      <c r="B121" s="50" t="s">
        <v>5392</v>
      </c>
      <c r="D121" s="51">
        <v>0</v>
      </c>
      <c r="E121" s="50">
        <v>0</v>
      </c>
    </row>
    <row r="122" spans="1:5" hidden="1" x14ac:dyDescent="0.3">
      <c r="A122" s="50">
        <v>1006974</v>
      </c>
      <c r="B122" s="50" t="s">
        <v>5391</v>
      </c>
      <c r="D122" s="51">
        <v>281.92</v>
      </c>
      <c r="E122" s="50">
        <v>281.92</v>
      </c>
    </row>
    <row r="123" spans="1:5" hidden="1" x14ac:dyDescent="0.3">
      <c r="A123" s="50">
        <v>1007130</v>
      </c>
      <c r="B123" s="50" t="s">
        <v>5390</v>
      </c>
      <c r="D123" s="51">
        <v>0</v>
      </c>
      <c r="E123" s="50">
        <v>0</v>
      </c>
    </row>
    <row r="124" spans="1:5" hidden="1" x14ac:dyDescent="0.3">
      <c r="A124" s="50">
        <v>1007132</v>
      </c>
      <c r="B124" s="50" t="s">
        <v>5389</v>
      </c>
      <c r="D124" s="51">
        <v>0</v>
      </c>
      <c r="E124" s="50">
        <v>0</v>
      </c>
    </row>
    <row r="125" spans="1:5" hidden="1" x14ac:dyDescent="0.3">
      <c r="A125" s="50">
        <v>1007138</v>
      </c>
      <c r="B125" s="50" t="s">
        <v>5388</v>
      </c>
      <c r="D125" s="51">
        <v>0</v>
      </c>
      <c r="E125" s="50">
        <v>0</v>
      </c>
    </row>
    <row r="126" spans="1:5" hidden="1" x14ac:dyDescent="0.3">
      <c r="A126" s="50">
        <v>1007140</v>
      </c>
      <c r="B126" s="50" t="s">
        <v>5387</v>
      </c>
      <c r="D126" s="51">
        <v>754.81</v>
      </c>
      <c r="E126" s="50">
        <v>754.81</v>
      </c>
    </row>
    <row r="127" spans="1:5" hidden="1" x14ac:dyDescent="0.3">
      <c r="A127" s="50">
        <v>1007195</v>
      </c>
      <c r="B127" s="50" t="s">
        <v>5386</v>
      </c>
      <c r="D127" s="51">
        <v>0</v>
      </c>
      <c r="E127" s="50">
        <v>0</v>
      </c>
    </row>
    <row r="128" spans="1:5" hidden="1" x14ac:dyDescent="0.3">
      <c r="A128" s="50">
        <v>1007207</v>
      </c>
      <c r="B128" s="50" t="s">
        <v>5385</v>
      </c>
      <c r="D128" s="51">
        <v>0</v>
      </c>
      <c r="E128" s="50">
        <v>0</v>
      </c>
    </row>
    <row r="129" spans="1:5" hidden="1" x14ac:dyDescent="0.3">
      <c r="A129" s="50">
        <v>1007213</v>
      </c>
      <c r="B129" s="50" t="s">
        <v>5384</v>
      </c>
      <c r="D129" s="51">
        <v>0</v>
      </c>
      <c r="E129" s="50">
        <v>0</v>
      </c>
    </row>
    <row r="130" spans="1:5" hidden="1" x14ac:dyDescent="0.3">
      <c r="A130" s="50">
        <v>1007372</v>
      </c>
      <c r="B130" s="50" t="s">
        <v>5383</v>
      </c>
      <c r="D130" s="51">
        <v>0</v>
      </c>
      <c r="E130" s="50">
        <v>0</v>
      </c>
    </row>
    <row r="131" spans="1:5" hidden="1" x14ac:dyDescent="0.3">
      <c r="A131" s="50">
        <v>1007376</v>
      </c>
      <c r="B131" s="50" t="s">
        <v>5382</v>
      </c>
      <c r="D131" s="51">
        <v>0</v>
      </c>
      <c r="E131" s="50">
        <v>0</v>
      </c>
    </row>
    <row r="132" spans="1:5" hidden="1" x14ac:dyDescent="0.3">
      <c r="A132" s="50">
        <v>1007442</v>
      </c>
      <c r="B132" s="50" t="s">
        <v>5381</v>
      </c>
      <c r="D132" s="51">
        <v>0</v>
      </c>
      <c r="E132" s="50">
        <v>0</v>
      </c>
    </row>
    <row r="133" spans="1:5" hidden="1" x14ac:dyDescent="0.3">
      <c r="A133" s="50">
        <v>1007944</v>
      </c>
      <c r="B133" s="50" t="s">
        <v>5380</v>
      </c>
      <c r="C133" s="50" t="s">
        <v>3394</v>
      </c>
      <c r="D133" s="50" t="s">
        <v>5379</v>
      </c>
      <c r="E133" s="50">
        <v>7395.55</v>
      </c>
    </row>
    <row r="134" spans="1:5" hidden="1" x14ac:dyDescent="0.3">
      <c r="A134" s="50">
        <v>1007947</v>
      </c>
      <c r="B134" s="50" t="s">
        <v>5378</v>
      </c>
      <c r="C134" s="50" t="s">
        <v>3394</v>
      </c>
      <c r="D134" s="50" t="s">
        <v>5377</v>
      </c>
      <c r="E134" s="50">
        <v>11004.11</v>
      </c>
    </row>
    <row r="135" spans="1:5" hidden="1" x14ac:dyDescent="0.3">
      <c r="A135" s="50">
        <v>1007957</v>
      </c>
      <c r="B135" s="50" t="s">
        <v>5376</v>
      </c>
      <c r="C135" s="50" t="s">
        <v>3394</v>
      </c>
      <c r="D135" s="50" t="s">
        <v>5375</v>
      </c>
      <c r="E135" s="50">
        <v>8659.74</v>
      </c>
    </row>
    <row r="136" spans="1:5" hidden="1" x14ac:dyDescent="0.3">
      <c r="A136" s="50">
        <v>1007960</v>
      </c>
      <c r="B136" s="50" t="s">
        <v>5374</v>
      </c>
      <c r="C136" s="50" t="s">
        <v>3394</v>
      </c>
      <c r="D136" s="50" t="s">
        <v>5373</v>
      </c>
      <c r="E136" s="50">
        <v>6576.53</v>
      </c>
    </row>
    <row r="137" spans="1:5" hidden="1" x14ac:dyDescent="0.3">
      <c r="A137" s="50">
        <v>1007964</v>
      </c>
      <c r="B137" s="50" t="s">
        <v>5372</v>
      </c>
      <c r="D137" s="51">
        <v>0</v>
      </c>
      <c r="E137" s="50">
        <v>0</v>
      </c>
    </row>
    <row r="138" spans="1:5" hidden="1" x14ac:dyDescent="0.3">
      <c r="A138" s="50">
        <v>1007966</v>
      </c>
      <c r="B138" s="50" t="s">
        <v>5371</v>
      </c>
      <c r="D138" s="51">
        <v>0</v>
      </c>
      <c r="E138" s="50">
        <v>0</v>
      </c>
    </row>
    <row r="139" spans="1:5" hidden="1" x14ac:dyDescent="0.3">
      <c r="A139" s="50">
        <v>1007971</v>
      </c>
      <c r="B139" s="50" t="s">
        <v>5370</v>
      </c>
      <c r="D139" s="51">
        <v>0</v>
      </c>
      <c r="E139" s="50">
        <v>0</v>
      </c>
    </row>
    <row r="140" spans="1:5" hidden="1" x14ac:dyDescent="0.3">
      <c r="A140" s="50">
        <v>1008005</v>
      </c>
      <c r="B140" s="50" t="s">
        <v>5369</v>
      </c>
      <c r="D140" s="51">
        <v>0</v>
      </c>
      <c r="E140" s="50">
        <v>0</v>
      </c>
    </row>
    <row r="141" spans="1:5" hidden="1" x14ac:dyDescent="0.3">
      <c r="A141" s="50">
        <v>1008010</v>
      </c>
      <c r="B141" s="50" t="s">
        <v>5368</v>
      </c>
      <c r="D141" s="51">
        <v>0</v>
      </c>
      <c r="E141" s="50">
        <v>0</v>
      </c>
    </row>
    <row r="142" spans="1:5" hidden="1" x14ac:dyDescent="0.3">
      <c r="A142" s="50">
        <v>1008215</v>
      </c>
      <c r="B142" s="50" t="s">
        <v>5367</v>
      </c>
      <c r="D142" s="51">
        <v>0</v>
      </c>
      <c r="E142" s="50">
        <v>0</v>
      </c>
    </row>
    <row r="143" spans="1:5" hidden="1" x14ac:dyDescent="0.3">
      <c r="A143" s="50">
        <v>1008225</v>
      </c>
      <c r="B143" s="50" t="s">
        <v>5366</v>
      </c>
      <c r="D143" s="51">
        <v>0</v>
      </c>
      <c r="E143" s="50">
        <v>0</v>
      </c>
    </row>
    <row r="144" spans="1:5" hidden="1" x14ac:dyDescent="0.3">
      <c r="A144" s="50">
        <v>1008226</v>
      </c>
      <c r="B144" s="50" t="s">
        <v>5365</v>
      </c>
      <c r="D144" s="51">
        <v>0</v>
      </c>
      <c r="E144" s="50">
        <v>0</v>
      </c>
    </row>
    <row r="145" spans="1:5" hidden="1" x14ac:dyDescent="0.3">
      <c r="A145" s="50">
        <v>1008234</v>
      </c>
      <c r="B145" s="50" t="s">
        <v>5365</v>
      </c>
      <c r="D145" s="51">
        <v>0</v>
      </c>
      <c r="E145" s="50">
        <v>0</v>
      </c>
    </row>
    <row r="146" spans="1:5" hidden="1" x14ac:dyDescent="0.3">
      <c r="A146" s="50">
        <v>1008235</v>
      </c>
      <c r="B146" s="50" t="s">
        <v>5364</v>
      </c>
      <c r="D146" s="51">
        <v>0</v>
      </c>
      <c r="E146" s="50">
        <v>0</v>
      </c>
    </row>
    <row r="147" spans="1:5" hidden="1" x14ac:dyDescent="0.3">
      <c r="A147" s="50">
        <v>1008243</v>
      </c>
      <c r="B147" s="50" t="s">
        <v>5363</v>
      </c>
      <c r="D147" s="51">
        <v>0</v>
      </c>
      <c r="E147" s="50">
        <v>0</v>
      </c>
    </row>
    <row r="148" spans="1:5" hidden="1" x14ac:dyDescent="0.3">
      <c r="A148" s="50">
        <v>1008843</v>
      </c>
      <c r="B148" s="50" t="s">
        <v>5362</v>
      </c>
      <c r="C148" s="50" t="s">
        <v>3394</v>
      </c>
      <c r="D148" s="51">
        <v>0</v>
      </c>
      <c r="E148" s="50">
        <v>0</v>
      </c>
    </row>
    <row r="149" spans="1:5" hidden="1" x14ac:dyDescent="0.3">
      <c r="A149" s="50">
        <v>1008844</v>
      </c>
      <c r="B149" s="50" t="s">
        <v>5361</v>
      </c>
      <c r="C149" s="50" t="s">
        <v>3394</v>
      </c>
      <c r="D149" s="51">
        <v>0</v>
      </c>
      <c r="E149" s="50">
        <v>0</v>
      </c>
    </row>
    <row r="150" spans="1:5" hidden="1" x14ac:dyDescent="0.3">
      <c r="A150" s="50">
        <v>1008847</v>
      </c>
      <c r="B150" s="50" t="s">
        <v>5360</v>
      </c>
      <c r="C150" s="50" t="s">
        <v>3394</v>
      </c>
      <c r="D150" s="50" t="s">
        <v>5359</v>
      </c>
      <c r="E150" s="50">
        <v>1227.76</v>
      </c>
    </row>
    <row r="151" spans="1:5" hidden="1" x14ac:dyDescent="0.3">
      <c r="A151" s="50">
        <v>1008849</v>
      </c>
      <c r="B151" s="50" t="s">
        <v>5358</v>
      </c>
      <c r="C151" s="50" t="s">
        <v>3394</v>
      </c>
      <c r="D151" s="50" t="s">
        <v>5357</v>
      </c>
      <c r="E151" s="50">
        <v>3195.59</v>
      </c>
    </row>
    <row r="152" spans="1:5" hidden="1" x14ac:dyDescent="0.3">
      <c r="A152" s="50">
        <v>1008851</v>
      </c>
      <c r="B152" s="50" t="s">
        <v>5356</v>
      </c>
      <c r="C152" s="50" t="s">
        <v>3394</v>
      </c>
      <c r="D152" s="50" t="s">
        <v>5355</v>
      </c>
      <c r="E152" s="50">
        <v>4473.1099999999997</v>
      </c>
    </row>
    <row r="153" spans="1:5" hidden="1" x14ac:dyDescent="0.3">
      <c r="A153" s="50">
        <v>1008852</v>
      </c>
      <c r="B153" s="50" t="s">
        <v>5354</v>
      </c>
      <c r="C153" s="50" t="s">
        <v>3394</v>
      </c>
      <c r="D153" s="50" t="s">
        <v>5353</v>
      </c>
      <c r="E153" s="50">
        <v>2099.83</v>
      </c>
    </row>
    <row r="154" spans="1:5" hidden="1" x14ac:dyDescent="0.3">
      <c r="A154" s="50">
        <v>1008854</v>
      </c>
      <c r="B154" s="50" t="s">
        <v>5352</v>
      </c>
      <c r="C154" s="50" t="s">
        <v>3394</v>
      </c>
      <c r="D154" s="50" t="s">
        <v>5351</v>
      </c>
      <c r="E154" s="50">
        <v>4833.92</v>
      </c>
    </row>
    <row r="155" spans="1:5" hidden="1" x14ac:dyDescent="0.3">
      <c r="A155" s="50">
        <v>1008856</v>
      </c>
      <c r="B155" s="50" t="s">
        <v>5350</v>
      </c>
      <c r="C155" s="50" t="s">
        <v>3394</v>
      </c>
      <c r="D155" s="50" t="s">
        <v>5349</v>
      </c>
      <c r="E155" s="50">
        <v>3343.63</v>
      </c>
    </row>
    <row r="156" spans="1:5" hidden="1" x14ac:dyDescent="0.3">
      <c r="A156" s="50">
        <v>1008860</v>
      </c>
      <c r="B156" s="50" t="s">
        <v>5348</v>
      </c>
      <c r="C156" s="50" t="s">
        <v>3394</v>
      </c>
      <c r="D156" s="50" t="s">
        <v>5347</v>
      </c>
      <c r="E156" s="50">
        <v>7066.18</v>
      </c>
    </row>
    <row r="157" spans="1:5" hidden="1" x14ac:dyDescent="0.3">
      <c r="A157" s="50">
        <v>1008861</v>
      </c>
      <c r="B157" s="50" t="s">
        <v>5346</v>
      </c>
      <c r="C157" s="50" t="s">
        <v>3394</v>
      </c>
      <c r="D157" s="50" t="s">
        <v>5345</v>
      </c>
      <c r="E157" s="50">
        <v>6501.35</v>
      </c>
    </row>
    <row r="158" spans="1:5" hidden="1" x14ac:dyDescent="0.3">
      <c r="A158" s="50">
        <v>1008864</v>
      </c>
      <c r="B158" s="50" t="s">
        <v>5344</v>
      </c>
      <c r="C158" s="50" t="s">
        <v>3394</v>
      </c>
      <c r="D158" s="51">
        <v>0</v>
      </c>
      <c r="E158" s="50">
        <v>0</v>
      </c>
    </row>
    <row r="159" spans="1:5" hidden="1" x14ac:dyDescent="0.3">
      <c r="A159" s="50">
        <v>1008867</v>
      </c>
      <c r="B159" s="50" t="s">
        <v>5343</v>
      </c>
      <c r="C159" s="50" t="s">
        <v>3394</v>
      </c>
      <c r="D159" s="51">
        <v>0</v>
      </c>
      <c r="E159" s="50">
        <v>0</v>
      </c>
    </row>
    <row r="160" spans="1:5" hidden="1" x14ac:dyDescent="0.3">
      <c r="A160" s="50">
        <v>1008870</v>
      </c>
      <c r="B160" s="50" t="s">
        <v>5342</v>
      </c>
      <c r="C160" s="50" t="s">
        <v>3394</v>
      </c>
      <c r="D160" s="50" t="s">
        <v>5341</v>
      </c>
      <c r="E160" s="50">
        <v>8327.86</v>
      </c>
    </row>
    <row r="161" spans="1:5" hidden="1" x14ac:dyDescent="0.3">
      <c r="A161" s="50">
        <v>1008871</v>
      </c>
      <c r="B161" s="50" t="s">
        <v>5340</v>
      </c>
      <c r="C161" s="50" t="s">
        <v>3394</v>
      </c>
      <c r="D161" s="50" t="s">
        <v>5339</v>
      </c>
      <c r="E161" s="50">
        <v>7791.64</v>
      </c>
    </row>
    <row r="162" spans="1:5" hidden="1" x14ac:dyDescent="0.3">
      <c r="A162" s="50">
        <v>1008873</v>
      </c>
      <c r="B162" s="50" t="s">
        <v>5338</v>
      </c>
      <c r="C162" s="50" t="s">
        <v>3394</v>
      </c>
      <c r="D162" s="51">
        <v>0</v>
      </c>
      <c r="E162" s="50">
        <v>0</v>
      </c>
    </row>
    <row r="163" spans="1:5" hidden="1" x14ac:dyDescent="0.3">
      <c r="A163" s="50">
        <v>1008874</v>
      </c>
      <c r="B163" s="50" t="s">
        <v>5337</v>
      </c>
      <c r="C163" s="50" t="s">
        <v>3394</v>
      </c>
      <c r="D163" s="51">
        <v>0</v>
      </c>
      <c r="E163" s="50">
        <v>0</v>
      </c>
    </row>
    <row r="164" spans="1:5" hidden="1" x14ac:dyDescent="0.3">
      <c r="A164" s="50">
        <v>1008875</v>
      </c>
      <c r="B164" s="50" t="s">
        <v>5336</v>
      </c>
      <c r="C164" s="50" t="s">
        <v>3394</v>
      </c>
      <c r="D164" s="50" t="s">
        <v>5335</v>
      </c>
      <c r="E164" s="50">
        <v>13272.68</v>
      </c>
    </row>
    <row r="165" spans="1:5" hidden="1" x14ac:dyDescent="0.3">
      <c r="A165" s="50">
        <v>1008876</v>
      </c>
      <c r="B165" s="50" t="s">
        <v>5334</v>
      </c>
      <c r="C165" s="50" t="s">
        <v>3394</v>
      </c>
      <c r="D165" s="51">
        <v>0</v>
      </c>
      <c r="E165" s="50">
        <v>0</v>
      </c>
    </row>
    <row r="166" spans="1:5" hidden="1" x14ac:dyDescent="0.3">
      <c r="A166" s="50">
        <v>1008985</v>
      </c>
      <c r="B166" s="50" t="s">
        <v>5333</v>
      </c>
      <c r="C166" s="50" t="s">
        <v>3394</v>
      </c>
      <c r="D166" s="51">
        <v>0</v>
      </c>
      <c r="E166" s="50">
        <v>0</v>
      </c>
    </row>
    <row r="167" spans="1:5" hidden="1" x14ac:dyDescent="0.3">
      <c r="A167" s="50">
        <v>1009166</v>
      </c>
      <c r="B167" s="50" t="s">
        <v>5332</v>
      </c>
      <c r="D167" s="51">
        <v>0</v>
      </c>
      <c r="E167" s="50">
        <v>0</v>
      </c>
    </row>
    <row r="168" spans="1:5" ht="43.2" hidden="1" x14ac:dyDescent="0.3">
      <c r="A168" s="50" t="s">
        <v>5331</v>
      </c>
      <c r="B168" s="50" t="s">
        <v>5330</v>
      </c>
      <c r="D168" s="50" t="s">
        <v>5329</v>
      </c>
      <c r="E168" s="50">
        <v>2020</v>
      </c>
    </row>
    <row r="169" spans="1:5" hidden="1" x14ac:dyDescent="0.3">
      <c r="A169" s="50" t="s">
        <v>5328</v>
      </c>
      <c r="B169" s="50" t="s">
        <v>5327</v>
      </c>
      <c r="C169" s="50" t="s">
        <v>196</v>
      </c>
      <c r="D169" s="51">
        <v>0</v>
      </c>
      <c r="E169" s="50">
        <v>0</v>
      </c>
    </row>
    <row r="170" spans="1:5" hidden="1" x14ac:dyDescent="0.3">
      <c r="A170" s="50" t="s">
        <v>380</v>
      </c>
      <c r="B170" s="50" t="s">
        <v>381</v>
      </c>
      <c r="C170" s="50" t="s">
        <v>196</v>
      </c>
      <c r="D170" s="51">
        <v>341</v>
      </c>
      <c r="E170" s="50">
        <v>341</v>
      </c>
    </row>
    <row r="171" spans="1:5" hidden="1" x14ac:dyDescent="0.3">
      <c r="A171" s="50">
        <v>1010135</v>
      </c>
      <c r="B171" s="50" t="s">
        <v>5326</v>
      </c>
      <c r="C171" s="50" t="s">
        <v>5274</v>
      </c>
      <c r="D171" s="51">
        <v>0</v>
      </c>
      <c r="E171" s="50">
        <v>0</v>
      </c>
    </row>
    <row r="172" spans="1:5" hidden="1" x14ac:dyDescent="0.3">
      <c r="A172" s="50">
        <v>1010396</v>
      </c>
      <c r="B172" s="50" t="s">
        <v>5325</v>
      </c>
      <c r="C172" s="50" t="s">
        <v>3394</v>
      </c>
      <c r="D172" s="51">
        <v>0</v>
      </c>
      <c r="E172" s="50">
        <v>0</v>
      </c>
    </row>
    <row r="173" spans="1:5" hidden="1" x14ac:dyDescent="0.3">
      <c r="A173" s="50">
        <v>1010401</v>
      </c>
      <c r="B173" s="50" t="s">
        <v>5324</v>
      </c>
      <c r="C173" s="50" t="s">
        <v>3394</v>
      </c>
      <c r="D173" s="50" t="s">
        <v>5323</v>
      </c>
      <c r="E173" s="50">
        <v>14410.33</v>
      </c>
    </row>
    <row r="174" spans="1:5" hidden="1" x14ac:dyDescent="0.3">
      <c r="A174" s="50">
        <v>1010405</v>
      </c>
      <c r="B174" s="50" t="s">
        <v>5322</v>
      </c>
      <c r="D174" s="50" t="s">
        <v>5321</v>
      </c>
      <c r="E174" s="50">
        <v>20655.41</v>
      </c>
    </row>
    <row r="175" spans="1:5" hidden="1" x14ac:dyDescent="0.3">
      <c r="A175" s="50">
        <v>1010407</v>
      </c>
      <c r="B175" s="50" t="s">
        <v>5320</v>
      </c>
      <c r="C175" s="50" t="s">
        <v>3394</v>
      </c>
      <c r="D175" s="50" t="s">
        <v>5319</v>
      </c>
      <c r="E175" s="50">
        <v>23609.05</v>
      </c>
    </row>
    <row r="176" spans="1:5" ht="28.8" hidden="1" x14ac:dyDescent="0.3">
      <c r="A176" s="50">
        <v>1010410</v>
      </c>
      <c r="B176" s="50" t="s">
        <v>5318</v>
      </c>
      <c r="D176" s="51">
        <v>0</v>
      </c>
      <c r="E176" s="50">
        <v>0</v>
      </c>
    </row>
    <row r="177" spans="1:5" hidden="1" x14ac:dyDescent="0.3">
      <c r="A177" s="50">
        <v>1010521</v>
      </c>
      <c r="B177" s="50" t="s">
        <v>5317</v>
      </c>
      <c r="C177" s="50" t="s">
        <v>3375</v>
      </c>
      <c r="D177" s="51">
        <v>0</v>
      </c>
      <c r="E177" s="50">
        <v>0</v>
      </c>
    </row>
    <row r="178" spans="1:5" hidden="1" x14ac:dyDescent="0.3">
      <c r="A178" s="50">
        <v>1010522</v>
      </c>
      <c r="B178" s="50" t="s">
        <v>5316</v>
      </c>
      <c r="C178" s="50" t="s">
        <v>3375</v>
      </c>
      <c r="D178" s="51">
        <v>0</v>
      </c>
      <c r="E178" s="50">
        <v>0</v>
      </c>
    </row>
    <row r="179" spans="1:5" hidden="1" x14ac:dyDescent="0.3">
      <c r="A179" s="50">
        <v>1010596</v>
      </c>
      <c r="B179" s="50" t="s">
        <v>5315</v>
      </c>
      <c r="C179" s="50" t="s">
        <v>3394</v>
      </c>
      <c r="D179" s="51">
        <v>0</v>
      </c>
      <c r="E179" s="50">
        <v>0</v>
      </c>
    </row>
    <row r="180" spans="1:5" hidden="1" x14ac:dyDescent="0.3">
      <c r="A180" s="50">
        <v>1010606</v>
      </c>
      <c r="B180" s="50" t="s">
        <v>5314</v>
      </c>
      <c r="C180" s="50" t="s">
        <v>3394</v>
      </c>
      <c r="D180" s="51">
        <v>0</v>
      </c>
      <c r="E180" s="50">
        <v>0</v>
      </c>
    </row>
    <row r="181" spans="1:5" hidden="1" x14ac:dyDescent="0.3">
      <c r="A181" s="50">
        <v>101065</v>
      </c>
      <c r="B181" s="50" t="s">
        <v>5313</v>
      </c>
      <c r="D181" s="51">
        <v>35</v>
      </c>
      <c r="E181" s="50">
        <v>35</v>
      </c>
    </row>
    <row r="182" spans="1:5" ht="28.8" hidden="1" x14ac:dyDescent="0.3">
      <c r="A182" s="50">
        <v>1010817</v>
      </c>
      <c r="B182" s="50" t="s">
        <v>5312</v>
      </c>
      <c r="D182" s="51">
        <v>0</v>
      </c>
      <c r="E182" s="50">
        <v>0</v>
      </c>
    </row>
    <row r="183" spans="1:5" ht="28.8" hidden="1" x14ac:dyDescent="0.3">
      <c r="A183" s="50">
        <v>1010818</v>
      </c>
      <c r="B183" s="50" t="s">
        <v>5311</v>
      </c>
      <c r="D183" s="51">
        <v>0</v>
      </c>
      <c r="E183" s="50">
        <v>0</v>
      </c>
    </row>
    <row r="184" spans="1:5" hidden="1" x14ac:dyDescent="0.3">
      <c r="A184" s="50">
        <v>1011200</v>
      </c>
      <c r="B184" s="50" t="s">
        <v>5310</v>
      </c>
      <c r="C184" s="50" t="s">
        <v>3394</v>
      </c>
      <c r="D184" s="51">
        <v>0</v>
      </c>
      <c r="E184" s="50">
        <v>0</v>
      </c>
    </row>
    <row r="185" spans="1:5" ht="28.8" hidden="1" x14ac:dyDescent="0.3">
      <c r="A185" s="50" t="s">
        <v>5309</v>
      </c>
      <c r="B185" s="50" t="s">
        <v>5308</v>
      </c>
      <c r="D185" s="50" t="s">
        <v>5307</v>
      </c>
      <c r="E185" s="50">
        <v>1500</v>
      </c>
    </row>
    <row r="186" spans="1:5" hidden="1" x14ac:dyDescent="0.3">
      <c r="A186" s="50">
        <v>1012391</v>
      </c>
      <c r="B186" s="50" t="s">
        <v>5306</v>
      </c>
      <c r="C186" s="50" t="s">
        <v>3394</v>
      </c>
      <c r="D186" s="51">
        <v>0</v>
      </c>
      <c r="E186" s="50">
        <v>0</v>
      </c>
    </row>
    <row r="187" spans="1:5" hidden="1" x14ac:dyDescent="0.3">
      <c r="A187" s="50">
        <v>1012392</v>
      </c>
      <c r="B187" s="50" t="s">
        <v>5305</v>
      </c>
      <c r="D187" s="50" t="s">
        <v>5304</v>
      </c>
      <c r="E187" s="50">
        <v>2093.91</v>
      </c>
    </row>
    <row r="188" spans="1:5" hidden="1" x14ac:dyDescent="0.3">
      <c r="A188" s="50">
        <v>1012398</v>
      </c>
      <c r="B188" s="50" t="s">
        <v>5303</v>
      </c>
      <c r="C188" s="50" t="s">
        <v>3394</v>
      </c>
      <c r="D188" s="50" t="s">
        <v>5302</v>
      </c>
      <c r="E188" s="50">
        <v>735.24</v>
      </c>
    </row>
    <row r="189" spans="1:5" hidden="1" x14ac:dyDescent="0.3">
      <c r="A189" s="50">
        <v>1012411</v>
      </c>
      <c r="B189" s="50" t="s">
        <v>5301</v>
      </c>
      <c r="C189" s="50" t="s">
        <v>3394</v>
      </c>
      <c r="D189" s="50" t="s">
        <v>5300</v>
      </c>
      <c r="E189" s="50">
        <v>1727.72</v>
      </c>
    </row>
    <row r="190" spans="1:5" hidden="1" x14ac:dyDescent="0.3">
      <c r="A190" s="50">
        <v>1012446</v>
      </c>
      <c r="B190" s="50" t="s">
        <v>5299</v>
      </c>
      <c r="C190" s="50" t="s">
        <v>3394</v>
      </c>
      <c r="D190" s="50" t="s">
        <v>5298</v>
      </c>
      <c r="E190" s="50">
        <v>1978.37</v>
      </c>
    </row>
    <row r="191" spans="1:5" hidden="1" x14ac:dyDescent="0.3">
      <c r="A191" s="50">
        <v>1012461</v>
      </c>
      <c r="B191" s="50" t="s">
        <v>5297</v>
      </c>
      <c r="C191" s="50" t="s">
        <v>3394</v>
      </c>
      <c r="D191" s="50" t="s">
        <v>5296</v>
      </c>
      <c r="E191" s="50">
        <v>2095.15</v>
      </c>
    </row>
    <row r="192" spans="1:5" hidden="1" x14ac:dyDescent="0.3">
      <c r="A192" s="50">
        <v>1012504</v>
      </c>
      <c r="B192" s="50" t="s">
        <v>5295</v>
      </c>
      <c r="C192" s="50" t="s">
        <v>3394</v>
      </c>
      <c r="D192" s="50" t="s">
        <v>5294</v>
      </c>
      <c r="E192" s="50">
        <v>1429.71</v>
      </c>
    </row>
    <row r="193" spans="1:5" hidden="1" x14ac:dyDescent="0.3">
      <c r="A193" s="50">
        <v>1012516</v>
      </c>
      <c r="B193" s="50" t="s">
        <v>5293</v>
      </c>
      <c r="C193" s="50" t="s">
        <v>3394</v>
      </c>
      <c r="D193" s="50" t="s">
        <v>5292</v>
      </c>
      <c r="E193" s="50">
        <v>2732.17</v>
      </c>
    </row>
    <row r="194" spans="1:5" hidden="1" x14ac:dyDescent="0.3">
      <c r="A194" s="50">
        <v>1012549</v>
      </c>
      <c r="B194" s="50" t="s">
        <v>5291</v>
      </c>
      <c r="C194" s="50" t="s">
        <v>5274</v>
      </c>
      <c r="D194" s="51">
        <v>0</v>
      </c>
      <c r="E194" s="50">
        <v>0</v>
      </c>
    </row>
    <row r="195" spans="1:5" hidden="1" x14ac:dyDescent="0.3">
      <c r="A195" s="50">
        <v>1012571</v>
      </c>
      <c r="B195" s="50" t="s">
        <v>5290</v>
      </c>
      <c r="C195" s="50" t="s">
        <v>3394</v>
      </c>
      <c r="D195" s="51">
        <v>0</v>
      </c>
      <c r="E195" s="50">
        <v>0</v>
      </c>
    </row>
    <row r="196" spans="1:5" hidden="1" x14ac:dyDescent="0.3">
      <c r="A196" s="50">
        <v>1012594</v>
      </c>
      <c r="B196" s="50" t="s">
        <v>3573</v>
      </c>
      <c r="C196" s="50" t="s">
        <v>3394</v>
      </c>
      <c r="D196" s="51">
        <v>0</v>
      </c>
      <c r="E196" s="50">
        <v>0</v>
      </c>
    </row>
    <row r="197" spans="1:5" hidden="1" x14ac:dyDescent="0.3">
      <c r="A197" s="50">
        <v>1012607</v>
      </c>
      <c r="B197" s="50" t="s">
        <v>5289</v>
      </c>
      <c r="C197" s="50" t="s">
        <v>3394</v>
      </c>
      <c r="D197" s="50" t="s">
        <v>5288</v>
      </c>
      <c r="E197" s="50">
        <v>2967.12</v>
      </c>
    </row>
    <row r="198" spans="1:5" hidden="1" x14ac:dyDescent="0.3">
      <c r="A198" s="50">
        <v>1012658</v>
      </c>
      <c r="B198" s="50" t="s">
        <v>5287</v>
      </c>
      <c r="C198" s="50" t="s">
        <v>3394</v>
      </c>
      <c r="D198" s="50" t="s">
        <v>5286</v>
      </c>
      <c r="E198" s="50">
        <v>4105.16</v>
      </c>
    </row>
    <row r="199" spans="1:5" hidden="1" x14ac:dyDescent="0.3">
      <c r="A199" s="50">
        <v>1012671</v>
      </c>
      <c r="B199" s="50" t="s">
        <v>5285</v>
      </c>
      <c r="C199" s="50" t="s">
        <v>3394</v>
      </c>
      <c r="D199" s="50" t="s">
        <v>5284</v>
      </c>
      <c r="E199" s="50">
        <v>4798.34</v>
      </c>
    </row>
    <row r="200" spans="1:5" hidden="1" x14ac:dyDescent="0.3">
      <c r="A200" s="50">
        <v>1012695</v>
      </c>
      <c r="B200" s="50" t="s">
        <v>5283</v>
      </c>
      <c r="C200" s="50" t="s">
        <v>3394</v>
      </c>
      <c r="D200" s="50" t="s">
        <v>5282</v>
      </c>
      <c r="E200" s="50">
        <v>6886.04</v>
      </c>
    </row>
    <row r="201" spans="1:5" hidden="1" x14ac:dyDescent="0.3">
      <c r="A201" s="50">
        <v>1012714</v>
      </c>
      <c r="B201" s="50" t="s">
        <v>5281</v>
      </c>
      <c r="D201" s="51">
        <v>0</v>
      </c>
      <c r="E201" s="50">
        <v>0</v>
      </c>
    </row>
    <row r="202" spans="1:5" hidden="1" x14ac:dyDescent="0.3">
      <c r="A202" s="50">
        <v>1012739</v>
      </c>
      <c r="B202" s="50" t="s">
        <v>5280</v>
      </c>
      <c r="D202" s="51">
        <v>0</v>
      </c>
      <c r="E202" s="50">
        <v>0</v>
      </c>
    </row>
    <row r="203" spans="1:5" hidden="1" x14ac:dyDescent="0.3">
      <c r="A203" s="50">
        <v>101397</v>
      </c>
      <c r="B203" s="50" t="s">
        <v>5279</v>
      </c>
      <c r="D203" s="51">
        <v>75</v>
      </c>
      <c r="E203" s="50">
        <v>75</v>
      </c>
    </row>
    <row r="204" spans="1:5" hidden="1" x14ac:dyDescent="0.3">
      <c r="A204" s="50">
        <v>1014656</v>
      </c>
      <c r="B204" s="50" t="s">
        <v>5278</v>
      </c>
      <c r="D204" s="51">
        <v>0</v>
      </c>
      <c r="E204" s="50">
        <v>0</v>
      </c>
    </row>
    <row r="205" spans="1:5" hidden="1" x14ac:dyDescent="0.3">
      <c r="A205" s="50">
        <v>1016608</v>
      </c>
      <c r="B205" s="50" t="s">
        <v>5277</v>
      </c>
      <c r="D205" s="50" t="s">
        <v>5276</v>
      </c>
      <c r="E205" s="50">
        <v>3617.41</v>
      </c>
    </row>
    <row r="206" spans="1:5" hidden="1" x14ac:dyDescent="0.3">
      <c r="A206" s="50">
        <v>1016614</v>
      </c>
      <c r="B206" s="50" t="s">
        <v>5275</v>
      </c>
      <c r="C206" s="50" t="s">
        <v>5274</v>
      </c>
      <c r="D206" s="50" t="s">
        <v>5273</v>
      </c>
      <c r="E206" s="50">
        <v>4286.2</v>
      </c>
    </row>
    <row r="207" spans="1:5" hidden="1" x14ac:dyDescent="0.3">
      <c r="A207" s="50">
        <v>1016615</v>
      </c>
      <c r="B207" s="50" t="s">
        <v>5272</v>
      </c>
      <c r="D207" s="51">
        <v>0</v>
      </c>
      <c r="E207" s="50">
        <v>0</v>
      </c>
    </row>
    <row r="208" spans="1:5" hidden="1" x14ac:dyDescent="0.3">
      <c r="A208" s="50">
        <v>1016620</v>
      </c>
      <c r="B208" s="50" t="s">
        <v>5271</v>
      </c>
      <c r="D208" s="51">
        <v>0</v>
      </c>
      <c r="E208" s="50">
        <v>0</v>
      </c>
    </row>
    <row r="209" spans="1:5" hidden="1" x14ac:dyDescent="0.3">
      <c r="A209" s="50">
        <v>1017052</v>
      </c>
      <c r="B209" s="50" t="s">
        <v>5270</v>
      </c>
      <c r="C209" s="50" t="s">
        <v>3394</v>
      </c>
      <c r="D209" s="51">
        <v>0</v>
      </c>
      <c r="E209" s="50">
        <v>0</v>
      </c>
    </row>
    <row r="210" spans="1:5" hidden="1" x14ac:dyDescent="0.3">
      <c r="A210" s="50">
        <v>1017059</v>
      </c>
      <c r="B210" s="50" t="s">
        <v>5269</v>
      </c>
      <c r="C210" s="50" t="s">
        <v>3394</v>
      </c>
      <c r="D210" s="51">
        <v>0</v>
      </c>
      <c r="E210" s="50">
        <v>0</v>
      </c>
    </row>
    <row r="211" spans="1:5" hidden="1" x14ac:dyDescent="0.3">
      <c r="A211" s="50">
        <v>1017069</v>
      </c>
      <c r="B211" s="50" t="s">
        <v>5268</v>
      </c>
      <c r="C211" s="50" t="s">
        <v>3394</v>
      </c>
      <c r="D211" s="50" t="s">
        <v>5267</v>
      </c>
      <c r="E211" s="50">
        <v>1464.39</v>
      </c>
    </row>
    <row r="212" spans="1:5" hidden="1" x14ac:dyDescent="0.3">
      <c r="A212" s="50">
        <v>1017074</v>
      </c>
      <c r="B212" s="50" t="s">
        <v>5266</v>
      </c>
      <c r="C212" s="50" t="s">
        <v>3394</v>
      </c>
      <c r="D212" s="51">
        <v>0</v>
      </c>
      <c r="E212" s="50">
        <v>0</v>
      </c>
    </row>
    <row r="213" spans="1:5" hidden="1" x14ac:dyDescent="0.3">
      <c r="A213" s="50">
        <v>1017082</v>
      </c>
      <c r="B213" s="50" t="s">
        <v>5265</v>
      </c>
      <c r="C213" s="50" t="s">
        <v>3394</v>
      </c>
      <c r="D213" s="51">
        <v>0</v>
      </c>
      <c r="E213" s="50">
        <v>0</v>
      </c>
    </row>
    <row r="214" spans="1:5" hidden="1" x14ac:dyDescent="0.3">
      <c r="A214" s="50">
        <v>1017086</v>
      </c>
      <c r="B214" s="50" t="s">
        <v>5264</v>
      </c>
      <c r="C214" s="50" t="s">
        <v>3394</v>
      </c>
      <c r="D214" s="51">
        <v>0</v>
      </c>
      <c r="E214" s="50">
        <v>0</v>
      </c>
    </row>
    <row r="215" spans="1:5" hidden="1" x14ac:dyDescent="0.3">
      <c r="A215" s="50">
        <v>1017097</v>
      </c>
      <c r="B215" s="50" t="s">
        <v>5263</v>
      </c>
      <c r="C215" s="50" t="s">
        <v>3394</v>
      </c>
      <c r="D215" s="50" t="s">
        <v>3391</v>
      </c>
      <c r="E215" s="50">
        <v>1340.63</v>
      </c>
    </row>
    <row r="216" spans="1:5" hidden="1" x14ac:dyDescent="0.3">
      <c r="A216" s="50">
        <v>1017099</v>
      </c>
      <c r="B216" s="50" t="s">
        <v>5262</v>
      </c>
      <c r="C216" s="50" t="s">
        <v>3394</v>
      </c>
      <c r="D216" s="51">
        <v>0</v>
      </c>
      <c r="E216" s="50">
        <v>0</v>
      </c>
    </row>
    <row r="217" spans="1:5" hidden="1" x14ac:dyDescent="0.3">
      <c r="A217" s="50">
        <v>1017103</v>
      </c>
      <c r="B217" s="50" t="s">
        <v>5261</v>
      </c>
      <c r="C217" s="50" t="s">
        <v>3394</v>
      </c>
      <c r="D217" s="51">
        <v>0</v>
      </c>
      <c r="E217" s="50">
        <v>0</v>
      </c>
    </row>
    <row r="218" spans="1:5" hidden="1" x14ac:dyDescent="0.3">
      <c r="A218" s="50">
        <v>1017106</v>
      </c>
      <c r="B218" s="50" t="s">
        <v>5260</v>
      </c>
      <c r="C218" s="50" t="s">
        <v>3394</v>
      </c>
      <c r="D218" s="51">
        <v>0</v>
      </c>
      <c r="E218" s="50">
        <v>0</v>
      </c>
    </row>
    <row r="219" spans="1:5" hidden="1" x14ac:dyDescent="0.3">
      <c r="A219" s="50">
        <v>1017112</v>
      </c>
      <c r="B219" s="50" t="s">
        <v>5259</v>
      </c>
      <c r="C219" s="50" t="s">
        <v>3394</v>
      </c>
      <c r="D219" s="51">
        <v>0</v>
      </c>
      <c r="E219" s="50">
        <v>0</v>
      </c>
    </row>
    <row r="220" spans="1:5" hidden="1" x14ac:dyDescent="0.3">
      <c r="A220" s="50">
        <v>1017125</v>
      </c>
      <c r="B220" s="50" t="s">
        <v>5258</v>
      </c>
      <c r="C220" s="50" t="s">
        <v>3394</v>
      </c>
      <c r="D220" s="51">
        <v>0</v>
      </c>
      <c r="E220" s="50">
        <v>0</v>
      </c>
    </row>
    <row r="221" spans="1:5" hidden="1" x14ac:dyDescent="0.3">
      <c r="A221" s="50">
        <v>1017127</v>
      </c>
      <c r="B221" s="50" t="s">
        <v>5257</v>
      </c>
      <c r="C221" s="50" t="s">
        <v>3394</v>
      </c>
      <c r="D221" s="51">
        <v>0</v>
      </c>
      <c r="E221" s="50">
        <v>0</v>
      </c>
    </row>
    <row r="222" spans="1:5" hidden="1" x14ac:dyDescent="0.3">
      <c r="A222" s="50">
        <v>1017129</v>
      </c>
      <c r="B222" s="50" t="s">
        <v>5256</v>
      </c>
      <c r="C222" s="50" t="s">
        <v>3394</v>
      </c>
      <c r="D222" s="51">
        <v>0</v>
      </c>
      <c r="E222" s="50">
        <v>0</v>
      </c>
    </row>
    <row r="223" spans="1:5" hidden="1" x14ac:dyDescent="0.3">
      <c r="A223" s="50">
        <v>1017130</v>
      </c>
      <c r="B223" s="50" t="s">
        <v>5255</v>
      </c>
      <c r="C223" s="50" t="s">
        <v>3394</v>
      </c>
      <c r="D223" s="51">
        <v>0</v>
      </c>
      <c r="E223" s="50">
        <v>0</v>
      </c>
    </row>
    <row r="224" spans="1:5" hidden="1" x14ac:dyDescent="0.3">
      <c r="A224" s="50">
        <v>1017131</v>
      </c>
      <c r="B224" s="50" t="s">
        <v>5254</v>
      </c>
      <c r="C224" s="50" t="s">
        <v>3394</v>
      </c>
      <c r="D224" s="51">
        <v>0</v>
      </c>
      <c r="E224" s="50">
        <v>0</v>
      </c>
    </row>
    <row r="225" spans="1:5" hidden="1" x14ac:dyDescent="0.3">
      <c r="A225" s="50">
        <v>1017134</v>
      </c>
      <c r="B225" s="50" t="s">
        <v>5253</v>
      </c>
      <c r="C225" s="50" t="s">
        <v>3394</v>
      </c>
      <c r="D225" s="51">
        <v>0</v>
      </c>
      <c r="E225" s="50">
        <v>0</v>
      </c>
    </row>
    <row r="226" spans="1:5" hidden="1" x14ac:dyDescent="0.3">
      <c r="A226" s="50">
        <v>1017138</v>
      </c>
      <c r="B226" s="50" t="s">
        <v>5252</v>
      </c>
      <c r="C226" s="50" t="s">
        <v>3394</v>
      </c>
      <c r="D226" s="50" t="s">
        <v>2782</v>
      </c>
      <c r="E226" s="50">
        <v>2993.25</v>
      </c>
    </row>
    <row r="227" spans="1:5" hidden="1" x14ac:dyDescent="0.3">
      <c r="A227" s="50">
        <v>1017139</v>
      </c>
      <c r="B227" s="50" t="s">
        <v>5251</v>
      </c>
      <c r="C227" s="50" t="s">
        <v>3394</v>
      </c>
      <c r="D227" s="51">
        <v>0</v>
      </c>
      <c r="E227" s="50">
        <v>0</v>
      </c>
    </row>
    <row r="228" spans="1:5" hidden="1" x14ac:dyDescent="0.3">
      <c r="A228" s="50">
        <v>1017140</v>
      </c>
      <c r="B228" s="50" t="s">
        <v>5250</v>
      </c>
      <c r="C228" s="50" t="s">
        <v>3394</v>
      </c>
      <c r="D228" s="50" t="s">
        <v>5249</v>
      </c>
      <c r="E228" s="50">
        <v>2783.25</v>
      </c>
    </row>
    <row r="229" spans="1:5" hidden="1" x14ac:dyDescent="0.3">
      <c r="A229" s="50">
        <v>1017142</v>
      </c>
      <c r="B229" s="50" t="s">
        <v>5248</v>
      </c>
      <c r="C229" s="50" t="s">
        <v>3394</v>
      </c>
      <c r="D229" s="50" t="s">
        <v>5247</v>
      </c>
      <c r="E229" s="50">
        <v>5554.99</v>
      </c>
    </row>
    <row r="230" spans="1:5" hidden="1" x14ac:dyDescent="0.3">
      <c r="A230" s="50">
        <v>1017147</v>
      </c>
      <c r="B230" s="50" t="s">
        <v>5246</v>
      </c>
      <c r="C230" s="50" t="s">
        <v>3394</v>
      </c>
      <c r="D230" s="51">
        <v>0</v>
      </c>
      <c r="E230" s="50">
        <v>0</v>
      </c>
    </row>
    <row r="231" spans="1:5" hidden="1" x14ac:dyDescent="0.3">
      <c r="A231" s="50">
        <v>1017148</v>
      </c>
      <c r="B231" s="50" t="s">
        <v>5245</v>
      </c>
      <c r="C231" s="50" t="s">
        <v>3394</v>
      </c>
      <c r="D231" s="51">
        <v>0</v>
      </c>
      <c r="E231" s="50">
        <v>0</v>
      </c>
    </row>
    <row r="232" spans="1:5" hidden="1" x14ac:dyDescent="0.3">
      <c r="A232" s="50">
        <v>1017154</v>
      </c>
      <c r="B232" s="50" t="s">
        <v>5244</v>
      </c>
      <c r="C232" s="50" t="s">
        <v>3394</v>
      </c>
      <c r="D232" s="51">
        <v>0</v>
      </c>
      <c r="E232" s="50">
        <v>0</v>
      </c>
    </row>
    <row r="233" spans="1:5" hidden="1" x14ac:dyDescent="0.3">
      <c r="A233" s="50">
        <v>1017155</v>
      </c>
      <c r="B233" s="50" t="s">
        <v>5243</v>
      </c>
      <c r="C233" s="50" t="s">
        <v>3394</v>
      </c>
      <c r="D233" s="51">
        <v>0</v>
      </c>
      <c r="E233" s="50">
        <v>0</v>
      </c>
    </row>
    <row r="234" spans="1:5" hidden="1" x14ac:dyDescent="0.3">
      <c r="A234" s="50">
        <v>1017159</v>
      </c>
      <c r="B234" s="50" t="s">
        <v>5242</v>
      </c>
      <c r="C234" s="50" t="s">
        <v>3394</v>
      </c>
      <c r="D234" s="51">
        <v>0</v>
      </c>
      <c r="E234" s="50">
        <v>0</v>
      </c>
    </row>
    <row r="235" spans="1:5" hidden="1" x14ac:dyDescent="0.3">
      <c r="A235" s="50">
        <v>1017160</v>
      </c>
      <c r="B235" s="50" t="s">
        <v>5241</v>
      </c>
      <c r="C235" s="50" t="s">
        <v>3394</v>
      </c>
      <c r="D235" s="51">
        <v>0</v>
      </c>
      <c r="E235" s="50">
        <v>0</v>
      </c>
    </row>
    <row r="236" spans="1:5" hidden="1" x14ac:dyDescent="0.3">
      <c r="A236" s="50">
        <v>1017177</v>
      </c>
      <c r="B236" s="50" t="s">
        <v>5240</v>
      </c>
      <c r="C236" s="50" t="s">
        <v>3394</v>
      </c>
      <c r="D236" s="50" t="s">
        <v>3413</v>
      </c>
      <c r="E236" s="50">
        <v>2428.5</v>
      </c>
    </row>
    <row r="237" spans="1:5" hidden="1" x14ac:dyDescent="0.3">
      <c r="A237" s="50">
        <v>1017179</v>
      </c>
      <c r="B237" s="50" t="s">
        <v>5239</v>
      </c>
      <c r="C237" s="50" t="s">
        <v>3394</v>
      </c>
      <c r="D237" s="51">
        <v>0</v>
      </c>
      <c r="E237" s="50">
        <v>0</v>
      </c>
    </row>
    <row r="238" spans="1:5" hidden="1" x14ac:dyDescent="0.3">
      <c r="A238" s="50">
        <v>1017181</v>
      </c>
      <c r="B238" s="50" t="s">
        <v>5238</v>
      </c>
      <c r="D238" s="51">
        <v>0</v>
      </c>
      <c r="E238" s="50">
        <v>0</v>
      </c>
    </row>
    <row r="239" spans="1:5" ht="28.8" hidden="1" x14ac:dyDescent="0.3">
      <c r="A239" s="50">
        <v>1017315</v>
      </c>
      <c r="B239" s="50" t="s">
        <v>5237</v>
      </c>
      <c r="D239" s="51">
        <v>0</v>
      </c>
      <c r="E239" s="50">
        <v>0</v>
      </c>
    </row>
    <row r="240" spans="1:5" hidden="1" x14ac:dyDescent="0.3">
      <c r="A240" s="50">
        <v>1020807</v>
      </c>
      <c r="B240" s="50" t="s">
        <v>5236</v>
      </c>
      <c r="D240" s="51">
        <v>0</v>
      </c>
      <c r="E240" s="50">
        <v>0</v>
      </c>
    </row>
    <row r="241" spans="1:5" hidden="1" x14ac:dyDescent="0.3">
      <c r="A241" s="50">
        <v>1023613</v>
      </c>
      <c r="B241" s="50" t="s">
        <v>5235</v>
      </c>
      <c r="D241" s="51">
        <v>0</v>
      </c>
      <c r="E241" s="50">
        <v>0</v>
      </c>
    </row>
    <row r="242" spans="1:5" hidden="1" x14ac:dyDescent="0.3">
      <c r="A242" s="50">
        <v>1023615</v>
      </c>
      <c r="B242" s="50" t="s">
        <v>5234</v>
      </c>
      <c r="D242" s="51">
        <v>0</v>
      </c>
      <c r="E242" s="50">
        <v>0</v>
      </c>
    </row>
    <row r="243" spans="1:5" hidden="1" x14ac:dyDescent="0.3">
      <c r="A243" s="50">
        <v>1023775</v>
      </c>
      <c r="B243" s="50" t="s">
        <v>5233</v>
      </c>
      <c r="D243" s="51">
        <v>0</v>
      </c>
      <c r="E243" s="50">
        <v>0</v>
      </c>
    </row>
    <row r="244" spans="1:5" hidden="1" x14ac:dyDescent="0.3">
      <c r="A244" s="50">
        <v>1024046</v>
      </c>
      <c r="B244" s="50" t="s">
        <v>5232</v>
      </c>
      <c r="D244" s="51">
        <v>0</v>
      </c>
      <c r="E244" s="50">
        <v>0</v>
      </c>
    </row>
    <row r="245" spans="1:5" hidden="1" x14ac:dyDescent="0.3">
      <c r="A245" s="50">
        <v>1024050</v>
      </c>
      <c r="B245" s="50" t="s">
        <v>5231</v>
      </c>
      <c r="D245" s="51">
        <v>0</v>
      </c>
      <c r="E245" s="50">
        <v>0</v>
      </c>
    </row>
    <row r="246" spans="1:5" hidden="1" x14ac:dyDescent="0.3">
      <c r="A246" s="50">
        <v>1024172</v>
      </c>
      <c r="B246" s="50" t="s">
        <v>5230</v>
      </c>
      <c r="D246" s="51">
        <v>0</v>
      </c>
      <c r="E246" s="50">
        <v>0</v>
      </c>
    </row>
    <row r="247" spans="1:5" hidden="1" x14ac:dyDescent="0.3">
      <c r="A247" s="50">
        <v>1027474</v>
      </c>
      <c r="B247" s="50" t="s">
        <v>5229</v>
      </c>
      <c r="D247" s="51">
        <v>0</v>
      </c>
      <c r="E247" s="50">
        <v>0</v>
      </c>
    </row>
    <row r="248" spans="1:5" hidden="1" x14ac:dyDescent="0.3">
      <c r="A248" s="50">
        <v>1028473</v>
      </c>
      <c r="B248" s="50" t="s">
        <v>5228</v>
      </c>
      <c r="D248" s="51">
        <v>0</v>
      </c>
      <c r="E248" s="50">
        <v>0</v>
      </c>
    </row>
    <row r="249" spans="1:5" hidden="1" x14ac:dyDescent="0.3">
      <c r="A249" s="50">
        <v>1028479</v>
      </c>
      <c r="B249" s="50" t="s">
        <v>5227</v>
      </c>
      <c r="D249" s="51">
        <v>0</v>
      </c>
      <c r="E249" s="50">
        <v>0</v>
      </c>
    </row>
    <row r="250" spans="1:5" hidden="1" x14ac:dyDescent="0.3">
      <c r="A250" s="50">
        <v>1028560</v>
      </c>
      <c r="B250" s="50" t="s">
        <v>5226</v>
      </c>
      <c r="C250" s="50" t="s">
        <v>3394</v>
      </c>
      <c r="D250" s="51">
        <v>0</v>
      </c>
      <c r="E250" s="50">
        <v>0</v>
      </c>
    </row>
    <row r="251" spans="1:5" ht="28.8" hidden="1" x14ac:dyDescent="0.3">
      <c r="A251" s="50">
        <v>1028561</v>
      </c>
      <c r="B251" s="50" t="s">
        <v>5225</v>
      </c>
      <c r="C251" s="50" t="s">
        <v>3394</v>
      </c>
      <c r="D251" s="51">
        <v>0</v>
      </c>
      <c r="E251" s="50">
        <v>0</v>
      </c>
    </row>
    <row r="252" spans="1:5" ht="28.8" hidden="1" x14ac:dyDescent="0.3">
      <c r="A252" s="50">
        <v>1028566</v>
      </c>
      <c r="B252" s="50" t="s">
        <v>5224</v>
      </c>
      <c r="C252" s="50" t="s">
        <v>3394</v>
      </c>
      <c r="D252" s="51">
        <v>0</v>
      </c>
      <c r="E252" s="50">
        <v>0</v>
      </c>
    </row>
    <row r="253" spans="1:5" hidden="1" x14ac:dyDescent="0.3">
      <c r="A253" s="50">
        <v>1028584</v>
      </c>
      <c r="B253" s="50" t="s">
        <v>5223</v>
      </c>
      <c r="C253" s="50" t="s">
        <v>3394</v>
      </c>
      <c r="D253" s="51">
        <v>0</v>
      </c>
      <c r="E253" s="50">
        <v>0</v>
      </c>
    </row>
    <row r="254" spans="1:5" ht="28.8" hidden="1" x14ac:dyDescent="0.3">
      <c r="A254" s="50">
        <v>1028591</v>
      </c>
      <c r="B254" s="50" t="s">
        <v>5222</v>
      </c>
      <c r="D254" s="51">
        <v>0</v>
      </c>
      <c r="E254" s="50">
        <v>0</v>
      </c>
    </row>
    <row r="255" spans="1:5" hidden="1" x14ac:dyDescent="0.3">
      <c r="A255" s="50">
        <v>1028951</v>
      </c>
      <c r="B255" s="50" t="s">
        <v>5221</v>
      </c>
      <c r="D255" s="51">
        <v>0</v>
      </c>
      <c r="E255" s="50">
        <v>0</v>
      </c>
    </row>
    <row r="256" spans="1:5" hidden="1" x14ac:dyDescent="0.3">
      <c r="A256" s="50">
        <v>1028957</v>
      </c>
      <c r="B256" s="50" t="s">
        <v>5220</v>
      </c>
      <c r="D256" s="51">
        <v>0</v>
      </c>
      <c r="E256" s="50">
        <v>0</v>
      </c>
    </row>
    <row r="257" spans="1:5" hidden="1" x14ac:dyDescent="0.3">
      <c r="A257" s="50">
        <v>1029359</v>
      </c>
      <c r="B257" s="50" t="s">
        <v>5219</v>
      </c>
      <c r="C257" s="50" t="s">
        <v>3394</v>
      </c>
      <c r="D257" s="51">
        <v>0</v>
      </c>
      <c r="E257" s="50">
        <v>0</v>
      </c>
    </row>
    <row r="258" spans="1:5" hidden="1" x14ac:dyDescent="0.3">
      <c r="A258" s="50">
        <v>1030701</v>
      </c>
      <c r="B258" s="50" t="s">
        <v>5218</v>
      </c>
      <c r="D258" s="51">
        <v>0</v>
      </c>
      <c r="E258" s="50">
        <v>0</v>
      </c>
    </row>
    <row r="259" spans="1:5" hidden="1" x14ac:dyDescent="0.3">
      <c r="A259" s="50">
        <v>1030730</v>
      </c>
      <c r="B259" s="50" t="s">
        <v>5217</v>
      </c>
      <c r="D259" s="51">
        <v>0</v>
      </c>
      <c r="E259" s="50">
        <v>0</v>
      </c>
    </row>
    <row r="260" spans="1:5" hidden="1" x14ac:dyDescent="0.3">
      <c r="A260" s="50">
        <v>1030731</v>
      </c>
      <c r="B260" s="50" t="s">
        <v>5216</v>
      </c>
      <c r="D260" s="51">
        <v>0</v>
      </c>
      <c r="E260" s="50">
        <v>0</v>
      </c>
    </row>
    <row r="261" spans="1:5" hidden="1" x14ac:dyDescent="0.3">
      <c r="A261" s="50">
        <v>1030732</v>
      </c>
      <c r="B261" s="50" t="s">
        <v>5215</v>
      </c>
      <c r="D261" s="51">
        <v>0</v>
      </c>
      <c r="E261" s="50">
        <v>0</v>
      </c>
    </row>
    <row r="262" spans="1:5" hidden="1" x14ac:dyDescent="0.3">
      <c r="A262" s="50">
        <v>1031847</v>
      </c>
      <c r="B262" s="50" t="s">
        <v>5214</v>
      </c>
      <c r="D262" s="51">
        <v>0</v>
      </c>
      <c r="E262" s="50">
        <v>0</v>
      </c>
    </row>
    <row r="263" spans="1:5" hidden="1" x14ac:dyDescent="0.3">
      <c r="A263" s="50">
        <v>103453</v>
      </c>
      <c r="B263" s="50" t="s">
        <v>5213</v>
      </c>
      <c r="C263" s="50" t="s">
        <v>3394</v>
      </c>
      <c r="D263" s="51">
        <v>0</v>
      </c>
      <c r="E263" s="50">
        <v>0</v>
      </c>
    </row>
    <row r="264" spans="1:5" hidden="1" x14ac:dyDescent="0.3">
      <c r="A264" s="50">
        <v>1034783</v>
      </c>
      <c r="B264" s="50" t="s">
        <v>5212</v>
      </c>
      <c r="D264" s="51">
        <v>0</v>
      </c>
      <c r="E264" s="50">
        <v>0</v>
      </c>
    </row>
    <row r="265" spans="1:5" hidden="1" x14ac:dyDescent="0.3">
      <c r="A265" s="50">
        <v>1034784</v>
      </c>
      <c r="B265" s="50" t="s">
        <v>5211</v>
      </c>
      <c r="C265" s="50" t="s">
        <v>3394</v>
      </c>
      <c r="D265" s="51">
        <v>0</v>
      </c>
      <c r="E265" s="50">
        <v>0</v>
      </c>
    </row>
    <row r="266" spans="1:5" hidden="1" x14ac:dyDescent="0.3">
      <c r="A266" s="50">
        <v>1034786</v>
      </c>
      <c r="B266" s="50" t="s">
        <v>5210</v>
      </c>
      <c r="C266" s="50" t="s">
        <v>3394</v>
      </c>
      <c r="D266" s="51">
        <v>0</v>
      </c>
      <c r="E266" s="50">
        <v>0</v>
      </c>
    </row>
    <row r="267" spans="1:5" hidden="1" x14ac:dyDescent="0.3">
      <c r="A267" s="50">
        <v>1034787</v>
      </c>
      <c r="B267" s="50" t="s">
        <v>5209</v>
      </c>
      <c r="C267" s="50" t="s">
        <v>3394</v>
      </c>
      <c r="D267" s="51">
        <v>0</v>
      </c>
      <c r="E267" s="50">
        <v>0</v>
      </c>
    </row>
    <row r="268" spans="1:5" hidden="1" x14ac:dyDescent="0.3">
      <c r="A268" s="50">
        <v>1034788</v>
      </c>
      <c r="B268" s="50" t="s">
        <v>5208</v>
      </c>
      <c r="C268" s="50" t="s">
        <v>3394</v>
      </c>
      <c r="D268" s="50" t="s">
        <v>5207</v>
      </c>
      <c r="E268" s="50">
        <v>2616.54</v>
      </c>
    </row>
    <row r="269" spans="1:5" ht="28.8" hidden="1" x14ac:dyDescent="0.3">
      <c r="A269" s="50">
        <v>1054558</v>
      </c>
      <c r="B269" s="50" t="s">
        <v>5206</v>
      </c>
      <c r="D269" s="51">
        <v>0</v>
      </c>
      <c r="E269" s="50">
        <v>0</v>
      </c>
    </row>
    <row r="270" spans="1:5" hidden="1" x14ac:dyDescent="0.3">
      <c r="A270" s="50">
        <v>1054591</v>
      </c>
      <c r="B270" s="50" t="s">
        <v>5205</v>
      </c>
      <c r="D270" s="51">
        <v>0</v>
      </c>
      <c r="E270" s="50">
        <v>0</v>
      </c>
    </row>
    <row r="271" spans="1:5" hidden="1" x14ac:dyDescent="0.3">
      <c r="A271" s="50">
        <v>1054601</v>
      </c>
      <c r="B271" s="50" t="s">
        <v>5204</v>
      </c>
      <c r="D271" s="51">
        <v>0</v>
      </c>
      <c r="E271" s="50">
        <v>0</v>
      </c>
    </row>
    <row r="272" spans="1:5" ht="28.8" hidden="1" x14ac:dyDescent="0.3">
      <c r="A272" s="50" t="s">
        <v>5203</v>
      </c>
      <c r="B272" s="50" t="s">
        <v>5202</v>
      </c>
      <c r="D272" s="50" t="s">
        <v>5201</v>
      </c>
      <c r="E272" s="50">
        <v>6200</v>
      </c>
    </row>
    <row r="273" spans="1:5" hidden="1" x14ac:dyDescent="0.3">
      <c r="A273" s="50">
        <v>1064128</v>
      </c>
      <c r="B273" s="50" t="s">
        <v>5200</v>
      </c>
      <c r="D273" s="51">
        <v>0</v>
      </c>
      <c r="E273" s="50">
        <v>0</v>
      </c>
    </row>
    <row r="274" spans="1:5" hidden="1" x14ac:dyDescent="0.3">
      <c r="A274" s="50">
        <v>1064263</v>
      </c>
      <c r="B274" s="50" t="s">
        <v>5199</v>
      </c>
      <c r="D274" s="51">
        <v>0</v>
      </c>
      <c r="E274" s="50">
        <v>0</v>
      </c>
    </row>
    <row r="275" spans="1:5" ht="43.2" hidden="1" x14ac:dyDescent="0.3">
      <c r="A275" s="50" t="s">
        <v>5198</v>
      </c>
      <c r="B275" s="50" t="s">
        <v>5197</v>
      </c>
      <c r="D275" s="51">
        <v>232.51</v>
      </c>
      <c r="E275" s="50">
        <v>232.51</v>
      </c>
    </row>
    <row r="276" spans="1:5" hidden="1" x14ac:dyDescent="0.3">
      <c r="A276" s="50">
        <v>1100999</v>
      </c>
      <c r="B276" s="50" t="s">
        <v>5196</v>
      </c>
      <c r="D276" s="50" t="s">
        <v>5195</v>
      </c>
      <c r="E276" s="50">
        <v>1388.54</v>
      </c>
    </row>
    <row r="277" spans="1:5" ht="28.8" hidden="1" x14ac:dyDescent="0.3">
      <c r="A277" s="50" t="s">
        <v>5194</v>
      </c>
      <c r="B277" s="50" t="s">
        <v>5193</v>
      </c>
      <c r="D277" s="51">
        <v>0</v>
      </c>
      <c r="E277" s="50">
        <v>0</v>
      </c>
    </row>
    <row r="278" spans="1:5" ht="28.8" hidden="1" x14ac:dyDescent="0.3">
      <c r="A278" s="50">
        <v>1105306</v>
      </c>
      <c r="B278" s="50" t="s">
        <v>5192</v>
      </c>
      <c r="C278" s="50" t="s">
        <v>3394</v>
      </c>
      <c r="D278" s="50" t="s">
        <v>5191</v>
      </c>
      <c r="E278" s="50">
        <v>7659.2</v>
      </c>
    </row>
    <row r="279" spans="1:5" hidden="1" x14ac:dyDescent="0.3">
      <c r="A279" s="50">
        <v>1105922</v>
      </c>
      <c r="B279" s="50" t="s">
        <v>5190</v>
      </c>
      <c r="D279" s="51">
        <v>0</v>
      </c>
      <c r="E279" s="50">
        <v>0</v>
      </c>
    </row>
    <row r="280" spans="1:5" hidden="1" x14ac:dyDescent="0.3">
      <c r="A280" s="50">
        <v>11100</v>
      </c>
      <c r="B280" s="50" t="s">
        <v>5189</v>
      </c>
      <c r="C280" s="50" t="s">
        <v>654</v>
      </c>
      <c r="D280" s="51">
        <v>0</v>
      </c>
      <c r="E280" s="50">
        <v>0</v>
      </c>
    </row>
    <row r="281" spans="1:5" hidden="1" x14ac:dyDescent="0.3">
      <c r="A281" s="50">
        <v>11101</v>
      </c>
      <c r="B281" s="50" t="s">
        <v>5188</v>
      </c>
      <c r="C281" s="50" t="s">
        <v>654</v>
      </c>
      <c r="D281" s="51">
        <v>0</v>
      </c>
      <c r="E281" s="50">
        <v>0</v>
      </c>
    </row>
    <row r="282" spans="1:5" hidden="1" x14ac:dyDescent="0.3">
      <c r="A282" s="50">
        <v>11102</v>
      </c>
      <c r="B282" s="50" t="s">
        <v>5187</v>
      </c>
      <c r="C282" s="50" t="s">
        <v>654</v>
      </c>
      <c r="D282" s="51">
        <v>0</v>
      </c>
      <c r="E282" s="50">
        <v>0</v>
      </c>
    </row>
    <row r="283" spans="1:5" hidden="1" x14ac:dyDescent="0.3">
      <c r="A283" s="50">
        <v>11103</v>
      </c>
      <c r="B283" s="50" t="s">
        <v>5186</v>
      </c>
      <c r="C283" s="50" t="s">
        <v>654</v>
      </c>
      <c r="D283" s="51">
        <v>0</v>
      </c>
      <c r="E283" s="50">
        <v>0</v>
      </c>
    </row>
    <row r="284" spans="1:5" hidden="1" x14ac:dyDescent="0.3">
      <c r="A284" s="50">
        <v>11104</v>
      </c>
      <c r="B284" s="50" t="s">
        <v>5185</v>
      </c>
      <c r="C284" s="50" t="s">
        <v>654</v>
      </c>
      <c r="D284" s="51">
        <v>0</v>
      </c>
      <c r="E284" s="50">
        <v>0</v>
      </c>
    </row>
    <row r="285" spans="1:5" hidden="1" x14ac:dyDescent="0.3">
      <c r="A285" s="50">
        <v>11105</v>
      </c>
      <c r="B285" s="50" t="s">
        <v>5184</v>
      </c>
      <c r="C285" s="50" t="s">
        <v>654</v>
      </c>
      <c r="D285" s="51">
        <v>0</v>
      </c>
      <c r="E285" s="50">
        <v>0</v>
      </c>
    </row>
    <row r="286" spans="1:5" hidden="1" x14ac:dyDescent="0.3">
      <c r="A286" s="50">
        <v>11106</v>
      </c>
      <c r="B286" s="50" t="s">
        <v>5183</v>
      </c>
      <c r="C286" s="50" t="s">
        <v>654</v>
      </c>
      <c r="D286" s="51">
        <v>0</v>
      </c>
      <c r="E286" s="50">
        <v>0</v>
      </c>
    </row>
    <row r="287" spans="1:5" hidden="1" x14ac:dyDescent="0.3">
      <c r="A287" s="50">
        <v>11110</v>
      </c>
      <c r="B287" s="50" t="s">
        <v>5182</v>
      </c>
      <c r="C287" s="50" t="s">
        <v>654</v>
      </c>
      <c r="D287" s="51">
        <v>0</v>
      </c>
      <c r="E287" s="50">
        <v>0</v>
      </c>
    </row>
    <row r="288" spans="1:5" hidden="1" x14ac:dyDescent="0.3">
      <c r="A288" s="50">
        <v>11116</v>
      </c>
      <c r="B288" s="50" t="s">
        <v>5181</v>
      </c>
      <c r="C288" s="50" t="s">
        <v>654</v>
      </c>
      <c r="D288" s="51">
        <v>0</v>
      </c>
      <c r="E288" s="50">
        <v>0</v>
      </c>
    </row>
    <row r="289" spans="1:5" hidden="1" x14ac:dyDescent="0.3">
      <c r="A289" s="50">
        <v>11117</v>
      </c>
      <c r="B289" s="50" t="s">
        <v>5180</v>
      </c>
      <c r="C289" s="50" t="s">
        <v>654</v>
      </c>
      <c r="D289" s="51">
        <v>0</v>
      </c>
      <c r="E289" s="50">
        <v>0</v>
      </c>
    </row>
    <row r="290" spans="1:5" hidden="1" x14ac:dyDescent="0.3">
      <c r="A290" s="50">
        <v>11123</v>
      </c>
      <c r="B290" s="50" t="s">
        <v>5179</v>
      </c>
      <c r="C290" s="50" t="s">
        <v>654</v>
      </c>
      <c r="D290" s="51">
        <v>0</v>
      </c>
      <c r="E290" s="50">
        <v>0</v>
      </c>
    </row>
    <row r="291" spans="1:5" hidden="1" x14ac:dyDescent="0.3">
      <c r="A291" s="50">
        <v>11124</v>
      </c>
      <c r="B291" s="50" t="s">
        <v>5178</v>
      </c>
      <c r="C291" s="50" t="s">
        <v>654</v>
      </c>
      <c r="D291" s="51">
        <v>0</v>
      </c>
      <c r="E291" s="50">
        <v>0</v>
      </c>
    </row>
    <row r="292" spans="1:5" hidden="1" x14ac:dyDescent="0.3">
      <c r="A292" s="50">
        <v>11125</v>
      </c>
      <c r="B292" s="50" t="s">
        <v>5177</v>
      </c>
      <c r="C292" s="50" t="s">
        <v>654</v>
      </c>
      <c r="D292" s="51">
        <v>673.65</v>
      </c>
      <c r="E292" s="50">
        <v>129.55000000000001</v>
      </c>
    </row>
    <row r="293" spans="1:5" hidden="1" x14ac:dyDescent="0.3">
      <c r="A293" s="50">
        <v>11127</v>
      </c>
      <c r="B293" s="50" t="s">
        <v>5176</v>
      </c>
      <c r="C293" s="50" t="s">
        <v>654</v>
      </c>
      <c r="D293" s="51">
        <v>0</v>
      </c>
      <c r="E293" s="50">
        <v>0</v>
      </c>
    </row>
    <row r="294" spans="1:5" hidden="1" x14ac:dyDescent="0.3">
      <c r="A294" s="50">
        <v>11128</v>
      </c>
      <c r="B294" s="50" t="s">
        <v>5175</v>
      </c>
      <c r="C294" s="50" t="s">
        <v>654</v>
      </c>
      <c r="D294" s="51">
        <v>0</v>
      </c>
      <c r="E294" s="50">
        <v>0</v>
      </c>
    </row>
    <row r="295" spans="1:5" hidden="1" x14ac:dyDescent="0.3">
      <c r="A295" s="50">
        <v>11129</v>
      </c>
      <c r="B295" s="50" t="s">
        <v>5174</v>
      </c>
      <c r="C295" s="50" t="s">
        <v>654</v>
      </c>
      <c r="D295" s="51">
        <v>0</v>
      </c>
      <c r="E295" s="50">
        <v>0</v>
      </c>
    </row>
    <row r="296" spans="1:5" hidden="1" x14ac:dyDescent="0.3">
      <c r="A296" s="50">
        <v>11131</v>
      </c>
      <c r="B296" s="50" t="s">
        <v>5173</v>
      </c>
      <c r="C296" s="50" t="s">
        <v>654</v>
      </c>
      <c r="D296" s="51">
        <v>0</v>
      </c>
      <c r="E296" s="50">
        <v>0</v>
      </c>
    </row>
    <row r="297" spans="1:5" hidden="1" x14ac:dyDescent="0.3">
      <c r="A297" s="50">
        <v>11132</v>
      </c>
      <c r="B297" s="50" t="s">
        <v>5172</v>
      </c>
      <c r="C297" s="50" t="s">
        <v>654</v>
      </c>
      <c r="D297" s="51">
        <v>0</v>
      </c>
      <c r="E297" s="50">
        <v>0</v>
      </c>
    </row>
    <row r="298" spans="1:5" hidden="1" x14ac:dyDescent="0.3">
      <c r="A298" s="50">
        <v>11133</v>
      </c>
      <c r="B298" s="50" t="s">
        <v>5171</v>
      </c>
      <c r="C298" s="50" t="s">
        <v>654</v>
      </c>
      <c r="D298" s="51">
        <v>887.76</v>
      </c>
      <c r="E298" s="50">
        <v>887.76</v>
      </c>
    </row>
    <row r="299" spans="1:5" hidden="1" x14ac:dyDescent="0.3">
      <c r="A299" s="50">
        <v>11135</v>
      </c>
      <c r="B299" s="50" t="s">
        <v>5170</v>
      </c>
      <c r="C299" s="50" t="s">
        <v>654</v>
      </c>
      <c r="D299" s="51">
        <v>0</v>
      </c>
      <c r="E299" s="50">
        <v>0</v>
      </c>
    </row>
    <row r="300" spans="1:5" hidden="1" x14ac:dyDescent="0.3">
      <c r="A300" s="50">
        <v>11136</v>
      </c>
      <c r="B300" s="50" t="s">
        <v>5169</v>
      </c>
      <c r="C300" s="50" t="s">
        <v>654</v>
      </c>
      <c r="D300" s="51">
        <v>0</v>
      </c>
      <c r="E300" s="50">
        <v>0</v>
      </c>
    </row>
    <row r="301" spans="1:5" hidden="1" x14ac:dyDescent="0.3">
      <c r="A301" s="50">
        <v>11137</v>
      </c>
      <c r="B301" s="50" t="s">
        <v>5168</v>
      </c>
      <c r="C301" s="50" t="s">
        <v>654</v>
      </c>
      <c r="D301" s="51">
        <v>0</v>
      </c>
      <c r="E301" s="50">
        <v>0</v>
      </c>
    </row>
    <row r="302" spans="1:5" hidden="1" x14ac:dyDescent="0.3">
      <c r="A302" s="50">
        <v>11145</v>
      </c>
      <c r="B302" s="50" t="s">
        <v>5167</v>
      </c>
      <c r="C302" s="50" t="s">
        <v>654</v>
      </c>
      <c r="D302" s="51">
        <v>0</v>
      </c>
      <c r="E302" s="50">
        <v>0</v>
      </c>
    </row>
    <row r="303" spans="1:5" hidden="1" x14ac:dyDescent="0.3">
      <c r="A303" s="50">
        <v>11146</v>
      </c>
      <c r="B303" s="50" t="s">
        <v>5166</v>
      </c>
      <c r="C303" s="50" t="s">
        <v>654</v>
      </c>
      <c r="D303" s="51">
        <v>0</v>
      </c>
      <c r="E303" s="50">
        <v>0</v>
      </c>
    </row>
    <row r="304" spans="1:5" hidden="1" x14ac:dyDescent="0.3">
      <c r="A304" s="50">
        <v>11147</v>
      </c>
      <c r="B304" s="50" t="s">
        <v>5166</v>
      </c>
      <c r="C304" s="50" t="s">
        <v>654</v>
      </c>
      <c r="D304" s="51">
        <v>0</v>
      </c>
      <c r="E304" s="50">
        <v>0</v>
      </c>
    </row>
    <row r="305" spans="1:5" hidden="1" x14ac:dyDescent="0.3">
      <c r="A305" s="50">
        <v>1115991</v>
      </c>
      <c r="B305" s="50" t="s">
        <v>5165</v>
      </c>
      <c r="D305" s="51">
        <v>0</v>
      </c>
      <c r="E305" s="50">
        <v>0</v>
      </c>
    </row>
    <row r="306" spans="1:5" hidden="1" x14ac:dyDescent="0.3">
      <c r="A306" s="50">
        <v>11187</v>
      </c>
      <c r="B306" s="50" t="s">
        <v>5164</v>
      </c>
      <c r="C306" s="50" t="s">
        <v>654</v>
      </c>
      <c r="D306" s="51">
        <v>0</v>
      </c>
      <c r="E306" s="50">
        <v>0</v>
      </c>
    </row>
    <row r="307" spans="1:5" ht="28.8" hidden="1" x14ac:dyDescent="0.3">
      <c r="A307" s="50" t="s">
        <v>5163</v>
      </c>
      <c r="B307" s="50" t="s">
        <v>5162</v>
      </c>
      <c r="D307" s="51">
        <v>83.2</v>
      </c>
      <c r="E307" s="50">
        <v>83.2</v>
      </c>
    </row>
    <row r="308" spans="1:5" hidden="1" x14ac:dyDescent="0.3">
      <c r="A308" s="50">
        <v>11201</v>
      </c>
      <c r="B308" s="50" t="s">
        <v>5161</v>
      </c>
      <c r="C308" s="50" t="s">
        <v>654</v>
      </c>
      <c r="D308" s="51">
        <v>0</v>
      </c>
      <c r="E308" s="50">
        <v>0</v>
      </c>
    </row>
    <row r="309" spans="1:5" hidden="1" x14ac:dyDescent="0.3">
      <c r="A309" s="50">
        <v>11202</v>
      </c>
      <c r="B309" s="50" t="s">
        <v>5160</v>
      </c>
      <c r="C309" s="50" t="s">
        <v>654</v>
      </c>
      <c r="D309" s="51">
        <v>0</v>
      </c>
      <c r="E309" s="50">
        <v>0</v>
      </c>
    </row>
    <row r="310" spans="1:5" hidden="1" x14ac:dyDescent="0.3">
      <c r="A310" s="50">
        <v>11211</v>
      </c>
      <c r="B310" s="50" t="s">
        <v>5159</v>
      </c>
      <c r="C310" s="50" t="s">
        <v>654</v>
      </c>
      <c r="D310" s="51">
        <v>0</v>
      </c>
      <c r="E310" s="50">
        <v>0</v>
      </c>
    </row>
    <row r="311" spans="1:5" hidden="1" x14ac:dyDescent="0.3">
      <c r="A311" s="50">
        <v>11212</v>
      </c>
      <c r="B311" s="50" t="s">
        <v>5158</v>
      </c>
      <c r="C311" s="50" t="s">
        <v>654</v>
      </c>
      <c r="D311" s="51">
        <v>0</v>
      </c>
      <c r="E311" s="50">
        <v>0</v>
      </c>
    </row>
    <row r="312" spans="1:5" hidden="1" x14ac:dyDescent="0.3">
      <c r="A312" s="50">
        <v>11221</v>
      </c>
      <c r="B312" s="50" t="s">
        <v>5157</v>
      </c>
      <c r="C312" s="50" t="s">
        <v>654</v>
      </c>
      <c r="D312" s="51">
        <v>0</v>
      </c>
      <c r="E312" s="50">
        <v>0</v>
      </c>
    </row>
    <row r="313" spans="1:5" hidden="1" x14ac:dyDescent="0.3">
      <c r="A313" s="50">
        <v>11222</v>
      </c>
      <c r="B313" s="50" t="s">
        <v>5156</v>
      </c>
      <c r="C313" s="50" t="s">
        <v>654</v>
      </c>
      <c r="D313" s="51">
        <v>0</v>
      </c>
      <c r="E313" s="50">
        <v>0</v>
      </c>
    </row>
    <row r="314" spans="1:5" hidden="1" x14ac:dyDescent="0.3">
      <c r="A314" s="50">
        <v>112525</v>
      </c>
      <c r="B314" s="50" t="s">
        <v>5155</v>
      </c>
      <c r="D314" s="50" t="s">
        <v>4131</v>
      </c>
      <c r="E314" s="50">
        <v>11439</v>
      </c>
    </row>
    <row r="315" spans="1:5" hidden="1" x14ac:dyDescent="0.3">
      <c r="A315" s="50">
        <v>11260</v>
      </c>
      <c r="B315" s="50" t="s">
        <v>5154</v>
      </c>
      <c r="C315" s="50" t="s">
        <v>654</v>
      </c>
      <c r="D315" s="51">
        <v>0</v>
      </c>
      <c r="E315" s="50">
        <v>0</v>
      </c>
    </row>
    <row r="316" spans="1:5" hidden="1" x14ac:dyDescent="0.3">
      <c r="A316" s="50">
        <v>1126467</v>
      </c>
      <c r="B316" s="50" t="s">
        <v>5153</v>
      </c>
      <c r="D316" s="51">
        <v>0</v>
      </c>
      <c r="E316" s="50">
        <v>0</v>
      </c>
    </row>
    <row r="317" spans="1:5" ht="28.8" hidden="1" x14ac:dyDescent="0.3">
      <c r="A317" s="50">
        <v>1126491</v>
      </c>
      <c r="B317" s="50" t="s">
        <v>5152</v>
      </c>
      <c r="D317" s="51">
        <v>0</v>
      </c>
      <c r="E317" s="50">
        <v>0</v>
      </c>
    </row>
    <row r="318" spans="1:5" hidden="1" x14ac:dyDescent="0.3">
      <c r="A318" s="50">
        <v>1126734</v>
      </c>
      <c r="B318" s="50" t="s">
        <v>5151</v>
      </c>
      <c r="D318" s="51">
        <v>0</v>
      </c>
      <c r="E318" s="50">
        <v>0</v>
      </c>
    </row>
    <row r="319" spans="1:5" hidden="1" x14ac:dyDescent="0.3">
      <c r="A319" s="50">
        <v>11270</v>
      </c>
      <c r="B319" s="50" t="s">
        <v>5150</v>
      </c>
      <c r="C319" s="50" t="s">
        <v>654</v>
      </c>
      <c r="D319" s="51">
        <v>0</v>
      </c>
      <c r="E319" s="50">
        <v>0</v>
      </c>
    </row>
    <row r="320" spans="1:5" hidden="1" x14ac:dyDescent="0.3">
      <c r="A320" s="50">
        <v>11274</v>
      </c>
      <c r="B320" s="50" t="s">
        <v>5149</v>
      </c>
      <c r="C320" s="50" t="s">
        <v>654</v>
      </c>
      <c r="D320" s="51">
        <v>0</v>
      </c>
      <c r="E320" s="50">
        <v>0</v>
      </c>
    </row>
    <row r="321" spans="1:5" ht="43.2" hidden="1" x14ac:dyDescent="0.3">
      <c r="A321" s="50" t="s">
        <v>5148</v>
      </c>
      <c r="B321" s="50" t="s">
        <v>5147</v>
      </c>
      <c r="D321" s="51">
        <v>250.31</v>
      </c>
      <c r="E321" s="50">
        <v>243.11</v>
      </c>
    </row>
    <row r="322" spans="1:5" hidden="1" x14ac:dyDescent="0.3">
      <c r="A322" s="50">
        <v>11301</v>
      </c>
      <c r="B322" s="50" t="s">
        <v>5146</v>
      </c>
      <c r="C322" s="50" t="s">
        <v>654</v>
      </c>
      <c r="D322" s="51">
        <v>0</v>
      </c>
      <c r="E322" s="50">
        <v>0</v>
      </c>
    </row>
    <row r="323" spans="1:5" hidden="1" x14ac:dyDescent="0.3">
      <c r="A323" s="50">
        <v>11302</v>
      </c>
      <c r="B323" s="50" t="s">
        <v>5145</v>
      </c>
      <c r="C323" s="50" t="s">
        <v>654</v>
      </c>
      <c r="D323" s="51">
        <v>0</v>
      </c>
      <c r="E323" s="50">
        <v>0</v>
      </c>
    </row>
    <row r="324" spans="1:5" hidden="1" x14ac:dyDescent="0.3">
      <c r="A324" s="50">
        <v>11311</v>
      </c>
      <c r="B324" s="50" t="s">
        <v>5144</v>
      </c>
      <c r="C324" s="50" t="s">
        <v>654</v>
      </c>
      <c r="D324" s="51">
        <v>0</v>
      </c>
      <c r="E324" s="50">
        <v>0</v>
      </c>
    </row>
    <row r="325" spans="1:5" hidden="1" x14ac:dyDescent="0.3">
      <c r="A325" s="50">
        <v>11313</v>
      </c>
      <c r="B325" s="50" t="s">
        <v>5143</v>
      </c>
      <c r="C325" s="50" t="s">
        <v>654</v>
      </c>
      <c r="D325" s="51">
        <v>0</v>
      </c>
      <c r="E325" s="50">
        <v>0</v>
      </c>
    </row>
    <row r="326" spans="1:5" hidden="1" x14ac:dyDescent="0.3">
      <c r="A326" s="50">
        <v>11314</v>
      </c>
      <c r="B326" s="50" t="s">
        <v>5142</v>
      </c>
      <c r="C326" s="50" t="s">
        <v>654</v>
      </c>
      <c r="D326" s="51">
        <v>0</v>
      </c>
      <c r="E326" s="50">
        <v>0</v>
      </c>
    </row>
    <row r="327" spans="1:5" hidden="1" x14ac:dyDescent="0.3">
      <c r="A327" s="50">
        <v>11321</v>
      </c>
      <c r="B327" s="50" t="s">
        <v>5141</v>
      </c>
      <c r="C327" s="50" t="s">
        <v>654</v>
      </c>
      <c r="D327" s="51">
        <v>0</v>
      </c>
      <c r="E327" s="50">
        <v>0</v>
      </c>
    </row>
    <row r="328" spans="1:5" hidden="1" x14ac:dyDescent="0.3">
      <c r="A328" s="50">
        <v>11322</v>
      </c>
      <c r="B328" s="50" t="s">
        <v>5140</v>
      </c>
      <c r="C328" s="50" t="s">
        <v>654</v>
      </c>
      <c r="D328" s="51">
        <v>0</v>
      </c>
      <c r="E328" s="50">
        <v>0</v>
      </c>
    </row>
    <row r="329" spans="1:5" hidden="1" x14ac:dyDescent="0.3">
      <c r="A329" s="50">
        <v>11333</v>
      </c>
      <c r="B329" s="50" t="s">
        <v>5139</v>
      </c>
      <c r="C329" s="50" t="s">
        <v>654</v>
      </c>
      <c r="D329" s="51">
        <v>0</v>
      </c>
      <c r="E329" s="50">
        <v>0</v>
      </c>
    </row>
    <row r="330" spans="1:5" hidden="1" x14ac:dyDescent="0.3">
      <c r="A330" s="50">
        <v>11334</v>
      </c>
      <c r="B330" s="50" t="s">
        <v>5138</v>
      </c>
      <c r="C330" s="50" t="s">
        <v>654</v>
      </c>
      <c r="D330" s="51">
        <v>0</v>
      </c>
      <c r="E330" s="50">
        <v>0</v>
      </c>
    </row>
    <row r="331" spans="1:5" hidden="1" x14ac:dyDescent="0.3">
      <c r="A331" s="50">
        <v>1139111</v>
      </c>
      <c r="B331" s="50" t="s">
        <v>5137</v>
      </c>
      <c r="D331" s="51">
        <v>0</v>
      </c>
      <c r="E331" s="50">
        <v>0</v>
      </c>
    </row>
    <row r="332" spans="1:5" hidden="1" x14ac:dyDescent="0.3">
      <c r="A332" s="50">
        <v>1139474</v>
      </c>
      <c r="B332" s="50" t="s">
        <v>5136</v>
      </c>
      <c r="D332" s="51">
        <v>0</v>
      </c>
      <c r="E332" s="50">
        <v>0</v>
      </c>
    </row>
    <row r="333" spans="1:5" hidden="1" x14ac:dyDescent="0.3">
      <c r="A333" s="50">
        <v>1139862</v>
      </c>
      <c r="B333" s="50" t="s">
        <v>5135</v>
      </c>
      <c r="D333" s="51">
        <v>0</v>
      </c>
      <c r="E333" s="50">
        <v>0</v>
      </c>
    </row>
    <row r="334" spans="1:5" hidden="1" x14ac:dyDescent="0.3">
      <c r="A334" s="50">
        <v>11401</v>
      </c>
      <c r="B334" s="50" t="s">
        <v>5134</v>
      </c>
      <c r="C334" s="50" t="s">
        <v>654</v>
      </c>
      <c r="D334" s="51">
        <v>634.36</v>
      </c>
      <c r="E334" s="50">
        <v>623.03</v>
      </c>
    </row>
    <row r="335" spans="1:5" ht="28.8" hidden="1" x14ac:dyDescent="0.3">
      <c r="A335" s="50">
        <v>1140155</v>
      </c>
      <c r="B335" s="50" t="s">
        <v>5133</v>
      </c>
      <c r="D335" s="51">
        <v>0</v>
      </c>
      <c r="E335" s="50">
        <v>0</v>
      </c>
    </row>
    <row r="336" spans="1:5" hidden="1" x14ac:dyDescent="0.3">
      <c r="A336" s="50">
        <v>11402</v>
      </c>
      <c r="B336" s="50" t="s">
        <v>5132</v>
      </c>
      <c r="C336" s="50" t="s">
        <v>654</v>
      </c>
      <c r="D336" s="51">
        <v>832.35</v>
      </c>
      <c r="E336" s="50">
        <v>788.55</v>
      </c>
    </row>
    <row r="337" spans="1:5" hidden="1" x14ac:dyDescent="0.3">
      <c r="A337" s="50">
        <v>11411</v>
      </c>
      <c r="B337" s="50" t="s">
        <v>5131</v>
      </c>
      <c r="C337" s="50" t="s">
        <v>654</v>
      </c>
      <c r="D337" s="51">
        <v>0</v>
      </c>
      <c r="E337" s="50">
        <v>0</v>
      </c>
    </row>
    <row r="338" spans="1:5" hidden="1" x14ac:dyDescent="0.3">
      <c r="A338" s="50">
        <v>11412</v>
      </c>
      <c r="B338" s="50" t="s">
        <v>5130</v>
      </c>
      <c r="C338" s="50" t="s">
        <v>654</v>
      </c>
      <c r="D338" s="51">
        <v>0</v>
      </c>
      <c r="E338" s="50">
        <v>0</v>
      </c>
    </row>
    <row r="339" spans="1:5" hidden="1" x14ac:dyDescent="0.3">
      <c r="A339" s="50">
        <v>11421</v>
      </c>
      <c r="B339" s="50" t="s">
        <v>5129</v>
      </c>
      <c r="C339" s="50" t="s">
        <v>654</v>
      </c>
      <c r="D339" s="51">
        <v>0</v>
      </c>
      <c r="E339" s="50">
        <v>0</v>
      </c>
    </row>
    <row r="340" spans="1:5" hidden="1" x14ac:dyDescent="0.3">
      <c r="A340" s="50">
        <v>11422</v>
      </c>
      <c r="B340" s="50" t="s">
        <v>5128</v>
      </c>
      <c r="C340" s="50" t="s">
        <v>654</v>
      </c>
      <c r="D340" s="51">
        <v>0</v>
      </c>
      <c r="E340" s="50">
        <v>0</v>
      </c>
    </row>
    <row r="341" spans="1:5" hidden="1" x14ac:dyDescent="0.3">
      <c r="A341" s="50" t="s">
        <v>329</v>
      </c>
      <c r="B341" s="50" t="s">
        <v>5127</v>
      </c>
      <c r="D341" s="50" t="s">
        <v>5126</v>
      </c>
      <c r="E341" s="50">
        <v>7897.17</v>
      </c>
    </row>
    <row r="342" spans="1:5" hidden="1" x14ac:dyDescent="0.3">
      <c r="A342" s="50">
        <v>11741</v>
      </c>
      <c r="B342" s="50" t="s">
        <v>5125</v>
      </c>
      <c r="C342" s="50" t="s">
        <v>654</v>
      </c>
      <c r="D342" s="51">
        <v>0</v>
      </c>
      <c r="E342" s="50">
        <v>0</v>
      </c>
    </row>
    <row r="343" spans="1:5" ht="43.2" hidden="1" x14ac:dyDescent="0.3">
      <c r="A343" s="50" t="s">
        <v>5124</v>
      </c>
      <c r="B343" s="50" t="s">
        <v>5123</v>
      </c>
      <c r="D343" s="51">
        <v>220.95</v>
      </c>
      <c r="E343" s="50">
        <v>220.95</v>
      </c>
    </row>
    <row r="344" spans="1:5" ht="43.2" hidden="1" x14ac:dyDescent="0.3">
      <c r="A344" s="50" t="s">
        <v>5122</v>
      </c>
      <c r="B344" s="50" t="s">
        <v>5121</v>
      </c>
      <c r="D344" s="51">
        <v>309.08999999999997</v>
      </c>
      <c r="E344" s="50">
        <v>309.08999999999997</v>
      </c>
    </row>
    <row r="345" spans="1:5" hidden="1" x14ac:dyDescent="0.3">
      <c r="A345" s="50">
        <v>11944</v>
      </c>
      <c r="B345" s="50" t="s">
        <v>5120</v>
      </c>
      <c r="C345" s="50" t="s">
        <v>654</v>
      </c>
      <c r="D345" s="51">
        <v>0</v>
      </c>
      <c r="E345" s="50">
        <v>0</v>
      </c>
    </row>
    <row r="346" spans="1:5" hidden="1" x14ac:dyDescent="0.3">
      <c r="A346" s="50">
        <v>11952</v>
      </c>
      <c r="B346" s="50" t="s">
        <v>5119</v>
      </c>
      <c r="C346" s="50" t="s">
        <v>654</v>
      </c>
      <c r="D346" s="51">
        <v>0</v>
      </c>
      <c r="E346" s="50">
        <v>0</v>
      </c>
    </row>
    <row r="347" spans="1:5" hidden="1" x14ac:dyDescent="0.3">
      <c r="A347" s="50">
        <v>11967</v>
      </c>
      <c r="B347" s="50" t="s">
        <v>5118</v>
      </c>
      <c r="C347" s="50" t="s">
        <v>654</v>
      </c>
      <c r="D347" s="51">
        <v>0</v>
      </c>
      <c r="E347" s="50">
        <v>0</v>
      </c>
    </row>
    <row r="348" spans="1:5" hidden="1" x14ac:dyDescent="0.3">
      <c r="A348" s="50">
        <v>11968</v>
      </c>
      <c r="B348" s="50" t="s">
        <v>5117</v>
      </c>
      <c r="C348" s="50" t="s">
        <v>654</v>
      </c>
      <c r="D348" s="51">
        <v>0</v>
      </c>
      <c r="E348" s="50">
        <v>0</v>
      </c>
    </row>
    <row r="349" spans="1:5" hidden="1" x14ac:dyDescent="0.3">
      <c r="A349" s="50">
        <v>11971</v>
      </c>
      <c r="B349" s="50" t="s">
        <v>5116</v>
      </c>
      <c r="C349" s="50" t="s">
        <v>654</v>
      </c>
      <c r="D349" s="51">
        <v>0</v>
      </c>
      <c r="E349" s="50">
        <v>0</v>
      </c>
    </row>
    <row r="350" spans="1:5" hidden="1" x14ac:dyDescent="0.3">
      <c r="A350" s="50">
        <v>1200000</v>
      </c>
      <c r="B350" s="50" t="s">
        <v>5115</v>
      </c>
      <c r="D350" s="51">
        <v>252.53</v>
      </c>
      <c r="E350" s="50">
        <v>252.53</v>
      </c>
    </row>
    <row r="351" spans="1:5" ht="28.8" hidden="1" x14ac:dyDescent="0.3">
      <c r="A351" s="50" t="s">
        <v>5114</v>
      </c>
      <c r="B351" s="50" t="s">
        <v>5113</v>
      </c>
      <c r="D351" s="51">
        <v>0</v>
      </c>
      <c r="E351" s="50">
        <v>0</v>
      </c>
    </row>
    <row r="352" spans="1:5" hidden="1" x14ac:dyDescent="0.3">
      <c r="A352" s="50">
        <v>12017</v>
      </c>
      <c r="B352" s="50" t="s">
        <v>5112</v>
      </c>
      <c r="C352" s="50" t="s">
        <v>654</v>
      </c>
      <c r="D352" s="51">
        <v>0</v>
      </c>
      <c r="E352" s="50">
        <v>0</v>
      </c>
    </row>
    <row r="353" spans="1:5" hidden="1" x14ac:dyDescent="0.3">
      <c r="A353" s="50">
        <v>12018</v>
      </c>
      <c r="B353" s="50" t="s">
        <v>5111</v>
      </c>
      <c r="C353" s="50" t="s">
        <v>654</v>
      </c>
      <c r="D353" s="51">
        <v>0</v>
      </c>
      <c r="E353" s="50">
        <v>0</v>
      </c>
    </row>
    <row r="354" spans="1:5" hidden="1" x14ac:dyDescent="0.3">
      <c r="A354" s="50">
        <v>12020</v>
      </c>
      <c r="B354" s="50" t="s">
        <v>5110</v>
      </c>
      <c r="C354" s="50" t="s">
        <v>654</v>
      </c>
      <c r="D354" s="50" t="s">
        <v>5109</v>
      </c>
      <c r="E354" s="50">
        <v>1500.14</v>
      </c>
    </row>
    <row r="355" spans="1:5" hidden="1" x14ac:dyDescent="0.3">
      <c r="A355" s="50">
        <v>12021</v>
      </c>
      <c r="B355" s="50" t="s">
        <v>5108</v>
      </c>
      <c r="C355" s="50" t="s">
        <v>654</v>
      </c>
      <c r="D355" s="51">
        <v>0</v>
      </c>
      <c r="E355" s="50">
        <v>0</v>
      </c>
    </row>
    <row r="356" spans="1:5" hidden="1" x14ac:dyDescent="0.3">
      <c r="A356" s="50">
        <v>12023</v>
      </c>
      <c r="B356" s="50" t="s">
        <v>5107</v>
      </c>
      <c r="C356" s="50" t="s">
        <v>654</v>
      </c>
      <c r="D356" s="50" t="s">
        <v>5106</v>
      </c>
      <c r="E356" s="50">
        <v>1932.21</v>
      </c>
    </row>
    <row r="357" spans="1:5" hidden="1" x14ac:dyDescent="0.3">
      <c r="A357" s="50">
        <v>12024</v>
      </c>
      <c r="B357" s="50" t="s">
        <v>5105</v>
      </c>
      <c r="C357" s="50" t="s">
        <v>654</v>
      </c>
      <c r="D357" s="51">
        <v>0</v>
      </c>
      <c r="E357" s="50">
        <v>0</v>
      </c>
    </row>
    <row r="358" spans="1:5" hidden="1" x14ac:dyDescent="0.3">
      <c r="A358" s="50">
        <v>12045</v>
      </c>
      <c r="B358" s="50" t="s">
        <v>5104</v>
      </c>
      <c r="C358" s="50" t="s">
        <v>654</v>
      </c>
      <c r="D358" s="51">
        <v>0</v>
      </c>
      <c r="E358" s="50">
        <v>0</v>
      </c>
    </row>
    <row r="359" spans="1:5" hidden="1" x14ac:dyDescent="0.3">
      <c r="A359" s="50">
        <v>12046</v>
      </c>
      <c r="B359" s="50" t="s">
        <v>5103</v>
      </c>
      <c r="C359" s="50" t="s">
        <v>654</v>
      </c>
      <c r="D359" s="51">
        <v>0</v>
      </c>
      <c r="E359" s="50">
        <v>0</v>
      </c>
    </row>
    <row r="360" spans="1:5" ht="28.8" hidden="1" x14ac:dyDescent="0.3">
      <c r="A360" s="50">
        <v>12065</v>
      </c>
      <c r="B360" s="50" t="s">
        <v>5102</v>
      </c>
      <c r="C360" s="50" t="s">
        <v>654</v>
      </c>
      <c r="D360" s="51">
        <v>0</v>
      </c>
      <c r="E360" s="50">
        <v>0</v>
      </c>
    </row>
    <row r="361" spans="1:5" hidden="1" x14ac:dyDescent="0.3">
      <c r="A361" s="50">
        <v>12066</v>
      </c>
      <c r="B361" s="50" t="s">
        <v>5101</v>
      </c>
      <c r="C361" s="50" t="s">
        <v>654</v>
      </c>
      <c r="D361" s="51">
        <v>0</v>
      </c>
      <c r="E361" s="50">
        <v>0</v>
      </c>
    </row>
    <row r="362" spans="1:5" hidden="1" x14ac:dyDescent="0.3">
      <c r="A362" s="50">
        <v>12067</v>
      </c>
      <c r="B362" s="50" t="s">
        <v>5100</v>
      </c>
      <c r="C362" s="50" t="s">
        <v>654</v>
      </c>
      <c r="D362" s="51">
        <v>0</v>
      </c>
      <c r="E362" s="50">
        <v>0</v>
      </c>
    </row>
    <row r="363" spans="1:5" ht="28.8" hidden="1" x14ac:dyDescent="0.3">
      <c r="A363" s="50" t="s">
        <v>5099</v>
      </c>
      <c r="B363" s="50" t="s">
        <v>5098</v>
      </c>
      <c r="D363" s="51">
        <v>62.04</v>
      </c>
      <c r="E363" s="50">
        <v>62.04</v>
      </c>
    </row>
    <row r="364" spans="1:5" hidden="1" x14ac:dyDescent="0.3">
      <c r="A364" s="50">
        <v>1212521</v>
      </c>
      <c r="B364" s="50" t="s">
        <v>5097</v>
      </c>
      <c r="C364" s="50" t="s">
        <v>3375</v>
      </c>
      <c r="D364" s="51">
        <v>0</v>
      </c>
      <c r="E364" s="50">
        <v>0</v>
      </c>
    </row>
    <row r="365" spans="1:5" hidden="1" x14ac:dyDescent="0.3">
      <c r="A365" s="50">
        <v>1212522</v>
      </c>
      <c r="B365" s="50" t="s">
        <v>5096</v>
      </c>
      <c r="C365" s="50" t="s">
        <v>3375</v>
      </c>
      <c r="D365" s="51">
        <v>0</v>
      </c>
      <c r="E365" s="50">
        <v>0</v>
      </c>
    </row>
    <row r="366" spans="1:5" hidden="1" x14ac:dyDescent="0.3">
      <c r="A366" s="50" t="s">
        <v>5095</v>
      </c>
      <c r="B366" s="50" t="s">
        <v>5094</v>
      </c>
      <c r="D366" s="51">
        <v>0</v>
      </c>
      <c r="E366" s="50">
        <v>0</v>
      </c>
    </row>
    <row r="367" spans="1:5" hidden="1" x14ac:dyDescent="0.3">
      <c r="A367" s="50" t="s">
        <v>5093</v>
      </c>
      <c r="B367" s="50" t="s">
        <v>3929</v>
      </c>
      <c r="D367" s="51">
        <v>0</v>
      </c>
      <c r="E367" s="50">
        <v>0</v>
      </c>
    </row>
    <row r="368" spans="1:5" hidden="1" x14ac:dyDescent="0.3">
      <c r="A368" s="50" t="s">
        <v>5092</v>
      </c>
      <c r="B368" s="50" t="s">
        <v>5091</v>
      </c>
      <c r="D368" s="51">
        <v>0</v>
      </c>
      <c r="E368" s="50">
        <v>0</v>
      </c>
    </row>
    <row r="369" spans="1:5" hidden="1" x14ac:dyDescent="0.3">
      <c r="A369" s="50">
        <v>12412</v>
      </c>
      <c r="B369" s="50" t="s">
        <v>5090</v>
      </c>
      <c r="C369" s="50" t="s">
        <v>654</v>
      </c>
      <c r="D369" s="50" t="s">
        <v>5089</v>
      </c>
      <c r="E369" s="50">
        <v>2151.5100000000002</v>
      </c>
    </row>
    <row r="370" spans="1:5" hidden="1" x14ac:dyDescent="0.3">
      <c r="A370" s="50">
        <v>12413</v>
      </c>
      <c r="B370" s="50" t="s">
        <v>5088</v>
      </c>
      <c r="C370" s="50" t="s">
        <v>654</v>
      </c>
      <c r="D370" s="51">
        <v>0</v>
      </c>
      <c r="E370" s="50">
        <v>0</v>
      </c>
    </row>
    <row r="371" spans="1:5" hidden="1" x14ac:dyDescent="0.3">
      <c r="A371" s="50">
        <v>12415</v>
      </c>
      <c r="B371" s="50" t="s">
        <v>5087</v>
      </c>
      <c r="C371" s="50" t="s">
        <v>654</v>
      </c>
      <c r="D371" s="51">
        <v>0</v>
      </c>
      <c r="E371" s="50">
        <v>0</v>
      </c>
    </row>
    <row r="372" spans="1:5" hidden="1" x14ac:dyDescent="0.3">
      <c r="A372" s="50">
        <v>12416</v>
      </c>
      <c r="B372" s="50" t="s">
        <v>5086</v>
      </c>
      <c r="C372" s="50" t="s">
        <v>654</v>
      </c>
      <c r="D372" s="51">
        <v>0</v>
      </c>
      <c r="E372" s="50">
        <v>0</v>
      </c>
    </row>
    <row r="373" spans="1:5" hidden="1" x14ac:dyDescent="0.3">
      <c r="A373" s="50">
        <v>12451</v>
      </c>
      <c r="B373" s="50" t="s">
        <v>5085</v>
      </c>
      <c r="C373" s="50" t="s">
        <v>654</v>
      </c>
      <c r="D373" s="51">
        <v>0</v>
      </c>
      <c r="E373" s="50">
        <v>0</v>
      </c>
    </row>
    <row r="374" spans="1:5" hidden="1" x14ac:dyDescent="0.3">
      <c r="A374" s="50">
        <v>12452</v>
      </c>
      <c r="B374" s="50" t="s">
        <v>5084</v>
      </c>
      <c r="C374" s="50" t="s">
        <v>654</v>
      </c>
      <c r="D374" s="50" t="s">
        <v>5083</v>
      </c>
      <c r="E374" s="50">
        <v>1730.79</v>
      </c>
    </row>
    <row r="375" spans="1:5" hidden="1" x14ac:dyDescent="0.3">
      <c r="A375" s="50">
        <v>12453</v>
      </c>
      <c r="B375" s="50" t="s">
        <v>5082</v>
      </c>
      <c r="C375" s="50" t="s">
        <v>654</v>
      </c>
      <c r="D375" s="51">
        <v>0</v>
      </c>
      <c r="E375" s="50">
        <v>0</v>
      </c>
    </row>
    <row r="376" spans="1:5" hidden="1" x14ac:dyDescent="0.3">
      <c r="A376" s="50">
        <v>12454</v>
      </c>
      <c r="B376" s="50" t="s">
        <v>5081</v>
      </c>
      <c r="C376" s="50" t="s">
        <v>654</v>
      </c>
      <c r="D376" s="51">
        <v>0</v>
      </c>
      <c r="E376" s="50">
        <v>0</v>
      </c>
    </row>
    <row r="377" spans="1:5" hidden="1" x14ac:dyDescent="0.3">
      <c r="A377" s="50">
        <v>12455</v>
      </c>
      <c r="B377" s="50" t="s">
        <v>5080</v>
      </c>
      <c r="C377" s="50" t="s">
        <v>654</v>
      </c>
      <c r="D377" s="50" t="s">
        <v>5079</v>
      </c>
      <c r="E377" s="50">
        <v>1804.1</v>
      </c>
    </row>
    <row r="378" spans="1:5" hidden="1" x14ac:dyDescent="0.3">
      <c r="A378" s="50">
        <v>12456</v>
      </c>
      <c r="B378" s="50" t="s">
        <v>5078</v>
      </c>
      <c r="C378" s="50" t="s">
        <v>654</v>
      </c>
      <c r="D378" s="51">
        <v>0</v>
      </c>
      <c r="E378" s="50">
        <v>0</v>
      </c>
    </row>
    <row r="379" spans="1:5" hidden="1" x14ac:dyDescent="0.3">
      <c r="A379" s="50" t="s">
        <v>5077</v>
      </c>
      <c r="B379" s="50" t="s">
        <v>5076</v>
      </c>
      <c r="C379" s="50" t="s">
        <v>196</v>
      </c>
      <c r="D379" s="51">
        <v>733</v>
      </c>
      <c r="E379" s="50">
        <v>534.83000000000004</v>
      </c>
    </row>
    <row r="380" spans="1:5" hidden="1" x14ac:dyDescent="0.3">
      <c r="A380" s="50" t="s">
        <v>5075</v>
      </c>
      <c r="B380" s="50" t="s">
        <v>5074</v>
      </c>
      <c r="C380" s="50" t="s">
        <v>196</v>
      </c>
      <c r="D380" s="50" t="s">
        <v>5073</v>
      </c>
      <c r="E380" s="50">
        <v>2147.54</v>
      </c>
    </row>
    <row r="381" spans="1:5" hidden="1" x14ac:dyDescent="0.3">
      <c r="A381" s="50" t="s">
        <v>5072</v>
      </c>
      <c r="B381" s="50" t="s">
        <v>5071</v>
      </c>
      <c r="C381" s="50" t="s">
        <v>196</v>
      </c>
      <c r="D381" s="51">
        <v>0</v>
      </c>
      <c r="E381" s="50">
        <v>0</v>
      </c>
    </row>
    <row r="382" spans="1:5" hidden="1" x14ac:dyDescent="0.3">
      <c r="A382" s="50" t="s">
        <v>5070</v>
      </c>
      <c r="B382" s="50" t="s">
        <v>5069</v>
      </c>
      <c r="C382" s="50" t="s">
        <v>196</v>
      </c>
      <c r="D382" s="51">
        <v>0</v>
      </c>
      <c r="E382" s="50">
        <v>0</v>
      </c>
    </row>
    <row r="383" spans="1:5" hidden="1" x14ac:dyDescent="0.3">
      <c r="A383" s="50" t="s">
        <v>5068</v>
      </c>
      <c r="B383" s="50" t="s">
        <v>631</v>
      </c>
      <c r="D383" s="51">
        <v>0</v>
      </c>
      <c r="E383" s="50">
        <v>0</v>
      </c>
    </row>
    <row r="384" spans="1:5" hidden="1" x14ac:dyDescent="0.3">
      <c r="A384" s="50" t="s">
        <v>5067</v>
      </c>
      <c r="B384" s="50" t="s">
        <v>5066</v>
      </c>
      <c r="C384" s="50" t="s">
        <v>196</v>
      </c>
      <c r="D384" s="50" t="s">
        <v>5065</v>
      </c>
      <c r="E384" s="50">
        <v>1135.05</v>
      </c>
    </row>
    <row r="385" spans="1:5" hidden="1" x14ac:dyDescent="0.3">
      <c r="A385" s="50" t="s">
        <v>5064</v>
      </c>
      <c r="B385" s="50" t="s">
        <v>5063</v>
      </c>
      <c r="C385" s="50" t="s">
        <v>196</v>
      </c>
      <c r="D385" s="51">
        <v>0</v>
      </c>
      <c r="E385" s="50">
        <v>0</v>
      </c>
    </row>
    <row r="386" spans="1:5" hidden="1" x14ac:dyDescent="0.3">
      <c r="A386" s="50" t="s">
        <v>5062</v>
      </c>
      <c r="B386" s="50" t="s">
        <v>5061</v>
      </c>
      <c r="C386" s="50" t="s">
        <v>196</v>
      </c>
      <c r="D386" s="51">
        <v>0</v>
      </c>
      <c r="E386" s="50">
        <v>0</v>
      </c>
    </row>
    <row r="387" spans="1:5" hidden="1" x14ac:dyDescent="0.3">
      <c r="A387" s="50" t="s">
        <v>5060</v>
      </c>
      <c r="B387" s="50" t="s">
        <v>5059</v>
      </c>
      <c r="C387" s="50" t="s">
        <v>196</v>
      </c>
      <c r="D387" s="51">
        <v>0</v>
      </c>
      <c r="E387" s="50">
        <v>0</v>
      </c>
    </row>
    <row r="388" spans="1:5" hidden="1" x14ac:dyDescent="0.3">
      <c r="A388" s="50" t="s">
        <v>5058</v>
      </c>
      <c r="B388" s="50" t="s">
        <v>5057</v>
      </c>
      <c r="C388" s="50" t="s">
        <v>196</v>
      </c>
      <c r="D388" s="51">
        <v>0</v>
      </c>
      <c r="E388" s="50">
        <v>0</v>
      </c>
    </row>
    <row r="389" spans="1:5" hidden="1" x14ac:dyDescent="0.3">
      <c r="A389" s="50" t="s">
        <v>5056</v>
      </c>
      <c r="B389" s="50" t="s">
        <v>5055</v>
      </c>
      <c r="C389" s="50" t="s">
        <v>196</v>
      </c>
      <c r="D389" s="51">
        <v>0</v>
      </c>
      <c r="E389" s="50">
        <v>0</v>
      </c>
    </row>
    <row r="390" spans="1:5" hidden="1" x14ac:dyDescent="0.3">
      <c r="A390" s="50" t="s">
        <v>5054</v>
      </c>
      <c r="B390" s="50" t="s">
        <v>5053</v>
      </c>
      <c r="C390" s="50" t="s">
        <v>196</v>
      </c>
      <c r="D390" s="51">
        <v>0</v>
      </c>
      <c r="E390" s="50">
        <v>0</v>
      </c>
    </row>
    <row r="391" spans="1:5" hidden="1" x14ac:dyDescent="0.3">
      <c r="A391" s="50" t="s">
        <v>5052</v>
      </c>
      <c r="B391" s="50" t="s">
        <v>5051</v>
      </c>
      <c r="C391" s="50" t="s">
        <v>196</v>
      </c>
      <c r="D391" s="51">
        <v>0</v>
      </c>
      <c r="E391" s="50">
        <v>0</v>
      </c>
    </row>
    <row r="392" spans="1:5" ht="28.8" hidden="1" x14ac:dyDescent="0.3">
      <c r="A392" s="50" t="s">
        <v>5050</v>
      </c>
      <c r="B392" s="50" t="s">
        <v>5049</v>
      </c>
      <c r="C392" s="50" t="s">
        <v>196</v>
      </c>
      <c r="D392" s="51">
        <v>0</v>
      </c>
      <c r="E392" s="50">
        <v>0</v>
      </c>
    </row>
    <row r="393" spans="1:5" hidden="1" x14ac:dyDescent="0.3">
      <c r="A393" s="50" t="s">
        <v>5048</v>
      </c>
      <c r="B393" s="50" t="s">
        <v>5047</v>
      </c>
      <c r="C393" s="50" t="s">
        <v>196</v>
      </c>
      <c r="D393" s="51">
        <v>0</v>
      </c>
      <c r="E393" s="50">
        <v>0</v>
      </c>
    </row>
    <row r="394" spans="1:5" ht="28.8" hidden="1" x14ac:dyDescent="0.3">
      <c r="A394" s="50" t="s">
        <v>5046</v>
      </c>
      <c r="B394" s="50" t="s">
        <v>5045</v>
      </c>
      <c r="C394" s="50" t="s">
        <v>196</v>
      </c>
      <c r="D394" s="51">
        <v>0</v>
      </c>
      <c r="E394" s="50">
        <v>0</v>
      </c>
    </row>
    <row r="395" spans="1:5" hidden="1" x14ac:dyDescent="0.3">
      <c r="A395" s="50" t="s">
        <v>5044</v>
      </c>
      <c r="B395" s="50" t="s">
        <v>5043</v>
      </c>
      <c r="C395" s="50" t="s">
        <v>196</v>
      </c>
      <c r="D395" s="51">
        <v>0</v>
      </c>
      <c r="E395" s="50">
        <v>0</v>
      </c>
    </row>
    <row r="396" spans="1:5" ht="28.8" hidden="1" x14ac:dyDescent="0.3">
      <c r="A396" s="50" t="s">
        <v>5042</v>
      </c>
      <c r="B396" s="50" t="s">
        <v>5041</v>
      </c>
      <c r="C396" s="50" t="s">
        <v>196</v>
      </c>
      <c r="D396" s="51">
        <v>0</v>
      </c>
      <c r="E396" s="50">
        <v>0</v>
      </c>
    </row>
    <row r="397" spans="1:5" hidden="1" x14ac:dyDescent="0.3">
      <c r="A397" s="50" t="s">
        <v>5040</v>
      </c>
      <c r="B397" s="50" t="s">
        <v>5039</v>
      </c>
      <c r="C397" s="50" t="s">
        <v>196</v>
      </c>
      <c r="D397" s="51">
        <v>0</v>
      </c>
      <c r="E397" s="50">
        <v>0</v>
      </c>
    </row>
    <row r="398" spans="1:5" hidden="1" x14ac:dyDescent="0.3">
      <c r="A398" s="50" t="s">
        <v>383</v>
      </c>
      <c r="B398" s="50" t="s">
        <v>384</v>
      </c>
      <c r="C398" s="50" t="s">
        <v>196</v>
      </c>
      <c r="D398" s="51">
        <v>448</v>
      </c>
      <c r="E398" s="50">
        <v>436.5</v>
      </c>
    </row>
    <row r="399" spans="1:5" hidden="1" x14ac:dyDescent="0.3">
      <c r="A399" s="50" t="s">
        <v>5038</v>
      </c>
      <c r="B399" s="50" t="s">
        <v>5037</v>
      </c>
      <c r="C399" s="50" t="s">
        <v>196</v>
      </c>
      <c r="D399" s="51">
        <v>0</v>
      </c>
      <c r="E399" s="50">
        <v>0</v>
      </c>
    </row>
    <row r="400" spans="1:5" hidden="1" x14ac:dyDescent="0.3">
      <c r="A400" s="50">
        <v>12611</v>
      </c>
      <c r="B400" s="50" t="s">
        <v>5036</v>
      </c>
      <c r="C400" s="50" t="s">
        <v>654</v>
      </c>
      <c r="D400" s="51">
        <v>0</v>
      </c>
      <c r="E400" s="50">
        <v>0</v>
      </c>
    </row>
    <row r="401" spans="1:5" hidden="1" x14ac:dyDescent="0.3">
      <c r="A401" s="50">
        <v>12612</v>
      </c>
      <c r="B401" s="50" t="s">
        <v>5035</v>
      </c>
      <c r="C401" s="50" t="s">
        <v>654</v>
      </c>
      <c r="D401" s="51">
        <v>890.82</v>
      </c>
      <c r="E401" s="50">
        <v>887.29</v>
      </c>
    </row>
    <row r="402" spans="1:5" hidden="1" x14ac:dyDescent="0.3">
      <c r="A402" s="50">
        <v>12613</v>
      </c>
      <c r="B402" s="50" t="s">
        <v>5034</v>
      </c>
      <c r="C402" s="50" t="s">
        <v>654</v>
      </c>
      <c r="D402" s="50" t="s">
        <v>5033</v>
      </c>
      <c r="E402" s="50">
        <v>667.21</v>
      </c>
    </row>
    <row r="403" spans="1:5" hidden="1" x14ac:dyDescent="0.3">
      <c r="A403" s="50">
        <v>12614</v>
      </c>
      <c r="B403" s="50" t="s">
        <v>5032</v>
      </c>
      <c r="C403" s="50" t="s">
        <v>654</v>
      </c>
      <c r="D403" s="51">
        <v>0</v>
      </c>
      <c r="E403" s="50">
        <v>0</v>
      </c>
    </row>
    <row r="404" spans="1:5" hidden="1" x14ac:dyDescent="0.3">
      <c r="A404" s="50">
        <v>12615</v>
      </c>
      <c r="B404" s="50" t="s">
        <v>5031</v>
      </c>
      <c r="C404" s="50" t="s">
        <v>654</v>
      </c>
      <c r="D404" s="50" t="s">
        <v>5030</v>
      </c>
      <c r="E404" s="50">
        <v>994.12</v>
      </c>
    </row>
    <row r="405" spans="1:5" hidden="1" x14ac:dyDescent="0.3">
      <c r="A405" s="50">
        <v>12616</v>
      </c>
      <c r="B405" s="50" t="s">
        <v>5029</v>
      </c>
      <c r="C405" s="50" t="s">
        <v>654</v>
      </c>
      <c r="D405" s="51">
        <v>0</v>
      </c>
      <c r="E405" s="50">
        <v>0</v>
      </c>
    </row>
    <row r="406" spans="1:5" hidden="1" x14ac:dyDescent="0.3">
      <c r="A406" s="50">
        <v>1270510</v>
      </c>
      <c r="B406" s="50" t="s">
        <v>5028</v>
      </c>
      <c r="D406" s="50" t="s">
        <v>5027</v>
      </c>
      <c r="E406" s="50">
        <v>8325</v>
      </c>
    </row>
    <row r="407" spans="1:5" hidden="1" x14ac:dyDescent="0.3">
      <c r="A407" s="50">
        <v>1272947</v>
      </c>
      <c r="B407" s="50" t="s">
        <v>5026</v>
      </c>
      <c r="D407" s="51">
        <v>0</v>
      </c>
      <c r="E407" s="50">
        <v>0</v>
      </c>
    </row>
    <row r="408" spans="1:5" hidden="1" x14ac:dyDescent="0.3">
      <c r="A408" s="50">
        <v>1273007</v>
      </c>
      <c r="B408" s="50" t="s">
        <v>5025</v>
      </c>
      <c r="D408" s="51">
        <v>0</v>
      </c>
      <c r="E408" s="50">
        <v>0</v>
      </c>
    </row>
    <row r="409" spans="1:5" hidden="1" x14ac:dyDescent="0.3">
      <c r="A409" s="50">
        <v>1273330</v>
      </c>
      <c r="B409" s="50" t="s">
        <v>5024</v>
      </c>
      <c r="D409" s="51">
        <v>0</v>
      </c>
      <c r="E409" s="50">
        <v>0</v>
      </c>
    </row>
    <row r="410" spans="1:5" hidden="1" x14ac:dyDescent="0.3">
      <c r="A410" s="50">
        <v>1273331</v>
      </c>
      <c r="B410" s="50" t="s">
        <v>5023</v>
      </c>
      <c r="D410" s="51">
        <v>0</v>
      </c>
      <c r="E410" s="50">
        <v>0</v>
      </c>
    </row>
    <row r="411" spans="1:5" hidden="1" x14ac:dyDescent="0.3">
      <c r="A411" s="50">
        <v>1273332</v>
      </c>
      <c r="B411" s="50" t="s">
        <v>5022</v>
      </c>
      <c r="D411" s="51">
        <v>0</v>
      </c>
      <c r="E411" s="50">
        <v>0</v>
      </c>
    </row>
    <row r="412" spans="1:5" hidden="1" x14ac:dyDescent="0.3">
      <c r="A412" s="50">
        <v>12740</v>
      </c>
      <c r="B412" s="50" t="s">
        <v>5021</v>
      </c>
      <c r="C412" s="50" t="s">
        <v>654</v>
      </c>
      <c r="D412" s="51">
        <v>0</v>
      </c>
      <c r="E412" s="50">
        <v>0</v>
      </c>
    </row>
    <row r="413" spans="1:5" hidden="1" x14ac:dyDescent="0.3">
      <c r="A413" s="50">
        <v>1275754</v>
      </c>
      <c r="B413" s="50" t="s">
        <v>5020</v>
      </c>
      <c r="D413" s="51">
        <v>0</v>
      </c>
      <c r="E413" s="50">
        <v>0</v>
      </c>
    </row>
    <row r="414" spans="1:5" hidden="1" x14ac:dyDescent="0.3">
      <c r="A414" s="50">
        <v>1280298</v>
      </c>
      <c r="B414" s="50" t="s">
        <v>5019</v>
      </c>
      <c r="D414" s="50" t="s">
        <v>5018</v>
      </c>
      <c r="E414" s="50">
        <v>46620</v>
      </c>
    </row>
    <row r="415" spans="1:5" hidden="1" x14ac:dyDescent="0.3">
      <c r="A415" s="50">
        <v>1282483</v>
      </c>
      <c r="B415" s="50" t="s">
        <v>5017</v>
      </c>
      <c r="D415" s="51">
        <v>0</v>
      </c>
      <c r="E415" s="50">
        <v>0</v>
      </c>
    </row>
    <row r="416" spans="1:5" hidden="1" x14ac:dyDescent="0.3">
      <c r="A416" s="50">
        <v>1286836</v>
      </c>
      <c r="B416" s="50" t="s">
        <v>5016</v>
      </c>
      <c r="D416" s="51">
        <v>0</v>
      </c>
      <c r="E416" s="50">
        <v>0</v>
      </c>
    </row>
    <row r="417" spans="1:5" hidden="1" x14ac:dyDescent="0.3">
      <c r="A417" s="50">
        <v>12877</v>
      </c>
      <c r="B417" s="50" t="s">
        <v>5015</v>
      </c>
      <c r="C417" s="50" t="s">
        <v>654</v>
      </c>
      <c r="D417" s="51">
        <v>0</v>
      </c>
      <c r="E417" s="50">
        <v>0</v>
      </c>
    </row>
    <row r="418" spans="1:5" hidden="1" x14ac:dyDescent="0.3">
      <c r="A418" s="50">
        <v>12878</v>
      </c>
      <c r="B418" s="50" t="s">
        <v>5014</v>
      </c>
      <c r="C418" s="50" t="s">
        <v>654</v>
      </c>
      <c r="D418" s="51">
        <v>0</v>
      </c>
      <c r="E418" s="50">
        <v>0</v>
      </c>
    </row>
    <row r="419" spans="1:5" hidden="1" x14ac:dyDescent="0.3">
      <c r="A419" s="50">
        <v>12879</v>
      </c>
      <c r="B419" s="50" t="s">
        <v>5013</v>
      </c>
      <c r="C419" s="50" t="s">
        <v>654</v>
      </c>
      <c r="D419" s="51">
        <v>0</v>
      </c>
      <c r="E419" s="50">
        <v>0</v>
      </c>
    </row>
    <row r="420" spans="1:5" hidden="1" x14ac:dyDescent="0.3">
      <c r="A420" s="50">
        <v>12880</v>
      </c>
      <c r="B420" s="50" t="s">
        <v>5012</v>
      </c>
      <c r="C420" s="50" t="s">
        <v>654</v>
      </c>
      <c r="D420" s="51">
        <v>0</v>
      </c>
      <c r="E420" s="50">
        <v>0</v>
      </c>
    </row>
    <row r="421" spans="1:5" hidden="1" x14ac:dyDescent="0.3">
      <c r="A421" s="50">
        <v>1289142</v>
      </c>
      <c r="B421" s="50" t="s">
        <v>5011</v>
      </c>
      <c r="D421" s="51">
        <v>0</v>
      </c>
      <c r="E421" s="50">
        <v>0</v>
      </c>
    </row>
    <row r="422" spans="1:5" hidden="1" x14ac:dyDescent="0.3">
      <c r="A422" s="50">
        <v>12941</v>
      </c>
      <c r="B422" s="50" t="s">
        <v>5010</v>
      </c>
      <c r="C422" s="50" t="s">
        <v>654</v>
      </c>
      <c r="D422" s="51">
        <v>0</v>
      </c>
      <c r="E422" s="50">
        <v>0</v>
      </c>
    </row>
    <row r="423" spans="1:5" hidden="1" x14ac:dyDescent="0.3">
      <c r="A423" s="50">
        <v>12943</v>
      </c>
      <c r="B423" s="50" t="s">
        <v>5009</v>
      </c>
      <c r="C423" s="50" t="s">
        <v>654</v>
      </c>
      <c r="D423" s="51">
        <v>0</v>
      </c>
      <c r="E423" s="50">
        <v>0</v>
      </c>
    </row>
    <row r="424" spans="1:5" hidden="1" x14ac:dyDescent="0.3">
      <c r="A424" s="50">
        <v>129521</v>
      </c>
      <c r="B424" s="50" t="s">
        <v>5008</v>
      </c>
      <c r="C424" s="50" t="s">
        <v>3375</v>
      </c>
      <c r="D424" s="51">
        <v>0</v>
      </c>
      <c r="E424" s="50">
        <v>0</v>
      </c>
    </row>
    <row r="425" spans="1:5" hidden="1" x14ac:dyDescent="0.3">
      <c r="A425" s="50">
        <v>129522</v>
      </c>
      <c r="B425" s="50" t="s">
        <v>5007</v>
      </c>
      <c r="C425" s="50" t="s">
        <v>3375</v>
      </c>
      <c r="D425" s="51">
        <v>0</v>
      </c>
      <c r="E425" s="50">
        <v>0</v>
      </c>
    </row>
    <row r="426" spans="1:5" ht="28.8" hidden="1" x14ac:dyDescent="0.3">
      <c r="A426" s="50">
        <v>12966</v>
      </c>
      <c r="B426" s="50" t="s">
        <v>5006</v>
      </c>
      <c r="C426" s="50" t="s">
        <v>654</v>
      </c>
      <c r="D426" s="51">
        <v>514.79</v>
      </c>
      <c r="E426" s="50">
        <v>514.79</v>
      </c>
    </row>
    <row r="427" spans="1:5" ht="28.8" hidden="1" x14ac:dyDescent="0.3">
      <c r="A427" s="50">
        <v>12967</v>
      </c>
      <c r="B427" s="50" t="s">
        <v>5005</v>
      </c>
      <c r="C427" s="50" t="s">
        <v>654</v>
      </c>
      <c r="D427" s="51">
        <v>0</v>
      </c>
      <c r="E427" s="50">
        <v>0</v>
      </c>
    </row>
    <row r="428" spans="1:5" hidden="1" x14ac:dyDescent="0.3">
      <c r="A428" s="50">
        <v>12994</v>
      </c>
      <c r="B428" s="50" t="s">
        <v>5004</v>
      </c>
      <c r="C428" s="50" t="s">
        <v>654</v>
      </c>
      <c r="D428" s="51">
        <v>0</v>
      </c>
      <c r="E428" s="50">
        <v>0</v>
      </c>
    </row>
    <row r="429" spans="1:5" hidden="1" x14ac:dyDescent="0.3">
      <c r="A429" s="50">
        <v>12998</v>
      </c>
      <c r="B429" s="50" t="s">
        <v>5003</v>
      </c>
      <c r="C429" s="50" t="s">
        <v>654</v>
      </c>
      <c r="D429" s="51">
        <v>0</v>
      </c>
      <c r="E429" s="50">
        <v>0</v>
      </c>
    </row>
    <row r="430" spans="1:5" ht="72" hidden="1" x14ac:dyDescent="0.3">
      <c r="A430" s="50" t="s">
        <v>5002</v>
      </c>
      <c r="B430" s="50" t="s">
        <v>5002</v>
      </c>
      <c r="D430" s="51">
        <v>42</v>
      </c>
      <c r="E430" s="50">
        <v>42</v>
      </c>
    </row>
    <row r="431" spans="1:5" hidden="1" x14ac:dyDescent="0.3">
      <c r="A431" s="50">
        <v>13001</v>
      </c>
      <c r="B431" s="50" t="s">
        <v>5001</v>
      </c>
      <c r="C431" s="50" t="s">
        <v>654</v>
      </c>
      <c r="D431" s="51">
        <v>0</v>
      </c>
      <c r="E431" s="50">
        <v>0</v>
      </c>
    </row>
    <row r="432" spans="1:5" hidden="1" x14ac:dyDescent="0.3">
      <c r="A432" s="50">
        <v>13002</v>
      </c>
      <c r="B432" s="50" t="s">
        <v>5000</v>
      </c>
      <c r="C432" s="50" t="s">
        <v>654</v>
      </c>
      <c r="D432" s="51">
        <v>0</v>
      </c>
      <c r="E432" s="50">
        <v>0</v>
      </c>
    </row>
    <row r="433" spans="1:5" hidden="1" x14ac:dyDescent="0.3">
      <c r="A433" s="50">
        <v>13003</v>
      </c>
      <c r="B433" s="50" t="s">
        <v>4999</v>
      </c>
      <c r="C433" s="50" t="s">
        <v>654</v>
      </c>
      <c r="D433" s="51">
        <v>0</v>
      </c>
      <c r="E433" s="50">
        <v>0</v>
      </c>
    </row>
    <row r="434" spans="1:5" hidden="1" x14ac:dyDescent="0.3">
      <c r="A434" s="50">
        <v>13028</v>
      </c>
      <c r="B434" s="50" t="s">
        <v>4998</v>
      </c>
      <c r="C434" s="50" t="s">
        <v>654</v>
      </c>
      <c r="D434" s="51">
        <v>157.72</v>
      </c>
      <c r="E434" s="50">
        <v>0</v>
      </c>
    </row>
    <row r="435" spans="1:5" hidden="1" x14ac:dyDescent="0.3">
      <c r="A435" s="53">
        <v>46339</v>
      </c>
      <c r="B435" s="50" t="s">
        <v>4997</v>
      </c>
      <c r="D435" s="51">
        <v>32</v>
      </c>
      <c r="E435" s="50">
        <v>32</v>
      </c>
    </row>
    <row r="436" spans="1:5" hidden="1" x14ac:dyDescent="0.3">
      <c r="A436" s="53">
        <v>46369</v>
      </c>
      <c r="B436" s="50" t="s">
        <v>4996</v>
      </c>
      <c r="D436" s="51">
        <v>52</v>
      </c>
      <c r="E436" s="50">
        <v>52</v>
      </c>
    </row>
    <row r="437" spans="1:5" ht="28.8" hidden="1" x14ac:dyDescent="0.3">
      <c r="A437" s="50" t="s">
        <v>4995</v>
      </c>
      <c r="B437" s="50" t="s">
        <v>4994</v>
      </c>
      <c r="D437" s="51">
        <v>597.32000000000005</v>
      </c>
      <c r="E437" s="50">
        <v>597.32000000000005</v>
      </c>
    </row>
    <row r="438" spans="1:5" hidden="1" x14ac:dyDescent="0.3">
      <c r="A438" s="50">
        <v>1350439</v>
      </c>
      <c r="B438" s="50" t="s">
        <v>4993</v>
      </c>
      <c r="D438" s="51">
        <v>0</v>
      </c>
      <c r="E438" s="50">
        <v>0</v>
      </c>
    </row>
    <row r="439" spans="1:5" hidden="1" x14ac:dyDescent="0.3">
      <c r="A439" s="50">
        <v>1352297</v>
      </c>
      <c r="B439" s="50" t="s">
        <v>4992</v>
      </c>
      <c r="D439" s="51">
        <v>0</v>
      </c>
      <c r="E439" s="50">
        <v>0</v>
      </c>
    </row>
    <row r="440" spans="1:5" hidden="1" x14ac:dyDescent="0.3">
      <c r="A440" s="50">
        <v>1353233</v>
      </c>
      <c r="B440" s="50" t="s">
        <v>4991</v>
      </c>
      <c r="D440" s="50" t="s">
        <v>4990</v>
      </c>
      <c r="E440" s="50">
        <v>85950</v>
      </c>
    </row>
    <row r="441" spans="1:5" hidden="1" x14ac:dyDescent="0.3">
      <c r="A441" s="50">
        <v>1353244</v>
      </c>
      <c r="B441" s="50" t="s">
        <v>4989</v>
      </c>
      <c r="D441" s="50" t="s">
        <v>4988</v>
      </c>
      <c r="E441" s="50">
        <v>102240</v>
      </c>
    </row>
    <row r="442" spans="1:5" hidden="1" x14ac:dyDescent="0.3">
      <c r="A442" s="50">
        <v>1355136</v>
      </c>
      <c r="B442" s="50" t="s">
        <v>4987</v>
      </c>
      <c r="D442" s="51">
        <v>0</v>
      </c>
      <c r="E442" s="50">
        <v>0</v>
      </c>
    </row>
    <row r="443" spans="1:5" ht="28.8" hidden="1" x14ac:dyDescent="0.3">
      <c r="A443" s="50">
        <v>1373000218</v>
      </c>
      <c r="B443" s="50" t="s">
        <v>4986</v>
      </c>
      <c r="C443" s="50" t="s">
        <v>654</v>
      </c>
      <c r="D443" s="50" t="s">
        <v>4985</v>
      </c>
      <c r="E443" s="50">
        <v>1330.13</v>
      </c>
    </row>
    <row r="444" spans="1:5" hidden="1" x14ac:dyDescent="0.3">
      <c r="A444" s="50" t="s">
        <v>4984</v>
      </c>
      <c r="B444" s="50" t="s">
        <v>4983</v>
      </c>
      <c r="D444" s="51">
        <v>250</v>
      </c>
      <c r="E444" s="50">
        <v>250</v>
      </c>
    </row>
    <row r="445" spans="1:5" ht="28.8" hidden="1" x14ac:dyDescent="0.3">
      <c r="A445" s="50" t="s">
        <v>4982</v>
      </c>
      <c r="B445" s="50" t="s">
        <v>4981</v>
      </c>
      <c r="D445" s="51">
        <v>0</v>
      </c>
      <c r="E445" s="50">
        <v>0</v>
      </c>
    </row>
    <row r="446" spans="1:5" hidden="1" x14ac:dyDescent="0.3">
      <c r="A446" s="50" t="s">
        <v>4980</v>
      </c>
      <c r="B446" s="50" t="s">
        <v>4979</v>
      </c>
      <c r="D446" s="51">
        <v>0</v>
      </c>
      <c r="E446" s="50">
        <v>0</v>
      </c>
    </row>
    <row r="447" spans="1:5" hidden="1" x14ac:dyDescent="0.3">
      <c r="A447" s="50" t="s">
        <v>4978</v>
      </c>
      <c r="B447" s="50" t="s">
        <v>4977</v>
      </c>
      <c r="D447" s="51">
        <v>0</v>
      </c>
      <c r="E447" s="50">
        <v>0</v>
      </c>
    </row>
    <row r="448" spans="1:5" ht="28.8" hidden="1" x14ac:dyDescent="0.3">
      <c r="A448" s="50">
        <v>15000</v>
      </c>
      <c r="B448" s="50" t="s">
        <v>4976</v>
      </c>
      <c r="C448" s="50" t="s">
        <v>654</v>
      </c>
      <c r="D448" s="50" t="s">
        <v>4975</v>
      </c>
      <c r="E448" s="50">
        <v>5798.62</v>
      </c>
    </row>
    <row r="449" spans="1:5" hidden="1" x14ac:dyDescent="0.3">
      <c r="A449" s="50" t="s">
        <v>4974</v>
      </c>
      <c r="B449" s="50" t="s">
        <v>4973</v>
      </c>
      <c r="D449" s="50" t="s">
        <v>4972</v>
      </c>
      <c r="E449" s="50">
        <v>1130.43</v>
      </c>
    </row>
    <row r="450" spans="1:5" hidden="1" x14ac:dyDescent="0.3">
      <c r="A450" s="50">
        <v>1502479</v>
      </c>
      <c r="B450" s="50" t="s">
        <v>4971</v>
      </c>
      <c r="D450" s="50" t="s">
        <v>4970</v>
      </c>
      <c r="E450" s="50">
        <v>21774.6</v>
      </c>
    </row>
    <row r="451" spans="1:5" hidden="1" x14ac:dyDescent="0.3">
      <c r="A451" s="50">
        <v>1503633</v>
      </c>
      <c r="B451" s="50" t="s">
        <v>4969</v>
      </c>
      <c r="D451" s="51">
        <v>0</v>
      </c>
      <c r="E451" s="50">
        <v>0</v>
      </c>
    </row>
    <row r="452" spans="1:5" hidden="1" x14ac:dyDescent="0.3">
      <c r="A452" s="50">
        <v>1503634</v>
      </c>
      <c r="B452" s="50" t="s">
        <v>4968</v>
      </c>
      <c r="D452" s="51">
        <v>0</v>
      </c>
      <c r="E452" s="50">
        <v>0</v>
      </c>
    </row>
    <row r="453" spans="1:5" ht="43.2" hidden="1" x14ac:dyDescent="0.3">
      <c r="A453" s="50" t="s">
        <v>4967</v>
      </c>
      <c r="B453" s="50" t="s">
        <v>4966</v>
      </c>
      <c r="D453" s="50" t="s">
        <v>4965</v>
      </c>
      <c r="E453" s="50">
        <v>3995</v>
      </c>
    </row>
    <row r="454" spans="1:5" hidden="1" x14ac:dyDescent="0.3">
      <c r="A454" s="50" t="s">
        <v>4964</v>
      </c>
      <c r="B454" s="50" t="s">
        <v>4963</v>
      </c>
      <c r="C454" s="50" t="s">
        <v>196</v>
      </c>
      <c r="D454" s="51">
        <v>0</v>
      </c>
      <c r="E454" s="50">
        <v>0</v>
      </c>
    </row>
    <row r="455" spans="1:5" hidden="1" x14ac:dyDescent="0.3">
      <c r="A455" s="50" t="s">
        <v>385</v>
      </c>
      <c r="B455" s="50" t="s">
        <v>386</v>
      </c>
      <c r="C455" s="50" t="s">
        <v>196</v>
      </c>
      <c r="D455" s="51">
        <v>478</v>
      </c>
      <c r="E455" s="50">
        <v>474.88</v>
      </c>
    </row>
    <row r="456" spans="1:5" hidden="1" x14ac:dyDescent="0.3">
      <c r="A456" s="50" t="s">
        <v>4962</v>
      </c>
      <c r="B456" s="50" t="s">
        <v>4961</v>
      </c>
      <c r="D456" s="51">
        <v>556</v>
      </c>
      <c r="E456" s="50">
        <v>556</v>
      </c>
    </row>
    <row r="457" spans="1:5" ht="28.8" hidden="1" x14ac:dyDescent="0.3">
      <c r="A457" s="53">
        <v>46037</v>
      </c>
      <c r="B457" s="50" t="s">
        <v>4960</v>
      </c>
      <c r="D457" s="51">
        <v>14.85</v>
      </c>
      <c r="E457" s="50">
        <v>14.85</v>
      </c>
    </row>
    <row r="458" spans="1:5" hidden="1" x14ac:dyDescent="0.3">
      <c r="A458" s="50">
        <v>1511521</v>
      </c>
      <c r="B458" s="50" t="s">
        <v>4959</v>
      </c>
      <c r="C458" s="50" t="s">
        <v>3375</v>
      </c>
      <c r="D458" s="51">
        <v>0</v>
      </c>
      <c r="E458" s="50">
        <v>0</v>
      </c>
    </row>
    <row r="459" spans="1:5" hidden="1" x14ac:dyDescent="0.3">
      <c r="A459" s="50">
        <v>1515521</v>
      </c>
      <c r="B459" s="50" t="s">
        <v>4958</v>
      </c>
      <c r="C459" s="50" t="s">
        <v>3375</v>
      </c>
      <c r="D459" s="50" t="s">
        <v>4957</v>
      </c>
      <c r="E459" s="50">
        <v>3222</v>
      </c>
    </row>
    <row r="460" spans="1:5" hidden="1" x14ac:dyDescent="0.3">
      <c r="A460" s="50">
        <v>1515522</v>
      </c>
      <c r="B460" s="50" t="s">
        <v>4956</v>
      </c>
      <c r="C460" s="50" t="s">
        <v>3375</v>
      </c>
      <c r="D460" s="51">
        <v>0</v>
      </c>
      <c r="E460" s="50">
        <v>0</v>
      </c>
    </row>
    <row r="461" spans="1:5" ht="28.8" hidden="1" x14ac:dyDescent="0.3">
      <c r="A461" s="53">
        <v>46157</v>
      </c>
      <c r="B461" s="50" t="s">
        <v>399</v>
      </c>
      <c r="D461" s="51">
        <v>48.51</v>
      </c>
      <c r="E461" s="50">
        <v>48.51</v>
      </c>
    </row>
    <row r="462" spans="1:5" ht="28.8" hidden="1" x14ac:dyDescent="0.3">
      <c r="A462" s="50">
        <v>15928</v>
      </c>
      <c r="B462" s="50" t="s">
        <v>4955</v>
      </c>
      <c r="D462" s="51">
        <v>0</v>
      </c>
      <c r="E462" s="50">
        <v>0</v>
      </c>
    </row>
    <row r="463" spans="1:5" ht="72" hidden="1" x14ac:dyDescent="0.3">
      <c r="A463" s="50" t="s">
        <v>4954</v>
      </c>
      <c r="B463" s="50" t="s">
        <v>4954</v>
      </c>
      <c r="D463" s="51">
        <v>0.4</v>
      </c>
      <c r="E463" s="50">
        <v>0.4</v>
      </c>
    </row>
    <row r="464" spans="1:5" hidden="1" x14ac:dyDescent="0.3">
      <c r="A464" s="50" t="s">
        <v>4953</v>
      </c>
      <c r="B464" s="50" t="s">
        <v>4952</v>
      </c>
      <c r="C464" s="50" t="s">
        <v>196</v>
      </c>
      <c r="D464" s="50" t="s">
        <v>4951</v>
      </c>
      <c r="E464" s="50">
        <v>1358.93</v>
      </c>
    </row>
    <row r="465" spans="1:5" hidden="1" x14ac:dyDescent="0.3">
      <c r="A465" s="50" t="s">
        <v>4950</v>
      </c>
      <c r="B465" s="50" t="s">
        <v>4949</v>
      </c>
      <c r="C465" s="50" t="s">
        <v>196</v>
      </c>
      <c r="D465" s="50" t="s">
        <v>4948</v>
      </c>
      <c r="E465" s="50">
        <v>12757.61</v>
      </c>
    </row>
    <row r="466" spans="1:5" hidden="1" x14ac:dyDescent="0.3">
      <c r="A466" s="50" t="s">
        <v>4947</v>
      </c>
      <c r="B466" s="50" t="s">
        <v>4946</v>
      </c>
      <c r="C466" s="50" t="s">
        <v>196</v>
      </c>
      <c r="D466" s="51">
        <v>0</v>
      </c>
      <c r="E466" s="50">
        <v>0</v>
      </c>
    </row>
    <row r="467" spans="1:5" hidden="1" x14ac:dyDescent="0.3">
      <c r="A467" s="50" t="s">
        <v>4945</v>
      </c>
      <c r="B467" s="50" t="s">
        <v>4944</v>
      </c>
      <c r="C467" s="50" t="s">
        <v>196</v>
      </c>
      <c r="D467" s="51">
        <v>0</v>
      </c>
      <c r="E467" s="50">
        <v>0</v>
      </c>
    </row>
    <row r="468" spans="1:5" hidden="1" x14ac:dyDescent="0.3">
      <c r="A468" s="50" t="s">
        <v>4943</v>
      </c>
      <c r="B468" s="50" t="s">
        <v>4942</v>
      </c>
      <c r="C468" s="50" t="s">
        <v>1165</v>
      </c>
      <c r="D468" s="51">
        <v>0</v>
      </c>
      <c r="E468" s="50">
        <v>0</v>
      </c>
    </row>
    <row r="469" spans="1:5" hidden="1" x14ac:dyDescent="0.3">
      <c r="A469" s="50" t="s">
        <v>4941</v>
      </c>
      <c r="B469" s="50" t="s">
        <v>4940</v>
      </c>
      <c r="D469" s="51">
        <v>0</v>
      </c>
      <c r="E469" s="50">
        <v>0</v>
      </c>
    </row>
    <row r="470" spans="1:5" hidden="1" x14ac:dyDescent="0.3">
      <c r="A470" s="50" t="s">
        <v>4939</v>
      </c>
      <c r="B470" s="50" t="s">
        <v>4938</v>
      </c>
      <c r="C470" s="50" t="s">
        <v>196</v>
      </c>
      <c r="D470" s="50" t="s">
        <v>4937</v>
      </c>
      <c r="E470" s="50">
        <v>1345.25</v>
      </c>
    </row>
    <row r="471" spans="1:5" hidden="1" x14ac:dyDescent="0.3">
      <c r="A471" s="50" t="s">
        <v>4936</v>
      </c>
      <c r="B471" s="50" t="s">
        <v>4935</v>
      </c>
      <c r="C471" s="50" t="s">
        <v>196</v>
      </c>
      <c r="D471" s="51">
        <v>0</v>
      </c>
      <c r="E471" s="50">
        <v>0</v>
      </c>
    </row>
    <row r="472" spans="1:5" hidden="1" x14ac:dyDescent="0.3">
      <c r="A472" s="50" t="s">
        <v>4934</v>
      </c>
      <c r="B472" s="50" t="s">
        <v>4933</v>
      </c>
      <c r="C472" s="50" t="s">
        <v>196</v>
      </c>
      <c r="D472" s="51">
        <v>0</v>
      </c>
      <c r="E472" s="50">
        <v>0</v>
      </c>
    </row>
    <row r="473" spans="1:5" hidden="1" x14ac:dyDescent="0.3">
      <c r="A473" s="50" t="s">
        <v>4932</v>
      </c>
      <c r="B473" s="50" t="s">
        <v>4931</v>
      </c>
      <c r="C473" s="50" t="s">
        <v>196</v>
      </c>
      <c r="D473" s="51">
        <v>0</v>
      </c>
      <c r="E473" s="50">
        <v>0</v>
      </c>
    </row>
    <row r="474" spans="1:5" hidden="1" x14ac:dyDescent="0.3">
      <c r="A474" s="50" t="s">
        <v>4930</v>
      </c>
      <c r="B474" s="50" t="s">
        <v>4929</v>
      </c>
      <c r="C474" s="50" t="s">
        <v>196</v>
      </c>
      <c r="D474" s="51">
        <v>0</v>
      </c>
      <c r="E474" s="50">
        <v>0</v>
      </c>
    </row>
    <row r="475" spans="1:5" hidden="1" x14ac:dyDescent="0.3">
      <c r="A475" s="50" t="s">
        <v>4928</v>
      </c>
      <c r="B475" s="50" t="s">
        <v>4927</v>
      </c>
      <c r="C475" s="50" t="s">
        <v>196</v>
      </c>
      <c r="D475" s="51">
        <v>0</v>
      </c>
      <c r="E475" s="50">
        <v>0</v>
      </c>
    </row>
    <row r="476" spans="1:5" hidden="1" x14ac:dyDescent="0.3">
      <c r="A476" s="50" t="s">
        <v>4926</v>
      </c>
      <c r="B476" s="50" t="s">
        <v>4925</v>
      </c>
      <c r="C476" s="50" t="s">
        <v>196</v>
      </c>
      <c r="D476" s="51">
        <v>0</v>
      </c>
      <c r="E476" s="50">
        <v>0</v>
      </c>
    </row>
    <row r="477" spans="1:5" hidden="1" x14ac:dyDescent="0.3">
      <c r="A477" s="50" t="s">
        <v>4924</v>
      </c>
      <c r="B477" s="50" t="s">
        <v>4923</v>
      </c>
      <c r="C477" s="50" t="s">
        <v>196</v>
      </c>
      <c r="D477" s="51">
        <v>0</v>
      </c>
      <c r="E477" s="50">
        <v>0</v>
      </c>
    </row>
    <row r="478" spans="1:5" ht="28.8" hidden="1" x14ac:dyDescent="0.3">
      <c r="A478" s="50" t="s">
        <v>4922</v>
      </c>
      <c r="B478" s="50" t="s">
        <v>4921</v>
      </c>
      <c r="C478" s="50" t="s">
        <v>196</v>
      </c>
      <c r="D478" s="51">
        <v>0</v>
      </c>
      <c r="E478" s="50">
        <v>0</v>
      </c>
    </row>
    <row r="479" spans="1:5" hidden="1" x14ac:dyDescent="0.3">
      <c r="A479" s="50" t="s">
        <v>4920</v>
      </c>
      <c r="B479" s="50" t="s">
        <v>4919</v>
      </c>
      <c r="C479" s="50" t="s">
        <v>196</v>
      </c>
      <c r="D479" s="51">
        <v>0</v>
      </c>
      <c r="E479" s="50">
        <v>0</v>
      </c>
    </row>
    <row r="480" spans="1:5" ht="28.8" hidden="1" x14ac:dyDescent="0.3">
      <c r="A480" s="50" t="s">
        <v>4918</v>
      </c>
      <c r="B480" s="50" t="s">
        <v>4917</v>
      </c>
      <c r="C480" s="50" t="s">
        <v>196</v>
      </c>
      <c r="D480" s="51">
        <v>0</v>
      </c>
      <c r="E480" s="50">
        <v>0</v>
      </c>
    </row>
    <row r="481" spans="1:5" hidden="1" x14ac:dyDescent="0.3">
      <c r="A481" s="50" t="s">
        <v>4916</v>
      </c>
      <c r="B481" s="50" t="s">
        <v>4915</v>
      </c>
      <c r="C481" s="50" t="s">
        <v>196</v>
      </c>
      <c r="D481" s="51">
        <v>0</v>
      </c>
      <c r="E481" s="50">
        <v>0</v>
      </c>
    </row>
    <row r="482" spans="1:5" ht="28.8" hidden="1" x14ac:dyDescent="0.3">
      <c r="A482" s="50" t="s">
        <v>4914</v>
      </c>
      <c r="B482" s="50" t="s">
        <v>4913</v>
      </c>
      <c r="C482" s="50" t="s">
        <v>196</v>
      </c>
      <c r="D482" s="51">
        <v>0</v>
      </c>
      <c r="E482" s="50">
        <v>0</v>
      </c>
    </row>
    <row r="483" spans="1:5" ht="28.8" hidden="1" x14ac:dyDescent="0.3">
      <c r="A483" s="50">
        <v>16039</v>
      </c>
      <c r="B483" s="50" t="s">
        <v>2355</v>
      </c>
      <c r="D483" s="50" t="s">
        <v>4912</v>
      </c>
      <c r="E483" s="50">
        <v>2555.16</v>
      </c>
    </row>
    <row r="484" spans="1:5" ht="28.8" hidden="1" x14ac:dyDescent="0.3">
      <c r="A484" s="50" t="s">
        <v>199</v>
      </c>
      <c r="B484" s="50" t="s">
        <v>4911</v>
      </c>
      <c r="D484" s="51">
        <v>235</v>
      </c>
      <c r="E484" s="50">
        <v>235</v>
      </c>
    </row>
    <row r="485" spans="1:5" hidden="1" x14ac:dyDescent="0.3">
      <c r="A485" s="50" t="s">
        <v>4910</v>
      </c>
      <c r="B485" s="50" t="s">
        <v>4909</v>
      </c>
      <c r="D485" s="51">
        <v>0</v>
      </c>
      <c r="E485" s="50">
        <v>0</v>
      </c>
    </row>
    <row r="486" spans="1:5" hidden="1" x14ac:dyDescent="0.3">
      <c r="A486" s="50" t="s">
        <v>202</v>
      </c>
      <c r="B486" s="50" t="s">
        <v>4908</v>
      </c>
      <c r="D486" s="51">
        <v>270</v>
      </c>
      <c r="E486" s="50">
        <v>270</v>
      </c>
    </row>
    <row r="487" spans="1:5" hidden="1" x14ac:dyDescent="0.3">
      <c r="A487" s="50" t="s">
        <v>204</v>
      </c>
      <c r="B487" s="50" t="s">
        <v>4907</v>
      </c>
      <c r="D487" s="51">
        <v>270</v>
      </c>
      <c r="E487" s="50">
        <v>270</v>
      </c>
    </row>
    <row r="488" spans="1:5" hidden="1" x14ac:dyDescent="0.3">
      <c r="A488" s="50" t="s">
        <v>206</v>
      </c>
      <c r="B488" s="50" t="s">
        <v>4906</v>
      </c>
      <c r="D488" s="51">
        <v>270</v>
      </c>
      <c r="E488" s="50">
        <v>270</v>
      </c>
    </row>
    <row r="489" spans="1:5" hidden="1" x14ac:dyDescent="0.3">
      <c r="A489" s="50" t="s">
        <v>208</v>
      </c>
      <c r="B489" s="50" t="s">
        <v>4905</v>
      </c>
      <c r="D489" s="51">
        <v>270</v>
      </c>
      <c r="E489" s="50">
        <v>270</v>
      </c>
    </row>
    <row r="490" spans="1:5" hidden="1" x14ac:dyDescent="0.3">
      <c r="A490" s="50" t="s">
        <v>4904</v>
      </c>
      <c r="B490" s="50" t="s">
        <v>4903</v>
      </c>
      <c r="C490" s="50" t="s">
        <v>196</v>
      </c>
      <c r="D490" s="51">
        <v>0</v>
      </c>
      <c r="E490" s="50">
        <v>0</v>
      </c>
    </row>
    <row r="491" spans="1:5" hidden="1" x14ac:dyDescent="0.3">
      <c r="A491" s="50" t="s">
        <v>4902</v>
      </c>
      <c r="B491" s="50" t="s">
        <v>4901</v>
      </c>
      <c r="C491" s="50" t="s">
        <v>196</v>
      </c>
      <c r="D491" s="51">
        <v>0</v>
      </c>
      <c r="E491" s="50">
        <v>0</v>
      </c>
    </row>
    <row r="492" spans="1:5" ht="43.2" hidden="1" x14ac:dyDescent="0.3">
      <c r="A492" s="50" t="s">
        <v>4900</v>
      </c>
      <c r="B492" s="50" t="s">
        <v>4899</v>
      </c>
      <c r="C492" s="50" t="s">
        <v>1165</v>
      </c>
      <c r="D492" s="51">
        <v>0</v>
      </c>
      <c r="E492" s="50">
        <v>0</v>
      </c>
    </row>
    <row r="493" spans="1:5" ht="43.2" hidden="1" x14ac:dyDescent="0.3">
      <c r="A493" s="50" t="s">
        <v>4898</v>
      </c>
      <c r="B493" s="50" t="s">
        <v>4897</v>
      </c>
      <c r="D493" s="51">
        <v>489.09</v>
      </c>
      <c r="E493" s="50">
        <v>474.51</v>
      </c>
    </row>
    <row r="494" spans="1:5" ht="28.8" hidden="1" x14ac:dyDescent="0.3">
      <c r="A494" s="50" t="s">
        <v>4896</v>
      </c>
      <c r="B494" s="50" t="s">
        <v>4895</v>
      </c>
      <c r="D494" s="51">
        <v>72.31</v>
      </c>
      <c r="E494" s="50">
        <v>72.31</v>
      </c>
    </row>
    <row r="495" spans="1:5" hidden="1" x14ac:dyDescent="0.3">
      <c r="A495" s="50" t="s">
        <v>4894</v>
      </c>
      <c r="B495" s="50" t="s">
        <v>4893</v>
      </c>
      <c r="D495" s="51">
        <v>77.680000000000007</v>
      </c>
      <c r="E495" s="50">
        <v>74.83</v>
      </c>
    </row>
    <row r="496" spans="1:5" ht="28.8" hidden="1" x14ac:dyDescent="0.3">
      <c r="A496" s="50" t="s">
        <v>4892</v>
      </c>
      <c r="B496" s="50" t="s">
        <v>4891</v>
      </c>
      <c r="D496" s="51">
        <v>77.680000000000007</v>
      </c>
      <c r="E496" s="50">
        <v>77.680000000000007</v>
      </c>
    </row>
    <row r="497" spans="1:5" hidden="1" x14ac:dyDescent="0.3">
      <c r="A497" s="50">
        <v>16183</v>
      </c>
      <c r="B497" s="50" t="s">
        <v>4890</v>
      </c>
      <c r="D497" s="50" t="s">
        <v>4889</v>
      </c>
      <c r="E497" s="50">
        <v>3263.14</v>
      </c>
    </row>
    <row r="498" spans="1:5" hidden="1" x14ac:dyDescent="0.3">
      <c r="A498" s="50">
        <v>16185</v>
      </c>
      <c r="B498" s="50" t="s">
        <v>4888</v>
      </c>
      <c r="C498" s="50" t="s">
        <v>654</v>
      </c>
      <c r="D498" s="51">
        <v>0</v>
      </c>
      <c r="E498" s="50">
        <v>0</v>
      </c>
    </row>
    <row r="499" spans="1:5" ht="28.8" hidden="1" x14ac:dyDescent="0.3">
      <c r="A499" s="50">
        <v>16702</v>
      </c>
      <c r="B499" s="50" t="s">
        <v>4887</v>
      </c>
      <c r="D499" s="51">
        <v>247.02</v>
      </c>
      <c r="E499" s="50">
        <v>247.02</v>
      </c>
    </row>
    <row r="500" spans="1:5" ht="28.8" hidden="1" x14ac:dyDescent="0.3">
      <c r="A500" s="50" t="s">
        <v>400</v>
      </c>
      <c r="B500" s="50" t="s">
        <v>401</v>
      </c>
      <c r="D500" s="51">
        <v>47.03</v>
      </c>
      <c r="E500" s="50">
        <v>47.03</v>
      </c>
    </row>
    <row r="501" spans="1:5" ht="72" hidden="1" x14ac:dyDescent="0.3">
      <c r="A501" s="50" t="s">
        <v>4886</v>
      </c>
      <c r="B501" s="50" t="s">
        <v>4886</v>
      </c>
      <c r="D501" s="51">
        <v>96</v>
      </c>
      <c r="E501" s="50">
        <v>96</v>
      </c>
    </row>
    <row r="502" spans="1:5" hidden="1" x14ac:dyDescent="0.3">
      <c r="A502" s="50">
        <v>17001</v>
      </c>
      <c r="B502" s="50" t="s">
        <v>4885</v>
      </c>
      <c r="C502" s="50" t="s">
        <v>654</v>
      </c>
      <c r="D502" s="51">
        <v>0</v>
      </c>
      <c r="E502" s="50">
        <v>0</v>
      </c>
    </row>
    <row r="503" spans="1:5" hidden="1" x14ac:dyDescent="0.3">
      <c r="A503" s="50">
        <v>17004</v>
      </c>
      <c r="B503" s="50" t="s">
        <v>4884</v>
      </c>
      <c r="C503" s="50" t="s">
        <v>654</v>
      </c>
      <c r="D503" s="51">
        <v>0</v>
      </c>
      <c r="E503" s="50">
        <v>0</v>
      </c>
    </row>
    <row r="504" spans="1:5" hidden="1" x14ac:dyDescent="0.3">
      <c r="A504" s="50">
        <v>17005</v>
      </c>
      <c r="B504" s="50" t="s">
        <v>4883</v>
      </c>
      <c r="C504" s="50" t="s">
        <v>654</v>
      </c>
      <c r="D504" s="51">
        <v>0</v>
      </c>
      <c r="E504" s="50">
        <v>0</v>
      </c>
    </row>
    <row r="505" spans="1:5" hidden="1" x14ac:dyDescent="0.3">
      <c r="A505" s="50">
        <v>17009</v>
      </c>
      <c r="B505" s="50" t="s">
        <v>4882</v>
      </c>
      <c r="C505" s="50" t="s">
        <v>654</v>
      </c>
      <c r="D505" s="51">
        <v>0</v>
      </c>
      <c r="E505" s="50">
        <v>0</v>
      </c>
    </row>
    <row r="506" spans="1:5" hidden="1" x14ac:dyDescent="0.3">
      <c r="A506" s="50">
        <v>17013</v>
      </c>
      <c r="B506" s="50" t="s">
        <v>4881</v>
      </c>
      <c r="C506" s="50" t="s">
        <v>654</v>
      </c>
      <c r="D506" s="51">
        <v>0</v>
      </c>
      <c r="E506" s="50">
        <v>0</v>
      </c>
    </row>
    <row r="507" spans="1:5" hidden="1" x14ac:dyDescent="0.3">
      <c r="A507" s="50">
        <v>17021</v>
      </c>
      <c r="B507" s="50" t="s">
        <v>4880</v>
      </c>
      <c r="C507" s="50" t="s">
        <v>654</v>
      </c>
      <c r="D507" s="51">
        <v>0</v>
      </c>
      <c r="E507" s="50">
        <v>0</v>
      </c>
    </row>
    <row r="508" spans="1:5" hidden="1" x14ac:dyDescent="0.3">
      <c r="A508" s="50">
        <v>17022</v>
      </c>
      <c r="B508" s="50" t="s">
        <v>4879</v>
      </c>
      <c r="C508" s="50" t="s">
        <v>654</v>
      </c>
      <c r="D508" s="51">
        <v>0</v>
      </c>
      <c r="E508" s="50">
        <v>0</v>
      </c>
    </row>
    <row r="509" spans="1:5" hidden="1" x14ac:dyDescent="0.3">
      <c r="A509" s="50">
        <v>17023</v>
      </c>
      <c r="B509" s="50" t="s">
        <v>4878</v>
      </c>
      <c r="C509" s="50" t="s">
        <v>654</v>
      </c>
      <c r="D509" s="51">
        <v>0</v>
      </c>
      <c r="E509" s="50">
        <v>0</v>
      </c>
    </row>
    <row r="510" spans="1:5" hidden="1" x14ac:dyDescent="0.3">
      <c r="A510" s="50">
        <v>17143</v>
      </c>
      <c r="B510" s="50" t="s">
        <v>4877</v>
      </c>
      <c r="C510" s="50" t="s">
        <v>654</v>
      </c>
      <c r="D510" s="51">
        <v>0</v>
      </c>
      <c r="E510" s="50">
        <v>0</v>
      </c>
    </row>
    <row r="511" spans="1:5" hidden="1" x14ac:dyDescent="0.3">
      <c r="A511" s="50">
        <v>17144</v>
      </c>
      <c r="B511" s="50" t="s">
        <v>4876</v>
      </c>
      <c r="C511" s="50" t="s">
        <v>654</v>
      </c>
      <c r="D511" s="51">
        <v>0</v>
      </c>
      <c r="E511" s="50">
        <v>0</v>
      </c>
    </row>
    <row r="512" spans="1:5" hidden="1" x14ac:dyDescent="0.3">
      <c r="A512" s="50">
        <v>17145</v>
      </c>
      <c r="B512" s="50" t="s">
        <v>4875</v>
      </c>
      <c r="C512" s="50" t="s">
        <v>654</v>
      </c>
      <c r="D512" s="50" t="s">
        <v>4874</v>
      </c>
      <c r="E512" s="50">
        <v>1177.92</v>
      </c>
    </row>
    <row r="513" spans="1:5" hidden="1" x14ac:dyDescent="0.3">
      <c r="A513" s="50">
        <v>17146</v>
      </c>
      <c r="B513" s="50" t="s">
        <v>4873</v>
      </c>
      <c r="C513" s="50" t="s">
        <v>654</v>
      </c>
      <c r="D513" s="50" t="s">
        <v>4872</v>
      </c>
      <c r="E513" s="50">
        <v>1329.45</v>
      </c>
    </row>
    <row r="514" spans="1:5" hidden="1" x14ac:dyDescent="0.3">
      <c r="A514" s="50">
        <v>17147</v>
      </c>
      <c r="B514" s="50" t="s">
        <v>4871</v>
      </c>
      <c r="C514" s="50" t="s">
        <v>654</v>
      </c>
      <c r="D514" s="51">
        <v>0</v>
      </c>
      <c r="E514" s="50">
        <v>0</v>
      </c>
    </row>
    <row r="515" spans="1:5" hidden="1" x14ac:dyDescent="0.3">
      <c r="A515" s="50">
        <v>17148</v>
      </c>
      <c r="B515" s="50" t="s">
        <v>4870</v>
      </c>
      <c r="C515" s="50" t="s">
        <v>654</v>
      </c>
      <c r="D515" s="50" t="s">
        <v>4869</v>
      </c>
      <c r="E515" s="50">
        <v>1397.64</v>
      </c>
    </row>
    <row r="516" spans="1:5" hidden="1" x14ac:dyDescent="0.3">
      <c r="A516" s="50">
        <v>17149</v>
      </c>
      <c r="B516" s="50" t="s">
        <v>4868</v>
      </c>
      <c r="C516" s="50" t="s">
        <v>654</v>
      </c>
      <c r="D516" s="51">
        <v>0</v>
      </c>
      <c r="E516" s="50">
        <v>0</v>
      </c>
    </row>
    <row r="517" spans="1:5" hidden="1" x14ac:dyDescent="0.3">
      <c r="A517" s="50">
        <v>17160</v>
      </c>
      <c r="B517" s="50" t="s">
        <v>4867</v>
      </c>
      <c r="C517" s="50" t="s">
        <v>654</v>
      </c>
      <c r="D517" s="50" t="s">
        <v>4866</v>
      </c>
      <c r="E517" s="50">
        <v>442.78</v>
      </c>
    </row>
    <row r="518" spans="1:5" hidden="1" x14ac:dyDescent="0.3">
      <c r="A518" s="50">
        <v>17161</v>
      </c>
      <c r="B518" s="50" t="s">
        <v>4865</v>
      </c>
      <c r="C518" s="50" t="s">
        <v>654</v>
      </c>
      <c r="D518" s="50" t="s">
        <v>4864</v>
      </c>
      <c r="E518" s="50">
        <v>1513.62</v>
      </c>
    </row>
    <row r="519" spans="1:5" hidden="1" x14ac:dyDescent="0.3">
      <c r="A519" s="50">
        <v>17162</v>
      </c>
      <c r="B519" s="50" t="s">
        <v>4863</v>
      </c>
      <c r="C519" s="50" t="s">
        <v>654</v>
      </c>
      <c r="D519" s="50" t="s">
        <v>4862</v>
      </c>
      <c r="E519" s="50">
        <v>1762.95</v>
      </c>
    </row>
    <row r="520" spans="1:5" hidden="1" x14ac:dyDescent="0.3">
      <c r="A520" s="50">
        <v>17163</v>
      </c>
      <c r="B520" s="50" t="s">
        <v>4861</v>
      </c>
      <c r="C520" s="50" t="s">
        <v>654</v>
      </c>
      <c r="D520" s="51">
        <v>0</v>
      </c>
      <c r="E520" s="50">
        <v>0</v>
      </c>
    </row>
    <row r="521" spans="1:5" hidden="1" x14ac:dyDescent="0.3">
      <c r="A521" s="50">
        <v>17164</v>
      </c>
      <c r="B521" s="50" t="s">
        <v>4860</v>
      </c>
      <c r="C521" s="50" t="s">
        <v>654</v>
      </c>
      <c r="D521" s="50" t="s">
        <v>4859</v>
      </c>
      <c r="E521" s="50">
        <v>2488.4</v>
      </c>
    </row>
    <row r="522" spans="1:5" hidden="1" x14ac:dyDescent="0.3">
      <c r="A522" s="50">
        <v>17165</v>
      </c>
      <c r="B522" s="50" t="s">
        <v>4858</v>
      </c>
      <c r="C522" s="50" t="s">
        <v>654</v>
      </c>
      <c r="D522" s="50" t="s">
        <v>4857</v>
      </c>
      <c r="E522" s="50">
        <v>5043.1499999999996</v>
      </c>
    </row>
    <row r="523" spans="1:5" hidden="1" x14ac:dyDescent="0.3">
      <c r="A523" s="50">
        <v>17166</v>
      </c>
      <c r="B523" s="50" t="s">
        <v>4856</v>
      </c>
      <c r="C523" s="50" t="s">
        <v>654</v>
      </c>
      <c r="D523" s="50" t="s">
        <v>4855</v>
      </c>
      <c r="E523" s="50">
        <v>6627.02</v>
      </c>
    </row>
    <row r="524" spans="1:5" hidden="1" x14ac:dyDescent="0.3">
      <c r="A524" s="50">
        <v>17177</v>
      </c>
      <c r="B524" s="50" t="s">
        <v>4854</v>
      </c>
      <c r="C524" s="50" t="s">
        <v>654</v>
      </c>
      <c r="D524" s="51">
        <v>0</v>
      </c>
      <c r="E524" s="50">
        <v>0</v>
      </c>
    </row>
    <row r="525" spans="1:5" hidden="1" x14ac:dyDescent="0.3">
      <c r="A525" s="50">
        <v>17180</v>
      </c>
      <c r="B525" s="50" t="s">
        <v>4853</v>
      </c>
      <c r="C525" s="50" t="s">
        <v>654</v>
      </c>
      <c r="D525" s="50" t="s">
        <v>4852</v>
      </c>
      <c r="E525" s="50">
        <v>1644.45</v>
      </c>
    </row>
    <row r="526" spans="1:5" hidden="1" x14ac:dyDescent="0.3">
      <c r="A526" s="50">
        <v>17181</v>
      </c>
      <c r="B526" s="50" t="s">
        <v>4851</v>
      </c>
      <c r="C526" s="50" t="s">
        <v>654</v>
      </c>
      <c r="D526" s="50" t="s">
        <v>4850</v>
      </c>
      <c r="E526" s="50">
        <v>2207.34</v>
      </c>
    </row>
    <row r="527" spans="1:5" hidden="1" x14ac:dyDescent="0.3">
      <c r="A527" s="50">
        <v>17182</v>
      </c>
      <c r="B527" s="50" t="s">
        <v>4849</v>
      </c>
      <c r="C527" s="50" t="s">
        <v>654</v>
      </c>
      <c r="D527" s="50" t="s">
        <v>4848</v>
      </c>
      <c r="E527" s="50">
        <v>3058.29</v>
      </c>
    </row>
    <row r="528" spans="1:5" hidden="1" x14ac:dyDescent="0.3">
      <c r="A528" s="50">
        <v>17184</v>
      </c>
      <c r="B528" s="50" t="s">
        <v>4847</v>
      </c>
      <c r="C528" s="50" t="s">
        <v>654</v>
      </c>
      <c r="D528" s="51">
        <v>0</v>
      </c>
      <c r="E528" s="50">
        <v>0</v>
      </c>
    </row>
    <row r="529" spans="1:5" hidden="1" x14ac:dyDescent="0.3">
      <c r="A529" s="50">
        <v>17185</v>
      </c>
      <c r="B529" s="50" t="s">
        <v>4846</v>
      </c>
      <c r="C529" s="50" t="s">
        <v>654</v>
      </c>
      <c r="D529" s="51">
        <v>0</v>
      </c>
      <c r="E529" s="50">
        <v>0</v>
      </c>
    </row>
    <row r="530" spans="1:5" hidden="1" x14ac:dyDescent="0.3">
      <c r="A530" s="50">
        <v>17186</v>
      </c>
      <c r="B530" s="50" t="s">
        <v>4845</v>
      </c>
      <c r="C530" s="50" t="s">
        <v>654</v>
      </c>
      <c r="D530" s="51">
        <v>0</v>
      </c>
      <c r="E530" s="50">
        <v>0</v>
      </c>
    </row>
    <row r="531" spans="1:5" hidden="1" x14ac:dyDescent="0.3">
      <c r="A531" s="50">
        <v>17187</v>
      </c>
      <c r="B531" s="50" t="s">
        <v>4844</v>
      </c>
      <c r="C531" s="50" t="s">
        <v>654</v>
      </c>
      <c r="D531" s="51">
        <v>0</v>
      </c>
      <c r="E531" s="50">
        <v>0</v>
      </c>
    </row>
    <row r="532" spans="1:5" hidden="1" x14ac:dyDescent="0.3">
      <c r="A532" s="50">
        <v>17188</v>
      </c>
      <c r="B532" s="50" t="s">
        <v>4843</v>
      </c>
      <c r="C532" s="50" t="s">
        <v>654</v>
      </c>
      <c r="D532" s="51">
        <v>0</v>
      </c>
      <c r="E532" s="50">
        <v>0</v>
      </c>
    </row>
    <row r="533" spans="1:5" ht="43.2" hidden="1" x14ac:dyDescent="0.3">
      <c r="A533" s="50" t="s">
        <v>4842</v>
      </c>
      <c r="B533" s="50" t="s">
        <v>4841</v>
      </c>
      <c r="D533" s="50" t="s">
        <v>4840</v>
      </c>
      <c r="E533" s="50">
        <v>26234</v>
      </c>
    </row>
    <row r="534" spans="1:5" hidden="1" x14ac:dyDescent="0.3">
      <c r="A534" s="50">
        <v>1813521</v>
      </c>
      <c r="B534" s="50" t="s">
        <v>4839</v>
      </c>
      <c r="C534" s="50" t="s">
        <v>3375</v>
      </c>
      <c r="D534" s="50" t="s">
        <v>4838</v>
      </c>
      <c r="E534" s="50">
        <v>2705.32</v>
      </c>
    </row>
    <row r="535" spans="1:5" hidden="1" x14ac:dyDescent="0.3">
      <c r="A535" s="50">
        <v>1818521</v>
      </c>
      <c r="B535" s="50" t="s">
        <v>4837</v>
      </c>
      <c r="C535" s="50" t="s">
        <v>3375</v>
      </c>
      <c r="D535" s="50" t="s">
        <v>4836</v>
      </c>
      <c r="E535" s="50">
        <v>4085.58</v>
      </c>
    </row>
    <row r="536" spans="1:5" hidden="1" x14ac:dyDescent="0.3">
      <c r="A536" s="50">
        <v>1818522</v>
      </c>
      <c r="B536" s="50" t="s">
        <v>4835</v>
      </c>
      <c r="C536" s="50" t="s">
        <v>3375</v>
      </c>
      <c r="D536" s="51">
        <v>0</v>
      </c>
      <c r="E536" s="50">
        <v>0</v>
      </c>
    </row>
    <row r="537" spans="1:5" ht="28.8" hidden="1" x14ac:dyDescent="0.3">
      <c r="A537" s="50" t="s">
        <v>4834</v>
      </c>
      <c r="B537" s="50" t="s">
        <v>2744</v>
      </c>
      <c r="D537" s="51">
        <v>630</v>
      </c>
      <c r="E537" s="50">
        <v>630</v>
      </c>
    </row>
    <row r="538" spans="1:5" hidden="1" x14ac:dyDescent="0.3">
      <c r="A538" s="50">
        <v>1920</v>
      </c>
      <c r="B538" s="50" t="s">
        <v>4833</v>
      </c>
      <c r="D538" s="51">
        <v>208.69</v>
      </c>
      <c r="E538" s="50">
        <v>208.69</v>
      </c>
    </row>
    <row r="539" spans="1:5" hidden="1" x14ac:dyDescent="0.3">
      <c r="A539" s="50">
        <v>19220</v>
      </c>
      <c r="B539" s="50" t="s">
        <v>4832</v>
      </c>
      <c r="D539" s="51">
        <v>0</v>
      </c>
      <c r="E539" s="50">
        <v>0</v>
      </c>
    </row>
    <row r="540" spans="1:5" ht="28.8" hidden="1" x14ac:dyDescent="0.3">
      <c r="A540" s="50">
        <v>194832</v>
      </c>
      <c r="B540" s="50" t="s">
        <v>4831</v>
      </c>
      <c r="D540" s="51">
        <v>0.2</v>
      </c>
      <c r="E540" s="50">
        <v>0.2</v>
      </c>
    </row>
    <row r="541" spans="1:5" ht="28.8" hidden="1" x14ac:dyDescent="0.3">
      <c r="A541" s="50">
        <v>194843</v>
      </c>
      <c r="B541" s="50" t="s">
        <v>4830</v>
      </c>
      <c r="D541" s="51">
        <v>0.4</v>
      </c>
      <c r="E541" s="50">
        <v>0.4</v>
      </c>
    </row>
    <row r="542" spans="1:5" ht="28.8" hidden="1" x14ac:dyDescent="0.3">
      <c r="A542" s="50">
        <v>194856</v>
      </c>
      <c r="B542" s="50" t="s">
        <v>4829</v>
      </c>
      <c r="D542" s="51">
        <v>0.8</v>
      </c>
      <c r="E542" s="50">
        <v>0.8</v>
      </c>
    </row>
    <row r="543" spans="1:5" ht="28.8" hidden="1" x14ac:dyDescent="0.3">
      <c r="A543" s="50">
        <v>194916</v>
      </c>
      <c r="B543" s="50" t="s">
        <v>75</v>
      </c>
      <c r="D543" s="51">
        <v>0.08</v>
      </c>
      <c r="E543" s="50">
        <v>0.08</v>
      </c>
    </row>
    <row r="544" spans="1:5" ht="28.8" hidden="1" x14ac:dyDescent="0.3">
      <c r="A544" s="50">
        <v>194925</v>
      </c>
      <c r="B544" s="50" t="s">
        <v>4828</v>
      </c>
      <c r="D544" s="51">
        <v>0.12</v>
      </c>
      <c r="E544" s="50">
        <v>0.12</v>
      </c>
    </row>
    <row r="545" spans="1:5" hidden="1" x14ac:dyDescent="0.3">
      <c r="A545" s="50" t="s">
        <v>4827</v>
      </c>
      <c r="B545" s="50" t="s">
        <v>4826</v>
      </c>
      <c r="D545" s="51">
        <v>0</v>
      </c>
      <c r="E545" s="50">
        <v>0</v>
      </c>
    </row>
    <row r="546" spans="1:5" hidden="1" x14ac:dyDescent="0.3">
      <c r="A546" s="50" t="s">
        <v>331</v>
      </c>
      <c r="B546" s="50" t="s">
        <v>332</v>
      </c>
      <c r="D546" s="50" t="s">
        <v>4825</v>
      </c>
      <c r="E546" s="50">
        <v>2213.46</v>
      </c>
    </row>
    <row r="547" spans="1:5" hidden="1" x14ac:dyDescent="0.3">
      <c r="A547" s="50" t="s">
        <v>4824</v>
      </c>
      <c r="B547" s="50" t="s">
        <v>4823</v>
      </c>
      <c r="D547" s="50" t="s">
        <v>4822</v>
      </c>
      <c r="E547" s="50">
        <v>2509.5</v>
      </c>
    </row>
    <row r="548" spans="1:5" hidden="1" x14ac:dyDescent="0.3">
      <c r="A548" s="50" t="s">
        <v>333</v>
      </c>
      <c r="B548" s="50" t="s">
        <v>334</v>
      </c>
      <c r="D548" s="50" t="s">
        <v>4821</v>
      </c>
      <c r="E548" s="50">
        <v>2585.9699999999998</v>
      </c>
    </row>
    <row r="549" spans="1:5" hidden="1" x14ac:dyDescent="0.3">
      <c r="A549" s="50" t="s">
        <v>4820</v>
      </c>
      <c r="B549" s="50" t="s">
        <v>4819</v>
      </c>
      <c r="D549" s="51">
        <v>0</v>
      </c>
      <c r="E549" s="50">
        <v>0</v>
      </c>
    </row>
    <row r="550" spans="1:5" hidden="1" x14ac:dyDescent="0.3">
      <c r="A550" s="50" t="s">
        <v>4818</v>
      </c>
      <c r="B550" s="50" t="s">
        <v>4817</v>
      </c>
      <c r="D550" s="50" t="s">
        <v>2773</v>
      </c>
      <c r="E550" s="50">
        <v>5000</v>
      </c>
    </row>
    <row r="551" spans="1:5" hidden="1" x14ac:dyDescent="0.3">
      <c r="A551" s="50" t="s">
        <v>4816</v>
      </c>
      <c r="B551" s="50" t="s">
        <v>4318</v>
      </c>
      <c r="D551" s="51">
        <v>0</v>
      </c>
      <c r="E551" s="50">
        <v>0</v>
      </c>
    </row>
    <row r="552" spans="1:5" hidden="1" x14ac:dyDescent="0.3">
      <c r="A552" s="50" t="s">
        <v>4815</v>
      </c>
      <c r="B552" s="50" t="s">
        <v>4814</v>
      </c>
      <c r="D552" s="51">
        <v>727</v>
      </c>
      <c r="E552" s="50">
        <v>727</v>
      </c>
    </row>
    <row r="553" spans="1:5" hidden="1" x14ac:dyDescent="0.3">
      <c r="A553" s="50" t="s">
        <v>4813</v>
      </c>
      <c r="B553" s="50" t="s">
        <v>4812</v>
      </c>
      <c r="C553" s="50" t="s">
        <v>196</v>
      </c>
      <c r="D553" s="51">
        <v>0</v>
      </c>
      <c r="E553" s="50">
        <v>0</v>
      </c>
    </row>
    <row r="554" spans="1:5" hidden="1" x14ac:dyDescent="0.3">
      <c r="A554" s="50" t="s">
        <v>387</v>
      </c>
      <c r="B554" s="50" t="s">
        <v>388</v>
      </c>
      <c r="C554" s="50" t="s">
        <v>196</v>
      </c>
      <c r="D554" s="51">
        <v>533</v>
      </c>
      <c r="E554" s="50">
        <v>533</v>
      </c>
    </row>
    <row r="555" spans="1:5" hidden="1" x14ac:dyDescent="0.3">
      <c r="A555" s="50" t="s">
        <v>4811</v>
      </c>
      <c r="B555" s="50" t="s">
        <v>4810</v>
      </c>
      <c r="C555" s="50" t="s">
        <v>196</v>
      </c>
      <c r="D555" s="51">
        <v>623</v>
      </c>
      <c r="E555" s="50">
        <v>623</v>
      </c>
    </row>
    <row r="556" spans="1:5" ht="28.8" hidden="1" x14ac:dyDescent="0.3">
      <c r="A556" s="50" t="s">
        <v>4809</v>
      </c>
      <c r="B556" s="50" t="s">
        <v>4808</v>
      </c>
      <c r="D556" s="51">
        <v>100.65</v>
      </c>
      <c r="E556" s="50">
        <v>100.65</v>
      </c>
    </row>
    <row r="557" spans="1:5" ht="28.8" hidden="1" x14ac:dyDescent="0.3">
      <c r="A557" s="50" t="s">
        <v>4807</v>
      </c>
      <c r="B557" s="50" t="s">
        <v>4806</v>
      </c>
      <c r="D557" s="51">
        <v>100.65</v>
      </c>
      <c r="E557" s="50">
        <v>102.04</v>
      </c>
    </row>
    <row r="558" spans="1:5" hidden="1" x14ac:dyDescent="0.3">
      <c r="A558" s="50">
        <v>21113</v>
      </c>
      <c r="B558" s="50" t="s">
        <v>4805</v>
      </c>
      <c r="D558" s="51">
        <v>0</v>
      </c>
      <c r="E558" s="50">
        <v>0</v>
      </c>
    </row>
    <row r="559" spans="1:5" hidden="1" x14ac:dyDescent="0.3">
      <c r="A559" s="50">
        <v>214165</v>
      </c>
      <c r="B559" s="50" t="s">
        <v>4804</v>
      </c>
      <c r="D559" s="51">
        <v>0.5</v>
      </c>
      <c r="E559" s="50">
        <v>0.5</v>
      </c>
    </row>
    <row r="560" spans="1:5" hidden="1" x14ac:dyDescent="0.3">
      <c r="A560" s="50">
        <v>214899</v>
      </c>
      <c r="B560" s="50" t="s">
        <v>48</v>
      </c>
      <c r="D560" s="51">
        <v>0.8</v>
      </c>
      <c r="E560" s="50">
        <v>0.8</v>
      </c>
    </row>
    <row r="561" spans="1:5" hidden="1" x14ac:dyDescent="0.3">
      <c r="A561" s="50">
        <v>220025</v>
      </c>
      <c r="B561" s="50" t="s">
        <v>4803</v>
      </c>
      <c r="D561" s="51">
        <v>1.8</v>
      </c>
      <c r="E561" s="50">
        <v>1.8</v>
      </c>
    </row>
    <row r="562" spans="1:5" hidden="1" x14ac:dyDescent="0.3">
      <c r="A562" s="50">
        <v>22010</v>
      </c>
      <c r="B562" s="50" t="s">
        <v>4802</v>
      </c>
      <c r="C562" s="50" t="s">
        <v>654</v>
      </c>
      <c r="D562" s="51">
        <v>0</v>
      </c>
      <c r="E562" s="50">
        <v>0</v>
      </c>
    </row>
    <row r="563" spans="1:5" hidden="1" x14ac:dyDescent="0.3">
      <c r="A563" s="50">
        <v>22020</v>
      </c>
      <c r="B563" s="50" t="s">
        <v>4801</v>
      </c>
      <c r="C563" s="50" t="s">
        <v>654</v>
      </c>
      <c r="D563" s="51">
        <v>56.71</v>
      </c>
      <c r="E563" s="50">
        <v>35.35</v>
      </c>
    </row>
    <row r="564" spans="1:5" hidden="1" x14ac:dyDescent="0.3">
      <c r="A564" s="50">
        <v>22131</v>
      </c>
      <c r="B564" s="50" t="s">
        <v>4800</v>
      </c>
      <c r="C564" s="50" t="s">
        <v>654</v>
      </c>
      <c r="D564" s="51">
        <v>0</v>
      </c>
      <c r="E564" s="50">
        <v>0</v>
      </c>
    </row>
    <row r="565" spans="1:5" hidden="1" x14ac:dyDescent="0.3">
      <c r="A565" s="50">
        <v>22132</v>
      </c>
      <c r="B565" s="50" t="s">
        <v>4799</v>
      </c>
      <c r="C565" s="50" t="s">
        <v>654</v>
      </c>
      <c r="D565" s="51">
        <v>0</v>
      </c>
      <c r="E565" s="50">
        <v>0</v>
      </c>
    </row>
    <row r="566" spans="1:5" hidden="1" x14ac:dyDescent="0.3">
      <c r="A566" s="50">
        <v>22133</v>
      </c>
      <c r="B566" s="50" t="s">
        <v>4798</v>
      </c>
      <c r="C566" s="50" t="s">
        <v>654</v>
      </c>
      <c r="D566" s="51">
        <v>0</v>
      </c>
      <c r="E566" s="50">
        <v>0</v>
      </c>
    </row>
    <row r="567" spans="1:5" hidden="1" x14ac:dyDescent="0.3">
      <c r="A567" s="50">
        <v>221331</v>
      </c>
      <c r="B567" s="50" t="s">
        <v>4797</v>
      </c>
      <c r="D567" s="51">
        <v>0</v>
      </c>
      <c r="E567" s="50">
        <v>0</v>
      </c>
    </row>
    <row r="568" spans="1:5" hidden="1" x14ac:dyDescent="0.3">
      <c r="A568" s="50">
        <v>22154</v>
      </c>
      <c r="B568" s="50" t="s">
        <v>4796</v>
      </c>
      <c r="C568" s="50" t="s">
        <v>654</v>
      </c>
      <c r="D568" s="51">
        <v>0</v>
      </c>
      <c r="E568" s="50">
        <v>0</v>
      </c>
    </row>
    <row r="569" spans="1:5" hidden="1" x14ac:dyDescent="0.3">
      <c r="A569" s="50">
        <v>22155</v>
      </c>
      <c r="B569" s="50" t="s">
        <v>4795</v>
      </c>
      <c r="C569" s="50" t="s">
        <v>654</v>
      </c>
      <c r="D569" s="51">
        <v>0</v>
      </c>
      <c r="E569" s="50">
        <v>0</v>
      </c>
    </row>
    <row r="570" spans="1:5" hidden="1" x14ac:dyDescent="0.3">
      <c r="A570" s="50">
        <v>22156</v>
      </c>
      <c r="B570" s="50" t="s">
        <v>4794</v>
      </c>
      <c r="C570" s="50" t="s">
        <v>654</v>
      </c>
      <c r="D570" s="51">
        <v>0</v>
      </c>
      <c r="E570" s="50">
        <v>0</v>
      </c>
    </row>
    <row r="571" spans="1:5" hidden="1" x14ac:dyDescent="0.3">
      <c r="A571" s="50">
        <v>22165</v>
      </c>
      <c r="B571" s="50" t="s">
        <v>4793</v>
      </c>
      <c r="C571" s="50" t="s">
        <v>654</v>
      </c>
      <c r="D571" s="51">
        <v>47.94</v>
      </c>
      <c r="E571" s="50">
        <v>47.94</v>
      </c>
    </row>
    <row r="572" spans="1:5" hidden="1" x14ac:dyDescent="0.3">
      <c r="A572" s="50">
        <v>22167</v>
      </c>
      <c r="B572" s="50" t="s">
        <v>4792</v>
      </c>
      <c r="C572" s="50" t="s">
        <v>654</v>
      </c>
      <c r="D572" s="51">
        <v>31.15</v>
      </c>
      <c r="E572" s="50">
        <v>31.15</v>
      </c>
    </row>
    <row r="573" spans="1:5" hidden="1" x14ac:dyDescent="0.3">
      <c r="A573" s="50" t="s">
        <v>4791</v>
      </c>
      <c r="B573" s="50" t="s">
        <v>4790</v>
      </c>
      <c r="C573" s="50" t="s">
        <v>196</v>
      </c>
      <c r="D573" s="50" t="s">
        <v>4789</v>
      </c>
      <c r="E573" s="50">
        <v>16260</v>
      </c>
    </row>
    <row r="574" spans="1:5" hidden="1" x14ac:dyDescent="0.3">
      <c r="A574" s="50">
        <v>22668</v>
      </c>
      <c r="B574" s="50" t="s">
        <v>4788</v>
      </c>
      <c r="C574" s="50" t="s">
        <v>654</v>
      </c>
      <c r="D574" s="51">
        <v>0</v>
      </c>
      <c r="E574" s="50">
        <v>0</v>
      </c>
    </row>
    <row r="575" spans="1:5" hidden="1" x14ac:dyDescent="0.3">
      <c r="A575" s="50" t="s">
        <v>4787</v>
      </c>
      <c r="B575" s="50" t="s">
        <v>4786</v>
      </c>
      <c r="D575" s="51">
        <v>26</v>
      </c>
      <c r="E575" s="50">
        <v>26</v>
      </c>
    </row>
    <row r="576" spans="1:5" hidden="1" x14ac:dyDescent="0.3">
      <c r="A576" s="50">
        <v>235829</v>
      </c>
      <c r="B576" s="50" t="s">
        <v>4785</v>
      </c>
      <c r="D576" s="51">
        <v>16</v>
      </c>
      <c r="E576" s="50">
        <v>16</v>
      </c>
    </row>
    <row r="577" spans="1:5" hidden="1" x14ac:dyDescent="0.3">
      <c r="A577" s="50">
        <v>237756</v>
      </c>
      <c r="B577" s="50" t="s">
        <v>13</v>
      </c>
      <c r="D577" s="51">
        <v>1.8</v>
      </c>
      <c r="E577" s="50">
        <v>1.8</v>
      </c>
    </row>
    <row r="578" spans="1:5" ht="28.8" hidden="1" x14ac:dyDescent="0.3">
      <c r="A578" s="50">
        <v>237939</v>
      </c>
      <c r="B578" s="50" t="s">
        <v>42</v>
      </c>
      <c r="D578" s="51">
        <v>3</v>
      </c>
      <c r="E578" s="50">
        <v>3</v>
      </c>
    </row>
    <row r="579" spans="1:5" hidden="1" x14ac:dyDescent="0.3">
      <c r="A579" s="50">
        <v>237993</v>
      </c>
      <c r="B579" s="50" t="s">
        <v>15</v>
      </c>
      <c r="D579" s="51">
        <v>4</v>
      </c>
      <c r="E579" s="50">
        <v>4</v>
      </c>
    </row>
    <row r="580" spans="1:5" hidden="1" x14ac:dyDescent="0.3">
      <c r="A580" s="50">
        <v>238028</v>
      </c>
      <c r="B580" s="50" t="s">
        <v>16</v>
      </c>
      <c r="D580" s="51">
        <v>4.4000000000000004</v>
      </c>
      <c r="E580" s="50">
        <v>4.4000000000000004</v>
      </c>
    </row>
    <row r="581" spans="1:5" hidden="1" x14ac:dyDescent="0.3">
      <c r="A581" s="50">
        <v>238062</v>
      </c>
      <c r="B581" s="50" t="s">
        <v>17</v>
      </c>
      <c r="D581" s="51">
        <v>5.9</v>
      </c>
      <c r="E581" s="50">
        <v>5.9</v>
      </c>
    </row>
    <row r="582" spans="1:5" hidden="1" x14ac:dyDescent="0.3">
      <c r="A582" s="50">
        <v>238152</v>
      </c>
      <c r="B582" s="50" t="s">
        <v>18</v>
      </c>
      <c r="D582" s="51">
        <v>12.5</v>
      </c>
      <c r="E582" s="50">
        <v>12.5</v>
      </c>
    </row>
    <row r="583" spans="1:5" hidden="1" x14ac:dyDescent="0.3">
      <c r="A583" s="50">
        <v>238166</v>
      </c>
      <c r="B583" s="50" t="s">
        <v>4784</v>
      </c>
      <c r="D583" s="51">
        <v>18</v>
      </c>
      <c r="E583" s="50">
        <v>18</v>
      </c>
    </row>
    <row r="584" spans="1:5" ht="28.8" hidden="1" x14ac:dyDescent="0.3">
      <c r="A584" s="50">
        <v>238185</v>
      </c>
      <c r="B584" s="50" t="s">
        <v>4783</v>
      </c>
      <c r="D584" s="51">
        <v>20</v>
      </c>
      <c r="E584" s="50">
        <v>20</v>
      </c>
    </row>
    <row r="585" spans="1:5" hidden="1" x14ac:dyDescent="0.3">
      <c r="A585" s="50">
        <v>238307</v>
      </c>
      <c r="B585" s="50" t="s">
        <v>4782</v>
      </c>
      <c r="D585" s="51">
        <v>11</v>
      </c>
      <c r="E585" s="50">
        <v>11</v>
      </c>
    </row>
    <row r="586" spans="1:5" hidden="1" x14ac:dyDescent="0.3">
      <c r="A586" s="50">
        <v>239044</v>
      </c>
      <c r="B586" s="50" t="s">
        <v>4781</v>
      </c>
      <c r="D586" s="51">
        <v>0.4</v>
      </c>
      <c r="E586" s="50">
        <v>0.4</v>
      </c>
    </row>
    <row r="587" spans="1:5" hidden="1" x14ac:dyDescent="0.3">
      <c r="A587" s="50">
        <v>239158</v>
      </c>
      <c r="B587" s="50" t="s">
        <v>465</v>
      </c>
      <c r="D587" s="51">
        <v>0.65</v>
      </c>
      <c r="E587" s="50">
        <v>0.65</v>
      </c>
    </row>
    <row r="588" spans="1:5" hidden="1" x14ac:dyDescent="0.3">
      <c r="A588" s="50">
        <v>239281</v>
      </c>
      <c r="B588" s="50" t="s">
        <v>94</v>
      </c>
      <c r="D588" s="51">
        <v>0.9</v>
      </c>
      <c r="E588" s="50">
        <v>0.9</v>
      </c>
    </row>
    <row r="589" spans="1:5" ht="28.8" hidden="1" x14ac:dyDescent="0.3">
      <c r="A589" s="50">
        <v>241419</v>
      </c>
      <c r="B589" s="50" t="s">
        <v>4780</v>
      </c>
      <c r="D589" s="51">
        <v>0.4</v>
      </c>
      <c r="E589" s="50">
        <v>0.4</v>
      </c>
    </row>
    <row r="590" spans="1:5" ht="28.8" hidden="1" x14ac:dyDescent="0.3">
      <c r="A590" s="50">
        <v>241420</v>
      </c>
      <c r="B590" s="50" t="s">
        <v>4779</v>
      </c>
      <c r="D590" s="51">
        <v>0.8</v>
      </c>
      <c r="E590" s="50">
        <v>0.8</v>
      </c>
    </row>
    <row r="591" spans="1:5" ht="28.8" hidden="1" x14ac:dyDescent="0.3">
      <c r="A591" s="50">
        <v>241421</v>
      </c>
      <c r="B591" s="50" t="s">
        <v>4778</v>
      </c>
      <c r="D591" s="51">
        <v>1.3</v>
      </c>
      <c r="E591" s="50">
        <v>1.3</v>
      </c>
    </row>
    <row r="592" spans="1:5" ht="28.8" hidden="1" x14ac:dyDescent="0.3">
      <c r="A592" s="50">
        <v>241440</v>
      </c>
      <c r="B592" s="50" t="s">
        <v>4777</v>
      </c>
      <c r="D592" s="51">
        <v>0.06</v>
      </c>
      <c r="E592" s="50">
        <v>0.06</v>
      </c>
    </row>
    <row r="593" spans="1:5" ht="28.8" hidden="1" x14ac:dyDescent="0.3">
      <c r="A593" s="50">
        <v>241442</v>
      </c>
      <c r="B593" s="50" t="s">
        <v>4776</v>
      </c>
      <c r="D593" s="51">
        <v>0.15</v>
      </c>
      <c r="E593" s="50">
        <v>0.15</v>
      </c>
    </row>
    <row r="594" spans="1:5" hidden="1" x14ac:dyDescent="0.3">
      <c r="A594" s="50">
        <v>244896</v>
      </c>
      <c r="B594" s="50" t="s">
        <v>4775</v>
      </c>
      <c r="D594" s="51">
        <v>3</v>
      </c>
      <c r="E594" s="50">
        <v>3</v>
      </c>
    </row>
    <row r="595" spans="1:5" hidden="1" x14ac:dyDescent="0.3">
      <c r="A595" s="50">
        <v>244949</v>
      </c>
      <c r="B595" s="50" t="s">
        <v>4774</v>
      </c>
      <c r="D595" s="51">
        <v>4.5</v>
      </c>
      <c r="E595" s="50">
        <v>4.5</v>
      </c>
    </row>
    <row r="596" spans="1:5" hidden="1" x14ac:dyDescent="0.3">
      <c r="A596" s="50">
        <v>244999</v>
      </c>
      <c r="B596" s="50" t="s">
        <v>4773</v>
      </c>
      <c r="D596" s="51">
        <v>45</v>
      </c>
      <c r="E596" s="50">
        <v>45</v>
      </c>
    </row>
    <row r="597" spans="1:5" hidden="1" x14ac:dyDescent="0.3">
      <c r="A597" s="50">
        <v>245022</v>
      </c>
      <c r="B597" s="50" t="s">
        <v>4772</v>
      </c>
      <c r="D597" s="51">
        <v>15</v>
      </c>
      <c r="E597" s="50">
        <v>15</v>
      </c>
    </row>
    <row r="598" spans="1:5" hidden="1" x14ac:dyDescent="0.3">
      <c r="A598" s="50">
        <v>245035</v>
      </c>
      <c r="B598" s="50" t="s">
        <v>4771</v>
      </c>
      <c r="D598" s="51">
        <v>20</v>
      </c>
      <c r="E598" s="50">
        <v>20</v>
      </c>
    </row>
    <row r="599" spans="1:5" ht="28.8" hidden="1" x14ac:dyDescent="0.3">
      <c r="A599" s="50" t="s">
        <v>4770</v>
      </c>
      <c r="B599" s="50" t="s">
        <v>4769</v>
      </c>
      <c r="C599" s="50" t="s">
        <v>646</v>
      </c>
      <c r="D599" s="51">
        <v>701.44</v>
      </c>
      <c r="E599" s="50">
        <v>701.44</v>
      </c>
    </row>
    <row r="600" spans="1:5" ht="28.8" hidden="1" x14ac:dyDescent="0.3">
      <c r="A600" s="50" t="s">
        <v>4768</v>
      </c>
      <c r="B600" s="50" t="s">
        <v>4767</v>
      </c>
      <c r="C600" s="50" t="s">
        <v>643</v>
      </c>
      <c r="D600" s="50" t="s">
        <v>4766</v>
      </c>
      <c r="E600" s="50">
        <v>1418.1</v>
      </c>
    </row>
    <row r="601" spans="1:5" hidden="1" x14ac:dyDescent="0.3">
      <c r="A601" s="50">
        <v>245199</v>
      </c>
      <c r="B601" s="50" t="s">
        <v>4765</v>
      </c>
      <c r="D601" s="51">
        <v>0.65</v>
      </c>
      <c r="E601" s="50">
        <v>0.65</v>
      </c>
    </row>
    <row r="602" spans="1:5" hidden="1" x14ac:dyDescent="0.3">
      <c r="A602" s="50">
        <v>245232</v>
      </c>
      <c r="B602" s="50" t="s">
        <v>4764</v>
      </c>
      <c r="D602" s="51">
        <v>0.8</v>
      </c>
      <c r="E602" s="50">
        <v>0.8</v>
      </c>
    </row>
    <row r="603" spans="1:5" hidden="1" x14ac:dyDescent="0.3">
      <c r="A603" s="50">
        <v>245328</v>
      </c>
      <c r="B603" s="50" t="s">
        <v>4763</v>
      </c>
      <c r="D603" s="51">
        <v>1.8</v>
      </c>
      <c r="E603" s="50">
        <v>1.8</v>
      </c>
    </row>
    <row r="604" spans="1:5" hidden="1" x14ac:dyDescent="0.3">
      <c r="A604" s="50">
        <v>245333</v>
      </c>
      <c r="B604" s="50" t="s">
        <v>4762</v>
      </c>
      <c r="D604" s="51">
        <v>3.5</v>
      </c>
      <c r="E604" s="50">
        <v>3.5</v>
      </c>
    </row>
    <row r="605" spans="1:5" hidden="1" x14ac:dyDescent="0.3">
      <c r="A605" s="50">
        <v>245381</v>
      </c>
      <c r="B605" s="50" t="s">
        <v>4761</v>
      </c>
      <c r="D605" s="51">
        <v>0.2</v>
      </c>
      <c r="E605" s="50">
        <v>0.2</v>
      </c>
    </row>
    <row r="606" spans="1:5" hidden="1" x14ac:dyDescent="0.3">
      <c r="A606" s="50">
        <v>245388</v>
      </c>
      <c r="B606" s="50" t="s">
        <v>4760</v>
      </c>
      <c r="D606" s="51">
        <v>0.3</v>
      </c>
      <c r="E606" s="50">
        <v>0.3</v>
      </c>
    </row>
    <row r="607" spans="1:5" ht="28.8" hidden="1" x14ac:dyDescent="0.3">
      <c r="A607" s="50" t="s">
        <v>4759</v>
      </c>
      <c r="B607" s="50" t="s">
        <v>4758</v>
      </c>
      <c r="D607" s="51">
        <v>0</v>
      </c>
      <c r="E607" s="50">
        <v>0</v>
      </c>
    </row>
    <row r="608" spans="1:5" ht="28.8" hidden="1" x14ac:dyDescent="0.3">
      <c r="A608" s="50" t="s">
        <v>4757</v>
      </c>
      <c r="B608" s="50" t="s">
        <v>4756</v>
      </c>
      <c r="C608" s="50" t="s">
        <v>643</v>
      </c>
      <c r="D608" s="50" t="s">
        <v>4755</v>
      </c>
      <c r="E608" s="50">
        <v>2699</v>
      </c>
    </row>
    <row r="609" spans="1:5" hidden="1" x14ac:dyDescent="0.3">
      <c r="A609" s="50" t="s">
        <v>4754</v>
      </c>
      <c r="B609" s="50" t="s">
        <v>4111</v>
      </c>
      <c r="D609" s="51">
        <v>0</v>
      </c>
      <c r="E609" s="50">
        <v>0</v>
      </c>
    </row>
    <row r="610" spans="1:5" hidden="1" x14ac:dyDescent="0.3">
      <c r="A610" s="50" t="s">
        <v>4753</v>
      </c>
      <c r="B610" s="50" t="s">
        <v>4752</v>
      </c>
      <c r="D610" s="51">
        <v>653</v>
      </c>
      <c r="E610" s="50">
        <v>653</v>
      </c>
    </row>
    <row r="611" spans="1:5" hidden="1" x14ac:dyDescent="0.3">
      <c r="A611" s="50">
        <v>25001</v>
      </c>
      <c r="B611" s="50" t="s">
        <v>4751</v>
      </c>
      <c r="D611" s="51">
        <v>54.56</v>
      </c>
      <c r="E611" s="50">
        <v>54.56</v>
      </c>
    </row>
    <row r="612" spans="1:5" ht="28.8" hidden="1" x14ac:dyDescent="0.3">
      <c r="A612" s="50" t="s">
        <v>210</v>
      </c>
      <c r="B612" s="50" t="s">
        <v>4750</v>
      </c>
      <c r="D612" s="51">
        <v>297</v>
      </c>
      <c r="E612" s="50">
        <v>297</v>
      </c>
    </row>
    <row r="613" spans="1:5" hidden="1" x14ac:dyDescent="0.3">
      <c r="A613" s="50" t="s">
        <v>4749</v>
      </c>
      <c r="B613" s="50" t="s">
        <v>4748</v>
      </c>
      <c r="D613" s="51">
        <v>0</v>
      </c>
      <c r="E613" s="50">
        <v>0</v>
      </c>
    </row>
    <row r="614" spans="1:5" hidden="1" x14ac:dyDescent="0.3">
      <c r="A614" s="50" t="s">
        <v>4747</v>
      </c>
      <c r="B614" s="50" t="s">
        <v>4746</v>
      </c>
      <c r="D614" s="51">
        <v>0</v>
      </c>
      <c r="E614" s="50">
        <v>0</v>
      </c>
    </row>
    <row r="615" spans="1:5" hidden="1" x14ac:dyDescent="0.3">
      <c r="A615" s="50" t="s">
        <v>212</v>
      </c>
      <c r="B615" s="50" t="s">
        <v>4745</v>
      </c>
      <c r="D615" s="51">
        <v>384</v>
      </c>
      <c r="E615" s="50">
        <v>384</v>
      </c>
    </row>
    <row r="616" spans="1:5" hidden="1" x14ac:dyDescent="0.3">
      <c r="A616" s="50" t="s">
        <v>214</v>
      </c>
      <c r="B616" s="50" t="s">
        <v>215</v>
      </c>
      <c r="D616" s="51">
        <v>384</v>
      </c>
      <c r="E616" s="50">
        <v>384</v>
      </c>
    </row>
    <row r="617" spans="1:5" hidden="1" x14ac:dyDescent="0.3">
      <c r="A617" s="50" t="s">
        <v>216</v>
      </c>
      <c r="B617" s="50" t="s">
        <v>217</v>
      </c>
      <c r="D617" s="51">
        <v>384</v>
      </c>
      <c r="E617" s="50">
        <v>384</v>
      </c>
    </row>
    <row r="618" spans="1:5" hidden="1" x14ac:dyDescent="0.3">
      <c r="A618" s="50" t="s">
        <v>218</v>
      </c>
      <c r="B618" s="50" t="s">
        <v>4744</v>
      </c>
      <c r="D618" s="51">
        <v>384</v>
      </c>
      <c r="E618" s="50">
        <v>384</v>
      </c>
    </row>
    <row r="619" spans="1:5" hidden="1" x14ac:dyDescent="0.3">
      <c r="A619" s="50" t="s">
        <v>220</v>
      </c>
      <c r="B619" s="50" t="s">
        <v>4743</v>
      </c>
      <c r="D619" s="51">
        <v>384</v>
      </c>
      <c r="E619" s="50">
        <v>384</v>
      </c>
    </row>
    <row r="620" spans="1:5" hidden="1" x14ac:dyDescent="0.3">
      <c r="A620" s="50" t="s">
        <v>4742</v>
      </c>
      <c r="B620" s="50" t="s">
        <v>4318</v>
      </c>
      <c r="D620" s="51">
        <v>0</v>
      </c>
      <c r="E620" s="50">
        <v>0</v>
      </c>
    </row>
    <row r="621" spans="1:5" hidden="1" x14ac:dyDescent="0.3">
      <c r="A621" s="50" t="s">
        <v>4741</v>
      </c>
      <c r="B621" s="50" t="s">
        <v>4740</v>
      </c>
      <c r="D621" s="51">
        <v>818</v>
      </c>
      <c r="E621" s="50">
        <v>818</v>
      </c>
    </row>
    <row r="622" spans="1:5" hidden="1" x14ac:dyDescent="0.3">
      <c r="A622" s="50" t="s">
        <v>4739</v>
      </c>
      <c r="B622" s="50" t="s">
        <v>4738</v>
      </c>
      <c r="C622" s="50" t="s">
        <v>196</v>
      </c>
      <c r="D622" s="51">
        <v>0</v>
      </c>
      <c r="E622" s="50">
        <v>0</v>
      </c>
    </row>
    <row r="623" spans="1:5" hidden="1" x14ac:dyDescent="0.3">
      <c r="A623" s="50" t="s">
        <v>389</v>
      </c>
      <c r="B623" s="50" t="s">
        <v>390</v>
      </c>
      <c r="C623" s="50" t="s">
        <v>196</v>
      </c>
      <c r="D623" s="51">
        <v>595</v>
      </c>
      <c r="E623" s="50">
        <v>595</v>
      </c>
    </row>
    <row r="624" spans="1:5" ht="28.8" hidden="1" x14ac:dyDescent="0.3">
      <c r="A624" s="50" t="s">
        <v>4737</v>
      </c>
      <c r="B624" s="50" t="s">
        <v>4736</v>
      </c>
      <c r="D624" s="51">
        <v>159.27000000000001</v>
      </c>
      <c r="E624" s="50">
        <v>159.27000000000001</v>
      </c>
    </row>
    <row r="625" spans="1:5" ht="28.8" hidden="1" x14ac:dyDescent="0.3">
      <c r="A625" s="50" t="s">
        <v>4735</v>
      </c>
      <c r="B625" s="50" t="s">
        <v>4734</v>
      </c>
      <c r="D625" s="51">
        <v>154.81</v>
      </c>
      <c r="E625" s="50">
        <v>154.81</v>
      </c>
    </row>
    <row r="626" spans="1:5" ht="28.8" hidden="1" x14ac:dyDescent="0.3">
      <c r="A626" s="50" t="s">
        <v>4733</v>
      </c>
      <c r="B626" s="50" t="s">
        <v>4732</v>
      </c>
      <c r="D626" s="51">
        <v>170.11</v>
      </c>
      <c r="E626" s="50">
        <v>170.11</v>
      </c>
    </row>
    <row r="627" spans="1:5" hidden="1" x14ac:dyDescent="0.3">
      <c r="A627" s="50">
        <v>255557</v>
      </c>
      <c r="B627" s="50" t="s">
        <v>4731</v>
      </c>
      <c r="D627" s="51">
        <v>0</v>
      </c>
      <c r="E627" s="50">
        <v>0</v>
      </c>
    </row>
    <row r="628" spans="1:5" ht="28.8" hidden="1" x14ac:dyDescent="0.3">
      <c r="A628" s="50">
        <v>257799</v>
      </c>
      <c r="B628" s="50" t="s">
        <v>4730</v>
      </c>
      <c r="D628" s="51">
        <v>1.5</v>
      </c>
      <c r="E628" s="50">
        <v>1.5</v>
      </c>
    </row>
    <row r="629" spans="1:5" hidden="1" x14ac:dyDescent="0.3">
      <c r="A629" s="50">
        <v>257855</v>
      </c>
      <c r="B629" s="50" t="s">
        <v>4729</v>
      </c>
      <c r="D629" s="51">
        <v>6.5</v>
      </c>
      <c r="E629" s="50">
        <v>1.88</v>
      </c>
    </row>
    <row r="630" spans="1:5" hidden="1" x14ac:dyDescent="0.3">
      <c r="A630" s="50">
        <v>258032</v>
      </c>
      <c r="B630" s="50" t="s">
        <v>19</v>
      </c>
      <c r="D630" s="51">
        <v>0.15</v>
      </c>
      <c r="E630" s="50">
        <v>0.15</v>
      </c>
    </row>
    <row r="631" spans="1:5" hidden="1" x14ac:dyDescent="0.3">
      <c r="A631" s="50">
        <v>258205</v>
      </c>
      <c r="B631" s="50" t="s">
        <v>20</v>
      </c>
      <c r="D631" s="51">
        <v>0.9</v>
      </c>
      <c r="E631" s="50">
        <v>0.9</v>
      </c>
    </row>
    <row r="632" spans="1:5" hidden="1" x14ac:dyDescent="0.3">
      <c r="A632" s="50">
        <v>258306</v>
      </c>
      <c r="B632" s="50" t="s">
        <v>21</v>
      </c>
      <c r="D632" s="51">
        <v>0.2</v>
      </c>
      <c r="E632" s="50">
        <v>0.2</v>
      </c>
    </row>
    <row r="633" spans="1:5" hidden="1" x14ac:dyDescent="0.3">
      <c r="A633" s="50" t="s">
        <v>4728</v>
      </c>
      <c r="B633" s="50" t="s">
        <v>4727</v>
      </c>
      <c r="D633" s="51">
        <v>0</v>
      </c>
      <c r="E633" s="50">
        <v>0</v>
      </c>
    </row>
    <row r="634" spans="1:5" ht="43.2" hidden="1" x14ac:dyDescent="0.3">
      <c r="A634" s="50" t="s">
        <v>4726</v>
      </c>
      <c r="B634" s="50" t="s">
        <v>4725</v>
      </c>
      <c r="D634" s="51">
        <v>0</v>
      </c>
      <c r="E634" s="50">
        <v>0</v>
      </c>
    </row>
    <row r="635" spans="1:5" hidden="1" x14ac:dyDescent="0.3">
      <c r="A635" s="50" t="s">
        <v>4724</v>
      </c>
      <c r="B635" s="50" t="s">
        <v>4723</v>
      </c>
      <c r="D635" s="51">
        <v>0</v>
      </c>
      <c r="E635" s="50">
        <v>0</v>
      </c>
    </row>
    <row r="636" spans="1:5" hidden="1" x14ac:dyDescent="0.3">
      <c r="A636" s="50" t="s">
        <v>4722</v>
      </c>
      <c r="B636" s="50" t="s">
        <v>4721</v>
      </c>
      <c r="D636" s="51">
        <v>0</v>
      </c>
      <c r="E636" s="50">
        <v>0</v>
      </c>
    </row>
    <row r="637" spans="1:5" hidden="1" x14ac:dyDescent="0.3">
      <c r="A637" s="50" t="s">
        <v>4720</v>
      </c>
      <c r="B637" s="50" t="s">
        <v>4719</v>
      </c>
      <c r="D637" s="51">
        <v>0</v>
      </c>
      <c r="E637" s="50">
        <v>0</v>
      </c>
    </row>
    <row r="638" spans="1:5" hidden="1" x14ac:dyDescent="0.3">
      <c r="A638" s="50" t="s">
        <v>4718</v>
      </c>
      <c r="B638" s="50" t="s">
        <v>4717</v>
      </c>
      <c r="D638" s="51">
        <v>0</v>
      </c>
      <c r="E638" s="50">
        <v>0</v>
      </c>
    </row>
    <row r="639" spans="1:5" hidden="1" x14ac:dyDescent="0.3">
      <c r="A639" s="50" t="s">
        <v>4716</v>
      </c>
      <c r="B639" s="50" t="s">
        <v>4715</v>
      </c>
      <c r="D639" s="51">
        <v>0</v>
      </c>
      <c r="E639" s="50">
        <v>0</v>
      </c>
    </row>
    <row r="640" spans="1:5" hidden="1" x14ac:dyDescent="0.3">
      <c r="A640" s="50" t="s">
        <v>4714</v>
      </c>
      <c r="B640" s="50" t="s">
        <v>4713</v>
      </c>
      <c r="D640" s="51">
        <v>0</v>
      </c>
      <c r="E640" s="50">
        <v>0</v>
      </c>
    </row>
    <row r="641" spans="1:5" hidden="1" x14ac:dyDescent="0.3">
      <c r="A641" s="50" t="s">
        <v>4712</v>
      </c>
      <c r="B641" s="50" t="s">
        <v>4711</v>
      </c>
      <c r="D641" s="51">
        <v>0</v>
      </c>
      <c r="E641" s="50">
        <v>0</v>
      </c>
    </row>
    <row r="642" spans="1:5" hidden="1" x14ac:dyDescent="0.3">
      <c r="A642" s="50" t="s">
        <v>4710</v>
      </c>
      <c r="B642" s="50" t="s">
        <v>4709</v>
      </c>
      <c r="D642" s="51">
        <v>0</v>
      </c>
      <c r="E642" s="50">
        <v>0</v>
      </c>
    </row>
    <row r="643" spans="1:5" hidden="1" x14ac:dyDescent="0.3">
      <c r="A643" s="50" t="s">
        <v>4708</v>
      </c>
      <c r="B643" s="50" t="s">
        <v>4707</v>
      </c>
      <c r="D643" s="51">
        <v>0</v>
      </c>
      <c r="E643" s="50">
        <v>0</v>
      </c>
    </row>
    <row r="644" spans="1:5" hidden="1" x14ac:dyDescent="0.3">
      <c r="A644" s="50" t="s">
        <v>4706</v>
      </c>
      <c r="B644" s="50" t="s">
        <v>4705</v>
      </c>
      <c r="D644" s="51">
        <v>0</v>
      </c>
      <c r="E644" s="50">
        <v>0</v>
      </c>
    </row>
    <row r="645" spans="1:5" ht="28.8" hidden="1" x14ac:dyDescent="0.3">
      <c r="A645" s="50" t="s">
        <v>4704</v>
      </c>
      <c r="B645" s="50" t="s">
        <v>4703</v>
      </c>
      <c r="D645" s="51">
        <v>0</v>
      </c>
      <c r="E645" s="50">
        <v>0</v>
      </c>
    </row>
    <row r="646" spans="1:5" hidden="1" x14ac:dyDescent="0.3">
      <c r="A646" s="50" t="s">
        <v>4702</v>
      </c>
      <c r="B646" s="50" t="s">
        <v>4701</v>
      </c>
      <c r="D646" s="51">
        <v>0</v>
      </c>
      <c r="E646" s="50">
        <v>0</v>
      </c>
    </row>
    <row r="647" spans="1:5" hidden="1" x14ac:dyDescent="0.3">
      <c r="A647" s="50" t="s">
        <v>4700</v>
      </c>
      <c r="B647" s="50" t="s">
        <v>4699</v>
      </c>
      <c r="D647" s="51">
        <v>0</v>
      </c>
      <c r="E647" s="50">
        <v>0</v>
      </c>
    </row>
    <row r="648" spans="1:5" hidden="1" x14ac:dyDescent="0.3">
      <c r="A648" s="50" t="s">
        <v>4698</v>
      </c>
      <c r="B648" s="50" t="s">
        <v>4697</v>
      </c>
      <c r="D648" s="51">
        <v>0</v>
      </c>
      <c r="E648" s="50">
        <v>0</v>
      </c>
    </row>
    <row r="649" spans="1:5" hidden="1" x14ac:dyDescent="0.3">
      <c r="A649" s="50" t="s">
        <v>4696</v>
      </c>
      <c r="B649" s="50" t="s">
        <v>4695</v>
      </c>
      <c r="D649" s="51">
        <v>0</v>
      </c>
      <c r="E649" s="50">
        <v>0</v>
      </c>
    </row>
    <row r="650" spans="1:5" hidden="1" x14ac:dyDescent="0.3">
      <c r="A650" s="50" t="s">
        <v>4694</v>
      </c>
      <c r="B650" s="50" t="s">
        <v>4693</v>
      </c>
      <c r="D650" s="51">
        <v>0</v>
      </c>
      <c r="E650" s="50">
        <v>0</v>
      </c>
    </row>
    <row r="651" spans="1:5" hidden="1" x14ac:dyDescent="0.3">
      <c r="A651" s="50" t="s">
        <v>4692</v>
      </c>
      <c r="B651" s="50" t="s">
        <v>4691</v>
      </c>
      <c r="D651" s="51">
        <v>0</v>
      </c>
      <c r="E651" s="50">
        <v>0</v>
      </c>
    </row>
    <row r="652" spans="1:5" hidden="1" x14ac:dyDescent="0.3">
      <c r="A652" s="50" t="s">
        <v>4690</v>
      </c>
      <c r="B652" s="50" t="s">
        <v>4689</v>
      </c>
      <c r="D652" s="51">
        <v>0</v>
      </c>
      <c r="E652" s="50">
        <v>0</v>
      </c>
    </row>
    <row r="653" spans="1:5" hidden="1" x14ac:dyDescent="0.3">
      <c r="A653" s="50" t="s">
        <v>4688</v>
      </c>
      <c r="B653" s="50" t="s">
        <v>4687</v>
      </c>
      <c r="D653" s="51">
        <v>0</v>
      </c>
      <c r="E653" s="50">
        <v>0</v>
      </c>
    </row>
    <row r="654" spans="1:5" hidden="1" x14ac:dyDescent="0.3">
      <c r="A654" s="50" t="s">
        <v>4686</v>
      </c>
      <c r="B654" s="50" t="s">
        <v>4685</v>
      </c>
      <c r="D654" s="51">
        <v>0</v>
      </c>
      <c r="E654" s="50">
        <v>0</v>
      </c>
    </row>
    <row r="655" spans="1:5" hidden="1" x14ac:dyDescent="0.3">
      <c r="A655" s="50" t="s">
        <v>4684</v>
      </c>
      <c r="B655" s="50" t="s">
        <v>4680</v>
      </c>
      <c r="D655" s="51">
        <v>0</v>
      </c>
      <c r="E655" s="50">
        <v>0</v>
      </c>
    </row>
    <row r="656" spans="1:5" hidden="1" x14ac:dyDescent="0.3">
      <c r="A656" s="50" t="s">
        <v>4683</v>
      </c>
      <c r="B656" s="50" t="s">
        <v>4682</v>
      </c>
      <c r="D656" s="51">
        <v>0</v>
      </c>
      <c r="E656" s="50">
        <v>0</v>
      </c>
    </row>
    <row r="657" spans="1:5" hidden="1" x14ac:dyDescent="0.3">
      <c r="A657" s="50" t="s">
        <v>4681</v>
      </c>
      <c r="B657" s="50" t="s">
        <v>4680</v>
      </c>
      <c r="D657" s="51">
        <v>0</v>
      </c>
      <c r="E657" s="50">
        <v>0</v>
      </c>
    </row>
    <row r="658" spans="1:5" ht="28.8" hidden="1" x14ac:dyDescent="0.3">
      <c r="A658" s="50" t="s">
        <v>4679</v>
      </c>
      <c r="B658" s="50" t="s">
        <v>4678</v>
      </c>
      <c r="D658" s="51">
        <v>0</v>
      </c>
      <c r="E658" s="50">
        <v>0</v>
      </c>
    </row>
    <row r="659" spans="1:5" hidden="1" x14ac:dyDescent="0.3">
      <c r="A659" s="50">
        <v>26025</v>
      </c>
      <c r="B659" s="50" t="s">
        <v>4677</v>
      </c>
      <c r="C659" s="50" t="s">
        <v>654</v>
      </c>
      <c r="D659" s="51">
        <v>0</v>
      </c>
      <c r="E659" s="50">
        <v>0</v>
      </c>
    </row>
    <row r="660" spans="1:5" hidden="1" x14ac:dyDescent="0.3">
      <c r="A660" s="50">
        <v>26027</v>
      </c>
      <c r="B660" s="50" t="s">
        <v>4676</v>
      </c>
      <c r="C660" s="50" t="s">
        <v>654</v>
      </c>
      <c r="D660" s="51">
        <v>0</v>
      </c>
      <c r="E660" s="50">
        <v>0</v>
      </c>
    </row>
    <row r="661" spans="1:5" hidden="1" x14ac:dyDescent="0.3">
      <c r="A661" s="50" t="s">
        <v>4675</v>
      </c>
      <c r="B661" s="50" t="s">
        <v>4674</v>
      </c>
      <c r="D661" s="51">
        <v>83.34</v>
      </c>
      <c r="E661" s="50">
        <v>83.34</v>
      </c>
    </row>
    <row r="662" spans="1:5" hidden="1" x14ac:dyDescent="0.3">
      <c r="A662" s="50" t="s">
        <v>4673</v>
      </c>
      <c r="B662" s="50" t="s">
        <v>4672</v>
      </c>
      <c r="D662" s="51">
        <v>86.31</v>
      </c>
      <c r="E662" s="50">
        <v>86.31</v>
      </c>
    </row>
    <row r="663" spans="1:5" hidden="1" x14ac:dyDescent="0.3">
      <c r="A663" s="50">
        <v>267215</v>
      </c>
      <c r="B663" s="50" t="s">
        <v>22</v>
      </c>
      <c r="D663" s="51">
        <v>1</v>
      </c>
      <c r="E663" s="50">
        <v>1</v>
      </c>
    </row>
    <row r="664" spans="1:5" hidden="1" x14ac:dyDescent="0.3">
      <c r="A664" s="50" t="s">
        <v>4671</v>
      </c>
      <c r="B664" s="50" t="s">
        <v>4670</v>
      </c>
      <c r="D664" s="51">
        <v>5</v>
      </c>
      <c r="E664" s="50">
        <v>5</v>
      </c>
    </row>
    <row r="665" spans="1:5" hidden="1" x14ac:dyDescent="0.3">
      <c r="A665" s="50" t="s">
        <v>4669</v>
      </c>
      <c r="B665" s="50" t="s">
        <v>4668</v>
      </c>
      <c r="D665" s="51">
        <v>0</v>
      </c>
      <c r="E665" s="50">
        <v>0</v>
      </c>
    </row>
    <row r="666" spans="1:5" ht="28.8" hidden="1" x14ac:dyDescent="0.3">
      <c r="A666" s="50" t="s">
        <v>4667</v>
      </c>
      <c r="B666" s="50" t="s">
        <v>4588</v>
      </c>
      <c r="D666" s="51">
        <v>0</v>
      </c>
      <c r="E666" s="50">
        <v>0</v>
      </c>
    </row>
    <row r="667" spans="1:5" ht="28.8" hidden="1" x14ac:dyDescent="0.3">
      <c r="A667" s="50" t="s">
        <v>4666</v>
      </c>
      <c r="B667" s="50" t="s">
        <v>4665</v>
      </c>
      <c r="C667" s="50" t="s">
        <v>4664</v>
      </c>
      <c r="D667" s="50" t="s">
        <v>4663</v>
      </c>
      <c r="E667" s="50">
        <v>1052.26</v>
      </c>
    </row>
    <row r="668" spans="1:5" ht="28.8" hidden="1" x14ac:dyDescent="0.3">
      <c r="A668" s="50" t="s">
        <v>4662</v>
      </c>
      <c r="B668" s="50" t="s">
        <v>4661</v>
      </c>
      <c r="D668" s="50" t="s">
        <v>4660</v>
      </c>
      <c r="E668" s="50">
        <v>1536.76</v>
      </c>
    </row>
    <row r="669" spans="1:5" hidden="1" x14ac:dyDescent="0.3">
      <c r="A669" s="50" t="s">
        <v>4659</v>
      </c>
      <c r="B669" s="50" t="s">
        <v>4658</v>
      </c>
      <c r="D669" s="50" t="s">
        <v>4657</v>
      </c>
      <c r="E669" s="50">
        <v>6000</v>
      </c>
    </row>
    <row r="670" spans="1:5" hidden="1" x14ac:dyDescent="0.3">
      <c r="A670" s="50" t="s">
        <v>4656</v>
      </c>
      <c r="B670" s="50" t="s">
        <v>4111</v>
      </c>
      <c r="D670" s="51">
        <v>0</v>
      </c>
      <c r="E670" s="50">
        <v>0</v>
      </c>
    </row>
    <row r="671" spans="1:5" ht="28.8" hidden="1" x14ac:dyDescent="0.3">
      <c r="A671" s="50">
        <v>30301</v>
      </c>
      <c r="B671" s="50" t="s">
        <v>4655</v>
      </c>
      <c r="C671" s="50" t="s">
        <v>654</v>
      </c>
      <c r="D671" s="51">
        <v>0</v>
      </c>
      <c r="E671" s="50">
        <v>0</v>
      </c>
    </row>
    <row r="672" spans="1:5" ht="28.8" hidden="1" x14ac:dyDescent="0.3">
      <c r="A672" s="50">
        <v>30304</v>
      </c>
      <c r="B672" s="50" t="s">
        <v>4654</v>
      </c>
      <c r="C672" s="50" t="s">
        <v>654</v>
      </c>
      <c r="D672" s="51">
        <v>0</v>
      </c>
      <c r="E672" s="50">
        <v>0</v>
      </c>
    </row>
    <row r="673" spans="1:5" ht="28.8" hidden="1" x14ac:dyDescent="0.3">
      <c r="A673" s="50">
        <v>30305</v>
      </c>
      <c r="B673" s="50" t="s">
        <v>4653</v>
      </c>
      <c r="C673" s="50" t="s">
        <v>654</v>
      </c>
      <c r="D673" s="51">
        <v>0</v>
      </c>
      <c r="E673" s="50">
        <v>0</v>
      </c>
    </row>
    <row r="674" spans="1:5" ht="28.8" hidden="1" x14ac:dyDescent="0.3">
      <c r="A674" s="50">
        <v>30306</v>
      </c>
      <c r="B674" s="50" t="s">
        <v>4652</v>
      </c>
      <c r="C674" s="50" t="s">
        <v>654</v>
      </c>
      <c r="D674" s="51">
        <v>0</v>
      </c>
      <c r="E674" s="50">
        <v>0</v>
      </c>
    </row>
    <row r="675" spans="1:5" ht="28.8" hidden="1" x14ac:dyDescent="0.3">
      <c r="A675" s="50">
        <v>30307</v>
      </c>
      <c r="B675" s="50" t="s">
        <v>4651</v>
      </c>
      <c r="C675" s="50" t="s">
        <v>654</v>
      </c>
      <c r="D675" s="51">
        <v>0</v>
      </c>
      <c r="E675" s="50">
        <v>0</v>
      </c>
    </row>
    <row r="676" spans="1:5" ht="28.8" hidden="1" x14ac:dyDescent="0.3">
      <c r="A676" s="50">
        <v>30308</v>
      </c>
      <c r="B676" s="50" t="s">
        <v>4650</v>
      </c>
      <c r="C676" s="50" t="s">
        <v>654</v>
      </c>
      <c r="D676" s="51">
        <v>0</v>
      </c>
      <c r="E676" s="50">
        <v>0</v>
      </c>
    </row>
    <row r="677" spans="1:5" ht="28.8" hidden="1" x14ac:dyDescent="0.3">
      <c r="A677" s="50">
        <v>30309</v>
      </c>
      <c r="B677" s="50" t="s">
        <v>4649</v>
      </c>
      <c r="C677" s="50" t="s">
        <v>654</v>
      </c>
      <c r="D677" s="51">
        <v>0</v>
      </c>
      <c r="E677" s="50">
        <v>0</v>
      </c>
    </row>
    <row r="678" spans="1:5" ht="28.8" hidden="1" x14ac:dyDescent="0.3">
      <c r="A678" s="50">
        <v>30310</v>
      </c>
      <c r="B678" s="50" t="s">
        <v>4648</v>
      </c>
      <c r="C678" s="50" t="s">
        <v>654</v>
      </c>
      <c r="D678" s="51">
        <v>0</v>
      </c>
      <c r="E678" s="50">
        <v>0</v>
      </c>
    </row>
    <row r="679" spans="1:5" ht="28.8" hidden="1" x14ac:dyDescent="0.3">
      <c r="A679" s="50">
        <v>30311</v>
      </c>
      <c r="B679" s="50" t="s">
        <v>4647</v>
      </c>
      <c r="C679" s="50" t="s">
        <v>654</v>
      </c>
      <c r="D679" s="51">
        <v>0</v>
      </c>
      <c r="E679" s="50">
        <v>0</v>
      </c>
    </row>
    <row r="680" spans="1:5" hidden="1" x14ac:dyDescent="0.3">
      <c r="A680" s="50" t="s">
        <v>4646</v>
      </c>
      <c r="B680" s="50" t="s">
        <v>4267</v>
      </c>
      <c r="D680" s="51">
        <v>0</v>
      </c>
      <c r="E680" s="50">
        <v>0</v>
      </c>
    </row>
    <row r="681" spans="1:5" hidden="1" x14ac:dyDescent="0.3">
      <c r="A681" s="50" t="s">
        <v>4645</v>
      </c>
      <c r="B681" s="50" t="s">
        <v>4318</v>
      </c>
      <c r="D681" s="51">
        <v>0</v>
      </c>
      <c r="E681" s="50">
        <v>0</v>
      </c>
    </row>
    <row r="682" spans="1:5" ht="28.8" hidden="1" x14ac:dyDescent="0.3">
      <c r="A682" s="50" t="s">
        <v>194</v>
      </c>
      <c r="B682" s="50" t="s">
        <v>195</v>
      </c>
      <c r="C682" s="50" t="s">
        <v>196</v>
      </c>
      <c r="D682" s="51">
        <v>44.29</v>
      </c>
      <c r="E682" s="50">
        <v>42.71</v>
      </c>
    </row>
    <row r="683" spans="1:5" hidden="1" x14ac:dyDescent="0.3">
      <c r="A683" s="50" t="s">
        <v>161</v>
      </c>
      <c r="B683" s="50" t="s">
        <v>162</v>
      </c>
      <c r="C683" s="50" t="s">
        <v>196</v>
      </c>
      <c r="D683" s="51">
        <v>0</v>
      </c>
      <c r="E683" s="50">
        <v>76.19</v>
      </c>
    </row>
    <row r="684" spans="1:5" hidden="1" x14ac:dyDescent="0.3">
      <c r="A684" s="50" t="s">
        <v>4644</v>
      </c>
      <c r="B684" s="50" t="s">
        <v>4643</v>
      </c>
      <c r="C684" s="50" t="s">
        <v>196</v>
      </c>
      <c r="D684" s="51">
        <v>399</v>
      </c>
      <c r="E684" s="50">
        <v>142.96</v>
      </c>
    </row>
    <row r="685" spans="1:5" hidden="1" x14ac:dyDescent="0.3">
      <c r="A685" s="50" t="s">
        <v>4642</v>
      </c>
      <c r="B685" s="50" t="s">
        <v>4641</v>
      </c>
      <c r="C685" s="50" t="s">
        <v>196</v>
      </c>
      <c r="D685" s="51">
        <v>0</v>
      </c>
      <c r="E685" s="50">
        <v>0</v>
      </c>
    </row>
    <row r="686" spans="1:5" hidden="1" x14ac:dyDescent="0.3">
      <c r="A686" s="50" t="s">
        <v>4640</v>
      </c>
      <c r="B686" s="50" t="s">
        <v>4639</v>
      </c>
      <c r="C686" s="50" t="s">
        <v>196</v>
      </c>
      <c r="D686" s="51">
        <v>0</v>
      </c>
      <c r="E686" s="50">
        <v>0</v>
      </c>
    </row>
    <row r="687" spans="1:5" hidden="1" x14ac:dyDescent="0.3">
      <c r="A687" s="50" t="s">
        <v>4638</v>
      </c>
      <c r="B687" s="50" t="s">
        <v>4637</v>
      </c>
      <c r="D687" s="51">
        <v>0</v>
      </c>
      <c r="E687" s="50">
        <v>29.22</v>
      </c>
    </row>
    <row r="688" spans="1:5" hidden="1" x14ac:dyDescent="0.3">
      <c r="A688" s="50" t="s">
        <v>276</v>
      </c>
      <c r="B688" s="50" t="s">
        <v>277</v>
      </c>
      <c r="C688" s="50" t="s">
        <v>196</v>
      </c>
      <c r="D688" s="51">
        <v>21.95</v>
      </c>
      <c r="E688" s="50">
        <v>22.51</v>
      </c>
    </row>
    <row r="689" spans="1:5" ht="28.8" x14ac:dyDescent="0.3">
      <c r="A689" s="50" t="s">
        <v>4636</v>
      </c>
      <c r="B689" s="50" t="s">
        <v>4635</v>
      </c>
      <c r="C689" s="50" t="s">
        <v>3945</v>
      </c>
      <c r="D689" s="51">
        <v>133</v>
      </c>
      <c r="E689" s="50">
        <v>133</v>
      </c>
    </row>
    <row r="690" spans="1:5" hidden="1" x14ac:dyDescent="0.3">
      <c r="A690" s="50" t="s">
        <v>4634</v>
      </c>
      <c r="B690" s="50" t="s">
        <v>4633</v>
      </c>
      <c r="C690" s="50" t="s">
        <v>196</v>
      </c>
      <c r="D690" s="51">
        <v>0</v>
      </c>
      <c r="E690" s="50">
        <v>0</v>
      </c>
    </row>
    <row r="691" spans="1:5" hidden="1" x14ac:dyDescent="0.3">
      <c r="A691" s="50" t="s">
        <v>4632</v>
      </c>
      <c r="B691" s="50" t="s">
        <v>4631</v>
      </c>
      <c r="C691" s="50" t="s">
        <v>196</v>
      </c>
      <c r="D691" s="50" t="s">
        <v>4630</v>
      </c>
      <c r="E691" s="50">
        <v>1425</v>
      </c>
    </row>
    <row r="692" spans="1:5" hidden="1" x14ac:dyDescent="0.3">
      <c r="A692" s="50" t="s">
        <v>4629</v>
      </c>
      <c r="B692" s="50" t="s">
        <v>4628</v>
      </c>
      <c r="C692" s="50" t="s">
        <v>196</v>
      </c>
      <c r="D692" s="51">
        <v>0</v>
      </c>
      <c r="E692" s="50">
        <v>0</v>
      </c>
    </row>
    <row r="693" spans="1:5" hidden="1" x14ac:dyDescent="0.3">
      <c r="A693" s="50" t="s">
        <v>355</v>
      </c>
      <c r="B693" s="50" t="s">
        <v>356</v>
      </c>
      <c r="C693" s="50" t="s">
        <v>196</v>
      </c>
      <c r="D693" s="50" t="s">
        <v>4627</v>
      </c>
      <c r="E693" s="50">
        <v>1340</v>
      </c>
    </row>
    <row r="694" spans="1:5" hidden="1" x14ac:dyDescent="0.3">
      <c r="A694" s="50" t="s">
        <v>4626</v>
      </c>
      <c r="B694" s="50" t="s">
        <v>4625</v>
      </c>
      <c r="C694" s="50" t="s">
        <v>196</v>
      </c>
      <c r="D694" s="51">
        <v>0</v>
      </c>
      <c r="E694" s="50">
        <v>0</v>
      </c>
    </row>
    <row r="695" spans="1:5" hidden="1" x14ac:dyDescent="0.3">
      <c r="A695" s="50" t="s">
        <v>4624</v>
      </c>
      <c r="B695" s="50" t="s">
        <v>4623</v>
      </c>
      <c r="C695" s="50" t="s">
        <v>196</v>
      </c>
      <c r="D695" s="50" t="s">
        <v>4622</v>
      </c>
      <c r="E695" s="50">
        <v>1695</v>
      </c>
    </row>
    <row r="696" spans="1:5" hidden="1" x14ac:dyDescent="0.3">
      <c r="A696" s="50" t="s">
        <v>4621</v>
      </c>
      <c r="B696" s="50" t="s">
        <v>4620</v>
      </c>
      <c r="D696" s="51">
        <v>0</v>
      </c>
      <c r="E696" s="50">
        <v>0</v>
      </c>
    </row>
    <row r="697" spans="1:5" hidden="1" x14ac:dyDescent="0.3">
      <c r="A697" s="50" t="s">
        <v>4619</v>
      </c>
      <c r="B697" s="50" t="s">
        <v>4618</v>
      </c>
      <c r="C697" s="50" t="s">
        <v>196</v>
      </c>
      <c r="D697" s="51">
        <v>0</v>
      </c>
      <c r="E697" s="50">
        <v>0</v>
      </c>
    </row>
    <row r="698" spans="1:5" ht="28.8" hidden="1" x14ac:dyDescent="0.3">
      <c r="A698" s="50" t="s">
        <v>4617</v>
      </c>
      <c r="B698" s="50" t="s">
        <v>4616</v>
      </c>
      <c r="C698" s="50" t="s">
        <v>196</v>
      </c>
      <c r="D698" s="51">
        <v>0</v>
      </c>
      <c r="E698" s="50">
        <v>0</v>
      </c>
    </row>
    <row r="699" spans="1:5" hidden="1" x14ac:dyDescent="0.3">
      <c r="A699" s="50" t="s">
        <v>4615</v>
      </c>
      <c r="B699" s="50" t="s">
        <v>4614</v>
      </c>
      <c r="C699" s="50" t="s">
        <v>196</v>
      </c>
      <c r="D699" s="51">
        <v>0</v>
      </c>
      <c r="E699" s="50">
        <v>0</v>
      </c>
    </row>
    <row r="700" spans="1:5" ht="28.8" hidden="1" x14ac:dyDescent="0.3">
      <c r="A700" s="50" t="s">
        <v>4613</v>
      </c>
      <c r="B700" s="50" t="s">
        <v>4612</v>
      </c>
      <c r="C700" s="50" t="s">
        <v>196</v>
      </c>
      <c r="D700" s="50" t="s">
        <v>4611</v>
      </c>
      <c r="E700" s="50">
        <v>1270</v>
      </c>
    </row>
    <row r="701" spans="1:5" hidden="1" x14ac:dyDescent="0.3">
      <c r="A701" s="50" t="s">
        <v>4610</v>
      </c>
      <c r="B701" s="50" t="s">
        <v>4609</v>
      </c>
      <c r="C701" s="50" t="s">
        <v>196</v>
      </c>
      <c r="D701" s="51">
        <v>0</v>
      </c>
      <c r="E701" s="50">
        <v>0</v>
      </c>
    </row>
    <row r="702" spans="1:5" ht="28.8" hidden="1" x14ac:dyDescent="0.3">
      <c r="A702" s="50" t="s">
        <v>4608</v>
      </c>
      <c r="B702" s="50" t="s">
        <v>4607</v>
      </c>
      <c r="C702" s="50" t="s">
        <v>196</v>
      </c>
      <c r="D702" s="51">
        <v>0</v>
      </c>
      <c r="E702" s="50">
        <v>0</v>
      </c>
    </row>
    <row r="703" spans="1:5" hidden="1" x14ac:dyDescent="0.3">
      <c r="A703" s="50" t="s">
        <v>4606</v>
      </c>
      <c r="B703" s="50" t="s">
        <v>4605</v>
      </c>
      <c r="C703" s="50" t="s">
        <v>196</v>
      </c>
      <c r="D703" s="51">
        <v>414</v>
      </c>
      <c r="E703" s="50">
        <v>414</v>
      </c>
    </row>
    <row r="704" spans="1:5" hidden="1" x14ac:dyDescent="0.3">
      <c r="A704" s="50" t="s">
        <v>391</v>
      </c>
      <c r="B704" s="50" t="s">
        <v>392</v>
      </c>
      <c r="C704" s="50" t="s">
        <v>196</v>
      </c>
      <c r="D704" s="51">
        <v>679</v>
      </c>
      <c r="E704" s="50">
        <v>679</v>
      </c>
    </row>
    <row r="705" spans="1:5" hidden="1" x14ac:dyDescent="0.3">
      <c r="A705" s="50" t="s">
        <v>4604</v>
      </c>
      <c r="B705" s="50" t="s">
        <v>4603</v>
      </c>
      <c r="C705" s="50" t="s">
        <v>196</v>
      </c>
      <c r="D705" s="51">
        <v>793</v>
      </c>
      <c r="E705" s="50">
        <v>793</v>
      </c>
    </row>
    <row r="706" spans="1:5" ht="28.8" hidden="1" x14ac:dyDescent="0.3">
      <c r="A706" s="50" t="s">
        <v>4602</v>
      </c>
      <c r="B706" s="50" t="s">
        <v>4601</v>
      </c>
      <c r="C706" s="50" t="s">
        <v>643</v>
      </c>
      <c r="D706" s="50" t="s">
        <v>4600</v>
      </c>
      <c r="E706" s="50">
        <v>4799</v>
      </c>
    </row>
    <row r="707" spans="1:5" hidden="1" x14ac:dyDescent="0.3">
      <c r="A707" s="50" t="s">
        <v>4599</v>
      </c>
      <c r="B707" s="50" t="s">
        <v>4598</v>
      </c>
      <c r="D707" s="51">
        <v>0</v>
      </c>
      <c r="E707" s="50">
        <v>0</v>
      </c>
    </row>
    <row r="708" spans="1:5" hidden="1" x14ac:dyDescent="0.3">
      <c r="A708" s="50" t="s">
        <v>335</v>
      </c>
      <c r="B708" s="50" t="s">
        <v>336</v>
      </c>
      <c r="D708" s="50" t="s">
        <v>4597</v>
      </c>
      <c r="E708" s="50">
        <v>2954.11</v>
      </c>
    </row>
    <row r="709" spans="1:5" hidden="1" x14ac:dyDescent="0.3">
      <c r="A709" s="50">
        <v>33353</v>
      </c>
      <c r="B709" s="50" t="s">
        <v>4596</v>
      </c>
      <c r="C709" s="50" t="s">
        <v>654</v>
      </c>
      <c r="D709" s="51">
        <v>0</v>
      </c>
      <c r="E709" s="50">
        <v>0</v>
      </c>
    </row>
    <row r="710" spans="1:5" hidden="1" x14ac:dyDescent="0.3">
      <c r="A710" s="50">
        <v>33355</v>
      </c>
      <c r="B710" s="50" t="s">
        <v>4595</v>
      </c>
      <c r="C710" s="50" t="s">
        <v>654</v>
      </c>
      <c r="D710" s="51">
        <v>0</v>
      </c>
      <c r="E710" s="50">
        <v>0</v>
      </c>
    </row>
    <row r="711" spans="1:5" hidden="1" x14ac:dyDescent="0.3">
      <c r="A711" s="50" t="s">
        <v>4594</v>
      </c>
      <c r="B711" s="50" t="s">
        <v>4593</v>
      </c>
      <c r="D711" s="50" t="s">
        <v>4592</v>
      </c>
      <c r="E711" s="50">
        <v>3406</v>
      </c>
    </row>
    <row r="712" spans="1:5" hidden="1" x14ac:dyDescent="0.3">
      <c r="A712" s="50" t="s">
        <v>337</v>
      </c>
      <c r="B712" s="50" t="s">
        <v>338</v>
      </c>
      <c r="D712" s="50" t="s">
        <v>4591</v>
      </c>
      <c r="E712" s="50">
        <v>2921.8</v>
      </c>
    </row>
    <row r="713" spans="1:5" hidden="1" x14ac:dyDescent="0.3">
      <c r="A713" s="50" t="s">
        <v>4590</v>
      </c>
      <c r="B713" s="50" t="s">
        <v>4318</v>
      </c>
      <c r="D713" s="51">
        <v>0</v>
      </c>
      <c r="E713" s="50">
        <v>0</v>
      </c>
    </row>
    <row r="714" spans="1:5" ht="28.8" hidden="1" x14ac:dyDescent="0.3">
      <c r="A714" s="50" t="s">
        <v>4589</v>
      </c>
      <c r="B714" s="50" t="s">
        <v>4588</v>
      </c>
      <c r="D714" s="51">
        <v>0</v>
      </c>
      <c r="E714" s="50">
        <v>0</v>
      </c>
    </row>
    <row r="715" spans="1:5" hidden="1" x14ac:dyDescent="0.3">
      <c r="A715" s="50" t="s">
        <v>4587</v>
      </c>
      <c r="B715" s="50" t="s">
        <v>4586</v>
      </c>
      <c r="C715" s="50" t="s">
        <v>196</v>
      </c>
      <c r="D715" s="51">
        <v>0</v>
      </c>
      <c r="E715" s="50">
        <v>0</v>
      </c>
    </row>
    <row r="716" spans="1:5" hidden="1" x14ac:dyDescent="0.3">
      <c r="A716" s="50" t="s">
        <v>4585</v>
      </c>
      <c r="B716" s="50" t="s">
        <v>4584</v>
      </c>
      <c r="C716" s="50" t="s">
        <v>196</v>
      </c>
      <c r="D716" s="51">
        <v>0</v>
      </c>
      <c r="E716" s="50">
        <v>0</v>
      </c>
    </row>
    <row r="717" spans="1:5" hidden="1" x14ac:dyDescent="0.3">
      <c r="A717" s="50" t="s">
        <v>4583</v>
      </c>
      <c r="B717" s="50" t="s">
        <v>4582</v>
      </c>
      <c r="C717" s="50" t="s">
        <v>196</v>
      </c>
      <c r="D717" s="51">
        <v>0</v>
      </c>
      <c r="E717" s="50">
        <v>0</v>
      </c>
    </row>
    <row r="718" spans="1:5" hidden="1" x14ac:dyDescent="0.3">
      <c r="A718" s="50" t="s">
        <v>4581</v>
      </c>
      <c r="B718" s="50" t="s">
        <v>4580</v>
      </c>
      <c r="C718" s="50" t="s">
        <v>196</v>
      </c>
      <c r="D718" s="51">
        <v>0</v>
      </c>
      <c r="E718" s="50">
        <v>0</v>
      </c>
    </row>
    <row r="719" spans="1:5" hidden="1" x14ac:dyDescent="0.3">
      <c r="A719" s="50" t="s">
        <v>4579</v>
      </c>
      <c r="B719" s="50" t="s">
        <v>4578</v>
      </c>
      <c r="C719" s="50" t="s">
        <v>196</v>
      </c>
      <c r="D719" s="51">
        <v>90.15</v>
      </c>
      <c r="E719" s="50">
        <v>90.15</v>
      </c>
    </row>
    <row r="720" spans="1:5" hidden="1" x14ac:dyDescent="0.3">
      <c r="A720" s="50" t="s">
        <v>4577</v>
      </c>
      <c r="B720" s="50" t="s">
        <v>4576</v>
      </c>
      <c r="C720" s="50" t="s">
        <v>196</v>
      </c>
      <c r="D720" s="51">
        <v>0</v>
      </c>
      <c r="E720" s="50">
        <v>0</v>
      </c>
    </row>
    <row r="721" spans="1:5" hidden="1" x14ac:dyDescent="0.3">
      <c r="A721" s="50" t="s">
        <v>4575</v>
      </c>
      <c r="B721" s="50" t="s">
        <v>4574</v>
      </c>
      <c r="C721" s="50" t="s">
        <v>196</v>
      </c>
      <c r="D721" s="51">
        <v>0</v>
      </c>
      <c r="E721" s="50">
        <v>0</v>
      </c>
    </row>
    <row r="722" spans="1:5" hidden="1" x14ac:dyDescent="0.3">
      <c r="A722" s="50" t="s">
        <v>4573</v>
      </c>
      <c r="B722" s="50" t="s">
        <v>4572</v>
      </c>
      <c r="C722" s="50" t="s">
        <v>196</v>
      </c>
      <c r="D722" s="51">
        <v>0</v>
      </c>
      <c r="E722" s="50">
        <v>0</v>
      </c>
    </row>
    <row r="723" spans="1:5" hidden="1" x14ac:dyDescent="0.3">
      <c r="A723" s="50" t="s">
        <v>4571</v>
      </c>
      <c r="B723" s="50" t="s">
        <v>4570</v>
      </c>
      <c r="C723" s="50" t="s">
        <v>196</v>
      </c>
      <c r="D723" s="51">
        <v>0</v>
      </c>
      <c r="E723" s="50">
        <v>0</v>
      </c>
    </row>
    <row r="724" spans="1:5" hidden="1" x14ac:dyDescent="0.3">
      <c r="A724" s="50" t="s">
        <v>4569</v>
      </c>
      <c r="B724" s="50" t="s">
        <v>4568</v>
      </c>
      <c r="C724" s="50" t="s">
        <v>196</v>
      </c>
      <c r="D724" s="51">
        <v>0</v>
      </c>
      <c r="E724" s="50">
        <v>0</v>
      </c>
    </row>
    <row r="725" spans="1:5" hidden="1" x14ac:dyDescent="0.3">
      <c r="A725" s="50" t="s">
        <v>4567</v>
      </c>
      <c r="B725" s="50" t="s">
        <v>4566</v>
      </c>
      <c r="C725" s="50" t="s">
        <v>196</v>
      </c>
      <c r="D725" s="51">
        <v>0</v>
      </c>
      <c r="E725" s="50">
        <v>0</v>
      </c>
    </row>
    <row r="726" spans="1:5" hidden="1" x14ac:dyDescent="0.3">
      <c r="A726" s="50" t="s">
        <v>4565</v>
      </c>
      <c r="B726" s="50" t="s">
        <v>4564</v>
      </c>
      <c r="C726" s="50" t="s">
        <v>196</v>
      </c>
      <c r="D726" s="51">
        <v>0</v>
      </c>
      <c r="E726" s="50">
        <v>0</v>
      </c>
    </row>
    <row r="727" spans="1:5" ht="28.8" hidden="1" x14ac:dyDescent="0.3">
      <c r="A727" s="50" t="s">
        <v>4563</v>
      </c>
      <c r="B727" s="50" t="s">
        <v>4562</v>
      </c>
      <c r="C727" s="50" t="s">
        <v>196</v>
      </c>
      <c r="D727" s="51">
        <v>0</v>
      </c>
      <c r="E727" s="50">
        <v>0</v>
      </c>
    </row>
    <row r="728" spans="1:5" hidden="1" x14ac:dyDescent="0.3">
      <c r="A728" s="50" t="s">
        <v>4561</v>
      </c>
      <c r="B728" s="50" t="s">
        <v>4560</v>
      </c>
      <c r="C728" s="50" t="s">
        <v>196</v>
      </c>
      <c r="D728" s="51">
        <v>0</v>
      </c>
      <c r="E728" s="50">
        <v>0</v>
      </c>
    </row>
    <row r="729" spans="1:5" ht="28.8" hidden="1" x14ac:dyDescent="0.3">
      <c r="A729" s="50" t="s">
        <v>4559</v>
      </c>
      <c r="B729" s="50" t="s">
        <v>4558</v>
      </c>
      <c r="C729" s="50" t="s">
        <v>196</v>
      </c>
      <c r="D729" s="51">
        <v>0</v>
      </c>
      <c r="E729" s="50">
        <v>0</v>
      </c>
    </row>
    <row r="730" spans="1:5" hidden="1" x14ac:dyDescent="0.3">
      <c r="A730" s="50" t="s">
        <v>4557</v>
      </c>
      <c r="B730" s="50" t="s">
        <v>4556</v>
      </c>
      <c r="C730" s="50" t="s">
        <v>196</v>
      </c>
      <c r="D730" s="51">
        <v>0</v>
      </c>
      <c r="E730" s="50">
        <v>0</v>
      </c>
    </row>
    <row r="731" spans="1:5" ht="28.8" hidden="1" x14ac:dyDescent="0.3">
      <c r="A731" s="50" t="s">
        <v>4555</v>
      </c>
      <c r="B731" s="50" t="s">
        <v>4554</v>
      </c>
      <c r="C731" s="50" t="s">
        <v>196</v>
      </c>
      <c r="D731" s="51">
        <v>0</v>
      </c>
      <c r="E731" s="50">
        <v>0</v>
      </c>
    </row>
    <row r="732" spans="1:5" hidden="1" x14ac:dyDescent="0.3">
      <c r="A732" s="50" t="s">
        <v>393</v>
      </c>
      <c r="B732" s="50" t="s">
        <v>394</v>
      </c>
      <c r="C732" s="50" t="s">
        <v>196</v>
      </c>
      <c r="D732" s="51">
        <v>731</v>
      </c>
      <c r="E732" s="50">
        <v>731</v>
      </c>
    </row>
    <row r="733" spans="1:5" hidden="1" x14ac:dyDescent="0.3">
      <c r="A733" s="50" t="s">
        <v>4553</v>
      </c>
      <c r="B733" s="50" t="s">
        <v>4552</v>
      </c>
      <c r="D733" s="51">
        <v>0</v>
      </c>
      <c r="E733" s="50">
        <v>0</v>
      </c>
    </row>
    <row r="734" spans="1:5" ht="28.8" hidden="1" x14ac:dyDescent="0.3">
      <c r="A734" s="50" t="s">
        <v>4551</v>
      </c>
      <c r="B734" s="50" t="s">
        <v>4550</v>
      </c>
      <c r="D734" s="51">
        <v>0</v>
      </c>
      <c r="E734" s="50">
        <v>0</v>
      </c>
    </row>
    <row r="735" spans="1:5" ht="28.8" hidden="1" x14ac:dyDescent="0.3">
      <c r="A735" s="50" t="s">
        <v>4549</v>
      </c>
      <c r="B735" s="50" t="s">
        <v>4548</v>
      </c>
      <c r="D735" s="50" t="s">
        <v>2321</v>
      </c>
      <c r="E735" s="50">
        <v>2950</v>
      </c>
    </row>
    <row r="736" spans="1:5" hidden="1" x14ac:dyDescent="0.3">
      <c r="A736" s="50" t="s">
        <v>4547</v>
      </c>
      <c r="B736" s="50" t="s">
        <v>4546</v>
      </c>
      <c r="D736" s="50" t="s">
        <v>4543</v>
      </c>
      <c r="E736" s="50">
        <v>2334</v>
      </c>
    </row>
    <row r="737" spans="1:5" ht="28.8" hidden="1" x14ac:dyDescent="0.3">
      <c r="A737" s="50" t="s">
        <v>4545</v>
      </c>
      <c r="B737" s="50" t="s">
        <v>4544</v>
      </c>
      <c r="D737" s="50" t="s">
        <v>4543</v>
      </c>
      <c r="E737" s="50">
        <v>2334</v>
      </c>
    </row>
    <row r="738" spans="1:5" ht="28.8" hidden="1" x14ac:dyDescent="0.3">
      <c r="A738" s="50" t="s">
        <v>4542</v>
      </c>
      <c r="B738" s="50" t="s">
        <v>4541</v>
      </c>
      <c r="D738" s="50" t="s">
        <v>4540</v>
      </c>
      <c r="E738" s="50">
        <v>2650</v>
      </c>
    </row>
    <row r="739" spans="1:5" ht="28.8" hidden="1" x14ac:dyDescent="0.3">
      <c r="A739" s="50" t="s">
        <v>4539</v>
      </c>
      <c r="B739" s="50" t="s">
        <v>4538</v>
      </c>
      <c r="D739" s="50" t="s">
        <v>4537</v>
      </c>
      <c r="E739" s="50">
        <v>4071</v>
      </c>
    </row>
    <row r="740" spans="1:5" hidden="1" x14ac:dyDescent="0.3">
      <c r="A740" s="50">
        <v>4.03</v>
      </c>
      <c r="B740" s="50" t="s">
        <v>4536</v>
      </c>
      <c r="D740" s="51">
        <v>0</v>
      </c>
      <c r="E740" s="50">
        <v>0</v>
      </c>
    </row>
    <row r="741" spans="1:5" hidden="1" x14ac:dyDescent="0.3">
      <c r="A741" s="50">
        <v>400053</v>
      </c>
      <c r="B741" s="50" t="s">
        <v>4535</v>
      </c>
      <c r="D741" s="51">
        <v>15</v>
      </c>
      <c r="E741" s="50">
        <v>15</v>
      </c>
    </row>
    <row r="742" spans="1:5" hidden="1" x14ac:dyDescent="0.3">
      <c r="A742" s="50">
        <v>400080</v>
      </c>
      <c r="B742" s="50" t="s">
        <v>4534</v>
      </c>
      <c r="D742" s="51">
        <v>29.65</v>
      </c>
      <c r="E742" s="50">
        <v>29.65</v>
      </c>
    </row>
    <row r="743" spans="1:5" hidden="1" x14ac:dyDescent="0.3">
      <c r="A743" s="50">
        <v>400184</v>
      </c>
      <c r="B743" s="50" t="s">
        <v>4533</v>
      </c>
      <c r="D743" s="51">
        <v>95</v>
      </c>
      <c r="E743" s="50">
        <v>95</v>
      </c>
    </row>
    <row r="744" spans="1:5" hidden="1" x14ac:dyDescent="0.3">
      <c r="A744" s="50" t="s">
        <v>4532</v>
      </c>
      <c r="B744" s="50" t="s">
        <v>4531</v>
      </c>
      <c r="D744" s="50" t="s">
        <v>4530</v>
      </c>
      <c r="E744" s="50">
        <v>7000</v>
      </c>
    </row>
    <row r="745" spans="1:5" hidden="1" x14ac:dyDescent="0.3">
      <c r="A745" s="50">
        <v>400238</v>
      </c>
      <c r="B745" s="50" t="s">
        <v>4529</v>
      </c>
      <c r="D745" s="51">
        <v>15.5</v>
      </c>
      <c r="E745" s="50">
        <v>12.75</v>
      </c>
    </row>
    <row r="746" spans="1:5" hidden="1" x14ac:dyDescent="0.3">
      <c r="A746" s="50" t="s">
        <v>4528</v>
      </c>
      <c r="B746" s="50" t="s">
        <v>4389</v>
      </c>
      <c r="D746" s="51">
        <v>0</v>
      </c>
      <c r="E746" s="50">
        <v>0</v>
      </c>
    </row>
    <row r="747" spans="1:5" ht="28.8" hidden="1" x14ac:dyDescent="0.3">
      <c r="A747" s="50" t="s">
        <v>4527</v>
      </c>
      <c r="B747" s="50" t="s">
        <v>4526</v>
      </c>
      <c r="C747" s="50" t="s">
        <v>2298</v>
      </c>
      <c r="D747" s="50" t="s">
        <v>4525</v>
      </c>
      <c r="E747" s="50">
        <v>1195</v>
      </c>
    </row>
    <row r="748" spans="1:5" hidden="1" x14ac:dyDescent="0.3">
      <c r="A748" s="50" t="s">
        <v>166</v>
      </c>
      <c r="B748" s="50" t="s">
        <v>167</v>
      </c>
      <c r="C748" s="50" t="s">
        <v>196</v>
      </c>
      <c r="D748" s="51">
        <v>85</v>
      </c>
      <c r="E748" s="50">
        <v>85</v>
      </c>
    </row>
    <row r="749" spans="1:5" hidden="1" x14ac:dyDescent="0.3">
      <c r="A749" s="50" t="s">
        <v>4524</v>
      </c>
      <c r="B749" s="50" t="s">
        <v>4523</v>
      </c>
      <c r="C749" s="50" t="s">
        <v>196</v>
      </c>
      <c r="D749" s="51">
        <v>488</v>
      </c>
      <c r="E749" s="50">
        <v>264.77999999999997</v>
      </c>
    </row>
    <row r="750" spans="1:5" hidden="1" x14ac:dyDescent="0.3">
      <c r="A750" s="50" t="s">
        <v>4522</v>
      </c>
      <c r="B750" s="50" t="s">
        <v>4521</v>
      </c>
      <c r="C750" s="50" t="s">
        <v>196</v>
      </c>
      <c r="D750" s="51">
        <v>840</v>
      </c>
      <c r="E750" s="50">
        <v>840</v>
      </c>
    </row>
    <row r="751" spans="1:5" hidden="1" x14ac:dyDescent="0.3">
      <c r="A751" s="50" t="s">
        <v>4520</v>
      </c>
      <c r="B751" s="50" t="s">
        <v>4519</v>
      </c>
      <c r="C751" s="50" t="s">
        <v>196</v>
      </c>
      <c r="D751" s="51">
        <v>0</v>
      </c>
      <c r="E751" s="50">
        <v>0</v>
      </c>
    </row>
    <row r="752" spans="1:5" hidden="1" x14ac:dyDescent="0.3">
      <c r="A752" s="50" t="s">
        <v>4518</v>
      </c>
      <c r="B752" s="50" t="s">
        <v>4517</v>
      </c>
      <c r="D752" s="51">
        <v>0</v>
      </c>
      <c r="E752" s="50">
        <v>27.01</v>
      </c>
    </row>
    <row r="753" spans="1:5" hidden="1" x14ac:dyDescent="0.3">
      <c r="A753" s="50" t="s">
        <v>280</v>
      </c>
      <c r="B753" s="50" t="s">
        <v>281</v>
      </c>
      <c r="C753" s="50" t="s">
        <v>196</v>
      </c>
      <c r="D753" s="51">
        <v>35.299999999999997</v>
      </c>
      <c r="E753" s="50">
        <v>36.68</v>
      </c>
    </row>
    <row r="754" spans="1:5" ht="28.8" x14ac:dyDescent="0.3">
      <c r="A754" s="50" t="s">
        <v>4516</v>
      </c>
      <c r="B754" s="50" t="s">
        <v>4515</v>
      </c>
      <c r="C754" s="50" t="s">
        <v>3945</v>
      </c>
      <c r="D754" s="51">
        <v>213</v>
      </c>
      <c r="E754" s="50">
        <v>213</v>
      </c>
    </row>
    <row r="755" spans="1:5" hidden="1" x14ac:dyDescent="0.3">
      <c r="A755" s="50" t="s">
        <v>4514</v>
      </c>
      <c r="B755" s="50" t="s">
        <v>4513</v>
      </c>
      <c r="C755" s="50" t="s">
        <v>196</v>
      </c>
      <c r="D755" s="51">
        <v>0</v>
      </c>
      <c r="E755" s="50">
        <v>0</v>
      </c>
    </row>
    <row r="756" spans="1:5" hidden="1" x14ac:dyDescent="0.3">
      <c r="A756" s="50" t="s">
        <v>4512</v>
      </c>
      <c r="B756" s="50" t="s">
        <v>4511</v>
      </c>
      <c r="C756" s="50" t="s">
        <v>196</v>
      </c>
      <c r="D756" s="50" t="s">
        <v>4510</v>
      </c>
      <c r="E756" s="50">
        <v>1456</v>
      </c>
    </row>
    <row r="757" spans="1:5" hidden="1" x14ac:dyDescent="0.3">
      <c r="A757" s="50" t="s">
        <v>4509</v>
      </c>
      <c r="B757" s="50" t="s">
        <v>4508</v>
      </c>
      <c r="C757" s="50" t="s">
        <v>196</v>
      </c>
      <c r="D757" s="50" t="s">
        <v>4507</v>
      </c>
      <c r="E757" s="50">
        <v>1164</v>
      </c>
    </row>
    <row r="758" spans="1:5" hidden="1" x14ac:dyDescent="0.3">
      <c r="A758" s="50" t="s">
        <v>360</v>
      </c>
      <c r="B758" s="50" t="s">
        <v>361</v>
      </c>
      <c r="C758" s="50" t="s">
        <v>196</v>
      </c>
      <c r="D758" s="50" t="s">
        <v>4506</v>
      </c>
      <c r="E758" s="50">
        <v>1632</v>
      </c>
    </row>
    <row r="759" spans="1:5" hidden="1" x14ac:dyDescent="0.3">
      <c r="A759" s="50" t="s">
        <v>4505</v>
      </c>
      <c r="B759" s="50" t="s">
        <v>4504</v>
      </c>
      <c r="C759" s="50" t="s">
        <v>196</v>
      </c>
      <c r="D759" s="51">
        <v>0</v>
      </c>
      <c r="E759" s="50">
        <v>0</v>
      </c>
    </row>
    <row r="760" spans="1:5" hidden="1" x14ac:dyDescent="0.3">
      <c r="A760" s="50" t="s">
        <v>362</v>
      </c>
      <c r="B760" s="50" t="s">
        <v>363</v>
      </c>
      <c r="C760" s="50" t="s">
        <v>196</v>
      </c>
      <c r="D760" s="50" t="s">
        <v>4503</v>
      </c>
      <c r="E760" s="50">
        <v>2015.29</v>
      </c>
    </row>
    <row r="761" spans="1:5" hidden="1" x14ac:dyDescent="0.3">
      <c r="A761" s="50" t="s">
        <v>4502</v>
      </c>
      <c r="B761" s="50" t="s">
        <v>4501</v>
      </c>
      <c r="D761" s="51">
        <v>283</v>
      </c>
      <c r="E761" s="50">
        <v>283</v>
      </c>
    </row>
    <row r="762" spans="1:5" hidden="1" x14ac:dyDescent="0.3">
      <c r="A762" s="50" t="s">
        <v>4500</v>
      </c>
      <c r="B762" s="50" t="s">
        <v>4499</v>
      </c>
      <c r="C762" s="50" t="s">
        <v>196</v>
      </c>
      <c r="D762" s="51">
        <v>0</v>
      </c>
      <c r="E762" s="50">
        <v>0</v>
      </c>
    </row>
    <row r="763" spans="1:5" ht="28.8" hidden="1" x14ac:dyDescent="0.3">
      <c r="A763" s="50" t="s">
        <v>4498</v>
      </c>
      <c r="B763" s="50" t="s">
        <v>4497</v>
      </c>
      <c r="C763" s="50" t="s">
        <v>196</v>
      </c>
      <c r="D763" s="51">
        <v>0</v>
      </c>
      <c r="E763" s="50">
        <v>0</v>
      </c>
    </row>
    <row r="764" spans="1:5" hidden="1" x14ac:dyDescent="0.3">
      <c r="A764" s="50" t="s">
        <v>4496</v>
      </c>
      <c r="B764" s="50" t="s">
        <v>4495</v>
      </c>
      <c r="C764" s="50" t="s">
        <v>196</v>
      </c>
      <c r="D764" s="51">
        <v>0</v>
      </c>
      <c r="E764" s="50">
        <v>0</v>
      </c>
    </row>
    <row r="765" spans="1:5" ht="28.8" hidden="1" x14ac:dyDescent="0.3">
      <c r="A765" s="50" t="s">
        <v>4494</v>
      </c>
      <c r="B765" s="50" t="s">
        <v>4493</v>
      </c>
      <c r="C765" s="50" t="s">
        <v>196</v>
      </c>
      <c r="D765" s="50" t="s">
        <v>4492</v>
      </c>
      <c r="E765" s="50">
        <v>1506.5</v>
      </c>
    </row>
    <row r="766" spans="1:5" hidden="1" x14ac:dyDescent="0.3">
      <c r="A766" s="50" t="s">
        <v>4491</v>
      </c>
      <c r="B766" s="50" t="s">
        <v>4490</v>
      </c>
      <c r="C766" s="50" t="s">
        <v>196</v>
      </c>
      <c r="D766" s="51">
        <v>0</v>
      </c>
      <c r="E766" s="50">
        <v>0</v>
      </c>
    </row>
    <row r="767" spans="1:5" ht="28.8" hidden="1" x14ac:dyDescent="0.3">
      <c r="A767" s="50" t="s">
        <v>4489</v>
      </c>
      <c r="B767" s="50" t="s">
        <v>4488</v>
      </c>
      <c r="C767" s="50" t="s">
        <v>196</v>
      </c>
      <c r="D767" s="51">
        <v>0</v>
      </c>
      <c r="E767" s="50">
        <v>0</v>
      </c>
    </row>
    <row r="768" spans="1:5" hidden="1" x14ac:dyDescent="0.3">
      <c r="A768" s="50" t="s">
        <v>4487</v>
      </c>
      <c r="B768" s="50" t="s">
        <v>4111</v>
      </c>
      <c r="D768" s="51">
        <v>0</v>
      </c>
      <c r="E768" s="50">
        <v>0</v>
      </c>
    </row>
    <row r="769" spans="1:5" hidden="1" x14ac:dyDescent="0.3">
      <c r="A769" s="50" t="s">
        <v>4486</v>
      </c>
      <c r="B769" s="50" t="s">
        <v>4485</v>
      </c>
      <c r="D769" s="51">
        <v>0</v>
      </c>
      <c r="E769" s="50">
        <v>0</v>
      </c>
    </row>
    <row r="770" spans="1:5" hidden="1" x14ac:dyDescent="0.3">
      <c r="A770" s="50">
        <v>40301</v>
      </c>
      <c r="B770" s="50" t="s">
        <v>4484</v>
      </c>
      <c r="C770" s="50" t="s">
        <v>654</v>
      </c>
      <c r="D770" s="51">
        <v>0</v>
      </c>
      <c r="E770" s="50">
        <v>0</v>
      </c>
    </row>
    <row r="771" spans="1:5" hidden="1" x14ac:dyDescent="0.3">
      <c r="A771" s="50">
        <v>40302</v>
      </c>
      <c r="B771" s="50" t="s">
        <v>4483</v>
      </c>
      <c r="C771" s="50" t="s">
        <v>654</v>
      </c>
      <c r="D771" s="50" t="s">
        <v>4482</v>
      </c>
      <c r="E771" s="50">
        <v>4791.0600000000004</v>
      </c>
    </row>
    <row r="772" spans="1:5" hidden="1" x14ac:dyDescent="0.3">
      <c r="A772" s="50">
        <v>40304</v>
      </c>
      <c r="B772" s="50" t="s">
        <v>4468</v>
      </c>
      <c r="C772" s="50" t="s">
        <v>654</v>
      </c>
      <c r="D772" s="50" t="s">
        <v>4481</v>
      </c>
      <c r="E772" s="50">
        <v>7004.13</v>
      </c>
    </row>
    <row r="773" spans="1:5" hidden="1" x14ac:dyDescent="0.3">
      <c r="A773" s="50">
        <v>40306</v>
      </c>
      <c r="B773" s="50" t="s">
        <v>4480</v>
      </c>
      <c r="C773" s="50" t="s">
        <v>654</v>
      </c>
      <c r="D773" s="50" t="s">
        <v>4479</v>
      </c>
      <c r="E773" s="50">
        <v>7909.61</v>
      </c>
    </row>
    <row r="774" spans="1:5" hidden="1" x14ac:dyDescent="0.3">
      <c r="A774" s="50">
        <v>40308</v>
      </c>
      <c r="B774" s="50" t="s">
        <v>4466</v>
      </c>
      <c r="C774" s="50" t="s">
        <v>654</v>
      </c>
      <c r="D774" s="51">
        <v>0</v>
      </c>
      <c r="E774" s="50">
        <v>0</v>
      </c>
    </row>
    <row r="775" spans="1:5" hidden="1" x14ac:dyDescent="0.3">
      <c r="A775" s="50">
        <v>40309</v>
      </c>
      <c r="B775" s="50" t="s">
        <v>4478</v>
      </c>
      <c r="C775" s="50" t="s">
        <v>654</v>
      </c>
      <c r="D775" s="51">
        <v>0</v>
      </c>
      <c r="E775" s="50">
        <v>0</v>
      </c>
    </row>
    <row r="776" spans="1:5" hidden="1" x14ac:dyDescent="0.3">
      <c r="A776" s="50">
        <v>40310</v>
      </c>
      <c r="B776" s="50" t="s">
        <v>4477</v>
      </c>
      <c r="C776" s="50" t="s">
        <v>654</v>
      </c>
      <c r="D776" s="51">
        <v>0</v>
      </c>
      <c r="E776" s="50">
        <v>0</v>
      </c>
    </row>
    <row r="777" spans="1:5" hidden="1" x14ac:dyDescent="0.3">
      <c r="A777" s="50">
        <v>40313</v>
      </c>
      <c r="B777" s="50" t="s">
        <v>4476</v>
      </c>
      <c r="C777" s="50" t="s">
        <v>654</v>
      </c>
      <c r="D777" s="50" t="s">
        <v>4475</v>
      </c>
      <c r="E777" s="50">
        <v>5930.81</v>
      </c>
    </row>
    <row r="778" spans="1:5" hidden="1" x14ac:dyDescent="0.3">
      <c r="A778" s="50">
        <v>40314</v>
      </c>
      <c r="B778" s="50" t="s">
        <v>4474</v>
      </c>
      <c r="C778" s="50" t="s">
        <v>654</v>
      </c>
      <c r="D778" s="51">
        <v>0</v>
      </c>
      <c r="E778" s="50">
        <v>0</v>
      </c>
    </row>
    <row r="779" spans="1:5" hidden="1" x14ac:dyDescent="0.3">
      <c r="A779" s="50">
        <v>40315</v>
      </c>
      <c r="B779" s="50" t="s">
        <v>4464</v>
      </c>
      <c r="C779" s="50" t="s">
        <v>654</v>
      </c>
      <c r="D779" s="51">
        <v>0</v>
      </c>
      <c r="E779" s="50">
        <v>0</v>
      </c>
    </row>
    <row r="780" spans="1:5" hidden="1" x14ac:dyDescent="0.3">
      <c r="A780" s="50">
        <v>40316</v>
      </c>
      <c r="B780" s="50" t="s">
        <v>4473</v>
      </c>
      <c r="C780" s="50" t="s">
        <v>654</v>
      </c>
      <c r="D780" s="50" t="s">
        <v>4472</v>
      </c>
      <c r="E780" s="50">
        <v>0</v>
      </c>
    </row>
    <row r="781" spans="1:5" hidden="1" x14ac:dyDescent="0.3">
      <c r="A781" s="50">
        <v>40317</v>
      </c>
      <c r="B781" s="50" t="s">
        <v>4471</v>
      </c>
      <c r="C781" s="50" t="s">
        <v>654</v>
      </c>
      <c r="D781" s="51">
        <v>0</v>
      </c>
      <c r="E781" s="50">
        <v>0</v>
      </c>
    </row>
    <row r="782" spans="1:5" ht="43.2" hidden="1" x14ac:dyDescent="0.3">
      <c r="A782" s="50" t="s">
        <v>4470</v>
      </c>
      <c r="B782" s="50" t="s">
        <v>4469</v>
      </c>
      <c r="D782" s="51">
        <v>0</v>
      </c>
      <c r="E782" s="50">
        <v>0</v>
      </c>
    </row>
    <row r="783" spans="1:5" hidden="1" x14ac:dyDescent="0.3">
      <c r="A783" s="50">
        <v>40322</v>
      </c>
      <c r="B783" s="50" t="s">
        <v>4468</v>
      </c>
      <c r="D783" s="50" t="s">
        <v>4467</v>
      </c>
      <c r="E783" s="50">
        <v>7245.65</v>
      </c>
    </row>
    <row r="784" spans="1:5" hidden="1" x14ac:dyDescent="0.3">
      <c r="A784" s="50">
        <v>40324</v>
      </c>
      <c r="B784" s="50" t="s">
        <v>4466</v>
      </c>
      <c r="D784" s="50" t="s">
        <v>4465</v>
      </c>
      <c r="E784" s="50">
        <v>7797.41</v>
      </c>
    </row>
    <row r="785" spans="1:5" hidden="1" x14ac:dyDescent="0.3">
      <c r="A785" s="50">
        <v>40329</v>
      </c>
      <c r="B785" s="50" t="s">
        <v>4464</v>
      </c>
      <c r="D785" s="50" t="s">
        <v>4463</v>
      </c>
      <c r="E785" s="50">
        <v>7098.6</v>
      </c>
    </row>
    <row r="786" spans="1:5" hidden="1" x14ac:dyDescent="0.3">
      <c r="A786" s="50">
        <v>42116</v>
      </c>
      <c r="B786" s="50" t="s">
        <v>4462</v>
      </c>
      <c r="D786" s="50" t="s">
        <v>4461</v>
      </c>
      <c r="E786" s="50">
        <v>4363.4799999999996</v>
      </c>
    </row>
    <row r="787" spans="1:5" hidden="1" x14ac:dyDescent="0.3">
      <c r="A787" s="50">
        <v>42227</v>
      </c>
      <c r="B787" s="50" t="s">
        <v>4460</v>
      </c>
      <c r="C787" s="50" t="s">
        <v>654</v>
      </c>
      <c r="D787" s="50" t="s">
        <v>4459</v>
      </c>
      <c r="E787" s="50">
        <v>2758.05</v>
      </c>
    </row>
    <row r="788" spans="1:5" hidden="1" x14ac:dyDescent="0.3">
      <c r="A788" s="50">
        <v>42259</v>
      </c>
      <c r="B788" s="50" t="s">
        <v>4458</v>
      </c>
      <c r="C788" s="50" t="s">
        <v>654</v>
      </c>
      <c r="D788" s="50" t="s">
        <v>4457</v>
      </c>
      <c r="E788" s="50">
        <v>3107.62</v>
      </c>
    </row>
    <row r="789" spans="1:5" hidden="1" x14ac:dyDescent="0.3">
      <c r="A789" s="50" t="s">
        <v>339</v>
      </c>
      <c r="B789" s="50" t="s">
        <v>340</v>
      </c>
      <c r="D789" s="50" t="s">
        <v>4456</v>
      </c>
      <c r="E789" s="50">
        <v>3645.39</v>
      </c>
    </row>
    <row r="790" spans="1:5" hidden="1" x14ac:dyDescent="0.3">
      <c r="A790" s="50" t="s">
        <v>4455</v>
      </c>
      <c r="B790" s="50" t="s">
        <v>4454</v>
      </c>
      <c r="D790" s="51">
        <v>39</v>
      </c>
      <c r="E790" s="50">
        <v>39</v>
      </c>
    </row>
    <row r="791" spans="1:5" hidden="1" x14ac:dyDescent="0.3">
      <c r="A791" s="50" t="s">
        <v>4453</v>
      </c>
      <c r="B791" s="50" t="s">
        <v>4452</v>
      </c>
      <c r="D791" s="50" t="s">
        <v>4451</v>
      </c>
      <c r="E791" s="50">
        <v>3845.58</v>
      </c>
    </row>
    <row r="792" spans="1:5" hidden="1" x14ac:dyDescent="0.3">
      <c r="A792" s="50" t="s">
        <v>341</v>
      </c>
      <c r="B792" s="50" t="s">
        <v>342</v>
      </c>
      <c r="D792" s="50" t="s">
        <v>4450</v>
      </c>
      <c r="E792" s="50">
        <v>4006.78</v>
      </c>
    </row>
    <row r="793" spans="1:5" hidden="1" x14ac:dyDescent="0.3">
      <c r="A793" s="50" t="s">
        <v>4449</v>
      </c>
      <c r="B793" s="50" t="s">
        <v>4448</v>
      </c>
      <c r="C793" s="50" t="s">
        <v>196</v>
      </c>
      <c r="D793" s="51">
        <v>0</v>
      </c>
      <c r="E793" s="50">
        <v>0</v>
      </c>
    </row>
    <row r="794" spans="1:5" hidden="1" x14ac:dyDescent="0.3">
      <c r="A794" s="50" t="s">
        <v>4447</v>
      </c>
      <c r="B794" s="50" t="s">
        <v>4446</v>
      </c>
      <c r="C794" s="50" t="s">
        <v>196</v>
      </c>
      <c r="D794" s="51">
        <v>0</v>
      </c>
      <c r="E794" s="50">
        <v>0</v>
      </c>
    </row>
    <row r="795" spans="1:5" hidden="1" x14ac:dyDescent="0.3">
      <c r="A795" s="50" t="s">
        <v>4445</v>
      </c>
      <c r="B795" s="50" t="s">
        <v>4444</v>
      </c>
      <c r="C795" s="50" t="s">
        <v>196</v>
      </c>
      <c r="D795" s="51">
        <v>0</v>
      </c>
      <c r="E795" s="50">
        <v>0</v>
      </c>
    </row>
    <row r="796" spans="1:5" hidden="1" x14ac:dyDescent="0.3">
      <c r="A796" s="50" t="s">
        <v>4443</v>
      </c>
      <c r="B796" s="50" t="s">
        <v>4442</v>
      </c>
      <c r="C796" s="50" t="s">
        <v>196</v>
      </c>
      <c r="D796" s="51">
        <v>0</v>
      </c>
      <c r="E796" s="50">
        <v>0</v>
      </c>
    </row>
    <row r="797" spans="1:5" hidden="1" x14ac:dyDescent="0.3">
      <c r="A797" s="50" t="s">
        <v>4441</v>
      </c>
      <c r="B797" s="50" t="s">
        <v>4440</v>
      </c>
      <c r="C797" s="50" t="s">
        <v>196</v>
      </c>
      <c r="D797" s="51">
        <v>0</v>
      </c>
      <c r="E797" s="50">
        <v>0</v>
      </c>
    </row>
    <row r="798" spans="1:5" hidden="1" x14ac:dyDescent="0.3">
      <c r="A798" s="50" t="s">
        <v>4439</v>
      </c>
      <c r="B798" s="50" t="s">
        <v>4438</v>
      </c>
      <c r="C798" s="50" t="s">
        <v>196</v>
      </c>
      <c r="D798" s="51">
        <v>0</v>
      </c>
      <c r="E798" s="50">
        <v>0</v>
      </c>
    </row>
    <row r="799" spans="1:5" hidden="1" x14ac:dyDescent="0.3">
      <c r="A799" s="50" t="s">
        <v>4437</v>
      </c>
      <c r="B799" s="50" t="s">
        <v>4436</v>
      </c>
      <c r="C799" s="50" t="s">
        <v>196</v>
      </c>
      <c r="D799" s="51">
        <v>0</v>
      </c>
      <c r="E799" s="50">
        <v>0</v>
      </c>
    </row>
    <row r="800" spans="1:5" hidden="1" x14ac:dyDescent="0.3">
      <c r="A800" s="50" t="s">
        <v>4435</v>
      </c>
      <c r="B800" s="50" t="s">
        <v>4434</v>
      </c>
      <c r="C800" s="50" t="s">
        <v>196</v>
      </c>
      <c r="D800" s="51">
        <v>0</v>
      </c>
      <c r="E800" s="50">
        <v>0</v>
      </c>
    </row>
    <row r="801" spans="1:5" hidden="1" x14ac:dyDescent="0.3">
      <c r="A801" s="50" t="s">
        <v>4433</v>
      </c>
      <c r="B801" s="50" t="s">
        <v>4432</v>
      </c>
      <c r="C801" s="50" t="s">
        <v>196</v>
      </c>
      <c r="D801" s="51">
        <v>0</v>
      </c>
      <c r="E801" s="50">
        <v>0</v>
      </c>
    </row>
    <row r="802" spans="1:5" hidden="1" x14ac:dyDescent="0.3">
      <c r="A802" s="50" t="s">
        <v>4431</v>
      </c>
      <c r="B802" s="50" t="s">
        <v>4430</v>
      </c>
      <c r="C802" s="50" t="s">
        <v>196</v>
      </c>
      <c r="D802" s="51">
        <v>0</v>
      </c>
      <c r="E802" s="50">
        <v>0</v>
      </c>
    </row>
    <row r="803" spans="1:5" hidden="1" x14ac:dyDescent="0.3">
      <c r="A803" s="50" t="s">
        <v>4429</v>
      </c>
      <c r="B803" s="50" t="s">
        <v>4428</v>
      </c>
      <c r="C803" s="50" t="s">
        <v>196</v>
      </c>
      <c r="D803" s="51">
        <v>0</v>
      </c>
      <c r="E803" s="50">
        <v>0</v>
      </c>
    </row>
    <row r="804" spans="1:5" hidden="1" x14ac:dyDescent="0.3">
      <c r="A804" s="50" t="s">
        <v>4427</v>
      </c>
      <c r="B804" s="50" t="s">
        <v>4426</v>
      </c>
      <c r="C804" s="50" t="s">
        <v>196</v>
      </c>
      <c r="D804" s="51">
        <v>0</v>
      </c>
      <c r="E804" s="50">
        <v>0</v>
      </c>
    </row>
    <row r="805" spans="1:5" ht="28.8" hidden="1" x14ac:dyDescent="0.3">
      <c r="A805" s="50" t="s">
        <v>4425</v>
      </c>
      <c r="B805" s="50" t="s">
        <v>4424</v>
      </c>
      <c r="C805" s="50" t="s">
        <v>196</v>
      </c>
      <c r="D805" s="51">
        <v>0</v>
      </c>
      <c r="E805" s="50">
        <v>0</v>
      </c>
    </row>
    <row r="806" spans="1:5" hidden="1" x14ac:dyDescent="0.3">
      <c r="A806" s="50" t="s">
        <v>4423</v>
      </c>
      <c r="B806" s="50" t="s">
        <v>4422</v>
      </c>
      <c r="C806" s="50" t="s">
        <v>196</v>
      </c>
      <c r="D806" s="51">
        <v>0</v>
      </c>
      <c r="E806" s="50">
        <v>0</v>
      </c>
    </row>
    <row r="807" spans="1:5" ht="28.8" hidden="1" x14ac:dyDescent="0.3">
      <c r="A807" s="50" t="s">
        <v>4421</v>
      </c>
      <c r="B807" s="50" t="s">
        <v>4420</v>
      </c>
      <c r="C807" s="50" t="s">
        <v>196</v>
      </c>
      <c r="D807" s="51">
        <v>0</v>
      </c>
      <c r="E807" s="50">
        <v>0</v>
      </c>
    </row>
    <row r="808" spans="1:5" hidden="1" x14ac:dyDescent="0.3">
      <c r="A808" s="50" t="s">
        <v>4419</v>
      </c>
      <c r="B808" s="50" t="s">
        <v>4418</v>
      </c>
      <c r="C808" s="50" t="s">
        <v>196</v>
      </c>
      <c r="D808" s="51">
        <v>0</v>
      </c>
      <c r="E808" s="50">
        <v>0</v>
      </c>
    </row>
    <row r="809" spans="1:5" ht="28.8" hidden="1" x14ac:dyDescent="0.3">
      <c r="A809" s="50" t="s">
        <v>4417</v>
      </c>
      <c r="B809" s="50" t="s">
        <v>4416</v>
      </c>
      <c r="C809" s="50" t="s">
        <v>196</v>
      </c>
      <c r="D809" s="51">
        <v>0</v>
      </c>
      <c r="E809" s="50">
        <v>0</v>
      </c>
    </row>
    <row r="810" spans="1:5" ht="28.8" hidden="1" x14ac:dyDescent="0.3">
      <c r="A810" s="50">
        <v>46000</v>
      </c>
      <c r="B810" s="50" t="s">
        <v>4415</v>
      </c>
      <c r="D810" s="51">
        <v>198.34</v>
      </c>
      <c r="E810" s="50">
        <v>196.3</v>
      </c>
    </row>
    <row r="811" spans="1:5" hidden="1" x14ac:dyDescent="0.3">
      <c r="A811" s="50" t="s">
        <v>4414</v>
      </c>
      <c r="B811" s="50" t="s">
        <v>4413</v>
      </c>
      <c r="D811" s="51">
        <v>0</v>
      </c>
      <c r="E811" s="50">
        <v>0</v>
      </c>
    </row>
    <row r="812" spans="1:5" hidden="1" x14ac:dyDescent="0.3">
      <c r="A812" s="50" t="s">
        <v>4412</v>
      </c>
      <c r="B812" s="50" t="s">
        <v>4411</v>
      </c>
      <c r="D812" s="51">
        <v>0</v>
      </c>
      <c r="E812" s="50">
        <v>0</v>
      </c>
    </row>
    <row r="813" spans="1:5" hidden="1" x14ac:dyDescent="0.3">
      <c r="A813" s="50" t="s">
        <v>4410</v>
      </c>
      <c r="B813" s="50" t="s">
        <v>2180</v>
      </c>
      <c r="D813" s="51">
        <v>0</v>
      </c>
      <c r="E813" s="50">
        <v>0</v>
      </c>
    </row>
    <row r="814" spans="1:5" hidden="1" x14ac:dyDescent="0.3">
      <c r="A814" s="50">
        <v>49111090</v>
      </c>
      <c r="B814" s="50" t="s">
        <v>4409</v>
      </c>
      <c r="D814" s="51">
        <v>453.03</v>
      </c>
      <c r="E814" s="50">
        <v>453.03</v>
      </c>
    </row>
    <row r="815" spans="1:5" ht="28.8" hidden="1" x14ac:dyDescent="0.3">
      <c r="A815" s="50" t="s">
        <v>4408</v>
      </c>
      <c r="B815" s="50" t="s">
        <v>4408</v>
      </c>
      <c r="D815" s="51">
        <v>0.6</v>
      </c>
      <c r="E815" s="50">
        <v>0.6</v>
      </c>
    </row>
    <row r="816" spans="1:5" hidden="1" x14ac:dyDescent="0.3">
      <c r="A816" s="50" t="s">
        <v>4407</v>
      </c>
      <c r="B816" s="50" t="s">
        <v>4406</v>
      </c>
      <c r="D816" s="50" t="s">
        <v>790</v>
      </c>
      <c r="E816" s="50">
        <v>2796.67</v>
      </c>
    </row>
    <row r="817" spans="1:5" hidden="1" x14ac:dyDescent="0.3">
      <c r="A817" s="50" t="s">
        <v>4405</v>
      </c>
      <c r="B817" s="50" t="s">
        <v>4404</v>
      </c>
      <c r="D817" s="50" t="s">
        <v>4403</v>
      </c>
      <c r="E817" s="50">
        <v>4393.13</v>
      </c>
    </row>
    <row r="818" spans="1:5" hidden="1" x14ac:dyDescent="0.3">
      <c r="A818" s="50" t="s">
        <v>343</v>
      </c>
      <c r="B818" s="50" t="s">
        <v>344</v>
      </c>
      <c r="D818" s="50" t="s">
        <v>4402</v>
      </c>
      <c r="E818" s="50">
        <v>5386.44</v>
      </c>
    </row>
    <row r="819" spans="1:5" hidden="1" x14ac:dyDescent="0.3">
      <c r="A819" s="50" t="s">
        <v>345</v>
      </c>
      <c r="B819" s="50" t="s">
        <v>346</v>
      </c>
      <c r="D819" s="50" t="s">
        <v>4401</v>
      </c>
      <c r="E819" s="50">
        <v>4902.91</v>
      </c>
    </row>
    <row r="820" spans="1:5" hidden="1" x14ac:dyDescent="0.3">
      <c r="A820" s="50" t="s">
        <v>4400</v>
      </c>
      <c r="B820" s="50" t="s">
        <v>4399</v>
      </c>
      <c r="D820" s="51">
        <v>0</v>
      </c>
      <c r="E820" s="50">
        <v>0</v>
      </c>
    </row>
    <row r="821" spans="1:5" hidden="1" x14ac:dyDescent="0.3">
      <c r="A821" s="50" t="s">
        <v>4398</v>
      </c>
      <c r="B821" s="50" t="s">
        <v>4397</v>
      </c>
      <c r="D821" s="51">
        <v>0</v>
      </c>
      <c r="E821" s="50">
        <v>0</v>
      </c>
    </row>
    <row r="822" spans="1:5" ht="28.8" hidden="1" x14ac:dyDescent="0.3">
      <c r="A822" s="50" t="s">
        <v>4396</v>
      </c>
      <c r="B822" s="50" t="s">
        <v>4395</v>
      </c>
      <c r="D822" s="51">
        <v>281</v>
      </c>
      <c r="E822" s="50">
        <v>281</v>
      </c>
    </row>
    <row r="823" spans="1:5" hidden="1" x14ac:dyDescent="0.3">
      <c r="A823" s="50" t="s">
        <v>4394</v>
      </c>
      <c r="B823" s="50" t="s">
        <v>4393</v>
      </c>
      <c r="D823" s="51">
        <v>890</v>
      </c>
      <c r="E823" s="50">
        <v>890</v>
      </c>
    </row>
    <row r="824" spans="1:5" hidden="1" x14ac:dyDescent="0.3">
      <c r="A824" s="50" t="s">
        <v>4392</v>
      </c>
      <c r="B824" s="50" t="s">
        <v>4391</v>
      </c>
      <c r="D824" s="50" t="s">
        <v>812</v>
      </c>
      <c r="E824" s="50">
        <v>8000</v>
      </c>
    </row>
    <row r="825" spans="1:5" hidden="1" x14ac:dyDescent="0.3">
      <c r="A825" s="50" t="s">
        <v>4390</v>
      </c>
      <c r="B825" s="50" t="s">
        <v>4389</v>
      </c>
      <c r="D825" s="51">
        <v>0</v>
      </c>
      <c r="E825" s="50">
        <v>0</v>
      </c>
    </row>
    <row r="826" spans="1:5" ht="28.8" hidden="1" x14ac:dyDescent="0.3">
      <c r="A826" s="50" t="s">
        <v>4388</v>
      </c>
      <c r="B826" s="50" t="s">
        <v>4387</v>
      </c>
      <c r="C826" s="50" t="s">
        <v>2298</v>
      </c>
      <c r="D826" s="50" t="s">
        <v>4386</v>
      </c>
      <c r="E826" s="50">
        <v>1438</v>
      </c>
    </row>
    <row r="827" spans="1:5" hidden="1" x14ac:dyDescent="0.3">
      <c r="A827" s="50" t="s">
        <v>170</v>
      </c>
      <c r="B827" s="50" t="s">
        <v>171</v>
      </c>
      <c r="C827" s="50" t="s">
        <v>196</v>
      </c>
      <c r="D827" s="51">
        <v>0</v>
      </c>
      <c r="E827" s="50">
        <v>64.44</v>
      </c>
    </row>
    <row r="828" spans="1:5" ht="28.8" hidden="1" x14ac:dyDescent="0.3">
      <c r="A828" s="50" t="s">
        <v>172</v>
      </c>
      <c r="B828" s="50" t="s">
        <v>173</v>
      </c>
      <c r="D828" s="51">
        <v>0</v>
      </c>
      <c r="E828" s="50">
        <v>0</v>
      </c>
    </row>
    <row r="829" spans="1:5" hidden="1" x14ac:dyDescent="0.3">
      <c r="A829" s="50" t="s">
        <v>4385</v>
      </c>
      <c r="B829" s="50" t="s">
        <v>4384</v>
      </c>
      <c r="C829" s="50" t="s">
        <v>196</v>
      </c>
      <c r="D829" s="51">
        <v>520</v>
      </c>
      <c r="E829" s="50">
        <v>537.57000000000005</v>
      </c>
    </row>
    <row r="830" spans="1:5" hidden="1" x14ac:dyDescent="0.3">
      <c r="A830" s="50" t="s">
        <v>4383</v>
      </c>
      <c r="B830" s="50" t="s">
        <v>4382</v>
      </c>
      <c r="C830" s="50" t="s">
        <v>196</v>
      </c>
      <c r="D830" s="50" t="s">
        <v>4381</v>
      </c>
      <c r="E830" s="50">
        <v>1025</v>
      </c>
    </row>
    <row r="831" spans="1:5" hidden="1" x14ac:dyDescent="0.3">
      <c r="A831" s="50" t="s">
        <v>4380</v>
      </c>
      <c r="B831" s="50" t="s">
        <v>4379</v>
      </c>
      <c r="C831" s="50" t="s">
        <v>196</v>
      </c>
      <c r="D831" s="51">
        <v>0</v>
      </c>
      <c r="E831" s="50">
        <v>0</v>
      </c>
    </row>
    <row r="832" spans="1:5" hidden="1" x14ac:dyDescent="0.3">
      <c r="A832" s="50" t="s">
        <v>4378</v>
      </c>
      <c r="B832" s="50" t="s">
        <v>2751</v>
      </c>
      <c r="D832" s="50" t="s">
        <v>4377</v>
      </c>
      <c r="E832" s="50">
        <v>1630</v>
      </c>
    </row>
    <row r="833" spans="1:5" hidden="1" x14ac:dyDescent="0.3">
      <c r="A833" s="50" t="s">
        <v>4376</v>
      </c>
      <c r="B833" s="50" t="s">
        <v>4375</v>
      </c>
      <c r="D833" s="51">
        <v>0</v>
      </c>
      <c r="E833" s="50">
        <v>25.35</v>
      </c>
    </row>
    <row r="834" spans="1:5" hidden="1" x14ac:dyDescent="0.3">
      <c r="A834" s="50" t="s">
        <v>284</v>
      </c>
      <c r="B834" s="50" t="s">
        <v>285</v>
      </c>
      <c r="C834" s="50" t="s">
        <v>196</v>
      </c>
      <c r="D834" s="51">
        <v>0</v>
      </c>
      <c r="E834" s="50">
        <v>0</v>
      </c>
    </row>
    <row r="835" spans="1:5" hidden="1" x14ac:dyDescent="0.3">
      <c r="A835" s="50" t="s">
        <v>286</v>
      </c>
      <c r="B835" s="50" t="s">
        <v>4374</v>
      </c>
      <c r="C835" s="50" t="s">
        <v>196</v>
      </c>
      <c r="D835" s="51">
        <v>0</v>
      </c>
      <c r="E835" s="50">
        <v>0</v>
      </c>
    </row>
    <row r="836" spans="1:5" hidden="1" x14ac:dyDescent="0.3">
      <c r="A836" s="50" t="s">
        <v>4373</v>
      </c>
      <c r="B836" s="50" t="s">
        <v>4371</v>
      </c>
      <c r="D836" s="51">
        <v>62</v>
      </c>
      <c r="E836" s="50">
        <v>62</v>
      </c>
    </row>
    <row r="837" spans="1:5" hidden="1" x14ac:dyDescent="0.3">
      <c r="A837" s="50" t="s">
        <v>4372</v>
      </c>
      <c r="B837" s="50" t="s">
        <v>4371</v>
      </c>
      <c r="D837" s="51">
        <v>0</v>
      </c>
      <c r="E837" s="50">
        <v>0</v>
      </c>
    </row>
    <row r="838" spans="1:5" ht="28.8" x14ac:dyDescent="0.3">
      <c r="A838" s="50" t="s">
        <v>4370</v>
      </c>
      <c r="B838" s="50" t="s">
        <v>4369</v>
      </c>
      <c r="C838" s="50" t="s">
        <v>3945</v>
      </c>
      <c r="D838" s="51">
        <v>400</v>
      </c>
      <c r="E838" s="50">
        <v>400</v>
      </c>
    </row>
    <row r="839" spans="1:5" ht="28.8" x14ac:dyDescent="0.3">
      <c r="A839" s="50" t="s">
        <v>4368</v>
      </c>
      <c r="B839" s="50" t="s">
        <v>4367</v>
      </c>
      <c r="C839" s="50" t="s">
        <v>3945</v>
      </c>
      <c r="D839" s="51">
        <v>400</v>
      </c>
      <c r="E839" s="50">
        <v>400</v>
      </c>
    </row>
    <row r="840" spans="1:5" hidden="1" x14ac:dyDescent="0.3">
      <c r="A840" s="50" t="s">
        <v>4366</v>
      </c>
      <c r="B840" s="50" t="s">
        <v>4365</v>
      </c>
      <c r="C840" s="50" t="s">
        <v>196</v>
      </c>
      <c r="D840" s="51">
        <v>0</v>
      </c>
      <c r="E840" s="50">
        <v>0</v>
      </c>
    </row>
    <row r="841" spans="1:5" hidden="1" x14ac:dyDescent="0.3">
      <c r="A841" s="50" t="s">
        <v>4364</v>
      </c>
      <c r="B841" s="50" t="s">
        <v>4363</v>
      </c>
      <c r="C841" s="50" t="s">
        <v>196</v>
      </c>
      <c r="D841" s="50" t="s">
        <v>4362</v>
      </c>
      <c r="E841" s="50">
        <v>1575</v>
      </c>
    </row>
    <row r="842" spans="1:5" hidden="1" x14ac:dyDescent="0.3">
      <c r="A842" s="50" t="s">
        <v>4361</v>
      </c>
      <c r="B842" s="50" t="s">
        <v>4360</v>
      </c>
      <c r="C842" s="50" t="s">
        <v>196</v>
      </c>
      <c r="D842" s="51">
        <v>0</v>
      </c>
      <c r="E842" s="50">
        <v>0</v>
      </c>
    </row>
    <row r="843" spans="1:5" hidden="1" x14ac:dyDescent="0.3">
      <c r="A843" s="50" t="s">
        <v>364</v>
      </c>
      <c r="B843" s="50" t="s">
        <v>365</v>
      </c>
      <c r="C843" s="50" t="s">
        <v>196</v>
      </c>
      <c r="D843" s="50" t="s">
        <v>4359</v>
      </c>
      <c r="E843" s="50">
        <v>2025</v>
      </c>
    </row>
    <row r="844" spans="1:5" hidden="1" x14ac:dyDescent="0.3">
      <c r="A844" s="50" t="s">
        <v>4358</v>
      </c>
      <c r="B844" s="50" t="s">
        <v>4357</v>
      </c>
      <c r="C844" s="50" t="s">
        <v>196</v>
      </c>
      <c r="D844" s="51">
        <v>0</v>
      </c>
      <c r="E844" s="50">
        <v>0</v>
      </c>
    </row>
    <row r="845" spans="1:5" hidden="1" x14ac:dyDescent="0.3">
      <c r="A845" s="50" t="s">
        <v>366</v>
      </c>
      <c r="B845" s="50" t="s">
        <v>367</v>
      </c>
      <c r="C845" s="50" t="s">
        <v>196</v>
      </c>
      <c r="D845" s="50" t="s">
        <v>4356</v>
      </c>
      <c r="E845" s="50">
        <v>2608</v>
      </c>
    </row>
    <row r="846" spans="1:5" hidden="1" x14ac:dyDescent="0.3">
      <c r="A846" s="50" t="s">
        <v>4355</v>
      </c>
      <c r="B846" s="50" t="s">
        <v>3929</v>
      </c>
      <c r="D846" s="51">
        <v>309</v>
      </c>
      <c r="E846" s="50">
        <v>309</v>
      </c>
    </row>
    <row r="847" spans="1:5" hidden="1" x14ac:dyDescent="0.3">
      <c r="A847" s="50" t="s">
        <v>4354</v>
      </c>
      <c r="B847" s="50" t="s">
        <v>4353</v>
      </c>
      <c r="C847" s="50" t="s">
        <v>196</v>
      </c>
      <c r="D847" s="51">
        <v>0</v>
      </c>
      <c r="E847" s="50">
        <v>0</v>
      </c>
    </row>
    <row r="848" spans="1:5" ht="28.8" hidden="1" x14ac:dyDescent="0.3">
      <c r="A848" s="50" t="s">
        <v>4352</v>
      </c>
      <c r="B848" s="50" t="s">
        <v>4351</v>
      </c>
      <c r="C848" s="50" t="s">
        <v>196</v>
      </c>
      <c r="D848" s="51">
        <v>0</v>
      </c>
      <c r="E848" s="50">
        <v>0</v>
      </c>
    </row>
    <row r="849" spans="1:5" hidden="1" x14ac:dyDescent="0.3">
      <c r="A849" s="50" t="s">
        <v>4350</v>
      </c>
      <c r="B849" s="50" t="s">
        <v>4349</v>
      </c>
      <c r="C849" s="50" t="s">
        <v>196</v>
      </c>
      <c r="D849" s="51">
        <v>0</v>
      </c>
      <c r="E849" s="50">
        <v>0</v>
      </c>
    </row>
    <row r="850" spans="1:5" ht="28.8" hidden="1" x14ac:dyDescent="0.3">
      <c r="A850" s="50" t="s">
        <v>4348</v>
      </c>
      <c r="B850" s="50" t="s">
        <v>4347</v>
      </c>
      <c r="C850" s="50" t="s">
        <v>196</v>
      </c>
      <c r="D850" s="50" t="s">
        <v>4346</v>
      </c>
      <c r="E850" s="50">
        <v>1819</v>
      </c>
    </row>
    <row r="851" spans="1:5" hidden="1" x14ac:dyDescent="0.3">
      <c r="A851" s="50" t="s">
        <v>4345</v>
      </c>
      <c r="B851" s="50" t="s">
        <v>4344</v>
      </c>
      <c r="C851" s="50" t="s">
        <v>196</v>
      </c>
      <c r="D851" s="51">
        <v>0</v>
      </c>
      <c r="E851" s="50">
        <v>0</v>
      </c>
    </row>
    <row r="852" spans="1:5" ht="28.8" hidden="1" x14ac:dyDescent="0.3">
      <c r="A852" s="50" t="s">
        <v>4343</v>
      </c>
      <c r="B852" s="50" t="s">
        <v>4342</v>
      </c>
      <c r="C852" s="50" t="s">
        <v>196</v>
      </c>
      <c r="D852" s="50" t="s">
        <v>4341</v>
      </c>
      <c r="E852" s="50">
        <v>2472</v>
      </c>
    </row>
    <row r="853" spans="1:5" ht="28.8" hidden="1" x14ac:dyDescent="0.3">
      <c r="A853" s="50">
        <v>502203527</v>
      </c>
      <c r="B853" s="50" t="s">
        <v>4340</v>
      </c>
      <c r="D853" s="51">
        <v>0</v>
      </c>
      <c r="E853" s="50">
        <v>0</v>
      </c>
    </row>
    <row r="854" spans="1:5" hidden="1" x14ac:dyDescent="0.3">
      <c r="A854" s="50">
        <v>51070</v>
      </c>
      <c r="B854" s="50" t="s">
        <v>4339</v>
      </c>
      <c r="D854" s="51">
        <v>124.88</v>
      </c>
      <c r="E854" s="50">
        <v>124.88</v>
      </c>
    </row>
    <row r="855" spans="1:5" ht="28.8" hidden="1" x14ac:dyDescent="0.3">
      <c r="A855" s="50" t="s">
        <v>4338</v>
      </c>
      <c r="B855" s="50" t="s">
        <v>4337</v>
      </c>
      <c r="C855" s="50" t="s">
        <v>196</v>
      </c>
      <c r="D855" s="51">
        <v>0</v>
      </c>
      <c r="E855" s="50">
        <v>0</v>
      </c>
    </row>
    <row r="856" spans="1:5" hidden="1" x14ac:dyDescent="0.3">
      <c r="A856" s="50" t="s">
        <v>4336</v>
      </c>
      <c r="B856" s="50" t="s">
        <v>2751</v>
      </c>
      <c r="D856" s="50" t="s">
        <v>2812</v>
      </c>
      <c r="E856" s="50">
        <v>1751.25</v>
      </c>
    </row>
    <row r="857" spans="1:5" hidden="1" x14ac:dyDescent="0.3">
      <c r="A857" s="50" t="s">
        <v>4335</v>
      </c>
      <c r="B857" s="50" t="s">
        <v>4334</v>
      </c>
      <c r="D857" s="51">
        <v>0</v>
      </c>
      <c r="E857" s="50">
        <v>0</v>
      </c>
    </row>
    <row r="858" spans="1:5" ht="43.2" hidden="1" x14ac:dyDescent="0.3">
      <c r="A858" s="50" t="s">
        <v>4333</v>
      </c>
      <c r="B858" s="50" t="s">
        <v>4332</v>
      </c>
      <c r="D858" s="50" t="s">
        <v>4262</v>
      </c>
      <c r="E858" s="50">
        <v>1766.25</v>
      </c>
    </row>
    <row r="859" spans="1:5" hidden="1" x14ac:dyDescent="0.3">
      <c r="A859" s="50" t="s">
        <v>176</v>
      </c>
      <c r="B859" s="50" t="s">
        <v>177</v>
      </c>
      <c r="C859" s="50" t="s">
        <v>196</v>
      </c>
      <c r="D859" s="51">
        <v>0</v>
      </c>
      <c r="E859" s="50">
        <v>0</v>
      </c>
    </row>
    <row r="860" spans="1:5" ht="28.8" hidden="1" x14ac:dyDescent="0.3">
      <c r="A860" s="50" t="s">
        <v>178</v>
      </c>
      <c r="B860" s="50" t="s">
        <v>179</v>
      </c>
      <c r="C860" s="50" t="s">
        <v>196</v>
      </c>
      <c r="D860" s="51">
        <v>0</v>
      </c>
      <c r="E860" s="50">
        <v>0</v>
      </c>
    </row>
    <row r="861" spans="1:5" hidden="1" x14ac:dyDescent="0.3">
      <c r="A861" s="50" t="s">
        <v>4331</v>
      </c>
      <c r="B861" s="50" t="s">
        <v>4330</v>
      </c>
      <c r="D861" s="51">
        <v>0</v>
      </c>
      <c r="E861" s="50">
        <v>0</v>
      </c>
    </row>
    <row r="862" spans="1:5" hidden="1" x14ac:dyDescent="0.3">
      <c r="A862" s="50" t="s">
        <v>4329</v>
      </c>
      <c r="B862" s="50" t="s">
        <v>4328</v>
      </c>
      <c r="C862" s="50" t="s">
        <v>196</v>
      </c>
      <c r="D862" s="51">
        <v>733</v>
      </c>
      <c r="E862" s="50">
        <v>733</v>
      </c>
    </row>
    <row r="863" spans="1:5" hidden="1" x14ac:dyDescent="0.3">
      <c r="A863" s="50" t="s">
        <v>4327</v>
      </c>
      <c r="B863" s="50" t="s">
        <v>4326</v>
      </c>
      <c r="C863" s="50" t="s">
        <v>196</v>
      </c>
      <c r="D863" s="50" t="s">
        <v>4325</v>
      </c>
      <c r="E863" s="50">
        <v>1201.8599999999999</v>
      </c>
    </row>
    <row r="864" spans="1:5" hidden="1" x14ac:dyDescent="0.3">
      <c r="A864" s="50" t="s">
        <v>4324</v>
      </c>
      <c r="B864" s="50" t="s">
        <v>4323</v>
      </c>
      <c r="C864" s="50" t="s">
        <v>196</v>
      </c>
      <c r="D864" s="51">
        <v>0</v>
      </c>
      <c r="E864" s="50">
        <v>0</v>
      </c>
    </row>
    <row r="865" spans="1:5" ht="28.8" hidden="1" x14ac:dyDescent="0.3">
      <c r="A865" s="50" t="s">
        <v>4322</v>
      </c>
      <c r="B865" s="50" t="s">
        <v>4321</v>
      </c>
      <c r="D865" s="50" t="s">
        <v>4320</v>
      </c>
      <c r="E865" s="50">
        <v>2428</v>
      </c>
    </row>
    <row r="866" spans="1:5" hidden="1" x14ac:dyDescent="0.3">
      <c r="A866" s="50" t="s">
        <v>4319</v>
      </c>
      <c r="B866" s="50" t="s">
        <v>4318</v>
      </c>
      <c r="D866" s="51">
        <v>0</v>
      </c>
      <c r="E866" s="50">
        <v>0</v>
      </c>
    </row>
    <row r="867" spans="1:5" hidden="1" x14ac:dyDescent="0.3">
      <c r="A867" s="50" t="s">
        <v>4317</v>
      </c>
      <c r="B867" s="50" t="s">
        <v>4316</v>
      </c>
      <c r="D867" s="51">
        <v>0</v>
      </c>
      <c r="E867" s="50">
        <v>27.22</v>
      </c>
    </row>
    <row r="868" spans="1:5" hidden="1" x14ac:dyDescent="0.3">
      <c r="A868" s="50" t="s">
        <v>288</v>
      </c>
      <c r="B868" s="50" t="s">
        <v>289</v>
      </c>
      <c r="C868" s="50" t="s">
        <v>196</v>
      </c>
      <c r="D868" s="51">
        <v>202</v>
      </c>
      <c r="E868" s="50">
        <v>202</v>
      </c>
    </row>
    <row r="869" spans="1:5" ht="28.8" x14ac:dyDescent="0.3">
      <c r="A869" s="50" t="s">
        <v>4315</v>
      </c>
      <c r="B869" s="50" t="s">
        <v>4314</v>
      </c>
      <c r="C869" s="50" t="s">
        <v>3945</v>
      </c>
      <c r="D869" s="51">
        <v>447</v>
      </c>
      <c r="E869" s="50">
        <v>447</v>
      </c>
    </row>
    <row r="870" spans="1:5" ht="28.8" x14ac:dyDescent="0.3">
      <c r="A870" s="50" t="s">
        <v>4313</v>
      </c>
      <c r="B870" s="50" t="s">
        <v>4312</v>
      </c>
      <c r="C870" s="50" t="s">
        <v>3945</v>
      </c>
      <c r="D870" s="51">
        <v>559</v>
      </c>
      <c r="E870" s="50">
        <v>559</v>
      </c>
    </row>
    <row r="871" spans="1:5" hidden="1" x14ac:dyDescent="0.3">
      <c r="A871" s="50" t="s">
        <v>4311</v>
      </c>
      <c r="B871" s="50" t="s">
        <v>4310</v>
      </c>
      <c r="C871" s="50" t="s">
        <v>196</v>
      </c>
      <c r="D871" s="51">
        <v>0</v>
      </c>
      <c r="E871" s="50">
        <v>0</v>
      </c>
    </row>
    <row r="872" spans="1:5" hidden="1" x14ac:dyDescent="0.3">
      <c r="A872" s="50" t="s">
        <v>4309</v>
      </c>
      <c r="B872" s="50" t="s">
        <v>4308</v>
      </c>
      <c r="C872" s="50" t="s">
        <v>196</v>
      </c>
      <c r="D872" s="51">
        <v>0</v>
      </c>
      <c r="E872" s="50">
        <v>0</v>
      </c>
    </row>
    <row r="873" spans="1:5" hidden="1" x14ac:dyDescent="0.3">
      <c r="A873" s="50" t="s">
        <v>4307</v>
      </c>
      <c r="B873" s="50" t="s">
        <v>4306</v>
      </c>
      <c r="C873" s="50" t="s">
        <v>196</v>
      </c>
      <c r="D873" s="50" t="s">
        <v>4305</v>
      </c>
      <c r="E873" s="50">
        <v>2352</v>
      </c>
    </row>
    <row r="874" spans="1:5" hidden="1" x14ac:dyDescent="0.3">
      <c r="A874" s="50" t="s">
        <v>368</v>
      </c>
      <c r="B874" s="50" t="s">
        <v>369</v>
      </c>
      <c r="C874" s="50" t="s">
        <v>196</v>
      </c>
      <c r="D874" s="50" t="s">
        <v>4304</v>
      </c>
      <c r="E874" s="50">
        <v>2617</v>
      </c>
    </row>
    <row r="875" spans="1:5" hidden="1" x14ac:dyDescent="0.3">
      <c r="A875" s="50" t="s">
        <v>4303</v>
      </c>
      <c r="B875" s="50" t="s">
        <v>4302</v>
      </c>
      <c r="C875" s="50" t="s">
        <v>196</v>
      </c>
      <c r="D875" s="51">
        <v>0</v>
      </c>
      <c r="E875" s="50">
        <v>0</v>
      </c>
    </row>
    <row r="876" spans="1:5" hidden="1" x14ac:dyDescent="0.3">
      <c r="A876" s="50" t="s">
        <v>4301</v>
      </c>
      <c r="B876" s="50" t="s">
        <v>4300</v>
      </c>
      <c r="C876" s="50" t="s">
        <v>196</v>
      </c>
      <c r="D876" s="50" t="s">
        <v>4299</v>
      </c>
      <c r="E876" s="50">
        <v>3263.25</v>
      </c>
    </row>
    <row r="877" spans="1:5" hidden="1" x14ac:dyDescent="0.3">
      <c r="A877" s="50" t="s">
        <v>4298</v>
      </c>
      <c r="B877" s="50" t="s">
        <v>3929</v>
      </c>
      <c r="D877" s="51">
        <v>386</v>
      </c>
      <c r="E877" s="50">
        <v>386</v>
      </c>
    </row>
    <row r="878" spans="1:5" hidden="1" x14ac:dyDescent="0.3">
      <c r="A878" s="50" t="s">
        <v>4297</v>
      </c>
      <c r="B878" s="50" t="s">
        <v>4296</v>
      </c>
      <c r="C878" s="50" t="s">
        <v>196</v>
      </c>
      <c r="D878" s="51">
        <v>0</v>
      </c>
      <c r="E878" s="50">
        <v>0</v>
      </c>
    </row>
    <row r="879" spans="1:5" ht="28.8" hidden="1" x14ac:dyDescent="0.3">
      <c r="A879" s="50" t="s">
        <v>4295</v>
      </c>
      <c r="B879" s="50" t="s">
        <v>4294</v>
      </c>
      <c r="C879" s="50" t="s">
        <v>196</v>
      </c>
      <c r="D879" s="50" t="s">
        <v>4293</v>
      </c>
      <c r="E879" s="50">
        <v>2138</v>
      </c>
    </row>
    <row r="880" spans="1:5" hidden="1" x14ac:dyDescent="0.3">
      <c r="A880" s="50" t="s">
        <v>4292</v>
      </c>
      <c r="B880" s="50" t="s">
        <v>4291</v>
      </c>
      <c r="C880" s="50" t="s">
        <v>196</v>
      </c>
      <c r="D880" s="51">
        <v>0</v>
      </c>
      <c r="E880" s="50">
        <v>0</v>
      </c>
    </row>
    <row r="881" spans="1:5" ht="28.8" hidden="1" x14ac:dyDescent="0.3">
      <c r="A881" s="50" t="s">
        <v>4290</v>
      </c>
      <c r="B881" s="50" t="s">
        <v>4289</v>
      </c>
      <c r="C881" s="50" t="s">
        <v>196</v>
      </c>
      <c r="D881" s="50" t="s">
        <v>4288</v>
      </c>
      <c r="E881" s="50">
        <v>2486.15</v>
      </c>
    </row>
    <row r="882" spans="1:5" hidden="1" x14ac:dyDescent="0.3">
      <c r="A882" s="50" t="s">
        <v>4287</v>
      </c>
      <c r="B882" s="50" t="s">
        <v>4286</v>
      </c>
      <c r="C882" s="50" t="s">
        <v>196</v>
      </c>
      <c r="D882" s="51">
        <v>0</v>
      </c>
      <c r="E882" s="50">
        <v>0</v>
      </c>
    </row>
    <row r="883" spans="1:5" ht="28.8" hidden="1" x14ac:dyDescent="0.3">
      <c r="A883" s="50" t="s">
        <v>370</v>
      </c>
      <c r="B883" s="50" t="s">
        <v>4285</v>
      </c>
      <c r="C883" s="50" t="s">
        <v>196</v>
      </c>
      <c r="D883" s="50" t="s">
        <v>4284</v>
      </c>
      <c r="E883" s="50">
        <v>3435</v>
      </c>
    </row>
    <row r="884" spans="1:5" hidden="1" x14ac:dyDescent="0.3">
      <c r="A884" s="50" t="s">
        <v>4283</v>
      </c>
      <c r="B884" s="50" t="s">
        <v>4065</v>
      </c>
      <c r="D884" s="51">
        <v>0</v>
      </c>
      <c r="E884" s="50">
        <v>0</v>
      </c>
    </row>
    <row r="885" spans="1:5" hidden="1" x14ac:dyDescent="0.3">
      <c r="A885" s="50" t="s">
        <v>3827</v>
      </c>
      <c r="B885" s="50" t="s">
        <v>4282</v>
      </c>
      <c r="D885" s="51">
        <v>0</v>
      </c>
      <c r="E885" s="50">
        <v>0</v>
      </c>
    </row>
    <row r="886" spans="1:5" ht="28.8" hidden="1" x14ac:dyDescent="0.3">
      <c r="A886" s="50" t="s">
        <v>4281</v>
      </c>
      <c r="B886" s="50" t="s">
        <v>4280</v>
      </c>
      <c r="D886" s="51">
        <v>0</v>
      </c>
      <c r="E886" s="50">
        <v>0</v>
      </c>
    </row>
    <row r="887" spans="1:5" hidden="1" x14ac:dyDescent="0.3">
      <c r="A887" s="50" t="s">
        <v>4279</v>
      </c>
      <c r="B887" s="50" t="s">
        <v>4065</v>
      </c>
      <c r="D887" s="51">
        <v>0</v>
      </c>
      <c r="E887" s="50">
        <v>0</v>
      </c>
    </row>
    <row r="888" spans="1:5" hidden="1" x14ac:dyDescent="0.3">
      <c r="A888" s="50" t="s">
        <v>4278</v>
      </c>
      <c r="B888" s="50" t="s">
        <v>4111</v>
      </c>
      <c r="D888" s="51">
        <v>0</v>
      </c>
      <c r="E888" s="50">
        <v>0</v>
      </c>
    </row>
    <row r="889" spans="1:5" hidden="1" x14ac:dyDescent="0.3">
      <c r="A889" s="50" t="s">
        <v>4277</v>
      </c>
      <c r="B889" s="50" t="s">
        <v>4276</v>
      </c>
      <c r="C889" s="50" t="s">
        <v>3375</v>
      </c>
      <c r="D889" s="50" t="s">
        <v>4275</v>
      </c>
      <c r="E889" s="50">
        <v>3665</v>
      </c>
    </row>
    <row r="890" spans="1:5" hidden="1" x14ac:dyDescent="0.3">
      <c r="A890" s="50">
        <v>610303</v>
      </c>
      <c r="B890" s="50" t="s">
        <v>4274</v>
      </c>
      <c r="C890" s="50" t="s">
        <v>3375</v>
      </c>
      <c r="D890" s="51">
        <v>0</v>
      </c>
      <c r="E890" s="50">
        <v>0</v>
      </c>
    </row>
    <row r="891" spans="1:5" ht="28.8" hidden="1" x14ac:dyDescent="0.3">
      <c r="A891" s="50">
        <v>610318</v>
      </c>
      <c r="B891" s="50" t="s">
        <v>4273</v>
      </c>
      <c r="C891" s="50" t="s">
        <v>3375</v>
      </c>
      <c r="D891" s="51">
        <v>0</v>
      </c>
      <c r="E891" s="50">
        <v>0</v>
      </c>
    </row>
    <row r="892" spans="1:5" hidden="1" x14ac:dyDescent="0.3">
      <c r="A892" s="50">
        <v>610633</v>
      </c>
      <c r="B892" s="50" t="s">
        <v>4272</v>
      </c>
      <c r="C892" s="50" t="s">
        <v>3375</v>
      </c>
      <c r="D892" s="51">
        <v>0</v>
      </c>
      <c r="E892" s="50">
        <v>0</v>
      </c>
    </row>
    <row r="893" spans="1:5" hidden="1" x14ac:dyDescent="0.3">
      <c r="A893" s="50">
        <v>630</v>
      </c>
      <c r="B893" s="50" t="s">
        <v>4271</v>
      </c>
      <c r="D893" s="51">
        <v>0</v>
      </c>
      <c r="E893" s="50">
        <v>0</v>
      </c>
    </row>
    <row r="894" spans="1:5" hidden="1" x14ac:dyDescent="0.3">
      <c r="A894" s="50" t="s">
        <v>4270</v>
      </c>
      <c r="B894" s="50" t="s">
        <v>4269</v>
      </c>
      <c r="D894" s="51">
        <v>0</v>
      </c>
      <c r="E894" s="50">
        <v>0</v>
      </c>
    </row>
    <row r="895" spans="1:5" hidden="1" x14ac:dyDescent="0.3">
      <c r="A895" s="50" t="s">
        <v>4268</v>
      </c>
      <c r="B895" s="50" t="s">
        <v>4267</v>
      </c>
      <c r="D895" s="51">
        <v>0</v>
      </c>
      <c r="E895" s="50">
        <v>0</v>
      </c>
    </row>
    <row r="896" spans="1:5" hidden="1" x14ac:dyDescent="0.3">
      <c r="A896" s="50" t="s">
        <v>4266</v>
      </c>
      <c r="B896" s="50" t="s">
        <v>2751</v>
      </c>
      <c r="D896" s="50" t="s">
        <v>4265</v>
      </c>
      <c r="E896" s="50">
        <v>2200</v>
      </c>
    </row>
    <row r="897" spans="1:5" ht="43.2" hidden="1" x14ac:dyDescent="0.3">
      <c r="A897" s="50" t="s">
        <v>4264</v>
      </c>
      <c r="B897" s="50" t="s">
        <v>4263</v>
      </c>
      <c r="D897" s="50" t="s">
        <v>4262</v>
      </c>
      <c r="E897" s="50">
        <v>1766.25</v>
      </c>
    </row>
    <row r="898" spans="1:5" hidden="1" x14ac:dyDescent="0.3">
      <c r="A898" s="50" t="s">
        <v>4261</v>
      </c>
      <c r="B898" s="50" t="s">
        <v>2751</v>
      </c>
      <c r="D898" s="50" t="s">
        <v>2819</v>
      </c>
      <c r="E898" s="50">
        <v>1382.5</v>
      </c>
    </row>
    <row r="899" spans="1:5" hidden="1" x14ac:dyDescent="0.3">
      <c r="A899" s="50" t="s">
        <v>4260</v>
      </c>
      <c r="B899" s="50" t="s">
        <v>2751</v>
      </c>
      <c r="D899" s="51">
        <v>0</v>
      </c>
      <c r="E899" s="50">
        <v>0</v>
      </c>
    </row>
    <row r="900" spans="1:5" hidden="1" x14ac:dyDescent="0.3">
      <c r="A900" s="50" t="s">
        <v>4259</v>
      </c>
      <c r="B900" s="50" t="s">
        <v>2751</v>
      </c>
      <c r="D900" s="50" t="s">
        <v>4258</v>
      </c>
      <c r="E900" s="50">
        <v>1837.5</v>
      </c>
    </row>
    <row r="901" spans="1:5" hidden="1" x14ac:dyDescent="0.3">
      <c r="A901" s="50" t="s">
        <v>4257</v>
      </c>
      <c r="B901" s="50" t="s">
        <v>4256</v>
      </c>
      <c r="D901" s="50" t="s">
        <v>616</v>
      </c>
      <c r="E901" s="50">
        <v>10527.25</v>
      </c>
    </row>
    <row r="902" spans="1:5" ht="28.8" hidden="1" x14ac:dyDescent="0.3">
      <c r="A902" s="50" t="s">
        <v>197</v>
      </c>
      <c r="B902" s="50" t="s">
        <v>198</v>
      </c>
      <c r="C902" s="50" t="s">
        <v>196</v>
      </c>
      <c r="D902" s="51">
        <v>58.37</v>
      </c>
      <c r="E902" s="50">
        <v>57.26</v>
      </c>
    </row>
    <row r="903" spans="1:5" hidden="1" x14ac:dyDescent="0.3">
      <c r="A903" s="50" t="s">
        <v>180</v>
      </c>
      <c r="B903" s="50" t="s">
        <v>181</v>
      </c>
      <c r="C903" s="50" t="s">
        <v>196</v>
      </c>
      <c r="D903" s="51">
        <v>0</v>
      </c>
      <c r="E903" s="50">
        <v>0</v>
      </c>
    </row>
    <row r="904" spans="1:5" ht="28.8" hidden="1" x14ac:dyDescent="0.3">
      <c r="A904" s="50" t="s">
        <v>182</v>
      </c>
      <c r="B904" s="50" t="s">
        <v>183</v>
      </c>
      <c r="C904" s="50" t="s">
        <v>196</v>
      </c>
      <c r="D904" s="51">
        <v>0</v>
      </c>
      <c r="E904" s="50">
        <v>0</v>
      </c>
    </row>
    <row r="905" spans="1:5" hidden="1" x14ac:dyDescent="0.3">
      <c r="A905" s="50" t="s">
        <v>4255</v>
      </c>
      <c r="B905" s="50" t="s">
        <v>4254</v>
      </c>
      <c r="C905" s="50" t="s">
        <v>196</v>
      </c>
      <c r="D905" s="51">
        <v>822</v>
      </c>
      <c r="E905" s="50">
        <v>663.63</v>
      </c>
    </row>
    <row r="906" spans="1:5" ht="28.8" hidden="1" x14ac:dyDescent="0.3">
      <c r="A906" s="50" t="s">
        <v>4253</v>
      </c>
      <c r="B906" s="50" t="s">
        <v>4252</v>
      </c>
      <c r="D906" s="50" t="s">
        <v>4251</v>
      </c>
      <c r="E906" s="50">
        <v>1203</v>
      </c>
    </row>
    <row r="907" spans="1:5" hidden="1" x14ac:dyDescent="0.3">
      <c r="A907" s="50" t="s">
        <v>4250</v>
      </c>
      <c r="B907" s="50" t="s">
        <v>4249</v>
      </c>
      <c r="C907" s="50" t="s">
        <v>196</v>
      </c>
      <c r="D907" s="50" t="s">
        <v>4248</v>
      </c>
      <c r="E907" s="50">
        <v>1437</v>
      </c>
    </row>
    <row r="908" spans="1:5" hidden="1" x14ac:dyDescent="0.3">
      <c r="A908" s="50" t="s">
        <v>4247</v>
      </c>
      <c r="B908" s="50" t="s">
        <v>4246</v>
      </c>
      <c r="C908" s="50" t="s">
        <v>196</v>
      </c>
      <c r="D908" s="51">
        <v>0</v>
      </c>
      <c r="E908" s="50">
        <v>0</v>
      </c>
    </row>
    <row r="909" spans="1:5" hidden="1" x14ac:dyDescent="0.3">
      <c r="A909" s="50" t="s">
        <v>4245</v>
      </c>
      <c r="B909" s="50" t="s">
        <v>4244</v>
      </c>
      <c r="D909" s="51">
        <v>0</v>
      </c>
      <c r="E909" s="50">
        <v>0</v>
      </c>
    </row>
    <row r="910" spans="1:5" hidden="1" x14ac:dyDescent="0.3">
      <c r="A910" s="50" t="s">
        <v>4243</v>
      </c>
      <c r="B910" s="50" t="s">
        <v>4242</v>
      </c>
      <c r="D910" s="51">
        <v>0</v>
      </c>
      <c r="E910" s="50">
        <v>39.82</v>
      </c>
    </row>
    <row r="911" spans="1:5" hidden="1" x14ac:dyDescent="0.3">
      <c r="A911" s="50" t="s">
        <v>290</v>
      </c>
      <c r="B911" s="50" t="s">
        <v>291</v>
      </c>
      <c r="C911" s="50" t="s">
        <v>196</v>
      </c>
      <c r="D911" s="51">
        <v>0</v>
      </c>
      <c r="E911" s="50">
        <v>0</v>
      </c>
    </row>
    <row r="912" spans="1:5" hidden="1" x14ac:dyDescent="0.3">
      <c r="A912" s="50" t="s">
        <v>292</v>
      </c>
      <c r="B912" s="50" t="s">
        <v>4241</v>
      </c>
      <c r="C912" s="50" t="s">
        <v>196</v>
      </c>
      <c r="D912" s="51">
        <v>0</v>
      </c>
      <c r="E912" s="50">
        <v>0</v>
      </c>
    </row>
    <row r="913" spans="1:5" hidden="1" x14ac:dyDescent="0.3">
      <c r="A913" s="50" t="s">
        <v>4240</v>
      </c>
      <c r="B913" s="50" t="s">
        <v>4239</v>
      </c>
      <c r="D913" s="51">
        <v>0</v>
      </c>
      <c r="E913" s="50">
        <v>0</v>
      </c>
    </row>
    <row r="914" spans="1:5" ht="28.8" x14ac:dyDescent="0.3">
      <c r="A914" s="50" t="s">
        <v>4238</v>
      </c>
      <c r="B914" s="50" t="s">
        <v>4237</v>
      </c>
      <c r="C914" s="50" t="s">
        <v>3945</v>
      </c>
      <c r="D914" s="51">
        <v>503</v>
      </c>
      <c r="E914" s="50">
        <v>503</v>
      </c>
    </row>
    <row r="915" spans="1:5" ht="28.8" x14ac:dyDescent="0.3">
      <c r="A915" s="50" t="s">
        <v>4236</v>
      </c>
      <c r="B915" s="50" t="s">
        <v>4235</v>
      </c>
      <c r="C915" s="50" t="s">
        <v>3945</v>
      </c>
      <c r="D915" s="51">
        <v>628</v>
      </c>
      <c r="E915" s="50">
        <v>628</v>
      </c>
    </row>
    <row r="916" spans="1:5" hidden="1" x14ac:dyDescent="0.3">
      <c r="A916" s="50" t="s">
        <v>4234</v>
      </c>
      <c r="B916" s="50" t="s">
        <v>4233</v>
      </c>
      <c r="C916" s="50" t="s">
        <v>196</v>
      </c>
      <c r="D916" s="51">
        <v>0</v>
      </c>
      <c r="E916" s="50">
        <v>0</v>
      </c>
    </row>
    <row r="917" spans="1:5" hidden="1" x14ac:dyDescent="0.3">
      <c r="A917" s="50" t="s">
        <v>4232</v>
      </c>
      <c r="B917" s="50" t="s">
        <v>4231</v>
      </c>
      <c r="C917" s="50" t="s">
        <v>196</v>
      </c>
      <c r="D917" s="51">
        <v>0</v>
      </c>
      <c r="E917" s="50">
        <v>0</v>
      </c>
    </row>
    <row r="918" spans="1:5" hidden="1" x14ac:dyDescent="0.3">
      <c r="A918" s="50" t="s">
        <v>4230</v>
      </c>
      <c r="B918" s="50" t="s">
        <v>4229</v>
      </c>
      <c r="C918" s="50" t="s">
        <v>196</v>
      </c>
      <c r="D918" s="51">
        <v>0</v>
      </c>
      <c r="E918" s="50">
        <v>0</v>
      </c>
    </row>
    <row r="919" spans="1:5" hidden="1" x14ac:dyDescent="0.3">
      <c r="A919" s="50" t="s">
        <v>372</v>
      </c>
      <c r="B919" s="50" t="s">
        <v>373</v>
      </c>
      <c r="C919" s="50" t="s">
        <v>196</v>
      </c>
      <c r="D919" s="50" t="s">
        <v>4211</v>
      </c>
      <c r="E919" s="50">
        <v>3010</v>
      </c>
    </row>
    <row r="920" spans="1:5" hidden="1" x14ac:dyDescent="0.3">
      <c r="A920" s="50" t="s">
        <v>4228</v>
      </c>
      <c r="B920" s="50" t="s">
        <v>4227</v>
      </c>
      <c r="C920" s="50" t="s">
        <v>196</v>
      </c>
      <c r="D920" s="50" t="s">
        <v>4226</v>
      </c>
      <c r="E920" s="50">
        <v>3075</v>
      </c>
    </row>
    <row r="921" spans="1:5" hidden="1" x14ac:dyDescent="0.3">
      <c r="A921" s="50" t="s">
        <v>4225</v>
      </c>
      <c r="B921" s="50" t="s">
        <v>4224</v>
      </c>
      <c r="C921" s="50" t="s">
        <v>196</v>
      </c>
      <c r="D921" s="50" t="s">
        <v>4223</v>
      </c>
      <c r="E921" s="50">
        <v>3701.2</v>
      </c>
    </row>
    <row r="922" spans="1:5" hidden="1" x14ac:dyDescent="0.3">
      <c r="A922" s="50" t="s">
        <v>4222</v>
      </c>
      <c r="B922" s="50" t="s">
        <v>3929</v>
      </c>
      <c r="D922" s="51">
        <v>455</v>
      </c>
      <c r="E922" s="50">
        <v>455</v>
      </c>
    </row>
    <row r="923" spans="1:5" hidden="1" x14ac:dyDescent="0.3">
      <c r="A923" s="50" t="s">
        <v>4221</v>
      </c>
      <c r="B923" s="50" t="s">
        <v>4220</v>
      </c>
      <c r="C923" s="50" t="s">
        <v>196</v>
      </c>
      <c r="D923" s="51">
        <v>0</v>
      </c>
      <c r="E923" s="50">
        <v>0</v>
      </c>
    </row>
    <row r="924" spans="1:5" ht="28.8" hidden="1" x14ac:dyDescent="0.3">
      <c r="A924" s="50" t="s">
        <v>4219</v>
      </c>
      <c r="B924" s="50" t="s">
        <v>4218</v>
      </c>
      <c r="C924" s="50" t="s">
        <v>196</v>
      </c>
      <c r="D924" s="50" t="s">
        <v>4217</v>
      </c>
      <c r="E924" s="50">
        <v>2400</v>
      </c>
    </row>
    <row r="925" spans="1:5" hidden="1" x14ac:dyDescent="0.3">
      <c r="A925" s="50" t="s">
        <v>4216</v>
      </c>
      <c r="B925" s="50" t="s">
        <v>4215</v>
      </c>
      <c r="C925" s="50" t="s">
        <v>196</v>
      </c>
      <c r="D925" s="50" t="s">
        <v>4214</v>
      </c>
      <c r="E925" s="50">
        <v>2175</v>
      </c>
    </row>
    <row r="926" spans="1:5" ht="28.8" hidden="1" x14ac:dyDescent="0.3">
      <c r="A926" s="50" t="s">
        <v>4213</v>
      </c>
      <c r="B926" s="50" t="s">
        <v>4212</v>
      </c>
      <c r="C926" s="50" t="s">
        <v>196</v>
      </c>
      <c r="D926" s="50" t="s">
        <v>4211</v>
      </c>
      <c r="E926" s="50">
        <v>2916.38</v>
      </c>
    </row>
    <row r="927" spans="1:5" hidden="1" x14ac:dyDescent="0.3">
      <c r="A927" s="50" t="s">
        <v>4210</v>
      </c>
      <c r="B927" s="50" t="s">
        <v>4209</v>
      </c>
      <c r="C927" s="50" t="s">
        <v>196</v>
      </c>
      <c r="D927" s="51">
        <v>0</v>
      </c>
      <c r="E927" s="50">
        <v>0</v>
      </c>
    </row>
    <row r="928" spans="1:5" ht="28.8" hidden="1" x14ac:dyDescent="0.3">
      <c r="A928" s="50" t="s">
        <v>4208</v>
      </c>
      <c r="B928" s="50" t="s">
        <v>4207</v>
      </c>
      <c r="C928" s="50" t="s">
        <v>196</v>
      </c>
      <c r="D928" s="50" t="s">
        <v>4206</v>
      </c>
      <c r="E928" s="50">
        <v>3693</v>
      </c>
    </row>
    <row r="929" spans="1:5" hidden="1" x14ac:dyDescent="0.3">
      <c r="A929" s="50" t="s">
        <v>4205</v>
      </c>
      <c r="B929" s="50" t="s">
        <v>4065</v>
      </c>
      <c r="D929" s="50" t="s">
        <v>4064</v>
      </c>
      <c r="E929" s="50">
        <v>1110</v>
      </c>
    </row>
    <row r="930" spans="1:5" hidden="1" x14ac:dyDescent="0.3">
      <c r="A930" s="50">
        <v>650503207000</v>
      </c>
      <c r="B930" s="50" t="s">
        <v>4204</v>
      </c>
      <c r="D930" s="51">
        <v>0</v>
      </c>
      <c r="E930" s="50">
        <v>0</v>
      </c>
    </row>
    <row r="931" spans="1:5" ht="28.8" hidden="1" x14ac:dyDescent="0.3">
      <c r="A931" s="50" t="s">
        <v>4203</v>
      </c>
      <c r="B931" s="50" t="s">
        <v>4202</v>
      </c>
      <c r="D931" s="51">
        <v>0</v>
      </c>
      <c r="E931" s="50">
        <v>0</v>
      </c>
    </row>
    <row r="932" spans="1:5" ht="28.8" hidden="1" x14ac:dyDescent="0.3">
      <c r="A932" s="50" t="s">
        <v>4201</v>
      </c>
      <c r="B932" s="50" t="s">
        <v>4200</v>
      </c>
      <c r="D932" s="51">
        <v>0</v>
      </c>
      <c r="E932" s="50">
        <v>0</v>
      </c>
    </row>
    <row r="933" spans="1:5" hidden="1" x14ac:dyDescent="0.3">
      <c r="A933" s="54" t="s">
        <v>4199</v>
      </c>
      <c r="B933" s="50" t="s">
        <v>4198</v>
      </c>
      <c r="C933" s="50" t="s">
        <v>3375</v>
      </c>
      <c r="D933" s="51">
        <v>0</v>
      </c>
      <c r="E933" s="50">
        <v>0</v>
      </c>
    </row>
    <row r="934" spans="1:5" ht="28.8" hidden="1" x14ac:dyDescent="0.3">
      <c r="A934" s="50" t="s">
        <v>4197</v>
      </c>
      <c r="B934" s="50" t="s">
        <v>4196</v>
      </c>
      <c r="C934" s="50" t="s">
        <v>4195</v>
      </c>
      <c r="D934" s="51">
        <v>0</v>
      </c>
      <c r="E934" s="50">
        <v>0</v>
      </c>
    </row>
    <row r="935" spans="1:5" hidden="1" x14ac:dyDescent="0.3">
      <c r="A935" s="50" t="s">
        <v>4194</v>
      </c>
      <c r="B935" s="50" t="s">
        <v>4193</v>
      </c>
      <c r="C935" s="50" t="s">
        <v>3375</v>
      </c>
      <c r="D935" s="51">
        <v>0</v>
      </c>
      <c r="E935" s="50">
        <v>0</v>
      </c>
    </row>
    <row r="936" spans="1:5" ht="28.8" hidden="1" x14ac:dyDescent="0.3">
      <c r="A936" s="50" t="s">
        <v>4192</v>
      </c>
      <c r="B936" s="50" t="s">
        <v>4191</v>
      </c>
      <c r="C936" s="50" t="s">
        <v>3375</v>
      </c>
      <c r="D936" s="51">
        <v>0</v>
      </c>
      <c r="E936" s="50">
        <v>0</v>
      </c>
    </row>
    <row r="937" spans="1:5" hidden="1" x14ac:dyDescent="0.3">
      <c r="A937" s="50" t="s">
        <v>4190</v>
      </c>
      <c r="B937" s="50" t="s">
        <v>4189</v>
      </c>
      <c r="D937" s="50" t="s">
        <v>4188</v>
      </c>
      <c r="E937" s="50">
        <v>5313.2</v>
      </c>
    </row>
    <row r="938" spans="1:5" ht="28.8" hidden="1" x14ac:dyDescent="0.3">
      <c r="A938" s="50" t="s">
        <v>4187</v>
      </c>
      <c r="B938" s="50" t="s">
        <v>4186</v>
      </c>
      <c r="C938" s="50" t="s">
        <v>3375</v>
      </c>
      <c r="D938" s="51">
        <v>0</v>
      </c>
      <c r="E938" s="50">
        <v>0</v>
      </c>
    </row>
    <row r="939" spans="1:5" ht="28.8" hidden="1" x14ac:dyDescent="0.3">
      <c r="A939" s="50" t="s">
        <v>4185</v>
      </c>
      <c r="B939" s="50" t="s">
        <v>4184</v>
      </c>
      <c r="C939" s="50" t="s">
        <v>3375</v>
      </c>
      <c r="D939" s="51">
        <v>0</v>
      </c>
      <c r="E939" s="50">
        <v>0</v>
      </c>
    </row>
    <row r="940" spans="1:5" ht="28.8" hidden="1" x14ac:dyDescent="0.3">
      <c r="A940" s="50" t="s">
        <v>4183</v>
      </c>
      <c r="B940" s="50" t="s">
        <v>4182</v>
      </c>
      <c r="C940" s="50" t="s">
        <v>3375</v>
      </c>
      <c r="D940" s="51">
        <v>0</v>
      </c>
      <c r="E940" s="50">
        <v>0</v>
      </c>
    </row>
    <row r="941" spans="1:5" ht="28.8" hidden="1" x14ac:dyDescent="0.3">
      <c r="A941" s="50" t="s">
        <v>4181</v>
      </c>
      <c r="B941" s="50" t="s">
        <v>4180</v>
      </c>
      <c r="C941" s="50" t="s">
        <v>3375</v>
      </c>
      <c r="D941" s="51">
        <v>0</v>
      </c>
      <c r="E941" s="50">
        <v>0</v>
      </c>
    </row>
    <row r="942" spans="1:5" hidden="1" x14ac:dyDescent="0.3">
      <c r="A942" s="50" t="s">
        <v>4179</v>
      </c>
      <c r="B942" s="50" t="s">
        <v>4178</v>
      </c>
      <c r="C942" s="50" t="s">
        <v>3375</v>
      </c>
      <c r="D942" s="51">
        <v>0</v>
      </c>
      <c r="E942" s="50">
        <v>0</v>
      </c>
    </row>
    <row r="943" spans="1:5" ht="28.8" hidden="1" x14ac:dyDescent="0.3">
      <c r="A943" s="50" t="s">
        <v>4177</v>
      </c>
      <c r="B943" s="50" t="s">
        <v>4176</v>
      </c>
      <c r="C943" s="50" t="s">
        <v>3375</v>
      </c>
      <c r="D943" s="51">
        <v>0</v>
      </c>
      <c r="E943" s="50">
        <v>0</v>
      </c>
    </row>
    <row r="944" spans="1:5" ht="28.8" hidden="1" x14ac:dyDescent="0.3">
      <c r="A944" s="50" t="s">
        <v>4175</v>
      </c>
      <c r="B944" s="50" t="s">
        <v>4174</v>
      </c>
      <c r="C944" s="50" t="s">
        <v>3375</v>
      </c>
      <c r="D944" s="51">
        <v>0</v>
      </c>
      <c r="E944" s="50">
        <v>0</v>
      </c>
    </row>
    <row r="945" spans="1:5" ht="28.8" hidden="1" x14ac:dyDescent="0.3">
      <c r="A945" s="50" t="s">
        <v>4173</v>
      </c>
      <c r="B945" s="50" t="s">
        <v>4172</v>
      </c>
      <c r="C945" s="50" t="s">
        <v>3375</v>
      </c>
      <c r="D945" s="50" t="s">
        <v>4171</v>
      </c>
      <c r="E945" s="50">
        <v>2986.83</v>
      </c>
    </row>
    <row r="946" spans="1:5" ht="28.8" hidden="1" x14ac:dyDescent="0.3">
      <c r="A946" s="50" t="s">
        <v>4170</v>
      </c>
      <c r="B946" s="50" t="s">
        <v>4169</v>
      </c>
      <c r="C946" s="50" t="s">
        <v>3375</v>
      </c>
      <c r="D946" s="51">
        <v>0</v>
      </c>
      <c r="E946" s="50">
        <v>0</v>
      </c>
    </row>
    <row r="947" spans="1:5" hidden="1" x14ac:dyDescent="0.3">
      <c r="A947" s="50" t="s">
        <v>4168</v>
      </c>
      <c r="B947" s="50" t="s">
        <v>4167</v>
      </c>
      <c r="D947" s="51">
        <v>0</v>
      </c>
      <c r="E947" s="50">
        <v>0</v>
      </c>
    </row>
    <row r="948" spans="1:5" ht="28.8" hidden="1" x14ac:dyDescent="0.3">
      <c r="A948" s="50" t="s">
        <v>4166</v>
      </c>
      <c r="B948" s="50" t="s">
        <v>4165</v>
      </c>
      <c r="C948" s="50" t="s">
        <v>3375</v>
      </c>
      <c r="D948" s="51">
        <v>0</v>
      </c>
      <c r="E948" s="50">
        <v>0</v>
      </c>
    </row>
    <row r="949" spans="1:5" ht="28.8" hidden="1" x14ac:dyDescent="0.3">
      <c r="A949" s="50" t="s">
        <v>4164</v>
      </c>
      <c r="B949" s="50" t="s">
        <v>4163</v>
      </c>
      <c r="C949" s="50" t="s">
        <v>3375</v>
      </c>
      <c r="D949" s="51">
        <v>0</v>
      </c>
      <c r="E949" s="50">
        <v>0</v>
      </c>
    </row>
    <row r="950" spans="1:5" ht="28.8" hidden="1" x14ac:dyDescent="0.3">
      <c r="A950" s="50" t="s">
        <v>4162</v>
      </c>
      <c r="B950" s="50" t="s">
        <v>4161</v>
      </c>
      <c r="C950" s="50" t="s">
        <v>3375</v>
      </c>
      <c r="D950" s="51">
        <v>0</v>
      </c>
      <c r="E950" s="50">
        <v>0</v>
      </c>
    </row>
    <row r="951" spans="1:5" ht="28.8" hidden="1" x14ac:dyDescent="0.3">
      <c r="A951" s="50" t="s">
        <v>4160</v>
      </c>
      <c r="B951" s="50" t="s">
        <v>4159</v>
      </c>
      <c r="C951" s="50" t="s">
        <v>3375</v>
      </c>
      <c r="D951" s="51">
        <v>0</v>
      </c>
      <c r="E951" s="50">
        <v>0</v>
      </c>
    </row>
    <row r="952" spans="1:5" ht="28.8" hidden="1" x14ac:dyDescent="0.3">
      <c r="A952" s="50" t="s">
        <v>4158</v>
      </c>
      <c r="B952" s="50" t="s">
        <v>4157</v>
      </c>
      <c r="C952" s="50" t="s">
        <v>3375</v>
      </c>
      <c r="D952" s="51">
        <v>0</v>
      </c>
      <c r="E952" s="50">
        <v>0</v>
      </c>
    </row>
    <row r="953" spans="1:5" ht="28.8" hidden="1" x14ac:dyDescent="0.3">
      <c r="A953" s="50" t="s">
        <v>4156</v>
      </c>
      <c r="B953" s="50" t="s">
        <v>4155</v>
      </c>
      <c r="C953" s="50" t="s">
        <v>3375</v>
      </c>
      <c r="D953" s="51">
        <v>0</v>
      </c>
      <c r="E953" s="50">
        <v>0</v>
      </c>
    </row>
    <row r="954" spans="1:5" ht="28.8" hidden="1" x14ac:dyDescent="0.3">
      <c r="A954" s="50" t="s">
        <v>4154</v>
      </c>
      <c r="B954" s="50" t="s">
        <v>4153</v>
      </c>
      <c r="C954" s="50" t="s">
        <v>3375</v>
      </c>
      <c r="D954" s="51">
        <v>0</v>
      </c>
      <c r="E954" s="50">
        <v>0</v>
      </c>
    </row>
    <row r="955" spans="1:5" hidden="1" x14ac:dyDescent="0.3">
      <c r="A955" s="50" t="s">
        <v>4152</v>
      </c>
      <c r="B955" s="50" t="s">
        <v>4151</v>
      </c>
      <c r="C955" s="50" t="s">
        <v>3375</v>
      </c>
      <c r="D955" s="51">
        <v>0</v>
      </c>
      <c r="E955" s="50">
        <v>0</v>
      </c>
    </row>
    <row r="956" spans="1:5" hidden="1" x14ac:dyDescent="0.3">
      <c r="A956" s="50" t="s">
        <v>4150</v>
      </c>
      <c r="B956" s="50" t="s">
        <v>4149</v>
      </c>
      <c r="C956" s="50" t="s">
        <v>3375</v>
      </c>
      <c r="D956" s="51">
        <v>0</v>
      </c>
      <c r="E956" s="50">
        <v>0</v>
      </c>
    </row>
    <row r="957" spans="1:5" hidden="1" x14ac:dyDescent="0.3">
      <c r="A957" s="50" t="s">
        <v>4148</v>
      </c>
      <c r="B957" s="50" t="s">
        <v>4147</v>
      </c>
      <c r="C957" s="50" t="s">
        <v>3375</v>
      </c>
      <c r="D957" s="51">
        <v>0</v>
      </c>
      <c r="E957" s="50">
        <v>0</v>
      </c>
    </row>
    <row r="958" spans="1:5" ht="28.8" hidden="1" x14ac:dyDescent="0.3">
      <c r="A958" s="50" t="s">
        <v>4146</v>
      </c>
      <c r="B958" s="50" t="s">
        <v>4145</v>
      </c>
      <c r="D958" s="51">
        <v>14</v>
      </c>
      <c r="E958" s="50">
        <v>14</v>
      </c>
    </row>
    <row r="959" spans="1:5" ht="28.8" hidden="1" x14ac:dyDescent="0.3">
      <c r="A959" s="50" t="s">
        <v>4144</v>
      </c>
      <c r="B959" s="50" t="s">
        <v>4143</v>
      </c>
      <c r="D959" s="51">
        <v>0</v>
      </c>
      <c r="E959" s="50">
        <v>0</v>
      </c>
    </row>
    <row r="960" spans="1:5" hidden="1" x14ac:dyDescent="0.3">
      <c r="A960" s="50" t="s">
        <v>4142</v>
      </c>
      <c r="B960" s="50" t="s">
        <v>4141</v>
      </c>
      <c r="D960" s="50" t="s">
        <v>4140</v>
      </c>
      <c r="E960" s="50">
        <v>3763.11</v>
      </c>
    </row>
    <row r="961" spans="1:5" ht="28.8" hidden="1" x14ac:dyDescent="0.3">
      <c r="A961" s="50" t="s">
        <v>4139</v>
      </c>
      <c r="B961" s="50" t="s">
        <v>4138</v>
      </c>
      <c r="C961" s="50" t="s">
        <v>3375</v>
      </c>
      <c r="D961" s="51">
        <v>0</v>
      </c>
      <c r="E961" s="50">
        <v>0</v>
      </c>
    </row>
    <row r="962" spans="1:5" ht="28.8" hidden="1" x14ac:dyDescent="0.3">
      <c r="A962" s="50" t="s">
        <v>4137</v>
      </c>
      <c r="B962" s="50" t="s">
        <v>4137</v>
      </c>
      <c r="D962" s="51">
        <v>92.5</v>
      </c>
      <c r="E962" s="50">
        <v>92.5</v>
      </c>
    </row>
    <row r="963" spans="1:5" hidden="1" x14ac:dyDescent="0.3">
      <c r="A963" s="50" t="s">
        <v>347</v>
      </c>
      <c r="B963" s="50" t="s">
        <v>348</v>
      </c>
      <c r="D963" s="50" t="s">
        <v>4011</v>
      </c>
      <c r="E963" s="50">
        <v>2722.8</v>
      </c>
    </row>
    <row r="964" spans="1:5" hidden="1" x14ac:dyDescent="0.3">
      <c r="A964" s="50" t="s">
        <v>4136</v>
      </c>
      <c r="B964" s="50" t="s">
        <v>4135</v>
      </c>
      <c r="D964" s="50" t="s">
        <v>4134</v>
      </c>
      <c r="E964" s="50">
        <v>5648</v>
      </c>
    </row>
    <row r="965" spans="1:5" ht="28.8" hidden="1" x14ac:dyDescent="0.3">
      <c r="A965" s="50" t="s">
        <v>4133</v>
      </c>
      <c r="B965" s="50" t="s">
        <v>4132</v>
      </c>
      <c r="D965" s="50" t="s">
        <v>4131</v>
      </c>
      <c r="E965" s="50">
        <v>5973</v>
      </c>
    </row>
    <row r="966" spans="1:5" hidden="1" x14ac:dyDescent="0.3">
      <c r="A966" s="50" t="s">
        <v>349</v>
      </c>
      <c r="B966" s="50" t="s">
        <v>350</v>
      </c>
      <c r="D966" s="50" t="s">
        <v>4130</v>
      </c>
      <c r="E966" s="50">
        <v>5434.17</v>
      </c>
    </row>
    <row r="967" spans="1:5" ht="28.8" hidden="1" x14ac:dyDescent="0.3">
      <c r="A967" s="50" t="s">
        <v>4129</v>
      </c>
      <c r="B967" s="50" t="s">
        <v>4128</v>
      </c>
      <c r="D967" s="50" t="s">
        <v>4127</v>
      </c>
      <c r="E967" s="50">
        <v>6176</v>
      </c>
    </row>
    <row r="968" spans="1:5" hidden="1" x14ac:dyDescent="0.3">
      <c r="A968" s="50">
        <v>7000034</v>
      </c>
      <c r="B968" s="50" t="s">
        <v>4126</v>
      </c>
      <c r="C968" s="50" t="s">
        <v>3370</v>
      </c>
      <c r="D968" s="51">
        <v>0</v>
      </c>
      <c r="E968" s="50">
        <v>0</v>
      </c>
    </row>
    <row r="969" spans="1:5" hidden="1" x14ac:dyDescent="0.3">
      <c r="A969" s="50">
        <v>7000037</v>
      </c>
      <c r="B969" s="50" t="s">
        <v>4125</v>
      </c>
      <c r="C969" s="50" t="s">
        <v>3370</v>
      </c>
      <c r="D969" s="51">
        <v>0</v>
      </c>
      <c r="E969" s="50">
        <v>0</v>
      </c>
    </row>
    <row r="970" spans="1:5" hidden="1" x14ac:dyDescent="0.3">
      <c r="A970" s="50">
        <v>7000043</v>
      </c>
      <c r="B970" s="50" t="s">
        <v>4124</v>
      </c>
      <c r="C970" s="50" t="s">
        <v>3370</v>
      </c>
      <c r="D970" s="51">
        <v>0</v>
      </c>
      <c r="E970" s="50">
        <v>0</v>
      </c>
    </row>
    <row r="971" spans="1:5" hidden="1" x14ac:dyDescent="0.3">
      <c r="A971" s="50">
        <v>7000048</v>
      </c>
      <c r="B971" s="50" t="s">
        <v>4123</v>
      </c>
      <c r="C971" s="50" t="s">
        <v>3370</v>
      </c>
      <c r="D971" s="51">
        <v>0</v>
      </c>
      <c r="E971" s="50">
        <v>0</v>
      </c>
    </row>
    <row r="972" spans="1:5" hidden="1" x14ac:dyDescent="0.3">
      <c r="A972" s="50">
        <v>7000053</v>
      </c>
      <c r="B972" s="50" t="s">
        <v>4122</v>
      </c>
      <c r="C972" s="50" t="s">
        <v>3370</v>
      </c>
      <c r="D972" s="51">
        <v>0</v>
      </c>
      <c r="E972" s="50">
        <v>0</v>
      </c>
    </row>
    <row r="973" spans="1:5" hidden="1" x14ac:dyDescent="0.3">
      <c r="A973" s="50">
        <v>7000057</v>
      </c>
      <c r="B973" s="50" t="s">
        <v>4121</v>
      </c>
      <c r="C973" s="50" t="s">
        <v>3370</v>
      </c>
      <c r="D973" s="51">
        <v>0</v>
      </c>
      <c r="E973" s="50">
        <v>0</v>
      </c>
    </row>
    <row r="974" spans="1:5" hidden="1" x14ac:dyDescent="0.3">
      <c r="A974" s="50">
        <v>7000059</v>
      </c>
      <c r="B974" s="50" t="s">
        <v>4120</v>
      </c>
      <c r="C974" s="50" t="s">
        <v>3370</v>
      </c>
      <c r="D974" s="51">
        <v>0</v>
      </c>
      <c r="E974" s="50">
        <v>0</v>
      </c>
    </row>
    <row r="975" spans="1:5" hidden="1" x14ac:dyDescent="0.3">
      <c r="A975" s="50">
        <v>7000067</v>
      </c>
      <c r="B975" s="50" t="s">
        <v>4119</v>
      </c>
      <c r="C975" s="50" t="s">
        <v>3370</v>
      </c>
      <c r="D975" s="50" t="s">
        <v>4118</v>
      </c>
      <c r="E975" s="50">
        <v>2024.25</v>
      </c>
    </row>
    <row r="976" spans="1:5" hidden="1" x14ac:dyDescent="0.3">
      <c r="A976" s="50">
        <v>7000072</v>
      </c>
      <c r="B976" s="50" t="s">
        <v>4117</v>
      </c>
      <c r="C976" s="50" t="s">
        <v>3370</v>
      </c>
      <c r="D976" s="51">
        <v>0</v>
      </c>
      <c r="E976" s="50">
        <v>0</v>
      </c>
    </row>
    <row r="977" spans="1:5" hidden="1" x14ac:dyDescent="0.3">
      <c r="A977" s="50">
        <v>7000073</v>
      </c>
      <c r="B977" s="50" t="s">
        <v>4116</v>
      </c>
      <c r="C977" s="50" t="s">
        <v>3370</v>
      </c>
      <c r="D977" s="51">
        <v>0</v>
      </c>
      <c r="E977" s="50">
        <v>0</v>
      </c>
    </row>
    <row r="978" spans="1:5" hidden="1" x14ac:dyDescent="0.3">
      <c r="A978" s="50">
        <v>7000074</v>
      </c>
      <c r="B978" s="50" t="s">
        <v>4115</v>
      </c>
      <c r="C978" s="50" t="s">
        <v>3370</v>
      </c>
      <c r="D978" s="51">
        <v>0</v>
      </c>
      <c r="E978" s="50">
        <v>0</v>
      </c>
    </row>
    <row r="979" spans="1:5" hidden="1" x14ac:dyDescent="0.3">
      <c r="A979" s="50" t="s">
        <v>402</v>
      </c>
      <c r="B979" s="50" t="s">
        <v>403</v>
      </c>
      <c r="D979" s="51">
        <v>30</v>
      </c>
      <c r="E979" s="50">
        <v>30</v>
      </c>
    </row>
    <row r="980" spans="1:5" hidden="1" x14ac:dyDescent="0.3">
      <c r="A980" s="50" t="s">
        <v>4114</v>
      </c>
      <c r="B980" s="50" t="s">
        <v>4113</v>
      </c>
      <c r="D980" s="51">
        <v>310</v>
      </c>
      <c r="E980" s="50">
        <v>310</v>
      </c>
    </row>
    <row r="981" spans="1:5" hidden="1" x14ac:dyDescent="0.3">
      <c r="A981" s="50" t="s">
        <v>4112</v>
      </c>
      <c r="B981" s="50" t="s">
        <v>4111</v>
      </c>
      <c r="D981" s="51">
        <v>0</v>
      </c>
      <c r="E981" s="50">
        <v>0</v>
      </c>
    </row>
    <row r="982" spans="1:5" hidden="1" x14ac:dyDescent="0.3">
      <c r="A982" s="50" t="s">
        <v>4110</v>
      </c>
      <c r="B982" s="50" t="s">
        <v>2751</v>
      </c>
      <c r="D982" s="50" t="s">
        <v>3391</v>
      </c>
      <c r="E982" s="50">
        <v>2681.25</v>
      </c>
    </row>
    <row r="983" spans="1:5" ht="28.8" hidden="1" x14ac:dyDescent="0.3">
      <c r="A983" s="50" t="s">
        <v>4109</v>
      </c>
      <c r="B983" s="50" t="s">
        <v>4108</v>
      </c>
      <c r="D983" s="50" t="s">
        <v>2839</v>
      </c>
      <c r="E983" s="50">
        <v>1522.65</v>
      </c>
    </row>
    <row r="984" spans="1:5" hidden="1" x14ac:dyDescent="0.3">
      <c r="A984" s="50" t="s">
        <v>184</v>
      </c>
      <c r="B984" s="50" t="s">
        <v>185</v>
      </c>
      <c r="C984" s="50" t="s">
        <v>196</v>
      </c>
      <c r="D984" s="51">
        <v>0</v>
      </c>
      <c r="E984" s="50">
        <v>50.18</v>
      </c>
    </row>
    <row r="985" spans="1:5" ht="28.8" hidden="1" x14ac:dyDescent="0.3">
      <c r="A985" s="50" t="s">
        <v>186</v>
      </c>
      <c r="B985" s="50" t="s">
        <v>187</v>
      </c>
      <c r="C985" s="50" t="s">
        <v>196</v>
      </c>
      <c r="D985" s="51">
        <v>0</v>
      </c>
      <c r="E985" s="50">
        <v>0</v>
      </c>
    </row>
    <row r="986" spans="1:5" hidden="1" x14ac:dyDescent="0.3">
      <c r="A986" s="50" t="s">
        <v>4107</v>
      </c>
      <c r="B986" s="50" t="s">
        <v>4106</v>
      </c>
      <c r="C986" s="50" t="s">
        <v>196</v>
      </c>
      <c r="D986" s="51">
        <v>860</v>
      </c>
      <c r="E986" s="50">
        <v>860</v>
      </c>
    </row>
    <row r="987" spans="1:5" hidden="1" x14ac:dyDescent="0.3">
      <c r="A987" s="50" t="s">
        <v>4105</v>
      </c>
      <c r="B987" s="50" t="s">
        <v>4104</v>
      </c>
      <c r="C987" s="50" t="s">
        <v>196</v>
      </c>
      <c r="D987" s="50" t="s">
        <v>4103</v>
      </c>
      <c r="E987" s="50">
        <v>1592</v>
      </c>
    </row>
    <row r="988" spans="1:5" hidden="1" x14ac:dyDescent="0.3">
      <c r="A988" s="50" t="s">
        <v>4102</v>
      </c>
      <c r="B988" s="50" t="s">
        <v>4101</v>
      </c>
      <c r="C988" s="50" t="s">
        <v>196</v>
      </c>
      <c r="D988" s="51">
        <v>0</v>
      </c>
      <c r="E988" s="50">
        <v>0</v>
      </c>
    </row>
    <row r="989" spans="1:5" hidden="1" x14ac:dyDescent="0.3">
      <c r="A989" s="50" t="s">
        <v>4100</v>
      </c>
      <c r="B989" s="50" t="s">
        <v>4099</v>
      </c>
      <c r="D989" s="51">
        <v>0</v>
      </c>
      <c r="E989" s="50">
        <v>0</v>
      </c>
    </row>
    <row r="990" spans="1:5" hidden="1" x14ac:dyDescent="0.3">
      <c r="A990" s="50" t="s">
        <v>4098</v>
      </c>
      <c r="B990" s="50" t="s">
        <v>4097</v>
      </c>
      <c r="D990" s="51">
        <v>0</v>
      </c>
      <c r="E990" s="50">
        <v>47.37</v>
      </c>
    </row>
    <row r="991" spans="1:5" hidden="1" x14ac:dyDescent="0.3">
      <c r="A991" s="50" t="s">
        <v>294</v>
      </c>
      <c r="B991" s="50" t="s">
        <v>295</v>
      </c>
      <c r="C991" s="50" t="s">
        <v>196</v>
      </c>
      <c r="D991" s="51">
        <v>0</v>
      </c>
      <c r="E991" s="50">
        <v>0</v>
      </c>
    </row>
    <row r="992" spans="1:5" hidden="1" x14ac:dyDescent="0.3">
      <c r="A992" s="50" t="s">
        <v>296</v>
      </c>
      <c r="B992" s="50" t="s">
        <v>297</v>
      </c>
      <c r="C992" s="50" t="s">
        <v>196</v>
      </c>
      <c r="D992" s="51">
        <v>0</v>
      </c>
      <c r="E992" s="50">
        <v>0</v>
      </c>
    </row>
    <row r="993" spans="1:5" ht="28.8" x14ac:dyDescent="0.3">
      <c r="A993" s="50" t="s">
        <v>4096</v>
      </c>
      <c r="B993" s="50" t="s">
        <v>4095</v>
      </c>
      <c r="C993" s="50" t="s">
        <v>3945</v>
      </c>
      <c r="D993" s="51">
        <v>566</v>
      </c>
      <c r="E993" s="50">
        <v>566</v>
      </c>
    </row>
    <row r="994" spans="1:5" ht="28.8" x14ac:dyDescent="0.3">
      <c r="A994" s="50" t="s">
        <v>4094</v>
      </c>
      <c r="B994" s="50" t="s">
        <v>4093</v>
      </c>
      <c r="C994" s="50" t="s">
        <v>3945</v>
      </c>
      <c r="D994" s="51">
        <v>703</v>
      </c>
      <c r="E994" s="50">
        <v>703</v>
      </c>
    </row>
    <row r="995" spans="1:5" hidden="1" x14ac:dyDescent="0.3">
      <c r="A995" s="50" t="s">
        <v>4092</v>
      </c>
      <c r="B995" s="50" t="s">
        <v>4091</v>
      </c>
      <c r="C995" s="50" t="s">
        <v>196</v>
      </c>
      <c r="D995" s="51">
        <v>0</v>
      </c>
      <c r="E995" s="50">
        <v>0</v>
      </c>
    </row>
    <row r="996" spans="1:5" hidden="1" x14ac:dyDescent="0.3">
      <c r="A996" s="50" t="s">
        <v>4090</v>
      </c>
      <c r="B996" s="50" t="s">
        <v>4089</v>
      </c>
      <c r="C996" s="50" t="s">
        <v>196</v>
      </c>
      <c r="D996" s="51">
        <v>0</v>
      </c>
      <c r="E996" s="50">
        <v>0</v>
      </c>
    </row>
    <row r="997" spans="1:5" hidden="1" x14ac:dyDescent="0.3">
      <c r="A997" s="50" t="s">
        <v>4088</v>
      </c>
      <c r="B997" s="50" t="s">
        <v>4087</v>
      </c>
      <c r="C997" s="50" t="s">
        <v>196</v>
      </c>
      <c r="D997" s="51">
        <v>0</v>
      </c>
      <c r="E997" s="50">
        <v>0</v>
      </c>
    </row>
    <row r="998" spans="1:5" hidden="1" x14ac:dyDescent="0.3">
      <c r="A998" s="50" t="s">
        <v>374</v>
      </c>
      <c r="B998" s="50" t="s">
        <v>375</v>
      </c>
      <c r="C998" s="50" t="s">
        <v>196</v>
      </c>
      <c r="D998" s="50" t="s">
        <v>4086</v>
      </c>
      <c r="E998" s="50">
        <v>3685</v>
      </c>
    </row>
    <row r="999" spans="1:5" hidden="1" x14ac:dyDescent="0.3">
      <c r="A999" s="50" t="s">
        <v>4085</v>
      </c>
      <c r="B999" s="50" t="s">
        <v>4084</v>
      </c>
      <c r="C999" s="50" t="s">
        <v>196</v>
      </c>
      <c r="D999" s="51">
        <v>0</v>
      </c>
      <c r="E999" s="50">
        <v>0</v>
      </c>
    </row>
    <row r="1000" spans="1:5" hidden="1" x14ac:dyDescent="0.3">
      <c r="A1000" s="50" t="s">
        <v>4083</v>
      </c>
      <c r="B1000" s="50" t="s">
        <v>4082</v>
      </c>
      <c r="C1000" s="50" t="s">
        <v>196</v>
      </c>
      <c r="D1000" s="50" t="s">
        <v>4081</v>
      </c>
      <c r="E1000" s="50">
        <v>4484</v>
      </c>
    </row>
    <row r="1001" spans="1:5" hidden="1" x14ac:dyDescent="0.3">
      <c r="A1001" s="50" t="s">
        <v>4080</v>
      </c>
      <c r="B1001" s="50" t="s">
        <v>4079</v>
      </c>
      <c r="D1001" s="51">
        <v>541</v>
      </c>
      <c r="E1001" s="50">
        <v>541</v>
      </c>
    </row>
    <row r="1002" spans="1:5" hidden="1" x14ac:dyDescent="0.3">
      <c r="A1002" s="50" t="s">
        <v>4078</v>
      </c>
      <c r="B1002" s="50" t="s">
        <v>4077</v>
      </c>
      <c r="C1002" s="50" t="s">
        <v>196</v>
      </c>
      <c r="D1002" s="51">
        <v>0</v>
      </c>
      <c r="E1002" s="50">
        <v>0</v>
      </c>
    </row>
    <row r="1003" spans="1:5" ht="28.8" hidden="1" x14ac:dyDescent="0.3">
      <c r="A1003" s="50" t="s">
        <v>4076</v>
      </c>
      <c r="B1003" s="50" t="s">
        <v>4075</v>
      </c>
      <c r="C1003" s="50" t="s">
        <v>196</v>
      </c>
      <c r="D1003" s="51">
        <v>0</v>
      </c>
      <c r="E1003" s="50">
        <v>0</v>
      </c>
    </row>
    <row r="1004" spans="1:5" hidden="1" x14ac:dyDescent="0.3">
      <c r="A1004" s="50" t="s">
        <v>4074</v>
      </c>
      <c r="B1004" s="50" t="s">
        <v>4073</v>
      </c>
      <c r="C1004" s="50" t="s">
        <v>196</v>
      </c>
      <c r="D1004" s="50" t="s">
        <v>4072</v>
      </c>
      <c r="E1004" s="50">
        <v>3331</v>
      </c>
    </row>
    <row r="1005" spans="1:5" ht="28.8" hidden="1" x14ac:dyDescent="0.3">
      <c r="A1005" s="50" t="s">
        <v>376</v>
      </c>
      <c r="B1005" s="50" t="s">
        <v>377</v>
      </c>
      <c r="C1005" s="50" t="s">
        <v>196</v>
      </c>
      <c r="D1005" s="50" t="s">
        <v>4071</v>
      </c>
      <c r="E1005" s="50">
        <v>3485.72</v>
      </c>
    </row>
    <row r="1006" spans="1:5" hidden="1" x14ac:dyDescent="0.3">
      <c r="A1006" s="50" t="s">
        <v>4070</v>
      </c>
      <c r="B1006" s="50" t="s">
        <v>4069</v>
      </c>
      <c r="C1006" s="50" t="s">
        <v>196</v>
      </c>
      <c r="D1006" s="51">
        <v>0</v>
      </c>
      <c r="E1006" s="50">
        <v>0</v>
      </c>
    </row>
    <row r="1007" spans="1:5" ht="28.8" hidden="1" x14ac:dyDescent="0.3">
      <c r="A1007" s="50" t="s">
        <v>4068</v>
      </c>
      <c r="B1007" s="50" t="s">
        <v>4067</v>
      </c>
      <c r="C1007" s="50" t="s">
        <v>196</v>
      </c>
      <c r="D1007" s="51">
        <v>0</v>
      </c>
      <c r="E1007" s="50">
        <v>0</v>
      </c>
    </row>
    <row r="1008" spans="1:5" hidden="1" x14ac:dyDescent="0.3">
      <c r="A1008" s="50" t="s">
        <v>4066</v>
      </c>
      <c r="B1008" s="50" t="s">
        <v>4065</v>
      </c>
      <c r="D1008" s="50" t="s">
        <v>4064</v>
      </c>
      <c r="E1008" s="50">
        <v>1110</v>
      </c>
    </row>
    <row r="1009" spans="1:5" hidden="1" x14ac:dyDescent="0.3">
      <c r="A1009" s="50">
        <v>71848</v>
      </c>
      <c r="B1009" s="50" t="s">
        <v>4063</v>
      </c>
      <c r="D1009" s="51">
        <v>112.71</v>
      </c>
      <c r="E1009" s="50">
        <v>112.71</v>
      </c>
    </row>
    <row r="1010" spans="1:5" ht="28.8" hidden="1" x14ac:dyDescent="0.3">
      <c r="A1010" s="50" t="s">
        <v>4062</v>
      </c>
      <c r="B1010" s="50" t="s">
        <v>4061</v>
      </c>
      <c r="D1010" s="51">
        <v>238.5</v>
      </c>
      <c r="E1010" s="50">
        <v>238.5</v>
      </c>
    </row>
    <row r="1011" spans="1:5" ht="28.8" hidden="1" x14ac:dyDescent="0.3">
      <c r="A1011" s="50" t="s">
        <v>4060</v>
      </c>
      <c r="B1011" s="50" t="s">
        <v>4059</v>
      </c>
      <c r="D1011" s="51">
        <v>973.32</v>
      </c>
      <c r="E1011" s="50">
        <v>973.32</v>
      </c>
    </row>
    <row r="1012" spans="1:5" ht="28.8" hidden="1" x14ac:dyDescent="0.3">
      <c r="A1012" s="50" t="s">
        <v>4058</v>
      </c>
      <c r="B1012" s="50" t="s">
        <v>4057</v>
      </c>
      <c r="D1012" s="51">
        <v>541</v>
      </c>
      <c r="E1012" s="50">
        <v>541</v>
      </c>
    </row>
    <row r="1013" spans="1:5" ht="28.8" hidden="1" x14ac:dyDescent="0.3">
      <c r="A1013" s="50" t="s">
        <v>4056</v>
      </c>
      <c r="B1013" s="50" t="s">
        <v>4055</v>
      </c>
      <c r="D1013" s="51">
        <v>0</v>
      </c>
      <c r="E1013" s="50">
        <v>0</v>
      </c>
    </row>
    <row r="1014" spans="1:5" ht="28.8" hidden="1" x14ac:dyDescent="0.3">
      <c r="A1014" s="50" t="s">
        <v>4054</v>
      </c>
      <c r="B1014" s="50" t="s">
        <v>4053</v>
      </c>
      <c r="D1014" s="51">
        <v>0</v>
      </c>
      <c r="E1014" s="50">
        <v>0</v>
      </c>
    </row>
    <row r="1015" spans="1:5" hidden="1" x14ac:dyDescent="0.3">
      <c r="A1015" s="50" t="s">
        <v>4052</v>
      </c>
      <c r="B1015" s="50" t="s">
        <v>4051</v>
      </c>
      <c r="D1015" s="51">
        <v>0</v>
      </c>
      <c r="E1015" s="50">
        <v>0</v>
      </c>
    </row>
    <row r="1016" spans="1:5" hidden="1" x14ac:dyDescent="0.3">
      <c r="A1016" s="50" t="s">
        <v>4050</v>
      </c>
      <c r="B1016" s="50" t="s">
        <v>4049</v>
      </c>
      <c r="D1016" s="51">
        <v>0</v>
      </c>
      <c r="E1016" s="50">
        <v>0</v>
      </c>
    </row>
    <row r="1017" spans="1:5" hidden="1" x14ac:dyDescent="0.3">
      <c r="A1017" s="50" t="s">
        <v>4048</v>
      </c>
      <c r="B1017" s="50" t="s">
        <v>4047</v>
      </c>
      <c r="D1017" s="51">
        <v>0</v>
      </c>
      <c r="E1017" s="50">
        <v>0</v>
      </c>
    </row>
    <row r="1018" spans="1:5" hidden="1" x14ac:dyDescent="0.3">
      <c r="A1018" s="50" t="s">
        <v>4046</v>
      </c>
      <c r="B1018" s="50" t="s">
        <v>4045</v>
      </c>
      <c r="D1018" s="51">
        <v>0</v>
      </c>
      <c r="E1018" s="50">
        <v>0</v>
      </c>
    </row>
    <row r="1019" spans="1:5" ht="28.8" hidden="1" x14ac:dyDescent="0.3">
      <c r="A1019" s="50" t="s">
        <v>4044</v>
      </c>
      <c r="B1019" s="50" t="s">
        <v>4043</v>
      </c>
      <c r="D1019" s="51">
        <v>0</v>
      </c>
      <c r="E1019" s="50">
        <v>0</v>
      </c>
    </row>
    <row r="1020" spans="1:5" ht="28.8" hidden="1" x14ac:dyDescent="0.3">
      <c r="A1020" s="50" t="s">
        <v>4042</v>
      </c>
      <c r="B1020" s="50" t="s">
        <v>4041</v>
      </c>
      <c r="D1020" s="51">
        <v>0</v>
      </c>
      <c r="E1020" s="50">
        <v>0</v>
      </c>
    </row>
    <row r="1021" spans="1:5" hidden="1" x14ac:dyDescent="0.3">
      <c r="A1021" s="50">
        <v>77521</v>
      </c>
      <c r="B1021" s="50" t="s">
        <v>4040</v>
      </c>
      <c r="C1021" s="50" t="s">
        <v>3375</v>
      </c>
      <c r="D1021" s="50" t="s">
        <v>4039</v>
      </c>
      <c r="E1021" s="50">
        <v>1276.17</v>
      </c>
    </row>
    <row r="1022" spans="1:5" ht="28.8" hidden="1" x14ac:dyDescent="0.3">
      <c r="A1022" s="50" t="s">
        <v>4038</v>
      </c>
      <c r="B1022" s="50" t="s">
        <v>4037</v>
      </c>
      <c r="D1022" s="51">
        <v>14</v>
      </c>
      <c r="E1022" s="50">
        <v>14</v>
      </c>
    </row>
    <row r="1023" spans="1:5" hidden="1" x14ac:dyDescent="0.3">
      <c r="A1023" s="50" t="s">
        <v>404</v>
      </c>
      <c r="B1023" s="50" t="s">
        <v>405</v>
      </c>
      <c r="D1023" s="51">
        <v>30</v>
      </c>
      <c r="E1023" s="50">
        <v>30</v>
      </c>
    </row>
    <row r="1024" spans="1:5" ht="28.8" hidden="1" x14ac:dyDescent="0.3">
      <c r="A1024" s="50" t="s">
        <v>4036</v>
      </c>
      <c r="B1024" s="50" t="s">
        <v>4035</v>
      </c>
      <c r="D1024" s="50" t="s">
        <v>2797</v>
      </c>
      <c r="E1024" s="50">
        <v>1901.25</v>
      </c>
    </row>
    <row r="1025" spans="1:5" ht="28.8" hidden="1" x14ac:dyDescent="0.3">
      <c r="A1025" s="50" t="s">
        <v>4034</v>
      </c>
      <c r="B1025" s="50" t="s">
        <v>4033</v>
      </c>
      <c r="D1025" s="51">
        <v>607.14</v>
      </c>
      <c r="E1025" s="50">
        <v>607.14</v>
      </c>
    </row>
    <row r="1026" spans="1:5" hidden="1" x14ac:dyDescent="0.3">
      <c r="A1026" s="50" t="s">
        <v>188</v>
      </c>
      <c r="B1026" s="50" t="s">
        <v>189</v>
      </c>
      <c r="C1026" s="50" t="s">
        <v>196</v>
      </c>
      <c r="D1026" s="51">
        <v>0</v>
      </c>
      <c r="E1026" s="50">
        <v>212.23</v>
      </c>
    </row>
    <row r="1027" spans="1:5" ht="28.8" hidden="1" x14ac:dyDescent="0.3">
      <c r="A1027" s="50" t="s">
        <v>190</v>
      </c>
      <c r="B1027" s="50" t="s">
        <v>191</v>
      </c>
      <c r="C1027" s="50" t="s">
        <v>196</v>
      </c>
      <c r="D1027" s="51">
        <v>0</v>
      </c>
      <c r="E1027" s="50">
        <v>0</v>
      </c>
    </row>
    <row r="1028" spans="1:5" hidden="1" x14ac:dyDescent="0.3">
      <c r="A1028" s="50" t="s">
        <v>4032</v>
      </c>
      <c r="B1028" s="50" t="s">
        <v>4031</v>
      </c>
      <c r="C1028" s="50" t="s">
        <v>196</v>
      </c>
      <c r="D1028" s="51">
        <v>0</v>
      </c>
      <c r="E1028" s="50">
        <v>0</v>
      </c>
    </row>
    <row r="1029" spans="1:5" hidden="1" x14ac:dyDescent="0.3">
      <c r="A1029" s="50" t="s">
        <v>4030</v>
      </c>
      <c r="B1029" s="50" t="s">
        <v>4029</v>
      </c>
      <c r="C1029" s="50" t="s">
        <v>196</v>
      </c>
      <c r="D1029" s="50" t="s">
        <v>4028</v>
      </c>
      <c r="E1029" s="50">
        <v>1699</v>
      </c>
    </row>
    <row r="1030" spans="1:5" hidden="1" x14ac:dyDescent="0.3">
      <c r="A1030" s="50" t="s">
        <v>4027</v>
      </c>
      <c r="B1030" s="50" t="s">
        <v>4026</v>
      </c>
      <c r="C1030" s="50" t="s">
        <v>196</v>
      </c>
      <c r="D1030" s="51">
        <v>0</v>
      </c>
      <c r="E1030" s="50">
        <v>0</v>
      </c>
    </row>
    <row r="1031" spans="1:5" hidden="1" x14ac:dyDescent="0.3">
      <c r="A1031" s="50" t="s">
        <v>4025</v>
      </c>
      <c r="B1031" s="50" t="s">
        <v>4024</v>
      </c>
      <c r="D1031" s="51">
        <v>0</v>
      </c>
      <c r="E1031" s="50">
        <v>0</v>
      </c>
    </row>
    <row r="1032" spans="1:5" hidden="1" x14ac:dyDescent="0.3">
      <c r="A1032" s="50" t="s">
        <v>4023</v>
      </c>
      <c r="B1032" s="50" t="s">
        <v>2751</v>
      </c>
      <c r="D1032" s="51">
        <v>0</v>
      </c>
      <c r="E1032" s="50">
        <v>0</v>
      </c>
    </row>
    <row r="1033" spans="1:5" hidden="1" x14ac:dyDescent="0.3">
      <c r="A1033" s="50" t="s">
        <v>4022</v>
      </c>
      <c r="B1033" s="50" t="s">
        <v>4021</v>
      </c>
      <c r="D1033" s="51">
        <v>0</v>
      </c>
      <c r="E1033" s="50">
        <v>28.72</v>
      </c>
    </row>
    <row r="1034" spans="1:5" hidden="1" x14ac:dyDescent="0.3">
      <c r="A1034" s="50" t="s">
        <v>298</v>
      </c>
      <c r="B1034" s="50" t="s">
        <v>299</v>
      </c>
      <c r="C1034" s="50" t="s">
        <v>196</v>
      </c>
      <c r="D1034" s="51">
        <v>0</v>
      </c>
      <c r="E1034" s="50">
        <v>191.49</v>
      </c>
    </row>
    <row r="1035" spans="1:5" hidden="1" x14ac:dyDescent="0.3">
      <c r="A1035" s="50" t="s">
        <v>300</v>
      </c>
      <c r="B1035" s="50" t="s">
        <v>4020</v>
      </c>
      <c r="C1035" s="50" t="s">
        <v>196</v>
      </c>
      <c r="D1035" s="51">
        <v>0</v>
      </c>
      <c r="E1035" s="50">
        <v>0</v>
      </c>
    </row>
    <row r="1036" spans="1:5" hidden="1" x14ac:dyDescent="0.3">
      <c r="A1036" s="50" t="s">
        <v>4019</v>
      </c>
      <c r="B1036" s="50" t="s">
        <v>4018</v>
      </c>
      <c r="D1036" s="51">
        <v>0</v>
      </c>
      <c r="E1036" s="50">
        <v>0</v>
      </c>
    </row>
    <row r="1037" spans="1:5" ht="28.8" x14ac:dyDescent="0.3">
      <c r="A1037" s="50" t="s">
        <v>4017</v>
      </c>
      <c r="B1037" s="50" t="s">
        <v>4016</v>
      </c>
      <c r="C1037" s="50" t="s">
        <v>3945</v>
      </c>
      <c r="D1037" s="51">
        <v>637</v>
      </c>
      <c r="E1037" s="50">
        <v>637</v>
      </c>
    </row>
    <row r="1038" spans="1:5" ht="28.8" x14ac:dyDescent="0.3">
      <c r="A1038" s="50" t="s">
        <v>4015</v>
      </c>
      <c r="B1038" s="50" t="s">
        <v>4014</v>
      </c>
      <c r="C1038" s="50" t="s">
        <v>3945</v>
      </c>
      <c r="D1038" s="51">
        <v>797</v>
      </c>
      <c r="E1038" s="50">
        <v>797</v>
      </c>
    </row>
    <row r="1039" spans="1:5" ht="28.8" hidden="1" x14ac:dyDescent="0.3">
      <c r="A1039" s="50" t="s">
        <v>4013</v>
      </c>
      <c r="B1039" s="50" t="s">
        <v>4012</v>
      </c>
      <c r="D1039" s="50" t="s">
        <v>4011</v>
      </c>
      <c r="E1039" s="50">
        <v>686.4</v>
      </c>
    </row>
    <row r="1040" spans="1:5" hidden="1" x14ac:dyDescent="0.3">
      <c r="A1040" s="50" t="s">
        <v>4010</v>
      </c>
      <c r="B1040" s="50" t="s">
        <v>4009</v>
      </c>
      <c r="C1040" s="50" t="s">
        <v>196</v>
      </c>
      <c r="D1040" s="51">
        <v>0</v>
      </c>
      <c r="E1040" s="50">
        <v>0</v>
      </c>
    </row>
    <row r="1041" spans="1:5" hidden="1" x14ac:dyDescent="0.3">
      <c r="A1041" s="50" t="s">
        <v>4008</v>
      </c>
      <c r="B1041" s="50" t="s">
        <v>4007</v>
      </c>
      <c r="C1041" s="50" t="s">
        <v>196</v>
      </c>
      <c r="D1041" s="50" t="s">
        <v>4006</v>
      </c>
      <c r="E1041" s="50">
        <v>3395</v>
      </c>
    </row>
    <row r="1042" spans="1:5" hidden="1" x14ac:dyDescent="0.3">
      <c r="A1042" s="50" t="s">
        <v>4005</v>
      </c>
      <c r="B1042" s="50" t="s">
        <v>4004</v>
      </c>
      <c r="C1042" s="50" t="s">
        <v>196</v>
      </c>
      <c r="D1042" s="51">
        <v>0</v>
      </c>
      <c r="E1042" s="50">
        <v>0</v>
      </c>
    </row>
    <row r="1043" spans="1:5" hidden="1" x14ac:dyDescent="0.3">
      <c r="A1043" s="50" t="s">
        <v>4003</v>
      </c>
      <c r="B1043" s="50" t="s">
        <v>4002</v>
      </c>
      <c r="C1043" s="50" t="s">
        <v>196</v>
      </c>
      <c r="D1043" s="50" t="s">
        <v>4001</v>
      </c>
      <c r="E1043" s="50">
        <v>4423</v>
      </c>
    </row>
    <row r="1044" spans="1:5" hidden="1" x14ac:dyDescent="0.3">
      <c r="A1044" s="50" t="s">
        <v>4000</v>
      </c>
      <c r="B1044" s="50" t="s">
        <v>3999</v>
      </c>
      <c r="C1044" s="50" t="s">
        <v>196</v>
      </c>
      <c r="D1044" s="51">
        <v>0</v>
      </c>
      <c r="E1044" s="50">
        <v>0</v>
      </c>
    </row>
    <row r="1045" spans="1:5" hidden="1" x14ac:dyDescent="0.3">
      <c r="A1045" s="50" t="s">
        <v>3998</v>
      </c>
      <c r="B1045" s="50" t="s">
        <v>3997</v>
      </c>
      <c r="C1045" s="50" t="s">
        <v>196</v>
      </c>
      <c r="D1045" s="50" t="s">
        <v>3996</v>
      </c>
      <c r="E1045" s="50">
        <v>5439</v>
      </c>
    </row>
    <row r="1046" spans="1:5" ht="28.8" hidden="1" x14ac:dyDescent="0.3">
      <c r="A1046" s="50" t="s">
        <v>3995</v>
      </c>
      <c r="B1046" s="50" t="s">
        <v>3994</v>
      </c>
      <c r="D1046" s="51">
        <v>0</v>
      </c>
      <c r="E1046" s="50">
        <v>0</v>
      </c>
    </row>
    <row r="1047" spans="1:5" hidden="1" x14ac:dyDescent="0.3">
      <c r="A1047" s="50" t="s">
        <v>3993</v>
      </c>
      <c r="B1047" s="50" t="s">
        <v>3929</v>
      </c>
      <c r="D1047" s="51">
        <v>0</v>
      </c>
      <c r="E1047" s="50">
        <v>0</v>
      </c>
    </row>
    <row r="1048" spans="1:5" hidden="1" x14ac:dyDescent="0.3">
      <c r="A1048" s="50" t="s">
        <v>3992</v>
      </c>
      <c r="B1048" s="50" t="s">
        <v>3991</v>
      </c>
      <c r="C1048" s="50" t="s">
        <v>196</v>
      </c>
      <c r="D1048" s="51">
        <v>0</v>
      </c>
      <c r="E1048" s="50">
        <v>0</v>
      </c>
    </row>
    <row r="1049" spans="1:5" ht="28.8" hidden="1" x14ac:dyDescent="0.3">
      <c r="A1049" s="50" t="s">
        <v>3990</v>
      </c>
      <c r="B1049" s="50" t="s">
        <v>3989</v>
      </c>
      <c r="C1049" s="50" t="s">
        <v>196</v>
      </c>
      <c r="D1049" s="51">
        <v>0</v>
      </c>
      <c r="E1049" s="50">
        <v>0</v>
      </c>
    </row>
    <row r="1050" spans="1:5" hidden="1" x14ac:dyDescent="0.3">
      <c r="A1050" s="50" t="s">
        <v>3988</v>
      </c>
      <c r="B1050" s="50" t="s">
        <v>3987</v>
      </c>
      <c r="C1050" s="50" t="s">
        <v>196</v>
      </c>
      <c r="D1050" s="50" t="s">
        <v>3986</v>
      </c>
      <c r="E1050" s="50">
        <v>3582</v>
      </c>
    </row>
    <row r="1051" spans="1:5" ht="28.8" hidden="1" x14ac:dyDescent="0.3">
      <c r="A1051" s="50" t="s">
        <v>3985</v>
      </c>
      <c r="B1051" s="50" t="s">
        <v>3984</v>
      </c>
      <c r="C1051" s="50" t="s">
        <v>196</v>
      </c>
      <c r="D1051" s="50" t="s">
        <v>3983</v>
      </c>
      <c r="E1051" s="50">
        <v>4192</v>
      </c>
    </row>
    <row r="1052" spans="1:5" hidden="1" x14ac:dyDescent="0.3">
      <c r="A1052" s="50" t="s">
        <v>3982</v>
      </c>
      <c r="B1052" s="50" t="s">
        <v>3981</v>
      </c>
      <c r="C1052" s="50" t="s">
        <v>196</v>
      </c>
      <c r="D1052" s="51">
        <v>0</v>
      </c>
      <c r="E1052" s="50">
        <v>0</v>
      </c>
    </row>
    <row r="1053" spans="1:5" ht="28.8" hidden="1" x14ac:dyDescent="0.3">
      <c r="A1053" s="50" t="s">
        <v>3980</v>
      </c>
      <c r="B1053" s="50" t="s">
        <v>3979</v>
      </c>
      <c r="C1053" s="50" t="s">
        <v>196</v>
      </c>
      <c r="D1053" s="51">
        <v>0</v>
      </c>
      <c r="E1053" s="50">
        <v>0</v>
      </c>
    </row>
    <row r="1054" spans="1:5" hidden="1" x14ac:dyDescent="0.3">
      <c r="A1054" s="50" t="s">
        <v>3978</v>
      </c>
      <c r="B1054" s="50" t="s">
        <v>3977</v>
      </c>
      <c r="D1054" s="50" t="s">
        <v>3976</v>
      </c>
      <c r="E1054" s="50">
        <v>1598</v>
      </c>
    </row>
    <row r="1055" spans="1:5" hidden="1" x14ac:dyDescent="0.3">
      <c r="A1055" s="50" t="s">
        <v>3975</v>
      </c>
      <c r="B1055" s="50" t="s">
        <v>3974</v>
      </c>
      <c r="D1055" s="51">
        <v>80</v>
      </c>
      <c r="E1055" s="50">
        <v>80</v>
      </c>
    </row>
    <row r="1056" spans="1:5" hidden="1" x14ac:dyDescent="0.3">
      <c r="A1056" s="50">
        <v>8220000263</v>
      </c>
      <c r="B1056" s="50" t="s">
        <v>3973</v>
      </c>
      <c r="D1056" s="51">
        <v>50.22</v>
      </c>
      <c r="E1056" s="50">
        <v>50.22</v>
      </c>
    </row>
    <row r="1057" spans="1:5" ht="28.8" hidden="1" x14ac:dyDescent="0.3">
      <c r="A1057" s="50" t="s">
        <v>3972</v>
      </c>
      <c r="B1057" s="50" t="s">
        <v>3971</v>
      </c>
      <c r="D1057" s="51">
        <v>0</v>
      </c>
      <c r="E1057" s="50">
        <v>0</v>
      </c>
    </row>
    <row r="1058" spans="1:5" ht="43.2" hidden="1" x14ac:dyDescent="0.3">
      <c r="A1058" s="50" t="s">
        <v>3970</v>
      </c>
      <c r="B1058" s="50" t="s">
        <v>3969</v>
      </c>
      <c r="D1058" s="51">
        <v>174.26</v>
      </c>
      <c r="E1058" s="50">
        <v>174.26</v>
      </c>
    </row>
    <row r="1059" spans="1:5" hidden="1" x14ac:dyDescent="0.3">
      <c r="A1059" s="50" t="s">
        <v>351</v>
      </c>
      <c r="B1059" s="50" t="s">
        <v>352</v>
      </c>
      <c r="D1059" s="51">
        <v>0</v>
      </c>
      <c r="E1059" s="50">
        <v>0</v>
      </c>
    </row>
    <row r="1060" spans="1:5" hidden="1" x14ac:dyDescent="0.3">
      <c r="A1060" s="50" t="s">
        <v>353</v>
      </c>
      <c r="B1060" s="50" t="s">
        <v>354</v>
      </c>
      <c r="D1060" s="50" t="s">
        <v>3968</v>
      </c>
      <c r="E1060" s="50">
        <v>7076</v>
      </c>
    </row>
    <row r="1061" spans="1:5" hidden="1" x14ac:dyDescent="0.3">
      <c r="A1061" s="50" t="s">
        <v>406</v>
      </c>
      <c r="B1061" s="50" t="s">
        <v>407</v>
      </c>
      <c r="D1061" s="51">
        <v>30</v>
      </c>
      <c r="E1061" s="50">
        <v>30</v>
      </c>
    </row>
    <row r="1062" spans="1:5" hidden="1" x14ac:dyDescent="0.3">
      <c r="A1062" s="50">
        <v>9000004</v>
      </c>
      <c r="B1062" s="50" t="s">
        <v>3967</v>
      </c>
      <c r="D1062" s="51">
        <v>0</v>
      </c>
      <c r="E1062" s="50">
        <v>0</v>
      </c>
    </row>
    <row r="1063" spans="1:5" hidden="1" x14ac:dyDescent="0.3">
      <c r="A1063" s="50">
        <v>9000007</v>
      </c>
      <c r="B1063" s="50" t="s">
        <v>3966</v>
      </c>
      <c r="D1063" s="50" t="s">
        <v>3965</v>
      </c>
      <c r="E1063" s="50">
        <v>1482.96</v>
      </c>
    </row>
    <row r="1064" spans="1:5" hidden="1" x14ac:dyDescent="0.3">
      <c r="A1064" s="50" t="s">
        <v>192</v>
      </c>
      <c r="B1064" s="50" t="s">
        <v>193</v>
      </c>
      <c r="C1064" s="50" t="s">
        <v>196</v>
      </c>
      <c r="D1064" s="51">
        <v>403</v>
      </c>
      <c r="E1064" s="50">
        <v>396</v>
      </c>
    </row>
    <row r="1065" spans="1:5" ht="28.8" hidden="1" x14ac:dyDescent="0.3">
      <c r="A1065" s="50" t="s">
        <v>3964</v>
      </c>
      <c r="B1065" s="50" t="s">
        <v>3963</v>
      </c>
      <c r="C1065" s="50" t="s">
        <v>196</v>
      </c>
      <c r="D1065" s="51">
        <v>0</v>
      </c>
      <c r="E1065" s="50">
        <v>0</v>
      </c>
    </row>
    <row r="1066" spans="1:5" hidden="1" x14ac:dyDescent="0.3">
      <c r="A1066" s="50" t="s">
        <v>3962</v>
      </c>
      <c r="B1066" s="50" t="s">
        <v>3961</v>
      </c>
      <c r="C1066" s="50" t="s">
        <v>196</v>
      </c>
      <c r="D1066" s="51">
        <v>0</v>
      </c>
      <c r="E1066" s="50">
        <v>0</v>
      </c>
    </row>
    <row r="1067" spans="1:5" hidden="1" x14ac:dyDescent="0.3">
      <c r="A1067" s="50" t="s">
        <v>3960</v>
      </c>
      <c r="B1067" s="50" t="s">
        <v>3959</v>
      </c>
      <c r="C1067" s="50" t="s">
        <v>196</v>
      </c>
      <c r="D1067" s="50" t="s">
        <v>3958</v>
      </c>
      <c r="E1067" s="50">
        <v>4053.73</v>
      </c>
    </row>
    <row r="1068" spans="1:5" hidden="1" x14ac:dyDescent="0.3">
      <c r="A1068" s="50" t="s">
        <v>3957</v>
      </c>
      <c r="B1068" s="50" t="s">
        <v>3956</v>
      </c>
      <c r="C1068" s="50" t="s">
        <v>196</v>
      </c>
      <c r="D1068" s="51">
        <v>0</v>
      </c>
      <c r="E1068" s="50">
        <v>0</v>
      </c>
    </row>
    <row r="1069" spans="1:5" hidden="1" x14ac:dyDescent="0.3">
      <c r="A1069" s="50" t="s">
        <v>3955</v>
      </c>
      <c r="B1069" s="50" t="s">
        <v>3954</v>
      </c>
      <c r="D1069" s="50" t="s">
        <v>3953</v>
      </c>
      <c r="E1069" s="50">
        <v>2911.14</v>
      </c>
    </row>
    <row r="1070" spans="1:5" hidden="1" x14ac:dyDescent="0.3">
      <c r="A1070" s="50" t="s">
        <v>3952</v>
      </c>
      <c r="B1070" s="50" t="s">
        <v>3951</v>
      </c>
      <c r="D1070" s="51">
        <v>0</v>
      </c>
      <c r="E1070" s="50">
        <v>43.84</v>
      </c>
    </row>
    <row r="1071" spans="1:5" hidden="1" x14ac:dyDescent="0.3">
      <c r="A1071" s="50" t="s">
        <v>302</v>
      </c>
      <c r="B1071" s="50" t="s">
        <v>303</v>
      </c>
      <c r="C1071" s="50" t="s">
        <v>196</v>
      </c>
      <c r="D1071" s="51">
        <v>0</v>
      </c>
      <c r="E1071" s="50">
        <v>23.19</v>
      </c>
    </row>
    <row r="1072" spans="1:5" hidden="1" x14ac:dyDescent="0.3">
      <c r="A1072" s="50" t="s">
        <v>304</v>
      </c>
      <c r="B1072" s="50" t="s">
        <v>3950</v>
      </c>
      <c r="C1072" s="50" t="s">
        <v>196</v>
      </c>
      <c r="D1072" s="51">
        <v>0</v>
      </c>
      <c r="E1072" s="50">
        <v>0</v>
      </c>
    </row>
    <row r="1073" spans="1:5" ht="28.8" x14ac:dyDescent="0.3">
      <c r="A1073" s="50" t="s">
        <v>3949</v>
      </c>
      <c r="B1073" s="50" t="s">
        <v>3948</v>
      </c>
      <c r="C1073" s="50" t="s">
        <v>3945</v>
      </c>
      <c r="D1073" s="51">
        <v>718</v>
      </c>
      <c r="E1073" s="50">
        <v>718</v>
      </c>
    </row>
    <row r="1074" spans="1:5" ht="28.8" x14ac:dyDescent="0.3">
      <c r="A1074" s="50" t="s">
        <v>3947</v>
      </c>
      <c r="B1074" s="50" t="s">
        <v>3946</v>
      </c>
      <c r="C1074" s="50" t="s">
        <v>3945</v>
      </c>
      <c r="D1074" s="51">
        <v>897</v>
      </c>
      <c r="E1074" s="50">
        <v>897</v>
      </c>
    </row>
    <row r="1075" spans="1:5" hidden="1" x14ac:dyDescent="0.3">
      <c r="A1075" s="50" t="s">
        <v>3944</v>
      </c>
      <c r="B1075" s="50" t="s">
        <v>3943</v>
      </c>
      <c r="C1075" s="50" t="s">
        <v>196</v>
      </c>
      <c r="D1075" s="51">
        <v>0</v>
      </c>
      <c r="E1075" s="50">
        <v>0</v>
      </c>
    </row>
    <row r="1076" spans="1:5" hidden="1" x14ac:dyDescent="0.3">
      <c r="A1076" s="50" t="s">
        <v>3942</v>
      </c>
      <c r="B1076" s="50" t="s">
        <v>3941</v>
      </c>
      <c r="C1076" s="50" t="s">
        <v>196</v>
      </c>
      <c r="D1076" s="51">
        <v>0</v>
      </c>
      <c r="E1076" s="50">
        <v>0</v>
      </c>
    </row>
    <row r="1077" spans="1:5" hidden="1" x14ac:dyDescent="0.3">
      <c r="A1077" s="50" t="s">
        <v>3940</v>
      </c>
      <c r="B1077" s="50" t="s">
        <v>3939</v>
      </c>
      <c r="C1077" s="50" t="s">
        <v>196</v>
      </c>
      <c r="D1077" s="50" t="s">
        <v>3938</v>
      </c>
      <c r="E1077" s="50">
        <v>4272</v>
      </c>
    </row>
    <row r="1078" spans="1:5" hidden="1" x14ac:dyDescent="0.3">
      <c r="A1078" s="50" t="s">
        <v>3937</v>
      </c>
      <c r="B1078" s="50" t="s">
        <v>3936</v>
      </c>
      <c r="C1078" s="50" t="s">
        <v>196</v>
      </c>
      <c r="D1078" s="51">
        <v>0</v>
      </c>
      <c r="E1078" s="50">
        <v>0</v>
      </c>
    </row>
    <row r="1079" spans="1:5" hidden="1" x14ac:dyDescent="0.3">
      <c r="A1079" s="50" t="s">
        <v>3935</v>
      </c>
      <c r="B1079" s="50" t="s">
        <v>3934</v>
      </c>
      <c r="C1079" s="50" t="s">
        <v>196</v>
      </c>
      <c r="D1079" s="50" t="s">
        <v>3933</v>
      </c>
      <c r="E1079" s="50">
        <v>5661.5</v>
      </c>
    </row>
    <row r="1080" spans="1:5" hidden="1" x14ac:dyDescent="0.3">
      <c r="A1080" s="50" t="s">
        <v>3932</v>
      </c>
      <c r="B1080" s="50" t="s">
        <v>3931</v>
      </c>
      <c r="C1080" s="50" t="s">
        <v>196</v>
      </c>
      <c r="D1080" s="50" t="s">
        <v>3916</v>
      </c>
      <c r="E1080" s="50">
        <v>6224</v>
      </c>
    </row>
    <row r="1081" spans="1:5" hidden="1" x14ac:dyDescent="0.3">
      <c r="A1081" s="50" t="s">
        <v>3930</v>
      </c>
      <c r="B1081" s="50" t="s">
        <v>3929</v>
      </c>
      <c r="D1081" s="50" t="s">
        <v>3928</v>
      </c>
      <c r="E1081" s="50">
        <v>1002.78</v>
      </c>
    </row>
    <row r="1082" spans="1:5" hidden="1" x14ac:dyDescent="0.3">
      <c r="A1082" s="50" t="s">
        <v>3927</v>
      </c>
      <c r="B1082" s="50" t="s">
        <v>3926</v>
      </c>
      <c r="C1082" s="50" t="s">
        <v>196</v>
      </c>
      <c r="D1082" s="51">
        <v>0</v>
      </c>
      <c r="E1082" s="50">
        <v>0</v>
      </c>
    </row>
    <row r="1083" spans="1:5" ht="28.8" hidden="1" x14ac:dyDescent="0.3">
      <c r="A1083" s="50" t="s">
        <v>3925</v>
      </c>
      <c r="B1083" s="50" t="s">
        <v>3924</v>
      </c>
      <c r="C1083" s="50" t="s">
        <v>196</v>
      </c>
      <c r="D1083" s="51">
        <v>0</v>
      </c>
      <c r="E1083" s="50">
        <v>0</v>
      </c>
    </row>
    <row r="1084" spans="1:5" hidden="1" x14ac:dyDescent="0.3">
      <c r="A1084" s="50" t="s">
        <v>3923</v>
      </c>
      <c r="B1084" s="50" t="s">
        <v>3922</v>
      </c>
      <c r="C1084" s="50" t="s">
        <v>196</v>
      </c>
      <c r="D1084" s="51">
        <v>0</v>
      </c>
      <c r="E1084" s="50">
        <v>0</v>
      </c>
    </row>
    <row r="1085" spans="1:5" ht="28.8" hidden="1" x14ac:dyDescent="0.3">
      <c r="A1085" s="50" t="s">
        <v>378</v>
      </c>
      <c r="B1085" s="50" t="s">
        <v>379</v>
      </c>
      <c r="C1085" s="50" t="s">
        <v>196</v>
      </c>
      <c r="D1085" s="50" t="s">
        <v>3921</v>
      </c>
      <c r="E1085" s="50">
        <v>4804</v>
      </c>
    </row>
    <row r="1086" spans="1:5" hidden="1" x14ac:dyDescent="0.3">
      <c r="A1086" s="50" t="s">
        <v>3920</v>
      </c>
      <c r="B1086" s="50" t="s">
        <v>3919</v>
      </c>
      <c r="C1086" s="50" t="s">
        <v>196</v>
      </c>
      <c r="D1086" s="51">
        <v>0</v>
      </c>
      <c r="E1086" s="50">
        <v>0</v>
      </c>
    </row>
    <row r="1087" spans="1:5" ht="28.8" hidden="1" x14ac:dyDescent="0.3">
      <c r="A1087" s="50" t="s">
        <v>3918</v>
      </c>
      <c r="B1087" s="50" t="s">
        <v>3917</v>
      </c>
      <c r="C1087" s="50" t="s">
        <v>196</v>
      </c>
      <c r="D1087" s="50" t="s">
        <v>3916</v>
      </c>
      <c r="E1087" s="50">
        <v>6224</v>
      </c>
    </row>
    <row r="1088" spans="1:5" hidden="1" x14ac:dyDescent="0.3">
      <c r="A1088" s="50" t="s">
        <v>3915</v>
      </c>
      <c r="B1088" s="50" t="s">
        <v>3914</v>
      </c>
      <c r="D1088" s="51">
        <v>134.30000000000001</v>
      </c>
      <c r="E1088" s="50">
        <v>134.30000000000001</v>
      </c>
    </row>
    <row r="1089" spans="1:5" ht="43.2" hidden="1" x14ac:dyDescent="0.3">
      <c r="A1089" s="50" t="s">
        <v>3913</v>
      </c>
      <c r="B1089" s="50" t="s">
        <v>3912</v>
      </c>
      <c r="D1089" s="51">
        <v>186.29</v>
      </c>
      <c r="E1089" s="50">
        <v>186.29</v>
      </c>
    </row>
    <row r="1090" spans="1:5" hidden="1" x14ac:dyDescent="0.3">
      <c r="A1090" s="50" t="s">
        <v>3911</v>
      </c>
      <c r="B1090" s="50" t="s">
        <v>3910</v>
      </c>
      <c r="D1090" s="51">
        <v>0</v>
      </c>
      <c r="E1090" s="50">
        <v>0</v>
      </c>
    </row>
    <row r="1091" spans="1:5" ht="43.2" hidden="1" x14ac:dyDescent="0.3">
      <c r="A1091" s="50" t="s">
        <v>3909</v>
      </c>
      <c r="B1091" s="50" t="s">
        <v>3908</v>
      </c>
      <c r="D1091" s="51">
        <v>223.66</v>
      </c>
      <c r="E1091" s="50">
        <v>223.66</v>
      </c>
    </row>
    <row r="1092" spans="1:5" ht="28.8" hidden="1" x14ac:dyDescent="0.3">
      <c r="A1092" s="50" t="s">
        <v>3907</v>
      </c>
      <c r="B1092" s="50" t="s">
        <v>3906</v>
      </c>
      <c r="D1092" s="51">
        <v>5.42</v>
      </c>
      <c r="E1092" s="50">
        <v>5.42</v>
      </c>
    </row>
    <row r="1093" spans="1:5" hidden="1" x14ac:dyDescent="0.3">
      <c r="A1093" s="50">
        <v>97521</v>
      </c>
      <c r="B1093" s="50" t="s">
        <v>3905</v>
      </c>
      <c r="C1093" s="50" t="s">
        <v>3375</v>
      </c>
      <c r="D1093" s="51">
        <v>0</v>
      </c>
      <c r="E1093" s="50">
        <v>0</v>
      </c>
    </row>
    <row r="1094" spans="1:5" ht="28.8" hidden="1" x14ac:dyDescent="0.3">
      <c r="A1094" s="50" t="s">
        <v>3904</v>
      </c>
      <c r="B1094" s="50" t="s">
        <v>3903</v>
      </c>
      <c r="D1094" s="51">
        <v>34.78</v>
      </c>
      <c r="E1094" s="50">
        <v>34.78</v>
      </c>
    </row>
    <row r="1095" spans="1:5" ht="28.8" hidden="1" x14ac:dyDescent="0.3">
      <c r="A1095" s="50" t="s">
        <v>3902</v>
      </c>
      <c r="B1095" s="50" t="s">
        <v>3901</v>
      </c>
      <c r="C1095" s="50" t="s">
        <v>1174</v>
      </c>
      <c r="D1095" s="51">
        <v>42.38</v>
      </c>
      <c r="E1095" s="50">
        <v>42.38</v>
      </c>
    </row>
    <row r="1096" spans="1:5" hidden="1" x14ac:dyDescent="0.3">
      <c r="A1096" s="50">
        <v>99521</v>
      </c>
      <c r="B1096" s="50" t="s">
        <v>3900</v>
      </c>
      <c r="C1096" s="50" t="s">
        <v>3375</v>
      </c>
      <c r="D1096" s="51">
        <v>0</v>
      </c>
      <c r="E1096" s="50">
        <v>0</v>
      </c>
    </row>
    <row r="1097" spans="1:5" hidden="1" x14ac:dyDescent="0.3">
      <c r="A1097" s="50" t="s">
        <v>3899</v>
      </c>
      <c r="B1097" s="50" t="s">
        <v>3898</v>
      </c>
      <c r="D1097" s="50" t="s">
        <v>3897</v>
      </c>
      <c r="E1097" s="50">
        <v>1308</v>
      </c>
    </row>
    <row r="1098" spans="1:5" ht="28.8" hidden="1" x14ac:dyDescent="0.3">
      <c r="A1098" s="50" t="s">
        <v>3896</v>
      </c>
      <c r="B1098" s="50" t="s">
        <v>3892</v>
      </c>
      <c r="D1098" s="51">
        <v>0</v>
      </c>
      <c r="E1098" s="50">
        <v>0</v>
      </c>
    </row>
    <row r="1099" spans="1:5" hidden="1" x14ac:dyDescent="0.3">
      <c r="A1099" s="50" t="s">
        <v>3895</v>
      </c>
      <c r="B1099" s="50" t="s">
        <v>3894</v>
      </c>
      <c r="D1099" s="51">
        <v>0</v>
      </c>
      <c r="E1099" s="50">
        <v>0</v>
      </c>
    </row>
    <row r="1100" spans="1:5" ht="28.8" hidden="1" x14ac:dyDescent="0.3">
      <c r="A1100" s="50" t="s">
        <v>3893</v>
      </c>
      <c r="B1100" s="50" t="s">
        <v>3892</v>
      </c>
      <c r="D1100" s="51">
        <v>0</v>
      </c>
      <c r="E1100" s="50">
        <v>0</v>
      </c>
    </row>
    <row r="1101" spans="1:5" ht="28.8" hidden="1" x14ac:dyDescent="0.3">
      <c r="A1101" s="50" t="s">
        <v>3891</v>
      </c>
      <c r="B1101" s="50" t="s">
        <v>3890</v>
      </c>
      <c r="D1101" s="51">
        <v>0</v>
      </c>
      <c r="E1101" s="50">
        <v>0</v>
      </c>
    </row>
    <row r="1102" spans="1:5" hidden="1" x14ac:dyDescent="0.3">
      <c r="A1102" s="50" t="s">
        <v>3889</v>
      </c>
      <c r="B1102" s="50" t="s">
        <v>3888</v>
      </c>
      <c r="D1102" s="51">
        <v>0</v>
      </c>
      <c r="E1102" s="50">
        <v>0</v>
      </c>
    </row>
    <row r="1103" spans="1:5" ht="28.8" hidden="1" x14ac:dyDescent="0.3">
      <c r="A1103" s="50" t="s">
        <v>3887</v>
      </c>
      <c r="B1103" s="50" t="s">
        <v>3886</v>
      </c>
      <c r="D1103" s="51">
        <v>0</v>
      </c>
      <c r="E1103" s="50">
        <v>0</v>
      </c>
    </row>
    <row r="1104" spans="1:5" hidden="1" x14ac:dyDescent="0.3">
      <c r="A1104" s="50" t="s">
        <v>3885</v>
      </c>
      <c r="B1104" s="50" t="s">
        <v>3884</v>
      </c>
      <c r="D1104" s="50" t="s">
        <v>3883</v>
      </c>
      <c r="E1104" s="50">
        <v>7252.17</v>
      </c>
    </row>
    <row r="1105" spans="1:5" ht="28.8" hidden="1" x14ac:dyDescent="0.3">
      <c r="A1105" s="50" t="s">
        <v>3882</v>
      </c>
      <c r="B1105" s="50" t="s">
        <v>3881</v>
      </c>
      <c r="D1105" s="51">
        <v>0</v>
      </c>
      <c r="E1105" s="50">
        <v>0</v>
      </c>
    </row>
    <row r="1106" spans="1:5" hidden="1" x14ac:dyDescent="0.3">
      <c r="A1106" s="50" t="s">
        <v>3880</v>
      </c>
      <c r="B1106" s="50" t="s">
        <v>3879</v>
      </c>
      <c r="D1106" s="51">
        <v>183.23</v>
      </c>
      <c r="E1106" s="50">
        <v>183.23</v>
      </c>
    </row>
    <row r="1107" spans="1:5" ht="43.2" hidden="1" x14ac:dyDescent="0.3">
      <c r="A1107" s="50" t="s">
        <v>3878</v>
      </c>
      <c r="B1107" s="50" t="s">
        <v>3877</v>
      </c>
      <c r="D1107" s="51">
        <v>776.58</v>
      </c>
      <c r="E1107" s="50">
        <v>776.58</v>
      </c>
    </row>
    <row r="1108" spans="1:5" hidden="1" x14ac:dyDescent="0.3">
      <c r="A1108" s="50" t="s">
        <v>3876</v>
      </c>
      <c r="B1108" s="50" t="s">
        <v>3875</v>
      </c>
      <c r="D1108" s="51">
        <v>0</v>
      </c>
      <c r="E1108" s="50">
        <v>0</v>
      </c>
    </row>
    <row r="1109" spans="1:5" ht="28.8" hidden="1" x14ac:dyDescent="0.3">
      <c r="A1109" s="50" t="s">
        <v>3874</v>
      </c>
      <c r="B1109" s="50" t="s">
        <v>3873</v>
      </c>
      <c r="D1109" s="51">
        <v>875.34</v>
      </c>
      <c r="E1109" s="50">
        <v>785.66</v>
      </c>
    </row>
    <row r="1110" spans="1:5" ht="28.8" hidden="1" x14ac:dyDescent="0.3">
      <c r="A1110" s="50" t="s">
        <v>3872</v>
      </c>
      <c r="B1110" s="50" t="s">
        <v>3871</v>
      </c>
      <c r="D1110" s="51">
        <v>47.06</v>
      </c>
      <c r="E1110" s="50">
        <v>47.06</v>
      </c>
    </row>
    <row r="1111" spans="1:5" hidden="1" x14ac:dyDescent="0.3">
      <c r="A1111" s="50" t="s">
        <v>3870</v>
      </c>
      <c r="B1111" s="50" t="s">
        <v>3869</v>
      </c>
      <c r="D1111" s="50" t="s">
        <v>3868</v>
      </c>
      <c r="E1111" s="50">
        <v>1200.58</v>
      </c>
    </row>
    <row r="1112" spans="1:5" hidden="1" x14ac:dyDescent="0.3">
      <c r="A1112" s="50" t="s">
        <v>3867</v>
      </c>
      <c r="B1112" s="50" t="s">
        <v>3866</v>
      </c>
      <c r="D1112" s="51">
        <v>112</v>
      </c>
      <c r="E1112" s="50">
        <v>112</v>
      </c>
    </row>
    <row r="1113" spans="1:5" ht="43.2" hidden="1" x14ac:dyDescent="0.3">
      <c r="A1113" s="50" t="s">
        <v>3865</v>
      </c>
      <c r="B1113" s="50" t="s">
        <v>3864</v>
      </c>
      <c r="D1113" s="51">
        <v>0</v>
      </c>
      <c r="E1113" s="50">
        <v>0</v>
      </c>
    </row>
    <row r="1114" spans="1:5" hidden="1" x14ac:dyDescent="0.3">
      <c r="A1114" s="50" t="s">
        <v>3863</v>
      </c>
      <c r="B1114" s="50" t="s">
        <v>3862</v>
      </c>
      <c r="C1114" s="50" t="s">
        <v>196</v>
      </c>
      <c r="D1114" s="51">
        <v>0</v>
      </c>
      <c r="E1114" s="50">
        <v>0</v>
      </c>
    </row>
    <row r="1115" spans="1:5" ht="28.8" hidden="1" x14ac:dyDescent="0.3">
      <c r="A1115" s="50" t="s">
        <v>3861</v>
      </c>
      <c r="B1115" s="50" t="s">
        <v>3860</v>
      </c>
      <c r="C1115" s="50" t="s">
        <v>196</v>
      </c>
      <c r="D1115" s="51">
        <v>0</v>
      </c>
      <c r="E1115" s="50">
        <v>0</v>
      </c>
    </row>
    <row r="1116" spans="1:5" hidden="1" x14ac:dyDescent="0.3">
      <c r="A1116" s="50" t="s">
        <v>3859</v>
      </c>
      <c r="B1116" s="50" t="s">
        <v>3858</v>
      </c>
      <c r="C1116" s="50" t="s">
        <v>196</v>
      </c>
      <c r="D1116" s="51">
        <v>0</v>
      </c>
      <c r="E1116" s="50">
        <v>0</v>
      </c>
    </row>
    <row r="1117" spans="1:5" ht="28.8" hidden="1" x14ac:dyDescent="0.3">
      <c r="A1117" s="50" t="s">
        <v>3857</v>
      </c>
      <c r="B1117" s="50" t="s">
        <v>3856</v>
      </c>
      <c r="C1117" s="50" t="s">
        <v>196</v>
      </c>
      <c r="D1117" s="51">
        <v>0</v>
      </c>
      <c r="E1117" s="50">
        <v>0</v>
      </c>
    </row>
    <row r="1118" spans="1:5" ht="28.8" hidden="1" x14ac:dyDescent="0.3">
      <c r="A1118" s="50" t="s">
        <v>3855</v>
      </c>
      <c r="B1118" s="50" t="s">
        <v>3854</v>
      </c>
      <c r="C1118" s="50" t="s">
        <v>196</v>
      </c>
      <c r="D1118" s="51">
        <v>0</v>
      </c>
      <c r="E1118" s="50">
        <v>0</v>
      </c>
    </row>
    <row r="1119" spans="1:5" ht="28.8" hidden="1" x14ac:dyDescent="0.3">
      <c r="A1119" s="50" t="s">
        <v>3853</v>
      </c>
      <c r="B1119" s="50" t="s">
        <v>3852</v>
      </c>
      <c r="C1119" s="50" t="s">
        <v>196</v>
      </c>
      <c r="D1119" s="51">
        <v>0</v>
      </c>
      <c r="E1119" s="50">
        <v>0</v>
      </c>
    </row>
    <row r="1120" spans="1:5" hidden="1" x14ac:dyDescent="0.3">
      <c r="A1120" s="50" t="s">
        <v>3851</v>
      </c>
      <c r="B1120" s="50" t="s">
        <v>3850</v>
      </c>
      <c r="C1120" s="50" t="s">
        <v>196</v>
      </c>
      <c r="D1120" s="51">
        <v>0</v>
      </c>
      <c r="E1120" s="50">
        <v>0</v>
      </c>
    </row>
    <row r="1121" spans="1:5" ht="28.8" hidden="1" x14ac:dyDescent="0.3">
      <c r="A1121" s="50" t="s">
        <v>3849</v>
      </c>
      <c r="B1121" s="50" t="s">
        <v>3848</v>
      </c>
      <c r="C1121" s="50" t="s">
        <v>196</v>
      </c>
      <c r="D1121" s="51">
        <v>0</v>
      </c>
      <c r="E1121" s="50">
        <v>0</v>
      </c>
    </row>
    <row r="1122" spans="1:5" ht="28.8" hidden="1" x14ac:dyDescent="0.3">
      <c r="A1122" s="50" t="s">
        <v>3847</v>
      </c>
      <c r="B1122" s="50" t="s">
        <v>3846</v>
      </c>
      <c r="C1122" s="50" t="s">
        <v>196</v>
      </c>
      <c r="D1122" s="51">
        <v>0</v>
      </c>
      <c r="E1122" s="50">
        <v>0</v>
      </c>
    </row>
    <row r="1123" spans="1:5" ht="28.8" hidden="1" x14ac:dyDescent="0.3">
      <c r="A1123" s="50" t="s">
        <v>3845</v>
      </c>
      <c r="B1123" s="50" t="s">
        <v>3844</v>
      </c>
      <c r="C1123" s="50" t="s">
        <v>196</v>
      </c>
      <c r="D1123" s="51">
        <v>0</v>
      </c>
      <c r="E1123" s="50">
        <v>0</v>
      </c>
    </row>
    <row r="1124" spans="1:5" hidden="1" x14ac:dyDescent="0.3">
      <c r="A1124" s="50" t="s">
        <v>3843</v>
      </c>
      <c r="B1124" s="50" t="s">
        <v>3842</v>
      </c>
      <c r="C1124" s="50" t="s">
        <v>196</v>
      </c>
      <c r="D1124" s="51">
        <v>0</v>
      </c>
      <c r="E1124" s="50">
        <v>0</v>
      </c>
    </row>
    <row r="1125" spans="1:5" ht="28.8" hidden="1" x14ac:dyDescent="0.3">
      <c r="A1125" s="50" t="s">
        <v>3841</v>
      </c>
      <c r="B1125" s="50" t="s">
        <v>3840</v>
      </c>
      <c r="C1125" s="50" t="s">
        <v>196</v>
      </c>
      <c r="D1125" s="51">
        <v>0</v>
      </c>
      <c r="E1125" s="50">
        <v>0</v>
      </c>
    </row>
    <row r="1126" spans="1:5" hidden="1" x14ac:dyDescent="0.3">
      <c r="A1126" s="50" t="s">
        <v>222</v>
      </c>
      <c r="B1126" s="50" t="s">
        <v>223</v>
      </c>
      <c r="D1126" s="51">
        <v>85</v>
      </c>
      <c r="E1126" s="50">
        <v>85</v>
      </c>
    </row>
    <row r="1127" spans="1:5" hidden="1" x14ac:dyDescent="0.3">
      <c r="A1127" s="50" t="s">
        <v>224</v>
      </c>
      <c r="B1127" s="50" t="s">
        <v>225</v>
      </c>
      <c r="D1127" s="51">
        <v>11</v>
      </c>
      <c r="E1127" s="50">
        <v>11</v>
      </c>
    </row>
    <row r="1128" spans="1:5" hidden="1" x14ac:dyDescent="0.3">
      <c r="A1128" s="50" t="s">
        <v>3839</v>
      </c>
      <c r="B1128" s="50" t="s">
        <v>3838</v>
      </c>
      <c r="D1128" s="51">
        <v>0</v>
      </c>
      <c r="E1128" s="50">
        <v>0</v>
      </c>
    </row>
    <row r="1129" spans="1:5" ht="28.8" hidden="1" x14ac:dyDescent="0.3">
      <c r="A1129" s="50" t="s">
        <v>3837</v>
      </c>
      <c r="B1129" s="50" t="s">
        <v>3836</v>
      </c>
      <c r="D1129" s="51">
        <v>80.5</v>
      </c>
      <c r="E1129" s="50">
        <v>80.5</v>
      </c>
    </row>
    <row r="1130" spans="1:5" ht="28.8" hidden="1" x14ac:dyDescent="0.3">
      <c r="A1130" s="50" t="s">
        <v>3835</v>
      </c>
      <c r="B1130" s="50" t="s">
        <v>3834</v>
      </c>
      <c r="C1130" s="50" t="s">
        <v>3375</v>
      </c>
      <c r="D1130" s="50" t="s">
        <v>3833</v>
      </c>
      <c r="E1130" s="50">
        <v>2000</v>
      </c>
    </row>
    <row r="1131" spans="1:5" hidden="1" x14ac:dyDescent="0.3">
      <c r="A1131" s="50" t="s">
        <v>3832</v>
      </c>
      <c r="B1131" s="50" t="s">
        <v>3831</v>
      </c>
      <c r="D1131" s="51">
        <v>813.27</v>
      </c>
      <c r="E1131" s="50">
        <v>813.27</v>
      </c>
    </row>
    <row r="1132" spans="1:5" hidden="1" x14ac:dyDescent="0.3">
      <c r="A1132" s="50" t="s">
        <v>3830</v>
      </c>
      <c r="B1132" s="50" t="s">
        <v>3829</v>
      </c>
      <c r="D1132" s="51">
        <v>53.46</v>
      </c>
      <c r="E1132" s="50">
        <v>53.46</v>
      </c>
    </row>
    <row r="1133" spans="1:5" ht="43.2" hidden="1" x14ac:dyDescent="0.3">
      <c r="A1133" s="50" t="s">
        <v>3828</v>
      </c>
      <c r="B1133" s="50" t="s">
        <v>3827</v>
      </c>
      <c r="D1133" s="50" t="s">
        <v>3826</v>
      </c>
      <c r="E1133" s="50">
        <v>2479</v>
      </c>
    </row>
    <row r="1134" spans="1:5" ht="43.2" hidden="1" x14ac:dyDescent="0.3">
      <c r="A1134" s="50" t="s">
        <v>3825</v>
      </c>
      <c r="B1134" s="50" t="s">
        <v>3824</v>
      </c>
      <c r="C1134" s="50" t="s">
        <v>1165</v>
      </c>
      <c r="D1134" s="50" t="s">
        <v>3823</v>
      </c>
      <c r="E1134" s="50">
        <v>3264</v>
      </c>
    </row>
    <row r="1135" spans="1:5" hidden="1" x14ac:dyDescent="0.3">
      <c r="A1135" s="50" t="s">
        <v>3822</v>
      </c>
      <c r="B1135" s="50" t="s">
        <v>3821</v>
      </c>
      <c r="C1135" s="50" t="s">
        <v>496</v>
      </c>
      <c r="D1135" s="50" t="s">
        <v>3820</v>
      </c>
      <c r="E1135" s="50">
        <v>4520.6400000000003</v>
      </c>
    </row>
    <row r="1136" spans="1:5" hidden="1" x14ac:dyDescent="0.3">
      <c r="A1136" s="50" t="s">
        <v>3819</v>
      </c>
      <c r="B1136" s="50" t="s">
        <v>3818</v>
      </c>
      <c r="D1136" s="51">
        <v>20</v>
      </c>
      <c r="E1136" s="50">
        <v>29.97</v>
      </c>
    </row>
    <row r="1137" spans="1:5" ht="28.8" hidden="1" x14ac:dyDescent="0.3">
      <c r="A1137" s="50" t="s">
        <v>3817</v>
      </c>
      <c r="B1137" s="50" t="s">
        <v>3816</v>
      </c>
      <c r="D1137" s="51">
        <v>0</v>
      </c>
      <c r="E1137" s="50">
        <v>0</v>
      </c>
    </row>
    <row r="1138" spans="1:5" hidden="1" x14ac:dyDescent="0.3">
      <c r="A1138" s="50" t="s">
        <v>3815</v>
      </c>
      <c r="B1138" s="50" t="s">
        <v>3814</v>
      </c>
      <c r="D1138" s="51">
        <v>0</v>
      </c>
      <c r="E1138" s="50">
        <v>0</v>
      </c>
    </row>
    <row r="1139" spans="1:5" ht="28.8" hidden="1" x14ac:dyDescent="0.3">
      <c r="A1139" s="50" t="s">
        <v>3813</v>
      </c>
      <c r="B1139" s="50" t="s">
        <v>3812</v>
      </c>
      <c r="D1139" s="51">
        <v>0</v>
      </c>
      <c r="E1139" s="50">
        <v>0</v>
      </c>
    </row>
    <row r="1140" spans="1:5" ht="28.8" hidden="1" x14ac:dyDescent="0.3">
      <c r="A1140" s="50" t="s">
        <v>3811</v>
      </c>
      <c r="B1140" s="50" t="s">
        <v>3810</v>
      </c>
      <c r="D1140" s="51">
        <v>0</v>
      </c>
      <c r="E1140" s="50">
        <v>0</v>
      </c>
    </row>
    <row r="1141" spans="1:5" ht="43.2" hidden="1" x14ac:dyDescent="0.3">
      <c r="A1141" s="50" t="s">
        <v>3809</v>
      </c>
      <c r="B1141" s="50" t="s">
        <v>3808</v>
      </c>
      <c r="D1141" s="51">
        <v>0</v>
      </c>
      <c r="E1141" s="50">
        <v>0</v>
      </c>
    </row>
    <row r="1142" spans="1:5" ht="43.2" hidden="1" x14ac:dyDescent="0.3">
      <c r="A1142" s="50" t="s">
        <v>3807</v>
      </c>
      <c r="B1142" s="50" t="s">
        <v>3801</v>
      </c>
      <c r="D1142" s="51">
        <v>0</v>
      </c>
      <c r="E1142" s="50">
        <v>0</v>
      </c>
    </row>
    <row r="1143" spans="1:5" ht="43.2" hidden="1" x14ac:dyDescent="0.3">
      <c r="A1143" s="50" t="s">
        <v>3806</v>
      </c>
      <c r="B1143" s="50" t="s">
        <v>3805</v>
      </c>
      <c r="D1143" s="51">
        <v>0</v>
      </c>
      <c r="E1143" s="50">
        <v>0</v>
      </c>
    </row>
    <row r="1144" spans="1:5" ht="28.8" hidden="1" x14ac:dyDescent="0.3">
      <c r="A1144" s="50" t="s">
        <v>3804</v>
      </c>
      <c r="B1144" s="50" t="s">
        <v>3803</v>
      </c>
      <c r="D1144" s="51">
        <v>0</v>
      </c>
      <c r="E1144" s="50">
        <v>0</v>
      </c>
    </row>
    <row r="1145" spans="1:5" ht="43.2" hidden="1" x14ac:dyDescent="0.3">
      <c r="A1145" s="50" t="s">
        <v>3802</v>
      </c>
      <c r="B1145" s="50" t="s">
        <v>3801</v>
      </c>
      <c r="D1145" s="51">
        <v>0</v>
      </c>
      <c r="E1145" s="50">
        <v>0</v>
      </c>
    </row>
    <row r="1146" spans="1:5" ht="28.8" hidden="1" x14ac:dyDescent="0.3">
      <c r="A1146" s="50" t="s">
        <v>3800</v>
      </c>
      <c r="B1146" s="50" t="s">
        <v>3799</v>
      </c>
      <c r="D1146" s="51">
        <v>0</v>
      </c>
      <c r="E1146" s="50">
        <v>0</v>
      </c>
    </row>
    <row r="1147" spans="1:5" ht="28.8" hidden="1" x14ac:dyDescent="0.3">
      <c r="A1147" s="50" t="s">
        <v>3798</v>
      </c>
      <c r="B1147" s="50" t="s">
        <v>3797</v>
      </c>
      <c r="D1147" s="51">
        <v>0</v>
      </c>
      <c r="E1147" s="50">
        <v>0</v>
      </c>
    </row>
    <row r="1148" spans="1:5" ht="28.8" hidden="1" x14ac:dyDescent="0.3">
      <c r="A1148" s="50" t="s">
        <v>3796</v>
      </c>
      <c r="B1148" s="50" t="s">
        <v>3226</v>
      </c>
      <c r="D1148" s="51">
        <v>0</v>
      </c>
      <c r="E1148" s="50">
        <v>0</v>
      </c>
    </row>
    <row r="1149" spans="1:5" ht="43.2" hidden="1" x14ac:dyDescent="0.3">
      <c r="A1149" s="50" t="s">
        <v>3795</v>
      </c>
      <c r="B1149" s="50" t="s">
        <v>3794</v>
      </c>
      <c r="D1149" s="50" t="s">
        <v>3793</v>
      </c>
      <c r="E1149" s="50">
        <v>3473.5</v>
      </c>
    </row>
    <row r="1150" spans="1:5" ht="43.2" hidden="1" x14ac:dyDescent="0.3">
      <c r="A1150" s="50" t="s">
        <v>3792</v>
      </c>
      <c r="B1150" s="50" t="s">
        <v>3791</v>
      </c>
      <c r="D1150" s="51">
        <v>0</v>
      </c>
      <c r="E1150" s="50">
        <v>0</v>
      </c>
    </row>
    <row r="1151" spans="1:5" ht="43.2" hidden="1" x14ac:dyDescent="0.3">
      <c r="A1151" s="50" t="s">
        <v>3790</v>
      </c>
      <c r="B1151" s="50" t="s">
        <v>3789</v>
      </c>
      <c r="D1151" s="51">
        <v>0</v>
      </c>
      <c r="E1151" s="50">
        <v>0</v>
      </c>
    </row>
    <row r="1152" spans="1:5" ht="43.2" hidden="1" x14ac:dyDescent="0.3">
      <c r="A1152" s="50" t="s">
        <v>3788</v>
      </c>
      <c r="B1152" s="50" t="s">
        <v>3787</v>
      </c>
      <c r="D1152" s="51">
        <v>0</v>
      </c>
      <c r="E1152" s="50">
        <v>0</v>
      </c>
    </row>
    <row r="1153" spans="1:5" ht="43.2" hidden="1" x14ac:dyDescent="0.3">
      <c r="A1153" s="50" t="s">
        <v>3786</v>
      </c>
      <c r="B1153" s="50" t="s">
        <v>3785</v>
      </c>
      <c r="D1153" s="51">
        <v>0</v>
      </c>
      <c r="E1153" s="50">
        <v>0</v>
      </c>
    </row>
    <row r="1154" spans="1:5" ht="28.8" hidden="1" x14ac:dyDescent="0.3">
      <c r="A1154" s="50" t="s">
        <v>3784</v>
      </c>
      <c r="B1154" s="50" t="s">
        <v>3783</v>
      </c>
      <c r="D1154" s="51">
        <v>0</v>
      </c>
      <c r="E1154" s="50">
        <v>0</v>
      </c>
    </row>
    <row r="1155" spans="1:5" ht="28.8" hidden="1" x14ac:dyDescent="0.3">
      <c r="A1155" s="50" t="s">
        <v>3782</v>
      </c>
      <c r="B1155" s="50" t="s">
        <v>3781</v>
      </c>
      <c r="D1155" s="51">
        <v>0</v>
      </c>
      <c r="E1155" s="50">
        <v>0</v>
      </c>
    </row>
    <row r="1156" spans="1:5" hidden="1" x14ac:dyDescent="0.3">
      <c r="A1156" s="50" t="s">
        <v>3780</v>
      </c>
      <c r="B1156" s="50" t="s">
        <v>3779</v>
      </c>
      <c r="D1156" s="51">
        <v>490</v>
      </c>
      <c r="E1156" s="50">
        <v>490</v>
      </c>
    </row>
    <row r="1157" spans="1:5" hidden="1" x14ac:dyDescent="0.3">
      <c r="A1157" s="50" t="s">
        <v>3778</v>
      </c>
      <c r="B1157" s="50" t="s">
        <v>3777</v>
      </c>
      <c r="C1157" s="50" t="s">
        <v>496</v>
      </c>
      <c r="D1157" s="51">
        <v>76.650000000000006</v>
      </c>
      <c r="E1157" s="50">
        <v>59.08</v>
      </c>
    </row>
    <row r="1158" spans="1:5" hidden="1" x14ac:dyDescent="0.3">
      <c r="A1158" s="50" t="s">
        <v>3776</v>
      </c>
      <c r="B1158" s="50" t="s">
        <v>3775</v>
      </c>
      <c r="C1158" s="50" t="s">
        <v>496</v>
      </c>
      <c r="D1158" s="51">
        <v>95.86</v>
      </c>
      <c r="E1158" s="50">
        <v>95.86</v>
      </c>
    </row>
    <row r="1159" spans="1:5" hidden="1" x14ac:dyDescent="0.3">
      <c r="A1159" s="50" t="s">
        <v>3774</v>
      </c>
      <c r="B1159" s="50" t="s">
        <v>3773</v>
      </c>
      <c r="C1159" s="50" t="s">
        <v>496</v>
      </c>
      <c r="D1159" s="51">
        <v>133.37</v>
      </c>
      <c r="E1159" s="50">
        <v>137.02000000000001</v>
      </c>
    </row>
    <row r="1160" spans="1:5" ht="28.8" hidden="1" x14ac:dyDescent="0.3">
      <c r="A1160" s="50" t="s">
        <v>3772</v>
      </c>
      <c r="B1160" s="50" t="s">
        <v>3771</v>
      </c>
      <c r="D1160" s="51">
        <v>583</v>
      </c>
      <c r="E1160" s="50">
        <v>647.91</v>
      </c>
    </row>
    <row r="1161" spans="1:5" ht="28.8" hidden="1" x14ac:dyDescent="0.3">
      <c r="A1161" s="50" t="s">
        <v>408</v>
      </c>
      <c r="B1161" s="50" t="s">
        <v>409</v>
      </c>
      <c r="D1161" s="51">
        <v>210</v>
      </c>
      <c r="E1161" s="50">
        <v>210</v>
      </c>
    </row>
    <row r="1162" spans="1:5" ht="28.8" hidden="1" x14ac:dyDescent="0.3">
      <c r="A1162" s="50" t="s">
        <v>3770</v>
      </c>
      <c r="B1162" s="50" t="s">
        <v>3769</v>
      </c>
      <c r="D1162" s="51">
        <v>210</v>
      </c>
      <c r="E1162" s="50">
        <v>210</v>
      </c>
    </row>
    <row r="1163" spans="1:5" ht="28.8" hidden="1" x14ac:dyDescent="0.3">
      <c r="A1163" s="50" t="s">
        <v>3768</v>
      </c>
      <c r="B1163" s="50" t="s">
        <v>409</v>
      </c>
      <c r="D1163" s="51">
        <v>210</v>
      </c>
      <c r="E1163" s="50">
        <v>210</v>
      </c>
    </row>
    <row r="1164" spans="1:5" ht="28.8" hidden="1" x14ac:dyDescent="0.3">
      <c r="A1164" s="50" t="s">
        <v>3767</v>
      </c>
      <c r="B1164" s="50" t="s">
        <v>3766</v>
      </c>
      <c r="D1164" s="51">
        <v>219.14</v>
      </c>
      <c r="E1164" s="50">
        <v>219.14</v>
      </c>
    </row>
    <row r="1165" spans="1:5" ht="43.2" hidden="1" x14ac:dyDescent="0.3">
      <c r="A1165" s="50" t="s">
        <v>3765</v>
      </c>
      <c r="B1165" s="50" t="s">
        <v>3764</v>
      </c>
      <c r="D1165" s="51">
        <v>0</v>
      </c>
      <c r="E1165" s="50">
        <v>0</v>
      </c>
    </row>
    <row r="1166" spans="1:5" ht="43.2" hidden="1" x14ac:dyDescent="0.3">
      <c r="A1166" s="50" t="s">
        <v>3763</v>
      </c>
      <c r="B1166" s="50" t="s">
        <v>3762</v>
      </c>
      <c r="D1166" s="51">
        <v>0</v>
      </c>
      <c r="E1166" s="50">
        <v>0</v>
      </c>
    </row>
    <row r="1167" spans="1:5" ht="43.2" hidden="1" x14ac:dyDescent="0.3">
      <c r="A1167" s="50" t="s">
        <v>3761</v>
      </c>
      <c r="B1167" s="50" t="s">
        <v>3760</v>
      </c>
      <c r="D1167" s="51">
        <v>0</v>
      </c>
      <c r="E1167" s="50">
        <v>0</v>
      </c>
    </row>
    <row r="1168" spans="1:5" ht="43.2" hidden="1" x14ac:dyDescent="0.3">
      <c r="A1168" s="50" t="s">
        <v>3759</v>
      </c>
      <c r="B1168" s="50" t="s">
        <v>3758</v>
      </c>
      <c r="D1168" s="50" t="s">
        <v>3757</v>
      </c>
      <c r="E1168" s="50">
        <v>43708</v>
      </c>
    </row>
    <row r="1169" spans="1:5" hidden="1" x14ac:dyDescent="0.3">
      <c r="A1169" s="50" t="s">
        <v>3756</v>
      </c>
      <c r="B1169" s="50" t="s">
        <v>3755</v>
      </c>
      <c r="D1169" s="51">
        <v>0</v>
      </c>
      <c r="E1169" s="50">
        <v>0</v>
      </c>
    </row>
    <row r="1170" spans="1:5" hidden="1" x14ac:dyDescent="0.3">
      <c r="A1170" s="50" t="s">
        <v>3754</v>
      </c>
      <c r="B1170" s="50" t="s">
        <v>3753</v>
      </c>
      <c r="D1170" s="51">
        <v>0</v>
      </c>
      <c r="E1170" s="50">
        <v>0</v>
      </c>
    </row>
    <row r="1171" spans="1:5" ht="28.8" hidden="1" x14ac:dyDescent="0.3">
      <c r="A1171" s="50" t="s">
        <v>3752</v>
      </c>
      <c r="B1171" s="50" t="s">
        <v>3751</v>
      </c>
      <c r="D1171" s="51">
        <v>0</v>
      </c>
      <c r="E1171" s="50">
        <v>0</v>
      </c>
    </row>
    <row r="1172" spans="1:5" ht="28.8" hidden="1" x14ac:dyDescent="0.3">
      <c r="A1172" s="50" t="s">
        <v>3750</v>
      </c>
      <c r="B1172" s="50" t="s">
        <v>3749</v>
      </c>
      <c r="D1172" s="51">
        <v>0</v>
      </c>
      <c r="E1172" s="50">
        <v>0</v>
      </c>
    </row>
    <row r="1173" spans="1:5" ht="43.2" hidden="1" x14ac:dyDescent="0.3">
      <c r="A1173" s="50" t="s">
        <v>3748</v>
      </c>
      <c r="B1173" s="50" t="s">
        <v>3062</v>
      </c>
      <c r="D1173" s="51">
        <v>0</v>
      </c>
      <c r="E1173" s="50">
        <v>0</v>
      </c>
    </row>
    <row r="1174" spans="1:5" ht="28.8" hidden="1" x14ac:dyDescent="0.3">
      <c r="A1174" s="50" t="s">
        <v>3747</v>
      </c>
      <c r="B1174" s="50" t="s">
        <v>3746</v>
      </c>
      <c r="D1174" s="51">
        <v>0</v>
      </c>
      <c r="E1174" s="50">
        <v>0</v>
      </c>
    </row>
    <row r="1175" spans="1:5" ht="28.8" hidden="1" x14ac:dyDescent="0.3">
      <c r="A1175" s="50" t="s">
        <v>3745</v>
      </c>
      <c r="B1175" s="50" t="s">
        <v>3744</v>
      </c>
      <c r="D1175" s="50" t="s">
        <v>3743</v>
      </c>
      <c r="E1175" s="50">
        <v>212333</v>
      </c>
    </row>
    <row r="1176" spans="1:5" ht="28.8" hidden="1" x14ac:dyDescent="0.3">
      <c r="A1176" s="50" t="s">
        <v>3742</v>
      </c>
      <c r="B1176" s="50" t="s">
        <v>3741</v>
      </c>
      <c r="D1176" s="51">
        <v>0</v>
      </c>
      <c r="E1176" s="50">
        <v>0</v>
      </c>
    </row>
    <row r="1177" spans="1:5" ht="28.8" hidden="1" x14ac:dyDescent="0.3">
      <c r="A1177" s="50" t="s">
        <v>3740</v>
      </c>
      <c r="B1177" s="50" t="s">
        <v>3739</v>
      </c>
      <c r="D1177" s="51">
        <v>0</v>
      </c>
      <c r="E1177" s="50">
        <v>0</v>
      </c>
    </row>
    <row r="1178" spans="1:5" hidden="1" x14ac:dyDescent="0.3">
      <c r="A1178" s="50" t="s">
        <v>3738</v>
      </c>
      <c r="B1178" s="50" t="s">
        <v>3737</v>
      </c>
      <c r="D1178" s="51">
        <v>0</v>
      </c>
      <c r="E1178" s="50">
        <v>0</v>
      </c>
    </row>
    <row r="1179" spans="1:5" ht="28.8" hidden="1" x14ac:dyDescent="0.3">
      <c r="A1179" s="50" t="s">
        <v>3736</v>
      </c>
      <c r="B1179" s="50" t="s">
        <v>3735</v>
      </c>
      <c r="D1179" s="50" t="s">
        <v>3734</v>
      </c>
      <c r="E1179" s="50">
        <v>53900</v>
      </c>
    </row>
    <row r="1180" spans="1:5" ht="28.8" hidden="1" x14ac:dyDescent="0.3">
      <c r="A1180" s="50" t="s">
        <v>3733</v>
      </c>
      <c r="B1180" s="50" t="s">
        <v>3732</v>
      </c>
      <c r="D1180" s="51">
        <v>0</v>
      </c>
      <c r="E1180" s="50">
        <v>0</v>
      </c>
    </row>
    <row r="1181" spans="1:5" hidden="1" x14ac:dyDescent="0.3">
      <c r="A1181" s="50" t="s">
        <v>3731</v>
      </c>
      <c r="B1181" s="50" t="s">
        <v>3730</v>
      </c>
      <c r="D1181" s="51">
        <v>0</v>
      </c>
      <c r="E1181" s="50">
        <v>0</v>
      </c>
    </row>
    <row r="1182" spans="1:5" ht="28.8" hidden="1" x14ac:dyDescent="0.3">
      <c r="A1182" s="50" t="s">
        <v>3729</v>
      </c>
      <c r="B1182" s="50" t="s">
        <v>3728</v>
      </c>
      <c r="D1182" s="51">
        <v>0</v>
      </c>
      <c r="E1182" s="50">
        <v>0</v>
      </c>
    </row>
    <row r="1183" spans="1:5" hidden="1" x14ac:dyDescent="0.3">
      <c r="A1183" s="50" t="s">
        <v>3727</v>
      </c>
      <c r="B1183" s="50" t="s">
        <v>3726</v>
      </c>
      <c r="C1183" s="50" t="s">
        <v>613</v>
      </c>
      <c r="D1183" s="51">
        <v>0</v>
      </c>
      <c r="E1183" s="50">
        <v>0</v>
      </c>
    </row>
    <row r="1184" spans="1:5" hidden="1" x14ac:dyDescent="0.3">
      <c r="A1184" s="50" t="s">
        <v>3725</v>
      </c>
      <c r="B1184" s="50" t="s">
        <v>3724</v>
      </c>
      <c r="D1184" s="50" t="s">
        <v>3723</v>
      </c>
      <c r="E1184" s="50">
        <v>31900</v>
      </c>
    </row>
    <row r="1185" spans="1:5" ht="43.2" hidden="1" x14ac:dyDescent="0.3">
      <c r="A1185" s="50" t="s">
        <v>3722</v>
      </c>
      <c r="B1185" s="50" t="s">
        <v>3721</v>
      </c>
      <c r="D1185" s="51">
        <v>0</v>
      </c>
      <c r="E1185" s="50">
        <v>0</v>
      </c>
    </row>
    <row r="1186" spans="1:5" hidden="1" x14ac:dyDescent="0.3">
      <c r="A1186" s="50" t="s">
        <v>3720</v>
      </c>
      <c r="B1186" s="50" t="s">
        <v>3719</v>
      </c>
      <c r="D1186" s="51">
        <v>0</v>
      </c>
      <c r="E1186" s="50">
        <v>0</v>
      </c>
    </row>
    <row r="1187" spans="1:5" ht="28.8" hidden="1" x14ac:dyDescent="0.3">
      <c r="A1187" s="50" t="s">
        <v>3718</v>
      </c>
      <c r="B1187" s="50" t="s">
        <v>3717</v>
      </c>
      <c r="D1187" s="51">
        <v>0</v>
      </c>
      <c r="E1187" s="50">
        <v>0</v>
      </c>
    </row>
    <row r="1188" spans="1:5" ht="57.6" hidden="1" x14ac:dyDescent="0.3">
      <c r="A1188" s="50" t="s">
        <v>3716</v>
      </c>
      <c r="B1188" s="50" t="s">
        <v>3715</v>
      </c>
      <c r="D1188" s="51">
        <v>0</v>
      </c>
      <c r="E1188" s="50">
        <v>0</v>
      </c>
    </row>
    <row r="1189" spans="1:5" ht="43.2" hidden="1" x14ac:dyDescent="0.3">
      <c r="A1189" s="50" t="s">
        <v>3714</v>
      </c>
      <c r="B1189" s="50" t="s">
        <v>3713</v>
      </c>
      <c r="D1189" s="51">
        <v>0</v>
      </c>
      <c r="E1189" s="50">
        <v>0</v>
      </c>
    </row>
    <row r="1190" spans="1:5" ht="28.8" hidden="1" x14ac:dyDescent="0.3">
      <c r="A1190" s="50" t="s">
        <v>3712</v>
      </c>
      <c r="B1190" s="50" t="s">
        <v>3711</v>
      </c>
      <c r="D1190" s="51">
        <v>0</v>
      </c>
      <c r="E1190" s="50">
        <v>0</v>
      </c>
    </row>
    <row r="1191" spans="1:5" ht="28.8" hidden="1" x14ac:dyDescent="0.3">
      <c r="A1191" s="50" t="s">
        <v>3710</v>
      </c>
      <c r="B1191" s="50" t="s">
        <v>3709</v>
      </c>
      <c r="D1191" s="51">
        <v>0</v>
      </c>
      <c r="E1191" s="50">
        <v>0</v>
      </c>
    </row>
    <row r="1192" spans="1:5" ht="28.8" hidden="1" x14ac:dyDescent="0.3">
      <c r="A1192" s="50" t="s">
        <v>3708</v>
      </c>
      <c r="B1192" s="50" t="s">
        <v>3707</v>
      </c>
      <c r="D1192" s="51">
        <v>0</v>
      </c>
      <c r="E1192" s="50">
        <v>0</v>
      </c>
    </row>
    <row r="1193" spans="1:5" ht="28.8" hidden="1" x14ac:dyDescent="0.3">
      <c r="A1193" s="50" t="s">
        <v>3706</v>
      </c>
      <c r="B1193" s="50" t="s">
        <v>3705</v>
      </c>
      <c r="D1193" s="51">
        <v>0</v>
      </c>
      <c r="E1193" s="50">
        <v>0</v>
      </c>
    </row>
    <row r="1194" spans="1:5" ht="28.8" hidden="1" x14ac:dyDescent="0.3">
      <c r="A1194" s="50" t="s">
        <v>3704</v>
      </c>
      <c r="B1194" s="50" t="s">
        <v>3703</v>
      </c>
      <c r="D1194" s="51">
        <v>0</v>
      </c>
      <c r="E1194" s="50">
        <v>0</v>
      </c>
    </row>
    <row r="1195" spans="1:5" ht="28.8" hidden="1" x14ac:dyDescent="0.3">
      <c r="A1195" s="50" t="s">
        <v>3702</v>
      </c>
      <c r="B1195" s="50" t="s">
        <v>3701</v>
      </c>
      <c r="D1195" s="51">
        <v>0</v>
      </c>
      <c r="E1195" s="50">
        <v>0</v>
      </c>
    </row>
    <row r="1196" spans="1:5" ht="28.8" hidden="1" x14ac:dyDescent="0.3">
      <c r="A1196" s="50" t="s">
        <v>3700</v>
      </c>
      <c r="B1196" s="50" t="s">
        <v>3699</v>
      </c>
      <c r="D1196" s="51">
        <v>0</v>
      </c>
      <c r="E1196" s="50">
        <v>0</v>
      </c>
    </row>
    <row r="1197" spans="1:5" hidden="1" x14ac:dyDescent="0.3">
      <c r="A1197" s="50" t="s">
        <v>3698</v>
      </c>
      <c r="B1197" s="50" t="s">
        <v>3697</v>
      </c>
      <c r="D1197" s="50" t="s">
        <v>3696</v>
      </c>
      <c r="E1197" s="50">
        <v>6267</v>
      </c>
    </row>
    <row r="1198" spans="1:5" ht="28.8" hidden="1" x14ac:dyDescent="0.3">
      <c r="A1198" s="50" t="s">
        <v>3695</v>
      </c>
      <c r="B1198" s="50" t="s">
        <v>3694</v>
      </c>
      <c r="D1198" s="51">
        <v>0</v>
      </c>
      <c r="E1198" s="50">
        <v>0</v>
      </c>
    </row>
    <row r="1199" spans="1:5" hidden="1" x14ac:dyDescent="0.3">
      <c r="A1199" s="50" t="s">
        <v>3693</v>
      </c>
      <c r="B1199" s="50" t="s">
        <v>3692</v>
      </c>
      <c r="D1199" s="51">
        <v>0</v>
      </c>
      <c r="E1199" s="50">
        <v>0</v>
      </c>
    </row>
    <row r="1200" spans="1:5" hidden="1" x14ac:dyDescent="0.3">
      <c r="A1200" s="50" t="s">
        <v>3691</v>
      </c>
      <c r="B1200" s="50" t="s">
        <v>3690</v>
      </c>
      <c r="D1200" s="50" t="s">
        <v>3689</v>
      </c>
      <c r="E1200" s="50">
        <v>7868</v>
      </c>
    </row>
    <row r="1201" spans="1:5" ht="28.8" hidden="1" x14ac:dyDescent="0.3">
      <c r="A1201" s="50" t="s">
        <v>3688</v>
      </c>
      <c r="B1201" s="50" t="s">
        <v>3687</v>
      </c>
      <c r="D1201" s="50" t="s">
        <v>3686</v>
      </c>
      <c r="E1201" s="50">
        <v>16392</v>
      </c>
    </row>
    <row r="1202" spans="1:5" ht="28.8" hidden="1" x14ac:dyDescent="0.3">
      <c r="A1202" s="50" t="s">
        <v>3685</v>
      </c>
      <c r="B1202" s="50" t="s">
        <v>3684</v>
      </c>
      <c r="D1202" s="50" t="s">
        <v>3683</v>
      </c>
      <c r="E1202" s="50">
        <v>8453.75</v>
      </c>
    </row>
    <row r="1203" spans="1:5" hidden="1" x14ac:dyDescent="0.3">
      <c r="A1203" s="50" t="s">
        <v>3682</v>
      </c>
      <c r="B1203" s="50" t="s">
        <v>3681</v>
      </c>
      <c r="D1203" s="50" t="s">
        <v>3680</v>
      </c>
      <c r="E1203" s="50">
        <v>9999</v>
      </c>
    </row>
    <row r="1204" spans="1:5" hidden="1" x14ac:dyDescent="0.3">
      <c r="A1204" s="50" t="s">
        <v>3679</v>
      </c>
      <c r="B1204" s="50" t="s">
        <v>3678</v>
      </c>
      <c r="D1204" s="51">
        <v>5</v>
      </c>
      <c r="E1204" s="50">
        <v>5</v>
      </c>
    </row>
    <row r="1205" spans="1:5" hidden="1" x14ac:dyDescent="0.3">
      <c r="A1205" s="50" t="s">
        <v>3677</v>
      </c>
      <c r="B1205" s="50" t="s">
        <v>3676</v>
      </c>
      <c r="D1205" s="51">
        <v>0</v>
      </c>
      <c r="E1205" s="50">
        <v>0</v>
      </c>
    </row>
    <row r="1206" spans="1:5" ht="28.8" hidden="1" x14ac:dyDescent="0.3">
      <c r="A1206" s="50" t="s">
        <v>3675</v>
      </c>
      <c r="B1206" s="50" t="s">
        <v>3674</v>
      </c>
      <c r="D1206" s="50" t="s">
        <v>3673</v>
      </c>
      <c r="E1206" s="50">
        <v>3636.07</v>
      </c>
    </row>
    <row r="1207" spans="1:5" hidden="1" x14ac:dyDescent="0.3">
      <c r="A1207" s="50" t="s">
        <v>3672</v>
      </c>
      <c r="B1207" s="50" t="s">
        <v>3671</v>
      </c>
      <c r="D1207" s="51">
        <v>230.1</v>
      </c>
      <c r="E1207" s="50">
        <v>230.1</v>
      </c>
    </row>
    <row r="1208" spans="1:5" ht="28.8" hidden="1" x14ac:dyDescent="0.3">
      <c r="A1208" s="50" t="s">
        <v>3670</v>
      </c>
      <c r="B1208" s="50" t="s">
        <v>3669</v>
      </c>
      <c r="D1208" s="50" t="s">
        <v>3668</v>
      </c>
      <c r="E1208" s="50">
        <v>1241</v>
      </c>
    </row>
    <row r="1209" spans="1:5" hidden="1" x14ac:dyDescent="0.3">
      <c r="A1209" s="50" t="s">
        <v>103</v>
      </c>
      <c r="B1209" s="50" t="s">
        <v>104</v>
      </c>
      <c r="C1209" s="50" t="s">
        <v>196</v>
      </c>
      <c r="D1209" s="51">
        <v>0</v>
      </c>
      <c r="E1209" s="50">
        <v>170.18</v>
      </c>
    </row>
    <row r="1210" spans="1:5" ht="28.8" hidden="1" x14ac:dyDescent="0.3">
      <c r="A1210" s="50" t="s">
        <v>106</v>
      </c>
      <c r="B1210" s="50" t="s">
        <v>107</v>
      </c>
      <c r="C1210" s="50" t="s">
        <v>196</v>
      </c>
      <c r="D1210" s="51">
        <v>594.72</v>
      </c>
      <c r="E1210" s="50">
        <v>594.72</v>
      </c>
    </row>
    <row r="1211" spans="1:5" hidden="1" x14ac:dyDescent="0.3">
      <c r="A1211" s="50" t="s">
        <v>108</v>
      </c>
      <c r="B1211" s="50" t="s">
        <v>109</v>
      </c>
      <c r="D1211" s="51">
        <v>0</v>
      </c>
      <c r="E1211" s="50">
        <v>275.77999999999997</v>
      </c>
    </row>
    <row r="1212" spans="1:5" ht="28.8" hidden="1" x14ac:dyDescent="0.3">
      <c r="A1212" s="50" t="s">
        <v>110</v>
      </c>
      <c r="B1212" s="50" t="s">
        <v>111</v>
      </c>
      <c r="C1212" s="50" t="s">
        <v>196</v>
      </c>
      <c r="D1212" s="51">
        <v>849.6</v>
      </c>
      <c r="E1212" s="50">
        <v>849.6</v>
      </c>
    </row>
    <row r="1213" spans="1:5" hidden="1" x14ac:dyDescent="0.3">
      <c r="A1213" s="50" t="s">
        <v>3667</v>
      </c>
      <c r="B1213" s="50" t="s">
        <v>3666</v>
      </c>
      <c r="D1213" s="50" t="s">
        <v>3665</v>
      </c>
      <c r="E1213" s="50">
        <v>2195.15</v>
      </c>
    </row>
    <row r="1214" spans="1:5" hidden="1" x14ac:dyDescent="0.3">
      <c r="A1214" s="50" t="s">
        <v>3664</v>
      </c>
      <c r="B1214" s="50" t="s">
        <v>3663</v>
      </c>
      <c r="C1214" s="50" t="s">
        <v>196</v>
      </c>
      <c r="D1214" s="51">
        <v>0</v>
      </c>
      <c r="E1214" s="50">
        <v>0</v>
      </c>
    </row>
    <row r="1215" spans="1:5" ht="28.8" hidden="1" x14ac:dyDescent="0.3">
      <c r="A1215" s="50" t="s">
        <v>3662</v>
      </c>
      <c r="B1215" s="50" t="s">
        <v>3661</v>
      </c>
      <c r="C1215" s="50" t="s">
        <v>196</v>
      </c>
      <c r="D1215" s="50" t="s">
        <v>3660</v>
      </c>
      <c r="E1215" s="50">
        <v>1491.01</v>
      </c>
    </row>
    <row r="1216" spans="1:5" hidden="1" x14ac:dyDescent="0.3">
      <c r="A1216" s="50" t="s">
        <v>112</v>
      </c>
      <c r="B1216" s="50" t="s">
        <v>113</v>
      </c>
      <c r="D1216" s="51">
        <v>0</v>
      </c>
      <c r="E1216" s="50">
        <v>213.43</v>
      </c>
    </row>
    <row r="1217" spans="1:5" ht="28.8" hidden="1" x14ac:dyDescent="0.3">
      <c r="A1217" s="50" t="s">
        <v>114</v>
      </c>
      <c r="B1217" s="50" t="s">
        <v>115</v>
      </c>
      <c r="C1217" s="50" t="s">
        <v>196</v>
      </c>
      <c r="D1217" s="50" t="s">
        <v>3659</v>
      </c>
      <c r="E1217" s="50">
        <v>1019.75</v>
      </c>
    </row>
    <row r="1218" spans="1:5" hidden="1" x14ac:dyDescent="0.3">
      <c r="A1218" s="50" t="s">
        <v>120</v>
      </c>
      <c r="B1218" s="50" t="s">
        <v>121</v>
      </c>
      <c r="C1218" s="50" t="s">
        <v>196</v>
      </c>
      <c r="D1218" s="51">
        <v>0</v>
      </c>
      <c r="E1218" s="50">
        <v>0</v>
      </c>
    </row>
    <row r="1219" spans="1:5" ht="28.8" hidden="1" x14ac:dyDescent="0.3">
      <c r="A1219" s="50" t="s">
        <v>122</v>
      </c>
      <c r="B1219" s="50" t="s">
        <v>123</v>
      </c>
      <c r="C1219" s="50" t="s">
        <v>196</v>
      </c>
      <c r="D1219" s="50" t="s">
        <v>3658</v>
      </c>
      <c r="E1219" s="50">
        <v>1180.8399999999999</v>
      </c>
    </row>
    <row r="1220" spans="1:5" hidden="1" x14ac:dyDescent="0.3">
      <c r="A1220" s="50" t="s">
        <v>124</v>
      </c>
      <c r="B1220" s="50" t="s">
        <v>125</v>
      </c>
      <c r="D1220" s="50" t="s">
        <v>3657</v>
      </c>
      <c r="E1220" s="50">
        <v>1792</v>
      </c>
    </row>
    <row r="1221" spans="1:5" ht="28.8" hidden="1" x14ac:dyDescent="0.3">
      <c r="A1221" s="50" t="s">
        <v>126</v>
      </c>
      <c r="B1221" s="50" t="s">
        <v>127</v>
      </c>
      <c r="C1221" s="50" t="s">
        <v>196</v>
      </c>
      <c r="D1221" s="51">
        <v>0</v>
      </c>
      <c r="E1221" s="50">
        <v>0</v>
      </c>
    </row>
    <row r="1222" spans="1:5" hidden="1" x14ac:dyDescent="0.3">
      <c r="A1222" s="50" t="s">
        <v>128</v>
      </c>
      <c r="B1222" s="50" t="s">
        <v>129</v>
      </c>
      <c r="C1222" s="50" t="s">
        <v>196</v>
      </c>
      <c r="D1222" s="51">
        <v>0</v>
      </c>
      <c r="E1222" s="50">
        <v>0</v>
      </c>
    </row>
    <row r="1223" spans="1:5" ht="28.8" hidden="1" x14ac:dyDescent="0.3">
      <c r="A1223" s="50" t="s">
        <v>130</v>
      </c>
      <c r="B1223" s="50" t="s">
        <v>131</v>
      </c>
      <c r="C1223" s="50" t="s">
        <v>196</v>
      </c>
      <c r="D1223" s="50" t="s">
        <v>3656</v>
      </c>
      <c r="E1223" s="50">
        <v>1402.45</v>
      </c>
    </row>
    <row r="1224" spans="1:5" hidden="1" x14ac:dyDescent="0.3">
      <c r="A1224" s="50" t="s">
        <v>136</v>
      </c>
      <c r="B1224" s="50" t="s">
        <v>137</v>
      </c>
      <c r="C1224" s="50" t="s">
        <v>196</v>
      </c>
      <c r="D1224" s="51">
        <v>0</v>
      </c>
      <c r="E1224" s="50">
        <v>0</v>
      </c>
    </row>
    <row r="1225" spans="1:5" ht="28.8" hidden="1" x14ac:dyDescent="0.3">
      <c r="A1225" s="50" t="s">
        <v>138</v>
      </c>
      <c r="B1225" s="50" t="s">
        <v>139</v>
      </c>
      <c r="C1225" s="50" t="s">
        <v>196</v>
      </c>
      <c r="D1225" s="50" t="s">
        <v>3655</v>
      </c>
      <c r="E1225" s="50">
        <v>1505.57</v>
      </c>
    </row>
    <row r="1226" spans="1:5" hidden="1" x14ac:dyDescent="0.3">
      <c r="A1226" s="50" t="s">
        <v>144</v>
      </c>
      <c r="B1226" s="50" t="s">
        <v>145</v>
      </c>
      <c r="C1226" s="50" t="s">
        <v>196</v>
      </c>
      <c r="D1226" s="51">
        <v>0</v>
      </c>
      <c r="E1226" s="50">
        <v>0</v>
      </c>
    </row>
    <row r="1227" spans="1:5" ht="28.8" hidden="1" x14ac:dyDescent="0.3">
      <c r="A1227" s="50" t="s">
        <v>146</v>
      </c>
      <c r="B1227" s="50" t="s">
        <v>147</v>
      </c>
      <c r="C1227" s="50" t="s">
        <v>196</v>
      </c>
      <c r="D1227" s="50" t="s">
        <v>3654</v>
      </c>
      <c r="E1227" s="50">
        <v>2044.2</v>
      </c>
    </row>
    <row r="1228" spans="1:5" hidden="1" x14ac:dyDescent="0.3">
      <c r="A1228" s="50" t="s">
        <v>148</v>
      </c>
      <c r="B1228" s="50" t="s">
        <v>149</v>
      </c>
      <c r="D1228" s="50" t="s">
        <v>3653</v>
      </c>
      <c r="E1228" s="50">
        <v>3285</v>
      </c>
    </row>
    <row r="1229" spans="1:5" hidden="1" x14ac:dyDescent="0.3">
      <c r="A1229" s="50" t="s">
        <v>3652</v>
      </c>
      <c r="B1229" s="50" t="s">
        <v>3651</v>
      </c>
      <c r="C1229" s="50" t="s">
        <v>643</v>
      </c>
      <c r="D1229" s="51">
        <v>0</v>
      </c>
      <c r="E1229" s="50">
        <v>0</v>
      </c>
    </row>
    <row r="1230" spans="1:5" hidden="1" x14ac:dyDescent="0.3">
      <c r="A1230" s="50" t="s">
        <v>3650</v>
      </c>
      <c r="B1230" s="50" t="s">
        <v>3649</v>
      </c>
      <c r="D1230" s="51">
        <v>0</v>
      </c>
      <c r="E1230" s="50">
        <v>0</v>
      </c>
    </row>
    <row r="1231" spans="1:5" hidden="1" x14ac:dyDescent="0.3">
      <c r="A1231" s="50" t="s">
        <v>3648</v>
      </c>
      <c r="B1231" s="50" t="s">
        <v>3647</v>
      </c>
      <c r="C1231" s="50" t="s">
        <v>533</v>
      </c>
      <c r="D1231" s="51">
        <v>0</v>
      </c>
      <c r="E1231" s="50">
        <v>0</v>
      </c>
    </row>
    <row r="1232" spans="1:5" hidden="1" x14ac:dyDescent="0.3">
      <c r="A1232" s="50" t="s">
        <v>3646</v>
      </c>
      <c r="B1232" s="50" t="s">
        <v>3645</v>
      </c>
      <c r="C1232" s="50" t="s">
        <v>533</v>
      </c>
      <c r="D1232" s="51">
        <v>0</v>
      </c>
      <c r="E1232" s="50">
        <v>0</v>
      </c>
    </row>
    <row r="1233" spans="1:5" hidden="1" x14ac:dyDescent="0.3">
      <c r="A1233" s="50" t="s">
        <v>3644</v>
      </c>
      <c r="B1233" s="50" t="s">
        <v>3643</v>
      </c>
      <c r="C1233" s="50" t="s">
        <v>533</v>
      </c>
      <c r="D1233" s="51">
        <v>611.41</v>
      </c>
      <c r="E1233" s="50">
        <v>604.23</v>
      </c>
    </row>
    <row r="1234" spans="1:5" hidden="1" x14ac:dyDescent="0.3">
      <c r="A1234" s="50" t="s">
        <v>3642</v>
      </c>
      <c r="B1234" s="50" t="s">
        <v>3641</v>
      </c>
      <c r="C1234" s="50" t="s">
        <v>533</v>
      </c>
      <c r="D1234" s="50" t="s">
        <v>3640</v>
      </c>
      <c r="E1234" s="50">
        <v>0</v>
      </c>
    </row>
    <row r="1235" spans="1:5" hidden="1" x14ac:dyDescent="0.3">
      <c r="A1235" s="50" t="s">
        <v>3639</v>
      </c>
      <c r="B1235" s="50" t="s">
        <v>3638</v>
      </c>
      <c r="C1235" s="50" t="s">
        <v>533</v>
      </c>
      <c r="D1235" s="50" t="s">
        <v>3637</v>
      </c>
      <c r="E1235" s="50">
        <v>1243.8399999999999</v>
      </c>
    </row>
    <row r="1236" spans="1:5" hidden="1" x14ac:dyDescent="0.3">
      <c r="A1236" s="50" t="s">
        <v>3636</v>
      </c>
      <c r="B1236" s="50" t="s">
        <v>3635</v>
      </c>
      <c r="D1236" s="51">
        <v>0</v>
      </c>
      <c r="E1236" s="50">
        <v>0</v>
      </c>
    </row>
    <row r="1237" spans="1:5" hidden="1" x14ac:dyDescent="0.3">
      <c r="A1237" s="50" t="s">
        <v>3634</v>
      </c>
      <c r="B1237" s="50" t="s">
        <v>3633</v>
      </c>
      <c r="D1237" s="51">
        <v>0</v>
      </c>
      <c r="E1237" s="50">
        <v>0</v>
      </c>
    </row>
    <row r="1238" spans="1:5" ht="28.8" hidden="1" x14ac:dyDescent="0.3">
      <c r="A1238" s="50" t="s">
        <v>3632</v>
      </c>
      <c r="B1238" s="50" t="s">
        <v>3631</v>
      </c>
      <c r="D1238" s="51">
        <v>111.3</v>
      </c>
      <c r="E1238" s="50">
        <v>111.3</v>
      </c>
    </row>
    <row r="1239" spans="1:5" ht="28.8" hidden="1" x14ac:dyDescent="0.3">
      <c r="A1239" s="50" t="s">
        <v>3630</v>
      </c>
      <c r="B1239" s="50" t="s">
        <v>3629</v>
      </c>
      <c r="C1239" s="50" t="s">
        <v>1010</v>
      </c>
      <c r="D1239" s="51">
        <v>285</v>
      </c>
      <c r="E1239" s="50">
        <v>285</v>
      </c>
    </row>
    <row r="1240" spans="1:5" ht="28.8" hidden="1" x14ac:dyDescent="0.3">
      <c r="A1240" s="50" t="s">
        <v>3628</v>
      </c>
      <c r="B1240" s="50" t="s">
        <v>3627</v>
      </c>
      <c r="D1240" s="51">
        <v>0</v>
      </c>
      <c r="E1240" s="50">
        <v>0</v>
      </c>
    </row>
    <row r="1241" spans="1:5" hidden="1" x14ac:dyDescent="0.3">
      <c r="A1241" s="50" t="s">
        <v>3626</v>
      </c>
      <c r="B1241" s="50" t="s">
        <v>3625</v>
      </c>
      <c r="D1241" s="51">
        <v>0</v>
      </c>
      <c r="E1241" s="50">
        <v>0</v>
      </c>
    </row>
    <row r="1242" spans="1:5" hidden="1" x14ac:dyDescent="0.3">
      <c r="A1242" s="50" t="s">
        <v>3624</v>
      </c>
      <c r="B1242" s="50" t="s">
        <v>3623</v>
      </c>
      <c r="D1242" s="51">
        <v>0</v>
      </c>
      <c r="E1242" s="50">
        <v>0</v>
      </c>
    </row>
    <row r="1243" spans="1:5" ht="28.8" hidden="1" x14ac:dyDescent="0.3">
      <c r="A1243" s="50" t="s">
        <v>3622</v>
      </c>
      <c r="B1243" s="50" t="s">
        <v>2997</v>
      </c>
      <c r="D1243" s="51">
        <v>0</v>
      </c>
      <c r="E1243" s="50">
        <v>0</v>
      </c>
    </row>
    <row r="1244" spans="1:5" ht="28.8" hidden="1" x14ac:dyDescent="0.3">
      <c r="A1244" s="50" t="s">
        <v>3621</v>
      </c>
      <c r="B1244" s="50" t="s">
        <v>3620</v>
      </c>
      <c r="D1244" s="51">
        <v>0</v>
      </c>
      <c r="E1244" s="50">
        <v>0</v>
      </c>
    </row>
    <row r="1245" spans="1:5" ht="28.8" hidden="1" x14ac:dyDescent="0.3">
      <c r="A1245" s="50" t="s">
        <v>3619</v>
      </c>
      <c r="B1245" s="50" t="s">
        <v>3618</v>
      </c>
      <c r="D1245" s="51">
        <v>0</v>
      </c>
      <c r="E1245" s="50">
        <v>0</v>
      </c>
    </row>
    <row r="1246" spans="1:5" hidden="1" x14ac:dyDescent="0.3">
      <c r="A1246" s="50" t="s">
        <v>3617</v>
      </c>
      <c r="B1246" s="50" t="s">
        <v>3616</v>
      </c>
      <c r="D1246" s="50" t="s">
        <v>3615</v>
      </c>
      <c r="E1246" s="50">
        <v>1750</v>
      </c>
    </row>
    <row r="1247" spans="1:5" hidden="1" x14ac:dyDescent="0.3">
      <c r="A1247" s="50" t="s">
        <v>3614</v>
      </c>
      <c r="B1247" s="50" t="s">
        <v>3613</v>
      </c>
      <c r="D1247" s="51">
        <v>0</v>
      </c>
      <c r="E1247" s="50">
        <v>0</v>
      </c>
    </row>
    <row r="1248" spans="1:5" hidden="1" x14ac:dyDescent="0.3">
      <c r="A1248" s="50" t="s">
        <v>3612</v>
      </c>
      <c r="B1248" s="50" t="s">
        <v>3612</v>
      </c>
      <c r="D1248" s="51">
        <v>0</v>
      </c>
      <c r="E1248" s="50">
        <v>0</v>
      </c>
    </row>
    <row r="1249" spans="1:5" hidden="1" x14ac:dyDescent="0.3">
      <c r="A1249" s="50" t="s">
        <v>3611</v>
      </c>
      <c r="B1249" s="50" t="s">
        <v>3611</v>
      </c>
      <c r="D1249" s="51">
        <v>0</v>
      </c>
      <c r="E1249" s="50">
        <v>0</v>
      </c>
    </row>
    <row r="1250" spans="1:5" ht="28.8" hidden="1" x14ac:dyDescent="0.3">
      <c r="A1250" s="50" t="s">
        <v>3610</v>
      </c>
      <c r="B1250" s="50" t="s">
        <v>3609</v>
      </c>
      <c r="D1250" s="51">
        <v>0</v>
      </c>
      <c r="E1250" s="50">
        <v>0</v>
      </c>
    </row>
    <row r="1251" spans="1:5" hidden="1" x14ac:dyDescent="0.3">
      <c r="A1251" s="50" t="s">
        <v>3608</v>
      </c>
      <c r="B1251" s="50" t="s">
        <v>3607</v>
      </c>
      <c r="D1251" s="51">
        <v>0</v>
      </c>
      <c r="E1251" s="50">
        <v>0</v>
      </c>
    </row>
    <row r="1252" spans="1:5" hidden="1" x14ac:dyDescent="0.3">
      <c r="A1252" s="50" t="s">
        <v>3606</v>
      </c>
      <c r="B1252" s="50" t="s">
        <v>3605</v>
      </c>
      <c r="C1252" s="50" t="s">
        <v>533</v>
      </c>
      <c r="D1252" s="51">
        <v>0</v>
      </c>
      <c r="E1252" s="50">
        <v>0</v>
      </c>
    </row>
    <row r="1253" spans="1:5" hidden="1" x14ac:dyDescent="0.3">
      <c r="A1253" s="50" t="s">
        <v>3604</v>
      </c>
      <c r="B1253" s="50" t="s">
        <v>3603</v>
      </c>
      <c r="C1253" s="50" t="s">
        <v>533</v>
      </c>
      <c r="D1253" s="51">
        <v>0</v>
      </c>
      <c r="E1253" s="50">
        <v>0</v>
      </c>
    </row>
    <row r="1254" spans="1:5" hidden="1" x14ac:dyDescent="0.3">
      <c r="A1254" s="50" t="s">
        <v>3602</v>
      </c>
      <c r="B1254" s="50" t="s">
        <v>3601</v>
      </c>
      <c r="C1254" s="50" t="s">
        <v>533</v>
      </c>
      <c r="D1254" s="51">
        <v>0</v>
      </c>
      <c r="E1254" s="50">
        <v>0</v>
      </c>
    </row>
    <row r="1255" spans="1:5" hidden="1" x14ac:dyDescent="0.3">
      <c r="A1255" s="50" t="s">
        <v>3600</v>
      </c>
      <c r="B1255" s="50" t="s">
        <v>3599</v>
      </c>
      <c r="C1255" s="50" t="s">
        <v>533</v>
      </c>
      <c r="D1255" s="51">
        <v>259.68</v>
      </c>
      <c r="E1255" s="50">
        <v>230.34</v>
      </c>
    </row>
    <row r="1256" spans="1:5" hidden="1" x14ac:dyDescent="0.3">
      <c r="A1256" s="50" t="s">
        <v>3598</v>
      </c>
      <c r="B1256" s="50" t="s">
        <v>3597</v>
      </c>
      <c r="C1256" s="50" t="s">
        <v>533</v>
      </c>
      <c r="D1256" s="51">
        <v>504.89</v>
      </c>
      <c r="E1256" s="50">
        <v>524.73</v>
      </c>
    </row>
    <row r="1257" spans="1:5" hidden="1" x14ac:dyDescent="0.3">
      <c r="A1257" s="50" t="s">
        <v>3596</v>
      </c>
      <c r="B1257" s="50" t="s">
        <v>3595</v>
      </c>
      <c r="C1257" s="50" t="s">
        <v>496</v>
      </c>
      <c r="D1257" s="51">
        <v>255.19</v>
      </c>
      <c r="E1257" s="50">
        <v>277.75</v>
      </c>
    </row>
    <row r="1258" spans="1:5" ht="43.2" hidden="1" x14ac:dyDescent="0.3">
      <c r="A1258" s="50" t="s">
        <v>3594</v>
      </c>
      <c r="B1258" s="50" t="s">
        <v>3593</v>
      </c>
      <c r="D1258" s="51">
        <v>0</v>
      </c>
      <c r="E1258" s="50">
        <v>0</v>
      </c>
    </row>
    <row r="1259" spans="1:5" hidden="1" x14ac:dyDescent="0.3">
      <c r="A1259" s="50" t="s">
        <v>3592</v>
      </c>
      <c r="B1259" s="50" t="s">
        <v>3591</v>
      </c>
      <c r="D1259" s="51">
        <v>0</v>
      </c>
      <c r="E1259" s="50">
        <v>0</v>
      </c>
    </row>
    <row r="1260" spans="1:5" ht="28.8" hidden="1" x14ac:dyDescent="0.3">
      <c r="A1260" s="50" t="s">
        <v>3590</v>
      </c>
      <c r="B1260" s="50" t="s">
        <v>3590</v>
      </c>
      <c r="D1260" s="51">
        <v>0</v>
      </c>
      <c r="E1260" s="50">
        <v>0</v>
      </c>
    </row>
    <row r="1261" spans="1:5" ht="28.8" hidden="1" x14ac:dyDescent="0.3">
      <c r="A1261" s="50" t="s">
        <v>3589</v>
      </c>
      <c r="B1261" s="50" t="s">
        <v>3588</v>
      </c>
      <c r="D1261" s="51">
        <v>406.11</v>
      </c>
      <c r="E1261" s="50">
        <v>406.11</v>
      </c>
    </row>
    <row r="1262" spans="1:5" ht="28.8" hidden="1" x14ac:dyDescent="0.3">
      <c r="A1262" s="50" t="s">
        <v>3587</v>
      </c>
      <c r="B1262" s="50" t="s">
        <v>3586</v>
      </c>
      <c r="D1262" s="51">
        <v>406.11</v>
      </c>
      <c r="E1262" s="50">
        <v>406.11</v>
      </c>
    </row>
    <row r="1263" spans="1:5" ht="43.2" hidden="1" x14ac:dyDescent="0.3">
      <c r="A1263" s="50" t="s">
        <v>3585</v>
      </c>
      <c r="B1263" s="50" t="s">
        <v>3584</v>
      </c>
      <c r="D1263" s="51">
        <v>303.48</v>
      </c>
      <c r="E1263" s="50">
        <v>303.48</v>
      </c>
    </row>
    <row r="1264" spans="1:5" ht="43.2" hidden="1" x14ac:dyDescent="0.3">
      <c r="A1264" s="50" t="s">
        <v>3583</v>
      </c>
      <c r="B1264" s="50" t="s">
        <v>3582</v>
      </c>
      <c r="D1264" s="51">
        <v>303.48</v>
      </c>
      <c r="E1264" s="50">
        <v>303.48</v>
      </c>
    </row>
    <row r="1265" spans="1:5" ht="43.2" hidden="1" x14ac:dyDescent="0.3">
      <c r="A1265" s="50" t="s">
        <v>3581</v>
      </c>
      <c r="B1265" s="50" t="s">
        <v>3580</v>
      </c>
      <c r="D1265" s="51">
        <v>303.48</v>
      </c>
      <c r="E1265" s="50">
        <v>303.48</v>
      </c>
    </row>
    <row r="1266" spans="1:5" ht="28.8" hidden="1" x14ac:dyDescent="0.3">
      <c r="A1266" s="50" t="s">
        <v>3579</v>
      </c>
      <c r="B1266" s="50" t="s">
        <v>3577</v>
      </c>
      <c r="D1266" s="51">
        <v>0</v>
      </c>
      <c r="E1266" s="50">
        <v>0</v>
      </c>
    </row>
    <row r="1267" spans="1:5" ht="28.8" hidden="1" x14ac:dyDescent="0.3">
      <c r="A1267" s="50" t="s">
        <v>3578</v>
      </c>
      <c r="B1267" s="50" t="s">
        <v>3577</v>
      </c>
      <c r="D1267" s="51">
        <v>0</v>
      </c>
      <c r="E1267" s="50">
        <v>0</v>
      </c>
    </row>
    <row r="1268" spans="1:5" hidden="1" x14ac:dyDescent="0.3">
      <c r="A1268" s="50" t="s">
        <v>3576</v>
      </c>
      <c r="B1268" s="50" t="s">
        <v>3575</v>
      </c>
      <c r="D1268" s="51">
        <v>37</v>
      </c>
      <c r="E1268" s="50">
        <v>37</v>
      </c>
    </row>
    <row r="1269" spans="1:5" hidden="1" x14ac:dyDescent="0.3">
      <c r="A1269" s="50" t="s">
        <v>3574</v>
      </c>
      <c r="B1269" s="50" t="s">
        <v>3573</v>
      </c>
      <c r="D1269" s="51">
        <v>0</v>
      </c>
      <c r="E1269" s="50">
        <v>0</v>
      </c>
    </row>
    <row r="1270" spans="1:5" hidden="1" x14ac:dyDescent="0.3">
      <c r="A1270" s="50" t="s">
        <v>3572</v>
      </c>
      <c r="B1270" s="50" t="s">
        <v>3571</v>
      </c>
      <c r="D1270" s="51">
        <v>0</v>
      </c>
      <c r="E1270" s="50">
        <v>0</v>
      </c>
    </row>
    <row r="1271" spans="1:5" hidden="1" x14ac:dyDescent="0.3">
      <c r="A1271" s="50" t="s">
        <v>3570</v>
      </c>
      <c r="B1271" s="50" t="s">
        <v>3569</v>
      </c>
      <c r="D1271" s="51">
        <v>0</v>
      </c>
      <c r="E1271" s="50">
        <v>0</v>
      </c>
    </row>
    <row r="1272" spans="1:5" ht="28.8" hidden="1" x14ac:dyDescent="0.3">
      <c r="A1272" s="50" t="s">
        <v>3568</v>
      </c>
      <c r="B1272" s="50" t="s">
        <v>3567</v>
      </c>
      <c r="D1272" s="51">
        <v>0</v>
      </c>
      <c r="E1272" s="50">
        <v>0</v>
      </c>
    </row>
    <row r="1273" spans="1:5" ht="28.8" hidden="1" x14ac:dyDescent="0.3">
      <c r="A1273" s="50" t="s">
        <v>3566</v>
      </c>
      <c r="B1273" s="50" t="s">
        <v>3565</v>
      </c>
      <c r="C1273" s="50" t="s">
        <v>654</v>
      </c>
      <c r="D1273" s="51">
        <v>0</v>
      </c>
      <c r="E1273" s="50">
        <v>0</v>
      </c>
    </row>
    <row r="1274" spans="1:5" ht="28.8" hidden="1" x14ac:dyDescent="0.3">
      <c r="A1274" s="50" t="s">
        <v>3564</v>
      </c>
      <c r="B1274" s="50" t="s">
        <v>3563</v>
      </c>
      <c r="C1274" s="50" t="s">
        <v>654</v>
      </c>
      <c r="D1274" s="51">
        <v>0</v>
      </c>
      <c r="E1274" s="50">
        <v>0</v>
      </c>
    </row>
    <row r="1275" spans="1:5" ht="28.8" hidden="1" x14ac:dyDescent="0.3">
      <c r="A1275" s="50" t="s">
        <v>3562</v>
      </c>
      <c r="B1275" s="50" t="s">
        <v>3561</v>
      </c>
      <c r="D1275" s="50" t="s">
        <v>3560</v>
      </c>
      <c r="E1275" s="50">
        <v>61919.67</v>
      </c>
    </row>
    <row r="1276" spans="1:5" ht="43.2" hidden="1" x14ac:dyDescent="0.3">
      <c r="A1276" s="50" t="s">
        <v>3559</v>
      </c>
      <c r="B1276" s="50" t="s">
        <v>3053</v>
      </c>
      <c r="D1276" s="51">
        <v>0</v>
      </c>
      <c r="E1276" s="50">
        <v>0</v>
      </c>
    </row>
    <row r="1277" spans="1:5" ht="28.8" hidden="1" x14ac:dyDescent="0.3">
      <c r="A1277" s="50" t="s">
        <v>3558</v>
      </c>
      <c r="B1277" s="50" t="s">
        <v>3557</v>
      </c>
      <c r="D1277" s="51">
        <v>115</v>
      </c>
      <c r="E1277" s="50">
        <v>115</v>
      </c>
    </row>
    <row r="1278" spans="1:5" hidden="1" x14ac:dyDescent="0.3">
      <c r="A1278" s="50" t="s">
        <v>3556</v>
      </c>
      <c r="B1278" s="50" t="s">
        <v>3555</v>
      </c>
      <c r="D1278" s="50" t="s">
        <v>3554</v>
      </c>
      <c r="E1278" s="50">
        <v>273229.14</v>
      </c>
    </row>
    <row r="1279" spans="1:5" hidden="1" x14ac:dyDescent="0.3">
      <c r="A1279" s="50" t="s">
        <v>3553</v>
      </c>
      <c r="B1279" s="50" t="s">
        <v>3552</v>
      </c>
      <c r="D1279" s="51">
        <v>940.5</v>
      </c>
      <c r="E1279" s="50">
        <v>940.5</v>
      </c>
    </row>
    <row r="1280" spans="1:5" ht="28.8" hidden="1" x14ac:dyDescent="0.3">
      <c r="A1280" s="50" t="s">
        <v>3551</v>
      </c>
      <c r="B1280" s="50" t="s">
        <v>3550</v>
      </c>
      <c r="D1280" s="51">
        <v>0</v>
      </c>
      <c r="E1280" s="50">
        <v>0</v>
      </c>
    </row>
    <row r="1281" spans="1:5" hidden="1" x14ac:dyDescent="0.3">
      <c r="A1281" s="50" t="s">
        <v>3549</v>
      </c>
      <c r="B1281" s="50" t="s">
        <v>3548</v>
      </c>
      <c r="D1281" s="51">
        <v>0</v>
      </c>
      <c r="E1281" s="50">
        <v>0</v>
      </c>
    </row>
    <row r="1282" spans="1:5" ht="28.8" hidden="1" x14ac:dyDescent="0.3">
      <c r="A1282" s="50" t="s">
        <v>3547</v>
      </c>
      <c r="B1282" s="50" t="s">
        <v>3546</v>
      </c>
      <c r="D1282" s="51">
        <v>80</v>
      </c>
      <c r="E1282" s="50">
        <v>62.5</v>
      </c>
    </row>
    <row r="1283" spans="1:5" ht="28.8" hidden="1" x14ac:dyDescent="0.3">
      <c r="A1283" s="50" t="s">
        <v>3545</v>
      </c>
      <c r="B1283" s="50" t="s">
        <v>3544</v>
      </c>
      <c r="D1283" s="50" t="s">
        <v>3543</v>
      </c>
      <c r="E1283" s="50">
        <v>1386.84</v>
      </c>
    </row>
    <row r="1284" spans="1:5" ht="28.8" hidden="1" x14ac:dyDescent="0.3">
      <c r="A1284" s="50" t="s">
        <v>3542</v>
      </c>
      <c r="B1284" s="50" t="s">
        <v>3541</v>
      </c>
      <c r="D1284" s="51">
        <v>97</v>
      </c>
      <c r="E1284" s="50">
        <v>97</v>
      </c>
    </row>
    <row r="1285" spans="1:5" ht="43.2" hidden="1" x14ac:dyDescent="0.3">
      <c r="A1285" s="50" t="s">
        <v>3540</v>
      </c>
      <c r="B1285" s="50" t="s">
        <v>3539</v>
      </c>
      <c r="D1285" s="51">
        <v>260</v>
      </c>
      <c r="E1285" s="50">
        <v>260</v>
      </c>
    </row>
    <row r="1286" spans="1:5" ht="43.2" hidden="1" x14ac:dyDescent="0.3">
      <c r="A1286" s="50" t="s">
        <v>3538</v>
      </c>
      <c r="B1286" s="50" t="s">
        <v>3537</v>
      </c>
      <c r="D1286" s="51">
        <v>260</v>
      </c>
      <c r="E1286" s="50">
        <v>260</v>
      </c>
    </row>
    <row r="1287" spans="1:5" ht="43.2" hidden="1" x14ac:dyDescent="0.3">
      <c r="A1287" s="50" t="s">
        <v>3536</v>
      </c>
      <c r="B1287" s="50" t="s">
        <v>3535</v>
      </c>
      <c r="D1287" s="51">
        <v>260</v>
      </c>
      <c r="E1287" s="50">
        <v>260</v>
      </c>
    </row>
    <row r="1288" spans="1:5" ht="43.2" hidden="1" x14ac:dyDescent="0.3">
      <c r="A1288" s="50" t="s">
        <v>3534</v>
      </c>
      <c r="B1288" s="50" t="s">
        <v>3533</v>
      </c>
      <c r="D1288" s="51">
        <v>372.19</v>
      </c>
      <c r="E1288" s="50">
        <v>372.2</v>
      </c>
    </row>
    <row r="1289" spans="1:5" ht="43.2" hidden="1" x14ac:dyDescent="0.3">
      <c r="A1289" s="50" t="s">
        <v>3532</v>
      </c>
      <c r="B1289" s="50" t="s">
        <v>3531</v>
      </c>
      <c r="C1289" s="50" t="s">
        <v>1174</v>
      </c>
      <c r="D1289" s="51">
        <v>372.19</v>
      </c>
      <c r="E1289" s="50">
        <v>372.2</v>
      </c>
    </row>
    <row r="1290" spans="1:5" hidden="1" x14ac:dyDescent="0.3">
      <c r="A1290" s="50" t="s">
        <v>3530</v>
      </c>
      <c r="B1290" s="50" t="s">
        <v>3529</v>
      </c>
      <c r="D1290" s="51">
        <v>0</v>
      </c>
      <c r="E1290" s="50">
        <v>0</v>
      </c>
    </row>
    <row r="1291" spans="1:5" hidden="1" x14ac:dyDescent="0.3">
      <c r="A1291" s="50" t="s">
        <v>3528</v>
      </c>
      <c r="B1291" s="50" t="s">
        <v>3527</v>
      </c>
      <c r="D1291" s="51">
        <v>0</v>
      </c>
      <c r="E1291" s="50">
        <v>0</v>
      </c>
    </row>
    <row r="1292" spans="1:5" hidden="1" x14ac:dyDescent="0.3">
      <c r="A1292" s="50" t="s">
        <v>3526</v>
      </c>
      <c r="B1292" s="50" t="s">
        <v>3525</v>
      </c>
      <c r="C1292" s="50" t="s">
        <v>496</v>
      </c>
      <c r="D1292" s="51">
        <v>872.8</v>
      </c>
      <c r="E1292" s="50">
        <v>872.8</v>
      </c>
    </row>
    <row r="1293" spans="1:5" hidden="1" x14ac:dyDescent="0.3">
      <c r="A1293" s="50" t="s">
        <v>3524</v>
      </c>
      <c r="B1293" s="50" t="s">
        <v>3523</v>
      </c>
      <c r="C1293" s="50" t="s">
        <v>496</v>
      </c>
      <c r="D1293" s="51">
        <v>0</v>
      </c>
      <c r="E1293" s="50">
        <v>0</v>
      </c>
    </row>
    <row r="1294" spans="1:5" hidden="1" x14ac:dyDescent="0.3">
      <c r="A1294" s="50" t="s">
        <v>3522</v>
      </c>
      <c r="B1294" s="50" t="s">
        <v>3521</v>
      </c>
      <c r="C1294" s="50" t="s">
        <v>496</v>
      </c>
      <c r="D1294" s="51">
        <v>0</v>
      </c>
      <c r="E1294" s="50">
        <v>0</v>
      </c>
    </row>
    <row r="1295" spans="1:5" hidden="1" x14ac:dyDescent="0.3">
      <c r="A1295" s="50" t="s">
        <v>3520</v>
      </c>
      <c r="B1295" s="50" t="s">
        <v>3519</v>
      </c>
      <c r="C1295" s="50" t="s">
        <v>496</v>
      </c>
      <c r="D1295" s="51">
        <v>0</v>
      </c>
      <c r="E1295" s="50">
        <v>0</v>
      </c>
    </row>
    <row r="1296" spans="1:5" hidden="1" x14ac:dyDescent="0.3">
      <c r="A1296" s="50" t="s">
        <v>3518</v>
      </c>
      <c r="B1296" s="50" t="s">
        <v>3517</v>
      </c>
      <c r="C1296" s="50" t="s">
        <v>496</v>
      </c>
      <c r="D1296" s="51">
        <v>0</v>
      </c>
      <c r="E1296" s="50">
        <v>0</v>
      </c>
    </row>
    <row r="1297" spans="1:5" hidden="1" x14ac:dyDescent="0.3">
      <c r="A1297" s="50" t="s">
        <v>3516</v>
      </c>
      <c r="B1297" s="50" t="s">
        <v>3515</v>
      </c>
      <c r="C1297" s="50" t="s">
        <v>496</v>
      </c>
      <c r="D1297" s="51">
        <v>0</v>
      </c>
      <c r="E1297" s="50">
        <v>0</v>
      </c>
    </row>
    <row r="1298" spans="1:5" hidden="1" x14ac:dyDescent="0.3">
      <c r="A1298" s="50" t="s">
        <v>3514</v>
      </c>
      <c r="B1298" s="50" t="s">
        <v>3513</v>
      </c>
      <c r="C1298" s="50" t="s">
        <v>496</v>
      </c>
      <c r="D1298" s="50" t="s">
        <v>3512</v>
      </c>
      <c r="E1298" s="50">
        <v>4865.1000000000004</v>
      </c>
    </row>
    <row r="1299" spans="1:5" hidden="1" x14ac:dyDescent="0.3">
      <c r="A1299" s="50" t="s">
        <v>3511</v>
      </c>
      <c r="B1299" s="50" t="s">
        <v>3510</v>
      </c>
      <c r="C1299" s="50" t="s">
        <v>496</v>
      </c>
      <c r="D1299" s="51">
        <v>0</v>
      </c>
      <c r="E1299" s="50">
        <v>0</v>
      </c>
    </row>
    <row r="1300" spans="1:5" hidden="1" x14ac:dyDescent="0.3">
      <c r="A1300" s="50" t="s">
        <v>3509</v>
      </c>
      <c r="B1300" s="50" t="s">
        <v>3508</v>
      </c>
      <c r="C1300" s="50" t="s">
        <v>496</v>
      </c>
      <c r="D1300" s="51">
        <v>0</v>
      </c>
      <c r="E1300" s="50">
        <v>0</v>
      </c>
    </row>
    <row r="1301" spans="1:5" hidden="1" x14ac:dyDescent="0.3">
      <c r="A1301" s="50" t="s">
        <v>3507</v>
      </c>
      <c r="B1301" s="50" t="s">
        <v>3506</v>
      </c>
      <c r="C1301" s="50" t="s">
        <v>496</v>
      </c>
      <c r="D1301" s="51">
        <v>0</v>
      </c>
      <c r="E1301" s="50">
        <v>0</v>
      </c>
    </row>
    <row r="1302" spans="1:5" hidden="1" x14ac:dyDescent="0.3">
      <c r="A1302" s="50" t="s">
        <v>3505</v>
      </c>
      <c r="B1302" s="50" t="s">
        <v>3504</v>
      </c>
      <c r="C1302" s="50" t="s">
        <v>496</v>
      </c>
      <c r="D1302" s="51">
        <v>0</v>
      </c>
      <c r="E1302" s="50">
        <v>0</v>
      </c>
    </row>
    <row r="1303" spans="1:5" hidden="1" x14ac:dyDescent="0.3">
      <c r="A1303" s="50" t="s">
        <v>3503</v>
      </c>
      <c r="B1303" s="50" t="s">
        <v>3502</v>
      </c>
      <c r="C1303" s="50" t="s">
        <v>496</v>
      </c>
      <c r="D1303" s="51">
        <v>0</v>
      </c>
      <c r="E1303" s="50">
        <v>0</v>
      </c>
    </row>
    <row r="1304" spans="1:5" hidden="1" x14ac:dyDescent="0.3">
      <c r="A1304" s="50" t="s">
        <v>3501</v>
      </c>
      <c r="B1304" s="50" t="s">
        <v>3500</v>
      </c>
      <c r="C1304" s="50" t="s">
        <v>496</v>
      </c>
      <c r="D1304" s="51">
        <v>0</v>
      </c>
      <c r="E1304" s="50">
        <v>0</v>
      </c>
    </row>
    <row r="1305" spans="1:5" hidden="1" x14ac:dyDescent="0.3">
      <c r="A1305" s="50" t="s">
        <v>3499</v>
      </c>
      <c r="B1305" s="50" t="s">
        <v>3498</v>
      </c>
      <c r="C1305" s="50" t="s">
        <v>496</v>
      </c>
      <c r="D1305" s="51">
        <v>0</v>
      </c>
      <c r="E1305" s="50">
        <v>0</v>
      </c>
    </row>
    <row r="1306" spans="1:5" hidden="1" x14ac:dyDescent="0.3">
      <c r="A1306" s="50" t="s">
        <v>3497</v>
      </c>
      <c r="B1306" s="50" t="s">
        <v>3496</v>
      </c>
      <c r="C1306" s="50" t="s">
        <v>496</v>
      </c>
      <c r="D1306" s="51">
        <v>0</v>
      </c>
      <c r="E1306" s="50">
        <v>0</v>
      </c>
    </row>
    <row r="1307" spans="1:5" hidden="1" x14ac:dyDescent="0.3">
      <c r="A1307" s="50" t="s">
        <v>3495</v>
      </c>
      <c r="B1307" s="50" t="s">
        <v>3494</v>
      </c>
      <c r="C1307" s="50" t="s">
        <v>496</v>
      </c>
      <c r="D1307" s="51">
        <v>0</v>
      </c>
      <c r="E1307" s="50">
        <v>0</v>
      </c>
    </row>
    <row r="1308" spans="1:5" hidden="1" x14ac:dyDescent="0.3">
      <c r="A1308" s="50" t="s">
        <v>3493</v>
      </c>
      <c r="B1308" s="50" t="s">
        <v>3492</v>
      </c>
      <c r="C1308" s="50" t="s">
        <v>496</v>
      </c>
      <c r="D1308" s="51">
        <v>0</v>
      </c>
      <c r="E1308" s="50">
        <v>0</v>
      </c>
    </row>
    <row r="1309" spans="1:5" hidden="1" x14ac:dyDescent="0.3">
      <c r="A1309" s="50" t="s">
        <v>3491</v>
      </c>
      <c r="B1309" s="50" t="s">
        <v>3490</v>
      </c>
      <c r="C1309" s="50" t="s">
        <v>496</v>
      </c>
      <c r="D1309" s="51">
        <v>0</v>
      </c>
      <c r="E1309" s="50">
        <v>0</v>
      </c>
    </row>
    <row r="1310" spans="1:5" hidden="1" x14ac:dyDescent="0.3">
      <c r="A1310" s="50" t="s">
        <v>3489</v>
      </c>
      <c r="B1310" s="50" t="s">
        <v>3488</v>
      </c>
      <c r="D1310" s="51">
        <v>800</v>
      </c>
      <c r="E1310" s="50">
        <v>800</v>
      </c>
    </row>
    <row r="1311" spans="1:5" hidden="1" x14ac:dyDescent="0.3">
      <c r="A1311" s="50" t="s">
        <v>3487</v>
      </c>
      <c r="B1311" s="50" t="s">
        <v>3486</v>
      </c>
      <c r="D1311" s="50" t="s">
        <v>3485</v>
      </c>
      <c r="E1311" s="50">
        <v>11250</v>
      </c>
    </row>
    <row r="1312" spans="1:5" hidden="1" x14ac:dyDescent="0.3">
      <c r="A1312" s="50" t="s">
        <v>3484</v>
      </c>
      <c r="B1312" s="50" t="s">
        <v>3483</v>
      </c>
      <c r="D1312" s="51">
        <v>17.45</v>
      </c>
      <c r="E1312" s="50">
        <v>17.45</v>
      </c>
    </row>
    <row r="1313" spans="1:5" hidden="1" x14ac:dyDescent="0.3">
      <c r="A1313" s="50" t="s">
        <v>3482</v>
      </c>
      <c r="B1313" s="50" t="s">
        <v>3481</v>
      </c>
      <c r="D1313" s="51">
        <v>27.96</v>
      </c>
      <c r="E1313" s="50">
        <v>27.96</v>
      </c>
    </row>
    <row r="1314" spans="1:5" hidden="1" x14ac:dyDescent="0.3">
      <c r="A1314" s="50" t="s">
        <v>3480</v>
      </c>
      <c r="B1314" s="50" t="s">
        <v>3478</v>
      </c>
      <c r="D1314" s="51">
        <v>0</v>
      </c>
      <c r="E1314" s="50">
        <v>0</v>
      </c>
    </row>
    <row r="1315" spans="1:5" hidden="1" x14ac:dyDescent="0.3">
      <c r="A1315" s="50" t="s">
        <v>3479</v>
      </c>
      <c r="B1315" s="50" t="s">
        <v>3478</v>
      </c>
      <c r="D1315" s="51">
        <v>0</v>
      </c>
      <c r="E1315" s="50">
        <v>0</v>
      </c>
    </row>
    <row r="1316" spans="1:5" hidden="1" x14ac:dyDescent="0.3">
      <c r="A1316" s="50" t="s">
        <v>3477</v>
      </c>
      <c r="B1316" s="50" t="s">
        <v>160</v>
      </c>
      <c r="C1316" s="50" t="s">
        <v>196</v>
      </c>
      <c r="D1316" s="51">
        <v>0</v>
      </c>
      <c r="E1316" s="50">
        <v>0</v>
      </c>
    </row>
    <row r="1317" spans="1:5" hidden="1" x14ac:dyDescent="0.3">
      <c r="A1317" s="50" t="s">
        <v>3476</v>
      </c>
      <c r="B1317" s="50" t="s">
        <v>3475</v>
      </c>
      <c r="D1317" s="51">
        <v>0</v>
      </c>
      <c r="E1317" s="50">
        <v>0</v>
      </c>
    </row>
    <row r="1318" spans="1:5" hidden="1" x14ac:dyDescent="0.3">
      <c r="A1318" s="50" t="s">
        <v>3474</v>
      </c>
      <c r="B1318" s="50" t="s">
        <v>3473</v>
      </c>
      <c r="D1318" s="51">
        <v>0</v>
      </c>
      <c r="E1318" s="50">
        <v>0</v>
      </c>
    </row>
    <row r="1319" spans="1:5" hidden="1" x14ac:dyDescent="0.3">
      <c r="A1319" s="50" t="s">
        <v>3472</v>
      </c>
      <c r="B1319" s="50" t="s">
        <v>3471</v>
      </c>
      <c r="D1319" s="51">
        <v>0</v>
      </c>
      <c r="E1319" s="50">
        <v>0</v>
      </c>
    </row>
    <row r="1320" spans="1:5" hidden="1" x14ac:dyDescent="0.3">
      <c r="A1320" s="50" t="s">
        <v>3470</v>
      </c>
      <c r="B1320" s="50" t="s">
        <v>3469</v>
      </c>
      <c r="D1320" s="51">
        <v>0</v>
      </c>
      <c r="E1320" s="50">
        <v>0</v>
      </c>
    </row>
    <row r="1321" spans="1:5" hidden="1" x14ac:dyDescent="0.3">
      <c r="A1321" s="50" t="s">
        <v>3468</v>
      </c>
      <c r="B1321" s="50" t="s">
        <v>3467</v>
      </c>
      <c r="C1321" s="50" t="s">
        <v>496</v>
      </c>
      <c r="D1321" s="51">
        <v>0</v>
      </c>
      <c r="E1321" s="50">
        <v>0</v>
      </c>
    </row>
    <row r="1322" spans="1:5" hidden="1" x14ac:dyDescent="0.3">
      <c r="A1322" s="50" t="s">
        <v>3466</v>
      </c>
      <c r="B1322" s="50" t="s">
        <v>3465</v>
      </c>
      <c r="C1322" s="50" t="s">
        <v>496</v>
      </c>
      <c r="D1322" s="51">
        <v>0</v>
      </c>
      <c r="E1322" s="50">
        <v>0</v>
      </c>
    </row>
    <row r="1323" spans="1:5" hidden="1" x14ac:dyDescent="0.3">
      <c r="A1323" s="50" t="s">
        <v>3464</v>
      </c>
      <c r="B1323" s="50" t="s">
        <v>3463</v>
      </c>
      <c r="C1323" s="50" t="s">
        <v>496</v>
      </c>
      <c r="D1323" s="51">
        <v>0</v>
      </c>
      <c r="E1323" s="50">
        <v>0</v>
      </c>
    </row>
    <row r="1324" spans="1:5" hidden="1" x14ac:dyDescent="0.3">
      <c r="A1324" s="50" t="s">
        <v>3462</v>
      </c>
      <c r="B1324" s="50" t="s">
        <v>3461</v>
      </c>
      <c r="C1324" s="50" t="s">
        <v>496</v>
      </c>
      <c r="D1324" s="51">
        <v>0</v>
      </c>
      <c r="E1324" s="50">
        <v>0</v>
      </c>
    </row>
    <row r="1325" spans="1:5" hidden="1" x14ac:dyDescent="0.3">
      <c r="A1325" s="50" t="s">
        <v>3460</v>
      </c>
      <c r="B1325" s="50" t="s">
        <v>3459</v>
      </c>
      <c r="C1325" s="50" t="s">
        <v>496</v>
      </c>
      <c r="D1325" s="51">
        <v>0</v>
      </c>
      <c r="E1325" s="50">
        <v>0</v>
      </c>
    </row>
    <row r="1326" spans="1:5" hidden="1" x14ac:dyDescent="0.3">
      <c r="A1326" s="50" t="s">
        <v>3458</v>
      </c>
      <c r="B1326" s="50" t="s">
        <v>3457</v>
      </c>
      <c r="C1326" s="50" t="s">
        <v>496</v>
      </c>
      <c r="D1326" s="51">
        <v>0</v>
      </c>
      <c r="E1326" s="50">
        <v>0</v>
      </c>
    </row>
    <row r="1327" spans="1:5" hidden="1" x14ac:dyDescent="0.3">
      <c r="A1327" s="50" t="s">
        <v>3456</v>
      </c>
      <c r="B1327" s="50" t="s">
        <v>3455</v>
      </c>
      <c r="C1327" s="50" t="s">
        <v>496</v>
      </c>
      <c r="D1327" s="51">
        <v>0</v>
      </c>
      <c r="E1327" s="50">
        <v>0</v>
      </c>
    </row>
    <row r="1328" spans="1:5" hidden="1" x14ac:dyDescent="0.3">
      <c r="A1328" s="50" t="s">
        <v>3454</v>
      </c>
      <c r="B1328" s="50" t="s">
        <v>3453</v>
      </c>
      <c r="C1328" s="50" t="s">
        <v>496</v>
      </c>
      <c r="D1328" s="51">
        <v>0</v>
      </c>
      <c r="E1328" s="50">
        <v>0</v>
      </c>
    </row>
    <row r="1329" spans="1:5" hidden="1" x14ac:dyDescent="0.3">
      <c r="A1329" s="50" t="s">
        <v>3452</v>
      </c>
      <c r="B1329" s="50" t="s">
        <v>3451</v>
      </c>
      <c r="C1329" s="50" t="s">
        <v>496</v>
      </c>
      <c r="D1329" s="51">
        <v>0</v>
      </c>
      <c r="E1329" s="50">
        <v>0</v>
      </c>
    </row>
    <row r="1330" spans="1:5" hidden="1" x14ac:dyDescent="0.3">
      <c r="A1330" s="50" t="s">
        <v>3450</v>
      </c>
      <c r="B1330" s="50" t="s">
        <v>3449</v>
      </c>
      <c r="C1330" s="50" t="s">
        <v>496</v>
      </c>
      <c r="D1330" s="51">
        <v>0</v>
      </c>
      <c r="E1330" s="50">
        <v>0</v>
      </c>
    </row>
    <row r="1331" spans="1:5" hidden="1" x14ac:dyDescent="0.3">
      <c r="A1331" s="50" t="s">
        <v>3448</v>
      </c>
      <c r="B1331" s="50" t="s">
        <v>3447</v>
      </c>
      <c r="C1331" s="50" t="s">
        <v>496</v>
      </c>
      <c r="D1331" s="51">
        <v>0</v>
      </c>
      <c r="E1331" s="50">
        <v>0</v>
      </c>
    </row>
    <row r="1332" spans="1:5" hidden="1" x14ac:dyDescent="0.3">
      <c r="A1332" s="50" t="s">
        <v>3446</v>
      </c>
      <c r="B1332" s="50" t="s">
        <v>3445</v>
      </c>
      <c r="C1332" s="50" t="s">
        <v>496</v>
      </c>
      <c r="D1332" s="51">
        <v>0</v>
      </c>
      <c r="E1332" s="50">
        <v>0</v>
      </c>
    </row>
    <row r="1333" spans="1:5" hidden="1" x14ac:dyDescent="0.3">
      <c r="A1333" s="50" t="s">
        <v>3444</v>
      </c>
      <c r="B1333" s="50" t="s">
        <v>3443</v>
      </c>
      <c r="D1333" s="51">
        <v>0</v>
      </c>
      <c r="E1333" s="50">
        <v>0</v>
      </c>
    </row>
    <row r="1334" spans="1:5" hidden="1" x14ac:dyDescent="0.3">
      <c r="A1334" s="50" t="s">
        <v>3442</v>
      </c>
      <c r="B1334" s="50" t="s">
        <v>3441</v>
      </c>
      <c r="D1334" s="51">
        <v>0</v>
      </c>
      <c r="E1334" s="50">
        <v>0</v>
      </c>
    </row>
    <row r="1335" spans="1:5" hidden="1" x14ac:dyDescent="0.3">
      <c r="A1335" s="50" t="s">
        <v>3440</v>
      </c>
      <c r="B1335" s="50" t="s">
        <v>3439</v>
      </c>
      <c r="D1335" s="51">
        <v>0</v>
      </c>
      <c r="E1335" s="50">
        <v>95.46</v>
      </c>
    </row>
    <row r="1336" spans="1:5" hidden="1" x14ac:dyDescent="0.3">
      <c r="A1336" s="50" t="s">
        <v>3438</v>
      </c>
      <c r="B1336" s="50" t="s">
        <v>3437</v>
      </c>
      <c r="D1336" s="50" t="s">
        <v>3436</v>
      </c>
      <c r="E1336" s="50">
        <v>1440.07</v>
      </c>
    </row>
    <row r="1337" spans="1:5" hidden="1" x14ac:dyDescent="0.3">
      <c r="A1337" s="50" t="s">
        <v>3435</v>
      </c>
      <c r="B1337" s="50" t="s">
        <v>3434</v>
      </c>
      <c r="C1337" s="50" t="s">
        <v>3394</v>
      </c>
      <c r="D1337" s="50" t="s">
        <v>3433</v>
      </c>
      <c r="E1337" s="50">
        <v>1741.97</v>
      </c>
    </row>
    <row r="1338" spans="1:5" hidden="1" x14ac:dyDescent="0.3">
      <c r="A1338" s="50" t="s">
        <v>3432</v>
      </c>
      <c r="B1338" s="50" t="s">
        <v>3431</v>
      </c>
      <c r="C1338" s="50" t="s">
        <v>3394</v>
      </c>
      <c r="D1338" s="51">
        <v>365</v>
      </c>
      <c r="E1338" s="50">
        <v>365</v>
      </c>
    </row>
    <row r="1339" spans="1:5" hidden="1" x14ac:dyDescent="0.3">
      <c r="A1339" s="50" t="s">
        <v>3430</v>
      </c>
      <c r="B1339" s="50" t="s">
        <v>3429</v>
      </c>
      <c r="C1339" s="50" t="s">
        <v>3394</v>
      </c>
      <c r="D1339" s="50" t="s">
        <v>3428</v>
      </c>
      <c r="E1339" s="50">
        <v>4018</v>
      </c>
    </row>
    <row r="1340" spans="1:5" hidden="1" x14ac:dyDescent="0.3">
      <c r="A1340" s="50" t="s">
        <v>3427</v>
      </c>
      <c r="B1340" s="50" t="s">
        <v>3426</v>
      </c>
      <c r="C1340" s="50" t="s">
        <v>3394</v>
      </c>
      <c r="D1340" s="51">
        <v>0</v>
      </c>
      <c r="E1340" s="50">
        <v>0</v>
      </c>
    </row>
    <row r="1341" spans="1:5" hidden="1" x14ac:dyDescent="0.3">
      <c r="A1341" s="50" t="s">
        <v>3425</v>
      </c>
      <c r="B1341" s="50" t="s">
        <v>3424</v>
      </c>
      <c r="C1341" s="50" t="s">
        <v>3394</v>
      </c>
      <c r="D1341" s="50" t="s">
        <v>3391</v>
      </c>
      <c r="E1341" s="50">
        <v>2681.25</v>
      </c>
    </row>
    <row r="1342" spans="1:5" hidden="1" x14ac:dyDescent="0.3">
      <c r="A1342" s="50" t="s">
        <v>3423</v>
      </c>
      <c r="B1342" s="50" t="s">
        <v>3422</v>
      </c>
      <c r="C1342" s="50" t="s">
        <v>3394</v>
      </c>
      <c r="D1342" s="51">
        <v>0</v>
      </c>
      <c r="E1342" s="50">
        <v>0</v>
      </c>
    </row>
    <row r="1343" spans="1:5" hidden="1" x14ac:dyDescent="0.3">
      <c r="A1343" s="50" t="s">
        <v>3421</v>
      </c>
      <c r="B1343" s="50" t="s">
        <v>3420</v>
      </c>
      <c r="C1343" s="50" t="s">
        <v>3394</v>
      </c>
      <c r="D1343" s="51">
        <v>0</v>
      </c>
      <c r="E1343" s="50">
        <v>0</v>
      </c>
    </row>
    <row r="1344" spans="1:5" hidden="1" x14ac:dyDescent="0.3">
      <c r="A1344" s="50" t="s">
        <v>3419</v>
      </c>
      <c r="B1344" s="50" t="s">
        <v>3418</v>
      </c>
      <c r="C1344" s="50" t="s">
        <v>3394</v>
      </c>
      <c r="D1344" s="51">
        <v>0</v>
      </c>
      <c r="E1344" s="50">
        <v>0</v>
      </c>
    </row>
    <row r="1345" spans="1:5" hidden="1" x14ac:dyDescent="0.3">
      <c r="A1345" s="50" t="s">
        <v>3417</v>
      </c>
      <c r="B1345" s="50" t="s">
        <v>3416</v>
      </c>
      <c r="C1345" s="50" t="s">
        <v>3394</v>
      </c>
      <c r="D1345" s="51">
        <v>0</v>
      </c>
      <c r="E1345" s="50">
        <v>0</v>
      </c>
    </row>
    <row r="1346" spans="1:5" hidden="1" x14ac:dyDescent="0.3">
      <c r="A1346" s="50" t="s">
        <v>3415</v>
      </c>
      <c r="B1346" s="50" t="s">
        <v>3414</v>
      </c>
      <c r="C1346" s="50" t="s">
        <v>3394</v>
      </c>
      <c r="D1346" s="50" t="s">
        <v>3413</v>
      </c>
      <c r="E1346" s="50">
        <v>2428.5</v>
      </c>
    </row>
    <row r="1347" spans="1:5" hidden="1" x14ac:dyDescent="0.3">
      <c r="A1347" s="50" t="s">
        <v>3412</v>
      </c>
      <c r="B1347" s="50" t="s">
        <v>3411</v>
      </c>
      <c r="C1347" s="50" t="s">
        <v>3394</v>
      </c>
      <c r="D1347" s="50" t="s">
        <v>2824</v>
      </c>
      <c r="E1347" s="50">
        <v>1462.71</v>
      </c>
    </row>
    <row r="1348" spans="1:5" hidden="1" x14ac:dyDescent="0.3">
      <c r="A1348" s="50" t="s">
        <v>3410</v>
      </c>
      <c r="B1348" s="50" t="s">
        <v>3409</v>
      </c>
      <c r="C1348" s="50" t="s">
        <v>3394</v>
      </c>
      <c r="D1348" s="50" t="s">
        <v>2824</v>
      </c>
      <c r="E1348" s="50">
        <v>1240</v>
      </c>
    </row>
    <row r="1349" spans="1:5" hidden="1" x14ac:dyDescent="0.3">
      <c r="A1349" s="50" t="s">
        <v>3408</v>
      </c>
      <c r="B1349" s="50" t="s">
        <v>3407</v>
      </c>
      <c r="C1349" s="50" t="s">
        <v>3394</v>
      </c>
      <c r="D1349" s="50" t="s">
        <v>2824</v>
      </c>
      <c r="E1349" s="50">
        <v>1413.75</v>
      </c>
    </row>
    <row r="1350" spans="1:5" hidden="1" x14ac:dyDescent="0.3">
      <c r="A1350" s="50" t="s">
        <v>3406</v>
      </c>
      <c r="B1350" s="50" t="s">
        <v>3405</v>
      </c>
      <c r="C1350" s="50" t="s">
        <v>3394</v>
      </c>
      <c r="D1350" s="50" t="s">
        <v>1446</v>
      </c>
      <c r="E1350" s="50">
        <v>2838.9</v>
      </c>
    </row>
    <row r="1351" spans="1:5" hidden="1" x14ac:dyDescent="0.3">
      <c r="A1351" s="50" t="s">
        <v>3404</v>
      </c>
      <c r="B1351" s="50" t="s">
        <v>3403</v>
      </c>
      <c r="C1351" s="50" t="s">
        <v>3394</v>
      </c>
      <c r="D1351" s="50" t="s">
        <v>3402</v>
      </c>
      <c r="E1351" s="50">
        <v>2523.0700000000002</v>
      </c>
    </row>
    <row r="1352" spans="1:5" hidden="1" x14ac:dyDescent="0.3">
      <c r="A1352" s="50" t="s">
        <v>3401</v>
      </c>
      <c r="B1352" s="50" t="s">
        <v>3400</v>
      </c>
      <c r="C1352" s="50" t="s">
        <v>3394</v>
      </c>
      <c r="D1352" s="50" t="s">
        <v>3399</v>
      </c>
      <c r="E1352" s="50">
        <v>2681.07</v>
      </c>
    </row>
    <row r="1353" spans="1:5" hidden="1" x14ac:dyDescent="0.3">
      <c r="A1353" s="50" t="s">
        <v>3398</v>
      </c>
      <c r="B1353" s="50" t="s">
        <v>3397</v>
      </c>
      <c r="C1353" s="50" t="s">
        <v>3394</v>
      </c>
      <c r="D1353" s="50" t="s">
        <v>2824</v>
      </c>
      <c r="E1353" s="50">
        <v>930</v>
      </c>
    </row>
    <row r="1354" spans="1:5" hidden="1" x14ac:dyDescent="0.3">
      <c r="A1354" s="50" t="s">
        <v>3396</v>
      </c>
      <c r="B1354" s="50" t="s">
        <v>3395</v>
      </c>
      <c r="C1354" s="50" t="s">
        <v>3394</v>
      </c>
      <c r="D1354" s="51">
        <v>322.5</v>
      </c>
      <c r="E1354" s="50">
        <v>338.39</v>
      </c>
    </row>
    <row r="1355" spans="1:5" hidden="1" x14ac:dyDescent="0.3">
      <c r="A1355" s="50" t="s">
        <v>3393</v>
      </c>
      <c r="B1355" s="50" t="s">
        <v>3392</v>
      </c>
      <c r="C1355" s="50" t="s">
        <v>3375</v>
      </c>
      <c r="D1355" s="50" t="s">
        <v>3391</v>
      </c>
      <c r="E1355" s="50">
        <v>906.86</v>
      </c>
    </row>
    <row r="1356" spans="1:5" hidden="1" x14ac:dyDescent="0.3">
      <c r="A1356" s="50" t="s">
        <v>3390</v>
      </c>
      <c r="B1356" s="50" t="s">
        <v>3389</v>
      </c>
      <c r="C1356" s="50" t="s">
        <v>3375</v>
      </c>
      <c r="D1356" s="50" t="s">
        <v>3388</v>
      </c>
      <c r="E1356" s="50">
        <v>10531</v>
      </c>
    </row>
    <row r="1357" spans="1:5" hidden="1" x14ac:dyDescent="0.3">
      <c r="A1357" s="50" t="s">
        <v>3387</v>
      </c>
      <c r="B1357" s="50" t="s">
        <v>3386</v>
      </c>
      <c r="C1357" s="50" t="s">
        <v>3375</v>
      </c>
      <c r="D1357" s="51">
        <v>0</v>
      </c>
      <c r="E1357" s="50">
        <v>0</v>
      </c>
    </row>
    <row r="1358" spans="1:5" hidden="1" x14ac:dyDescent="0.3">
      <c r="A1358" s="50" t="s">
        <v>3385</v>
      </c>
      <c r="B1358" s="50" t="s">
        <v>3384</v>
      </c>
      <c r="C1358" s="50" t="s">
        <v>3375</v>
      </c>
      <c r="D1358" s="51">
        <v>0</v>
      </c>
      <c r="E1358" s="50">
        <v>0</v>
      </c>
    </row>
    <row r="1359" spans="1:5" ht="28.8" hidden="1" x14ac:dyDescent="0.3">
      <c r="A1359" s="50" t="s">
        <v>3383</v>
      </c>
      <c r="B1359" s="50" t="s">
        <v>3382</v>
      </c>
      <c r="C1359" s="50" t="s">
        <v>3375</v>
      </c>
      <c r="D1359" s="51">
        <v>0</v>
      </c>
      <c r="E1359" s="50">
        <v>0</v>
      </c>
    </row>
    <row r="1360" spans="1:5" hidden="1" x14ac:dyDescent="0.3">
      <c r="A1360" s="50" t="s">
        <v>3381</v>
      </c>
      <c r="B1360" s="50" t="s">
        <v>3380</v>
      </c>
      <c r="C1360" s="50" t="s">
        <v>3375</v>
      </c>
      <c r="D1360" s="51">
        <v>0</v>
      </c>
      <c r="E1360" s="50">
        <v>0</v>
      </c>
    </row>
    <row r="1361" spans="1:5" hidden="1" x14ac:dyDescent="0.3">
      <c r="A1361" s="50" t="s">
        <v>3379</v>
      </c>
      <c r="B1361" s="50" t="s">
        <v>3378</v>
      </c>
      <c r="C1361" s="50" t="s">
        <v>3375</v>
      </c>
      <c r="D1361" s="51">
        <v>0</v>
      </c>
      <c r="E1361" s="50">
        <v>0</v>
      </c>
    </row>
    <row r="1362" spans="1:5" hidden="1" x14ac:dyDescent="0.3">
      <c r="A1362" s="50" t="s">
        <v>3377</v>
      </c>
      <c r="B1362" s="50" t="s">
        <v>3376</v>
      </c>
      <c r="C1362" s="50" t="s">
        <v>3375</v>
      </c>
      <c r="D1362" s="51">
        <v>0</v>
      </c>
      <c r="E1362" s="50">
        <v>0</v>
      </c>
    </row>
    <row r="1363" spans="1:5" hidden="1" x14ac:dyDescent="0.3">
      <c r="A1363" s="50" t="s">
        <v>3374</v>
      </c>
      <c r="B1363" s="50" t="s">
        <v>3373</v>
      </c>
      <c r="C1363" s="50" t="s">
        <v>3370</v>
      </c>
      <c r="D1363" s="51">
        <v>0</v>
      </c>
      <c r="E1363" s="50">
        <v>0</v>
      </c>
    </row>
    <row r="1364" spans="1:5" hidden="1" x14ac:dyDescent="0.3">
      <c r="A1364" s="50" t="s">
        <v>3372</v>
      </c>
      <c r="B1364" s="50" t="s">
        <v>3371</v>
      </c>
      <c r="C1364" s="50" t="s">
        <v>3370</v>
      </c>
      <c r="D1364" s="51">
        <v>0</v>
      </c>
      <c r="E1364" s="50">
        <v>0</v>
      </c>
    </row>
    <row r="1365" spans="1:5" hidden="1" x14ac:dyDescent="0.3">
      <c r="A1365" s="50" t="s">
        <v>3369</v>
      </c>
      <c r="B1365" s="50" t="s">
        <v>3368</v>
      </c>
      <c r="C1365" s="50" t="s">
        <v>533</v>
      </c>
      <c r="D1365" s="51">
        <v>0</v>
      </c>
      <c r="E1365" s="50">
        <v>0</v>
      </c>
    </row>
    <row r="1366" spans="1:5" hidden="1" x14ac:dyDescent="0.3">
      <c r="A1366" s="50" t="s">
        <v>3367</v>
      </c>
      <c r="B1366" s="50" t="s">
        <v>3366</v>
      </c>
      <c r="C1366" s="50" t="s">
        <v>533</v>
      </c>
      <c r="D1366" s="51">
        <v>0</v>
      </c>
      <c r="E1366" s="50">
        <v>0</v>
      </c>
    </row>
    <row r="1367" spans="1:5" hidden="1" x14ac:dyDescent="0.3">
      <c r="A1367" s="50" t="s">
        <v>3365</v>
      </c>
      <c r="B1367" s="50" t="s">
        <v>3364</v>
      </c>
      <c r="C1367" s="50" t="s">
        <v>533</v>
      </c>
      <c r="D1367" s="51">
        <v>0</v>
      </c>
      <c r="E1367" s="50">
        <v>0</v>
      </c>
    </row>
    <row r="1368" spans="1:5" hidden="1" x14ac:dyDescent="0.3">
      <c r="A1368" s="50" t="s">
        <v>3363</v>
      </c>
      <c r="B1368" s="50" t="s">
        <v>3362</v>
      </c>
      <c r="C1368" s="50" t="s">
        <v>533</v>
      </c>
      <c r="D1368" s="51">
        <v>0</v>
      </c>
      <c r="E1368" s="50">
        <v>0</v>
      </c>
    </row>
    <row r="1369" spans="1:5" hidden="1" x14ac:dyDescent="0.3">
      <c r="A1369" s="50" t="s">
        <v>3361</v>
      </c>
      <c r="B1369" s="50" t="s">
        <v>3360</v>
      </c>
      <c r="C1369" s="50" t="s">
        <v>533</v>
      </c>
      <c r="D1369" s="51">
        <v>0</v>
      </c>
      <c r="E1369" s="50">
        <v>0</v>
      </c>
    </row>
    <row r="1370" spans="1:5" hidden="1" x14ac:dyDescent="0.3">
      <c r="A1370" s="50" t="s">
        <v>3359</v>
      </c>
      <c r="B1370" s="50" t="s">
        <v>3358</v>
      </c>
      <c r="C1370" s="50" t="s">
        <v>533</v>
      </c>
      <c r="D1370" s="51">
        <v>0</v>
      </c>
      <c r="E1370" s="50">
        <v>0</v>
      </c>
    </row>
    <row r="1371" spans="1:5" hidden="1" x14ac:dyDescent="0.3">
      <c r="A1371" s="50" t="s">
        <v>3357</v>
      </c>
      <c r="B1371" s="50" t="s">
        <v>3356</v>
      </c>
      <c r="C1371" s="50" t="s">
        <v>533</v>
      </c>
      <c r="D1371" s="51">
        <v>0</v>
      </c>
      <c r="E1371" s="50">
        <v>0</v>
      </c>
    </row>
    <row r="1372" spans="1:5" hidden="1" x14ac:dyDescent="0.3">
      <c r="A1372" s="50" t="s">
        <v>3355</v>
      </c>
      <c r="B1372" s="50" t="s">
        <v>3354</v>
      </c>
      <c r="C1372" s="50" t="s">
        <v>533</v>
      </c>
      <c r="D1372" s="51">
        <v>0</v>
      </c>
      <c r="E1372" s="50">
        <v>0</v>
      </c>
    </row>
    <row r="1373" spans="1:5" hidden="1" x14ac:dyDescent="0.3">
      <c r="A1373" s="50" t="s">
        <v>3353</v>
      </c>
      <c r="B1373" s="50" t="s">
        <v>3352</v>
      </c>
      <c r="C1373" s="50" t="s">
        <v>533</v>
      </c>
      <c r="D1373" s="51">
        <v>0</v>
      </c>
      <c r="E1373" s="50">
        <v>0</v>
      </c>
    </row>
    <row r="1374" spans="1:5" hidden="1" x14ac:dyDescent="0.3">
      <c r="A1374" s="50" t="s">
        <v>3351</v>
      </c>
      <c r="B1374" s="50" t="s">
        <v>3350</v>
      </c>
      <c r="C1374" s="50" t="s">
        <v>533</v>
      </c>
      <c r="D1374" s="51">
        <v>0</v>
      </c>
      <c r="E1374" s="50">
        <v>2827.17</v>
      </c>
    </row>
    <row r="1375" spans="1:5" ht="28.8" hidden="1" x14ac:dyDescent="0.3">
      <c r="A1375" s="50" t="s">
        <v>3349</v>
      </c>
      <c r="B1375" s="50" t="s">
        <v>3348</v>
      </c>
      <c r="D1375" s="50" t="s">
        <v>3347</v>
      </c>
      <c r="E1375" s="50">
        <v>1691.38</v>
      </c>
    </row>
    <row r="1376" spans="1:5" ht="28.8" hidden="1" x14ac:dyDescent="0.3">
      <c r="A1376" s="50" t="s">
        <v>3346</v>
      </c>
      <c r="B1376" s="50" t="s">
        <v>3345</v>
      </c>
      <c r="D1376" s="50" t="s">
        <v>3344</v>
      </c>
      <c r="E1376" s="50">
        <v>1816.67</v>
      </c>
    </row>
    <row r="1377" spans="1:5" hidden="1" x14ac:dyDescent="0.3">
      <c r="A1377" s="50" t="s">
        <v>3343</v>
      </c>
      <c r="B1377" s="50" t="s">
        <v>3342</v>
      </c>
      <c r="C1377" s="50" t="s">
        <v>196</v>
      </c>
      <c r="D1377" s="51">
        <v>0</v>
      </c>
      <c r="E1377" s="50">
        <v>0</v>
      </c>
    </row>
    <row r="1378" spans="1:5" hidden="1" x14ac:dyDescent="0.3">
      <c r="A1378" s="50" t="s">
        <v>3341</v>
      </c>
      <c r="B1378" s="50" t="s">
        <v>3340</v>
      </c>
      <c r="C1378" s="50" t="s">
        <v>196</v>
      </c>
      <c r="D1378" s="51">
        <v>0</v>
      </c>
      <c r="E1378" s="50">
        <v>0</v>
      </c>
    </row>
    <row r="1379" spans="1:5" hidden="1" x14ac:dyDescent="0.3">
      <c r="A1379" s="50" t="s">
        <v>3339</v>
      </c>
      <c r="B1379" s="50" t="s">
        <v>3338</v>
      </c>
      <c r="C1379" s="50" t="s">
        <v>196</v>
      </c>
      <c r="D1379" s="51">
        <v>0</v>
      </c>
      <c r="E1379" s="50">
        <v>0</v>
      </c>
    </row>
    <row r="1380" spans="1:5" hidden="1" x14ac:dyDescent="0.3">
      <c r="A1380" s="50" t="s">
        <v>3337</v>
      </c>
      <c r="B1380" s="50" t="s">
        <v>3336</v>
      </c>
      <c r="C1380" s="50" t="s">
        <v>196</v>
      </c>
      <c r="D1380" s="51">
        <v>0</v>
      </c>
      <c r="E1380" s="50">
        <v>0</v>
      </c>
    </row>
    <row r="1381" spans="1:5" hidden="1" x14ac:dyDescent="0.3">
      <c r="A1381" s="50" t="s">
        <v>3335</v>
      </c>
      <c r="B1381" s="50" t="s">
        <v>3334</v>
      </c>
      <c r="C1381" s="50" t="s">
        <v>196</v>
      </c>
      <c r="D1381" s="51">
        <v>0</v>
      </c>
      <c r="E1381" s="50">
        <v>0</v>
      </c>
    </row>
    <row r="1382" spans="1:5" hidden="1" x14ac:dyDescent="0.3">
      <c r="A1382" s="50" t="s">
        <v>3333</v>
      </c>
      <c r="B1382" s="50" t="s">
        <v>3332</v>
      </c>
      <c r="C1382" s="50" t="s">
        <v>196</v>
      </c>
      <c r="D1382" s="51">
        <v>0</v>
      </c>
      <c r="E1382" s="50">
        <v>0</v>
      </c>
    </row>
    <row r="1383" spans="1:5" hidden="1" x14ac:dyDescent="0.3">
      <c r="A1383" s="50" t="s">
        <v>3331</v>
      </c>
      <c r="B1383" s="50" t="s">
        <v>3330</v>
      </c>
      <c r="C1383" s="50" t="s">
        <v>196</v>
      </c>
      <c r="D1383" s="51">
        <v>0</v>
      </c>
      <c r="E1383" s="50">
        <v>0</v>
      </c>
    </row>
    <row r="1384" spans="1:5" hidden="1" x14ac:dyDescent="0.3">
      <c r="A1384" s="50" t="s">
        <v>3329</v>
      </c>
      <c r="B1384" s="50" t="s">
        <v>3328</v>
      </c>
      <c r="C1384" s="50" t="s">
        <v>196</v>
      </c>
      <c r="D1384" s="51">
        <v>0</v>
      </c>
      <c r="E1384" s="50">
        <v>0</v>
      </c>
    </row>
    <row r="1385" spans="1:5" hidden="1" x14ac:dyDescent="0.3">
      <c r="A1385" s="50" t="s">
        <v>3327</v>
      </c>
      <c r="B1385" s="50" t="s">
        <v>3326</v>
      </c>
      <c r="C1385" s="50" t="s">
        <v>196</v>
      </c>
      <c r="D1385" s="51">
        <v>0</v>
      </c>
      <c r="E1385" s="50">
        <v>0</v>
      </c>
    </row>
    <row r="1386" spans="1:5" hidden="1" x14ac:dyDescent="0.3">
      <c r="A1386" s="50" t="s">
        <v>3325</v>
      </c>
      <c r="B1386" s="50" t="s">
        <v>3324</v>
      </c>
      <c r="C1386" s="50" t="s">
        <v>196</v>
      </c>
      <c r="D1386" s="51">
        <v>0</v>
      </c>
      <c r="E1386" s="50">
        <v>0</v>
      </c>
    </row>
    <row r="1387" spans="1:5" hidden="1" x14ac:dyDescent="0.3">
      <c r="A1387" s="50" t="s">
        <v>3323</v>
      </c>
      <c r="B1387" s="50" t="s">
        <v>3322</v>
      </c>
      <c r="C1387" s="50" t="s">
        <v>196</v>
      </c>
      <c r="D1387" s="51">
        <v>0</v>
      </c>
      <c r="E1387" s="50">
        <v>0</v>
      </c>
    </row>
    <row r="1388" spans="1:5" hidden="1" x14ac:dyDescent="0.3">
      <c r="A1388" s="50" t="s">
        <v>3321</v>
      </c>
      <c r="B1388" s="50" t="s">
        <v>3320</v>
      </c>
      <c r="C1388" s="50" t="s">
        <v>196</v>
      </c>
      <c r="D1388" s="51">
        <v>0</v>
      </c>
      <c r="E1388" s="50">
        <v>0</v>
      </c>
    </row>
    <row r="1389" spans="1:5" hidden="1" x14ac:dyDescent="0.3">
      <c r="A1389" s="50" t="s">
        <v>3319</v>
      </c>
      <c r="B1389" s="50" t="s">
        <v>3318</v>
      </c>
      <c r="C1389" s="50" t="s">
        <v>196</v>
      </c>
      <c r="D1389" s="51">
        <v>0</v>
      </c>
      <c r="E1389" s="50">
        <v>0</v>
      </c>
    </row>
    <row r="1390" spans="1:5" hidden="1" x14ac:dyDescent="0.3">
      <c r="A1390" s="50" t="s">
        <v>3317</v>
      </c>
      <c r="B1390" s="50" t="s">
        <v>3315</v>
      </c>
      <c r="C1390" s="50" t="s">
        <v>196</v>
      </c>
      <c r="D1390" s="51">
        <v>0</v>
      </c>
      <c r="E1390" s="50">
        <v>0</v>
      </c>
    </row>
    <row r="1391" spans="1:5" hidden="1" x14ac:dyDescent="0.3">
      <c r="A1391" s="50" t="s">
        <v>3316</v>
      </c>
      <c r="B1391" s="50" t="s">
        <v>3315</v>
      </c>
      <c r="C1391" s="50" t="s">
        <v>196</v>
      </c>
      <c r="D1391" s="51">
        <v>0</v>
      </c>
      <c r="E1391" s="50">
        <v>0</v>
      </c>
    </row>
    <row r="1392" spans="1:5" hidden="1" x14ac:dyDescent="0.3">
      <c r="A1392" s="50" t="s">
        <v>3314</v>
      </c>
      <c r="B1392" s="50" t="s">
        <v>3313</v>
      </c>
      <c r="C1392" s="50" t="s">
        <v>196</v>
      </c>
      <c r="D1392" s="51">
        <v>0</v>
      </c>
      <c r="E1392" s="50">
        <v>0</v>
      </c>
    </row>
    <row r="1393" spans="1:5" hidden="1" x14ac:dyDescent="0.3">
      <c r="A1393" s="50" t="s">
        <v>3312</v>
      </c>
      <c r="B1393" s="50" t="s">
        <v>3311</v>
      </c>
      <c r="C1393" s="50" t="s">
        <v>196</v>
      </c>
      <c r="D1393" s="51">
        <v>0</v>
      </c>
      <c r="E1393" s="50">
        <v>0</v>
      </c>
    </row>
    <row r="1394" spans="1:5" hidden="1" x14ac:dyDescent="0.3">
      <c r="A1394" s="50" t="s">
        <v>3310</v>
      </c>
      <c r="B1394" s="50" t="s">
        <v>3309</v>
      </c>
      <c r="C1394" s="50" t="s">
        <v>196</v>
      </c>
      <c r="D1394" s="51">
        <v>0</v>
      </c>
      <c r="E1394" s="50">
        <v>0</v>
      </c>
    </row>
    <row r="1395" spans="1:5" hidden="1" x14ac:dyDescent="0.3">
      <c r="A1395" s="50" t="s">
        <v>3308</v>
      </c>
      <c r="B1395" s="50" t="s">
        <v>3307</v>
      </c>
      <c r="C1395" s="50" t="s">
        <v>196</v>
      </c>
      <c r="D1395" s="51">
        <v>0</v>
      </c>
      <c r="E1395" s="50">
        <v>0</v>
      </c>
    </row>
    <row r="1396" spans="1:5" hidden="1" x14ac:dyDescent="0.3">
      <c r="A1396" s="50" t="s">
        <v>3306</v>
      </c>
      <c r="B1396" s="50" t="s">
        <v>3305</v>
      </c>
      <c r="C1396" s="50" t="s">
        <v>196</v>
      </c>
      <c r="D1396" s="51">
        <v>0</v>
      </c>
      <c r="E1396" s="50">
        <v>0</v>
      </c>
    </row>
    <row r="1397" spans="1:5" hidden="1" x14ac:dyDescent="0.3">
      <c r="A1397" s="50" t="s">
        <v>3304</v>
      </c>
      <c r="B1397" s="50" t="s">
        <v>3303</v>
      </c>
      <c r="C1397" s="50" t="s">
        <v>196</v>
      </c>
      <c r="D1397" s="51">
        <v>0</v>
      </c>
      <c r="E1397" s="50">
        <v>0</v>
      </c>
    </row>
    <row r="1398" spans="1:5" hidden="1" x14ac:dyDescent="0.3">
      <c r="A1398" s="50" t="s">
        <v>3302</v>
      </c>
      <c r="B1398" s="50" t="s">
        <v>3301</v>
      </c>
      <c r="C1398" s="50" t="s">
        <v>196</v>
      </c>
      <c r="D1398" s="51">
        <v>0</v>
      </c>
      <c r="E1398" s="50">
        <v>0</v>
      </c>
    </row>
    <row r="1399" spans="1:5" hidden="1" x14ac:dyDescent="0.3">
      <c r="A1399" s="50" t="s">
        <v>3300</v>
      </c>
      <c r="B1399" s="50" t="s">
        <v>3299</v>
      </c>
      <c r="C1399" s="50" t="s">
        <v>196</v>
      </c>
      <c r="D1399" s="51">
        <v>0</v>
      </c>
      <c r="E1399" s="50">
        <v>0</v>
      </c>
    </row>
    <row r="1400" spans="1:5" hidden="1" x14ac:dyDescent="0.3">
      <c r="A1400" s="50" t="s">
        <v>3298</v>
      </c>
      <c r="B1400" s="50" t="s">
        <v>3297</v>
      </c>
      <c r="C1400" s="50" t="s">
        <v>196</v>
      </c>
      <c r="D1400" s="51">
        <v>0</v>
      </c>
      <c r="E1400" s="50">
        <v>0</v>
      </c>
    </row>
    <row r="1401" spans="1:5" hidden="1" x14ac:dyDescent="0.3">
      <c r="A1401" s="50" t="s">
        <v>3296</v>
      </c>
      <c r="B1401" s="50" t="s">
        <v>3295</v>
      </c>
      <c r="C1401" s="50" t="s">
        <v>196</v>
      </c>
      <c r="D1401" s="51">
        <v>0</v>
      </c>
      <c r="E1401" s="50">
        <v>0</v>
      </c>
    </row>
    <row r="1402" spans="1:5" hidden="1" x14ac:dyDescent="0.3">
      <c r="A1402" s="50" t="s">
        <v>3294</v>
      </c>
      <c r="B1402" s="50" t="s">
        <v>3293</v>
      </c>
      <c r="C1402" s="50" t="s">
        <v>196</v>
      </c>
      <c r="D1402" s="51">
        <v>0</v>
      </c>
      <c r="E1402" s="50">
        <v>0</v>
      </c>
    </row>
    <row r="1403" spans="1:5" hidden="1" x14ac:dyDescent="0.3">
      <c r="A1403" s="50" t="s">
        <v>3292</v>
      </c>
      <c r="B1403" s="50" t="s">
        <v>3291</v>
      </c>
      <c r="C1403" s="50" t="s">
        <v>196</v>
      </c>
      <c r="D1403" s="51">
        <v>0</v>
      </c>
      <c r="E1403" s="50">
        <v>0</v>
      </c>
    </row>
    <row r="1404" spans="1:5" hidden="1" x14ac:dyDescent="0.3">
      <c r="A1404" s="50" t="s">
        <v>3290</v>
      </c>
      <c r="B1404" s="50" t="s">
        <v>3289</v>
      </c>
      <c r="C1404" s="50" t="s">
        <v>196</v>
      </c>
      <c r="D1404" s="51">
        <v>0</v>
      </c>
      <c r="E1404" s="50">
        <v>0</v>
      </c>
    </row>
    <row r="1405" spans="1:5" hidden="1" x14ac:dyDescent="0.3">
      <c r="A1405" s="50" t="s">
        <v>3288</v>
      </c>
      <c r="B1405" s="50" t="s">
        <v>3287</v>
      </c>
      <c r="C1405" s="50" t="s">
        <v>196</v>
      </c>
      <c r="D1405" s="51">
        <v>0</v>
      </c>
      <c r="E1405" s="50">
        <v>0</v>
      </c>
    </row>
    <row r="1406" spans="1:5" hidden="1" x14ac:dyDescent="0.3">
      <c r="A1406" s="50" t="s">
        <v>3286</v>
      </c>
      <c r="B1406" s="50" t="s">
        <v>546</v>
      </c>
      <c r="C1406" s="50" t="s">
        <v>196</v>
      </c>
      <c r="D1406" s="51">
        <v>0</v>
      </c>
      <c r="E1406" s="50">
        <v>0</v>
      </c>
    </row>
    <row r="1407" spans="1:5" hidden="1" x14ac:dyDescent="0.3">
      <c r="A1407" s="50" t="s">
        <v>3285</v>
      </c>
      <c r="B1407" s="50" t="s">
        <v>3284</v>
      </c>
      <c r="C1407" s="50" t="s">
        <v>196</v>
      </c>
      <c r="D1407" s="51">
        <v>0</v>
      </c>
      <c r="E1407" s="50">
        <v>0</v>
      </c>
    </row>
    <row r="1408" spans="1:5" hidden="1" x14ac:dyDescent="0.3">
      <c r="A1408" s="50" t="s">
        <v>3283</v>
      </c>
      <c r="B1408" s="50" t="s">
        <v>3282</v>
      </c>
      <c r="C1408" s="50" t="s">
        <v>196</v>
      </c>
      <c r="D1408" s="51">
        <v>0</v>
      </c>
      <c r="E1408" s="50">
        <v>0</v>
      </c>
    </row>
    <row r="1409" spans="1:5" hidden="1" x14ac:dyDescent="0.3">
      <c r="A1409" s="50" t="s">
        <v>3281</v>
      </c>
      <c r="B1409" s="50" t="s">
        <v>3280</v>
      </c>
      <c r="C1409" s="50" t="s">
        <v>654</v>
      </c>
      <c r="D1409" s="51">
        <v>0</v>
      </c>
      <c r="E1409" s="50">
        <v>0</v>
      </c>
    </row>
    <row r="1410" spans="1:5" hidden="1" x14ac:dyDescent="0.3">
      <c r="A1410" s="50" t="s">
        <v>3279</v>
      </c>
      <c r="B1410" s="50" t="s">
        <v>3278</v>
      </c>
      <c r="D1410" s="51">
        <v>0</v>
      </c>
      <c r="E1410" s="50">
        <v>0</v>
      </c>
    </row>
    <row r="1411" spans="1:5" hidden="1" x14ac:dyDescent="0.3">
      <c r="A1411" s="50" t="s">
        <v>3277</v>
      </c>
      <c r="B1411" s="50" t="s">
        <v>3276</v>
      </c>
      <c r="D1411" s="51">
        <v>0</v>
      </c>
      <c r="E1411" s="50">
        <v>0</v>
      </c>
    </row>
    <row r="1412" spans="1:5" hidden="1" x14ac:dyDescent="0.3">
      <c r="A1412" s="50" t="s">
        <v>3275</v>
      </c>
      <c r="B1412" s="50" t="s">
        <v>3274</v>
      </c>
      <c r="D1412" s="51">
        <v>0</v>
      </c>
      <c r="E1412" s="50">
        <v>0</v>
      </c>
    </row>
    <row r="1413" spans="1:5" hidden="1" x14ac:dyDescent="0.3">
      <c r="A1413" s="50" t="s">
        <v>3273</v>
      </c>
      <c r="B1413" s="50" t="s">
        <v>3272</v>
      </c>
      <c r="D1413" s="51">
        <v>0</v>
      </c>
      <c r="E1413" s="50">
        <v>0</v>
      </c>
    </row>
    <row r="1414" spans="1:5" hidden="1" x14ac:dyDescent="0.3">
      <c r="A1414" s="50" t="s">
        <v>3271</v>
      </c>
      <c r="B1414" s="50" t="s">
        <v>3270</v>
      </c>
      <c r="C1414" s="50" t="s">
        <v>496</v>
      </c>
      <c r="D1414" s="51">
        <v>0</v>
      </c>
      <c r="E1414" s="50">
        <v>0</v>
      </c>
    </row>
    <row r="1415" spans="1:5" hidden="1" x14ac:dyDescent="0.3">
      <c r="A1415" s="50" t="s">
        <v>3269</v>
      </c>
      <c r="B1415" s="50" t="s">
        <v>3268</v>
      </c>
      <c r="C1415" s="50" t="s">
        <v>496</v>
      </c>
      <c r="D1415" s="51">
        <v>0</v>
      </c>
      <c r="E1415" s="50">
        <v>0</v>
      </c>
    </row>
    <row r="1416" spans="1:5" hidden="1" x14ac:dyDescent="0.3">
      <c r="A1416" s="50" t="s">
        <v>3267</v>
      </c>
      <c r="B1416" s="50" t="s">
        <v>3266</v>
      </c>
      <c r="C1416" s="50" t="s">
        <v>496</v>
      </c>
      <c r="D1416" s="51">
        <v>0</v>
      </c>
      <c r="E1416" s="50">
        <v>0</v>
      </c>
    </row>
    <row r="1417" spans="1:5" hidden="1" x14ac:dyDescent="0.3">
      <c r="A1417" s="50" t="s">
        <v>3265</v>
      </c>
      <c r="B1417" s="50" t="s">
        <v>3264</v>
      </c>
      <c r="C1417" s="50" t="s">
        <v>496</v>
      </c>
      <c r="D1417" s="51">
        <v>0</v>
      </c>
      <c r="E1417" s="50">
        <v>0</v>
      </c>
    </row>
    <row r="1418" spans="1:5" ht="43.2" hidden="1" x14ac:dyDescent="0.3">
      <c r="A1418" s="50" t="s">
        <v>3263</v>
      </c>
      <c r="B1418" s="50" t="s">
        <v>3262</v>
      </c>
      <c r="D1418" s="51">
        <v>0</v>
      </c>
      <c r="E1418" s="50">
        <v>0</v>
      </c>
    </row>
    <row r="1419" spans="1:5" ht="43.2" hidden="1" x14ac:dyDescent="0.3">
      <c r="A1419" s="50" t="s">
        <v>3261</v>
      </c>
      <c r="B1419" s="50" t="s">
        <v>3260</v>
      </c>
      <c r="D1419" s="51">
        <v>0</v>
      </c>
      <c r="E1419" s="50">
        <v>0</v>
      </c>
    </row>
    <row r="1420" spans="1:5" ht="43.2" hidden="1" x14ac:dyDescent="0.3">
      <c r="A1420" s="50" t="s">
        <v>3259</v>
      </c>
      <c r="B1420" s="50" t="s">
        <v>3258</v>
      </c>
      <c r="D1420" s="51">
        <v>0</v>
      </c>
      <c r="E1420" s="50">
        <v>0</v>
      </c>
    </row>
    <row r="1421" spans="1:5" hidden="1" x14ac:dyDescent="0.3">
      <c r="A1421" s="50" t="s">
        <v>3257</v>
      </c>
      <c r="B1421" s="50" t="s">
        <v>666</v>
      </c>
      <c r="D1421" s="51">
        <v>620</v>
      </c>
      <c r="E1421" s="50">
        <v>620</v>
      </c>
    </row>
    <row r="1422" spans="1:5" hidden="1" x14ac:dyDescent="0.3">
      <c r="A1422" s="50" t="s">
        <v>3193</v>
      </c>
      <c r="B1422" s="50" t="s">
        <v>3256</v>
      </c>
      <c r="C1422" s="50" t="s">
        <v>1165</v>
      </c>
      <c r="D1422" s="51">
        <v>0</v>
      </c>
      <c r="E1422" s="50">
        <v>0</v>
      </c>
    </row>
    <row r="1423" spans="1:5" ht="28.8" hidden="1" x14ac:dyDescent="0.3">
      <c r="A1423" s="50" t="s">
        <v>3255</v>
      </c>
      <c r="B1423" s="50" t="s">
        <v>3254</v>
      </c>
      <c r="D1423" s="51">
        <v>375.22</v>
      </c>
      <c r="E1423" s="50">
        <v>375.22</v>
      </c>
    </row>
    <row r="1424" spans="1:5" ht="28.8" hidden="1" x14ac:dyDescent="0.3">
      <c r="A1424" s="50" t="s">
        <v>3253</v>
      </c>
      <c r="B1424" s="50" t="s">
        <v>3251</v>
      </c>
      <c r="D1424" s="51">
        <v>0</v>
      </c>
      <c r="E1424" s="50">
        <v>0</v>
      </c>
    </row>
    <row r="1425" spans="1:5" ht="28.8" hidden="1" x14ac:dyDescent="0.3">
      <c r="A1425" s="50" t="s">
        <v>3252</v>
      </c>
      <c r="B1425" s="50" t="s">
        <v>3251</v>
      </c>
      <c r="D1425" s="51">
        <v>0</v>
      </c>
      <c r="E1425" s="50">
        <v>0</v>
      </c>
    </row>
    <row r="1426" spans="1:5" ht="28.8" hidden="1" x14ac:dyDescent="0.3">
      <c r="A1426" s="50" t="s">
        <v>3250</v>
      </c>
      <c r="B1426" s="50" t="s">
        <v>3249</v>
      </c>
      <c r="D1426" s="51">
        <v>0</v>
      </c>
      <c r="E1426" s="50">
        <v>0</v>
      </c>
    </row>
    <row r="1427" spans="1:5" ht="28.8" hidden="1" x14ac:dyDescent="0.3">
      <c r="A1427" s="50" t="s">
        <v>3248</v>
      </c>
      <c r="B1427" s="50" t="s">
        <v>3247</v>
      </c>
      <c r="D1427" s="51">
        <v>0</v>
      </c>
      <c r="E1427" s="50">
        <v>0</v>
      </c>
    </row>
    <row r="1428" spans="1:5" hidden="1" x14ac:dyDescent="0.3">
      <c r="A1428" s="50" t="s">
        <v>3246</v>
      </c>
      <c r="B1428" s="50" t="s">
        <v>3245</v>
      </c>
      <c r="C1428" s="50" t="s">
        <v>496</v>
      </c>
      <c r="D1428" s="51">
        <v>0</v>
      </c>
      <c r="E1428" s="50">
        <v>0</v>
      </c>
    </row>
    <row r="1429" spans="1:5" hidden="1" x14ac:dyDescent="0.3">
      <c r="A1429" s="50" t="s">
        <v>3244</v>
      </c>
      <c r="B1429" s="50" t="s">
        <v>3243</v>
      </c>
      <c r="D1429" s="51">
        <v>0</v>
      </c>
      <c r="E1429" s="50">
        <v>0</v>
      </c>
    </row>
    <row r="1430" spans="1:5" hidden="1" x14ac:dyDescent="0.3">
      <c r="A1430" s="50" t="s">
        <v>3242</v>
      </c>
      <c r="B1430" s="50" t="s">
        <v>3241</v>
      </c>
      <c r="D1430" s="51">
        <v>0</v>
      </c>
      <c r="E1430" s="50">
        <v>0</v>
      </c>
    </row>
    <row r="1431" spans="1:5" ht="28.8" hidden="1" x14ac:dyDescent="0.3">
      <c r="A1431" s="50" t="s">
        <v>420</v>
      </c>
      <c r="B1431" s="50" t="s">
        <v>421</v>
      </c>
      <c r="C1431" s="50" t="s">
        <v>680</v>
      </c>
      <c r="D1431" s="51">
        <v>6.6</v>
      </c>
      <c r="E1431" s="50">
        <v>6.6</v>
      </c>
    </row>
    <row r="1432" spans="1:5" ht="28.8" hidden="1" x14ac:dyDescent="0.3">
      <c r="A1432" s="50" t="s">
        <v>422</v>
      </c>
      <c r="B1432" s="50" t="s">
        <v>423</v>
      </c>
      <c r="C1432" s="50" t="s">
        <v>680</v>
      </c>
      <c r="D1432" s="51">
        <v>10.4</v>
      </c>
      <c r="E1432" s="50">
        <v>10.4</v>
      </c>
    </row>
    <row r="1433" spans="1:5" ht="28.8" hidden="1" x14ac:dyDescent="0.3">
      <c r="A1433" s="50" t="s">
        <v>424</v>
      </c>
      <c r="B1433" s="50" t="s">
        <v>425</v>
      </c>
      <c r="C1433" s="50" t="s">
        <v>680</v>
      </c>
      <c r="D1433" s="51">
        <v>13.36</v>
      </c>
      <c r="E1433" s="50">
        <v>13.36</v>
      </c>
    </row>
    <row r="1434" spans="1:5" ht="28.8" hidden="1" x14ac:dyDescent="0.3">
      <c r="A1434" s="50" t="s">
        <v>426</v>
      </c>
      <c r="B1434" s="50" t="s">
        <v>427</v>
      </c>
      <c r="C1434" s="50" t="s">
        <v>680</v>
      </c>
      <c r="D1434" s="51">
        <v>21.44</v>
      </c>
      <c r="E1434" s="50">
        <v>21.44</v>
      </c>
    </row>
    <row r="1435" spans="1:5" ht="28.8" hidden="1" x14ac:dyDescent="0.3">
      <c r="A1435" s="50" t="s">
        <v>3240</v>
      </c>
      <c r="B1435" s="50" t="s">
        <v>3239</v>
      </c>
      <c r="C1435" s="50" t="s">
        <v>680</v>
      </c>
      <c r="D1435" s="51">
        <v>27.65</v>
      </c>
      <c r="E1435" s="50">
        <v>27.65</v>
      </c>
    </row>
    <row r="1436" spans="1:5" hidden="1" x14ac:dyDescent="0.3">
      <c r="A1436" s="50" t="s">
        <v>3238</v>
      </c>
      <c r="B1436" s="50" t="s">
        <v>3237</v>
      </c>
      <c r="D1436" s="51">
        <v>0</v>
      </c>
      <c r="E1436" s="50">
        <v>0</v>
      </c>
    </row>
    <row r="1437" spans="1:5" hidden="1" x14ac:dyDescent="0.3">
      <c r="A1437" s="50" t="s">
        <v>3236</v>
      </c>
      <c r="B1437" s="50" t="s">
        <v>3235</v>
      </c>
      <c r="D1437" s="50" t="s">
        <v>3234</v>
      </c>
      <c r="E1437" s="50">
        <v>169.4</v>
      </c>
    </row>
    <row r="1438" spans="1:5" ht="28.8" hidden="1" x14ac:dyDescent="0.3">
      <c r="A1438" s="50" t="s">
        <v>3233</v>
      </c>
      <c r="B1438" s="50" t="s">
        <v>3232</v>
      </c>
      <c r="D1438" s="51">
        <v>172</v>
      </c>
      <c r="E1438" s="50">
        <v>172</v>
      </c>
    </row>
    <row r="1439" spans="1:5" ht="43.2" hidden="1" x14ac:dyDescent="0.3">
      <c r="A1439" s="50" t="s">
        <v>3231</v>
      </c>
      <c r="B1439" s="50" t="s">
        <v>3230</v>
      </c>
      <c r="D1439" s="51">
        <v>0</v>
      </c>
      <c r="E1439" s="50">
        <v>0</v>
      </c>
    </row>
    <row r="1440" spans="1:5" ht="43.2" hidden="1" x14ac:dyDescent="0.3">
      <c r="A1440" s="50" t="s">
        <v>3229</v>
      </c>
      <c r="B1440" s="50" t="s">
        <v>3228</v>
      </c>
      <c r="D1440" s="51">
        <v>0</v>
      </c>
      <c r="E1440" s="50">
        <v>0</v>
      </c>
    </row>
    <row r="1441" spans="1:5" ht="28.8" hidden="1" x14ac:dyDescent="0.3">
      <c r="A1441" s="50" t="s">
        <v>3227</v>
      </c>
      <c r="B1441" s="50" t="s">
        <v>3226</v>
      </c>
      <c r="D1441" s="51">
        <v>0</v>
      </c>
      <c r="E1441" s="50">
        <v>0</v>
      </c>
    </row>
    <row r="1442" spans="1:5" hidden="1" x14ac:dyDescent="0.3">
      <c r="A1442" s="50" t="s">
        <v>3225</v>
      </c>
      <c r="B1442" s="50" t="s">
        <v>3224</v>
      </c>
      <c r="D1442" s="51">
        <v>0</v>
      </c>
      <c r="E1442" s="50">
        <v>0</v>
      </c>
    </row>
    <row r="1443" spans="1:5" hidden="1" x14ac:dyDescent="0.3">
      <c r="A1443" s="50" t="s">
        <v>3223</v>
      </c>
      <c r="B1443" s="50" t="s">
        <v>3222</v>
      </c>
      <c r="D1443" s="51">
        <v>0</v>
      </c>
      <c r="E1443" s="50">
        <v>0</v>
      </c>
    </row>
    <row r="1444" spans="1:5" hidden="1" x14ac:dyDescent="0.3">
      <c r="A1444" s="50" t="s">
        <v>3221</v>
      </c>
      <c r="B1444" s="50" t="s">
        <v>3220</v>
      </c>
      <c r="D1444" s="51">
        <v>0</v>
      </c>
      <c r="E1444" s="50">
        <v>0</v>
      </c>
    </row>
    <row r="1445" spans="1:5" ht="28.8" hidden="1" x14ac:dyDescent="0.3">
      <c r="A1445" s="50" t="s">
        <v>3219</v>
      </c>
      <c r="B1445" s="50" t="s">
        <v>3218</v>
      </c>
      <c r="D1445" s="51">
        <v>0</v>
      </c>
      <c r="E1445" s="50">
        <v>0</v>
      </c>
    </row>
    <row r="1446" spans="1:5" ht="28.8" hidden="1" x14ac:dyDescent="0.3">
      <c r="A1446" s="50" t="s">
        <v>3217</v>
      </c>
      <c r="B1446" s="50" t="s">
        <v>3216</v>
      </c>
      <c r="D1446" s="51">
        <v>0</v>
      </c>
      <c r="E1446" s="50">
        <v>0</v>
      </c>
    </row>
    <row r="1447" spans="1:5" hidden="1" x14ac:dyDescent="0.3">
      <c r="A1447" s="50" t="s">
        <v>3215</v>
      </c>
      <c r="B1447" s="50" t="s">
        <v>3214</v>
      </c>
      <c r="D1447" s="51">
        <v>793.07</v>
      </c>
      <c r="E1447" s="50">
        <v>793.07</v>
      </c>
    </row>
    <row r="1448" spans="1:5" hidden="1" x14ac:dyDescent="0.3">
      <c r="A1448" s="50" t="s">
        <v>3213</v>
      </c>
      <c r="B1448" s="50" t="s">
        <v>3212</v>
      </c>
      <c r="D1448" s="51">
        <v>0</v>
      </c>
      <c r="E1448" s="50">
        <v>0</v>
      </c>
    </row>
    <row r="1449" spans="1:5" hidden="1" x14ac:dyDescent="0.3">
      <c r="A1449" s="50" t="s">
        <v>3211</v>
      </c>
      <c r="B1449" s="50" t="s">
        <v>3210</v>
      </c>
      <c r="D1449" s="50" t="s">
        <v>3209</v>
      </c>
      <c r="E1449" s="50">
        <v>14037.31</v>
      </c>
    </row>
    <row r="1450" spans="1:5" hidden="1" x14ac:dyDescent="0.3">
      <c r="A1450" s="50" t="s">
        <v>3208</v>
      </c>
      <c r="B1450" s="50" t="s">
        <v>3207</v>
      </c>
      <c r="D1450" s="51">
        <v>0</v>
      </c>
      <c r="E1450" s="50">
        <v>0</v>
      </c>
    </row>
    <row r="1451" spans="1:5" hidden="1" x14ac:dyDescent="0.3">
      <c r="A1451" s="50" t="s">
        <v>3206</v>
      </c>
      <c r="B1451" s="50" t="s">
        <v>3205</v>
      </c>
      <c r="D1451" s="51">
        <v>0</v>
      </c>
      <c r="E1451" s="50">
        <v>0</v>
      </c>
    </row>
    <row r="1452" spans="1:5" hidden="1" x14ac:dyDescent="0.3">
      <c r="A1452" s="50" t="s">
        <v>3204</v>
      </c>
      <c r="B1452" s="50" t="s">
        <v>3203</v>
      </c>
      <c r="D1452" s="51">
        <v>0</v>
      </c>
      <c r="E1452" s="50">
        <v>0</v>
      </c>
    </row>
    <row r="1453" spans="1:5" ht="28.8" hidden="1" x14ac:dyDescent="0.3">
      <c r="A1453" s="50" t="s">
        <v>3202</v>
      </c>
      <c r="B1453" s="50" t="s">
        <v>3201</v>
      </c>
      <c r="D1453" s="51">
        <v>0</v>
      </c>
      <c r="E1453" s="50">
        <v>0</v>
      </c>
    </row>
    <row r="1454" spans="1:5" hidden="1" x14ac:dyDescent="0.3">
      <c r="A1454" s="50" t="s">
        <v>3200</v>
      </c>
      <c r="B1454" s="50" t="s">
        <v>3199</v>
      </c>
      <c r="D1454" s="51">
        <v>0</v>
      </c>
      <c r="E1454" s="50">
        <v>0</v>
      </c>
    </row>
    <row r="1455" spans="1:5" hidden="1" x14ac:dyDescent="0.3">
      <c r="A1455" s="50" t="s">
        <v>3198</v>
      </c>
      <c r="B1455" s="50" t="s">
        <v>3197</v>
      </c>
      <c r="D1455" s="51">
        <v>0</v>
      </c>
      <c r="E1455" s="50">
        <v>0</v>
      </c>
    </row>
    <row r="1456" spans="1:5" ht="28.8" hidden="1" x14ac:dyDescent="0.3">
      <c r="A1456" s="50" t="s">
        <v>3196</v>
      </c>
      <c r="B1456" s="50" t="s">
        <v>3195</v>
      </c>
      <c r="D1456" s="51">
        <v>0</v>
      </c>
      <c r="E1456" s="50">
        <v>0</v>
      </c>
    </row>
    <row r="1457" spans="1:5" hidden="1" x14ac:dyDescent="0.3">
      <c r="A1457" s="50" t="s">
        <v>428</v>
      </c>
      <c r="B1457" s="50" t="s">
        <v>429</v>
      </c>
      <c r="D1457" s="51">
        <v>291.06</v>
      </c>
      <c r="E1457" s="50">
        <v>291.06</v>
      </c>
    </row>
    <row r="1458" spans="1:5" hidden="1" x14ac:dyDescent="0.3">
      <c r="A1458" s="50" t="s">
        <v>3194</v>
      </c>
      <c r="B1458" s="50" t="s">
        <v>3193</v>
      </c>
      <c r="D1458" s="51">
        <v>0</v>
      </c>
      <c r="E1458" s="50">
        <v>0</v>
      </c>
    </row>
    <row r="1459" spans="1:5" hidden="1" x14ac:dyDescent="0.3">
      <c r="A1459" s="50" t="s">
        <v>3192</v>
      </c>
      <c r="B1459" s="50" t="s">
        <v>3191</v>
      </c>
      <c r="D1459" s="51">
        <v>0</v>
      </c>
      <c r="E1459" s="50">
        <v>0</v>
      </c>
    </row>
    <row r="1460" spans="1:5" ht="28.8" hidden="1" x14ac:dyDescent="0.3">
      <c r="A1460" s="50" t="s">
        <v>3190</v>
      </c>
      <c r="B1460" s="50" t="s">
        <v>3189</v>
      </c>
      <c r="D1460" s="51">
        <v>0</v>
      </c>
      <c r="E1460" s="50">
        <v>0</v>
      </c>
    </row>
    <row r="1461" spans="1:5" ht="28.8" hidden="1" x14ac:dyDescent="0.3">
      <c r="A1461" s="50" t="s">
        <v>3188</v>
      </c>
      <c r="B1461" s="50" t="s">
        <v>3187</v>
      </c>
      <c r="D1461" s="50" t="s">
        <v>3186</v>
      </c>
      <c r="E1461" s="50">
        <v>4555.6499999999996</v>
      </c>
    </row>
    <row r="1462" spans="1:5" hidden="1" x14ac:dyDescent="0.3">
      <c r="A1462" s="50" t="s">
        <v>3185</v>
      </c>
      <c r="B1462" s="50" t="s">
        <v>3184</v>
      </c>
      <c r="D1462" s="51">
        <v>0</v>
      </c>
      <c r="E1462" s="50">
        <v>0</v>
      </c>
    </row>
    <row r="1463" spans="1:5" hidden="1" x14ac:dyDescent="0.3">
      <c r="A1463" s="50" t="s">
        <v>3183</v>
      </c>
      <c r="B1463" s="50" t="s">
        <v>3182</v>
      </c>
      <c r="D1463" s="51">
        <v>0</v>
      </c>
      <c r="E1463" s="50">
        <v>0</v>
      </c>
    </row>
    <row r="1464" spans="1:5" hidden="1" x14ac:dyDescent="0.3">
      <c r="A1464" s="50" t="s">
        <v>3181</v>
      </c>
      <c r="B1464" s="50" t="s">
        <v>3180</v>
      </c>
      <c r="D1464" s="51">
        <v>305</v>
      </c>
      <c r="E1464" s="50">
        <v>305</v>
      </c>
    </row>
    <row r="1465" spans="1:5" ht="28.8" hidden="1" x14ac:dyDescent="0.3">
      <c r="A1465" s="50" t="s">
        <v>3179</v>
      </c>
      <c r="B1465" s="50" t="s">
        <v>3178</v>
      </c>
      <c r="D1465" s="50" t="s">
        <v>3177</v>
      </c>
      <c r="E1465" s="50">
        <v>9480</v>
      </c>
    </row>
    <row r="1466" spans="1:5" hidden="1" x14ac:dyDescent="0.3">
      <c r="A1466" s="50" t="s">
        <v>3176</v>
      </c>
      <c r="B1466" s="50" t="s">
        <v>3175</v>
      </c>
      <c r="D1466" s="51">
        <v>75.599999999999994</v>
      </c>
      <c r="E1466" s="50">
        <v>75.599999999999994</v>
      </c>
    </row>
    <row r="1467" spans="1:5" hidden="1" x14ac:dyDescent="0.3">
      <c r="A1467" s="50" t="s">
        <v>3174</v>
      </c>
      <c r="B1467" s="50" t="s">
        <v>3173</v>
      </c>
      <c r="D1467" s="51">
        <v>0</v>
      </c>
      <c r="E1467" s="50">
        <v>0</v>
      </c>
    </row>
    <row r="1468" spans="1:5" ht="28.8" hidden="1" x14ac:dyDescent="0.3">
      <c r="A1468" s="50" t="s">
        <v>3172</v>
      </c>
      <c r="B1468" s="50" t="s">
        <v>3171</v>
      </c>
      <c r="D1468" s="51">
        <v>172</v>
      </c>
      <c r="E1468" s="50">
        <v>172</v>
      </c>
    </row>
    <row r="1469" spans="1:5" hidden="1" x14ac:dyDescent="0.3">
      <c r="A1469" s="50" t="s">
        <v>3170</v>
      </c>
      <c r="B1469" s="50" t="s">
        <v>3169</v>
      </c>
      <c r="C1469" s="50" t="s">
        <v>196</v>
      </c>
      <c r="D1469" s="51">
        <v>0</v>
      </c>
      <c r="E1469" s="50">
        <v>0</v>
      </c>
    </row>
    <row r="1470" spans="1:5" hidden="1" x14ac:dyDescent="0.3">
      <c r="A1470" s="50" t="s">
        <v>3168</v>
      </c>
      <c r="B1470" s="50" t="s">
        <v>3167</v>
      </c>
      <c r="D1470" s="51">
        <v>0</v>
      </c>
      <c r="E1470" s="50">
        <v>0</v>
      </c>
    </row>
    <row r="1471" spans="1:5" hidden="1" x14ac:dyDescent="0.3">
      <c r="A1471" s="50" t="s">
        <v>3166</v>
      </c>
      <c r="B1471" s="50" t="s">
        <v>3166</v>
      </c>
      <c r="D1471" s="51">
        <v>0</v>
      </c>
      <c r="E1471" s="50">
        <v>0</v>
      </c>
    </row>
    <row r="1472" spans="1:5" hidden="1" x14ac:dyDescent="0.3">
      <c r="A1472" s="50" t="s">
        <v>3165</v>
      </c>
      <c r="B1472" s="50" t="s">
        <v>3165</v>
      </c>
      <c r="D1472" s="51">
        <v>0</v>
      </c>
      <c r="E1472" s="50">
        <v>0</v>
      </c>
    </row>
    <row r="1473" spans="1:5" hidden="1" x14ac:dyDescent="0.3">
      <c r="A1473" s="50" t="s">
        <v>3164</v>
      </c>
      <c r="B1473" s="50" t="s">
        <v>1099</v>
      </c>
      <c r="D1473" s="51">
        <v>0</v>
      </c>
      <c r="E1473" s="50">
        <v>0</v>
      </c>
    </row>
    <row r="1474" spans="1:5" hidden="1" x14ac:dyDescent="0.3">
      <c r="A1474" s="50" t="s">
        <v>3163</v>
      </c>
      <c r="B1474" s="50" t="s">
        <v>3162</v>
      </c>
      <c r="D1474" s="51">
        <v>0</v>
      </c>
      <c r="E1474" s="50">
        <v>0</v>
      </c>
    </row>
    <row r="1475" spans="1:5" hidden="1" x14ac:dyDescent="0.3">
      <c r="A1475" s="50" t="s">
        <v>3161</v>
      </c>
      <c r="B1475" s="50" t="s">
        <v>3160</v>
      </c>
      <c r="D1475" s="51">
        <v>0</v>
      </c>
      <c r="E1475" s="50">
        <v>0</v>
      </c>
    </row>
    <row r="1476" spans="1:5" hidden="1" x14ac:dyDescent="0.3">
      <c r="A1476" s="50" t="s">
        <v>3159</v>
      </c>
      <c r="B1476" s="50" t="s">
        <v>3158</v>
      </c>
      <c r="D1476" s="51">
        <v>940.5</v>
      </c>
      <c r="E1476" s="50">
        <v>940.5</v>
      </c>
    </row>
    <row r="1477" spans="1:5" hidden="1" x14ac:dyDescent="0.3">
      <c r="A1477" s="50" t="s">
        <v>3157</v>
      </c>
      <c r="B1477" s="50" t="s">
        <v>3156</v>
      </c>
      <c r="D1477" s="51">
        <v>785</v>
      </c>
      <c r="E1477" s="50">
        <v>785</v>
      </c>
    </row>
    <row r="1478" spans="1:5" ht="28.8" hidden="1" x14ac:dyDescent="0.3">
      <c r="A1478" s="50" t="s">
        <v>3155</v>
      </c>
      <c r="B1478" s="50" t="s">
        <v>3154</v>
      </c>
      <c r="D1478" s="51">
        <v>276.43</v>
      </c>
      <c r="E1478" s="50">
        <v>276.43</v>
      </c>
    </row>
    <row r="1479" spans="1:5" hidden="1" x14ac:dyDescent="0.3">
      <c r="A1479" s="50" t="s">
        <v>3153</v>
      </c>
      <c r="B1479" s="50" t="s">
        <v>3152</v>
      </c>
      <c r="D1479" s="51">
        <v>0</v>
      </c>
      <c r="E1479" s="50">
        <v>0</v>
      </c>
    </row>
    <row r="1480" spans="1:5" hidden="1" x14ac:dyDescent="0.3">
      <c r="A1480" s="50" t="s">
        <v>3151</v>
      </c>
      <c r="B1480" s="50" t="s">
        <v>3150</v>
      </c>
      <c r="D1480" s="51">
        <v>0</v>
      </c>
      <c r="E1480" s="50">
        <v>0</v>
      </c>
    </row>
    <row r="1481" spans="1:5" ht="28.8" hidden="1" x14ac:dyDescent="0.3">
      <c r="A1481" s="50" t="s">
        <v>3149</v>
      </c>
      <c r="B1481" s="50" t="s">
        <v>3148</v>
      </c>
      <c r="D1481" s="50" t="s">
        <v>3147</v>
      </c>
      <c r="E1481" s="50">
        <v>35999</v>
      </c>
    </row>
    <row r="1482" spans="1:5" hidden="1" x14ac:dyDescent="0.3">
      <c r="A1482" s="50" t="s">
        <v>3146</v>
      </c>
      <c r="B1482" s="50" t="s">
        <v>3145</v>
      </c>
      <c r="D1482" s="51">
        <v>0</v>
      </c>
      <c r="E1482" s="50">
        <v>0</v>
      </c>
    </row>
    <row r="1483" spans="1:5" hidden="1" x14ac:dyDescent="0.3">
      <c r="A1483" s="50" t="s">
        <v>3144</v>
      </c>
      <c r="B1483" s="50" t="s">
        <v>3143</v>
      </c>
      <c r="C1483" s="50" t="s">
        <v>533</v>
      </c>
      <c r="D1483" s="51">
        <v>0</v>
      </c>
      <c r="E1483" s="50">
        <v>0</v>
      </c>
    </row>
    <row r="1484" spans="1:5" hidden="1" x14ac:dyDescent="0.3">
      <c r="A1484" s="50" t="s">
        <v>3142</v>
      </c>
      <c r="B1484" s="50" t="s">
        <v>3141</v>
      </c>
      <c r="C1484" s="50" t="s">
        <v>533</v>
      </c>
      <c r="D1484" s="51">
        <v>0</v>
      </c>
      <c r="E1484" s="50">
        <v>0</v>
      </c>
    </row>
    <row r="1485" spans="1:5" hidden="1" x14ac:dyDescent="0.3">
      <c r="A1485" s="50" t="s">
        <v>3140</v>
      </c>
      <c r="B1485" s="50" t="s">
        <v>3139</v>
      </c>
      <c r="C1485" s="50" t="s">
        <v>533</v>
      </c>
      <c r="D1485" s="51">
        <v>801.15</v>
      </c>
      <c r="E1485" s="50">
        <v>785.39</v>
      </c>
    </row>
    <row r="1486" spans="1:5" hidden="1" x14ac:dyDescent="0.3">
      <c r="A1486" s="50" t="s">
        <v>3138</v>
      </c>
      <c r="B1486" s="50" t="s">
        <v>3137</v>
      </c>
      <c r="C1486" s="50" t="s">
        <v>533</v>
      </c>
      <c r="D1486" s="50" t="s">
        <v>3136</v>
      </c>
      <c r="E1486" s="50">
        <v>1114.0899999999999</v>
      </c>
    </row>
    <row r="1487" spans="1:5" hidden="1" x14ac:dyDescent="0.3">
      <c r="A1487" s="50" t="s">
        <v>3135</v>
      </c>
      <c r="B1487" s="50" t="s">
        <v>3134</v>
      </c>
      <c r="C1487" s="50" t="s">
        <v>533</v>
      </c>
      <c r="D1487" s="50" t="s">
        <v>3133</v>
      </c>
      <c r="E1487" s="50">
        <v>1147.25</v>
      </c>
    </row>
    <row r="1488" spans="1:5" ht="28.8" hidden="1" x14ac:dyDescent="0.3">
      <c r="A1488" s="50" t="s">
        <v>3132</v>
      </c>
      <c r="B1488" s="50" t="s">
        <v>3131</v>
      </c>
      <c r="D1488" s="51">
        <v>0</v>
      </c>
      <c r="E1488" s="50">
        <v>0</v>
      </c>
    </row>
    <row r="1489" spans="1:5" ht="43.2" hidden="1" x14ac:dyDescent="0.3">
      <c r="A1489" s="50" t="s">
        <v>3130</v>
      </c>
      <c r="B1489" s="50" t="s">
        <v>3129</v>
      </c>
      <c r="C1489" s="50" t="s">
        <v>643</v>
      </c>
      <c r="D1489" s="50" t="s">
        <v>3128</v>
      </c>
      <c r="E1489" s="50">
        <v>1680</v>
      </c>
    </row>
    <row r="1490" spans="1:5" hidden="1" x14ac:dyDescent="0.3">
      <c r="A1490" s="50" t="s">
        <v>3127</v>
      </c>
      <c r="B1490" s="50" t="s">
        <v>3126</v>
      </c>
      <c r="D1490" s="50" t="s">
        <v>3125</v>
      </c>
      <c r="E1490" s="50">
        <v>3965.08</v>
      </c>
    </row>
    <row r="1491" spans="1:5" hidden="1" x14ac:dyDescent="0.3">
      <c r="A1491" s="50" t="s">
        <v>3124</v>
      </c>
      <c r="B1491" s="50" t="s">
        <v>3123</v>
      </c>
      <c r="D1491" s="50" t="s">
        <v>3122</v>
      </c>
      <c r="E1491" s="50">
        <v>49865.97</v>
      </c>
    </row>
    <row r="1492" spans="1:5" hidden="1" x14ac:dyDescent="0.3">
      <c r="A1492" s="50" t="s">
        <v>3121</v>
      </c>
      <c r="B1492" s="50" t="s">
        <v>3120</v>
      </c>
      <c r="D1492" s="50" t="s">
        <v>3119</v>
      </c>
      <c r="E1492" s="50">
        <v>45393.83</v>
      </c>
    </row>
    <row r="1493" spans="1:5" ht="28.8" hidden="1" x14ac:dyDescent="0.3">
      <c r="A1493" s="50" t="s">
        <v>3118</v>
      </c>
      <c r="B1493" s="50" t="s">
        <v>3117</v>
      </c>
      <c r="D1493" s="51">
        <v>0</v>
      </c>
      <c r="E1493" s="50">
        <v>62457.77</v>
      </c>
    </row>
    <row r="1494" spans="1:5" ht="28.8" hidden="1" x14ac:dyDescent="0.3">
      <c r="A1494" s="50" t="s">
        <v>3116</v>
      </c>
      <c r="B1494" s="50" t="s">
        <v>3115</v>
      </c>
      <c r="D1494" s="51">
        <v>0</v>
      </c>
      <c r="E1494" s="50">
        <v>0</v>
      </c>
    </row>
    <row r="1495" spans="1:5" hidden="1" x14ac:dyDescent="0.3">
      <c r="A1495" s="50" t="s">
        <v>3114</v>
      </c>
      <c r="B1495" s="50" t="s">
        <v>3113</v>
      </c>
      <c r="D1495" s="50" t="s">
        <v>3112</v>
      </c>
      <c r="E1495" s="50">
        <v>1761.17</v>
      </c>
    </row>
    <row r="1496" spans="1:5" hidden="1" x14ac:dyDescent="0.3">
      <c r="A1496" s="50" t="s">
        <v>3111</v>
      </c>
      <c r="B1496" s="50" t="s">
        <v>3110</v>
      </c>
      <c r="D1496" s="50" t="s">
        <v>3109</v>
      </c>
      <c r="E1496" s="50">
        <v>5122.46</v>
      </c>
    </row>
    <row r="1497" spans="1:5" ht="28.8" hidden="1" x14ac:dyDescent="0.3">
      <c r="A1497" s="50" t="s">
        <v>3108</v>
      </c>
      <c r="B1497" s="50" t="s">
        <v>3107</v>
      </c>
      <c r="D1497" s="51">
        <v>0</v>
      </c>
      <c r="E1497" s="50">
        <v>0</v>
      </c>
    </row>
    <row r="1498" spans="1:5" hidden="1" x14ac:dyDescent="0.3">
      <c r="A1498" s="50" t="s">
        <v>3106</v>
      </c>
      <c r="B1498" s="50" t="s">
        <v>3105</v>
      </c>
      <c r="D1498" s="51">
        <v>0</v>
      </c>
      <c r="E1498" s="50">
        <v>0</v>
      </c>
    </row>
    <row r="1499" spans="1:5" ht="28.8" hidden="1" x14ac:dyDescent="0.3">
      <c r="A1499" s="50" t="s">
        <v>3104</v>
      </c>
      <c r="B1499" s="50" t="s">
        <v>3103</v>
      </c>
      <c r="D1499" s="50" t="s">
        <v>3102</v>
      </c>
      <c r="E1499" s="50">
        <v>4900</v>
      </c>
    </row>
    <row r="1500" spans="1:5" ht="28.8" hidden="1" x14ac:dyDescent="0.3">
      <c r="A1500" s="50" t="s">
        <v>3101</v>
      </c>
      <c r="B1500" s="50" t="s">
        <v>3100</v>
      </c>
      <c r="D1500" s="51">
        <v>645</v>
      </c>
      <c r="E1500" s="50">
        <v>645</v>
      </c>
    </row>
    <row r="1501" spans="1:5" hidden="1" x14ac:dyDescent="0.3">
      <c r="A1501" s="50" t="s">
        <v>3099</v>
      </c>
      <c r="B1501" s="50" t="s">
        <v>3098</v>
      </c>
      <c r="D1501" s="51">
        <v>0</v>
      </c>
      <c r="E1501" s="50">
        <v>0</v>
      </c>
    </row>
    <row r="1502" spans="1:5" ht="28.8" hidden="1" x14ac:dyDescent="0.3">
      <c r="A1502" s="50" t="s">
        <v>3097</v>
      </c>
      <c r="B1502" s="50" t="s">
        <v>3096</v>
      </c>
      <c r="C1502" s="50" t="s">
        <v>196</v>
      </c>
      <c r="D1502" s="51">
        <v>0</v>
      </c>
      <c r="E1502" s="50">
        <v>0</v>
      </c>
    </row>
    <row r="1503" spans="1:5" ht="28.8" hidden="1" x14ac:dyDescent="0.3">
      <c r="A1503" s="50" t="s">
        <v>3095</v>
      </c>
      <c r="B1503" s="50" t="s">
        <v>3094</v>
      </c>
      <c r="C1503" s="50" t="s">
        <v>196</v>
      </c>
      <c r="D1503" s="50" t="s">
        <v>3093</v>
      </c>
      <c r="E1503" s="50">
        <v>13600</v>
      </c>
    </row>
    <row r="1504" spans="1:5" ht="28.8" hidden="1" x14ac:dyDescent="0.3">
      <c r="A1504" s="50" t="s">
        <v>3092</v>
      </c>
      <c r="B1504" s="50" t="s">
        <v>3091</v>
      </c>
      <c r="D1504" s="50" t="s">
        <v>3090</v>
      </c>
      <c r="E1504" s="50">
        <v>22673.9</v>
      </c>
    </row>
    <row r="1505" spans="1:5" hidden="1" x14ac:dyDescent="0.3">
      <c r="A1505" s="50" t="s">
        <v>3089</v>
      </c>
      <c r="B1505" s="50" t="s">
        <v>3088</v>
      </c>
      <c r="D1505" s="51">
        <v>81.45</v>
      </c>
      <c r="E1505" s="50">
        <v>81.45</v>
      </c>
    </row>
    <row r="1506" spans="1:5" ht="43.2" hidden="1" x14ac:dyDescent="0.3">
      <c r="A1506" s="50" t="s">
        <v>3087</v>
      </c>
      <c r="B1506" s="50" t="s">
        <v>3086</v>
      </c>
      <c r="D1506" s="51">
        <v>0</v>
      </c>
      <c r="E1506" s="50">
        <v>0</v>
      </c>
    </row>
    <row r="1507" spans="1:5" ht="43.2" hidden="1" x14ac:dyDescent="0.3">
      <c r="A1507" s="50" t="s">
        <v>3085</v>
      </c>
      <c r="B1507" s="50" t="s">
        <v>3084</v>
      </c>
      <c r="D1507" s="51">
        <v>0</v>
      </c>
      <c r="E1507" s="50">
        <v>0</v>
      </c>
    </row>
    <row r="1508" spans="1:5" ht="43.2" hidden="1" x14ac:dyDescent="0.3">
      <c r="A1508" s="50" t="s">
        <v>3083</v>
      </c>
      <c r="B1508" s="50" t="s">
        <v>3082</v>
      </c>
      <c r="D1508" s="50" t="s">
        <v>3081</v>
      </c>
      <c r="E1508" s="50">
        <v>18500</v>
      </c>
    </row>
    <row r="1509" spans="1:5" ht="28.8" hidden="1" x14ac:dyDescent="0.3">
      <c r="A1509" s="50" t="s">
        <v>3080</v>
      </c>
      <c r="B1509" s="50" t="s">
        <v>3079</v>
      </c>
      <c r="D1509" s="51">
        <v>0</v>
      </c>
      <c r="E1509" s="50">
        <v>0</v>
      </c>
    </row>
    <row r="1510" spans="1:5" ht="28.8" hidden="1" x14ac:dyDescent="0.3">
      <c r="A1510" s="50" t="s">
        <v>3078</v>
      </c>
      <c r="B1510" s="50" t="s">
        <v>3077</v>
      </c>
      <c r="D1510" s="51">
        <v>0</v>
      </c>
      <c r="E1510" s="50">
        <v>0</v>
      </c>
    </row>
    <row r="1511" spans="1:5" hidden="1" x14ac:dyDescent="0.3">
      <c r="A1511" s="50" t="s">
        <v>3076</v>
      </c>
      <c r="B1511" s="50" t="s">
        <v>3075</v>
      </c>
      <c r="D1511" s="51">
        <v>0</v>
      </c>
      <c r="E1511" s="50">
        <v>0</v>
      </c>
    </row>
    <row r="1512" spans="1:5" hidden="1" x14ac:dyDescent="0.3">
      <c r="A1512" s="50" t="s">
        <v>3074</v>
      </c>
      <c r="B1512" s="50" t="s">
        <v>3074</v>
      </c>
      <c r="D1512" s="50" t="s">
        <v>3073</v>
      </c>
      <c r="E1512" s="50">
        <v>9248</v>
      </c>
    </row>
    <row r="1513" spans="1:5" ht="28.8" hidden="1" x14ac:dyDescent="0.3">
      <c r="A1513" s="50" t="s">
        <v>3072</v>
      </c>
      <c r="B1513" s="50" t="s">
        <v>3071</v>
      </c>
      <c r="D1513" s="51">
        <v>0</v>
      </c>
      <c r="E1513" s="50">
        <v>0</v>
      </c>
    </row>
    <row r="1514" spans="1:5" ht="43.2" hidden="1" x14ac:dyDescent="0.3">
      <c r="A1514" s="50" t="s">
        <v>3070</v>
      </c>
      <c r="B1514" s="50" t="s">
        <v>3069</v>
      </c>
      <c r="D1514" s="50" t="s">
        <v>3068</v>
      </c>
      <c r="E1514" s="50">
        <v>12391</v>
      </c>
    </row>
    <row r="1515" spans="1:5" ht="43.2" hidden="1" x14ac:dyDescent="0.3">
      <c r="A1515" s="50" t="s">
        <v>3067</v>
      </c>
      <c r="B1515" s="50" t="s">
        <v>3066</v>
      </c>
      <c r="D1515" s="50" t="s">
        <v>3057</v>
      </c>
      <c r="E1515" s="50">
        <v>21973</v>
      </c>
    </row>
    <row r="1516" spans="1:5" ht="28.8" hidden="1" x14ac:dyDescent="0.3">
      <c r="A1516" s="50" t="s">
        <v>3065</v>
      </c>
      <c r="B1516" s="50" t="s">
        <v>3064</v>
      </c>
      <c r="D1516" s="51">
        <v>0</v>
      </c>
      <c r="E1516" s="50">
        <v>0</v>
      </c>
    </row>
    <row r="1517" spans="1:5" ht="28.8" hidden="1" x14ac:dyDescent="0.3">
      <c r="A1517" s="50" t="s">
        <v>3063</v>
      </c>
      <c r="B1517" s="50" t="s">
        <v>3062</v>
      </c>
      <c r="D1517" s="51">
        <v>0</v>
      </c>
      <c r="E1517" s="50">
        <v>0</v>
      </c>
    </row>
    <row r="1518" spans="1:5" ht="43.2" hidden="1" x14ac:dyDescent="0.3">
      <c r="A1518" s="50" t="s">
        <v>3061</v>
      </c>
      <c r="B1518" s="50" t="s">
        <v>3060</v>
      </c>
      <c r="D1518" s="50" t="s">
        <v>3057</v>
      </c>
      <c r="E1518" s="50">
        <v>21973</v>
      </c>
    </row>
    <row r="1519" spans="1:5" ht="43.2" hidden="1" x14ac:dyDescent="0.3">
      <c r="A1519" s="50" t="s">
        <v>3059</v>
      </c>
      <c r="B1519" s="50" t="s">
        <v>3058</v>
      </c>
      <c r="D1519" s="50" t="s">
        <v>3057</v>
      </c>
      <c r="E1519" s="50">
        <v>21973</v>
      </c>
    </row>
    <row r="1520" spans="1:5" ht="28.8" hidden="1" x14ac:dyDescent="0.3">
      <c r="A1520" s="50" t="s">
        <v>3056</v>
      </c>
      <c r="B1520" s="50" t="s">
        <v>3055</v>
      </c>
      <c r="D1520" s="51">
        <v>8.0399999999999991</v>
      </c>
      <c r="E1520" s="50">
        <v>8.0399999999999991</v>
      </c>
    </row>
    <row r="1521" spans="1:5" ht="28.8" hidden="1" x14ac:dyDescent="0.3">
      <c r="A1521" s="50" t="s">
        <v>3054</v>
      </c>
      <c r="B1521" s="50" t="s">
        <v>3053</v>
      </c>
      <c r="D1521" s="51">
        <v>0</v>
      </c>
      <c r="E1521" s="50">
        <v>0</v>
      </c>
    </row>
    <row r="1522" spans="1:5" ht="28.8" hidden="1" x14ac:dyDescent="0.3">
      <c r="A1522" s="50" t="s">
        <v>3052</v>
      </c>
      <c r="B1522" s="50" t="s">
        <v>3051</v>
      </c>
      <c r="D1522" s="50" t="s">
        <v>3050</v>
      </c>
      <c r="E1522" s="50">
        <v>9462.9599999999991</v>
      </c>
    </row>
    <row r="1523" spans="1:5" ht="28.8" hidden="1" x14ac:dyDescent="0.3">
      <c r="A1523" s="50" t="s">
        <v>3049</v>
      </c>
      <c r="B1523" s="50" t="s">
        <v>3048</v>
      </c>
      <c r="D1523" s="51">
        <v>4.7699999999999996</v>
      </c>
      <c r="E1523" s="50">
        <v>4.7699999999999996</v>
      </c>
    </row>
    <row r="1524" spans="1:5" hidden="1" x14ac:dyDescent="0.3">
      <c r="A1524" s="50" t="s">
        <v>3047</v>
      </c>
      <c r="B1524" s="50" t="s">
        <v>3046</v>
      </c>
      <c r="D1524" s="51">
        <v>0</v>
      </c>
      <c r="E1524" s="50">
        <v>0</v>
      </c>
    </row>
    <row r="1525" spans="1:5" hidden="1" x14ac:dyDescent="0.3">
      <c r="A1525" s="50" t="s">
        <v>3045</v>
      </c>
      <c r="B1525" s="50" t="s">
        <v>3044</v>
      </c>
      <c r="D1525" s="51">
        <v>0</v>
      </c>
      <c r="E1525" s="50">
        <v>0</v>
      </c>
    </row>
    <row r="1526" spans="1:5" ht="28.8" hidden="1" x14ac:dyDescent="0.3">
      <c r="A1526" s="50" t="s">
        <v>3043</v>
      </c>
      <c r="B1526" s="50" t="s">
        <v>3042</v>
      </c>
      <c r="D1526" s="51">
        <v>0</v>
      </c>
      <c r="E1526" s="50">
        <v>0</v>
      </c>
    </row>
    <row r="1527" spans="1:5" ht="43.2" hidden="1" x14ac:dyDescent="0.3">
      <c r="A1527" s="50" t="s">
        <v>3041</v>
      </c>
      <c r="B1527" s="50" t="s">
        <v>3040</v>
      </c>
      <c r="D1527" s="51">
        <v>0</v>
      </c>
      <c r="E1527" s="50">
        <v>0</v>
      </c>
    </row>
    <row r="1528" spans="1:5" hidden="1" x14ac:dyDescent="0.3">
      <c r="A1528" s="50" t="s">
        <v>3039</v>
      </c>
      <c r="B1528" s="50" t="s">
        <v>3038</v>
      </c>
      <c r="D1528" s="51">
        <v>48</v>
      </c>
      <c r="E1528" s="50">
        <v>48</v>
      </c>
    </row>
    <row r="1529" spans="1:5" ht="28.8" hidden="1" x14ac:dyDescent="0.3">
      <c r="A1529" s="50" t="s">
        <v>3037</v>
      </c>
      <c r="B1529" s="50" t="s">
        <v>3036</v>
      </c>
      <c r="D1529" s="50" t="s">
        <v>3035</v>
      </c>
      <c r="E1529" s="50">
        <v>5110.49</v>
      </c>
    </row>
    <row r="1530" spans="1:5" hidden="1" x14ac:dyDescent="0.3">
      <c r="A1530" s="50" t="s">
        <v>3034</v>
      </c>
      <c r="B1530" s="50" t="s">
        <v>3033</v>
      </c>
      <c r="D1530" s="51">
        <v>13.8</v>
      </c>
      <c r="E1530" s="50">
        <v>12.95</v>
      </c>
    </row>
    <row r="1531" spans="1:5" ht="43.2" hidden="1" x14ac:dyDescent="0.3">
      <c r="A1531" s="50" t="s">
        <v>3032</v>
      </c>
      <c r="B1531" s="50" t="s">
        <v>3031</v>
      </c>
      <c r="D1531" s="51">
        <v>0</v>
      </c>
      <c r="E1531" s="50">
        <v>0</v>
      </c>
    </row>
    <row r="1532" spans="1:5" hidden="1" x14ac:dyDescent="0.3">
      <c r="A1532" s="50" t="s">
        <v>3030</v>
      </c>
      <c r="B1532" s="50" t="s">
        <v>3029</v>
      </c>
      <c r="D1532" s="51">
        <v>73</v>
      </c>
      <c r="E1532" s="50">
        <v>73</v>
      </c>
    </row>
    <row r="1533" spans="1:5" ht="28.8" hidden="1" x14ac:dyDescent="0.3">
      <c r="A1533" s="50" t="s">
        <v>3028</v>
      </c>
      <c r="B1533" s="50" t="s">
        <v>3027</v>
      </c>
      <c r="D1533" s="50" t="s">
        <v>3026</v>
      </c>
      <c r="E1533" s="50">
        <v>735</v>
      </c>
    </row>
    <row r="1534" spans="1:5" hidden="1" x14ac:dyDescent="0.3">
      <c r="A1534" s="50" t="s">
        <v>3025</v>
      </c>
      <c r="B1534" s="50" t="s">
        <v>3024</v>
      </c>
      <c r="D1534" s="50" t="s">
        <v>3023</v>
      </c>
      <c r="E1534" s="50">
        <v>3280</v>
      </c>
    </row>
    <row r="1535" spans="1:5" ht="43.2" hidden="1" x14ac:dyDescent="0.3">
      <c r="A1535" s="50" t="e">
        <f>-GLF12.5-S</f>
        <v>#NAME?</v>
      </c>
      <c r="B1535" s="50" t="s">
        <v>3022</v>
      </c>
      <c r="D1535" s="50" t="s">
        <v>2951</v>
      </c>
      <c r="E1535" s="50">
        <v>6515.6</v>
      </c>
    </row>
    <row r="1536" spans="1:5" hidden="1" x14ac:dyDescent="0.3">
      <c r="A1536" s="50" t="s">
        <v>3021</v>
      </c>
      <c r="B1536" s="50" t="s">
        <v>3020</v>
      </c>
      <c r="D1536" s="50" t="s">
        <v>3019</v>
      </c>
      <c r="E1536" s="50">
        <v>1064.25</v>
      </c>
    </row>
    <row r="1537" spans="1:5" hidden="1" x14ac:dyDescent="0.3">
      <c r="A1537" s="50" t="s">
        <v>3018</v>
      </c>
      <c r="B1537" s="50" t="s">
        <v>3017</v>
      </c>
      <c r="D1537" s="51">
        <v>0</v>
      </c>
      <c r="E1537" s="50">
        <v>0</v>
      </c>
    </row>
    <row r="1538" spans="1:5" ht="28.8" hidden="1" x14ac:dyDescent="0.3">
      <c r="A1538" s="50" t="s">
        <v>3016</v>
      </c>
      <c r="B1538" s="50" t="s">
        <v>3015</v>
      </c>
      <c r="D1538" s="51">
        <v>450.75</v>
      </c>
      <c r="E1538" s="50">
        <v>450.75</v>
      </c>
    </row>
    <row r="1539" spans="1:5" ht="28.8" hidden="1" x14ac:dyDescent="0.3">
      <c r="A1539" s="50" t="s">
        <v>3014</v>
      </c>
      <c r="B1539" s="50" t="s">
        <v>3013</v>
      </c>
      <c r="C1539" s="50" t="s">
        <v>1165</v>
      </c>
      <c r="D1539" s="51">
        <v>503.25</v>
      </c>
      <c r="E1539" s="50">
        <v>503.25</v>
      </c>
    </row>
    <row r="1540" spans="1:5" ht="28.8" hidden="1" x14ac:dyDescent="0.3">
      <c r="A1540" s="50" t="s">
        <v>3012</v>
      </c>
      <c r="B1540" s="50" t="s">
        <v>3011</v>
      </c>
      <c r="D1540" s="51">
        <v>708</v>
      </c>
      <c r="E1540" s="50">
        <v>708</v>
      </c>
    </row>
    <row r="1541" spans="1:5" ht="28.8" hidden="1" x14ac:dyDescent="0.3">
      <c r="A1541" s="50" t="s">
        <v>3010</v>
      </c>
      <c r="B1541" s="50" t="s">
        <v>3009</v>
      </c>
      <c r="D1541" s="50" t="s">
        <v>3008</v>
      </c>
      <c r="E1541" s="50">
        <v>1304</v>
      </c>
    </row>
    <row r="1542" spans="1:5" ht="28.8" hidden="1" x14ac:dyDescent="0.3">
      <c r="A1542" s="50" t="s">
        <v>3007</v>
      </c>
      <c r="B1542" s="50" t="s">
        <v>3006</v>
      </c>
      <c r="D1542" s="51">
        <v>26.96</v>
      </c>
      <c r="E1542" s="50">
        <v>29.87</v>
      </c>
    </row>
    <row r="1543" spans="1:5" ht="28.8" hidden="1" x14ac:dyDescent="0.3">
      <c r="A1543" s="50" t="s">
        <v>3005</v>
      </c>
      <c r="B1543" s="50" t="s">
        <v>3004</v>
      </c>
      <c r="D1543" s="50" t="s">
        <v>3003</v>
      </c>
      <c r="E1543" s="50">
        <v>2672.7</v>
      </c>
    </row>
    <row r="1544" spans="1:5" ht="57.6" hidden="1" x14ac:dyDescent="0.3">
      <c r="A1544" s="50" t="s">
        <v>3002</v>
      </c>
      <c r="B1544" s="50" t="s">
        <v>3001</v>
      </c>
      <c r="D1544" s="51">
        <v>0</v>
      </c>
      <c r="E1544" s="50">
        <v>0</v>
      </c>
    </row>
    <row r="1545" spans="1:5" ht="57.6" hidden="1" x14ac:dyDescent="0.3">
      <c r="A1545" s="50" t="s">
        <v>3000</v>
      </c>
      <c r="B1545" s="50" t="s">
        <v>2999</v>
      </c>
      <c r="D1545" s="51">
        <v>0</v>
      </c>
      <c r="E1545" s="50">
        <v>0</v>
      </c>
    </row>
    <row r="1546" spans="1:5" ht="28.8" hidden="1" x14ac:dyDescent="0.3">
      <c r="A1546" s="50" t="s">
        <v>2998</v>
      </c>
      <c r="B1546" s="50" t="s">
        <v>2997</v>
      </c>
      <c r="D1546" s="51">
        <v>0</v>
      </c>
      <c r="E1546" s="50">
        <v>0</v>
      </c>
    </row>
    <row r="1547" spans="1:5" ht="43.2" hidden="1" x14ac:dyDescent="0.3">
      <c r="A1547" s="50" t="s">
        <v>2996</v>
      </c>
      <c r="B1547" s="50" t="s">
        <v>2995</v>
      </c>
      <c r="D1547" s="51">
        <v>0</v>
      </c>
      <c r="E1547" s="50">
        <v>0</v>
      </c>
    </row>
    <row r="1548" spans="1:5" ht="57.6" hidden="1" x14ac:dyDescent="0.3">
      <c r="A1548" s="50" t="s">
        <v>2994</v>
      </c>
      <c r="B1548" s="50" t="s">
        <v>2993</v>
      </c>
      <c r="D1548" s="51">
        <v>0</v>
      </c>
      <c r="E1548" s="50">
        <v>0</v>
      </c>
    </row>
    <row r="1549" spans="1:5" ht="28.8" hidden="1" x14ac:dyDescent="0.3">
      <c r="A1549" s="50" t="s">
        <v>2992</v>
      </c>
      <c r="B1549" s="50" t="s">
        <v>2991</v>
      </c>
      <c r="D1549" s="50" t="s">
        <v>2990</v>
      </c>
      <c r="E1549" s="50">
        <v>65293</v>
      </c>
    </row>
    <row r="1550" spans="1:5" hidden="1" x14ac:dyDescent="0.3">
      <c r="A1550" s="50" t="s">
        <v>2989</v>
      </c>
      <c r="B1550" s="50" t="s">
        <v>693</v>
      </c>
      <c r="D1550" s="51">
        <v>0</v>
      </c>
      <c r="E1550" s="50">
        <v>0</v>
      </c>
    </row>
    <row r="1551" spans="1:5" hidden="1" x14ac:dyDescent="0.3">
      <c r="A1551" s="50" t="s">
        <v>2988</v>
      </c>
      <c r="B1551" s="50" t="s">
        <v>2987</v>
      </c>
      <c r="D1551" s="51">
        <v>0</v>
      </c>
      <c r="E1551" s="50">
        <v>0</v>
      </c>
    </row>
    <row r="1552" spans="1:5" ht="28.8" hidden="1" x14ac:dyDescent="0.3">
      <c r="A1552" s="50" t="s">
        <v>2986</v>
      </c>
      <c r="B1552" s="50" t="s">
        <v>2985</v>
      </c>
      <c r="D1552" s="50" t="s">
        <v>2984</v>
      </c>
      <c r="E1552" s="50">
        <v>7532.2</v>
      </c>
    </row>
    <row r="1553" spans="1:5" ht="28.8" hidden="1" x14ac:dyDescent="0.3">
      <c r="A1553" s="50" t="s">
        <v>2983</v>
      </c>
      <c r="B1553" s="50" t="s">
        <v>2982</v>
      </c>
      <c r="C1553" s="50" t="s">
        <v>2298</v>
      </c>
      <c r="D1553" s="50" t="s">
        <v>2981</v>
      </c>
      <c r="E1553" s="50">
        <v>1880</v>
      </c>
    </row>
    <row r="1554" spans="1:5" hidden="1" x14ac:dyDescent="0.3">
      <c r="A1554" s="50" t="s">
        <v>2980</v>
      </c>
      <c r="B1554" s="50" t="s">
        <v>2979</v>
      </c>
      <c r="C1554" s="50" t="s">
        <v>654</v>
      </c>
      <c r="D1554" s="51">
        <v>0</v>
      </c>
      <c r="E1554" s="50">
        <v>0</v>
      </c>
    </row>
    <row r="1555" spans="1:5" hidden="1" x14ac:dyDescent="0.3">
      <c r="A1555" s="50" t="s">
        <v>2978</v>
      </c>
      <c r="B1555" s="50" t="s">
        <v>2977</v>
      </c>
      <c r="D1555" s="50" t="s">
        <v>2976</v>
      </c>
      <c r="E1555" s="50">
        <v>3171.49</v>
      </c>
    </row>
    <row r="1556" spans="1:5" ht="28.8" hidden="1" x14ac:dyDescent="0.3">
      <c r="A1556" s="50" t="s">
        <v>2975</v>
      </c>
      <c r="B1556" s="50" t="s">
        <v>2974</v>
      </c>
      <c r="D1556" s="51">
        <v>198</v>
      </c>
      <c r="E1556" s="50">
        <v>198</v>
      </c>
    </row>
    <row r="1557" spans="1:5" hidden="1" x14ac:dyDescent="0.3">
      <c r="A1557" s="50" t="s">
        <v>2973</v>
      </c>
      <c r="B1557" s="50" t="s">
        <v>2972</v>
      </c>
      <c r="D1557" s="51">
        <v>347.83</v>
      </c>
      <c r="E1557" s="50">
        <v>347.83</v>
      </c>
    </row>
    <row r="1558" spans="1:5" hidden="1" x14ac:dyDescent="0.3">
      <c r="A1558" s="50" t="s">
        <v>2971</v>
      </c>
      <c r="B1558" s="50" t="s">
        <v>2970</v>
      </c>
      <c r="D1558" s="51">
        <v>0</v>
      </c>
      <c r="E1558" s="50">
        <v>0</v>
      </c>
    </row>
    <row r="1559" spans="1:5" hidden="1" x14ac:dyDescent="0.3">
      <c r="A1559" s="50" t="s">
        <v>2969</v>
      </c>
      <c r="B1559" s="50" t="s">
        <v>2968</v>
      </c>
      <c r="D1559" s="51">
        <v>0</v>
      </c>
      <c r="E1559" s="50">
        <v>0</v>
      </c>
    </row>
    <row r="1560" spans="1:5" ht="28.8" hidden="1" x14ac:dyDescent="0.3">
      <c r="A1560" s="50" t="s">
        <v>2967</v>
      </c>
      <c r="B1560" s="50" t="s">
        <v>2751</v>
      </c>
      <c r="D1560" s="51">
        <v>0</v>
      </c>
      <c r="E1560" s="50">
        <v>0</v>
      </c>
    </row>
    <row r="1561" spans="1:5" ht="43.2" hidden="1" x14ac:dyDescent="0.3">
      <c r="A1561" s="50" t="s">
        <v>2966</v>
      </c>
      <c r="B1561" s="50" t="s">
        <v>2965</v>
      </c>
      <c r="D1561" s="51">
        <v>0</v>
      </c>
      <c r="E1561" s="50">
        <v>0</v>
      </c>
    </row>
    <row r="1562" spans="1:5" hidden="1" x14ac:dyDescent="0.3">
      <c r="A1562" s="50" t="s">
        <v>2964</v>
      </c>
      <c r="B1562" s="50" t="s">
        <v>2963</v>
      </c>
      <c r="D1562" s="51">
        <v>0</v>
      </c>
      <c r="E1562" s="50">
        <v>0</v>
      </c>
    </row>
    <row r="1563" spans="1:5" ht="43.2" hidden="1" x14ac:dyDescent="0.3">
      <c r="A1563" s="50" t="s">
        <v>2962</v>
      </c>
      <c r="B1563" s="50" t="s">
        <v>2961</v>
      </c>
      <c r="D1563" s="51">
        <v>0</v>
      </c>
      <c r="E1563" s="50">
        <v>0</v>
      </c>
    </row>
    <row r="1564" spans="1:5" ht="28.8" hidden="1" x14ac:dyDescent="0.3">
      <c r="A1564" s="50" t="s">
        <v>2960</v>
      </c>
      <c r="B1564" s="50" t="s">
        <v>2959</v>
      </c>
      <c r="D1564" s="50" t="s">
        <v>2958</v>
      </c>
      <c r="E1564" s="50">
        <v>28000</v>
      </c>
    </row>
    <row r="1565" spans="1:5" hidden="1" x14ac:dyDescent="0.3">
      <c r="A1565" s="50" t="s">
        <v>2957</v>
      </c>
      <c r="B1565" s="50" t="s">
        <v>2956</v>
      </c>
      <c r="D1565" s="51">
        <v>0</v>
      </c>
      <c r="E1565" s="50">
        <v>0</v>
      </c>
    </row>
    <row r="1566" spans="1:5" hidden="1" x14ac:dyDescent="0.3">
      <c r="A1566" s="50" t="s">
        <v>2955</v>
      </c>
      <c r="B1566" s="50" t="s">
        <v>2954</v>
      </c>
      <c r="D1566" s="51">
        <v>0</v>
      </c>
      <c r="E1566" s="50">
        <v>0</v>
      </c>
    </row>
    <row r="1567" spans="1:5" hidden="1" x14ac:dyDescent="0.3">
      <c r="A1567" s="50" t="s">
        <v>2953</v>
      </c>
      <c r="B1567" s="50" t="s">
        <v>2952</v>
      </c>
      <c r="D1567" s="50" t="s">
        <v>2951</v>
      </c>
      <c r="E1567" s="50">
        <v>6515.6</v>
      </c>
    </row>
    <row r="1568" spans="1:5" ht="28.8" hidden="1" x14ac:dyDescent="0.3">
      <c r="A1568" s="50" t="s">
        <v>2950</v>
      </c>
      <c r="B1568" s="50" t="s">
        <v>2949</v>
      </c>
      <c r="D1568" s="51">
        <v>0</v>
      </c>
      <c r="E1568" s="50">
        <v>0</v>
      </c>
    </row>
    <row r="1569" spans="1:5" hidden="1" x14ac:dyDescent="0.3">
      <c r="A1569" s="50" t="s">
        <v>2948</v>
      </c>
      <c r="B1569" s="50" t="s">
        <v>2947</v>
      </c>
      <c r="D1569" s="50" t="s">
        <v>2946</v>
      </c>
      <c r="E1569" s="50">
        <v>5395.5</v>
      </c>
    </row>
    <row r="1570" spans="1:5" hidden="1" x14ac:dyDescent="0.3">
      <c r="A1570" s="50" t="s">
        <v>2945</v>
      </c>
      <c r="B1570" s="50" t="s">
        <v>2944</v>
      </c>
      <c r="D1570" s="50" t="s">
        <v>2941</v>
      </c>
      <c r="E1570" s="50">
        <v>3799.6</v>
      </c>
    </row>
    <row r="1571" spans="1:5" hidden="1" x14ac:dyDescent="0.3">
      <c r="A1571" s="50" t="s">
        <v>2943</v>
      </c>
      <c r="B1571" s="50" t="s">
        <v>2942</v>
      </c>
      <c r="D1571" s="50" t="s">
        <v>2941</v>
      </c>
      <c r="E1571" s="50">
        <v>3799.6</v>
      </c>
    </row>
    <row r="1572" spans="1:5" hidden="1" x14ac:dyDescent="0.3">
      <c r="A1572" s="50" t="s">
        <v>2940</v>
      </c>
      <c r="B1572" s="50" t="s">
        <v>2939</v>
      </c>
      <c r="D1572" s="51">
        <v>0</v>
      </c>
      <c r="E1572" s="50">
        <v>0</v>
      </c>
    </row>
    <row r="1573" spans="1:5" hidden="1" x14ac:dyDescent="0.3">
      <c r="A1573" s="50" t="s">
        <v>2938</v>
      </c>
      <c r="B1573" s="50" t="s">
        <v>2937</v>
      </c>
      <c r="D1573" s="50" t="s">
        <v>2936</v>
      </c>
      <c r="E1573" s="50">
        <v>6021</v>
      </c>
    </row>
    <row r="1574" spans="1:5" hidden="1" x14ac:dyDescent="0.3">
      <c r="A1574" s="50" t="s">
        <v>2935</v>
      </c>
      <c r="B1574" s="50" t="s">
        <v>2934</v>
      </c>
      <c r="D1574" s="51">
        <v>0</v>
      </c>
      <c r="E1574" s="50">
        <v>0</v>
      </c>
    </row>
    <row r="1575" spans="1:5" hidden="1" x14ac:dyDescent="0.3">
      <c r="A1575" s="50" t="s">
        <v>2933</v>
      </c>
      <c r="B1575" s="50" t="s">
        <v>2932</v>
      </c>
      <c r="D1575" s="51">
        <v>0</v>
      </c>
      <c r="E1575" s="50">
        <v>0</v>
      </c>
    </row>
    <row r="1576" spans="1:5" hidden="1" x14ac:dyDescent="0.3">
      <c r="A1576" s="50" t="s">
        <v>2931</v>
      </c>
      <c r="B1576" s="50" t="s">
        <v>2930</v>
      </c>
      <c r="D1576" s="50" t="s">
        <v>2929</v>
      </c>
      <c r="E1576" s="50">
        <v>12024.8</v>
      </c>
    </row>
    <row r="1577" spans="1:5" hidden="1" x14ac:dyDescent="0.3">
      <c r="A1577" s="50" t="s">
        <v>2928</v>
      </c>
      <c r="B1577" s="50" t="s">
        <v>2927</v>
      </c>
      <c r="D1577" s="51">
        <v>0</v>
      </c>
      <c r="E1577" s="50">
        <v>0</v>
      </c>
    </row>
    <row r="1578" spans="1:5" hidden="1" x14ac:dyDescent="0.3">
      <c r="A1578" s="50" t="s">
        <v>2926</v>
      </c>
      <c r="B1578" s="50" t="s">
        <v>2925</v>
      </c>
      <c r="D1578" s="51">
        <v>0</v>
      </c>
      <c r="E1578" s="50">
        <v>0</v>
      </c>
    </row>
    <row r="1579" spans="1:5" hidden="1" x14ac:dyDescent="0.3">
      <c r="A1579" s="50" t="s">
        <v>2924</v>
      </c>
      <c r="B1579" s="50" t="s">
        <v>2924</v>
      </c>
      <c r="D1579" s="51">
        <v>0</v>
      </c>
      <c r="E1579" s="50">
        <v>0</v>
      </c>
    </row>
    <row r="1580" spans="1:5" hidden="1" x14ac:dyDescent="0.3">
      <c r="A1580" s="50" t="s">
        <v>2923</v>
      </c>
      <c r="B1580" s="50">
        <v>315</v>
      </c>
      <c r="D1580" s="51">
        <v>0</v>
      </c>
      <c r="E1580" s="50">
        <v>0</v>
      </c>
    </row>
    <row r="1581" spans="1:5" hidden="1" x14ac:dyDescent="0.3">
      <c r="A1581" s="50" t="s">
        <v>2922</v>
      </c>
      <c r="B1581" s="50" t="s">
        <v>2921</v>
      </c>
      <c r="D1581" s="50" t="s">
        <v>1118</v>
      </c>
      <c r="E1581" s="50">
        <v>1447.5</v>
      </c>
    </row>
    <row r="1582" spans="1:5" ht="28.8" hidden="1" x14ac:dyDescent="0.3">
      <c r="A1582" s="50" t="s">
        <v>2920</v>
      </c>
      <c r="B1582" s="50" t="s">
        <v>2919</v>
      </c>
      <c r="D1582" s="51">
        <v>664</v>
      </c>
      <c r="E1582" s="50">
        <v>433.36</v>
      </c>
    </row>
    <row r="1583" spans="1:5" hidden="1" x14ac:dyDescent="0.3">
      <c r="A1583" s="50" t="s">
        <v>2918</v>
      </c>
      <c r="B1583" s="50" t="s">
        <v>2917</v>
      </c>
      <c r="D1583" s="51">
        <v>498</v>
      </c>
      <c r="E1583" s="50">
        <v>498</v>
      </c>
    </row>
    <row r="1584" spans="1:5" hidden="1" x14ac:dyDescent="0.3">
      <c r="A1584" s="50" t="s">
        <v>2916</v>
      </c>
      <c r="B1584" s="50" t="s">
        <v>2915</v>
      </c>
      <c r="D1584" s="50" t="s">
        <v>2914</v>
      </c>
      <c r="E1584" s="50">
        <v>3599</v>
      </c>
    </row>
    <row r="1585" spans="1:5" hidden="1" x14ac:dyDescent="0.3">
      <c r="A1585" s="50" t="s">
        <v>2913</v>
      </c>
      <c r="B1585" s="50" t="s">
        <v>2912</v>
      </c>
      <c r="D1585" s="51">
        <v>850</v>
      </c>
      <c r="E1585" s="50">
        <v>850</v>
      </c>
    </row>
    <row r="1586" spans="1:5" ht="28.8" hidden="1" x14ac:dyDescent="0.3">
      <c r="A1586" s="50" t="s">
        <v>2911</v>
      </c>
      <c r="B1586" s="50" t="s">
        <v>2910</v>
      </c>
      <c r="D1586" s="51">
        <v>0</v>
      </c>
      <c r="E1586" s="50">
        <v>0</v>
      </c>
    </row>
    <row r="1587" spans="1:5" hidden="1" x14ac:dyDescent="0.3">
      <c r="A1587" s="50" t="s">
        <v>2909</v>
      </c>
      <c r="B1587" s="50" t="s">
        <v>2908</v>
      </c>
      <c r="D1587" s="51">
        <v>0</v>
      </c>
      <c r="E1587" s="50">
        <v>0</v>
      </c>
    </row>
    <row r="1588" spans="1:5" ht="43.2" hidden="1" x14ac:dyDescent="0.3">
      <c r="A1588" s="50" t="s">
        <v>2907</v>
      </c>
      <c r="B1588" s="50" t="s">
        <v>2906</v>
      </c>
      <c r="D1588" s="51">
        <v>0</v>
      </c>
      <c r="E1588" s="50">
        <v>0</v>
      </c>
    </row>
    <row r="1589" spans="1:5" ht="43.2" hidden="1" x14ac:dyDescent="0.3">
      <c r="A1589" s="50" t="s">
        <v>2905</v>
      </c>
      <c r="B1589" s="50" t="s">
        <v>2904</v>
      </c>
      <c r="D1589" s="50" t="s">
        <v>2836</v>
      </c>
      <c r="E1589" s="50">
        <v>2104.6999999999998</v>
      </c>
    </row>
    <row r="1590" spans="1:5" hidden="1" x14ac:dyDescent="0.3">
      <c r="A1590" s="50" t="s">
        <v>2903</v>
      </c>
      <c r="B1590" s="50" t="s">
        <v>2902</v>
      </c>
      <c r="D1590" s="50" t="s">
        <v>2901</v>
      </c>
      <c r="E1590" s="50">
        <v>7509.5</v>
      </c>
    </row>
    <row r="1591" spans="1:5" ht="28.8" hidden="1" x14ac:dyDescent="0.3">
      <c r="A1591" s="50" t="s">
        <v>2900</v>
      </c>
      <c r="B1591" s="50" t="s">
        <v>2899</v>
      </c>
      <c r="D1591" s="51">
        <v>782.25</v>
      </c>
      <c r="E1591" s="50">
        <v>782.25</v>
      </c>
    </row>
    <row r="1592" spans="1:5" ht="28.8" hidden="1" x14ac:dyDescent="0.3">
      <c r="A1592" s="50" t="s">
        <v>2898</v>
      </c>
      <c r="B1592" s="50" t="s">
        <v>2897</v>
      </c>
      <c r="D1592" s="50" t="s">
        <v>2870</v>
      </c>
      <c r="E1592" s="50">
        <v>1571.25</v>
      </c>
    </row>
    <row r="1593" spans="1:5" ht="28.8" hidden="1" x14ac:dyDescent="0.3">
      <c r="A1593" s="50" t="s">
        <v>2896</v>
      </c>
      <c r="B1593" s="50" t="s">
        <v>2895</v>
      </c>
      <c r="D1593" s="50" t="s">
        <v>2839</v>
      </c>
      <c r="E1593" s="50">
        <v>1164.75</v>
      </c>
    </row>
    <row r="1594" spans="1:5" ht="28.8" hidden="1" x14ac:dyDescent="0.3">
      <c r="A1594" s="50" t="s">
        <v>2894</v>
      </c>
      <c r="B1594" s="50" t="s">
        <v>2893</v>
      </c>
      <c r="D1594" s="51">
        <v>782.25</v>
      </c>
      <c r="E1594" s="50">
        <v>782.25</v>
      </c>
    </row>
    <row r="1595" spans="1:5" ht="28.8" hidden="1" x14ac:dyDescent="0.3">
      <c r="A1595" s="50" t="s">
        <v>2892</v>
      </c>
      <c r="B1595" s="50" t="s">
        <v>2891</v>
      </c>
      <c r="D1595" s="51">
        <v>782.25</v>
      </c>
      <c r="E1595" s="50">
        <v>858.75</v>
      </c>
    </row>
    <row r="1596" spans="1:5" ht="28.8" hidden="1" x14ac:dyDescent="0.3">
      <c r="A1596" s="50" t="s">
        <v>2890</v>
      </c>
      <c r="B1596" s="50" t="s">
        <v>2889</v>
      </c>
      <c r="D1596" s="51">
        <v>782.25</v>
      </c>
      <c r="E1596" s="50">
        <v>782.25</v>
      </c>
    </row>
    <row r="1597" spans="1:5" ht="28.8" hidden="1" x14ac:dyDescent="0.3">
      <c r="A1597" s="50" t="s">
        <v>2888</v>
      </c>
      <c r="B1597" s="50" t="s">
        <v>2887</v>
      </c>
      <c r="D1597" s="50" t="s">
        <v>2839</v>
      </c>
      <c r="E1597" s="50">
        <v>1164.75</v>
      </c>
    </row>
    <row r="1598" spans="1:5" ht="28.8" hidden="1" x14ac:dyDescent="0.3">
      <c r="A1598" s="50" t="s">
        <v>2886</v>
      </c>
      <c r="B1598" s="50" t="s">
        <v>2885</v>
      </c>
      <c r="D1598" s="51">
        <v>985.5</v>
      </c>
      <c r="E1598" s="50">
        <v>985.5</v>
      </c>
    </row>
    <row r="1599" spans="1:5" ht="28.8" hidden="1" x14ac:dyDescent="0.3">
      <c r="A1599" s="50" t="s">
        <v>2884</v>
      </c>
      <c r="B1599" s="50" t="s">
        <v>2883</v>
      </c>
      <c r="D1599" s="51">
        <v>985.5</v>
      </c>
      <c r="E1599" s="50">
        <v>985.5</v>
      </c>
    </row>
    <row r="1600" spans="1:5" ht="28.8" hidden="1" x14ac:dyDescent="0.3">
      <c r="A1600" s="50" t="s">
        <v>2882</v>
      </c>
      <c r="B1600" s="50" t="s">
        <v>2881</v>
      </c>
      <c r="D1600" s="51">
        <v>782.25</v>
      </c>
      <c r="E1600" s="50">
        <v>782.25</v>
      </c>
    </row>
    <row r="1601" spans="1:5" ht="28.8" hidden="1" x14ac:dyDescent="0.3">
      <c r="A1601" s="50" t="s">
        <v>2880</v>
      </c>
      <c r="B1601" s="50" t="s">
        <v>2879</v>
      </c>
      <c r="D1601" s="50" t="s">
        <v>2870</v>
      </c>
      <c r="E1601" s="50">
        <v>1571.25</v>
      </c>
    </row>
    <row r="1602" spans="1:5" ht="28.8" hidden="1" x14ac:dyDescent="0.3">
      <c r="A1602" s="50" t="s">
        <v>2878</v>
      </c>
      <c r="B1602" s="50" t="s">
        <v>2877</v>
      </c>
      <c r="D1602" s="51">
        <v>0</v>
      </c>
      <c r="E1602" s="50">
        <v>0</v>
      </c>
    </row>
    <row r="1603" spans="1:5" ht="28.8" hidden="1" x14ac:dyDescent="0.3">
      <c r="A1603" s="50" t="s">
        <v>2876</v>
      </c>
      <c r="B1603" s="50" t="s">
        <v>2875</v>
      </c>
      <c r="D1603" s="50" t="s">
        <v>2870</v>
      </c>
      <c r="E1603" s="50">
        <v>1571.25</v>
      </c>
    </row>
    <row r="1604" spans="1:5" ht="28.8" hidden="1" x14ac:dyDescent="0.3">
      <c r="A1604" s="50" t="s">
        <v>2874</v>
      </c>
      <c r="B1604" s="50" t="s">
        <v>2873</v>
      </c>
      <c r="D1604" s="50" t="s">
        <v>2870</v>
      </c>
      <c r="E1604" s="50">
        <v>1571.25</v>
      </c>
    </row>
    <row r="1605" spans="1:5" ht="28.8" hidden="1" x14ac:dyDescent="0.3">
      <c r="A1605" s="50" t="s">
        <v>2872</v>
      </c>
      <c r="B1605" s="50" t="s">
        <v>2871</v>
      </c>
      <c r="D1605" s="50" t="s">
        <v>2870</v>
      </c>
      <c r="E1605" s="50">
        <v>1571.25</v>
      </c>
    </row>
    <row r="1606" spans="1:5" ht="28.8" hidden="1" x14ac:dyDescent="0.3">
      <c r="A1606" s="50" t="s">
        <v>2869</v>
      </c>
      <c r="B1606" s="50" t="s">
        <v>2868</v>
      </c>
      <c r="D1606" s="50" t="s">
        <v>2842</v>
      </c>
      <c r="E1606" s="50">
        <v>1087.0999999999999</v>
      </c>
    </row>
    <row r="1607" spans="1:5" ht="28.8" hidden="1" x14ac:dyDescent="0.3">
      <c r="A1607" s="50" t="s">
        <v>2867</v>
      </c>
      <c r="B1607" s="50" t="s">
        <v>2866</v>
      </c>
      <c r="D1607" s="50" t="s">
        <v>2839</v>
      </c>
      <c r="E1607" s="50">
        <v>1164.75</v>
      </c>
    </row>
    <row r="1608" spans="1:5" ht="28.8" hidden="1" x14ac:dyDescent="0.3">
      <c r="A1608" s="50" t="s">
        <v>2865</v>
      </c>
      <c r="B1608" s="50" t="s">
        <v>2864</v>
      </c>
      <c r="D1608" s="50" t="s">
        <v>2819</v>
      </c>
      <c r="E1608" s="50">
        <v>1076.25</v>
      </c>
    </row>
    <row r="1609" spans="1:5" ht="28.8" hidden="1" x14ac:dyDescent="0.3">
      <c r="A1609" s="50" t="s">
        <v>2863</v>
      </c>
      <c r="B1609" s="50" t="s">
        <v>2862</v>
      </c>
      <c r="D1609" s="50" t="s">
        <v>2819</v>
      </c>
      <c r="E1609" s="50">
        <v>1076.25</v>
      </c>
    </row>
    <row r="1610" spans="1:5" ht="28.8" hidden="1" x14ac:dyDescent="0.3">
      <c r="A1610" s="50" t="s">
        <v>2861</v>
      </c>
      <c r="B1610" s="50" t="s">
        <v>2860</v>
      </c>
      <c r="D1610" s="51">
        <v>782.25</v>
      </c>
      <c r="E1610" s="50">
        <v>782.25</v>
      </c>
    </row>
    <row r="1611" spans="1:5" ht="28.8" hidden="1" x14ac:dyDescent="0.3">
      <c r="A1611" s="50" t="s">
        <v>2859</v>
      </c>
      <c r="B1611" s="50" t="s">
        <v>2858</v>
      </c>
      <c r="D1611" s="50" t="s">
        <v>2758</v>
      </c>
      <c r="E1611" s="50">
        <v>1517.75</v>
      </c>
    </row>
    <row r="1612" spans="1:5" ht="28.8" hidden="1" x14ac:dyDescent="0.3">
      <c r="A1612" s="50" t="s">
        <v>2857</v>
      </c>
      <c r="B1612" s="50" t="s">
        <v>2856</v>
      </c>
      <c r="D1612" s="50" t="s">
        <v>2855</v>
      </c>
      <c r="E1612" s="50">
        <v>1634.5</v>
      </c>
    </row>
    <row r="1613" spans="1:5" ht="28.8" hidden="1" x14ac:dyDescent="0.3">
      <c r="A1613" s="50" t="s">
        <v>2854</v>
      </c>
      <c r="B1613" s="50" t="s">
        <v>2853</v>
      </c>
      <c r="D1613" s="50" t="s">
        <v>2812</v>
      </c>
      <c r="E1613" s="50">
        <v>1751.25</v>
      </c>
    </row>
    <row r="1614" spans="1:5" ht="28.8" hidden="1" x14ac:dyDescent="0.3">
      <c r="A1614" s="50" t="s">
        <v>2852</v>
      </c>
      <c r="B1614" s="50" t="s">
        <v>2851</v>
      </c>
      <c r="D1614" s="50" t="s">
        <v>2812</v>
      </c>
      <c r="E1614" s="50">
        <v>1751.25</v>
      </c>
    </row>
    <row r="1615" spans="1:5" ht="43.2" hidden="1" x14ac:dyDescent="0.3">
      <c r="A1615" s="50" t="s">
        <v>2850</v>
      </c>
      <c r="B1615" s="50" t="s">
        <v>2849</v>
      </c>
      <c r="D1615" s="50" t="s">
        <v>2758</v>
      </c>
      <c r="E1615" s="50">
        <v>1517.75</v>
      </c>
    </row>
    <row r="1616" spans="1:5" ht="28.8" hidden="1" x14ac:dyDescent="0.3">
      <c r="A1616" s="50" t="s">
        <v>2848</v>
      </c>
      <c r="B1616" s="50" t="s">
        <v>2847</v>
      </c>
      <c r="D1616" s="50" t="s">
        <v>2812</v>
      </c>
      <c r="E1616" s="50">
        <v>1751.25</v>
      </c>
    </row>
    <row r="1617" spans="1:5" ht="28.8" hidden="1" x14ac:dyDescent="0.3">
      <c r="A1617" s="50" t="s">
        <v>2846</v>
      </c>
      <c r="B1617" s="50" t="s">
        <v>2845</v>
      </c>
      <c r="D1617" s="50" t="s">
        <v>2812</v>
      </c>
      <c r="E1617" s="50">
        <v>1751.25</v>
      </c>
    </row>
    <row r="1618" spans="1:5" ht="28.8" hidden="1" x14ac:dyDescent="0.3">
      <c r="A1618" s="50" t="s">
        <v>2844</v>
      </c>
      <c r="B1618" s="50" t="s">
        <v>2843</v>
      </c>
      <c r="D1618" s="50" t="s">
        <v>2842</v>
      </c>
      <c r="E1618" s="50">
        <v>1009.45</v>
      </c>
    </row>
    <row r="1619" spans="1:5" ht="28.8" hidden="1" x14ac:dyDescent="0.3">
      <c r="A1619" s="50" t="s">
        <v>2841</v>
      </c>
      <c r="B1619" s="50" t="s">
        <v>2840</v>
      </c>
      <c r="D1619" s="50" t="s">
        <v>2839</v>
      </c>
      <c r="E1619" s="50">
        <v>1164.75</v>
      </c>
    </row>
    <row r="1620" spans="1:5" ht="28.8" hidden="1" x14ac:dyDescent="0.3">
      <c r="A1620" s="50" t="s">
        <v>2838</v>
      </c>
      <c r="B1620" s="50" t="s">
        <v>2837</v>
      </c>
      <c r="D1620" s="50" t="s">
        <v>2836</v>
      </c>
      <c r="E1620" s="50">
        <v>2104.6999999999998</v>
      </c>
    </row>
    <row r="1621" spans="1:5" ht="28.8" hidden="1" x14ac:dyDescent="0.3">
      <c r="A1621" s="50" t="s">
        <v>2835</v>
      </c>
      <c r="B1621" s="50" t="s">
        <v>2834</v>
      </c>
      <c r="D1621" s="50" t="s">
        <v>2824</v>
      </c>
      <c r="E1621" s="50">
        <v>1860</v>
      </c>
    </row>
    <row r="1622" spans="1:5" ht="28.8" hidden="1" x14ac:dyDescent="0.3">
      <c r="A1622" s="50" t="s">
        <v>2833</v>
      </c>
      <c r="B1622" s="50" t="s">
        <v>2832</v>
      </c>
      <c r="D1622" s="50" t="s">
        <v>2758</v>
      </c>
      <c r="E1622" s="50">
        <v>1611.15</v>
      </c>
    </row>
    <row r="1623" spans="1:5" ht="28.8" hidden="1" x14ac:dyDescent="0.3">
      <c r="A1623" s="50" t="s">
        <v>2831</v>
      </c>
      <c r="B1623" s="50" t="s">
        <v>2830</v>
      </c>
      <c r="D1623" s="50" t="s">
        <v>2794</v>
      </c>
      <c r="E1623" s="50">
        <v>2086.5</v>
      </c>
    </row>
    <row r="1624" spans="1:5" ht="28.8" hidden="1" x14ac:dyDescent="0.3">
      <c r="A1624" s="50" t="s">
        <v>2829</v>
      </c>
      <c r="B1624" s="50" t="s">
        <v>2828</v>
      </c>
      <c r="D1624" s="50" t="s">
        <v>2827</v>
      </c>
      <c r="E1624" s="50">
        <v>2476.96</v>
      </c>
    </row>
    <row r="1625" spans="1:5" ht="28.8" hidden="1" x14ac:dyDescent="0.3">
      <c r="A1625" s="50" t="s">
        <v>2826</v>
      </c>
      <c r="B1625" s="50" t="s">
        <v>2825</v>
      </c>
      <c r="D1625" s="50" t="s">
        <v>2824</v>
      </c>
      <c r="E1625" s="50">
        <v>1860</v>
      </c>
    </row>
    <row r="1626" spans="1:5" ht="28.8" hidden="1" x14ac:dyDescent="0.3">
      <c r="A1626" s="50" t="s">
        <v>2823</v>
      </c>
      <c r="B1626" s="50" t="s">
        <v>2822</v>
      </c>
      <c r="D1626" s="50" t="s">
        <v>2812</v>
      </c>
      <c r="E1626" s="50">
        <v>1751.25</v>
      </c>
    </row>
    <row r="1627" spans="1:5" ht="28.8" hidden="1" x14ac:dyDescent="0.3">
      <c r="A1627" s="50" t="s">
        <v>2821</v>
      </c>
      <c r="B1627" s="50" t="s">
        <v>2820</v>
      </c>
      <c r="D1627" s="50" t="s">
        <v>2819</v>
      </c>
      <c r="E1627" s="50">
        <v>1076.25</v>
      </c>
    </row>
    <row r="1628" spans="1:5" ht="28.8" hidden="1" x14ac:dyDescent="0.3">
      <c r="A1628" s="50" t="s">
        <v>2818</v>
      </c>
      <c r="B1628" s="50" t="s">
        <v>2817</v>
      </c>
      <c r="D1628" s="51">
        <v>782.25</v>
      </c>
      <c r="E1628" s="50">
        <v>782.25</v>
      </c>
    </row>
    <row r="1629" spans="1:5" ht="28.8" hidden="1" x14ac:dyDescent="0.3">
      <c r="A1629" s="50" t="s">
        <v>2816</v>
      </c>
      <c r="B1629" s="50" t="s">
        <v>2815</v>
      </c>
      <c r="D1629" s="50" t="s">
        <v>2812</v>
      </c>
      <c r="E1629" s="50">
        <v>1751.25</v>
      </c>
    </row>
    <row r="1630" spans="1:5" ht="28.8" hidden="1" x14ac:dyDescent="0.3">
      <c r="A1630" s="50" t="s">
        <v>2814</v>
      </c>
      <c r="B1630" s="50" t="s">
        <v>2813</v>
      </c>
      <c r="D1630" s="50" t="s">
        <v>2812</v>
      </c>
      <c r="E1630" s="50">
        <v>1751.25</v>
      </c>
    </row>
    <row r="1631" spans="1:5" ht="28.8" hidden="1" x14ac:dyDescent="0.3">
      <c r="A1631" s="50" t="s">
        <v>2811</v>
      </c>
      <c r="B1631" s="50" t="s">
        <v>2810</v>
      </c>
      <c r="D1631" s="50" t="s">
        <v>2809</v>
      </c>
      <c r="E1631" s="50">
        <v>1324.5</v>
      </c>
    </row>
    <row r="1632" spans="1:5" ht="28.8" hidden="1" x14ac:dyDescent="0.3">
      <c r="A1632" s="50" t="s">
        <v>2808</v>
      </c>
      <c r="B1632" s="50" t="s">
        <v>2807</v>
      </c>
      <c r="D1632" s="50" t="s">
        <v>2753</v>
      </c>
      <c r="E1632" s="50">
        <v>2145.8200000000002</v>
      </c>
    </row>
    <row r="1633" spans="1:5" ht="28.8" hidden="1" x14ac:dyDescent="0.3">
      <c r="A1633" s="50" t="s">
        <v>2806</v>
      </c>
      <c r="B1633" s="50" t="s">
        <v>2805</v>
      </c>
      <c r="D1633" s="50" t="s">
        <v>2794</v>
      </c>
      <c r="E1633" s="50">
        <v>1736</v>
      </c>
    </row>
    <row r="1634" spans="1:5" ht="28.8" hidden="1" x14ac:dyDescent="0.3">
      <c r="A1634" s="50" t="s">
        <v>2804</v>
      </c>
      <c r="B1634" s="50" t="s">
        <v>2803</v>
      </c>
      <c r="D1634" s="50" t="s">
        <v>2800</v>
      </c>
      <c r="E1634" s="50">
        <v>1690</v>
      </c>
    </row>
    <row r="1635" spans="1:5" ht="28.8" hidden="1" x14ac:dyDescent="0.3">
      <c r="A1635" s="50" t="s">
        <v>2802</v>
      </c>
      <c r="B1635" s="50" t="s">
        <v>2801</v>
      </c>
      <c r="D1635" s="50" t="s">
        <v>2800</v>
      </c>
      <c r="E1635" s="50">
        <v>1774.5</v>
      </c>
    </row>
    <row r="1636" spans="1:5" ht="28.8" hidden="1" x14ac:dyDescent="0.3">
      <c r="A1636" s="50" t="s">
        <v>2799</v>
      </c>
      <c r="B1636" s="50" t="s">
        <v>2798</v>
      </c>
      <c r="D1636" s="50" t="s">
        <v>2797</v>
      </c>
      <c r="E1636" s="50">
        <v>1753.95</v>
      </c>
    </row>
    <row r="1637" spans="1:5" ht="28.8" hidden="1" x14ac:dyDescent="0.3">
      <c r="A1637" s="50" t="s">
        <v>2796</v>
      </c>
      <c r="B1637" s="50" t="s">
        <v>2795</v>
      </c>
      <c r="D1637" s="50" t="s">
        <v>2794</v>
      </c>
      <c r="E1637" s="50">
        <v>1612</v>
      </c>
    </row>
    <row r="1638" spans="1:5" ht="28.8" hidden="1" x14ac:dyDescent="0.3">
      <c r="A1638" s="50" t="s">
        <v>2793</v>
      </c>
      <c r="B1638" s="50" t="s">
        <v>2792</v>
      </c>
      <c r="D1638" s="50" t="s">
        <v>2791</v>
      </c>
      <c r="E1638" s="50">
        <v>2562</v>
      </c>
    </row>
    <row r="1639" spans="1:5" ht="28.8" hidden="1" x14ac:dyDescent="0.3">
      <c r="A1639" s="50" t="s">
        <v>2790</v>
      </c>
      <c r="B1639" s="50" t="s">
        <v>2789</v>
      </c>
      <c r="D1639" s="50" t="s">
        <v>2788</v>
      </c>
      <c r="E1639" s="50">
        <v>2505.75</v>
      </c>
    </row>
    <row r="1640" spans="1:5" ht="28.8" hidden="1" x14ac:dyDescent="0.3">
      <c r="A1640" s="50" t="s">
        <v>2787</v>
      </c>
      <c r="B1640" s="50" t="s">
        <v>2786</v>
      </c>
      <c r="D1640" s="50" t="s">
        <v>2785</v>
      </c>
      <c r="E1640" s="50">
        <v>2594.15</v>
      </c>
    </row>
    <row r="1641" spans="1:5" ht="28.8" hidden="1" x14ac:dyDescent="0.3">
      <c r="A1641" s="50" t="s">
        <v>2784</v>
      </c>
      <c r="B1641" s="50" t="s">
        <v>2783</v>
      </c>
      <c r="D1641" s="50" t="s">
        <v>2782</v>
      </c>
      <c r="E1641" s="50">
        <v>2993.25</v>
      </c>
    </row>
    <row r="1642" spans="1:5" ht="28.8" hidden="1" x14ac:dyDescent="0.3">
      <c r="A1642" s="50" t="s">
        <v>2781</v>
      </c>
      <c r="B1642" s="50" t="s">
        <v>2780</v>
      </c>
      <c r="D1642" s="51">
        <v>0</v>
      </c>
      <c r="E1642" s="50">
        <v>0</v>
      </c>
    </row>
    <row r="1643" spans="1:5" hidden="1" x14ac:dyDescent="0.3">
      <c r="A1643" s="50" t="s">
        <v>2779</v>
      </c>
      <c r="B1643" s="50" t="s">
        <v>2778</v>
      </c>
      <c r="D1643" s="50" t="s">
        <v>2767</v>
      </c>
      <c r="E1643" s="50">
        <v>1249</v>
      </c>
    </row>
    <row r="1644" spans="1:5" hidden="1" x14ac:dyDescent="0.3">
      <c r="A1644" s="50" t="s">
        <v>2777</v>
      </c>
      <c r="B1644" s="50" t="s">
        <v>2776</v>
      </c>
      <c r="D1644" s="50" t="s">
        <v>2767</v>
      </c>
      <c r="E1644" s="50">
        <v>1249</v>
      </c>
    </row>
    <row r="1645" spans="1:5" hidden="1" x14ac:dyDescent="0.3">
      <c r="A1645" s="50" t="s">
        <v>2775</v>
      </c>
      <c r="B1645" s="50" t="s">
        <v>2774</v>
      </c>
      <c r="D1645" s="50" t="s">
        <v>2773</v>
      </c>
      <c r="E1645" s="50">
        <v>3706.67</v>
      </c>
    </row>
    <row r="1646" spans="1:5" ht="28.8" hidden="1" x14ac:dyDescent="0.3">
      <c r="A1646" s="50" t="s">
        <v>2772</v>
      </c>
      <c r="B1646" s="50" t="s">
        <v>2771</v>
      </c>
      <c r="D1646" s="50" t="s">
        <v>2770</v>
      </c>
      <c r="E1646" s="50">
        <v>2287.33</v>
      </c>
    </row>
    <row r="1647" spans="1:5" hidden="1" x14ac:dyDescent="0.3">
      <c r="A1647" s="50" t="s">
        <v>2769</v>
      </c>
      <c r="B1647" s="50" t="s">
        <v>2768</v>
      </c>
      <c r="D1647" s="50" t="s">
        <v>2767</v>
      </c>
      <c r="E1647" s="50">
        <v>1249</v>
      </c>
    </row>
    <row r="1648" spans="1:5" ht="43.2" hidden="1" x14ac:dyDescent="0.3">
      <c r="A1648" s="50" t="s">
        <v>2766</v>
      </c>
      <c r="B1648" s="50" t="s">
        <v>2765</v>
      </c>
      <c r="D1648" s="50" t="s">
        <v>2758</v>
      </c>
      <c r="E1648" s="50">
        <v>1517.75</v>
      </c>
    </row>
    <row r="1649" spans="1:5" ht="43.2" hidden="1" x14ac:dyDescent="0.3">
      <c r="A1649" s="50" t="s">
        <v>2764</v>
      </c>
      <c r="B1649" s="50" t="s">
        <v>2763</v>
      </c>
      <c r="D1649" s="50" t="s">
        <v>2753</v>
      </c>
      <c r="E1649" s="50">
        <v>2323.75</v>
      </c>
    </row>
    <row r="1650" spans="1:5" ht="43.2" hidden="1" x14ac:dyDescent="0.3">
      <c r="A1650" s="50" t="s">
        <v>2762</v>
      </c>
      <c r="B1650" s="50" t="s">
        <v>2761</v>
      </c>
      <c r="D1650" s="50" t="s">
        <v>2758</v>
      </c>
      <c r="E1650" s="50">
        <v>1517.75</v>
      </c>
    </row>
    <row r="1651" spans="1:5" ht="43.2" hidden="1" x14ac:dyDescent="0.3">
      <c r="A1651" s="50" t="s">
        <v>2760</v>
      </c>
      <c r="B1651" s="50" t="s">
        <v>2759</v>
      </c>
      <c r="D1651" s="50" t="s">
        <v>2758</v>
      </c>
      <c r="E1651" s="50">
        <v>1517.75</v>
      </c>
    </row>
    <row r="1652" spans="1:5" ht="43.2" hidden="1" x14ac:dyDescent="0.3">
      <c r="A1652" s="50" t="s">
        <v>2757</v>
      </c>
      <c r="B1652" s="50" t="s">
        <v>2756</v>
      </c>
      <c r="D1652" s="50" t="s">
        <v>2753</v>
      </c>
      <c r="E1652" s="50">
        <v>2323.75</v>
      </c>
    </row>
    <row r="1653" spans="1:5" ht="43.2" hidden="1" x14ac:dyDescent="0.3">
      <c r="A1653" s="50" t="s">
        <v>2755</v>
      </c>
      <c r="B1653" s="50" t="s">
        <v>2754</v>
      </c>
      <c r="D1653" s="50" t="s">
        <v>2753</v>
      </c>
      <c r="E1653" s="50">
        <v>2323.75</v>
      </c>
    </row>
    <row r="1654" spans="1:5" ht="28.8" hidden="1" x14ac:dyDescent="0.3">
      <c r="A1654" s="50" t="s">
        <v>2752</v>
      </c>
      <c r="B1654" s="50" t="s">
        <v>2751</v>
      </c>
      <c r="D1654" s="51">
        <v>0</v>
      </c>
      <c r="E1654" s="50">
        <v>0</v>
      </c>
    </row>
    <row r="1655" spans="1:5" hidden="1" x14ac:dyDescent="0.3">
      <c r="A1655" s="50" t="s">
        <v>2750</v>
      </c>
      <c r="B1655" s="50" t="s">
        <v>2749</v>
      </c>
      <c r="D1655" s="51">
        <v>600</v>
      </c>
      <c r="E1655" s="50">
        <v>600</v>
      </c>
    </row>
    <row r="1656" spans="1:5" ht="28.8" hidden="1" x14ac:dyDescent="0.3">
      <c r="A1656" s="50" t="s">
        <v>2748</v>
      </c>
      <c r="B1656" s="50" t="s">
        <v>2747</v>
      </c>
      <c r="D1656" s="50" t="s">
        <v>2746</v>
      </c>
      <c r="E1656" s="50">
        <v>2955.79</v>
      </c>
    </row>
    <row r="1657" spans="1:5" hidden="1" x14ac:dyDescent="0.3">
      <c r="A1657" s="50" t="s">
        <v>2745</v>
      </c>
      <c r="B1657" s="50" t="s">
        <v>2744</v>
      </c>
      <c r="D1657" s="50" t="s">
        <v>2743</v>
      </c>
      <c r="E1657" s="50">
        <v>1600</v>
      </c>
    </row>
    <row r="1658" spans="1:5" hidden="1" x14ac:dyDescent="0.3">
      <c r="A1658" s="50" t="s">
        <v>2742</v>
      </c>
      <c r="B1658" s="50" t="s">
        <v>2741</v>
      </c>
      <c r="D1658" s="50" t="s">
        <v>2740</v>
      </c>
      <c r="E1658" s="50">
        <v>18956.52</v>
      </c>
    </row>
    <row r="1659" spans="1:5" hidden="1" x14ac:dyDescent="0.3">
      <c r="A1659" s="50" t="s">
        <v>2739</v>
      </c>
      <c r="B1659" s="50" t="s">
        <v>2738</v>
      </c>
      <c r="D1659" s="51">
        <v>0</v>
      </c>
      <c r="E1659" s="50">
        <v>0</v>
      </c>
    </row>
    <row r="1660" spans="1:5" hidden="1" x14ac:dyDescent="0.3">
      <c r="A1660" s="50" t="s">
        <v>2737</v>
      </c>
      <c r="B1660" s="50" t="s">
        <v>2736</v>
      </c>
      <c r="D1660" s="51">
        <v>0</v>
      </c>
      <c r="E1660" s="50">
        <v>0</v>
      </c>
    </row>
    <row r="1661" spans="1:5" hidden="1" x14ac:dyDescent="0.3">
      <c r="A1661" s="50" t="s">
        <v>2735</v>
      </c>
      <c r="B1661" s="50" t="s">
        <v>2734</v>
      </c>
      <c r="D1661" s="51">
        <v>0</v>
      </c>
      <c r="E1661" s="50">
        <v>0</v>
      </c>
    </row>
    <row r="1662" spans="1:5" hidden="1" x14ac:dyDescent="0.3">
      <c r="A1662" s="50" t="s">
        <v>2733</v>
      </c>
      <c r="B1662" s="50" t="s">
        <v>2732</v>
      </c>
      <c r="D1662" s="51">
        <v>0</v>
      </c>
      <c r="E1662" s="50">
        <v>0</v>
      </c>
    </row>
    <row r="1663" spans="1:5" hidden="1" x14ac:dyDescent="0.3">
      <c r="A1663" s="50" t="s">
        <v>2731</v>
      </c>
      <c r="B1663" s="50" t="s">
        <v>2730</v>
      </c>
      <c r="D1663" s="51">
        <v>0</v>
      </c>
      <c r="E1663" s="50">
        <v>0</v>
      </c>
    </row>
    <row r="1664" spans="1:5" ht="28.8" hidden="1" x14ac:dyDescent="0.3">
      <c r="A1664" s="50" t="s">
        <v>2729</v>
      </c>
      <c r="B1664" s="50" t="s">
        <v>2728</v>
      </c>
      <c r="D1664" s="50" t="s">
        <v>2727</v>
      </c>
      <c r="E1664" s="50">
        <v>74600</v>
      </c>
    </row>
    <row r="1665" spans="1:5" hidden="1" x14ac:dyDescent="0.3">
      <c r="A1665" s="50" t="s">
        <v>2726</v>
      </c>
      <c r="B1665" s="50" t="s">
        <v>2725</v>
      </c>
      <c r="D1665" s="51">
        <v>0</v>
      </c>
      <c r="E1665" s="50">
        <v>0</v>
      </c>
    </row>
    <row r="1666" spans="1:5" ht="28.8" hidden="1" x14ac:dyDescent="0.3">
      <c r="A1666" s="50" t="s">
        <v>2724</v>
      </c>
      <c r="B1666" s="50" t="s">
        <v>2723</v>
      </c>
      <c r="D1666" s="51">
        <v>0</v>
      </c>
      <c r="E1666" s="50">
        <v>0</v>
      </c>
    </row>
    <row r="1667" spans="1:5" hidden="1" x14ac:dyDescent="0.3">
      <c r="A1667" s="50" t="s">
        <v>2722</v>
      </c>
      <c r="B1667" s="50" t="s">
        <v>2721</v>
      </c>
      <c r="D1667" s="51">
        <v>0</v>
      </c>
      <c r="E1667" s="50">
        <v>0</v>
      </c>
    </row>
    <row r="1668" spans="1:5" ht="28.8" hidden="1" x14ac:dyDescent="0.3">
      <c r="A1668" s="50" t="s">
        <v>2720</v>
      </c>
      <c r="B1668" s="50" t="s">
        <v>2719</v>
      </c>
      <c r="D1668" s="50" t="s">
        <v>2718</v>
      </c>
      <c r="E1668" s="50">
        <v>23613.33</v>
      </c>
    </row>
    <row r="1669" spans="1:5" hidden="1" x14ac:dyDescent="0.3">
      <c r="A1669" s="50" t="s">
        <v>2717</v>
      </c>
      <c r="B1669" s="50" t="s">
        <v>2716</v>
      </c>
      <c r="D1669" s="51">
        <v>0</v>
      </c>
      <c r="E1669" s="50">
        <v>0</v>
      </c>
    </row>
    <row r="1670" spans="1:5" hidden="1" x14ac:dyDescent="0.3">
      <c r="A1670" s="50" t="s">
        <v>2715</v>
      </c>
      <c r="B1670" s="50" t="s">
        <v>2714</v>
      </c>
      <c r="C1670" s="50" t="s">
        <v>496</v>
      </c>
      <c r="D1670" s="51">
        <v>0</v>
      </c>
      <c r="E1670" s="50">
        <v>0</v>
      </c>
    </row>
    <row r="1671" spans="1:5" hidden="1" x14ac:dyDescent="0.3">
      <c r="A1671" s="50" t="s">
        <v>2713</v>
      </c>
      <c r="B1671" s="50" t="s">
        <v>2712</v>
      </c>
      <c r="C1671" s="50" t="s">
        <v>496</v>
      </c>
      <c r="D1671" s="51">
        <v>0</v>
      </c>
      <c r="E1671" s="50">
        <v>0</v>
      </c>
    </row>
    <row r="1672" spans="1:5" hidden="1" x14ac:dyDescent="0.3">
      <c r="A1672" s="50" t="s">
        <v>2711</v>
      </c>
      <c r="B1672" s="50" t="s">
        <v>2710</v>
      </c>
      <c r="C1672" s="50" t="s">
        <v>496</v>
      </c>
      <c r="D1672" s="51">
        <v>0</v>
      </c>
      <c r="E1672" s="50">
        <v>0</v>
      </c>
    </row>
    <row r="1673" spans="1:5" hidden="1" x14ac:dyDescent="0.3">
      <c r="A1673" s="50" t="s">
        <v>2709</v>
      </c>
      <c r="B1673" s="50" t="s">
        <v>2708</v>
      </c>
      <c r="C1673" s="50" t="s">
        <v>496</v>
      </c>
      <c r="D1673" s="51">
        <v>0</v>
      </c>
      <c r="E1673" s="50">
        <v>0</v>
      </c>
    </row>
    <row r="1674" spans="1:5" hidden="1" x14ac:dyDescent="0.3">
      <c r="A1674" s="50" t="s">
        <v>2707</v>
      </c>
      <c r="B1674" s="50" t="s">
        <v>2706</v>
      </c>
      <c r="C1674" s="50" t="s">
        <v>496</v>
      </c>
      <c r="D1674" s="51">
        <v>0</v>
      </c>
      <c r="E1674" s="50">
        <v>0</v>
      </c>
    </row>
    <row r="1675" spans="1:5" hidden="1" x14ac:dyDescent="0.3">
      <c r="A1675" s="50" t="s">
        <v>2705</v>
      </c>
      <c r="B1675" s="50" t="s">
        <v>2704</v>
      </c>
      <c r="C1675" s="50" t="s">
        <v>496</v>
      </c>
      <c r="D1675" s="51">
        <v>0</v>
      </c>
      <c r="E1675" s="50">
        <v>0</v>
      </c>
    </row>
    <row r="1676" spans="1:5" hidden="1" x14ac:dyDescent="0.3">
      <c r="A1676" s="50" t="s">
        <v>2703</v>
      </c>
      <c r="B1676" s="50" t="s">
        <v>2702</v>
      </c>
      <c r="C1676" s="50" t="s">
        <v>496</v>
      </c>
      <c r="D1676" s="51">
        <v>0</v>
      </c>
      <c r="E1676" s="50">
        <v>0</v>
      </c>
    </row>
    <row r="1677" spans="1:5" hidden="1" x14ac:dyDescent="0.3">
      <c r="A1677" s="50" t="s">
        <v>2701</v>
      </c>
      <c r="B1677" s="50" t="s">
        <v>2700</v>
      </c>
      <c r="C1677" s="50" t="s">
        <v>496</v>
      </c>
      <c r="D1677" s="51">
        <v>0</v>
      </c>
      <c r="E1677" s="50">
        <v>0</v>
      </c>
    </row>
    <row r="1678" spans="1:5" hidden="1" x14ac:dyDescent="0.3">
      <c r="A1678" s="50" t="s">
        <v>2699</v>
      </c>
      <c r="B1678" s="50" t="s">
        <v>2698</v>
      </c>
      <c r="C1678" s="50" t="s">
        <v>496</v>
      </c>
      <c r="D1678" s="51">
        <v>0</v>
      </c>
      <c r="E1678" s="50">
        <v>0</v>
      </c>
    </row>
    <row r="1679" spans="1:5" hidden="1" x14ac:dyDescent="0.3">
      <c r="A1679" s="50" t="s">
        <v>2697</v>
      </c>
      <c r="B1679" s="50" t="s">
        <v>2696</v>
      </c>
      <c r="C1679" s="50" t="s">
        <v>496</v>
      </c>
      <c r="D1679" s="51">
        <v>0</v>
      </c>
      <c r="E1679" s="50">
        <v>0</v>
      </c>
    </row>
    <row r="1680" spans="1:5" ht="28.8" hidden="1" x14ac:dyDescent="0.3">
      <c r="A1680" s="50" t="s">
        <v>2695</v>
      </c>
      <c r="B1680" s="50" t="s">
        <v>2694</v>
      </c>
      <c r="D1680" s="50" t="s">
        <v>2693</v>
      </c>
      <c r="E1680" s="50">
        <v>4750</v>
      </c>
    </row>
    <row r="1681" spans="1:5" ht="28.8" hidden="1" x14ac:dyDescent="0.3">
      <c r="A1681" s="50" t="s">
        <v>2692</v>
      </c>
      <c r="B1681" s="50" t="s">
        <v>2691</v>
      </c>
      <c r="D1681" s="51">
        <v>0</v>
      </c>
      <c r="E1681" s="50">
        <v>0</v>
      </c>
    </row>
    <row r="1682" spans="1:5" ht="28.8" hidden="1" x14ac:dyDescent="0.3">
      <c r="A1682" s="50" t="s">
        <v>2690</v>
      </c>
      <c r="B1682" s="50" t="s">
        <v>2689</v>
      </c>
      <c r="D1682" s="51">
        <v>0</v>
      </c>
      <c r="E1682" s="50">
        <v>0</v>
      </c>
    </row>
    <row r="1683" spans="1:5" ht="28.8" hidden="1" x14ac:dyDescent="0.3">
      <c r="A1683" s="50" t="s">
        <v>2688</v>
      </c>
      <c r="B1683" s="50" t="s">
        <v>2687</v>
      </c>
      <c r="D1683" s="51">
        <v>0</v>
      </c>
      <c r="E1683" s="50">
        <v>0</v>
      </c>
    </row>
    <row r="1684" spans="1:5" ht="28.8" hidden="1" x14ac:dyDescent="0.3">
      <c r="A1684" s="50" t="s">
        <v>2686</v>
      </c>
      <c r="B1684" s="50" t="s">
        <v>2685</v>
      </c>
      <c r="D1684" s="51">
        <v>0</v>
      </c>
      <c r="E1684" s="50">
        <v>0</v>
      </c>
    </row>
    <row r="1685" spans="1:5" hidden="1" x14ac:dyDescent="0.3">
      <c r="A1685" s="50" t="s">
        <v>2684</v>
      </c>
      <c r="B1685" s="50" t="s">
        <v>2683</v>
      </c>
      <c r="D1685" s="51">
        <v>0</v>
      </c>
      <c r="E1685" s="50">
        <v>0</v>
      </c>
    </row>
    <row r="1686" spans="1:5" ht="43.2" hidden="1" x14ac:dyDescent="0.3">
      <c r="A1686" s="50" t="s">
        <v>2682</v>
      </c>
      <c r="B1686" s="50" t="s">
        <v>2681</v>
      </c>
      <c r="D1686" s="51">
        <v>931.76</v>
      </c>
      <c r="E1686" s="50">
        <v>931.76</v>
      </c>
    </row>
    <row r="1687" spans="1:5" ht="43.2" hidden="1" x14ac:dyDescent="0.3">
      <c r="A1687" s="50" t="s">
        <v>2680</v>
      </c>
      <c r="B1687" s="50" t="s">
        <v>2679</v>
      </c>
      <c r="D1687" s="51">
        <v>931.76</v>
      </c>
      <c r="E1687" s="50">
        <v>931.76</v>
      </c>
    </row>
    <row r="1688" spans="1:5" ht="43.2" hidden="1" x14ac:dyDescent="0.3">
      <c r="A1688" s="50" t="s">
        <v>2678</v>
      </c>
      <c r="B1688" s="50" t="s">
        <v>1175</v>
      </c>
      <c r="C1688" s="50" t="s">
        <v>1174</v>
      </c>
      <c r="D1688" s="51">
        <v>592.63</v>
      </c>
      <c r="E1688" s="50">
        <v>592.64</v>
      </c>
    </row>
    <row r="1689" spans="1:5" ht="43.2" hidden="1" x14ac:dyDescent="0.3">
      <c r="A1689" s="50" t="s">
        <v>2677</v>
      </c>
      <c r="B1689" s="50" t="s">
        <v>2676</v>
      </c>
      <c r="C1689" s="50" t="s">
        <v>1174</v>
      </c>
      <c r="D1689" s="51">
        <v>592.63</v>
      </c>
      <c r="E1689" s="50">
        <v>592.63</v>
      </c>
    </row>
    <row r="1690" spans="1:5" hidden="1" x14ac:dyDescent="0.3">
      <c r="A1690" s="50" t="s">
        <v>2675</v>
      </c>
      <c r="B1690" s="50" t="s">
        <v>2674</v>
      </c>
      <c r="C1690" s="50" t="s">
        <v>496</v>
      </c>
      <c r="D1690" s="50" t="s">
        <v>2673</v>
      </c>
      <c r="E1690" s="50">
        <v>8234.75</v>
      </c>
    </row>
    <row r="1691" spans="1:5" hidden="1" x14ac:dyDescent="0.3">
      <c r="A1691" s="50" t="s">
        <v>2672</v>
      </c>
      <c r="B1691" s="50" t="s">
        <v>2671</v>
      </c>
      <c r="C1691" s="50" t="s">
        <v>496</v>
      </c>
      <c r="D1691" s="51">
        <v>0</v>
      </c>
      <c r="E1691" s="50">
        <v>0</v>
      </c>
    </row>
    <row r="1692" spans="1:5" hidden="1" x14ac:dyDescent="0.3">
      <c r="A1692" s="50" t="s">
        <v>2670</v>
      </c>
      <c r="B1692" s="50" t="s">
        <v>2669</v>
      </c>
      <c r="C1692" s="50" t="s">
        <v>496</v>
      </c>
      <c r="D1692" s="50" t="s">
        <v>2668</v>
      </c>
      <c r="E1692" s="50">
        <v>10200.65</v>
      </c>
    </row>
    <row r="1693" spans="1:5" hidden="1" x14ac:dyDescent="0.3">
      <c r="A1693" s="50" t="s">
        <v>2667</v>
      </c>
      <c r="B1693" s="50" t="s">
        <v>2666</v>
      </c>
      <c r="C1693" s="50" t="s">
        <v>496</v>
      </c>
      <c r="D1693" s="51">
        <v>0</v>
      </c>
      <c r="E1693" s="50">
        <v>0</v>
      </c>
    </row>
    <row r="1694" spans="1:5" hidden="1" x14ac:dyDescent="0.3">
      <c r="A1694" s="50" t="s">
        <v>2665</v>
      </c>
      <c r="B1694" s="50" t="s">
        <v>2664</v>
      </c>
      <c r="C1694" s="50" t="s">
        <v>496</v>
      </c>
      <c r="D1694" s="50" t="s">
        <v>2663</v>
      </c>
      <c r="E1694" s="50">
        <v>10609.51</v>
      </c>
    </row>
    <row r="1695" spans="1:5" hidden="1" x14ac:dyDescent="0.3">
      <c r="A1695" s="50" t="s">
        <v>2662</v>
      </c>
      <c r="B1695" s="50" t="s">
        <v>2661</v>
      </c>
      <c r="C1695" s="50" t="s">
        <v>496</v>
      </c>
      <c r="D1695" s="51">
        <v>0</v>
      </c>
      <c r="E1695" s="50">
        <v>0</v>
      </c>
    </row>
    <row r="1696" spans="1:5" ht="28.8" hidden="1" x14ac:dyDescent="0.3">
      <c r="A1696" s="50" t="s">
        <v>2660</v>
      </c>
      <c r="B1696" s="50" t="s">
        <v>2659</v>
      </c>
      <c r="D1696" s="51">
        <v>194.15</v>
      </c>
      <c r="E1696" s="50">
        <v>194.15</v>
      </c>
    </row>
    <row r="1697" spans="1:5" ht="28.8" hidden="1" x14ac:dyDescent="0.3">
      <c r="A1697" s="50" t="s">
        <v>2658</v>
      </c>
      <c r="B1697" s="50" t="s">
        <v>2657</v>
      </c>
      <c r="C1697" s="50" t="s">
        <v>1174</v>
      </c>
      <c r="D1697" s="51">
        <v>194.15</v>
      </c>
      <c r="E1697" s="50">
        <v>194.15</v>
      </c>
    </row>
    <row r="1698" spans="1:5" ht="43.2" hidden="1" x14ac:dyDescent="0.3">
      <c r="A1698" s="50" t="s">
        <v>2656</v>
      </c>
      <c r="B1698" s="50" t="s">
        <v>2655</v>
      </c>
      <c r="D1698" s="50" t="s">
        <v>2654</v>
      </c>
      <c r="E1698" s="50">
        <v>43631.28</v>
      </c>
    </row>
    <row r="1699" spans="1:5" hidden="1" x14ac:dyDescent="0.3">
      <c r="A1699" s="50" t="s">
        <v>2653</v>
      </c>
      <c r="B1699" s="50" t="s">
        <v>2652</v>
      </c>
      <c r="C1699" s="50" t="s">
        <v>533</v>
      </c>
      <c r="D1699" s="51">
        <v>0</v>
      </c>
      <c r="E1699" s="50">
        <v>0</v>
      </c>
    </row>
    <row r="1700" spans="1:5" hidden="1" x14ac:dyDescent="0.3">
      <c r="A1700" s="50" t="s">
        <v>2651</v>
      </c>
      <c r="B1700" s="50" t="s">
        <v>2650</v>
      </c>
      <c r="C1700" s="50" t="s">
        <v>533</v>
      </c>
      <c r="D1700" s="50" t="s">
        <v>2649</v>
      </c>
      <c r="E1700" s="50">
        <v>6609.77</v>
      </c>
    </row>
    <row r="1701" spans="1:5" hidden="1" x14ac:dyDescent="0.3">
      <c r="A1701" s="50" t="s">
        <v>2648</v>
      </c>
      <c r="B1701" s="50" t="s">
        <v>2647</v>
      </c>
      <c r="C1701" s="50" t="s">
        <v>533</v>
      </c>
      <c r="D1701" s="50" t="s">
        <v>2646</v>
      </c>
      <c r="E1701" s="50">
        <v>6335</v>
      </c>
    </row>
    <row r="1702" spans="1:5" hidden="1" x14ac:dyDescent="0.3">
      <c r="A1702" s="50" t="s">
        <v>2645</v>
      </c>
      <c r="B1702" s="50" t="s">
        <v>2644</v>
      </c>
      <c r="C1702" s="50" t="s">
        <v>533</v>
      </c>
      <c r="D1702" s="51">
        <v>0</v>
      </c>
      <c r="E1702" s="50">
        <v>0</v>
      </c>
    </row>
    <row r="1703" spans="1:5" hidden="1" x14ac:dyDescent="0.3">
      <c r="A1703" s="50" t="s">
        <v>2643</v>
      </c>
      <c r="B1703" s="50" t="s">
        <v>2642</v>
      </c>
      <c r="C1703" s="50" t="s">
        <v>533</v>
      </c>
      <c r="D1703" s="51">
        <v>0</v>
      </c>
      <c r="E1703" s="50">
        <v>0</v>
      </c>
    </row>
    <row r="1704" spans="1:5" hidden="1" x14ac:dyDescent="0.3">
      <c r="A1704" s="50" t="s">
        <v>2641</v>
      </c>
      <c r="B1704" s="50" t="s">
        <v>2640</v>
      </c>
      <c r="C1704" s="50" t="s">
        <v>533</v>
      </c>
      <c r="D1704" s="51">
        <v>0</v>
      </c>
      <c r="E1704" s="50">
        <v>0</v>
      </c>
    </row>
    <row r="1705" spans="1:5" hidden="1" x14ac:dyDescent="0.3">
      <c r="A1705" s="50" t="s">
        <v>2639</v>
      </c>
      <c r="B1705" s="50" t="s">
        <v>2638</v>
      </c>
      <c r="C1705" s="50" t="s">
        <v>533</v>
      </c>
      <c r="D1705" s="50" t="s">
        <v>2637</v>
      </c>
      <c r="E1705" s="50">
        <v>8276.56</v>
      </c>
    </row>
    <row r="1706" spans="1:5" hidden="1" x14ac:dyDescent="0.3">
      <c r="A1706" s="50" t="s">
        <v>2636</v>
      </c>
      <c r="B1706" s="50" t="s">
        <v>2635</v>
      </c>
      <c r="C1706" s="50" t="s">
        <v>533</v>
      </c>
      <c r="D1706" s="51">
        <v>0</v>
      </c>
      <c r="E1706" s="50">
        <v>0</v>
      </c>
    </row>
    <row r="1707" spans="1:5" hidden="1" x14ac:dyDescent="0.3">
      <c r="A1707" s="50" t="s">
        <v>2634</v>
      </c>
      <c r="B1707" s="50" t="s">
        <v>2633</v>
      </c>
      <c r="C1707" s="50" t="s">
        <v>533</v>
      </c>
      <c r="D1707" s="50" t="s">
        <v>2632</v>
      </c>
      <c r="E1707" s="50">
        <v>8273.66</v>
      </c>
    </row>
    <row r="1708" spans="1:5" hidden="1" x14ac:dyDescent="0.3">
      <c r="A1708" s="50" t="s">
        <v>2631</v>
      </c>
      <c r="B1708" s="50" t="s">
        <v>2630</v>
      </c>
      <c r="C1708" s="50" t="s">
        <v>533</v>
      </c>
      <c r="D1708" s="51">
        <v>0</v>
      </c>
      <c r="E1708" s="50">
        <v>0</v>
      </c>
    </row>
    <row r="1709" spans="1:5" hidden="1" x14ac:dyDescent="0.3">
      <c r="A1709" s="50" t="s">
        <v>2629</v>
      </c>
      <c r="B1709" s="50" t="s">
        <v>2628</v>
      </c>
      <c r="C1709" s="50" t="s">
        <v>533</v>
      </c>
      <c r="D1709" s="51">
        <v>0</v>
      </c>
      <c r="E1709" s="50">
        <v>0</v>
      </c>
    </row>
    <row r="1710" spans="1:5" hidden="1" x14ac:dyDescent="0.3">
      <c r="A1710" s="50" t="s">
        <v>2627</v>
      </c>
      <c r="B1710" s="50" t="s">
        <v>2626</v>
      </c>
      <c r="C1710" s="50" t="s">
        <v>533</v>
      </c>
      <c r="D1710" s="51">
        <v>0</v>
      </c>
      <c r="E1710" s="50">
        <v>0</v>
      </c>
    </row>
    <row r="1711" spans="1:5" hidden="1" x14ac:dyDescent="0.3">
      <c r="A1711" s="50" t="s">
        <v>2625</v>
      </c>
      <c r="B1711" s="50" t="s">
        <v>2624</v>
      </c>
      <c r="C1711" s="50" t="s">
        <v>533</v>
      </c>
      <c r="D1711" s="51">
        <v>0</v>
      </c>
      <c r="E1711" s="50">
        <v>0</v>
      </c>
    </row>
    <row r="1712" spans="1:5" hidden="1" x14ac:dyDescent="0.3">
      <c r="A1712" s="50" t="s">
        <v>2623</v>
      </c>
      <c r="B1712" s="50" t="s">
        <v>2622</v>
      </c>
      <c r="C1712" s="50" t="s">
        <v>533</v>
      </c>
      <c r="D1712" s="51">
        <v>0</v>
      </c>
      <c r="E1712" s="50">
        <v>0</v>
      </c>
    </row>
    <row r="1713" spans="1:5" hidden="1" x14ac:dyDescent="0.3">
      <c r="A1713" s="50" t="s">
        <v>2621</v>
      </c>
      <c r="B1713" s="50" t="s">
        <v>2620</v>
      </c>
      <c r="C1713" s="50" t="s">
        <v>533</v>
      </c>
      <c r="D1713" s="51">
        <v>0</v>
      </c>
      <c r="E1713" s="50">
        <v>0</v>
      </c>
    </row>
    <row r="1714" spans="1:5" hidden="1" x14ac:dyDescent="0.3">
      <c r="A1714" s="50" t="s">
        <v>2619</v>
      </c>
      <c r="B1714" s="50" t="s">
        <v>2618</v>
      </c>
      <c r="C1714" s="50" t="s">
        <v>533</v>
      </c>
      <c r="D1714" s="51">
        <v>0</v>
      </c>
      <c r="E1714" s="50">
        <v>0</v>
      </c>
    </row>
    <row r="1715" spans="1:5" hidden="1" x14ac:dyDescent="0.3">
      <c r="A1715" s="50" t="s">
        <v>2617</v>
      </c>
      <c r="B1715" s="50" t="s">
        <v>2616</v>
      </c>
      <c r="C1715" s="50" t="s">
        <v>533</v>
      </c>
      <c r="D1715" s="50" t="s">
        <v>2615</v>
      </c>
      <c r="E1715" s="50">
        <v>7417.57</v>
      </c>
    </row>
    <row r="1716" spans="1:5" hidden="1" x14ac:dyDescent="0.3">
      <c r="A1716" s="50" t="s">
        <v>2614</v>
      </c>
      <c r="B1716" s="50" t="s">
        <v>2613</v>
      </c>
      <c r="C1716" s="50" t="s">
        <v>533</v>
      </c>
      <c r="D1716" s="51">
        <v>0</v>
      </c>
      <c r="E1716" s="50">
        <v>0</v>
      </c>
    </row>
    <row r="1717" spans="1:5" hidden="1" x14ac:dyDescent="0.3">
      <c r="A1717" s="50" t="s">
        <v>2612</v>
      </c>
      <c r="B1717" s="50" t="s">
        <v>2611</v>
      </c>
      <c r="C1717" s="50" t="s">
        <v>533</v>
      </c>
      <c r="D1717" s="51">
        <v>0</v>
      </c>
      <c r="E1717" s="50">
        <v>0</v>
      </c>
    </row>
    <row r="1718" spans="1:5" hidden="1" x14ac:dyDescent="0.3">
      <c r="A1718" s="50" t="s">
        <v>2610</v>
      </c>
      <c r="B1718" s="50" t="s">
        <v>2609</v>
      </c>
      <c r="C1718" s="50" t="s">
        <v>533</v>
      </c>
      <c r="D1718" s="51">
        <v>0</v>
      </c>
      <c r="E1718" s="50">
        <v>0</v>
      </c>
    </row>
    <row r="1719" spans="1:5" hidden="1" x14ac:dyDescent="0.3">
      <c r="A1719" s="50" t="s">
        <v>2608</v>
      </c>
      <c r="B1719" s="50" t="s">
        <v>2607</v>
      </c>
      <c r="C1719" s="50" t="s">
        <v>533</v>
      </c>
      <c r="D1719" s="51">
        <v>0</v>
      </c>
      <c r="E1719" s="50">
        <v>0</v>
      </c>
    </row>
    <row r="1720" spans="1:5" hidden="1" x14ac:dyDescent="0.3">
      <c r="A1720" s="50" t="s">
        <v>2606</v>
      </c>
      <c r="B1720" s="50" t="s">
        <v>2605</v>
      </c>
      <c r="C1720" s="50" t="s">
        <v>533</v>
      </c>
      <c r="D1720" s="51">
        <v>0</v>
      </c>
      <c r="E1720" s="50">
        <v>0</v>
      </c>
    </row>
    <row r="1721" spans="1:5" hidden="1" x14ac:dyDescent="0.3">
      <c r="A1721" s="50" t="s">
        <v>2604</v>
      </c>
      <c r="B1721" s="50" t="s">
        <v>2603</v>
      </c>
      <c r="C1721" s="50" t="s">
        <v>533</v>
      </c>
      <c r="D1721" s="51">
        <v>0</v>
      </c>
      <c r="E1721" s="50">
        <v>0</v>
      </c>
    </row>
    <row r="1722" spans="1:5" hidden="1" x14ac:dyDescent="0.3">
      <c r="A1722" s="50" t="s">
        <v>2602</v>
      </c>
      <c r="B1722" s="50" t="s">
        <v>2601</v>
      </c>
      <c r="C1722" s="50" t="s">
        <v>533</v>
      </c>
      <c r="D1722" s="51">
        <v>0</v>
      </c>
      <c r="E1722" s="50">
        <v>0</v>
      </c>
    </row>
    <row r="1723" spans="1:5" hidden="1" x14ac:dyDescent="0.3">
      <c r="A1723" s="50" t="s">
        <v>2600</v>
      </c>
      <c r="B1723" s="50" t="s">
        <v>2599</v>
      </c>
      <c r="C1723" s="50" t="s">
        <v>533</v>
      </c>
      <c r="D1723" s="51">
        <v>0</v>
      </c>
      <c r="E1723" s="50">
        <v>0</v>
      </c>
    </row>
    <row r="1724" spans="1:5" hidden="1" x14ac:dyDescent="0.3">
      <c r="A1724" s="50" t="s">
        <v>2598</v>
      </c>
      <c r="B1724" s="50" t="s">
        <v>2597</v>
      </c>
      <c r="C1724" s="50" t="s">
        <v>533</v>
      </c>
      <c r="D1724" s="50" t="s">
        <v>2596</v>
      </c>
      <c r="E1724" s="50">
        <v>15200.44</v>
      </c>
    </row>
    <row r="1725" spans="1:5" hidden="1" x14ac:dyDescent="0.3">
      <c r="A1725" s="50" t="s">
        <v>2595</v>
      </c>
      <c r="B1725" s="50" t="s">
        <v>2594</v>
      </c>
      <c r="C1725" s="50" t="s">
        <v>533</v>
      </c>
      <c r="D1725" s="51">
        <v>0</v>
      </c>
      <c r="E1725" s="50">
        <v>0</v>
      </c>
    </row>
    <row r="1726" spans="1:5" hidden="1" x14ac:dyDescent="0.3">
      <c r="A1726" s="50" t="s">
        <v>2593</v>
      </c>
      <c r="B1726" s="50" t="s">
        <v>2592</v>
      </c>
      <c r="C1726" s="50" t="s">
        <v>533</v>
      </c>
      <c r="D1726" s="51">
        <v>0</v>
      </c>
      <c r="E1726" s="50">
        <v>0</v>
      </c>
    </row>
    <row r="1727" spans="1:5" hidden="1" x14ac:dyDescent="0.3">
      <c r="A1727" s="50" t="s">
        <v>2591</v>
      </c>
      <c r="B1727" s="50" t="s">
        <v>2590</v>
      </c>
      <c r="C1727" s="50" t="s">
        <v>533</v>
      </c>
      <c r="D1727" s="51">
        <v>0</v>
      </c>
      <c r="E1727" s="50">
        <v>0</v>
      </c>
    </row>
    <row r="1728" spans="1:5" hidden="1" x14ac:dyDescent="0.3">
      <c r="A1728" s="50" t="s">
        <v>2589</v>
      </c>
      <c r="B1728" s="50" t="s">
        <v>2588</v>
      </c>
      <c r="C1728" s="50" t="s">
        <v>533</v>
      </c>
      <c r="D1728" s="51">
        <v>0</v>
      </c>
      <c r="E1728" s="50">
        <v>0</v>
      </c>
    </row>
    <row r="1729" spans="1:5" hidden="1" x14ac:dyDescent="0.3">
      <c r="A1729" s="50" t="s">
        <v>2587</v>
      </c>
      <c r="B1729" s="50" t="s">
        <v>2586</v>
      </c>
      <c r="C1729" s="50" t="s">
        <v>533</v>
      </c>
      <c r="D1729" s="51">
        <v>0</v>
      </c>
      <c r="E1729" s="50">
        <v>0</v>
      </c>
    </row>
    <row r="1730" spans="1:5" hidden="1" x14ac:dyDescent="0.3">
      <c r="A1730" s="50" t="s">
        <v>2585</v>
      </c>
      <c r="B1730" s="50" t="s">
        <v>2584</v>
      </c>
      <c r="C1730" s="50" t="s">
        <v>533</v>
      </c>
      <c r="D1730" s="51">
        <v>0</v>
      </c>
      <c r="E1730" s="50">
        <v>0</v>
      </c>
    </row>
    <row r="1731" spans="1:5" hidden="1" x14ac:dyDescent="0.3">
      <c r="A1731" s="50" t="s">
        <v>2583</v>
      </c>
      <c r="B1731" s="50" t="s">
        <v>2582</v>
      </c>
      <c r="C1731" s="50" t="s">
        <v>533</v>
      </c>
      <c r="D1731" s="51">
        <v>0</v>
      </c>
      <c r="E1731" s="50">
        <v>0</v>
      </c>
    </row>
    <row r="1732" spans="1:5" hidden="1" x14ac:dyDescent="0.3">
      <c r="A1732" s="50" t="s">
        <v>2581</v>
      </c>
      <c r="B1732" s="50" t="s">
        <v>2580</v>
      </c>
      <c r="C1732" s="50" t="s">
        <v>533</v>
      </c>
      <c r="D1732" s="51">
        <v>0</v>
      </c>
      <c r="E1732" s="50">
        <v>0</v>
      </c>
    </row>
    <row r="1733" spans="1:5" hidden="1" x14ac:dyDescent="0.3">
      <c r="A1733" s="50" t="s">
        <v>2579</v>
      </c>
      <c r="B1733" s="50" t="s">
        <v>2578</v>
      </c>
      <c r="C1733" s="50" t="s">
        <v>533</v>
      </c>
      <c r="D1733" s="51">
        <v>0</v>
      </c>
      <c r="E1733" s="50">
        <v>0</v>
      </c>
    </row>
    <row r="1734" spans="1:5" hidden="1" x14ac:dyDescent="0.3">
      <c r="A1734" s="50" t="s">
        <v>2577</v>
      </c>
      <c r="B1734" s="50" t="s">
        <v>2576</v>
      </c>
      <c r="C1734" s="50" t="s">
        <v>533</v>
      </c>
      <c r="D1734" s="51">
        <v>0</v>
      </c>
      <c r="E1734" s="50">
        <v>0</v>
      </c>
    </row>
    <row r="1735" spans="1:5" hidden="1" x14ac:dyDescent="0.3">
      <c r="A1735" s="50" t="s">
        <v>2575</v>
      </c>
      <c r="B1735" s="50" t="s">
        <v>2574</v>
      </c>
      <c r="C1735" s="50" t="s">
        <v>533</v>
      </c>
      <c r="D1735" s="51">
        <v>0</v>
      </c>
      <c r="E1735" s="50">
        <v>0</v>
      </c>
    </row>
    <row r="1736" spans="1:5" hidden="1" x14ac:dyDescent="0.3">
      <c r="A1736" s="50" t="s">
        <v>2573</v>
      </c>
      <c r="B1736" s="50" t="s">
        <v>2572</v>
      </c>
      <c r="C1736" s="50" t="s">
        <v>533</v>
      </c>
      <c r="D1736" s="51">
        <v>0</v>
      </c>
      <c r="E1736" s="50">
        <v>0</v>
      </c>
    </row>
    <row r="1737" spans="1:5" hidden="1" x14ac:dyDescent="0.3">
      <c r="A1737" s="50" t="s">
        <v>2571</v>
      </c>
      <c r="B1737" s="50" t="s">
        <v>2570</v>
      </c>
      <c r="C1737" s="50" t="s">
        <v>533</v>
      </c>
      <c r="D1737" s="50" t="s">
        <v>2569</v>
      </c>
      <c r="E1737" s="50">
        <v>30692.13</v>
      </c>
    </row>
    <row r="1738" spans="1:5" hidden="1" x14ac:dyDescent="0.3">
      <c r="A1738" s="50" t="s">
        <v>2568</v>
      </c>
      <c r="B1738" s="50" t="s">
        <v>2567</v>
      </c>
      <c r="C1738" s="50" t="s">
        <v>533</v>
      </c>
      <c r="D1738" s="51">
        <v>0</v>
      </c>
      <c r="E1738" s="50">
        <v>0</v>
      </c>
    </row>
    <row r="1739" spans="1:5" hidden="1" x14ac:dyDescent="0.3">
      <c r="A1739" s="50" t="s">
        <v>2566</v>
      </c>
      <c r="B1739" s="50" t="s">
        <v>2565</v>
      </c>
      <c r="C1739" s="50" t="s">
        <v>533</v>
      </c>
      <c r="D1739" s="51">
        <v>0</v>
      </c>
      <c r="E1739" s="50">
        <v>0</v>
      </c>
    </row>
    <row r="1740" spans="1:5" hidden="1" x14ac:dyDescent="0.3">
      <c r="A1740" s="50" t="s">
        <v>2564</v>
      </c>
      <c r="B1740" s="50" t="s">
        <v>2563</v>
      </c>
      <c r="C1740" s="50" t="s">
        <v>533</v>
      </c>
      <c r="D1740" s="51">
        <v>0</v>
      </c>
      <c r="E1740" s="50">
        <v>0</v>
      </c>
    </row>
    <row r="1741" spans="1:5" hidden="1" x14ac:dyDescent="0.3">
      <c r="A1741" s="50" t="s">
        <v>2562</v>
      </c>
      <c r="B1741" s="50" t="s">
        <v>2561</v>
      </c>
      <c r="C1741" s="50" t="s">
        <v>533</v>
      </c>
      <c r="D1741" s="51">
        <v>0</v>
      </c>
      <c r="E1741" s="50">
        <v>0</v>
      </c>
    </row>
    <row r="1742" spans="1:5" hidden="1" x14ac:dyDescent="0.3">
      <c r="A1742" s="50" t="s">
        <v>2560</v>
      </c>
      <c r="B1742" s="50" t="s">
        <v>2559</v>
      </c>
      <c r="C1742" s="50" t="s">
        <v>533</v>
      </c>
      <c r="D1742" s="51">
        <v>0</v>
      </c>
      <c r="E1742" s="50">
        <v>0</v>
      </c>
    </row>
    <row r="1743" spans="1:5" hidden="1" x14ac:dyDescent="0.3">
      <c r="A1743" s="50" t="s">
        <v>2558</v>
      </c>
      <c r="B1743" s="50" t="s">
        <v>2557</v>
      </c>
      <c r="C1743" s="50" t="s">
        <v>533</v>
      </c>
      <c r="D1743" s="51">
        <v>0</v>
      </c>
      <c r="E1743" s="50">
        <v>0</v>
      </c>
    </row>
    <row r="1744" spans="1:5" hidden="1" x14ac:dyDescent="0.3">
      <c r="A1744" s="50" t="s">
        <v>2556</v>
      </c>
      <c r="B1744" s="50" t="s">
        <v>2555</v>
      </c>
      <c r="C1744" s="50" t="s">
        <v>533</v>
      </c>
      <c r="D1744" s="51">
        <v>0</v>
      </c>
      <c r="E1744" s="50">
        <v>0</v>
      </c>
    </row>
    <row r="1745" spans="1:5" hidden="1" x14ac:dyDescent="0.3">
      <c r="A1745" s="50" t="s">
        <v>2554</v>
      </c>
      <c r="B1745" s="50" t="s">
        <v>2553</v>
      </c>
      <c r="C1745" s="50" t="s">
        <v>533</v>
      </c>
      <c r="D1745" s="51">
        <v>0</v>
      </c>
      <c r="E1745" s="50">
        <v>0</v>
      </c>
    </row>
    <row r="1746" spans="1:5" hidden="1" x14ac:dyDescent="0.3">
      <c r="A1746" s="50" t="s">
        <v>2552</v>
      </c>
      <c r="B1746" s="50" t="s">
        <v>2551</v>
      </c>
      <c r="C1746" s="50" t="s">
        <v>533</v>
      </c>
      <c r="D1746" s="51">
        <v>0</v>
      </c>
      <c r="E1746" s="50">
        <v>0</v>
      </c>
    </row>
    <row r="1747" spans="1:5" hidden="1" x14ac:dyDescent="0.3">
      <c r="A1747" s="50" t="s">
        <v>2550</v>
      </c>
      <c r="B1747" s="50" t="s">
        <v>2549</v>
      </c>
      <c r="C1747" s="50" t="s">
        <v>533</v>
      </c>
      <c r="D1747" s="51">
        <v>0</v>
      </c>
      <c r="E1747" s="50">
        <v>0</v>
      </c>
    </row>
    <row r="1748" spans="1:5" hidden="1" x14ac:dyDescent="0.3">
      <c r="A1748" s="50" t="s">
        <v>2548</v>
      </c>
      <c r="B1748" s="50" t="s">
        <v>2547</v>
      </c>
      <c r="C1748" s="50" t="s">
        <v>533</v>
      </c>
      <c r="D1748" s="51">
        <v>0</v>
      </c>
      <c r="E1748" s="50">
        <v>0</v>
      </c>
    </row>
    <row r="1749" spans="1:5" hidden="1" x14ac:dyDescent="0.3">
      <c r="A1749" s="50" t="s">
        <v>2546</v>
      </c>
      <c r="B1749" s="50" t="s">
        <v>2545</v>
      </c>
      <c r="C1749" s="50" t="s">
        <v>533</v>
      </c>
      <c r="D1749" s="51">
        <v>0</v>
      </c>
      <c r="E1749" s="50">
        <v>0</v>
      </c>
    </row>
    <row r="1750" spans="1:5" hidden="1" x14ac:dyDescent="0.3">
      <c r="A1750" s="50" t="s">
        <v>2544</v>
      </c>
      <c r="B1750" s="50" t="s">
        <v>2543</v>
      </c>
      <c r="C1750" s="50" t="s">
        <v>533</v>
      </c>
      <c r="D1750" s="51">
        <v>0</v>
      </c>
      <c r="E1750" s="50">
        <v>0</v>
      </c>
    </row>
    <row r="1751" spans="1:5" hidden="1" x14ac:dyDescent="0.3">
      <c r="A1751" s="50" t="s">
        <v>2542</v>
      </c>
      <c r="B1751" s="50" t="s">
        <v>2541</v>
      </c>
      <c r="C1751" s="50" t="s">
        <v>533</v>
      </c>
      <c r="D1751" s="51">
        <v>0</v>
      </c>
      <c r="E1751" s="50">
        <v>0</v>
      </c>
    </row>
    <row r="1752" spans="1:5" hidden="1" x14ac:dyDescent="0.3">
      <c r="A1752" s="50" t="s">
        <v>2540</v>
      </c>
      <c r="B1752" s="50" t="s">
        <v>2539</v>
      </c>
      <c r="C1752" s="50" t="s">
        <v>533</v>
      </c>
      <c r="D1752" s="50" t="s">
        <v>2538</v>
      </c>
      <c r="E1752" s="50">
        <v>37510.410000000003</v>
      </c>
    </row>
    <row r="1753" spans="1:5" hidden="1" x14ac:dyDescent="0.3">
      <c r="A1753" s="50" t="s">
        <v>2537</v>
      </c>
      <c r="B1753" s="50" t="s">
        <v>2536</v>
      </c>
      <c r="C1753" s="50" t="s">
        <v>533</v>
      </c>
      <c r="D1753" s="51">
        <v>0</v>
      </c>
      <c r="E1753" s="50">
        <v>0</v>
      </c>
    </row>
    <row r="1754" spans="1:5" hidden="1" x14ac:dyDescent="0.3">
      <c r="A1754" s="50" t="s">
        <v>2535</v>
      </c>
      <c r="B1754" s="50" t="s">
        <v>2534</v>
      </c>
      <c r="C1754" s="50" t="s">
        <v>533</v>
      </c>
      <c r="D1754" s="51">
        <v>0</v>
      </c>
      <c r="E1754" s="50">
        <v>0</v>
      </c>
    </row>
    <row r="1755" spans="1:5" hidden="1" x14ac:dyDescent="0.3">
      <c r="A1755" s="50" t="s">
        <v>2533</v>
      </c>
      <c r="B1755" s="50" t="s">
        <v>2532</v>
      </c>
      <c r="C1755" s="50" t="s">
        <v>533</v>
      </c>
      <c r="D1755" s="51">
        <v>0</v>
      </c>
      <c r="E1755" s="50">
        <v>0</v>
      </c>
    </row>
    <row r="1756" spans="1:5" hidden="1" x14ac:dyDescent="0.3">
      <c r="A1756" s="50" t="s">
        <v>2531</v>
      </c>
      <c r="B1756" s="50" t="s">
        <v>2530</v>
      </c>
      <c r="C1756" s="50" t="s">
        <v>533</v>
      </c>
      <c r="D1756" s="50" t="s">
        <v>2529</v>
      </c>
      <c r="E1756" s="50">
        <v>0</v>
      </c>
    </row>
    <row r="1757" spans="1:5" hidden="1" x14ac:dyDescent="0.3">
      <c r="A1757" s="50" t="s">
        <v>2528</v>
      </c>
      <c r="B1757" s="50" t="s">
        <v>2527</v>
      </c>
      <c r="C1757" s="50" t="s">
        <v>533</v>
      </c>
      <c r="D1757" s="51">
        <v>0</v>
      </c>
      <c r="E1757" s="50">
        <v>0</v>
      </c>
    </row>
    <row r="1758" spans="1:5" hidden="1" x14ac:dyDescent="0.3">
      <c r="A1758" s="50" t="s">
        <v>2526</v>
      </c>
      <c r="B1758" s="50" t="s">
        <v>2525</v>
      </c>
      <c r="C1758" s="50" t="s">
        <v>533</v>
      </c>
      <c r="D1758" s="50" t="s">
        <v>2524</v>
      </c>
      <c r="E1758" s="50">
        <v>64921.97</v>
      </c>
    </row>
    <row r="1759" spans="1:5" hidden="1" x14ac:dyDescent="0.3">
      <c r="A1759" s="50" t="s">
        <v>2523</v>
      </c>
      <c r="B1759" s="50" t="s">
        <v>2522</v>
      </c>
      <c r="C1759" s="50" t="s">
        <v>533</v>
      </c>
      <c r="D1759" s="51">
        <v>0</v>
      </c>
      <c r="E1759" s="50">
        <v>0</v>
      </c>
    </row>
    <row r="1760" spans="1:5" hidden="1" x14ac:dyDescent="0.3">
      <c r="A1760" s="50" t="s">
        <v>2521</v>
      </c>
      <c r="B1760" s="50" t="s">
        <v>2520</v>
      </c>
      <c r="C1760" s="50" t="s">
        <v>533</v>
      </c>
      <c r="D1760" s="51">
        <v>0</v>
      </c>
      <c r="E1760" s="50">
        <v>0</v>
      </c>
    </row>
    <row r="1761" spans="1:5" hidden="1" x14ac:dyDescent="0.3">
      <c r="A1761" s="50" t="s">
        <v>2519</v>
      </c>
      <c r="B1761" s="50" t="s">
        <v>2518</v>
      </c>
      <c r="C1761" s="50" t="s">
        <v>533</v>
      </c>
      <c r="D1761" s="50" t="s">
        <v>2517</v>
      </c>
      <c r="E1761" s="50">
        <v>40775.360000000001</v>
      </c>
    </row>
    <row r="1762" spans="1:5" hidden="1" x14ac:dyDescent="0.3">
      <c r="A1762" s="50" t="s">
        <v>2516</v>
      </c>
      <c r="B1762" s="50" t="s">
        <v>2515</v>
      </c>
      <c r="C1762" s="50" t="s">
        <v>533</v>
      </c>
      <c r="D1762" s="51">
        <v>0</v>
      </c>
      <c r="E1762" s="50">
        <v>0</v>
      </c>
    </row>
    <row r="1763" spans="1:5" hidden="1" x14ac:dyDescent="0.3">
      <c r="A1763" s="50" t="s">
        <v>2514</v>
      </c>
      <c r="B1763" s="50" t="s">
        <v>2513</v>
      </c>
      <c r="C1763" s="50" t="s">
        <v>533</v>
      </c>
      <c r="D1763" s="51">
        <v>0</v>
      </c>
      <c r="E1763" s="50">
        <v>0</v>
      </c>
    </row>
    <row r="1764" spans="1:5" hidden="1" x14ac:dyDescent="0.3">
      <c r="A1764" s="50" t="s">
        <v>2512</v>
      </c>
      <c r="B1764" s="50" t="s">
        <v>2511</v>
      </c>
      <c r="C1764" s="50" t="s">
        <v>533</v>
      </c>
      <c r="D1764" s="51">
        <v>0</v>
      </c>
      <c r="E1764" s="50">
        <v>0</v>
      </c>
    </row>
    <row r="1765" spans="1:5" hidden="1" x14ac:dyDescent="0.3">
      <c r="A1765" s="50" t="s">
        <v>2510</v>
      </c>
      <c r="B1765" s="50" t="s">
        <v>2509</v>
      </c>
      <c r="C1765" s="50" t="s">
        <v>533</v>
      </c>
      <c r="D1765" s="51">
        <v>0</v>
      </c>
      <c r="E1765" s="50">
        <v>0</v>
      </c>
    </row>
    <row r="1766" spans="1:5" hidden="1" x14ac:dyDescent="0.3">
      <c r="A1766" s="50" t="s">
        <v>2508</v>
      </c>
      <c r="B1766" s="50" t="s">
        <v>2507</v>
      </c>
      <c r="C1766" s="50" t="s">
        <v>533</v>
      </c>
      <c r="D1766" s="51">
        <v>0</v>
      </c>
      <c r="E1766" s="50">
        <v>0</v>
      </c>
    </row>
    <row r="1767" spans="1:5" hidden="1" x14ac:dyDescent="0.3">
      <c r="A1767" s="50" t="s">
        <v>2506</v>
      </c>
      <c r="B1767" s="50" t="s">
        <v>2505</v>
      </c>
      <c r="C1767" s="50" t="s">
        <v>533</v>
      </c>
      <c r="D1767" s="51">
        <v>0</v>
      </c>
      <c r="E1767" s="50">
        <v>0</v>
      </c>
    </row>
    <row r="1768" spans="1:5" hidden="1" x14ac:dyDescent="0.3">
      <c r="A1768" s="50" t="s">
        <v>2504</v>
      </c>
      <c r="B1768" s="50" t="s">
        <v>2503</v>
      </c>
      <c r="C1768" s="50" t="s">
        <v>533</v>
      </c>
      <c r="D1768" s="51">
        <v>0</v>
      </c>
      <c r="E1768" s="50">
        <v>0</v>
      </c>
    </row>
    <row r="1769" spans="1:5" hidden="1" x14ac:dyDescent="0.3">
      <c r="A1769" s="50" t="s">
        <v>2502</v>
      </c>
      <c r="B1769" s="50" t="s">
        <v>2501</v>
      </c>
      <c r="C1769" s="50" t="s">
        <v>533</v>
      </c>
      <c r="D1769" s="51">
        <v>0</v>
      </c>
      <c r="E1769" s="50">
        <v>0</v>
      </c>
    </row>
    <row r="1770" spans="1:5" hidden="1" x14ac:dyDescent="0.3">
      <c r="A1770" s="50" t="s">
        <v>2500</v>
      </c>
      <c r="B1770" s="50" t="s">
        <v>2499</v>
      </c>
      <c r="C1770" s="50" t="s">
        <v>533</v>
      </c>
      <c r="D1770" s="51">
        <v>0</v>
      </c>
      <c r="E1770" s="50">
        <v>0</v>
      </c>
    </row>
    <row r="1771" spans="1:5" hidden="1" x14ac:dyDescent="0.3">
      <c r="A1771" s="50" t="s">
        <v>2498</v>
      </c>
      <c r="B1771" s="50" t="s">
        <v>2497</v>
      </c>
      <c r="C1771" s="50" t="s">
        <v>533</v>
      </c>
      <c r="D1771" s="51">
        <v>0</v>
      </c>
      <c r="E1771" s="50">
        <v>0</v>
      </c>
    </row>
    <row r="1772" spans="1:5" hidden="1" x14ac:dyDescent="0.3">
      <c r="A1772" s="50" t="s">
        <v>2496</v>
      </c>
      <c r="B1772" s="50" t="s">
        <v>2495</v>
      </c>
      <c r="C1772" s="50" t="s">
        <v>533</v>
      </c>
      <c r="D1772" s="51">
        <v>0</v>
      </c>
      <c r="E1772" s="50">
        <v>0</v>
      </c>
    </row>
    <row r="1773" spans="1:5" hidden="1" x14ac:dyDescent="0.3">
      <c r="A1773" s="50" t="s">
        <v>2494</v>
      </c>
      <c r="B1773" s="50" t="s">
        <v>2493</v>
      </c>
      <c r="C1773" s="50" t="s">
        <v>533</v>
      </c>
      <c r="D1773" s="51">
        <v>0</v>
      </c>
      <c r="E1773" s="50">
        <v>0</v>
      </c>
    </row>
    <row r="1774" spans="1:5" hidden="1" x14ac:dyDescent="0.3">
      <c r="A1774" s="50" t="s">
        <v>2492</v>
      </c>
      <c r="B1774" s="50" t="s">
        <v>2491</v>
      </c>
      <c r="C1774" s="50" t="s">
        <v>533</v>
      </c>
      <c r="D1774" s="50" t="s">
        <v>2490</v>
      </c>
      <c r="E1774" s="50">
        <v>48810.59</v>
      </c>
    </row>
    <row r="1775" spans="1:5" hidden="1" x14ac:dyDescent="0.3">
      <c r="A1775" s="50" t="s">
        <v>2489</v>
      </c>
      <c r="B1775" s="50" t="s">
        <v>2488</v>
      </c>
      <c r="C1775" s="50" t="s">
        <v>533</v>
      </c>
      <c r="D1775" s="51">
        <v>0</v>
      </c>
      <c r="E1775" s="50">
        <v>0</v>
      </c>
    </row>
    <row r="1776" spans="1:5" hidden="1" x14ac:dyDescent="0.3">
      <c r="A1776" s="50" t="s">
        <v>2487</v>
      </c>
      <c r="B1776" s="50" t="s">
        <v>2486</v>
      </c>
      <c r="C1776" s="50" t="s">
        <v>533</v>
      </c>
      <c r="D1776" s="51">
        <v>0</v>
      </c>
      <c r="E1776" s="50">
        <v>0</v>
      </c>
    </row>
    <row r="1777" spans="1:5" hidden="1" x14ac:dyDescent="0.3">
      <c r="A1777" s="50" t="s">
        <v>2485</v>
      </c>
      <c r="B1777" s="50" t="s">
        <v>2484</v>
      </c>
      <c r="C1777" s="50" t="s">
        <v>533</v>
      </c>
      <c r="D1777" s="51">
        <v>0</v>
      </c>
      <c r="E1777" s="50">
        <v>0</v>
      </c>
    </row>
    <row r="1778" spans="1:5" hidden="1" x14ac:dyDescent="0.3">
      <c r="A1778" s="50" t="s">
        <v>2483</v>
      </c>
      <c r="B1778" s="50" t="s">
        <v>2482</v>
      </c>
      <c r="C1778" s="50" t="s">
        <v>533</v>
      </c>
      <c r="D1778" s="51">
        <v>0</v>
      </c>
      <c r="E1778" s="50">
        <v>0</v>
      </c>
    </row>
    <row r="1779" spans="1:5" hidden="1" x14ac:dyDescent="0.3">
      <c r="A1779" s="50" t="s">
        <v>2481</v>
      </c>
      <c r="B1779" s="50" t="s">
        <v>2480</v>
      </c>
      <c r="C1779" s="50" t="s">
        <v>533</v>
      </c>
      <c r="D1779" s="51">
        <v>0</v>
      </c>
      <c r="E1779" s="50">
        <v>0</v>
      </c>
    </row>
    <row r="1780" spans="1:5" hidden="1" x14ac:dyDescent="0.3">
      <c r="A1780" s="50" t="s">
        <v>2479</v>
      </c>
      <c r="B1780" s="50" t="s">
        <v>2478</v>
      </c>
      <c r="C1780" s="50" t="s">
        <v>533</v>
      </c>
      <c r="D1780" s="51">
        <v>0</v>
      </c>
      <c r="E1780" s="50">
        <v>0</v>
      </c>
    </row>
    <row r="1781" spans="1:5" hidden="1" x14ac:dyDescent="0.3">
      <c r="A1781" s="50" t="s">
        <v>2477</v>
      </c>
      <c r="B1781" s="50" t="s">
        <v>2476</v>
      </c>
      <c r="C1781" s="50" t="s">
        <v>533</v>
      </c>
      <c r="D1781" s="51">
        <v>0</v>
      </c>
      <c r="E1781" s="50">
        <v>0</v>
      </c>
    </row>
    <row r="1782" spans="1:5" hidden="1" x14ac:dyDescent="0.3">
      <c r="A1782" s="50" t="s">
        <v>2475</v>
      </c>
      <c r="B1782" s="50" t="s">
        <v>2474</v>
      </c>
      <c r="C1782" s="50" t="s">
        <v>533</v>
      </c>
      <c r="D1782" s="51">
        <v>0</v>
      </c>
      <c r="E1782" s="50">
        <v>0</v>
      </c>
    </row>
    <row r="1783" spans="1:5" hidden="1" x14ac:dyDescent="0.3">
      <c r="A1783" s="50" t="s">
        <v>2473</v>
      </c>
      <c r="B1783" s="50" t="s">
        <v>2472</v>
      </c>
      <c r="C1783" s="50" t="s">
        <v>533</v>
      </c>
      <c r="D1783" s="51">
        <v>0</v>
      </c>
      <c r="E1783" s="50">
        <v>0</v>
      </c>
    </row>
    <row r="1784" spans="1:5" ht="28.8" hidden="1" x14ac:dyDescent="0.3">
      <c r="A1784" s="50" t="s">
        <v>2471</v>
      </c>
      <c r="B1784" s="50" t="s">
        <v>2470</v>
      </c>
      <c r="D1784" s="51">
        <v>0</v>
      </c>
      <c r="E1784" s="50">
        <v>0</v>
      </c>
    </row>
    <row r="1785" spans="1:5" hidden="1" x14ac:dyDescent="0.3">
      <c r="A1785" s="50" t="s">
        <v>2469</v>
      </c>
      <c r="B1785" s="50" t="s">
        <v>2468</v>
      </c>
      <c r="C1785" s="50" t="s">
        <v>533</v>
      </c>
      <c r="D1785" s="51">
        <v>0</v>
      </c>
      <c r="E1785" s="50">
        <v>0</v>
      </c>
    </row>
    <row r="1786" spans="1:5" hidden="1" x14ac:dyDescent="0.3">
      <c r="A1786" s="50" t="s">
        <v>2467</v>
      </c>
      <c r="B1786" s="50" t="s">
        <v>2466</v>
      </c>
      <c r="C1786" s="50" t="s">
        <v>533</v>
      </c>
      <c r="D1786" s="51">
        <v>0</v>
      </c>
      <c r="E1786" s="50">
        <v>0</v>
      </c>
    </row>
    <row r="1787" spans="1:5" hidden="1" x14ac:dyDescent="0.3">
      <c r="A1787" s="50" t="s">
        <v>2465</v>
      </c>
      <c r="B1787" s="50" t="s">
        <v>2464</v>
      </c>
      <c r="C1787" s="50" t="s">
        <v>533</v>
      </c>
      <c r="D1787" s="51">
        <v>0</v>
      </c>
      <c r="E1787" s="50">
        <v>0</v>
      </c>
    </row>
    <row r="1788" spans="1:5" hidden="1" x14ac:dyDescent="0.3">
      <c r="A1788" s="50" t="s">
        <v>2463</v>
      </c>
      <c r="B1788" s="50" t="s">
        <v>2462</v>
      </c>
      <c r="C1788" s="50" t="s">
        <v>533</v>
      </c>
      <c r="D1788" s="50" t="s">
        <v>2461</v>
      </c>
      <c r="E1788" s="50">
        <v>0</v>
      </c>
    </row>
    <row r="1789" spans="1:5" hidden="1" x14ac:dyDescent="0.3">
      <c r="A1789" s="50" t="s">
        <v>2460</v>
      </c>
      <c r="B1789" s="50" t="s">
        <v>2459</v>
      </c>
      <c r="C1789" s="50" t="s">
        <v>533</v>
      </c>
      <c r="D1789" s="51">
        <v>0</v>
      </c>
      <c r="E1789" s="50">
        <v>0</v>
      </c>
    </row>
    <row r="1790" spans="1:5" hidden="1" x14ac:dyDescent="0.3">
      <c r="A1790" s="50" t="s">
        <v>2458</v>
      </c>
      <c r="B1790" s="50" t="s">
        <v>2457</v>
      </c>
      <c r="C1790" s="50" t="s">
        <v>533</v>
      </c>
      <c r="D1790" s="51">
        <v>0</v>
      </c>
      <c r="E1790" s="50">
        <v>0</v>
      </c>
    </row>
    <row r="1791" spans="1:5" hidden="1" x14ac:dyDescent="0.3">
      <c r="A1791" s="50" t="s">
        <v>2456</v>
      </c>
      <c r="B1791" s="50" t="s">
        <v>2455</v>
      </c>
      <c r="C1791" s="50" t="s">
        <v>533</v>
      </c>
      <c r="D1791" s="51">
        <v>0</v>
      </c>
      <c r="E1791" s="50">
        <v>0</v>
      </c>
    </row>
    <row r="1792" spans="1:5" hidden="1" x14ac:dyDescent="0.3">
      <c r="A1792" s="50" t="s">
        <v>2454</v>
      </c>
      <c r="B1792" s="50" t="s">
        <v>2453</v>
      </c>
      <c r="D1792" s="51">
        <v>0</v>
      </c>
      <c r="E1792" s="50">
        <v>0</v>
      </c>
    </row>
    <row r="1793" spans="1:5" hidden="1" x14ac:dyDescent="0.3">
      <c r="A1793" s="50" t="s">
        <v>2452</v>
      </c>
      <c r="B1793" s="50" t="s">
        <v>2451</v>
      </c>
      <c r="D1793" s="51">
        <v>0</v>
      </c>
      <c r="E1793" s="50">
        <v>0</v>
      </c>
    </row>
    <row r="1794" spans="1:5" hidden="1" x14ac:dyDescent="0.3">
      <c r="A1794" s="50" t="s">
        <v>2450</v>
      </c>
      <c r="B1794" s="50" t="s">
        <v>2449</v>
      </c>
      <c r="C1794" s="50" t="s">
        <v>533</v>
      </c>
      <c r="D1794" s="51">
        <v>0</v>
      </c>
      <c r="E1794" s="50">
        <v>0</v>
      </c>
    </row>
    <row r="1795" spans="1:5" hidden="1" x14ac:dyDescent="0.3">
      <c r="A1795" s="50" t="s">
        <v>2448</v>
      </c>
      <c r="B1795" s="50" t="s">
        <v>2447</v>
      </c>
      <c r="C1795" s="50" t="s">
        <v>533</v>
      </c>
      <c r="D1795" s="50" t="s">
        <v>2446</v>
      </c>
      <c r="E1795" s="50">
        <v>0</v>
      </c>
    </row>
    <row r="1796" spans="1:5" hidden="1" x14ac:dyDescent="0.3">
      <c r="A1796" s="50" t="s">
        <v>2445</v>
      </c>
      <c r="B1796" s="50" t="s">
        <v>2444</v>
      </c>
      <c r="C1796" s="50" t="s">
        <v>533</v>
      </c>
      <c r="D1796" s="51">
        <v>0</v>
      </c>
      <c r="E1796" s="50">
        <v>0</v>
      </c>
    </row>
    <row r="1797" spans="1:5" hidden="1" x14ac:dyDescent="0.3">
      <c r="A1797" s="50" t="s">
        <v>2443</v>
      </c>
      <c r="B1797" s="50" t="s">
        <v>2442</v>
      </c>
      <c r="C1797" s="50" t="s">
        <v>496</v>
      </c>
      <c r="D1797" s="51">
        <v>0</v>
      </c>
      <c r="E1797" s="50">
        <v>0</v>
      </c>
    </row>
    <row r="1798" spans="1:5" hidden="1" x14ac:dyDescent="0.3">
      <c r="A1798" s="50" t="s">
        <v>2441</v>
      </c>
      <c r="B1798" s="50" t="s">
        <v>2440</v>
      </c>
      <c r="C1798" s="50" t="s">
        <v>496</v>
      </c>
      <c r="D1798" s="51">
        <v>0</v>
      </c>
      <c r="E1798" s="50">
        <v>0</v>
      </c>
    </row>
    <row r="1799" spans="1:5" hidden="1" x14ac:dyDescent="0.3">
      <c r="A1799" s="50" t="s">
        <v>2439</v>
      </c>
      <c r="B1799" s="50" t="s">
        <v>2438</v>
      </c>
      <c r="C1799" s="50" t="s">
        <v>496</v>
      </c>
      <c r="D1799" s="51">
        <v>0</v>
      </c>
      <c r="E1799" s="50">
        <v>0</v>
      </c>
    </row>
    <row r="1800" spans="1:5" hidden="1" x14ac:dyDescent="0.3">
      <c r="A1800" s="50" t="s">
        <v>2437</v>
      </c>
      <c r="B1800" s="50" t="s">
        <v>2436</v>
      </c>
      <c r="C1800" s="50" t="s">
        <v>496</v>
      </c>
      <c r="D1800" s="51">
        <v>0</v>
      </c>
      <c r="E1800" s="50">
        <v>0</v>
      </c>
    </row>
    <row r="1801" spans="1:5" hidden="1" x14ac:dyDescent="0.3">
      <c r="A1801" s="50" t="s">
        <v>2435</v>
      </c>
      <c r="B1801" s="50" t="s">
        <v>2434</v>
      </c>
      <c r="C1801" s="50" t="s">
        <v>496</v>
      </c>
      <c r="D1801" s="51">
        <v>0</v>
      </c>
      <c r="E1801" s="50">
        <v>0</v>
      </c>
    </row>
    <row r="1802" spans="1:5" hidden="1" x14ac:dyDescent="0.3">
      <c r="A1802" s="50" t="s">
        <v>2433</v>
      </c>
      <c r="B1802" s="50" t="s">
        <v>2432</v>
      </c>
      <c r="C1802" s="50" t="s">
        <v>496</v>
      </c>
      <c r="D1802" s="51">
        <v>0</v>
      </c>
      <c r="E1802" s="50">
        <v>0</v>
      </c>
    </row>
    <row r="1803" spans="1:5" hidden="1" x14ac:dyDescent="0.3">
      <c r="A1803" s="50" t="s">
        <v>2431</v>
      </c>
      <c r="B1803" s="50" t="s">
        <v>2430</v>
      </c>
      <c r="C1803" s="50" t="s">
        <v>496</v>
      </c>
      <c r="D1803" s="51">
        <v>0</v>
      </c>
      <c r="E1803" s="50">
        <v>0</v>
      </c>
    </row>
    <row r="1804" spans="1:5" hidden="1" x14ac:dyDescent="0.3">
      <c r="A1804" s="50" t="s">
        <v>2429</v>
      </c>
      <c r="B1804" s="50" t="s">
        <v>2428</v>
      </c>
      <c r="D1804" s="50" t="s">
        <v>2427</v>
      </c>
      <c r="E1804" s="50">
        <v>10899</v>
      </c>
    </row>
    <row r="1805" spans="1:5" hidden="1" x14ac:dyDescent="0.3">
      <c r="A1805" s="50" t="s">
        <v>2426</v>
      </c>
      <c r="B1805" s="50" t="s">
        <v>2425</v>
      </c>
      <c r="C1805" s="50" t="s">
        <v>496</v>
      </c>
      <c r="D1805" s="51">
        <v>479.32</v>
      </c>
      <c r="E1805" s="50">
        <v>479.32</v>
      </c>
    </row>
    <row r="1806" spans="1:5" hidden="1" x14ac:dyDescent="0.3">
      <c r="A1806" s="50" t="s">
        <v>2424</v>
      </c>
      <c r="B1806" s="50" t="s">
        <v>2423</v>
      </c>
      <c r="C1806" s="50" t="s">
        <v>496</v>
      </c>
      <c r="D1806" s="51">
        <v>558.02</v>
      </c>
      <c r="E1806" s="50">
        <v>492.37</v>
      </c>
    </row>
    <row r="1807" spans="1:5" hidden="1" x14ac:dyDescent="0.3">
      <c r="A1807" s="50" t="s">
        <v>2422</v>
      </c>
      <c r="B1807" s="50" t="s">
        <v>2421</v>
      </c>
      <c r="C1807" s="50" t="s">
        <v>496</v>
      </c>
      <c r="D1807" s="51">
        <v>629.55999999999995</v>
      </c>
      <c r="E1807" s="50">
        <v>555.49</v>
      </c>
    </row>
    <row r="1808" spans="1:5" hidden="1" x14ac:dyDescent="0.3">
      <c r="A1808" s="50" t="s">
        <v>2420</v>
      </c>
      <c r="B1808" s="50" t="s">
        <v>2419</v>
      </c>
      <c r="C1808" s="50" t="s">
        <v>496</v>
      </c>
      <c r="D1808" s="51">
        <v>461.66</v>
      </c>
      <c r="E1808" s="50">
        <v>432.77</v>
      </c>
    </row>
    <row r="1809" spans="1:5" hidden="1" x14ac:dyDescent="0.3">
      <c r="A1809" s="50" t="s">
        <v>2418</v>
      </c>
      <c r="B1809" s="50" t="s">
        <v>2417</v>
      </c>
      <c r="C1809" s="50" t="s">
        <v>496</v>
      </c>
      <c r="D1809" s="51">
        <v>537.48</v>
      </c>
      <c r="E1809" s="50">
        <v>538.29999999999995</v>
      </c>
    </row>
    <row r="1810" spans="1:5" hidden="1" x14ac:dyDescent="0.3">
      <c r="A1810" s="50" t="s">
        <v>2416</v>
      </c>
      <c r="B1810" s="50" t="s">
        <v>2415</v>
      </c>
      <c r="C1810" s="50" t="s">
        <v>496</v>
      </c>
      <c r="D1810" s="51">
        <v>611.38</v>
      </c>
      <c r="E1810" s="50">
        <v>605.5</v>
      </c>
    </row>
    <row r="1811" spans="1:5" hidden="1" x14ac:dyDescent="0.3">
      <c r="A1811" s="50" t="s">
        <v>2414</v>
      </c>
      <c r="B1811" s="50" t="s">
        <v>2413</v>
      </c>
      <c r="C1811" s="50" t="s">
        <v>496</v>
      </c>
      <c r="D1811" s="51">
        <v>692.07</v>
      </c>
      <c r="E1811" s="50">
        <v>672.82</v>
      </c>
    </row>
    <row r="1812" spans="1:5" hidden="1" x14ac:dyDescent="0.3">
      <c r="A1812" s="50" t="s">
        <v>2412</v>
      </c>
      <c r="B1812" s="50" t="s">
        <v>2411</v>
      </c>
      <c r="D1812" s="50" t="s">
        <v>2410</v>
      </c>
      <c r="E1812" s="50">
        <v>4215</v>
      </c>
    </row>
    <row r="1813" spans="1:5" hidden="1" x14ac:dyDescent="0.3">
      <c r="A1813" s="50" t="s">
        <v>2409</v>
      </c>
      <c r="B1813" s="50" t="s">
        <v>2408</v>
      </c>
      <c r="D1813" s="50" t="s">
        <v>2407</v>
      </c>
      <c r="E1813" s="50">
        <v>6088</v>
      </c>
    </row>
    <row r="1814" spans="1:5" ht="28.8" hidden="1" x14ac:dyDescent="0.3">
      <c r="A1814" s="50" t="s">
        <v>2406</v>
      </c>
      <c r="B1814" s="50" t="s">
        <v>2405</v>
      </c>
      <c r="D1814" s="51">
        <v>4.8499999999999996</v>
      </c>
      <c r="E1814" s="50">
        <v>4.7300000000000004</v>
      </c>
    </row>
    <row r="1815" spans="1:5" hidden="1" x14ac:dyDescent="0.3">
      <c r="A1815" s="50" t="s">
        <v>2404</v>
      </c>
      <c r="B1815" s="50" t="s">
        <v>2205</v>
      </c>
      <c r="D1815" s="51">
        <v>0</v>
      </c>
      <c r="E1815" s="50">
        <v>0</v>
      </c>
    </row>
    <row r="1816" spans="1:5" hidden="1" x14ac:dyDescent="0.3">
      <c r="A1816" s="50" t="s">
        <v>2403</v>
      </c>
      <c r="B1816" s="50" t="s">
        <v>2402</v>
      </c>
      <c r="C1816" s="50" t="s">
        <v>581</v>
      </c>
      <c r="D1816" s="51">
        <v>114.86</v>
      </c>
      <c r="E1816" s="50">
        <v>114.86</v>
      </c>
    </row>
    <row r="1817" spans="1:5" hidden="1" x14ac:dyDescent="0.3">
      <c r="A1817" s="50" t="s">
        <v>2401</v>
      </c>
      <c r="B1817" s="50" t="s">
        <v>2400</v>
      </c>
      <c r="D1817" s="51">
        <v>0</v>
      </c>
      <c r="E1817" s="50">
        <v>0</v>
      </c>
    </row>
    <row r="1818" spans="1:5" hidden="1" x14ac:dyDescent="0.3">
      <c r="A1818" s="50" t="s">
        <v>2399</v>
      </c>
      <c r="B1818" s="50" t="s">
        <v>2398</v>
      </c>
      <c r="D1818" s="51">
        <v>0</v>
      </c>
      <c r="E1818" s="50">
        <v>0</v>
      </c>
    </row>
    <row r="1819" spans="1:5" hidden="1" x14ac:dyDescent="0.3">
      <c r="A1819" s="50" t="s">
        <v>2397</v>
      </c>
      <c r="B1819" s="50" t="s">
        <v>2396</v>
      </c>
      <c r="D1819" s="51">
        <v>0</v>
      </c>
      <c r="E1819" s="50">
        <v>0</v>
      </c>
    </row>
    <row r="1820" spans="1:5" hidden="1" x14ac:dyDescent="0.3">
      <c r="A1820" s="50" t="s">
        <v>2395</v>
      </c>
      <c r="B1820" s="50" t="s">
        <v>2395</v>
      </c>
      <c r="D1820" s="51">
        <v>0</v>
      </c>
      <c r="E1820" s="50">
        <v>0</v>
      </c>
    </row>
    <row r="1821" spans="1:5" hidden="1" x14ac:dyDescent="0.3">
      <c r="A1821" s="50" t="s">
        <v>2394</v>
      </c>
      <c r="B1821" s="50" t="s">
        <v>2394</v>
      </c>
      <c r="C1821" s="50" t="s">
        <v>496</v>
      </c>
      <c r="D1821" s="51">
        <v>0</v>
      </c>
      <c r="E1821" s="50">
        <v>0</v>
      </c>
    </row>
    <row r="1822" spans="1:5" hidden="1" x14ac:dyDescent="0.3">
      <c r="A1822" s="50" t="s">
        <v>2393</v>
      </c>
      <c r="B1822" s="50" t="s">
        <v>2393</v>
      </c>
      <c r="C1822" s="50" t="s">
        <v>496</v>
      </c>
      <c r="D1822" s="51">
        <v>0</v>
      </c>
      <c r="E1822" s="50">
        <v>0</v>
      </c>
    </row>
    <row r="1823" spans="1:5" hidden="1" x14ac:dyDescent="0.3">
      <c r="A1823" s="50" t="s">
        <v>2392</v>
      </c>
      <c r="B1823" s="50" t="s">
        <v>2391</v>
      </c>
      <c r="C1823" s="50" t="s">
        <v>496</v>
      </c>
      <c r="D1823" s="50" t="s">
        <v>2388</v>
      </c>
      <c r="E1823" s="50">
        <v>1520.58</v>
      </c>
    </row>
    <row r="1824" spans="1:5" hidden="1" x14ac:dyDescent="0.3">
      <c r="A1824" s="50" t="s">
        <v>2390</v>
      </c>
      <c r="B1824" s="50" t="s">
        <v>2389</v>
      </c>
      <c r="C1824" s="50" t="s">
        <v>496</v>
      </c>
      <c r="D1824" s="50" t="s">
        <v>2388</v>
      </c>
      <c r="E1824" s="50">
        <v>1520.58</v>
      </c>
    </row>
    <row r="1825" spans="1:5" hidden="1" x14ac:dyDescent="0.3">
      <c r="A1825" s="50" t="s">
        <v>2387</v>
      </c>
      <c r="B1825" s="50" t="s">
        <v>2386</v>
      </c>
      <c r="C1825" s="50" t="s">
        <v>496</v>
      </c>
      <c r="D1825" s="51">
        <v>0</v>
      </c>
      <c r="E1825" s="50">
        <v>0</v>
      </c>
    </row>
    <row r="1826" spans="1:5" hidden="1" x14ac:dyDescent="0.3">
      <c r="A1826" s="50" t="s">
        <v>2385</v>
      </c>
      <c r="B1826" s="50" t="s">
        <v>2384</v>
      </c>
      <c r="C1826" s="50" t="s">
        <v>496</v>
      </c>
      <c r="D1826" s="51">
        <v>0</v>
      </c>
      <c r="E1826" s="50">
        <v>0</v>
      </c>
    </row>
    <row r="1827" spans="1:5" hidden="1" x14ac:dyDescent="0.3">
      <c r="A1827" s="50" t="s">
        <v>2383</v>
      </c>
      <c r="B1827" s="50" t="s">
        <v>2382</v>
      </c>
      <c r="C1827" s="50" t="s">
        <v>496</v>
      </c>
      <c r="D1827" s="50" t="s">
        <v>2379</v>
      </c>
      <c r="E1827" s="50">
        <v>1547.46</v>
      </c>
    </row>
    <row r="1828" spans="1:5" hidden="1" x14ac:dyDescent="0.3">
      <c r="A1828" s="50" t="s">
        <v>2381</v>
      </c>
      <c r="B1828" s="50" t="s">
        <v>2380</v>
      </c>
      <c r="C1828" s="50" t="s">
        <v>496</v>
      </c>
      <c r="D1828" s="50" t="s">
        <v>2379</v>
      </c>
      <c r="E1828" s="50">
        <v>928.48</v>
      </c>
    </row>
    <row r="1829" spans="1:5" hidden="1" x14ac:dyDescent="0.3">
      <c r="A1829" s="50" t="s">
        <v>2378</v>
      </c>
      <c r="B1829" s="50" t="s">
        <v>2377</v>
      </c>
      <c r="C1829" s="50" t="s">
        <v>496</v>
      </c>
      <c r="D1829" s="51">
        <v>0</v>
      </c>
      <c r="E1829" s="50">
        <v>0</v>
      </c>
    </row>
    <row r="1830" spans="1:5" hidden="1" x14ac:dyDescent="0.3">
      <c r="A1830" s="50" t="s">
        <v>2376</v>
      </c>
      <c r="B1830" s="50" t="s">
        <v>2375</v>
      </c>
      <c r="C1830" s="50" t="s">
        <v>496</v>
      </c>
      <c r="D1830" s="51">
        <v>0</v>
      </c>
      <c r="E1830" s="50">
        <v>0</v>
      </c>
    </row>
    <row r="1831" spans="1:5" hidden="1" x14ac:dyDescent="0.3">
      <c r="A1831" s="50" t="s">
        <v>2374</v>
      </c>
      <c r="B1831" s="50" t="s">
        <v>2373</v>
      </c>
      <c r="C1831" s="50" t="s">
        <v>496</v>
      </c>
      <c r="D1831" s="51">
        <v>0</v>
      </c>
      <c r="E1831" s="50">
        <v>0</v>
      </c>
    </row>
    <row r="1832" spans="1:5" hidden="1" x14ac:dyDescent="0.3">
      <c r="A1832" s="50" t="s">
        <v>2372</v>
      </c>
      <c r="B1832" s="50" t="s">
        <v>2371</v>
      </c>
      <c r="C1832" s="50" t="s">
        <v>496</v>
      </c>
      <c r="D1832" s="51">
        <v>0</v>
      </c>
      <c r="E1832" s="50">
        <v>0</v>
      </c>
    </row>
    <row r="1833" spans="1:5" hidden="1" x14ac:dyDescent="0.3">
      <c r="A1833" s="50" t="s">
        <v>2370</v>
      </c>
      <c r="B1833" s="50" t="s">
        <v>2369</v>
      </c>
      <c r="D1833" s="51">
        <v>0</v>
      </c>
      <c r="E1833" s="50">
        <v>0</v>
      </c>
    </row>
    <row r="1834" spans="1:5" hidden="1" x14ac:dyDescent="0.3">
      <c r="A1834" s="50" t="s">
        <v>2368</v>
      </c>
      <c r="B1834" s="50" t="s">
        <v>2368</v>
      </c>
      <c r="C1834" s="50" t="s">
        <v>581</v>
      </c>
      <c r="D1834" s="50" t="s">
        <v>2367</v>
      </c>
      <c r="E1834" s="50">
        <v>1922.9</v>
      </c>
    </row>
    <row r="1835" spans="1:5" hidden="1" x14ac:dyDescent="0.3">
      <c r="A1835" s="50" t="s">
        <v>2366</v>
      </c>
      <c r="B1835" s="50" t="s">
        <v>2365</v>
      </c>
      <c r="D1835" s="51">
        <v>900</v>
      </c>
      <c r="E1835" s="50">
        <v>900</v>
      </c>
    </row>
    <row r="1836" spans="1:5" hidden="1" x14ac:dyDescent="0.3">
      <c r="A1836" s="50" t="s">
        <v>2364</v>
      </c>
      <c r="B1836" s="50" t="s">
        <v>2363</v>
      </c>
      <c r="C1836" s="50" t="s">
        <v>654</v>
      </c>
      <c r="D1836" s="51">
        <v>0</v>
      </c>
      <c r="E1836" s="50">
        <v>0</v>
      </c>
    </row>
    <row r="1837" spans="1:5" hidden="1" x14ac:dyDescent="0.3">
      <c r="A1837" s="50" t="s">
        <v>2362</v>
      </c>
      <c r="B1837" s="50" t="s">
        <v>2361</v>
      </c>
      <c r="C1837" s="50" t="s">
        <v>654</v>
      </c>
      <c r="D1837" s="51">
        <v>0</v>
      </c>
      <c r="E1837" s="50">
        <v>0</v>
      </c>
    </row>
    <row r="1838" spans="1:5" hidden="1" x14ac:dyDescent="0.3">
      <c r="A1838" s="50" t="s">
        <v>2360</v>
      </c>
      <c r="B1838" s="50" t="s">
        <v>2359</v>
      </c>
      <c r="C1838" s="50" t="s">
        <v>654</v>
      </c>
      <c r="D1838" s="51">
        <v>0</v>
      </c>
      <c r="E1838" s="50">
        <v>0</v>
      </c>
    </row>
    <row r="1839" spans="1:5" ht="28.8" hidden="1" x14ac:dyDescent="0.3">
      <c r="A1839" s="50" t="s">
        <v>2358</v>
      </c>
      <c r="B1839" s="50" t="s">
        <v>2357</v>
      </c>
      <c r="C1839" s="50" t="s">
        <v>654</v>
      </c>
      <c r="D1839" s="51">
        <v>0</v>
      </c>
      <c r="E1839" s="50">
        <v>0</v>
      </c>
    </row>
    <row r="1840" spans="1:5" ht="28.8" hidden="1" x14ac:dyDescent="0.3">
      <c r="A1840" s="50" t="s">
        <v>2356</v>
      </c>
      <c r="B1840" s="50" t="s">
        <v>2355</v>
      </c>
      <c r="C1840" s="50" t="s">
        <v>654</v>
      </c>
      <c r="D1840" s="51">
        <v>0</v>
      </c>
      <c r="E1840" s="50">
        <v>0</v>
      </c>
    </row>
    <row r="1841" spans="1:5" ht="28.8" hidden="1" x14ac:dyDescent="0.3">
      <c r="A1841" s="50" t="s">
        <v>2354</v>
      </c>
      <c r="B1841" s="50" t="s">
        <v>2353</v>
      </c>
      <c r="C1841" s="50" t="s">
        <v>654</v>
      </c>
      <c r="D1841" s="51">
        <v>0</v>
      </c>
      <c r="E1841" s="50">
        <v>0</v>
      </c>
    </row>
    <row r="1842" spans="1:5" hidden="1" x14ac:dyDescent="0.3">
      <c r="A1842" s="50" t="s">
        <v>2352</v>
      </c>
      <c r="B1842" s="50" t="s">
        <v>2351</v>
      </c>
      <c r="C1842" s="50" t="s">
        <v>654</v>
      </c>
      <c r="D1842" s="51">
        <v>0</v>
      </c>
      <c r="E1842" s="50">
        <v>0</v>
      </c>
    </row>
    <row r="1843" spans="1:5" ht="28.8" hidden="1" x14ac:dyDescent="0.3">
      <c r="A1843" s="50" t="s">
        <v>2350</v>
      </c>
      <c r="B1843" s="50" t="s">
        <v>2349</v>
      </c>
      <c r="D1843" s="51">
        <v>0</v>
      </c>
      <c r="E1843" s="50">
        <v>0</v>
      </c>
    </row>
    <row r="1844" spans="1:5" hidden="1" x14ac:dyDescent="0.3">
      <c r="A1844" s="50" t="s">
        <v>2348</v>
      </c>
      <c r="B1844" s="50" t="s">
        <v>2347</v>
      </c>
      <c r="D1844" s="50" t="s">
        <v>2346</v>
      </c>
      <c r="E1844" s="50">
        <v>2399.64</v>
      </c>
    </row>
    <row r="1845" spans="1:5" ht="28.8" hidden="1" x14ac:dyDescent="0.3">
      <c r="A1845" s="50" t="s">
        <v>2345</v>
      </c>
      <c r="B1845" s="50" t="s">
        <v>2344</v>
      </c>
      <c r="D1845" s="50" t="s">
        <v>2343</v>
      </c>
      <c r="E1845" s="50">
        <v>3400</v>
      </c>
    </row>
    <row r="1846" spans="1:5" ht="43.2" hidden="1" x14ac:dyDescent="0.3">
      <c r="A1846" s="50" t="s">
        <v>2342</v>
      </c>
      <c r="B1846" s="50" t="s">
        <v>2341</v>
      </c>
      <c r="D1846" s="50" t="s">
        <v>2340</v>
      </c>
      <c r="E1846" s="50">
        <v>11999</v>
      </c>
    </row>
    <row r="1847" spans="1:5" hidden="1" x14ac:dyDescent="0.3">
      <c r="A1847" s="50" t="s">
        <v>2339</v>
      </c>
      <c r="B1847" s="50" t="s">
        <v>2338</v>
      </c>
      <c r="D1847" s="50" t="s">
        <v>2337</v>
      </c>
      <c r="E1847" s="50">
        <v>3636.67</v>
      </c>
    </row>
    <row r="1848" spans="1:5" ht="28.8" hidden="1" x14ac:dyDescent="0.3">
      <c r="A1848" s="50" t="s">
        <v>2336</v>
      </c>
      <c r="B1848" s="50" t="s">
        <v>2335</v>
      </c>
      <c r="C1848" s="50" t="s">
        <v>643</v>
      </c>
      <c r="D1848" s="51">
        <v>853</v>
      </c>
      <c r="E1848" s="50">
        <v>853</v>
      </c>
    </row>
    <row r="1849" spans="1:5" ht="28.8" hidden="1" x14ac:dyDescent="0.3">
      <c r="A1849" s="50" t="s">
        <v>2334</v>
      </c>
      <c r="B1849" s="50" t="s">
        <v>2333</v>
      </c>
      <c r="C1849" s="50" t="s">
        <v>196</v>
      </c>
      <c r="D1849" s="50" t="s">
        <v>2330</v>
      </c>
      <c r="E1849" s="50">
        <v>2760</v>
      </c>
    </row>
    <row r="1850" spans="1:5" ht="28.8" hidden="1" x14ac:dyDescent="0.3">
      <c r="A1850" s="50" t="s">
        <v>2332</v>
      </c>
      <c r="B1850" s="50" t="s">
        <v>2331</v>
      </c>
      <c r="C1850" s="50" t="s">
        <v>196</v>
      </c>
      <c r="D1850" s="50" t="s">
        <v>2330</v>
      </c>
      <c r="E1850" s="50">
        <v>2760</v>
      </c>
    </row>
    <row r="1851" spans="1:5" ht="28.8" hidden="1" x14ac:dyDescent="0.3">
      <c r="A1851" s="50" t="s">
        <v>2329</v>
      </c>
      <c r="B1851" s="50" t="s">
        <v>2328</v>
      </c>
      <c r="D1851" s="51">
        <v>94.29</v>
      </c>
      <c r="E1851" s="50">
        <v>94.29</v>
      </c>
    </row>
    <row r="1852" spans="1:5" ht="28.8" hidden="1" x14ac:dyDescent="0.3">
      <c r="A1852" s="50" t="s">
        <v>2327</v>
      </c>
      <c r="B1852" s="50" t="s">
        <v>2326</v>
      </c>
      <c r="C1852" s="50" t="s">
        <v>643</v>
      </c>
      <c r="D1852" s="51">
        <v>249.92</v>
      </c>
      <c r="E1852" s="50">
        <v>249.92</v>
      </c>
    </row>
    <row r="1853" spans="1:5" ht="28.8" hidden="1" x14ac:dyDescent="0.3">
      <c r="A1853" s="50" t="s">
        <v>2325</v>
      </c>
      <c r="B1853" s="50" t="s">
        <v>2324</v>
      </c>
      <c r="C1853" s="50" t="s">
        <v>643</v>
      </c>
      <c r="D1853" s="50" t="s">
        <v>2321</v>
      </c>
      <c r="E1853" s="50">
        <v>2950</v>
      </c>
    </row>
    <row r="1854" spans="1:5" ht="28.8" hidden="1" x14ac:dyDescent="0.3">
      <c r="A1854" s="50" t="s">
        <v>2323</v>
      </c>
      <c r="B1854" s="50" t="s">
        <v>2322</v>
      </c>
      <c r="C1854" s="50" t="s">
        <v>643</v>
      </c>
      <c r="D1854" s="50" t="s">
        <v>2321</v>
      </c>
      <c r="E1854" s="50">
        <v>2950</v>
      </c>
    </row>
    <row r="1855" spans="1:5" ht="28.8" hidden="1" x14ac:dyDescent="0.3">
      <c r="A1855" s="50" t="s">
        <v>2320</v>
      </c>
      <c r="B1855" s="50" t="s">
        <v>2319</v>
      </c>
      <c r="D1855" s="50" t="s">
        <v>2311</v>
      </c>
      <c r="E1855" s="50">
        <v>3230</v>
      </c>
    </row>
    <row r="1856" spans="1:5" ht="28.8" hidden="1" x14ac:dyDescent="0.3">
      <c r="A1856" s="50" t="s">
        <v>2318</v>
      </c>
      <c r="B1856" s="50" t="s">
        <v>2317</v>
      </c>
      <c r="C1856" s="50" t="s">
        <v>643</v>
      </c>
      <c r="D1856" s="51">
        <v>5</v>
      </c>
      <c r="E1856" s="50">
        <v>5</v>
      </c>
    </row>
    <row r="1857" spans="1:5" ht="28.8" hidden="1" x14ac:dyDescent="0.3">
      <c r="A1857" s="50" t="s">
        <v>2316</v>
      </c>
      <c r="B1857" s="50" t="s">
        <v>2315</v>
      </c>
      <c r="C1857" s="50" t="s">
        <v>196</v>
      </c>
      <c r="D1857" s="50" t="s">
        <v>2314</v>
      </c>
      <c r="E1857" s="50">
        <v>3000</v>
      </c>
    </row>
    <row r="1858" spans="1:5" ht="28.8" hidden="1" x14ac:dyDescent="0.3">
      <c r="A1858" s="50" t="s">
        <v>2313</v>
      </c>
      <c r="B1858" s="50" t="s">
        <v>2312</v>
      </c>
      <c r="C1858" s="50" t="s">
        <v>196</v>
      </c>
      <c r="D1858" s="50" t="s">
        <v>2311</v>
      </c>
      <c r="E1858" s="50">
        <v>3230</v>
      </c>
    </row>
    <row r="1859" spans="1:5" ht="28.8" hidden="1" x14ac:dyDescent="0.3">
      <c r="A1859" s="50" t="s">
        <v>2310</v>
      </c>
      <c r="B1859" s="50" t="s">
        <v>2309</v>
      </c>
      <c r="C1859" s="50" t="s">
        <v>196</v>
      </c>
      <c r="D1859" s="50" t="s">
        <v>2308</v>
      </c>
      <c r="E1859" s="50">
        <v>3140</v>
      </c>
    </row>
    <row r="1860" spans="1:5" ht="28.8" hidden="1" x14ac:dyDescent="0.3">
      <c r="A1860" s="50" t="s">
        <v>2307</v>
      </c>
      <c r="B1860" s="50" t="s">
        <v>2306</v>
      </c>
      <c r="C1860" s="50" t="s">
        <v>196</v>
      </c>
      <c r="D1860" s="50" t="s">
        <v>2305</v>
      </c>
      <c r="E1860" s="50">
        <v>4200</v>
      </c>
    </row>
    <row r="1861" spans="1:5" hidden="1" x14ac:dyDescent="0.3">
      <c r="A1861" s="50" t="s">
        <v>2304</v>
      </c>
      <c r="B1861" s="50" t="s">
        <v>2303</v>
      </c>
      <c r="D1861" s="51">
        <v>344</v>
      </c>
      <c r="E1861" s="50">
        <v>344</v>
      </c>
    </row>
    <row r="1862" spans="1:5" hidden="1" x14ac:dyDescent="0.3">
      <c r="A1862" s="50" t="s">
        <v>2302</v>
      </c>
      <c r="B1862" s="50" t="s">
        <v>2301</v>
      </c>
      <c r="D1862" s="51">
        <v>0</v>
      </c>
      <c r="E1862" s="50">
        <v>0</v>
      </c>
    </row>
    <row r="1863" spans="1:5" ht="28.8" hidden="1" x14ac:dyDescent="0.3">
      <c r="A1863" s="50" t="s">
        <v>2300</v>
      </c>
      <c r="B1863" s="50" t="s">
        <v>2299</v>
      </c>
      <c r="C1863" s="50" t="s">
        <v>2298</v>
      </c>
      <c r="D1863" s="50" t="s">
        <v>2297</v>
      </c>
      <c r="E1863" s="50">
        <v>1737</v>
      </c>
    </row>
    <row r="1864" spans="1:5" ht="43.2" hidden="1" x14ac:dyDescent="0.3">
      <c r="A1864" s="50" t="s">
        <v>2296</v>
      </c>
      <c r="B1864" s="50" t="s">
        <v>2295</v>
      </c>
      <c r="D1864" s="50" t="s">
        <v>2294</v>
      </c>
      <c r="E1864" s="50">
        <v>1729</v>
      </c>
    </row>
    <row r="1865" spans="1:5" ht="43.2" hidden="1" x14ac:dyDescent="0.3">
      <c r="A1865" s="50" t="s">
        <v>2293</v>
      </c>
      <c r="B1865" s="50" t="s">
        <v>2292</v>
      </c>
      <c r="D1865" s="51">
        <v>520.87</v>
      </c>
      <c r="E1865" s="50">
        <v>520.87</v>
      </c>
    </row>
    <row r="1866" spans="1:5" ht="43.2" hidden="1" x14ac:dyDescent="0.3">
      <c r="A1866" s="50" t="s">
        <v>2291</v>
      </c>
      <c r="B1866" s="50" t="s">
        <v>2290</v>
      </c>
      <c r="D1866" s="51">
        <v>520.87</v>
      </c>
      <c r="E1866" s="50">
        <v>520.87</v>
      </c>
    </row>
    <row r="1867" spans="1:5" ht="43.2" hidden="1" x14ac:dyDescent="0.3">
      <c r="A1867" s="50" t="s">
        <v>2289</v>
      </c>
      <c r="B1867" s="50" t="s">
        <v>2288</v>
      </c>
      <c r="D1867" s="51">
        <v>520.87</v>
      </c>
      <c r="E1867" s="50">
        <v>520.87</v>
      </c>
    </row>
    <row r="1868" spans="1:5" ht="43.2" hidden="1" x14ac:dyDescent="0.3">
      <c r="A1868" s="50" t="s">
        <v>2287</v>
      </c>
      <c r="B1868" s="50" t="s">
        <v>2286</v>
      </c>
      <c r="D1868" s="51">
        <v>520.87</v>
      </c>
      <c r="E1868" s="50">
        <v>520.87</v>
      </c>
    </row>
    <row r="1869" spans="1:5" ht="43.2" hidden="1" x14ac:dyDescent="0.3">
      <c r="A1869" s="50" t="s">
        <v>2285</v>
      </c>
      <c r="B1869" s="50" t="s">
        <v>2284</v>
      </c>
      <c r="D1869" s="51">
        <v>520.87</v>
      </c>
      <c r="E1869" s="50">
        <v>520.87</v>
      </c>
    </row>
    <row r="1870" spans="1:5" hidden="1" x14ac:dyDescent="0.3">
      <c r="A1870" s="50" t="s">
        <v>2283</v>
      </c>
      <c r="B1870" s="50" t="s">
        <v>2282</v>
      </c>
      <c r="D1870" s="51">
        <v>0</v>
      </c>
      <c r="E1870" s="50">
        <v>0</v>
      </c>
    </row>
    <row r="1871" spans="1:5" hidden="1" x14ac:dyDescent="0.3">
      <c r="A1871" s="50" t="s">
        <v>2281</v>
      </c>
      <c r="B1871" s="50" t="s">
        <v>2280</v>
      </c>
      <c r="C1871" s="50" t="s">
        <v>196</v>
      </c>
      <c r="D1871" s="51">
        <v>0</v>
      </c>
      <c r="E1871" s="50">
        <v>518.48</v>
      </c>
    </row>
    <row r="1872" spans="1:5" hidden="1" x14ac:dyDescent="0.3">
      <c r="A1872" s="50" t="s">
        <v>2279</v>
      </c>
      <c r="B1872" s="50" t="s">
        <v>2278</v>
      </c>
      <c r="C1872" s="50" t="s">
        <v>196</v>
      </c>
      <c r="D1872" s="51">
        <v>0</v>
      </c>
      <c r="E1872" s="50">
        <v>437.68</v>
      </c>
    </row>
    <row r="1873" spans="1:5" hidden="1" x14ac:dyDescent="0.3">
      <c r="A1873" s="50" t="s">
        <v>2277</v>
      </c>
      <c r="B1873" s="50" t="s">
        <v>2276</v>
      </c>
      <c r="C1873" s="50" t="s">
        <v>196</v>
      </c>
      <c r="D1873" s="51">
        <v>0</v>
      </c>
      <c r="E1873" s="50">
        <v>555.74</v>
      </c>
    </row>
    <row r="1874" spans="1:5" hidden="1" x14ac:dyDescent="0.3">
      <c r="A1874" s="50" t="s">
        <v>2275</v>
      </c>
      <c r="B1874" s="50" t="s">
        <v>2274</v>
      </c>
      <c r="C1874" s="50" t="s">
        <v>196</v>
      </c>
      <c r="D1874" s="51">
        <v>0</v>
      </c>
      <c r="E1874" s="50">
        <v>724.5</v>
      </c>
    </row>
    <row r="1875" spans="1:5" hidden="1" x14ac:dyDescent="0.3">
      <c r="A1875" s="50" t="s">
        <v>2273</v>
      </c>
      <c r="B1875" s="50" t="s">
        <v>2272</v>
      </c>
      <c r="C1875" s="50" t="s">
        <v>196</v>
      </c>
      <c r="D1875" s="51">
        <v>0</v>
      </c>
      <c r="E1875" s="50">
        <v>974.05</v>
      </c>
    </row>
    <row r="1876" spans="1:5" hidden="1" x14ac:dyDescent="0.3">
      <c r="A1876" s="50" t="s">
        <v>2271</v>
      </c>
      <c r="B1876" s="50" t="s">
        <v>2270</v>
      </c>
      <c r="D1876" s="51">
        <v>0</v>
      </c>
      <c r="E1876" s="50">
        <v>0</v>
      </c>
    </row>
    <row r="1877" spans="1:5" ht="72" hidden="1" x14ac:dyDescent="0.3">
      <c r="A1877" s="50" t="s">
        <v>26</v>
      </c>
      <c r="B1877" s="50" t="s">
        <v>26</v>
      </c>
      <c r="D1877" s="51">
        <v>0.65</v>
      </c>
      <c r="E1877" s="50">
        <v>0.65</v>
      </c>
    </row>
    <row r="1878" spans="1:5" ht="57.6" hidden="1" x14ac:dyDescent="0.3">
      <c r="A1878" s="50" t="s">
        <v>2269</v>
      </c>
      <c r="B1878" s="50" t="s">
        <v>2268</v>
      </c>
      <c r="D1878" s="51">
        <v>0.4</v>
      </c>
      <c r="E1878" s="50">
        <v>0.4</v>
      </c>
    </row>
    <row r="1879" spans="1:5" ht="86.4" hidden="1" x14ac:dyDescent="0.3">
      <c r="A1879" s="50" t="s">
        <v>24</v>
      </c>
      <c r="B1879" s="50" t="s">
        <v>24</v>
      </c>
      <c r="D1879" s="51">
        <v>0.2</v>
      </c>
      <c r="E1879" s="50">
        <v>0.2</v>
      </c>
    </row>
    <row r="1880" spans="1:5" ht="28.8" hidden="1" x14ac:dyDescent="0.3">
      <c r="A1880" s="50" t="s">
        <v>27</v>
      </c>
      <c r="B1880" s="50" t="s">
        <v>28</v>
      </c>
      <c r="D1880" s="51">
        <v>1.8</v>
      </c>
      <c r="E1880" s="50">
        <v>1.1000000000000001</v>
      </c>
    </row>
    <row r="1881" spans="1:5" ht="57.6" hidden="1" x14ac:dyDescent="0.3">
      <c r="A1881" s="50" t="s">
        <v>2267</v>
      </c>
      <c r="B1881" s="50" t="s">
        <v>2267</v>
      </c>
      <c r="D1881" s="51">
        <v>20</v>
      </c>
      <c r="E1881" s="50">
        <v>20</v>
      </c>
    </row>
    <row r="1882" spans="1:5" hidden="1" x14ac:dyDescent="0.3">
      <c r="A1882" s="50" t="s">
        <v>2266</v>
      </c>
      <c r="B1882" s="50" t="s">
        <v>2265</v>
      </c>
      <c r="D1882" s="51">
        <v>1.8</v>
      </c>
      <c r="E1882" s="50">
        <v>1.88</v>
      </c>
    </row>
    <row r="1883" spans="1:5" ht="72" hidden="1" x14ac:dyDescent="0.3">
      <c r="A1883" s="50" t="s">
        <v>30</v>
      </c>
      <c r="B1883" s="50" t="s">
        <v>30</v>
      </c>
      <c r="D1883" s="51">
        <v>1.8</v>
      </c>
      <c r="E1883" s="50">
        <v>1.8</v>
      </c>
    </row>
    <row r="1884" spans="1:5" hidden="1" x14ac:dyDescent="0.3">
      <c r="A1884" s="50" t="s">
        <v>2264</v>
      </c>
      <c r="B1884" s="50" t="s">
        <v>2210</v>
      </c>
      <c r="D1884" s="51">
        <v>1.8</v>
      </c>
      <c r="E1884" s="50">
        <v>2.25</v>
      </c>
    </row>
    <row r="1885" spans="1:5" ht="72" hidden="1" x14ac:dyDescent="0.3">
      <c r="A1885" s="50" t="s">
        <v>32</v>
      </c>
      <c r="B1885" s="50" t="s">
        <v>32</v>
      </c>
      <c r="D1885" s="51">
        <v>0.5</v>
      </c>
      <c r="E1885" s="50">
        <v>0.5</v>
      </c>
    </row>
    <row r="1886" spans="1:5" hidden="1" x14ac:dyDescent="0.3">
      <c r="A1886" s="50" t="s">
        <v>33</v>
      </c>
      <c r="B1886" s="50" t="s">
        <v>2263</v>
      </c>
      <c r="D1886" s="51">
        <v>1.8</v>
      </c>
      <c r="E1886" s="50">
        <v>1.8</v>
      </c>
    </row>
    <row r="1887" spans="1:5" hidden="1" x14ac:dyDescent="0.3">
      <c r="A1887" s="50" t="s">
        <v>35</v>
      </c>
      <c r="B1887" s="50" t="s">
        <v>2262</v>
      </c>
      <c r="D1887" s="51">
        <v>4</v>
      </c>
      <c r="E1887" s="50">
        <v>3.17</v>
      </c>
    </row>
    <row r="1888" spans="1:5" hidden="1" x14ac:dyDescent="0.3">
      <c r="A1888" s="50" t="s">
        <v>37</v>
      </c>
      <c r="B1888" s="50" t="s">
        <v>38</v>
      </c>
      <c r="D1888" s="51">
        <v>2.6</v>
      </c>
      <c r="E1888" s="50">
        <v>2.6</v>
      </c>
    </row>
    <row r="1889" spans="1:5" hidden="1" x14ac:dyDescent="0.3">
      <c r="A1889" s="50" t="s">
        <v>39</v>
      </c>
      <c r="B1889" s="50" t="s">
        <v>40</v>
      </c>
      <c r="D1889" s="51">
        <v>4</v>
      </c>
      <c r="E1889" s="50">
        <v>4</v>
      </c>
    </row>
    <row r="1890" spans="1:5" hidden="1" x14ac:dyDescent="0.3">
      <c r="A1890" s="50" t="s">
        <v>2261</v>
      </c>
      <c r="B1890" s="50" t="s">
        <v>2260</v>
      </c>
      <c r="D1890" s="51">
        <v>1</v>
      </c>
      <c r="E1890" s="50">
        <v>1.1200000000000001</v>
      </c>
    </row>
    <row r="1891" spans="1:5" hidden="1" x14ac:dyDescent="0.3">
      <c r="A1891" s="50" t="s">
        <v>2259</v>
      </c>
      <c r="B1891" s="50" t="s">
        <v>2258</v>
      </c>
      <c r="D1891" s="51">
        <v>0.8</v>
      </c>
      <c r="E1891" s="50">
        <v>0.8</v>
      </c>
    </row>
    <row r="1892" spans="1:5" hidden="1" x14ac:dyDescent="0.3">
      <c r="A1892" s="50" t="s">
        <v>2257</v>
      </c>
      <c r="B1892" s="50" t="s">
        <v>2251</v>
      </c>
      <c r="D1892" s="51">
        <v>0</v>
      </c>
      <c r="E1892" s="50">
        <v>0</v>
      </c>
    </row>
    <row r="1893" spans="1:5" ht="72" hidden="1" x14ac:dyDescent="0.3">
      <c r="A1893" s="50" t="s">
        <v>42</v>
      </c>
      <c r="B1893" s="50" t="s">
        <v>42</v>
      </c>
      <c r="D1893" s="51">
        <v>3</v>
      </c>
      <c r="E1893" s="50">
        <v>3</v>
      </c>
    </row>
    <row r="1894" spans="1:5" hidden="1" x14ac:dyDescent="0.3">
      <c r="A1894" s="50" t="s">
        <v>2256</v>
      </c>
      <c r="B1894" s="50" t="s">
        <v>2255</v>
      </c>
      <c r="D1894" s="51">
        <v>6</v>
      </c>
      <c r="E1894" s="50">
        <v>4.92</v>
      </c>
    </row>
    <row r="1895" spans="1:5" ht="28.8" hidden="1" x14ac:dyDescent="0.3">
      <c r="A1895" s="50" t="s">
        <v>2254</v>
      </c>
      <c r="B1895" s="50" t="s">
        <v>2253</v>
      </c>
      <c r="D1895" s="51">
        <v>8</v>
      </c>
      <c r="E1895" s="50">
        <v>4.97</v>
      </c>
    </row>
    <row r="1896" spans="1:5" hidden="1" x14ac:dyDescent="0.3">
      <c r="A1896" s="50" t="s">
        <v>2252</v>
      </c>
      <c r="B1896" s="50" t="s">
        <v>2251</v>
      </c>
      <c r="D1896" s="51">
        <v>5.9</v>
      </c>
      <c r="E1896" s="50">
        <v>6.42</v>
      </c>
    </row>
    <row r="1897" spans="1:5" hidden="1" x14ac:dyDescent="0.3">
      <c r="A1897" s="50" t="s">
        <v>43</v>
      </c>
      <c r="B1897" s="50" t="s">
        <v>44</v>
      </c>
      <c r="D1897" s="51">
        <v>5.8</v>
      </c>
      <c r="E1897" s="50">
        <v>6.25</v>
      </c>
    </row>
    <row r="1898" spans="1:5" ht="28.8" hidden="1" x14ac:dyDescent="0.3">
      <c r="A1898" s="50" t="s">
        <v>45</v>
      </c>
      <c r="B1898" s="50" t="s">
        <v>46</v>
      </c>
      <c r="D1898" s="51">
        <v>3</v>
      </c>
      <c r="E1898" s="50">
        <v>3</v>
      </c>
    </row>
    <row r="1899" spans="1:5" ht="72" hidden="1" x14ac:dyDescent="0.3">
      <c r="A1899" s="50" t="s">
        <v>2250</v>
      </c>
      <c r="B1899" s="50" t="s">
        <v>2250</v>
      </c>
      <c r="D1899" s="51">
        <v>0.8</v>
      </c>
      <c r="E1899" s="50">
        <v>0.8</v>
      </c>
    </row>
    <row r="1900" spans="1:5" hidden="1" x14ac:dyDescent="0.3">
      <c r="A1900" s="50" t="s">
        <v>49</v>
      </c>
      <c r="B1900" s="50" t="s">
        <v>50</v>
      </c>
      <c r="D1900" s="51">
        <v>3</v>
      </c>
      <c r="E1900" s="50">
        <v>3</v>
      </c>
    </row>
    <row r="1901" spans="1:5" ht="86.4" hidden="1" x14ac:dyDescent="0.3">
      <c r="A1901" s="50" t="s">
        <v>2249</v>
      </c>
      <c r="B1901" s="50" t="s">
        <v>2249</v>
      </c>
      <c r="D1901" s="51">
        <v>0.6</v>
      </c>
      <c r="E1901" s="50">
        <v>0.6</v>
      </c>
    </row>
    <row r="1902" spans="1:5" ht="28.8" hidden="1" x14ac:dyDescent="0.3">
      <c r="A1902" s="50" t="s">
        <v>2248</v>
      </c>
      <c r="B1902" s="50" t="s">
        <v>2247</v>
      </c>
      <c r="C1902" s="50" t="s">
        <v>14</v>
      </c>
      <c r="D1902" s="51">
        <v>0</v>
      </c>
      <c r="E1902" s="50">
        <v>0</v>
      </c>
    </row>
    <row r="1903" spans="1:5" ht="43.2" hidden="1" x14ac:dyDescent="0.3">
      <c r="A1903" s="50" t="s">
        <v>52</v>
      </c>
      <c r="B1903" s="50" t="s">
        <v>52</v>
      </c>
      <c r="D1903" s="51">
        <v>1.3</v>
      </c>
      <c r="E1903" s="50">
        <v>1.3</v>
      </c>
    </row>
    <row r="1904" spans="1:5" ht="72" hidden="1" x14ac:dyDescent="0.3">
      <c r="A1904" s="50" t="s">
        <v>2246</v>
      </c>
      <c r="B1904" s="50" t="s">
        <v>2246</v>
      </c>
      <c r="D1904" s="51">
        <v>8</v>
      </c>
      <c r="E1904" s="50">
        <v>8</v>
      </c>
    </row>
    <row r="1905" spans="1:5" ht="28.8" hidden="1" x14ac:dyDescent="0.3">
      <c r="A1905" s="50" t="s">
        <v>2245</v>
      </c>
      <c r="B1905" s="50" t="s">
        <v>2244</v>
      </c>
      <c r="C1905" s="50" t="s">
        <v>14</v>
      </c>
      <c r="D1905" s="51">
        <v>0</v>
      </c>
      <c r="E1905" s="50">
        <v>0</v>
      </c>
    </row>
    <row r="1906" spans="1:5" ht="57.6" hidden="1" x14ac:dyDescent="0.3">
      <c r="A1906" s="50" t="s">
        <v>2243</v>
      </c>
      <c r="B1906" s="50" t="s">
        <v>2242</v>
      </c>
      <c r="D1906" s="51">
        <v>1.3</v>
      </c>
      <c r="E1906" s="50">
        <v>1.3</v>
      </c>
    </row>
    <row r="1907" spans="1:5" ht="86.4" hidden="1" x14ac:dyDescent="0.3">
      <c r="A1907" s="50" t="s">
        <v>54</v>
      </c>
      <c r="B1907" s="50" t="s">
        <v>54</v>
      </c>
      <c r="D1907" s="51">
        <v>0.8</v>
      </c>
      <c r="E1907" s="50">
        <v>0.8</v>
      </c>
    </row>
    <row r="1908" spans="1:5" ht="43.2" hidden="1" x14ac:dyDescent="0.3">
      <c r="A1908" s="50" t="s">
        <v>56</v>
      </c>
      <c r="B1908" s="50" t="s">
        <v>56</v>
      </c>
      <c r="D1908" s="51">
        <v>1.8</v>
      </c>
      <c r="E1908" s="50">
        <v>1.8</v>
      </c>
    </row>
    <row r="1909" spans="1:5" hidden="1" x14ac:dyDescent="0.3">
      <c r="A1909" s="50" t="s">
        <v>2241</v>
      </c>
      <c r="B1909" s="50" t="s">
        <v>2240</v>
      </c>
      <c r="D1909" s="51">
        <v>2</v>
      </c>
      <c r="E1909" s="50">
        <v>2</v>
      </c>
    </row>
    <row r="1910" spans="1:5" ht="28.8" hidden="1" x14ac:dyDescent="0.3">
      <c r="A1910" s="50" t="s">
        <v>2239</v>
      </c>
      <c r="B1910" s="50" t="s">
        <v>2238</v>
      </c>
      <c r="D1910" s="51">
        <v>1.8</v>
      </c>
      <c r="E1910" s="50">
        <v>1.8</v>
      </c>
    </row>
    <row r="1911" spans="1:5" ht="28.8" hidden="1" x14ac:dyDescent="0.3">
      <c r="A1911" s="50" t="s">
        <v>2237</v>
      </c>
      <c r="B1911" s="50" t="s">
        <v>2236</v>
      </c>
      <c r="D1911" s="51">
        <v>75</v>
      </c>
      <c r="E1911" s="50">
        <v>75</v>
      </c>
    </row>
    <row r="1912" spans="1:5" hidden="1" x14ac:dyDescent="0.3">
      <c r="A1912" s="50" t="s">
        <v>2235</v>
      </c>
      <c r="B1912" s="50" t="s">
        <v>2234</v>
      </c>
      <c r="D1912" s="51">
        <v>20</v>
      </c>
      <c r="E1912" s="50">
        <v>20</v>
      </c>
    </row>
    <row r="1913" spans="1:5" ht="57.6" hidden="1" x14ac:dyDescent="0.3">
      <c r="A1913" s="50" t="s">
        <v>2233</v>
      </c>
      <c r="B1913" s="50" t="s">
        <v>2233</v>
      </c>
      <c r="D1913" s="51">
        <v>0</v>
      </c>
      <c r="E1913" s="50">
        <v>0</v>
      </c>
    </row>
    <row r="1914" spans="1:5" ht="43.2" hidden="1" x14ac:dyDescent="0.3">
      <c r="A1914" s="50" t="s">
        <v>58</v>
      </c>
      <c r="B1914" s="50" t="s">
        <v>59</v>
      </c>
      <c r="D1914" s="51">
        <v>18</v>
      </c>
      <c r="E1914" s="50">
        <v>18.059999999999999</v>
      </c>
    </row>
    <row r="1915" spans="1:5" hidden="1" x14ac:dyDescent="0.3">
      <c r="A1915" s="50" t="s">
        <v>2232</v>
      </c>
      <c r="B1915" s="50" t="s">
        <v>2231</v>
      </c>
      <c r="D1915" s="51">
        <v>10</v>
      </c>
      <c r="E1915" s="50">
        <v>7.14</v>
      </c>
    </row>
    <row r="1916" spans="1:5" ht="72" hidden="1" x14ac:dyDescent="0.3">
      <c r="A1916" s="50" t="s">
        <v>2230</v>
      </c>
      <c r="B1916" s="50" t="s">
        <v>2230</v>
      </c>
      <c r="D1916" s="51">
        <v>6</v>
      </c>
      <c r="E1916" s="50">
        <v>6</v>
      </c>
    </row>
    <row r="1917" spans="1:5" ht="57.6" hidden="1" x14ac:dyDescent="0.3">
      <c r="A1917" s="50" t="s">
        <v>2229</v>
      </c>
      <c r="B1917" s="50" t="s">
        <v>2229</v>
      </c>
      <c r="D1917" s="51">
        <v>20</v>
      </c>
      <c r="E1917" s="50">
        <v>20</v>
      </c>
    </row>
    <row r="1918" spans="1:5" hidden="1" x14ac:dyDescent="0.3">
      <c r="A1918" s="50" t="s">
        <v>2228</v>
      </c>
      <c r="B1918" s="50" t="s">
        <v>2227</v>
      </c>
      <c r="D1918" s="51">
        <v>65</v>
      </c>
      <c r="E1918" s="50">
        <v>65</v>
      </c>
    </row>
    <row r="1919" spans="1:5" hidden="1" x14ac:dyDescent="0.3">
      <c r="A1919" s="50" t="s">
        <v>66</v>
      </c>
      <c r="B1919" s="50" t="s">
        <v>67</v>
      </c>
      <c r="D1919" s="51">
        <v>12</v>
      </c>
      <c r="E1919" s="50">
        <v>12</v>
      </c>
    </row>
    <row r="1920" spans="1:5" ht="57.6" hidden="1" x14ac:dyDescent="0.3">
      <c r="A1920" s="50" t="s">
        <v>2226</v>
      </c>
      <c r="B1920" s="50" t="s">
        <v>2226</v>
      </c>
      <c r="D1920" s="51">
        <v>43.15</v>
      </c>
      <c r="E1920" s="50">
        <v>43.15</v>
      </c>
    </row>
    <row r="1921" spans="1:5" ht="57.6" hidden="1" x14ac:dyDescent="0.3">
      <c r="A1921" s="50" t="s">
        <v>2225</v>
      </c>
      <c r="B1921" s="50" t="s">
        <v>2225</v>
      </c>
      <c r="D1921" s="51">
        <v>8</v>
      </c>
      <c r="E1921" s="50">
        <v>8</v>
      </c>
    </row>
    <row r="1922" spans="1:5" ht="43.2" hidden="1" x14ac:dyDescent="0.3">
      <c r="A1922" s="50" t="s">
        <v>2224</v>
      </c>
      <c r="B1922" s="50" t="s">
        <v>2224</v>
      </c>
      <c r="D1922" s="51">
        <v>0.15</v>
      </c>
      <c r="E1922" s="50">
        <v>0.15</v>
      </c>
    </row>
    <row r="1923" spans="1:5" ht="57.6" hidden="1" x14ac:dyDescent="0.3">
      <c r="A1923" s="50" t="s">
        <v>69</v>
      </c>
      <c r="B1923" s="50" t="s">
        <v>69</v>
      </c>
      <c r="D1923" s="51">
        <v>0.3</v>
      </c>
      <c r="E1923" s="50">
        <v>0.34</v>
      </c>
    </row>
    <row r="1924" spans="1:5" ht="43.2" hidden="1" x14ac:dyDescent="0.3">
      <c r="A1924" s="50" t="s">
        <v>71</v>
      </c>
      <c r="B1924" s="50" t="s">
        <v>71</v>
      </c>
      <c r="D1924" s="51">
        <v>1</v>
      </c>
      <c r="E1924" s="50">
        <v>0.92</v>
      </c>
    </row>
    <row r="1925" spans="1:5" ht="28.8" hidden="1" x14ac:dyDescent="0.3">
      <c r="A1925" s="50" t="s">
        <v>2223</v>
      </c>
      <c r="B1925" s="50" t="s">
        <v>2222</v>
      </c>
      <c r="D1925" s="50" t="s">
        <v>2221</v>
      </c>
      <c r="E1925" s="50">
        <v>18017.61</v>
      </c>
    </row>
    <row r="1926" spans="1:5" hidden="1" x14ac:dyDescent="0.3">
      <c r="A1926" s="50" t="s">
        <v>2220</v>
      </c>
      <c r="B1926" s="50" t="s">
        <v>2219</v>
      </c>
      <c r="D1926" s="51">
        <v>0.15</v>
      </c>
      <c r="E1926" s="50">
        <v>0.15</v>
      </c>
    </row>
    <row r="1927" spans="1:5" hidden="1" x14ac:dyDescent="0.3">
      <c r="A1927" s="50" t="s">
        <v>2218</v>
      </c>
      <c r="B1927" s="50" t="s">
        <v>2210</v>
      </c>
      <c r="D1927" s="51">
        <v>0.9</v>
      </c>
      <c r="E1927" s="50">
        <v>0.9</v>
      </c>
    </row>
    <row r="1928" spans="1:5" ht="72" hidden="1" x14ac:dyDescent="0.3">
      <c r="A1928" s="50" t="s">
        <v>75</v>
      </c>
      <c r="B1928" s="50" t="s">
        <v>75</v>
      </c>
      <c r="D1928" s="51">
        <v>0.08</v>
      </c>
      <c r="E1928" s="50">
        <v>0.08</v>
      </c>
    </row>
    <row r="1929" spans="1:5" ht="43.2" hidden="1" x14ac:dyDescent="0.3">
      <c r="A1929" s="50" t="s">
        <v>77</v>
      </c>
      <c r="B1929" s="50" t="s">
        <v>77</v>
      </c>
      <c r="D1929" s="51">
        <v>0.12</v>
      </c>
      <c r="E1929" s="50">
        <v>0.12</v>
      </c>
    </row>
    <row r="1930" spans="1:5" ht="28.8" hidden="1" x14ac:dyDescent="0.3">
      <c r="A1930" s="50" t="s">
        <v>21</v>
      </c>
      <c r="B1930" s="50" t="s">
        <v>21</v>
      </c>
      <c r="D1930" s="51">
        <v>0.2</v>
      </c>
      <c r="E1930" s="50">
        <v>0.2</v>
      </c>
    </row>
    <row r="1931" spans="1:5" ht="86.4" hidden="1" x14ac:dyDescent="0.3">
      <c r="A1931" s="50" t="s">
        <v>2217</v>
      </c>
      <c r="B1931" s="50" t="s">
        <v>2217</v>
      </c>
      <c r="D1931" s="51">
        <v>6</v>
      </c>
      <c r="E1931" s="50">
        <v>6</v>
      </c>
    </row>
    <row r="1932" spans="1:5" ht="72" hidden="1" x14ac:dyDescent="0.3">
      <c r="A1932" s="50" t="s">
        <v>79</v>
      </c>
      <c r="B1932" s="50" t="s">
        <v>79</v>
      </c>
      <c r="D1932" s="51">
        <v>0.6</v>
      </c>
      <c r="E1932" s="50">
        <v>0.59</v>
      </c>
    </row>
    <row r="1933" spans="1:5" hidden="1" x14ac:dyDescent="0.3">
      <c r="A1933" s="50" t="s">
        <v>80</v>
      </c>
      <c r="B1933" s="50" t="s">
        <v>81</v>
      </c>
      <c r="D1933" s="51">
        <v>1</v>
      </c>
      <c r="E1933" s="50">
        <v>1</v>
      </c>
    </row>
    <row r="1934" spans="1:5" ht="43.2" hidden="1" x14ac:dyDescent="0.3">
      <c r="A1934" s="50" t="s">
        <v>465</v>
      </c>
      <c r="B1934" s="50" t="s">
        <v>465</v>
      </c>
      <c r="D1934" s="51">
        <v>0.65</v>
      </c>
      <c r="E1934" s="50">
        <v>0.65</v>
      </c>
    </row>
    <row r="1935" spans="1:5" ht="57.6" hidden="1" x14ac:dyDescent="0.3">
      <c r="A1935" s="50" t="s">
        <v>83</v>
      </c>
      <c r="B1935" s="50" t="s">
        <v>83</v>
      </c>
      <c r="D1935" s="51">
        <v>0.8</v>
      </c>
      <c r="E1935" s="50">
        <v>0.8</v>
      </c>
    </row>
    <row r="1936" spans="1:5" hidden="1" x14ac:dyDescent="0.3">
      <c r="A1936" s="50" t="s">
        <v>2216</v>
      </c>
      <c r="B1936" s="50" t="s">
        <v>85</v>
      </c>
      <c r="C1936" s="50" t="s">
        <v>1165</v>
      </c>
      <c r="D1936" s="51">
        <v>0.3</v>
      </c>
      <c r="E1936" s="50">
        <v>0.3</v>
      </c>
    </row>
    <row r="1937" spans="1:5" ht="72" hidden="1" x14ac:dyDescent="0.3">
      <c r="A1937" s="50" t="s">
        <v>87</v>
      </c>
      <c r="B1937" s="50" t="s">
        <v>87</v>
      </c>
      <c r="D1937" s="51">
        <v>1.8</v>
      </c>
      <c r="E1937" s="50">
        <v>1.8</v>
      </c>
    </row>
    <row r="1938" spans="1:5" ht="28.8" hidden="1" x14ac:dyDescent="0.3">
      <c r="A1938" s="50" t="s">
        <v>2215</v>
      </c>
      <c r="B1938" s="50" t="s">
        <v>2215</v>
      </c>
      <c r="D1938" s="51">
        <v>5</v>
      </c>
      <c r="E1938" s="50">
        <v>5</v>
      </c>
    </row>
    <row r="1939" spans="1:5" ht="100.8" hidden="1" x14ac:dyDescent="0.3">
      <c r="A1939" s="50" t="s">
        <v>89</v>
      </c>
      <c r="B1939" s="50" t="s">
        <v>89</v>
      </c>
      <c r="D1939" s="51">
        <v>0.12</v>
      </c>
      <c r="E1939" s="50">
        <v>0.12</v>
      </c>
    </row>
    <row r="1940" spans="1:5" ht="43.2" hidden="1" x14ac:dyDescent="0.3">
      <c r="A1940" s="50" t="s">
        <v>93</v>
      </c>
      <c r="B1940" s="50" t="s">
        <v>93</v>
      </c>
      <c r="D1940" s="51">
        <v>0.3</v>
      </c>
      <c r="E1940" s="50">
        <v>0.3</v>
      </c>
    </row>
    <row r="1941" spans="1:5" hidden="1" x14ac:dyDescent="0.3">
      <c r="A1941" s="50" t="s">
        <v>2214</v>
      </c>
      <c r="B1941" s="50" t="s">
        <v>91</v>
      </c>
      <c r="D1941" s="51">
        <v>0.4</v>
      </c>
      <c r="E1941" s="50">
        <v>0.4</v>
      </c>
    </row>
    <row r="1942" spans="1:5" hidden="1" x14ac:dyDescent="0.3">
      <c r="A1942" s="50" t="s">
        <v>2213</v>
      </c>
      <c r="B1942" s="50" t="s">
        <v>2212</v>
      </c>
      <c r="D1942" s="51">
        <v>1.2</v>
      </c>
      <c r="E1942" s="50">
        <v>1.2</v>
      </c>
    </row>
    <row r="1943" spans="1:5" ht="43.2" hidden="1" x14ac:dyDescent="0.3">
      <c r="A1943" s="50" t="s">
        <v>94</v>
      </c>
      <c r="B1943" s="50" t="s">
        <v>94</v>
      </c>
      <c r="D1943" s="51">
        <v>0.9</v>
      </c>
      <c r="E1943" s="50">
        <v>0.93</v>
      </c>
    </row>
    <row r="1944" spans="1:5" ht="72" hidden="1" x14ac:dyDescent="0.3">
      <c r="A1944" s="50" t="s">
        <v>96</v>
      </c>
      <c r="B1944" s="50" t="s">
        <v>96</v>
      </c>
      <c r="D1944" s="51">
        <v>1</v>
      </c>
      <c r="E1944" s="50">
        <v>1</v>
      </c>
    </row>
    <row r="1945" spans="1:5" hidden="1" x14ac:dyDescent="0.3">
      <c r="A1945" s="50" t="s">
        <v>2211</v>
      </c>
      <c r="B1945" s="50" t="s">
        <v>2210</v>
      </c>
      <c r="D1945" s="51">
        <v>1.5</v>
      </c>
      <c r="E1945" s="50">
        <v>1.5</v>
      </c>
    </row>
    <row r="1946" spans="1:5" ht="28.8" hidden="1" x14ac:dyDescent="0.3">
      <c r="A1946" s="50" t="s">
        <v>97</v>
      </c>
      <c r="B1946" s="50" t="s">
        <v>98</v>
      </c>
      <c r="D1946" s="51">
        <v>2</v>
      </c>
      <c r="E1946" s="50">
        <v>2</v>
      </c>
    </row>
    <row r="1947" spans="1:5" ht="28.8" hidden="1" x14ac:dyDescent="0.3">
      <c r="A1947" s="50" t="s">
        <v>2209</v>
      </c>
      <c r="B1947" s="50" t="s">
        <v>631</v>
      </c>
      <c r="D1947" s="51">
        <v>0</v>
      </c>
      <c r="E1947" s="50">
        <v>0</v>
      </c>
    </row>
    <row r="1948" spans="1:5" ht="43.2" hidden="1" x14ac:dyDescent="0.3">
      <c r="A1948" s="50" t="s">
        <v>2208</v>
      </c>
      <c r="B1948" s="50" t="s">
        <v>2207</v>
      </c>
      <c r="D1948" s="51">
        <v>0</v>
      </c>
      <c r="E1948" s="50">
        <v>0</v>
      </c>
    </row>
    <row r="1949" spans="1:5" ht="28.8" hidden="1" x14ac:dyDescent="0.3">
      <c r="A1949" s="50" t="s">
        <v>2206</v>
      </c>
      <c r="B1949" s="50" t="s">
        <v>2205</v>
      </c>
      <c r="D1949" s="51">
        <v>0</v>
      </c>
      <c r="E1949" s="50">
        <v>0</v>
      </c>
    </row>
    <row r="1950" spans="1:5" hidden="1" x14ac:dyDescent="0.3">
      <c r="A1950" s="50" t="s">
        <v>2204</v>
      </c>
      <c r="B1950" s="50" t="s">
        <v>2203</v>
      </c>
      <c r="D1950" s="51">
        <v>0</v>
      </c>
      <c r="E1950" s="50">
        <v>0</v>
      </c>
    </row>
    <row r="1951" spans="1:5" ht="43.2" hidden="1" x14ac:dyDescent="0.3">
      <c r="A1951" s="50" t="s">
        <v>2202</v>
      </c>
      <c r="B1951" s="50" t="s">
        <v>2201</v>
      </c>
      <c r="D1951" s="50" t="s">
        <v>2200</v>
      </c>
      <c r="E1951" s="50">
        <v>1609.25</v>
      </c>
    </row>
    <row r="1952" spans="1:5" ht="28.8" hidden="1" x14ac:dyDescent="0.3">
      <c r="A1952" s="50" t="s">
        <v>2199</v>
      </c>
      <c r="B1952" s="50" t="s">
        <v>2198</v>
      </c>
      <c r="D1952" s="51">
        <v>0</v>
      </c>
      <c r="E1952" s="50">
        <v>0</v>
      </c>
    </row>
    <row r="1953" spans="1:5" ht="28.8" hidden="1" x14ac:dyDescent="0.3">
      <c r="A1953" s="50" t="s">
        <v>2197</v>
      </c>
      <c r="B1953" s="50" t="s">
        <v>2196</v>
      </c>
      <c r="D1953" s="51">
        <v>0</v>
      </c>
      <c r="E1953" s="50">
        <v>0</v>
      </c>
    </row>
    <row r="1954" spans="1:5" ht="28.8" hidden="1" x14ac:dyDescent="0.3">
      <c r="A1954" s="50" t="s">
        <v>2195</v>
      </c>
      <c r="B1954" s="50" t="s">
        <v>2194</v>
      </c>
      <c r="C1954" s="50" t="s">
        <v>196</v>
      </c>
      <c r="D1954" s="51">
        <v>0</v>
      </c>
      <c r="E1954" s="50">
        <v>0</v>
      </c>
    </row>
    <row r="1955" spans="1:5" hidden="1" x14ac:dyDescent="0.3">
      <c r="A1955" s="50" t="s">
        <v>239</v>
      </c>
      <c r="B1955" s="50" t="s">
        <v>2193</v>
      </c>
      <c r="D1955" s="51">
        <v>172</v>
      </c>
      <c r="E1955" s="50">
        <v>172</v>
      </c>
    </row>
    <row r="1956" spans="1:5" ht="28.8" hidden="1" x14ac:dyDescent="0.3">
      <c r="A1956" s="50" t="s">
        <v>241</v>
      </c>
      <c r="B1956" s="50" t="s">
        <v>2192</v>
      </c>
      <c r="C1956" s="50" t="s">
        <v>196</v>
      </c>
      <c r="D1956" s="51">
        <v>0</v>
      </c>
      <c r="E1956" s="50">
        <v>0</v>
      </c>
    </row>
    <row r="1957" spans="1:5" hidden="1" x14ac:dyDescent="0.3">
      <c r="A1957" s="50" t="s">
        <v>243</v>
      </c>
      <c r="B1957" s="50" t="s">
        <v>2191</v>
      </c>
      <c r="D1957" s="51">
        <v>187</v>
      </c>
      <c r="E1957" s="50">
        <v>187</v>
      </c>
    </row>
    <row r="1958" spans="1:5" hidden="1" x14ac:dyDescent="0.3">
      <c r="A1958" s="50" t="s">
        <v>247</v>
      </c>
      <c r="B1958" s="50" t="s">
        <v>2190</v>
      </c>
      <c r="D1958" s="51">
        <v>208</v>
      </c>
      <c r="E1958" s="50">
        <v>208</v>
      </c>
    </row>
    <row r="1959" spans="1:5" hidden="1" x14ac:dyDescent="0.3">
      <c r="A1959" s="50" t="s">
        <v>251</v>
      </c>
      <c r="B1959" s="50" t="s">
        <v>2189</v>
      </c>
      <c r="D1959" s="51">
        <v>223</v>
      </c>
      <c r="E1959" s="50">
        <v>223</v>
      </c>
    </row>
    <row r="1960" spans="1:5" hidden="1" x14ac:dyDescent="0.3">
      <c r="A1960" s="50" t="s">
        <v>255</v>
      </c>
      <c r="B1960" s="50" t="s">
        <v>2188</v>
      </c>
      <c r="C1960" s="50" t="s">
        <v>196</v>
      </c>
      <c r="D1960" s="51">
        <v>0</v>
      </c>
      <c r="E1960" s="50">
        <v>0</v>
      </c>
    </row>
    <row r="1961" spans="1:5" ht="28.8" hidden="1" x14ac:dyDescent="0.3">
      <c r="A1961" s="50" t="s">
        <v>257</v>
      </c>
      <c r="B1961" s="50" t="s">
        <v>2187</v>
      </c>
      <c r="C1961" s="50" t="s">
        <v>196</v>
      </c>
      <c r="D1961" s="51">
        <v>0</v>
      </c>
      <c r="E1961" s="50">
        <v>0</v>
      </c>
    </row>
    <row r="1962" spans="1:5" hidden="1" x14ac:dyDescent="0.3">
      <c r="A1962" s="50" t="s">
        <v>259</v>
      </c>
      <c r="B1962" s="50" t="s">
        <v>2186</v>
      </c>
      <c r="C1962" s="50" t="s">
        <v>196</v>
      </c>
      <c r="D1962" s="51">
        <v>0</v>
      </c>
      <c r="E1962" s="50">
        <v>0</v>
      </c>
    </row>
    <row r="1963" spans="1:5" ht="28.8" hidden="1" x14ac:dyDescent="0.3">
      <c r="A1963" s="50" t="s">
        <v>261</v>
      </c>
      <c r="B1963" s="50" t="s">
        <v>2185</v>
      </c>
      <c r="C1963" s="50" t="s">
        <v>196</v>
      </c>
      <c r="D1963" s="51">
        <v>0</v>
      </c>
      <c r="E1963" s="50">
        <v>0</v>
      </c>
    </row>
    <row r="1964" spans="1:5" hidden="1" x14ac:dyDescent="0.3">
      <c r="A1964" s="50" t="s">
        <v>263</v>
      </c>
      <c r="B1964" s="50" t="s">
        <v>2184</v>
      </c>
      <c r="D1964" s="51">
        <v>0</v>
      </c>
      <c r="E1964" s="50">
        <v>48.78</v>
      </c>
    </row>
    <row r="1965" spans="1:5" ht="28.8" hidden="1" x14ac:dyDescent="0.3">
      <c r="A1965" s="50" t="s">
        <v>265</v>
      </c>
      <c r="B1965" s="50" t="s">
        <v>2183</v>
      </c>
      <c r="C1965" s="50" t="s">
        <v>196</v>
      </c>
      <c r="D1965" s="51">
        <v>0</v>
      </c>
      <c r="E1965" s="50">
        <v>0</v>
      </c>
    </row>
    <row r="1966" spans="1:5" ht="28.8" hidden="1" x14ac:dyDescent="0.3">
      <c r="A1966" s="50" t="s">
        <v>271</v>
      </c>
      <c r="B1966" s="50" t="s">
        <v>2182</v>
      </c>
      <c r="C1966" s="50" t="s">
        <v>196</v>
      </c>
      <c r="D1966" s="51">
        <v>0</v>
      </c>
      <c r="E1966" s="50">
        <v>0</v>
      </c>
    </row>
    <row r="1967" spans="1:5" hidden="1" x14ac:dyDescent="0.3">
      <c r="A1967" s="50" t="s">
        <v>2181</v>
      </c>
      <c r="B1967" s="50" t="s">
        <v>2180</v>
      </c>
      <c r="D1967" s="51">
        <v>0</v>
      </c>
      <c r="E1967" s="50">
        <v>0</v>
      </c>
    </row>
    <row r="1968" spans="1:5" hidden="1" x14ac:dyDescent="0.3">
      <c r="A1968" s="50" t="s">
        <v>2179</v>
      </c>
      <c r="B1968" s="50" t="s">
        <v>1627</v>
      </c>
      <c r="C1968" s="50" t="s">
        <v>196</v>
      </c>
      <c r="D1968" s="51">
        <v>0</v>
      </c>
      <c r="E1968" s="50">
        <v>0</v>
      </c>
    </row>
    <row r="1969" spans="1:5" hidden="1" x14ac:dyDescent="0.3">
      <c r="A1969" s="50" t="s">
        <v>2178</v>
      </c>
      <c r="B1969" s="50" t="s">
        <v>1621</v>
      </c>
      <c r="C1969" s="50" t="s">
        <v>196</v>
      </c>
      <c r="D1969" s="51">
        <v>0</v>
      </c>
      <c r="E1969" s="50">
        <v>0</v>
      </c>
    </row>
    <row r="1970" spans="1:5" hidden="1" x14ac:dyDescent="0.3">
      <c r="A1970" s="50" t="s">
        <v>2177</v>
      </c>
      <c r="B1970" s="50" t="s">
        <v>1615</v>
      </c>
      <c r="C1970" s="50" t="s">
        <v>196</v>
      </c>
      <c r="D1970" s="51">
        <v>0</v>
      </c>
      <c r="E1970" s="50">
        <v>0</v>
      </c>
    </row>
    <row r="1971" spans="1:5" hidden="1" x14ac:dyDescent="0.3">
      <c r="A1971" s="50" t="s">
        <v>2176</v>
      </c>
      <c r="B1971" s="50" t="s">
        <v>2175</v>
      </c>
      <c r="C1971" s="50" t="s">
        <v>196</v>
      </c>
      <c r="D1971" s="51">
        <v>0</v>
      </c>
      <c r="E1971" s="50">
        <v>0</v>
      </c>
    </row>
    <row r="1972" spans="1:5" hidden="1" x14ac:dyDescent="0.3">
      <c r="A1972" s="50" t="s">
        <v>2174</v>
      </c>
      <c r="B1972" s="50" t="s">
        <v>1599</v>
      </c>
      <c r="C1972" s="50" t="s">
        <v>196</v>
      </c>
      <c r="D1972" s="51">
        <v>0</v>
      </c>
      <c r="E1972" s="50">
        <v>0</v>
      </c>
    </row>
    <row r="1973" spans="1:5" hidden="1" x14ac:dyDescent="0.3">
      <c r="A1973" s="50" t="s">
        <v>2173</v>
      </c>
      <c r="B1973" s="50" t="s">
        <v>1591</v>
      </c>
      <c r="C1973" s="50" t="s">
        <v>196</v>
      </c>
      <c r="D1973" s="51">
        <v>0</v>
      </c>
      <c r="E1973" s="50">
        <v>0</v>
      </c>
    </row>
    <row r="1974" spans="1:5" hidden="1" x14ac:dyDescent="0.3">
      <c r="A1974" s="50" t="s">
        <v>2172</v>
      </c>
      <c r="B1974" s="50" t="s">
        <v>1589</v>
      </c>
      <c r="C1974" s="50" t="s">
        <v>196</v>
      </c>
      <c r="D1974" s="51">
        <v>0</v>
      </c>
      <c r="E1974" s="50">
        <v>0</v>
      </c>
    </row>
    <row r="1975" spans="1:5" hidden="1" x14ac:dyDescent="0.3">
      <c r="A1975" s="50" t="s">
        <v>2171</v>
      </c>
      <c r="B1975" s="50" t="s">
        <v>1580</v>
      </c>
      <c r="C1975" s="50" t="s">
        <v>196</v>
      </c>
      <c r="D1975" s="51">
        <v>0</v>
      </c>
      <c r="E1975" s="50">
        <v>0</v>
      </c>
    </row>
    <row r="1976" spans="1:5" hidden="1" x14ac:dyDescent="0.3">
      <c r="A1976" s="50" t="s">
        <v>2170</v>
      </c>
      <c r="B1976" s="50" t="s">
        <v>1578</v>
      </c>
      <c r="C1976" s="50" t="s">
        <v>196</v>
      </c>
      <c r="D1976" s="51">
        <v>0</v>
      </c>
      <c r="E1976" s="50">
        <v>0</v>
      </c>
    </row>
    <row r="1977" spans="1:5" hidden="1" x14ac:dyDescent="0.3">
      <c r="A1977" s="50" t="s">
        <v>2169</v>
      </c>
      <c r="B1977" s="50" t="s">
        <v>1574</v>
      </c>
      <c r="C1977" s="50" t="s">
        <v>196</v>
      </c>
      <c r="D1977" s="51">
        <v>0</v>
      </c>
      <c r="E1977" s="50">
        <v>0</v>
      </c>
    </row>
    <row r="1978" spans="1:5" hidden="1" x14ac:dyDescent="0.3">
      <c r="A1978" s="50" t="s">
        <v>2168</v>
      </c>
      <c r="B1978" s="50" t="s">
        <v>1572</v>
      </c>
      <c r="C1978" s="50" t="s">
        <v>196</v>
      </c>
      <c r="D1978" s="51">
        <v>0</v>
      </c>
      <c r="E1978" s="50">
        <v>0</v>
      </c>
    </row>
    <row r="1979" spans="1:5" ht="28.8" hidden="1" x14ac:dyDescent="0.3">
      <c r="A1979" s="50" t="s">
        <v>2167</v>
      </c>
      <c r="B1979" s="50" t="s">
        <v>2166</v>
      </c>
      <c r="C1979" s="50" t="s">
        <v>196</v>
      </c>
      <c r="D1979" s="50" t="s">
        <v>2165</v>
      </c>
      <c r="E1979" s="50">
        <v>3774</v>
      </c>
    </row>
    <row r="1980" spans="1:5" ht="28.8" hidden="1" x14ac:dyDescent="0.3">
      <c r="A1980" s="50" t="s">
        <v>2164</v>
      </c>
      <c r="B1980" s="50" t="s">
        <v>2163</v>
      </c>
      <c r="C1980" s="50" t="s">
        <v>196</v>
      </c>
      <c r="D1980" s="51">
        <v>0</v>
      </c>
      <c r="E1980" s="50">
        <v>0</v>
      </c>
    </row>
    <row r="1981" spans="1:5" ht="28.8" hidden="1" x14ac:dyDescent="0.3">
      <c r="A1981" s="50" t="s">
        <v>2162</v>
      </c>
      <c r="B1981" s="50" t="s">
        <v>2161</v>
      </c>
      <c r="C1981" s="50" t="s">
        <v>196</v>
      </c>
      <c r="D1981" s="51">
        <v>0</v>
      </c>
      <c r="E1981" s="50">
        <v>0</v>
      </c>
    </row>
    <row r="1982" spans="1:5" ht="28.8" hidden="1" x14ac:dyDescent="0.3">
      <c r="A1982" s="50" t="s">
        <v>2160</v>
      </c>
      <c r="B1982" s="50" t="s">
        <v>2159</v>
      </c>
      <c r="C1982" s="50" t="s">
        <v>196</v>
      </c>
      <c r="D1982" s="51">
        <v>0</v>
      </c>
      <c r="E1982" s="50">
        <v>0</v>
      </c>
    </row>
    <row r="1983" spans="1:5" ht="28.8" hidden="1" x14ac:dyDescent="0.3">
      <c r="A1983" s="50" t="s">
        <v>2158</v>
      </c>
      <c r="B1983" s="50" t="s">
        <v>2157</v>
      </c>
      <c r="C1983" s="50" t="s">
        <v>196</v>
      </c>
      <c r="D1983" s="51">
        <v>0</v>
      </c>
      <c r="E1983" s="50">
        <v>0</v>
      </c>
    </row>
    <row r="1984" spans="1:5" ht="28.8" hidden="1" x14ac:dyDescent="0.3">
      <c r="A1984" s="50" t="s">
        <v>2156</v>
      </c>
      <c r="B1984" s="50" t="s">
        <v>2155</v>
      </c>
      <c r="C1984" s="50" t="s">
        <v>196</v>
      </c>
      <c r="D1984" s="50" t="s">
        <v>2154</v>
      </c>
      <c r="E1984" s="50">
        <v>11554.27</v>
      </c>
    </row>
    <row r="1985" spans="1:5" ht="28.8" hidden="1" x14ac:dyDescent="0.3">
      <c r="A1985" s="50" t="s">
        <v>2153</v>
      </c>
      <c r="B1985" s="50" t="s">
        <v>2152</v>
      </c>
      <c r="C1985" s="50" t="s">
        <v>196</v>
      </c>
      <c r="D1985" s="51">
        <v>0</v>
      </c>
      <c r="E1985" s="50">
        <v>0</v>
      </c>
    </row>
    <row r="1986" spans="1:5" ht="28.8" hidden="1" x14ac:dyDescent="0.3">
      <c r="A1986" s="50" t="s">
        <v>2151</v>
      </c>
      <c r="B1986" s="50" t="s">
        <v>2150</v>
      </c>
      <c r="C1986" s="50" t="s">
        <v>196</v>
      </c>
      <c r="D1986" s="51">
        <v>0</v>
      </c>
      <c r="E1986" s="50">
        <v>0</v>
      </c>
    </row>
    <row r="1987" spans="1:5" ht="28.8" hidden="1" x14ac:dyDescent="0.3">
      <c r="A1987" s="50" t="s">
        <v>2149</v>
      </c>
      <c r="B1987" s="50" t="s">
        <v>2148</v>
      </c>
      <c r="C1987" s="50" t="s">
        <v>196</v>
      </c>
      <c r="D1987" s="51">
        <v>0</v>
      </c>
      <c r="E1987" s="50">
        <v>0</v>
      </c>
    </row>
    <row r="1988" spans="1:5" ht="28.8" hidden="1" x14ac:dyDescent="0.3">
      <c r="A1988" s="50" t="s">
        <v>2147</v>
      </c>
      <c r="B1988" s="50" t="s">
        <v>2146</v>
      </c>
      <c r="C1988" s="50" t="s">
        <v>196</v>
      </c>
      <c r="D1988" s="51">
        <v>0</v>
      </c>
      <c r="E1988" s="50">
        <v>0</v>
      </c>
    </row>
    <row r="1989" spans="1:5" ht="28.8" hidden="1" x14ac:dyDescent="0.3">
      <c r="A1989" s="50" t="s">
        <v>2145</v>
      </c>
      <c r="B1989" s="50" t="s">
        <v>2144</v>
      </c>
      <c r="C1989" s="50" t="s">
        <v>196</v>
      </c>
      <c r="D1989" s="51">
        <v>0</v>
      </c>
      <c r="E1989" s="50">
        <v>0</v>
      </c>
    </row>
    <row r="1990" spans="1:5" ht="28.8" hidden="1" x14ac:dyDescent="0.3">
      <c r="A1990" s="50" t="s">
        <v>2143</v>
      </c>
      <c r="B1990" s="50" t="s">
        <v>2142</v>
      </c>
      <c r="C1990" s="50" t="s">
        <v>196</v>
      </c>
      <c r="D1990" s="51">
        <v>0</v>
      </c>
      <c r="E1990" s="50">
        <v>0</v>
      </c>
    </row>
    <row r="1991" spans="1:5" ht="28.8" hidden="1" x14ac:dyDescent="0.3">
      <c r="A1991" s="50" t="s">
        <v>2141</v>
      </c>
      <c r="B1991" s="50" t="s">
        <v>2140</v>
      </c>
      <c r="C1991" s="50" t="s">
        <v>196</v>
      </c>
      <c r="D1991" s="51">
        <v>0</v>
      </c>
      <c r="E1991" s="50">
        <v>0</v>
      </c>
    </row>
    <row r="1992" spans="1:5" ht="28.8" hidden="1" x14ac:dyDescent="0.3">
      <c r="A1992" s="50" t="s">
        <v>2139</v>
      </c>
      <c r="B1992" s="50" t="s">
        <v>2138</v>
      </c>
      <c r="C1992" s="50" t="s">
        <v>196</v>
      </c>
      <c r="D1992" s="51">
        <v>0</v>
      </c>
      <c r="E1992" s="50">
        <v>0</v>
      </c>
    </row>
    <row r="1993" spans="1:5" ht="28.8" hidden="1" x14ac:dyDescent="0.3">
      <c r="A1993" s="50" t="s">
        <v>2137</v>
      </c>
      <c r="B1993" s="50" t="s">
        <v>2136</v>
      </c>
      <c r="C1993" s="50" t="s">
        <v>196</v>
      </c>
      <c r="D1993" s="51">
        <v>0</v>
      </c>
      <c r="E1993" s="50">
        <v>0</v>
      </c>
    </row>
    <row r="1994" spans="1:5" ht="28.8" hidden="1" x14ac:dyDescent="0.3">
      <c r="A1994" s="50" t="s">
        <v>2135</v>
      </c>
      <c r="B1994" s="50" t="s">
        <v>2134</v>
      </c>
      <c r="C1994" s="50" t="s">
        <v>196</v>
      </c>
      <c r="D1994" s="51">
        <v>0</v>
      </c>
      <c r="E1994" s="50">
        <v>0</v>
      </c>
    </row>
    <row r="1995" spans="1:5" ht="28.8" hidden="1" x14ac:dyDescent="0.3">
      <c r="A1995" s="50" t="s">
        <v>2133</v>
      </c>
      <c r="B1995" s="50" t="s">
        <v>2132</v>
      </c>
      <c r="C1995" s="50" t="s">
        <v>196</v>
      </c>
      <c r="D1995" s="51">
        <v>0</v>
      </c>
      <c r="E1995" s="50">
        <v>0</v>
      </c>
    </row>
    <row r="1996" spans="1:5" ht="28.8" hidden="1" x14ac:dyDescent="0.3">
      <c r="A1996" s="50" t="s">
        <v>2131</v>
      </c>
      <c r="B1996" s="50" t="s">
        <v>2130</v>
      </c>
      <c r="C1996" s="50" t="s">
        <v>196</v>
      </c>
      <c r="D1996" s="51">
        <v>0</v>
      </c>
      <c r="E1996" s="50">
        <v>0</v>
      </c>
    </row>
    <row r="1997" spans="1:5" ht="28.8" hidden="1" x14ac:dyDescent="0.3">
      <c r="A1997" s="50" t="s">
        <v>2129</v>
      </c>
      <c r="B1997" s="50" t="s">
        <v>2128</v>
      </c>
      <c r="C1997" s="50" t="s">
        <v>196</v>
      </c>
      <c r="D1997" s="50" t="s">
        <v>2127</v>
      </c>
      <c r="E1997" s="50">
        <v>7100</v>
      </c>
    </row>
    <row r="1998" spans="1:5" ht="28.8" hidden="1" x14ac:dyDescent="0.3">
      <c r="A1998" s="50" t="s">
        <v>2126</v>
      </c>
      <c r="B1998" s="50" t="s">
        <v>2125</v>
      </c>
      <c r="C1998" s="50" t="s">
        <v>196</v>
      </c>
      <c r="D1998" s="51">
        <v>0</v>
      </c>
      <c r="E1998" s="50">
        <v>0</v>
      </c>
    </row>
    <row r="1999" spans="1:5" ht="28.8" hidden="1" x14ac:dyDescent="0.3">
      <c r="A1999" s="50" t="s">
        <v>2124</v>
      </c>
      <c r="B1999" s="50" t="s">
        <v>2123</v>
      </c>
      <c r="C1999" s="50" t="s">
        <v>196</v>
      </c>
      <c r="D1999" s="50" t="s">
        <v>2122</v>
      </c>
      <c r="E1999" s="50">
        <v>5824.76</v>
      </c>
    </row>
    <row r="2000" spans="1:5" ht="28.8" hidden="1" x14ac:dyDescent="0.3">
      <c r="A2000" s="50" t="s">
        <v>2121</v>
      </c>
      <c r="B2000" s="50" t="s">
        <v>2120</v>
      </c>
      <c r="C2000" s="50" t="s">
        <v>196</v>
      </c>
      <c r="D2000" s="51">
        <v>0</v>
      </c>
      <c r="E2000" s="50">
        <v>0</v>
      </c>
    </row>
    <row r="2001" spans="1:5" ht="28.8" hidden="1" x14ac:dyDescent="0.3">
      <c r="A2001" s="50" t="s">
        <v>2119</v>
      </c>
      <c r="B2001" s="50" t="s">
        <v>2118</v>
      </c>
      <c r="C2001" s="50" t="s">
        <v>196</v>
      </c>
      <c r="D2001" s="51">
        <v>0</v>
      </c>
      <c r="E2001" s="50">
        <v>0</v>
      </c>
    </row>
    <row r="2002" spans="1:5" ht="28.8" hidden="1" x14ac:dyDescent="0.3">
      <c r="A2002" s="50" t="s">
        <v>2117</v>
      </c>
      <c r="B2002" s="50" t="s">
        <v>2116</v>
      </c>
      <c r="C2002" s="50" t="s">
        <v>196</v>
      </c>
      <c r="D2002" s="51">
        <v>0</v>
      </c>
      <c r="E2002" s="50">
        <v>0</v>
      </c>
    </row>
    <row r="2003" spans="1:5" ht="28.8" hidden="1" x14ac:dyDescent="0.3">
      <c r="A2003" s="50" t="s">
        <v>2115</v>
      </c>
      <c r="B2003" s="50" t="s">
        <v>2114</v>
      </c>
      <c r="C2003" s="50" t="s">
        <v>196</v>
      </c>
      <c r="D2003" s="51">
        <v>0</v>
      </c>
      <c r="E2003" s="50">
        <v>0</v>
      </c>
    </row>
    <row r="2004" spans="1:5" ht="28.8" hidden="1" x14ac:dyDescent="0.3">
      <c r="A2004" s="50" t="s">
        <v>2113</v>
      </c>
      <c r="B2004" s="50" t="s">
        <v>2112</v>
      </c>
      <c r="C2004" s="50" t="s">
        <v>196</v>
      </c>
      <c r="D2004" s="51">
        <v>0</v>
      </c>
      <c r="E2004" s="50">
        <v>0</v>
      </c>
    </row>
    <row r="2005" spans="1:5" ht="28.8" hidden="1" x14ac:dyDescent="0.3">
      <c r="A2005" s="50" t="s">
        <v>2111</v>
      </c>
      <c r="B2005" s="50" t="s">
        <v>2110</v>
      </c>
      <c r="C2005" s="50" t="s">
        <v>196</v>
      </c>
      <c r="D2005" s="50" t="s">
        <v>2109</v>
      </c>
      <c r="E2005" s="50">
        <v>8942.15</v>
      </c>
    </row>
    <row r="2006" spans="1:5" ht="28.8" hidden="1" x14ac:dyDescent="0.3">
      <c r="A2006" s="50" t="s">
        <v>2108</v>
      </c>
      <c r="B2006" s="50" t="s">
        <v>2107</v>
      </c>
      <c r="C2006" s="50" t="s">
        <v>196</v>
      </c>
      <c r="D2006" s="51">
        <v>0</v>
      </c>
      <c r="E2006" s="50">
        <v>0</v>
      </c>
    </row>
    <row r="2007" spans="1:5" ht="28.8" hidden="1" x14ac:dyDescent="0.3">
      <c r="A2007" s="50" t="s">
        <v>2106</v>
      </c>
      <c r="B2007" s="50" t="s">
        <v>2105</v>
      </c>
      <c r="C2007" s="50" t="s">
        <v>196</v>
      </c>
      <c r="D2007" s="50" t="s">
        <v>2100</v>
      </c>
      <c r="E2007" s="50">
        <v>8127.2</v>
      </c>
    </row>
    <row r="2008" spans="1:5" ht="28.8" hidden="1" x14ac:dyDescent="0.3">
      <c r="A2008" s="50" t="s">
        <v>2104</v>
      </c>
      <c r="B2008" s="50" t="s">
        <v>2103</v>
      </c>
      <c r="C2008" s="50" t="s">
        <v>196</v>
      </c>
      <c r="D2008" s="51">
        <v>0</v>
      </c>
      <c r="E2008" s="50">
        <v>0</v>
      </c>
    </row>
    <row r="2009" spans="1:5" ht="28.8" hidden="1" x14ac:dyDescent="0.3">
      <c r="A2009" s="50" t="s">
        <v>2102</v>
      </c>
      <c r="B2009" s="50" t="s">
        <v>2101</v>
      </c>
      <c r="C2009" s="50" t="s">
        <v>196</v>
      </c>
      <c r="D2009" s="50" t="s">
        <v>2100</v>
      </c>
      <c r="E2009" s="50">
        <v>8127.2</v>
      </c>
    </row>
    <row r="2010" spans="1:5" ht="28.8" hidden="1" x14ac:dyDescent="0.3">
      <c r="A2010" s="50" t="s">
        <v>2099</v>
      </c>
      <c r="B2010" s="50" t="s">
        <v>2098</v>
      </c>
      <c r="C2010" s="50" t="s">
        <v>196</v>
      </c>
      <c r="D2010" s="51">
        <v>0</v>
      </c>
      <c r="E2010" s="50">
        <v>0</v>
      </c>
    </row>
    <row r="2011" spans="1:5" ht="28.8" hidden="1" x14ac:dyDescent="0.3">
      <c r="A2011" s="50" t="s">
        <v>2097</v>
      </c>
      <c r="B2011" s="50" t="s">
        <v>2096</v>
      </c>
      <c r="C2011" s="50" t="s">
        <v>196</v>
      </c>
      <c r="D2011" s="51">
        <v>0</v>
      </c>
      <c r="E2011" s="50">
        <v>0</v>
      </c>
    </row>
    <row r="2012" spans="1:5" ht="28.8" hidden="1" x14ac:dyDescent="0.3">
      <c r="A2012" s="50" t="s">
        <v>2095</v>
      </c>
      <c r="B2012" s="50" t="s">
        <v>2094</v>
      </c>
      <c r="C2012" s="50" t="s">
        <v>196</v>
      </c>
      <c r="D2012" s="51">
        <v>0</v>
      </c>
      <c r="E2012" s="50">
        <v>0</v>
      </c>
    </row>
    <row r="2013" spans="1:5" ht="28.8" hidden="1" x14ac:dyDescent="0.3">
      <c r="A2013" s="50" t="s">
        <v>2093</v>
      </c>
      <c r="B2013" s="50" t="s">
        <v>2092</v>
      </c>
      <c r="C2013" s="50" t="s">
        <v>196</v>
      </c>
      <c r="D2013" s="51">
        <v>0</v>
      </c>
      <c r="E2013" s="50">
        <v>0</v>
      </c>
    </row>
    <row r="2014" spans="1:5" ht="28.8" hidden="1" x14ac:dyDescent="0.3">
      <c r="A2014" s="50" t="s">
        <v>2091</v>
      </c>
      <c r="B2014" s="50" t="s">
        <v>2090</v>
      </c>
      <c r="C2014" s="50" t="s">
        <v>196</v>
      </c>
      <c r="D2014" s="51">
        <v>0</v>
      </c>
      <c r="E2014" s="50">
        <v>0</v>
      </c>
    </row>
    <row r="2015" spans="1:5" ht="28.8" hidden="1" x14ac:dyDescent="0.3">
      <c r="A2015" s="50" t="s">
        <v>2089</v>
      </c>
      <c r="B2015" s="50" t="s">
        <v>2088</v>
      </c>
      <c r="C2015" s="50" t="s">
        <v>196</v>
      </c>
      <c r="D2015" s="51">
        <v>0</v>
      </c>
      <c r="E2015" s="50">
        <v>0</v>
      </c>
    </row>
    <row r="2016" spans="1:5" ht="28.8" hidden="1" x14ac:dyDescent="0.3">
      <c r="A2016" s="50" t="s">
        <v>2087</v>
      </c>
      <c r="B2016" s="50" t="s">
        <v>2086</v>
      </c>
      <c r="C2016" s="50" t="s">
        <v>196</v>
      </c>
      <c r="D2016" s="51">
        <v>0</v>
      </c>
      <c r="E2016" s="50">
        <v>0</v>
      </c>
    </row>
    <row r="2017" spans="1:5" ht="28.8" hidden="1" x14ac:dyDescent="0.3">
      <c r="A2017" s="50" t="s">
        <v>2085</v>
      </c>
      <c r="B2017" s="50" t="s">
        <v>2084</v>
      </c>
      <c r="C2017" s="50" t="s">
        <v>196</v>
      </c>
      <c r="D2017" s="51">
        <v>0</v>
      </c>
      <c r="E2017" s="50">
        <v>0</v>
      </c>
    </row>
    <row r="2018" spans="1:5" ht="28.8" hidden="1" x14ac:dyDescent="0.3">
      <c r="A2018" s="50" t="s">
        <v>2083</v>
      </c>
      <c r="B2018" s="50" t="s">
        <v>2082</v>
      </c>
      <c r="C2018" s="50" t="s">
        <v>196</v>
      </c>
      <c r="D2018" s="50" t="s">
        <v>2081</v>
      </c>
      <c r="E2018" s="50">
        <v>5685.45</v>
      </c>
    </row>
    <row r="2019" spans="1:5" ht="28.8" hidden="1" x14ac:dyDescent="0.3">
      <c r="A2019" s="50" t="s">
        <v>2080</v>
      </c>
      <c r="B2019" s="50" t="s">
        <v>2079</v>
      </c>
      <c r="C2019" s="50" t="s">
        <v>196</v>
      </c>
      <c r="D2019" s="51">
        <v>0</v>
      </c>
      <c r="E2019" s="50">
        <v>0</v>
      </c>
    </row>
    <row r="2020" spans="1:5" ht="28.8" hidden="1" x14ac:dyDescent="0.3">
      <c r="A2020" s="50" t="s">
        <v>2078</v>
      </c>
      <c r="B2020" s="50" t="s">
        <v>2077</v>
      </c>
      <c r="C2020" s="50" t="s">
        <v>196</v>
      </c>
      <c r="D2020" s="51">
        <v>0</v>
      </c>
      <c r="E2020" s="50">
        <v>0</v>
      </c>
    </row>
    <row r="2021" spans="1:5" ht="28.8" hidden="1" x14ac:dyDescent="0.3">
      <c r="A2021" s="50" t="s">
        <v>2076</v>
      </c>
      <c r="B2021" s="50" t="s">
        <v>2075</v>
      </c>
      <c r="C2021" s="50" t="s">
        <v>196</v>
      </c>
      <c r="D2021" s="51">
        <v>0</v>
      </c>
      <c r="E2021" s="50">
        <v>0</v>
      </c>
    </row>
    <row r="2022" spans="1:5" ht="28.8" hidden="1" x14ac:dyDescent="0.3">
      <c r="A2022" s="50" t="s">
        <v>2074</v>
      </c>
      <c r="B2022" s="50" t="s">
        <v>2073</v>
      </c>
      <c r="D2022" s="51">
        <v>0</v>
      </c>
      <c r="E2022" s="50">
        <v>0</v>
      </c>
    </row>
    <row r="2023" spans="1:5" ht="28.8" hidden="1" x14ac:dyDescent="0.3">
      <c r="A2023" s="50" t="s">
        <v>2072</v>
      </c>
      <c r="B2023" s="50" t="s">
        <v>2071</v>
      </c>
      <c r="C2023" s="50" t="s">
        <v>196</v>
      </c>
      <c r="D2023" s="51">
        <v>0</v>
      </c>
      <c r="E2023" s="50">
        <v>0</v>
      </c>
    </row>
    <row r="2024" spans="1:5" ht="28.8" hidden="1" x14ac:dyDescent="0.3">
      <c r="A2024" s="50" t="s">
        <v>2070</v>
      </c>
      <c r="B2024" s="50" t="s">
        <v>2069</v>
      </c>
      <c r="C2024" s="50" t="s">
        <v>196</v>
      </c>
      <c r="D2024" s="51">
        <v>0</v>
      </c>
      <c r="E2024" s="50">
        <v>0</v>
      </c>
    </row>
    <row r="2025" spans="1:5" ht="28.8" hidden="1" x14ac:dyDescent="0.3">
      <c r="A2025" s="50" t="s">
        <v>2068</v>
      </c>
      <c r="B2025" s="50" t="s">
        <v>2067</v>
      </c>
      <c r="C2025" s="50" t="s">
        <v>196</v>
      </c>
      <c r="D2025" s="51">
        <v>0</v>
      </c>
      <c r="E2025" s="50">
        <v>0</v>
      </c>
    </row>
    <row r="2026" spans="1:5" ht="28.8" hidden="1" x14ac:dyDescent="0.3">
      <c r="A2026" s="50" t="s">
        <v>2066</v>
      </c>
      <c r="B2026" s="50" t="s">
        <v>2065</v>
      </c>
      <c r="C2026" s="50" t="s">
        <v>196</v>
      </c>
      <c r="D2026" s="51">
        <v>0</v>
      </c>
      <c r="E2026" s="50">
        <v>0</v>
      </c>
    </row>
    <row r="2027" spans="1:5" ht="28.8" hidden="1" x14ac:dyDescent="0.3">
      <c r="A2027" s="50" t="s">
        <v>2064</v>
      </c>
      <c r="B2027" s="50" t="s">
        <v>2063</v>
      </c>
      <c r="C2027" s="50" t="s">
        <v>196</v>
      </c>
      <c r="D2027" s="50" t="s">
        <v>2062</v>
      </c>
      <c r="E2027" s="50">
        <v>2700</v>
      </c>
    </row>
    <row r="2028" spans="1:5" ht="28.8" hidden="1" x14ac:dyDescent="0.3">
      <c r="A2028" s="50" t="s">
        <v>2061</v>
      </c>
      <c r="B2028" s="50" t="s">
        <v>2060</v>
      </c>
      <c r="C2028" s="50" t="s">
        <v>196</v>
      </c>
      <c r="D2028" s="51">
        <v>0</v>
      </c>
      <c r="E2028" s="50">
        <v>0</v>
      </c>
    </row>
    <row r="2029" spans="1:5" ht="28.8" hidden="1" x14ac:dyDescent="0.3">
      <c r="A2029" s="50" t="s">
        <v>2059</v>
      </c>
      <c r="B2029" s="50" t="s">
        <v>2058</v>
      </c>
      <c r="C2029" s="50" t="s">
        <v>196</v>
      </c>
      <c r="D2029" s="51">
        <v>0</v>
      </c>
      <c r="E2029" s="50">
        <v>0</v>
      </c>
    </row>
    <row r="2030" spans="1:5" ht="28.8" hidden="1" x14ac:dyDescent="0.3">
      <c r="A2030" s="50" t="s">
        <v>2057</v>
      </c>
      <c r="B2030" s="50" t="s">
        <v>2056</v>
      </c>
      <c r="C2030" s="50" t="s">
        <v>196</v>
      </c>
      <c r="D2030" s="51">
        <v>0</v>
      </c>
      <c r="E2030" s="50">
        <v>0</v>
      </c>
    </row>
    <row r="2031" spans="1:5" ht="28.8" hidden="1" x14ac:dyDescent="0.3">
      <c r="A2031" s="50" t="s">
        <v>2055</v>
      </c>
      <c r="B2031" s="50" t="s">
        <v>2054</v>
      </c>
      <c r="C2031" s="50" t="s">
        <v>196</v>
      </c>
      <c r="D2031" s="51">
        <v>0</v>
      </c>
      <c r="E2031" s="50">
        <v>0</v>
      </c>
    </row>
    <row r="2032" spans="1:5" ht="28.8" hidden="1" x14ac:dyDescent="0.3">
      <c r="A2032" s="50" t="s">
        <v>2053</v>
      </c>
      <c r="B2032" s="50" t="s">
        <v>2052</v>
      </c>
      <c r="C2032" s="50" t="s">
        <v>196</v>
      </c>
      <c r="D2032" s="51">
        <v>0</v>
      </c>
      <c r="E2032" s="50">
        <v>0</v>
      </c>
    </row>
    <row r="2033" spans="1:5" ht="28.8" hidden="1" x14ac:dyDescent="0.3">
      <c r="A2033" s="50" t="s">
        <v>2051</v>
      </c>
      <c r="B2033" s="50" t="s">
        <v>2050</v>
      </c>
      <c r="C2033" s="50" t="s">
        <v>196</v>
      </c>
      <c r="D2033" s="51">
        <v>0</v>
      </c>
      <c r="E2033" s="50">
        <v>0</v>
      </c>
    </row>
    <row r="2034" spans="1:5" ht="28.8" hidden="1" x14ac:dyDescent="0.3">
      <c r="A2034" s="50" t="s">
        <v>2049</v>
      </c>
      <c r="B2034" s="50" t="s">
        <v>2048</v>
      </c>
      <c r="C2034" s="50" t="s">
        <v>196</v>
      </c>
      <c r="D2034" s="51">
        <v>0</v>
      </c>
      <c r="E2034" s="50">
        <v>0</v>
      </c>
    </row>
    <row r="2035" spans="1:5" ht="28.8" hidden="1" x14ac:dyDescent="0.3">
      <c r="A2035" s="50" t="s">
        <v>2047</v>
      </c>
      <c r="B2035" s="50" t="s">
        <v>2046</v>
      </c>
      <c r="C2035" s="50" t="s">
        <v>196</v>
      </c>
      <c r="D2035" s="51">
        <v>0</v>
      </c>
      <c r="E2035" s="50">
        <v>0</v>
      </c>
    </row>
    <row r="2036" spans="1:5" ht="28.8" hidden="1" x14ac:dyDescent="0.3">
      <c r="A2036" s="50" t="s">
        <v>2045</v>
      </c>
      <c r="B2036" s="50" t="s">
        <v>2044</v>
      </c>
      <c r="C2036" s="50" t="s">
        <v>196</v>
      </c>
      <c r="D2036" s="51">
        <v>0</v>
      </c>
      <c r="E2036" s="50">
        <v>0</v>
      </c>
    </row>
    <row r="2037" spans="1:5" ht="28.8" hidden="1" x14ac:dyDescent="0.3">
      <c r="A2037" s="50" t="s">
        <v>2043</v>
      </c>
      <c r="B2037" s="50" t="s">
        <v>2042</v>
      </c>
      <c r="C2037" s="50" t="s">
        <v>196</v>
      </c>
      <c r="D2037" s="51">
        <v>0</v>
      </c>
      <c r="E2037" s="50">
        <v>0</v>
      </c>
    </row>
    <row r="2038" spans="1:5" ht="28.8" hidden="1" x14ac:dyDescent="0.3">
      <c r="A2038" s="50" t="s">
        <v>2041</v>
      </c>
      <c r="B2038" s="50" t="s">
        <v>2040</v>
      </c>
      <c r="C2038" s="50" t="s">
        <v>196</v>
      </c>
      <c r="D2038" s="51">
        <v>0</v>
      </c>
      <c r="E2038" s="50">
        <v>0</v>
      </c>
    </row>
    <row r="2039" spans="1:5" ht="28.8" hidden="1" x14ac:dyDescent="0.3">
      <c r="A2039" s="50" t="s">
        <v>2039</v>
      </c>
      <c r="B2039" s="50" t="s">
        <v>2038</v>
      </c>
      <c r="C2039" s="50" t="s">
        <v>196</v>
      </c>
      <c r="D2039" s="51">
        <v>0</v>
      </c>
      <c r="E2039" s="50">
        <v>0</v>
      </c>
    </row>
    <row r="2040" spans="1:5" ht="28.8" hidden="1" x14ac:dyDescent="0.3">
      <c r="A2040" s="50" t="s">
        <v>2037</v>
      </c>
      <c r="B2040" s="50" t="s">
        <v>2036</v>
      </c>
      <c r="C2040" s="50" t="s">
        <v>196</v>
      </c>
      <c r="D2040" s="50" t="s">
        <v>2035</v>
      </c>
      <c r="E2040" s="50">
        <v>8558.02</v>
      </c>
    </row>
    <row r="2041" spans="1:5" ht="28.8" hidden="1" x14ac:dyDescent="0.3">
      <c r="A2041" s="50" t="s">
        <v>2034</v>
      </c>
      <c r="B2041" s="50" t="s">
        <v>2033</v>
      </c>
      <c r="C2041" s="50" t="s">
        <v>196</v>
      </c>
      <c r="D2041" s="51">
        <v>0</v>
      </c>
      <c r="E2041" s="50">
        <v>0</v>
      </c>
    </row>
    <row r="2042" spans="1:5" ht="28.8" hidden="1" x14ac:dyDescent="0.3">
      <c r="A2042" s="50" t="s">
        <v>2032</v>
      </c>
      <c r="B2042" s="50" t="s">
        <v>2031</v>
      </c>
      <c r="C2042" s="50" t="s">
        <v>196</v>
      </c>
      <c r="D2042" s="51">
        <v>0</v>
      </c>
      <c r="E2042" s="50">
        <v>0</v>
      </c>
    </row>
    <row r="2043" spans="1:5" ht="28.8" hidden="1" x14ac:dyDescent="0.3">
      <c r="A2043" s="50" t="s">
        <v>2030</v>
      </c>
      <c r="B2043" s="50" t="s">
        <v>2029</v>
      </c>
      <c r="C2043" s="50" t="s">
        <v>196</v>
      </c>
      <c r="D2043" s="51">
        <v>0</v>
      </c>
      <c r="E2043" s="50">
        <v>0</v>
      </c>
    </row>
    <row r="2044" spans="1:5" ht="28.8" hidden="1" x14ac:dyDescent="0.3">
      <c r="A2044" s="50" t="s">
        <v>2028</v>
      </c>
      <c r="B2044" s="50" t="s">
        <v>2027</v>
      </c>
      <c r="C2044" s="50" t="s">
        <v>196</v>
      </c>
      <c r="D2044" s="51">
        <v>0</v>
      </c>
      <c r="E2044" s="50">
        <v>0</v>
      </c>
    </row>
    <row r="2045" spans="1:5" ht="28.8" hidden="1" x14ac:dyDescent="0.3">
      <c r="A2045" s="50" t="s">
        <v>2026</v>
      </c>
      <c r="B2045" s="50" t="s">
        <v>2025</v>
      </c>
      <c r="C2045" s="50" t="s">
        <v>196</v>
      </c>
      <c r="D2045" s="51">
        <v>0</v>
      </c>
      <c r="E2045" s="50">
        <v>0</v>
      </c>
    </row>
    <row r="2046" spans="1:5" ht="28.8" hidden="1" x14ac:dyDescent="0.3">
      <c r="A2046" s="50" t="s">
        <v>2024</v>
      </c>
      <c r="B2046" s="50" t="s">
        <v>2023</v>
      </c>
      <c r="C2046" s="50" t="s">
        <v>196</v>
      </c>
      <c r="D2046" s="50" t="s">
        <v>2022</v>
      </c>
      <c r="E2046" s="50">
        <v>9521.1</v>
      </c>
    </row>
    <row r="2047" spans="1:5" ht="28.8" hidden="1" x14ac:dyDescent="0.3">
      <c r="A2047" s="50" t="s">
        <v>2021</v>
      </c>
      <c r="B2047" s="50" t="s">
        <v>2020</v>
      </c>
      <c r="C2047" s="50" t="s">
        <v>196</v>
      </c>
      <c r="D2047" s="51">
        <v>0</v>
      </c>
      <c r="E2047" s="50">
        <v>0</v>
      </c>
    </row>
    <row r="2048" spans="1:5" ht="28.8" hidden="1" x14ac:dyDescent="0.3">
      <c r="A2048" s="50" t="s">
        <v>2019</v>
      </c>
      <c r="B2048" s="50" t="s">
        <v>2018</v>
      </c>
      <c r="C2048" s="50" t="s">
        <v>196</v>
      </c>
      <c r="D2048" s="51">
        <v>0</v>
      </c>
      <c r="E2048" s="50">
        <v>0</v>
      </c>
    </row>
    <row r="2049" spans="1:5" ht="28.8" hidden="1" x14ac:dyDescent="0.3">
      <c r="A2049" s="50" t="s">
        <v>2017</v>
      </c>
      <c r="B2049" s="50" t="s">
        <v>2016</v>
      </c>
      <c r="C2049" s="50" t="s">
        <v>196</v>
      </c>
      <c r="D2049" s="51">
        <v>0</v>
      </c>
      <c r="E2049" s="50">
        <v>0</v>
      </c>
    </row>
    <row r="2050" spans="1:5" ht="28.8" hidden="1" x14ac:dyDescent="0.3">
      <c r="A2050" s="50" t="s">
        <v>2015</v>
      </c>
      <c r="B2050" s="50" t="s">
        <v>2014</v>
      </c>
      <c r="C2050" s="50" t="s">
        <v>196</v>
      </c>
      <c r="D2050" s="51">
        <v>0</v>
      </c>
      <c r="E2050" s="50">
        <v>0</v>
      </c>
    </row>
    <row r="2051" spans="1:5" ht="28.8" hidden="1" x14ac:dyDescent="0.3">
      <c r="A2051" s="50" t="s">
        <v>2013</v>
      </c>
      <c r="B2051" s="50" t="s">
        <v>2012</v>
      </c>
      <c r="C2051" s="50" t="s">
        <v>196</v>
      </c>
      <c r="D2051" s="51">
        <v>0</v>
      </c>
      <c r="E2051" s="50">
        <v>0</v>
      </c>
    </row>
    <row r="2052" spans="1:5" ht="28.8" hidden="1" x14ac:dyDescent="0.3">
      <c r="A2052" s="50" t="s">
        <v>2011</v>
      </c>
      <c r="B2052" s="50" t="s">
        <v>2010</v>
      </c>
      <c r="C2052" s="50" t="s">
        <v>196</v>
      </c>
      <c r="D2052" s="51">
        <v>0</v>
      </c>
      <c r="E2052" s="50">
        <v>0</v>
      </c>
    </row>
    <row r="2053" spans="1:5" ht="28.8" hidden="1" x14ac:dyDescent="0.3">
      <c r="A2053" s="50" t="s">
        <v>2009</v>
      </c>
      <c r="B2053" s="50" t="s">
        <v>2008</v>
      </c>
      <c r="C2053" s="50" t="s">
        <v>196</v>
      </c>
      <c r="D2053" s="51">
        <v>0</v>
      </c>
      <c r="E2053" s="50">
        <v>0</v>
      </c>
    </row>
    <row r="2054" spans="1:5" ht="28.8" hidden="1" x14ac:dyDescent="0.3">
      <c r="A2054" s="50" t="s">
        <v>2007</v>
      </c>
      <c r="B2054" s="50" t="s">
        <v>2006</v>
      </c>
      <c r="C2054" s="50" t="s">
        <v>196</v>
      </c>
      <c r="D2054" s="51">
        <v>0</v>
      </c>
      <c r="E2054" s="50">
        <v>0</v>
      </c>
    </row>
    <row r="2055" spans="1:5" ht="28.8" hidden="1" x14ac:dyDescent="0.3">
      <c r="A2055" s="50" t="s">
        <v>2005</v>
      </c>
      <c r="B2055" s="50" t="s">
        <v>2004</v>
      </c>
      <c r="C2055" s="50" t="s">
        <v>196</v>
      </c>
      <c r="D2055" s="51">
        <v>0</v>
      </c>
      <c r="E2055" s="50">
        <v>0</v>
      </c>
    </row>
    <row r="2056" spans="1:5" ht="28.8" hidden="1" x14ac:dyDescent="0.3">
      <c r="A2056" s="50" t="s">
        <v>2003</v>
      </c>
      <c r="B2056" s="50" t="s">
        <v>2002</v>
      </c>
      <c r="C2056" s="50" t="s">
        <v>196</v>
      </c>
      <c r="D2056" s="51">
        <v>0</v>
      </c>
      <c r="E2056" s="50">
        <v>0</v>
      </c>
    </row>
    <row r="2057" spans="1:5" ht="28.8" hidden="1" x14ac:dyDescent="0.3">
      <c r="A2057" s="50" t="s">
        <v>2001</v>
      </c>
      <c r="B2057" s="50" t="s">
        <v>2000</v>
      </c>
      <c r="C2057" s="50" t="s">
        <v>196</v>
      </c>
      <c r="D2057" s="51">
        <v>0</v>
      </c>
      <c r="E2057" s="50">
        <v>0</v>
      </c>
    </row>
    <row r="2058" spans="1:5" ht="28.8" hidden="1" x14ac:dyDescent="0.3">
      <c r="A2058" s="50" t="s">
        <v>1999</v>
      </c>
      <c r="B2058" s="50" t="s">
        <v>1998</v>
      </c>
      <c r="C2058" s="50" t="s">
        <v>196</v>
      </c>
      <c r="D2058" s="51">
        <v>0</v>
      </c>
      <c r="E2058" s="50">
        <v>0</v>
      </c>
    </row>
    <row r="2059" spans="1:5" ht="28.8" hidden="1" x14ac:dyDescent="0.3">
      <c r="A2059" s="50" t="s">
        <v>1997</v>
      </c>
      <c r="B2059" s="50" t="s">
        <v>1996</v>
      </c>
      <c r="C2059" s="50" t="s">
        <v>196</v>
      </c>
      <c r="D2059" s="51">
        <v>0</v>
      </c>
      <c r="E2059" s="50">
        <v>0</v>
      </c>
    </row>
    <row r="2060" spans="1:5" ht="28.8" hidden="1" x14ac:dyDescent="0.3">
      <c r="A2060" s="50" t="s">
        <v>1995</v>
      </c>
      <c r="B2060" s="50" t="s">
        <v>1994</v>
      </c>
      <c r="C2060" s="50" t="s">
        <v>196</v>
      </c>
      <c r="D2060" s="51">
        <v>0</v>
      </c>
      <c r="E2060" s="50">
        <v>0</v>
      </c>
    </row>
    <row r="2061" spans="1:5" ht="28.8" hidden="1" x14ac:dyDescent="0.3">
      <c r="A2061" s="50" t="s">
        <v>1993</v>
      </c>
      <c r="B2061" s="50" t="s">
        <v>1992</v>
      </c>
      <c r="C2061" s="50" t="s">
        <v>196</v>
      </c>
      <c r="D2061" s="51">
        <v>0</v>
      </c>
      <c r="E2061" s="50">
        <v>0</v>
      </c>
    </row>
    <row r="2062" spans="1:5" ht="28.8" hidden="1" x14ac:dyDescent="0.3">
      <c r="A2062" s="50" t="s">
        <v>1991</v>
      </c>
      <c r="B2062" s="50" t="s">
        <v>1990</v>
      </c>
      <c r="C2062" s="50" t="s">
        <v>196</v>
      </c>
      <c r="D2062" s="51">
        <v>0</v>
      </c>
      <c r="E2062" s="50">
        <v>0</v>
      </c>
    </row>
    <row r="2063" spans="1:5" ht="28.8" hidden="1" x14ac:dyDescent="0.3">
      <c r="A2063" s="50" t="s">
        <v>1989</v>
      </c>
      <c r="B2063" s="50" t="s">
        <v>1988</v>
      </c>
      <c r="C2063" s="50" t="s">
        <v>196</v>
      </c>
      <c r="D2063" s="51">
        <v>0</v>
      </c>
      <c r="E2063" s="50">
        <v>0</v>
      </c>
    </row>
    <row r="2064" spans="1:5" ht="28.8" hidden="1" x14ac:dyDescent="0.3">
      <c r="A2064" s="50" t="s">
        <v>1987</v>
      </c>
      <c r="B2064" s="50" t="s">
        <v>1986</v>
      </c>
      <c r="C2064" s="50" t="s">
        <v>196</v>
      </c>
      <c r="D2064" s="51">
        <v>0</v>
      </c>
      <c r="E2064" s="50">
        <v>0</v>
      </c>
    </row>
    <row r="2065" spans="1:5" ht="28.8" hidden="1" x14ac:dyDescent="0.3">
      <c r="A2065" s="50" t="s">
        <v>1985</v>
      </c>
      <c r="B2065" s="50" t="s">
        <v>1984</v>
      </c>
      <c r="C2065" s="50" t="s">
        <v>196</v>
      </c>
      <c r="D2065" s="51">
        <v>0</v>
      </c>
      <c r="E2065" s="50">
        <v>0</v>
      </c>
    </row>
    <row r="2066" spans="1:5" ht="28.8" hidden="1" x14ac:dyDescent="0.3">
      <c r="A2066" s="50" t="s">
        <v>1983</v>
      </c>
      <c r="B2066" s="50" t="s">
        <v>1982</v>
      </c>
      <c r="C2066" s="50" t="s">
        <v>196</v>
      </c>
      <c r="D2066" s="51">
        <v>0</v>
      </c>
      <c r="E2066" s="50">
        <v>0</v>
      </c>
    </row>
    <row r="2067" spans="1:5" ht="28.8" hidden="1" x14ac:dyDescent="0.3">
      <c r="A2067" s="50" t="s">
        <v>1981</v>
      </c>
      <c r="B2067" s="50" t="s">
        <v>1980</v>
      </c>
      <c r="C2067" s="50" t="s">
        <v>196</v>
      </c>
      <c r="D2067" s="51">
        <v>0</v>
      </c>
      <c r="E2067" s="50">
        <v>0</v>
      </c>
    </row>
    <row r="2068" spans="1:5" ht="28.8" hidden="1" x14ac:dyDescent="0.3">
      <c r="A2068" s="50" t="s">
        <v>1979</v>
      </c>
      <c r="B2068" s="50" t="s">
        <v>1978</v>
      </c>
      <c r="C2068" s="50" t="s">
        <v>196</v>
      </c>
      <c r="D2068" s="51">
        <v>0</v>
      </c>
      <c r="E2068" s="50">
        <v>0</v>
      </c>
    </row>
    <row r="2069" spans="1:5" ht="28.8" hidden="1" x14ac:dyDescent="0.3">
      <c r="A2069" s="50" t="s">
        <v>1977</v>
      </c>
      <c r="B2069" s="50" t="s">
        <v>1976</v>
      </c>
      <c r="C2069" s="50" t="s">
        <v>196</v>
      </c>
      <c r="D2069" s="50" t="s">
        <v>1975</v>
      </c>
      <c r="E2069" s="50">
        <v>9281.52</v>
      </c>
    </row>
    <row r="2070" spans="1:5" ht="28.8" hidden="1" x14ac:dyDescent="0.3">
      <c r="A2070" s="50" t="s">
        <v>1974</v>
      </c>
      <c r="B2070" s="50" t="s">
        <v>1973</v>
      </c>
      <c r="C2070" s="50" t="s">
        <v>196</v>
      </c>
      <c r="D2070" s="50" t="s">
        <v>1972</v>
      </c>
      <c r="E2070" s="50">
        <v>3511.53</v>
      </c>
    </row>
    <row r="2071" spans="1:5" ht="28.8" hidden="1" x14ac:dyDescent="0.3">
      <c r="A2071" s="50" t="s">
        <v>1971</v>
      </c>
      <c r="B2071" s="50" t="s">
        <v>1970</v>
      </c>
      <c r="C2071" s="50" t="s">
        <v>196</v>
      </c>
      <c r="D2071" s="51">
        <v>0</v>
      </c>
      <c r="E2071" s="50">
        <v>0</v>
      </c>
    </row>
    <row r="2072" spans="1:5" ht="28.8" hidden="1" x14ac:dyDescent="0.3">
      <c r="A2072" s="50" t="s">
        <v>1969</v>
      </c>
      <c r="B2072" s="50" t="s">
        <v>1968</v>
      </c>
      <c r="C2072" s="50" t="s">
        <v>196</v>
      </c>
      <c r="D2072" s="51">
        <v>0</v>
      </c>
      <c r="E2072" s="50">
        <v>0</v>
      </c>
    </row>
    <row r="2073" spans="1:5" ht="28.8" hidden="1" x14ac:dyDescent="0.3">
      <c r="A2073" s="50" t="s">
        <v>1967</v>
      </c>
      <c r="B2073" s="50" t="s">
        <v>1966</v>
      </c>
      <c r="C2073" s="50" t="s">
        <v>196</v>
      </c>
      <c r="D2073" s="50" t="s">
        <v>1965</v>
      </c>
      <c r="E2073" s="50">
        <v>8775</v>
      </c>
    </row>
    <row r="2074" spans="1:5" ht="28.8" hidden="1" x14ac:dyDescent="0.3">
      <c r="A2074" s="50" t="s">
        <v>1964</v>
      </c>
      <c r="B2074" s="50" t="s">
        <v>1963</v>
      </c>
      <c r="C2074" s="50" t="s">
        <v>196</v>
      </c>
      <c r="D2074" s="50" t="s">
        <v>1962</v>
      </c>
      <c r="E2074" s="50">
        <v>8058</v>
      </c>
    </row>
    <row r="2075" spans="1:5" ht="28.8" hidden="1" x14ac:dyDescent="0.3">
      <c r="A2075" s="50" t="s">
        <v>1961</v>
      </c>
      <c r="B2075" s="50" t="s">
        <v>1960</v>
      </c>
      <c r="C2075" s="50" t="s">
        <v>196</v>
      </c>
      <c r="D2075" s="51">
        <v>0</v>
      </c>
      <c r="E2075" s="50">
        <v>0</v>
      </c>
    </row>
    <row r="2076" spans="1:5" ht="28.8" hidden="1" x14ac:dyDescent="0.3">
      <c r="A2076" s="50" t="s">
        <v>1959</v>
      </c>
      <c r="B2076" s="50" t="s">
        <v>1958</v>
      </c>
      <c r="C2076" s="50" t="s">
        <v>196</v>
      </c>
      <c r="D2076" s="51">
        <v>0</v>
      </c>
      <c r="E2076" s="50">
        <v>0</v>
      </c>
    </row>
    <row r="2077" spans="1:5" ht="28.8" hidden="1" x14ac:dyDescent="0.3">
      <c r="A2077" s="50" t="s">
        <v>1957</v>
      </c>
      <c r="B2077" s="50" t="s">
        <v>1956</v>
      </c>
      <c r="C2077" s="50" t="s">
        <v>196</v>
      </c>
      <c r="D2077" s="51">
        <v>0</v>
      </c>
      <c r="E2077" s="50">
        <v>0</v>
      </c>
    </row>
    <row r="2078" spans="1:5" ht="28.8" hidden="1" x14ac:dyDescent="0.3">
      <c r="A2078" s="50" t="s">
        <v>1955</v>
      </c>
      <c r="B2078" s="50" t="s">
        <v>1954</v>
      </c>
      <c r="C2078" s="50" t="s">
        <v>196</v>
      </c>
      <c r="D2078" s="51">
        <v>0</v>
      </c>
      <c r="E2078" s="50">
        <v>0</v>
      </c>
    </row>
    <row r="2079" spans="1:5" ht="28.8" hidden="1" x14ac:dyDescent="0.3">
      <c r="A2079" s="50" t="s">
        <v>1953</v>
      </c>
      <c r="B2079" s="50" t="s">
        <v>1952</v>
      </c>
      <c r="C2079" s="50" t="s">
        <v>196</v>
      </c>
      <c r="D2079" s="51">
        <v>0</v>
      </c>
      <c r="E2079" s="50">
        <v>0</v>
      </c>
    </row>
    <row r="2080" spans="1:5" ht="28.8" hidden="1" x14ac:dyDescent="0.3">
      <c r="A2080" s="50" t="s">
        <v>1951</v>
      </c>
      <c r="B2080" s="50" t="s">
        <v>1950</v>
      </c>
      <c r="C2080" s="50" t="s">
        <v>196</v>
      </c>
      <c r="D2080" s="51">
        <v>0</v>
      </c>
      <c r="E2080" s="50">
        <v>0</v>
      </c>
    </row>
    <row r="2081" spans="1:5" ht="28.8" hidden="1" x14ac:dyDescent="0.3">
      <c r="A2081" s="50" t="s">
        <v>1949</v>
      </c>
      <c r="B2081" s="50" t="s">
        <v>1948</v>
      </c>
      <c r="C2081" s="50" t="s">
        <v>196</v>
      </c>
      <c r="D2081" s="50" t="s">
        <v>1947</v>
      </c>
      <c r="E2081" s="50">
        <v>10080</v>
      </c>
    </row>
    <row r="2082" spans="1:5" ht="28.8" hidden="1" x14ac:dyDescent="0.3">
      <c r="A2082" s="50" t="s">
        <v>1946</v>
      </c>
      <c r="B2082" s="50" t="s">
        <v>1945</v>
      </c>
      <c r="C2082" s="50" t="s">
        <v>196</v>
      </c>
      <c r="D2082" s="51">
        <v>0</v>
      </c>
      <c r="E2082" s="50">
        <v>0</v>
      </c>
    </row>
    <row r="2083" spans="1:5" ht="28.8" hidden="1" x14ac:dyDescent="0.3">
      <c r="A2083" s="50" t="s">
        <v>1944</v>
      </c>
      <c r="B2083" s="50" t="s">
        <v>1943</v>
      </c>
      <c r="C2083" s="50" t="s">
        <v>196</v>
      </c>
      <c r="D2083" s="51">
        <v>0</v>
      </c>
      <c r="E2083" s="50">
        <v>0</v>
      </c>
    </row>
    <row r="2084" spans="1:5" ht="28.8" hidden="1" x14ac:dyDescent="0.3">
      <c r="A2084" s="50" t="s">
        <v>1942</v>
      </c>
      <c r="B2084" s="50" t="s">
        <v>1941</v>
      </c>
      <c r="C2084" s="50" t="s">
        <v>196</v>
      </c>
      <c r="D2084" s="51">
        <v>0</v>
      </c>
      <c r="E2084" s="50">
        <v>0</v>
      </c>
    </row>
    <row r="2085" spans="1:5" ht="28.8" hidden="1" x14ac:dyDescent="0.3">
      <c r="A2085" s="50" t="s">
        <v>1940</v>
      </c>
      <c r="B2085" s="50" t="s">
        <v>1939</v>
      </c>
      <c r="C2085" s="50" t="s">
        <v>196</v>
      </c>
      <c r="D2085" s="51">
        <v>0</v>
      </c>
      <c r="E2085" s="50">
        <v>0</v>
      </c>
    </row>
    <row r="2086" spans="1:5" ht="28.8" hidden="1" x14ac:dyDescent="0.3">
      <c r="A2086" s="50" t="s">
        <v>1938</v>
      </c>
      <c r="B2086" s="50" t="s">
        <v>1937</v>
      </c>
      <c r="C2086" s="50" t="s">
        <v>196</v>
      </c>
      <c r="D2086" s="51">
        <v>0</v>
      </c>
      <c r="E2086" s="50">
        <v>0</v>
      </c>
    </row>
    <row r="2087" spans="1:5" ht="28.8" hidden="1" x14ac:dyDescent="0.3">
      <c r="A2087" s="50" t="s">
        <v>1936</v>
      </c>
      <c r="B2087" s="50" t="s">
        <v>1935</v>
      </c>
      <c r="C2087" s="50" t="s">
        <v>196</v>
      </c>
      <c r="D2087" s="51">
        <v>0</v>
      </c>
      <c r="E2087" s="50">
        <v>0</v>
      </c>
    </row>
    <row r="2088" spans="1:5" ht="28.8" hidden="1" x14ac:dyDescent="0.3">
      <c r="A2088" s="50" t="s">
        <v>1934</v>
      </c>
      <c r="B2088" s="50" t="s">
        <v>1933</v>
      </c>
      <c r="C2088" s="50" t="s">
        <v>196</v>
      </c>
      <c r="D2088" s="50" t="s">
        <v>1932</v>
      </c>
      <c r="E2088" s="50">
        <v>9912</v>
      </c>
    </row>
    <row r="2089" spans="1:5" ht="28.8" hidden="1" x14ac:dyDescent="0.3">
      <c r="A2089" s="50" t="s">
        <v>1931</v>
      </c>
      <c r="B2089" s="50" t="s">
        <v>1930</v>
      </c>
      <c r="C2089" s="50" t="s">
        <v>196</v>
      </c>
      <c r="D2089" s="51">
        <v>0</v>
      </c>
      <c r="E2089" s="50">
        <v>0</v>
      </c>
    </row>
    <row r="2090" spans="1:5" ht="28.8" hidden="1" x14ac:dyDescent="0.3">
      <c r="A2090" s="50" t="s">
        <v>1929</v>
      </c>
      <c r="B2090" s="50" t="s">
        <v>1928</v>
      </c>
      <c r="C2090" s="50" t="s">
        <v>196</v>
      </c>
      <c r="D2090" s="51">
        <v>0</v>
      </c>
      <c r="E2090" s="50">
        <v>0</v>
      </c>
    </row>
    <row r="2091" spans="1:5" ht="28.8" hidden="1" x14ac:dyDescent="0.3">
      <c r="A2091" s="50" t="s">
        <v>1927</v>
      </c>
      <c r="B2091" s="50" t="s">
        <v>1926</v>
      </c>
      <c r="C2091" s="50" t="s">
        <v>196</v>
      </c>
      <c r="D2091" s="51">
        <v>0</v>
      </c>
      <c r="E2091" s="50">
        <v>0</v>
      </c>
    </row>
    <row r="2092" spans="1:5" ht="28.8" hidden="1" x14ac:dyDescent="0.3">
      <c r="A2092" s="50" t="s">
        <v>1925</v>
      </c>
      <c r="B2092" s="50" t="s">
        <v>1924</v>
      </c>
      <c r="C2092" s="50" t="s">
        <v>196</v>
      </c>
      <c r="D2092" s="51">
        <v>0</v>
      </c>
      <c r="E2092" s="50">
        <v>0</v>
      </c>
    </row>
    <row r="2093" spans="1:5" ht="28.8" hidden="1" x14ac:dyDescent="0.3">
      <c r="A2093" s="50" t="s">
        <v>1923</v>
      </c>
      <c r="B2093" s="50" t="s">
        <v>1922</v>
      </c>
      <c r="C2093" s="50" t="s">
        <v>196</v>
      </c>
      <c r="D2093" s="51">
        <v>0</v>
      </c>
      <c r="E2093" s="50">
        <v>0</v>
      </c>
    </row>
    <row r="2094" spans="1:5" ht="28.8" hidden="1" x14ac:dyDescent="0.3">
      <c r="A2094" s="50" t="s">
        <v>1921</v>
      </c>
      <c r="B2094" s="50" t="s">
        <v>1920</v>
      </c>
      <c r="C2094" s="50" t="s">
        <v>196</v>
      </c>
      <c r="D2094" s="51">
        <v>0</v>
      </c>
      <c r="E2094" s="50">
        <v>0</v>
      </c>
    </row>
    <row r="2095" spans="1:5" ht="28.8" hidden="1" x14ac:dyDescent="0.3">
      <c r="A2095" s="50" t="s">
        <v>1919</v>
      </c>
      <c r="B2095" s="50" t="s">
        <v>1918</v>
      </c>
      <c r="C2095" s="50" t="s">
        <v>196</v>
      </c>
      <c r="D2095" s="50" t="s">
        <v>1917</v>
      </c>
      <c r="E2095" s="50">
        <v>8492.74</v>
      </c>
    </row>
    <row r="2096" spans="1:5" ht="28.8" hidden="1" x14ac:dyDescent="0.3">
      <c r="A2096" s="50" t="s">
        <v>1916</v>
      </c>
      <c r="B2096" s="50" t="s">
        <v>1915</v>
      </c>
      <c r="C2096" s="50" t="s">
        <v>196</v>
      </c>
      <c r="D2096" s="51">
        <v>0</v>
      </c>
      <c r="E2096" s="50">
        <v>0</v>
      </c>
    </row>
    <row r="2097" spans="1:5" ht="28.8" hidden="1" x14ac:dyDescent="0.3">
      <c r="A2097" s="50" t="s">
        <v>1914</v>
      </c>
      <c r="B2097" s="50" t="s">
        <v>1913</v>
      </c>
      <c r="C2097" s="50" t="s">
        <v>196</v>
      </c>
      <c r="D2097" s="51">
        <v>0</v>
      </c>
      <c r="E2097" s="50">
        <v>0</v>
      </c>
    </row>
    <row r="2098" spans="1:5" ht="28.8" hidden="1" x14ac:dyDescent="0.3">
      <c r="A2098" s="50" t="s">
        <v>1912</v>
      </c>
      <c r="B2098" s="50" t="s">
        <v>1911</v>
      </c>
      <c r="C2098" s="50" t="s">
        <v>196</v>
      </c>
      <c r="D2098" s="51">
        <v>0</v>
      </c>
      <c r="E2098" s="50">
        <v>0</v>
      </c>
    </row>
    <row r="2099" spans="1:5" ht="28.8" hidden="1" x14ac:dyDescent="0.3">
      <c r="A2099" s="50" t="s">
        <v>1910</v>
      </c>
      <c r="B2099" s="50" t="s">
        <v>1909</v>
      </c>
      <c r="C2099" s="50" t="s">
        <v>196</v>
      </c>
      <c r="D2099" s="51">
        <v>0</v>
      </c>
      <c r="E2099" s="50">
        <v>0</v>
      </c>
    </row>
    <row r="2100" spans="1:5" ht="28.8" hidden="1" x14ac:dyDescent="0.3">
      <c r="A2100" s="50" t="s">
        <v>1908</v>
      </c>
      <c r="B2100" s="50" t="s">
        <v>1907</v>
      </c>
      <c r="C2100" s="50" t="s">
        <v>196</v>
      </c>
      <c r="D2100" s="51">
        <v>0</v>
      </c>
      <c r="E2100" s="50">
        <v>0</v>
      </c>
    </row>
    <row r="2101" spans="1:5" ht="28.8" hidden="1" x14ac:dyDescent="0.3">
      <c r="A2101" s="50" t="s">
        <v>1906</v>
      </c>
      <c r="B2101" s="50" t="s">
        <v>1905</v>
      </c>
      <c r="C2101" s="50" t="s">
        <v>196</v>
      </c>
      <c r="D2101" s="51">
        <v>0</v>
      </c>
      <c r="E2101" s="50">
        <v>0</v>
      </c>
    </row>
    <row r="2102" spans="1:5" ht="28.8" hidden="1" x14ac:dyDescent="0.3">
      <c r="A2102" s="50" t="s">
        <v>1904</v>
      </c>
      <c r="B2102" s="50" t="s">
        <v>1903</v>
      </c>
      <c r="C2102" s="50" t="s">
        <v>196</v>
      </c>
      <c r="D2102" s="51">
        <v>0</v>
      </c>
      <c r="E2102" s="50">
        <v>0</v>
      </c>
    </row>
    <row r="2103" spans="1:5" ht="28.8" hidden="1" x14ac:dyDescent="0.3">
      <c r="A2103" s="50" t="s">
        <v>1902</v>
      </c>
      <c r="B2103" s="50" t="s">
        <v>1901</v>
      </c>
      <c r="C2103" s="50" t="s">
        <v>196</v>
      </c>
      <c r="D2103" s="51">
        <v>0</v>
      </c>
      <c r="E2103" s="50">
        <v>0</v>
      </c>
    </row>
    <row r="2104" spans="1:5" ht="28.8" hidden="1" x14ac:dyDescent="0.3">
      <c r="A2104" s="50" t="s">
        <v>1900</v>
      </c>
      <c r="B2104" s="50" t="s">
        <v>1899</v>
      </c>
      <c r="C2104" s="50" t="s">
        <v>196</v>
      </c>
      <c r="D2104" s="51">
        <v>0</v>
      </c>
      <c r="E2104" s="50">
        <v>0</v>
      </c>
    </row>
    <row r="2105" spans="1:5" ht="28.8" hidden="1" x14ac:dyDescent="0.3">
      <c r="A2105" s="50" t="s">
        <v>1898</v>
      </c>
      <c r="B2105" s="50" t="s">
        <v>1897</v>
      </c>
      <c r="C2105" s="50" t="s">
        <v>196</v>
      </c>
      <c r="D2105" s="51">
        <v>0</v>
      </c>
      <c r="E2105" s="50">
        <v>0</v>
      </c>
    </row>
    <row r="2106" spans="1:5" ht="28.8" hidden="1" x14ac:dyDescent="0.3">
      <c r="A2106" s="50" t="s">
        <v>1896</v>
      </c>
      <c r="B2106" s="50" t="s">
        <v>1895</v>
      </c>
      <c r="C2106" s="50" t="s">
        <v>196</v>
      </c>
      <c r="D2106" s="51">
        <v>0</v>
      </c>
      <c r="E2106" s="50">
        <v>0</v>
      </c>
    </row>
    <row r="2107" spans="1:5" ht="28.8" hidden="1" x14ac:dyDescent="0.3">
      <c r="A2107" s="50" t="s">
        <v>1894</v>
      </c>
      <c r="B2107" s="50" t="s">
        <v>1893</v>
      </c>
      <c r="C2107" s="50" t="s">
        <v>196</v>
      </c>
      <c r="D2107" s="51">
        <v>0</v>
      </c>
      <c r="E2107" s="50">
        <v>0</v>
      </c>
    </row>
    <row r="2108" spans="1:5" ht="28.8" hidden="1" x14ac:dyDescent="0.3">
      <c r="A2108" s="50" t="s">
        <v>1892</v>
      </c>
      <c r="B2108" s="50" t="s">
        <v>1891</v>
      </c>
      <c r="C2108" s="50" t="s">
        <v>196</v>
      </c>
      <c r="D2108" s="51">
        <v>0</v>
      </c>
      <c r="E2108" s="50">
        <v>0</v>
      </c>
    </row>
    <row r="2109" spans="1:5" ht="28.8" hidden="1" x14ac:dyDescent="0.3">
      <c r="A2109" s="50" t="s">
        <v>1890</v>
      </c>
      <c r="B2109" s="50" t="s">
        <v>1889</v>
      </c>
      <c r="C2109" s="50" t="s">
        <v>196</v>
      </c>
      <c r="D2109" s="51">
        <v>0</v>
      </c>
      <c r="E2109" s="50">
        <v>0</v>
      </c>
    </row>
    <row r="2110" spans="1:5" ht="28.8" hidden="1" x14ac:dyDescent="0.3">
      <c r="A2110" s="50" t="s">
        <v>1888</v>
      </c>
      <c r="B2110" s="50" t="s">
        <v>1887</v>
      </c>
      <c r="C2110" s="50" t="s">
        <v>196</v>
      </c>
      <c r="D2110" s="51">
        <v>0</v>
      </c>
      <c r="E2110" s="50">
        <v>0</v>
      </c>
    </row>
    <row r="2111" spans="1:5" ht="28.8" hidden="1" x14ac:dyDescent="0.3">
      <c r="A2111" s="50" t="s">
        <v>1886</v>
      </c>
      <c r="B2111" s="50" t="s">
        <v>1885</v>
      </c>
      <c r="C2111" s="50" t="s">
        <v>196</v>
      </c>
      <c r="D2111" s="51">
        <v>0</v>
      </c>
      <c r="E2111" s="50">
        <v>0</v>
      </c>
    </row>
    <row r="2112" spans="1:5" ht="28.8" hidden="1" x14ac:dyDescent="0.3">
      <c r="A2112" s="50" t="s">
        <v>1884</v>
      </c>
      <c r="B2112" s="50" t="s">
        <v>1883</v>
      </c>
      <c r="C2112" s="50" t="s">
        <v>196</v>
      </c>
      <c r="D2112" s="51">
        <v>0</v>
      </c>
      <c r="E2112" s="50">
        <v>0</v>
      </c>
    </row>
    <row r="2113" spans="1:5" ht="28.8" hidden="1" x14ac:dyDescent="0.3">
      <c r="A2113" s="50" t="s">
        <v>1882</v>
      </c>
      <c r="B2113" s="50" t="s">
        <v>1881</v>
      </c>
      <c r="C2113" s="50" t="s">
        <v>196</v>
      </c>
      <c r="D2113" s="50" t="s">
        <v>1880</v>
      </c>
      <c r="E2113" s="50">
        <v>4150.17</v>
      </c>
    </row>
    <row r="2114" spans="1:5" ht="28.8" hidden="1" x14ac:dyDescent="0.3">
      <c r="A2114" s="50" t="s">
        <v>1879</v>
      </c>
      <c r="B2114" s="50" t="s">
        <v>1878</v>
      </c>
      <c r="C2114" s="50" t="s">
        <v>196</v>
      </c>
      <c r="D2114" s="51">
        <v>0</v>
      </c>
      <c r="E2114" s="50">
        <v>0</v>
      </c>
    </row>
    <row r="2115" spans="1:5" ht="28.8" hidden="1" x14ac:dyDescent="0.3">
      <c r="A2115" s="50" t="s">
        <v>1877</v>
      </c>
      <c r="B2115" s="50" t="s">
        <v>1876</v>
      </c>
      <c r="C2115" s="50" t="s">
        <v>196</v>
      </c>
      <c r="D2115" s="50" t="s">
        <v>1875</v>
      </c>
      <c r="E2115" s="50">
        <v>4157</v>
      </c>
    </row>
    <row r="2116" spans="1:5" ht="28.8" hidden="1" x14ac:dyDescent="0.3">
      <c r="A2116" s="50" t="s">
        <v>1874</v>
      </c>
      <c r="B2116" s="50" t="s">
        <v>1873</v>
      </c>
      <c r="C2116" s="50" t="s">
        <v>196</v>
      </c>
      <c r="D2116" s="50" t="s">
        <v>1872</v>
      </c>
      <c r="E2116" s="50">
        <v>4633</v>
      </c>
    </row>
    <row r="2117" spans="1:5" ht="28.8" hidden="1" x14ac:dyDescent="0.3">
      <c r="A2117" s="50" t="s">
        <v>1871</v>
      </c>
      <c r="B2117" s="50" t="s">
        <v>1870</v>
      </c>
      <c r="C2117" s="50" t="s">
        <v>196</v>
      </c>
      <c r="D2117" s="50" t="s">
        <v>1869</v>
      </c>
      <c r="E2117" s="50">
        <v>4402.8</v>
      </c>
    </row>
    <row r="2118" spans="1:5" ht="28.8" hidden="1" x14ac:dyDescent="0.3">
      <c r="A2118" s="50" t="s">
        <v>1868</v>
      </c>
      <c r="B2118" s="50" t="s">
        <v>1867</v>
      </c>
      <c r="C2118" s="50" t="s">
        <v>196</v>
      </c>
      <c r="D2118" s="50" t="s">
        <v>1866</v>
      </c>
      <c r="E2118" s="50">
        <v>4559.13</v>
      </c>
    </row>
    <row r="2119" spans="1:5" ht="28.8" hidden="1" x14ac:dyDescent="0.3">
      <c r="A2119" s="50" t="s">
        <v>1865</v>
      </c>
      <c r="B2119" s="50" t="s">
        <v>1864</v>
      </c>
      <c r="C2119" s="50" t="s">
        <v>196</v>
      </c>
      <c r="D2119" s="51">
        <v>0</v>
      </c>
      <c r="E2119" s="50">
        <v>0</v>
      </c>
    </row>
    <row r="2120" spans="1:5" ht="28.8" hidden="1" x14ac:dyDescent="0.3">
      <c r="A2120" s="50" t="s">
        <v>1863</v>
      </c>
      <c r="B2120" s="50" t="s">
        <v>1862</v>
      </c>
      <c r="C2120" s="50" t="s">
        <v>196</v>
      </c>
      <c r="D2120" s="51">
        <v>0</v>
      </c>
      <c r="E2120" s="50">
        <v>0</v>
      </c>
    </row>
    <row r="2121" spans="1:5" ht="28.8" hidden="1" x14ac:dyDescent="0.3">
      <c r="A2121" s="50" t="s">
        <v>1861</v>
      </c>
      <c r="B2121" s="50" t="s">
        <v>1860</v>
      </c>
      <c r="C2121" s="50" t="s">
        <v>196</v>
      </c>
      <c r="D2121" s="51">
        <v>0</v>
      </c>
      <c r="E2121" s="50">
        <v>0</v>
      </c>
    </row>
    <row r="2122" spans="1:5" ht="28.8" hidden="1" x14ac:dyDescent="0.3">
      <c r="A2122" s="50" t="s">
        <v>1859</v>
      </c>
      <c r="B2122" s="50" t="s">
        <v>1858</v>
      </c>
      <c r="C2122" s="50" t="s">
        <v>196</v>
      </c>
      <c r="D2122" s="51">
        <v>0</v>
      </c>
      <c r="E2122" s="50">
        <v>0</v>
      </c>
    </row>
    <row r="2123" spans="1:5" ht="28.8" hidden="1" x14ac:dyDescent="0.3">
      <c r="A2123" s="50" t="s">
        <v>1857</v>
      </c>
      <c r="B2123" s="50" t="s">
        <v>1856</v>
      </c>
      <c r="C2123" s="50" t="s">
        <v>196</v>
      </c>
      <c r="D2123" s="50" t="s">
        <v>1855</v>
      </c>
      <c r="E2123" s="50">
        <v>4935.88</v>
      </c>
    </row>
    <row r="2124" spans="1:5" ht="28.8" hidden="1" x14ac:dyDescent="0.3">
      <c r="A2124" s="50" t="s">
        <v>1854</v>
      </c>
      <c r="B2124" s="50" t="s">
        <v>1853</v>
      </c>
      <c r="C2124" s="50" t="s">
        <v>196</v>
      </c>
      <c r="D2124" s="51">
        <v>0</v>
      </c>
      <c r="E2124" s="50">
        <v>0</v>
      </c>
    </row>
    <row r="2125" spans="1:5" ht="28.8" hidden="1" x14ac:dyDescent="0.3">
      <c r="A2125" s="50" t="s">
        <v>1852</v>
      </c>
      <c r="B2125" s="50" t="s">
        <v>1851</v>
      </c>
      <c r="C2125" s="50" t="s">
        <v>196</v>
      </c>
      <c r="D2125" s="50" t="s">
        <v>1850</v>
      </c>
      <c r="E2125" s="50">
        <v>4138</v>
      </c>
    </row>
    <row r="2126" spans="1:5" ht="28.8" hidden="1" x14ac:dyDescent="0.3">
      <c r="A2126" s="50" t="s">
        <v>1849</v>
      </c>
      <c r="B2126" s="50" t="s">
        <v>1848</v>
      </c>
      <c r="C2126" s="50" t="s">
        <v>196</v>
      </c>
      <c r="D2126" s="50" t="s">
        <v>1847</v>
      </c>
      <c r="E2126" s="50">
        <v>5284.43</v>
      </c>
    </row>
    <row r="2127" spans="1:5" ht="28.8" hidden="1" x14ac:dyDescent="0.3">
      <c r="A2127" s="50" t="s">
        <v>1846</v>
      </c>
      <c r="B2127" s="50" t="s">
        <v>1845</v>
      </c>
      <c r="C2127" s="50" t="s">
        <v>196</v>
      </c>
      <c r="D2127" s="51">
        <v>0</v>
      </c>
      <c r="E2127" s="50">
        <v>0</v>
      </c>
    </row>
    <row r="2128" spans="1:5" ht="28.8" hidden="1" x14ac:dyDescent="0.3">
      <c r="A2128" s="50" t="s">
        <v>1844</v>
      </c>
      <c r="B2128" s="50" t="s">
        <v>1843</v>
      </c>
      <c r="C2128" s="50" t="s">
        <v>196</v>
      </c>
      <c r="D2128" s="51">
        <v>0</v>
      </c>
      <c r="E2128" s="50">
        <v>0</v>
      </c>
    </row>
    <row r="2129" spans="1:5" ht="28.8" hidden="1" x14ac:dyDescent="0.3">
      <c r="A2129" s="50" t="s">
        <v>1842</v>
      </c>
      <c r="B2129" s="50" t="s">
        <v>1841</v>
      </c>
      <c r="C2129" s="50" t="s">
        <v>196</v>
      </c>
      <c r="D2129" s="51">
        <v>0</v>
      </c>
      <c r="E2129" s="50">
        <v>0</v>
      </c>
    </row>
    <row r="2130" spans="1:5" ht="28.8" hidden="1" x14ac:dyDescent="0.3">
      <c r="A2130" s="50" t="s">
        <v>1840</v>
      </c>
      <c r="B2130" s="50" t="s">
        <v>1839</v>
      </c>
      <c r="C2130" s="50" t="s">
        <v>196</v>
      </c>
      <c r="D2130" s="51">
        <v>0</v>
      </c>
      <c r="E2130" s="50">
        <v>0</v>
      </c>
    </row>
    <row r="2131" spans="1:5" ht="28.8" hidden="1" x14ac:dyDescent="0.3">
      <c r="A2131" s="50" t="s">
        <v>1838</v>
      </c>
      <c r="B2131" s="50" t="s">
        <v>1837</v>
      </c>
      <c r="C2131" s="50" t="s">
        <v>196</v>
      </c>
      <c r="D2131" s="51">
        <v>0</v>
      </c>
      <c r="E2131" s="50">
        <v>0</v>
      </c>
    </row>
    <row r="2132" spans="1:5" ht="28.8" hidden="1" x14ac:dyDescent="0.3">
      <c r="A2132" s="50" t="s">
        <v>1836</v>
      </c>
      <c r="B2132" s="50" t="s">
        <v>1835</v>
      </c>
      <c r="C2132" s="50" t="s">
        <v>196</v>
      </c>
      <c r="D2132" s="50" t="s">
        <v>1834</v>
      </c>
      <c r="E2132" s="50">
        <v>6487.29</v>
      </c>
    </row>
    <row r="2133" spans="1:5" ht="28.8" hidden="1" x14ac:dyDescent="0.3">
      <c r="A2133" s="50" t="s">
        <v>1833</v>
      </c>
      <c r="B2133" s="50" t="s">
        <v>1832</v>
      </c>
      <c r="C2133" s="50" t="s">
        <v>196</v>
      </c>
      <c r="D2133" s="50" t="s">
        <v>1831</v>
      </c>
      <c r="E2133" s="50">
        <v>8039</v>
      </c>
    </row>
    <row r="2134" spans="1:5" ht="28.8" hidden="1" x14ac:dyDescent="0.3">
      <c r="A2134" s="50" t="s">
        <v>1830</v>
      </c>
      <c r="B2134" s="50" t="s">
        <v>1829</v>
      </c>
      <c r="C2134" s="50" t="s">
        <v>196</v>
      </c>
      <c r="D2134" s="51">
        <v>0</v>
      </c>
      <c r="E2134" s="50">
        <v>0</v>
      </c>
    </row>
    <row r="2135" spans="1:5" ht="28.8" hidden="1" x14ac:dyDescent="0.3">
      <c r="A2135" s="50" t="s">
        <v>1828</v>
      </c>
      <c r="B2135" s="50" t="s">
        <v>1827</v>
      </c>
      <c r="C2135" s="50" t="s">
        <v>196</v>
      </c>
      <c r="D2135" s="51">
        <v>0</v>
      </c>
      <c r="E2135" s="50">
        <v>0</v>
      </c>
    </row>
    <row r="2136" spans="1:5" ht="28.8" hidden="1" x14ac:dyDescent="0.3">
      <c r="A2136" s="50" t="s">
        <v>1826</v>
      </c>
      <c r="B2136" s="50" t="s">
        <v>1825</v>
      </c>
      <c r="C2136" s="50" t="s">
        <v>196</v>
      </c>
      <c r="D2136" s="51">
        <v>0</v>
      </c>
      <c r="E2136" s="50">
        <v>0</v>
      </c>
    </row>
    <row r="2137" spans="1:5" ht="28.8" hidden="1" x14ac:dyDescent="0.3">
      <c r="A2137" s="50" t="s">
        <v>1824</v>
      </c>
      <c r="B2137" s="50" t="s">
        <v>1823</v>
      </c>
      <c r="C2137" s="50" t="s">
        <v>196</v>
      </c>
      <c r="D2137" s="51">
        <v>0</v>
      </c>
      <c r="E2137" s="50">
        <v>0</v>
      </c>
    </row>
    <row r="2138" spans="1:5" ht="28.8" hidden="1" x14ac:dyDescent="0.3">
      <c r="A2138" s="50" t="s">
        <v>1822</v>
      </c>
      <c r="B2138" s="50" t="s">
        <v>1821</v>
      </c>
      <c r="C2138" s="50" t="s">
        <v>196</v>
      </c>
      <c r="D2138" s="51">
        <v>0</v>
      </c>
      <c r="E2138" s="50">
        <v>0</v>
      </c>
    </row>
    <row r="2139" spans="1:5" ht="28.8" hidden="1" x14ac:dyDescent="0.3">
      <c r="A2139" s="50" t="s">
        <v>1820</v>
      </c>
      <c r="B2139" s="50" t="s">
        <v>1819</v>
      </c>
      <c r="C2139" s="50" t="s">
        <v>196</v>
      </c>
      <c r="D2139" s="51">
        <v>0</v>
      </c>
      <c r="E2139" s="50">
        <v>0</v>
      </c>
    </row>
    <row r="2140" spans="1:5" ht="28.8" hidden="1" x14ac:dyDescent="0.3">
      <c r="A2140" s="50" t="s">
        <v>1818</v>
      </c>
      <c r="B2140" s="50" t="s">
        <v>1817</v>
      </c>
      <c r="C2140" s="50" t="s">
        <v>196</v>
      </c>
      <c r="D2140" s="51">
        <v>0</v>
      </c>
      <c r="E2140" s="50">
        <v>0</v>
      </c>
    </row>
    <row r="2141" spans="1:5" ht="28.8" hidden="1" x14ac:dyDescent="0.3">
      <c r="A2141" s="50" t="s">
        <v>1816</v>
      </c>
      <c r="B2141" s="50" t="s">
        <v>1815</v>
      </c>
      <c r="C2141" s="50" t="s">
        <v>196</v>
      </c>
      <c r="D2141" s="51">
        <v>0</v>
      </c>
      <c r="E2141" s="50">
        <v>0</v>
      </c>
    </row>
    <row r="2142" spans="1:5" ht="28.8" hidden="1" x14ac:dyDescent="0.3">
      <c r="A2142" s="50" t="s">
        <v>1814</v>
      </c>
      <c r="B2142" s="50" t="s">
        <v>1813</v>
      </c>
      <c r="C2142" s="50" t="s">
        <v>196</v>
      </c>
      <c r="D2142" s="51">
        <v>0</v>
      </c>
      <c r="E2142" s="50">
        <v>0</v>
      </c>
    </row>
    <row r="2143" spans="1:5" ht="28.8" hidden="1" x14ac:dyDescent="0.3">
      <c r="A2143" s="50" t="s">
        <v>1812</v>
      </c>
      <c r="B2143" s="50" t="s">
        <v>1811</v>
      </c>
      <c r="C2143" s="50" t="s">
        <v>196</v>
      </c>
      <c r="D2143" s="51">
        <v>0</v>
      </c>
      <c r="E2143" s="50">
        <v>0</v>
      </c>
    </row>
    <row r="2144" spans="1:5" ht="28.8" hidden="1" x14ac:dyDescent="0.3">
      <c r="A2144" s="50" t="s">
        <v>1810</v>
      </c>
      <c r="B2144" s="50" t="s">
        <v>1809</v>
      </c>
      <c r="C2144" s="50" t="s">
        <v>196</v>
      </c>
      <c r="D2144" s="51">
        <v>0</v>
      </c>
      <c r="E2144" s="50">
        <v>0</v>
      </c>
    </row>
    <row r="2145" spans="1:5" ht="28.8" hidden="1" x14ac:dyDescent="0.3">
      <c r="A2145" s="50" t="s">
        <v>1808</v>
      </c>
      <c r="B2145" s="50" t="s">
        <v>1807</v>
      </c>
      <c r="C2145" s="50" t="s">
        <v>196</v>
      </c>
      <c r="D2145" s="50" t="s">
        <v>1806</v>
      </c>
      <c r="E2145" s="50">
        <v>5138.6899999999996</v>
      </c>
    </row>
    <row r="2146" spans="1:5" ht="28.8" hidden="1" x14ac:dyDescent="0.3">
      <c r="A2146" s="50" t="s">
        <v>1805</v>
      </c>
      <c r="B2146" s="50" t="s">
        <v>1804</v>
      </c>
      <c r="C2146" s="50" t="s">
        <v>196</v>
      </c>
      <c r="D2146" s="51">
        <v>0</v>
      </c>
      <c r="E2146" s="50">
        <v>0</v>
      </c>
    </row>
    <row r="2147" spans="1:5" ht="28.8" hidden="1" x14ac:dyDescent="0.3">
      <c r="A2147" s="50" t="s">
        <v>1803</v>
      </c>
      <c r="B2147" s="50" t="s">
        <v>1802</v>
      </c>
      <c r="C2147" s="50" t="s">
        <v>196</v>
      </c>
      <c r="D2147" s="50" t="s">
        <v>1801</v>
      </c>
      <c r="E2147" s="50">
        <v>3606.45</v>
      </c>
    </row>
    <row r="2148" spans="1:5" ht="28.8" hidden="1" x14ac:dyDescent="0.3">
      <c r="A2148" s="50" t="s">
        <v>1800</v>
      </c>
      <c r="B2148" s="50" t="s">
        <v>1799</v>
      </c>
      <c r="C2148" s="50" t="s">
        <v>196</v>
      </c>
      <c r="D2148" s="50" t="s">
        <v>1798</v>
      </c>
      <c r="E2148" s="50">
        <v>5419</v>
      </c>
    </row>
    <row r="2149" spans="1:5" ht="28.8" hidden="1" x14ac:dyDescent="0.3">
      <c r="A2149" s="50" t="s">
        <v>1797</v>
      </c>
      <c r="B2149" s="50" t="s">
        <v>1796</v>
      </c>
      <c r="C2149" s="50" t="s">
        <v>196</v>
      </c>
      <c r="D2149" s="51">
        <v>0</v>
      </c>
      <c r="E2149" s="50">
        <v>0</v>
      </c>
    </row>
    <row r="2150" spans="1:5" ht="28.8" hidden="1" x14ac:dyDescent="0.3">
      <c r="A2150" s="50" t="s">
        <v>1795</v>
      </c>
      <c r="B2150" s="50" t="s">
        <v>1794</v>
      </c>
      <c r="C2150" s="50" t="s">
        <v>196</v>
      </c>
      <c r="D2150" s="51">
        <v>0</v>
      </c>
      <c r="E2150" s="50">
        <v>0</v>
      </c>
    </row>
    <row r="2151" spans="1:5" ht="28.8" hidden="1" x14ac:dyDescent="0.3">
      <c r="A2151" s="50" t="s">
        <v>1793</v>
      </c>
      <c r="B2151" s="50" t="s">
        <v>1792</v>
      </c>
      <c r="C2151" s="50" t="s">
        <v>196</v>
      </c>
      <c r="D2151" s="51">
        <v>0</v>
      </c>
      <c r="E2151" s="50">
        <v>0</v>
      </c>
    </row>
    <row r="2152" spans="1:5" ht="28.8" hidden="1" x14ac:dyDescent="0.3">
      <c r="A2152" s="50" t="s">
        <v>1791</v>
      </c>
      <c r="B2152" s="50" t="s">
        <v>1790</v>
      </c>
      <c r="C2152" s="50" t="s">
        <v>196</v>
      </c>
      <c r="D2152" s="51">
        <v>0</v>
      </c>
      <c r="E2152" s="50">
        <v>0</v>
      </c>
    </row>
    <row r="2153" spans="1:5" ht="28.8" hidden="1" x14ac:dyDescent="0.3">
      <c r="A2153" s="50" t="s">
        <v>1789</v>
      </c>
      <c r="B2153" s="50" t="s">
        <v>1788</v>
      </c>
      <c r="C2153" s="50" t="s">
        <v>196</v>
      </c>
      <c r="D2153" s="51">
        <v>0</v>
      </c>
      <c r="E2153" s="50">
        <v>0</v>
      </c>
    </row>
    <row r="2154" spans="1:5" ht="28.8" hidden="1" x14ac:dyDescent="0.3">
      <c r="A2154" s="50" t="s">
        <v>1787</v>
      </c>
      <c r="B2154" s="50" t="s">
        <v>1786</v>
      </c>
      <c r="C2154" s="50" t="s">
        <v>196</v>
      </c>
      <c r="D2154" s="51">
        <v>0</v>
      </c>
      <c r="E2154" s="50">
        <v>0</v>
      </c>
    </row>
    <row r="2155" spans="1:5" ht="28.8" hidden="1" x14ac:dyDescent="0.3">
      <c r="A2155" s="50" t="s">
        <v>1785</v>
      </c>
      <c r="B2155" s="50" t="s">
        <v>1784</v>
      </c>
      <c r="C2155" s="50" t="s">
        <v>196</v>
      </c>
      <c r="D2155" s="50" t="s">
        <v>1783</v>
      </c>
      <c r="E2155" s="50">
        <v>5978.54</v>
      </c>
    </row>
    <row r="2156" spans="1:5" ht="28.8" hidden="1" x14ac:dyDescent="0.3">
      <c r="A2156" s="50" t="s">
        <v>1782</v>
      </c>
      <c r="B2156" s="50" t="s">
        <v>1781</v>
      </c>
      <c r="C2156" s="50" t="s">
        <v>196</v>
      </c>
      <c r="D2156" s="51">
        <v>0</v>
      </c>
      <c r="E2156" s="50">
        <v>0</v>
      </c>
    </row>
    <row r="2157" spans="1:5" ht="28.8" hidden="1" x14ac:dyDescent="0.3">
      <c r="A2157" s="50" t="s">
        <v>1780</v>
      </c>
      <c r="B2157" s="50" t="s">
        <v>1779</v>
      </c>
      <c r="C2157" s="50" t="s">
        <v>196</v>
      </c>
      <c r="D2157" s="50" t="s">
        <v>1778</v>
      </c>
      <c r="E2157" s="50">
        <v>5809.2</v>
      </c>
    </row>
    <row r="2158" spans="1:5" ht="28.8" hidden="1" x14ac:dyDescent="0.3">
      <c r="A2158" s="50" t="s">
        <v>1777</v>
      </c>
      <c r="B2158" s="50" t="s">
        <v>1776</v>
      </c>
      <c r="C2158" s="50" t="s">
        <v>196</v>
      </c>
      <c r="D2158" s="51">
        <v>0</v>
      </c>
      <c r="E2158" s="50">
        <v>0</v>
      </c>
    </row>
    <row r="2159" spans="1:5" ht="28.8" hidden="1" x14ac:dyDescent="0.3">
      <c r="A2159" s="50" t="s">
        <v>1775</v>
      </c>
      <c r="B2159" s="50" t="s">
        <v>1774</v>
      </c>
      <c r="C2159" s="50" t="s">
        <v>196</v>
      </c>
      <c r="D2159" s="51">
        <v>0</v>
      </c>
      <c r="E2159" s="50">
        <v>0</v>
      </c>
    </row>
    <row r="2160" spans="1:5" ht="28.8" hidden="1" x14ac:dyDescent="0.3">
      <c r="A2160" s="50" t="s">
        <v>1773</v>
      </c>
      <c r="B2160" s="50" t="s">
        <v>1772</v>
      </c>
      <c r="C2160" s="50" t="s">
        <v>196</v>
      </c>
      <c r="D2160" s="51">
        <v>0</v>
      </c>
      <c r="E2160" s="50">
        <v>0</v>
      </c>
    </row>
    <row r="2161" spans="1:5" ht="28.8" hidden="1" x14ac:dyDescent="0.3">
      <c r="A2161" s="50" t="s">
        <v>1771</v>
      </c>
      <c r="B2161" s="50" t="s">
        <v>1770</v>
      </c>
      <c r="C2161" s="50" t="s">
        <v>196</v>
      </c>
      <c r="D2161" s="51">
        <v>0</v>
      </c>
      <c r="E2161" s="50">
        <v>0</v>
      </c>
    </row>
    <row r="2162" spans="1:5" ht="28.8" hidden="1" x14ac:dyDescent="0.3">
      <c r="A2162" s="50" t="s">
        <v>1769</v>
      </c>
      <c r="B2162" s="50" t="s">
        <v>1768</v>
      </c>
      <c r="C2162" s="50" t="s">
        <v>196</v>
      </c>
      <c r="D2162" s="51">
        <v>0</v>
      </c>
      <c r="E2162" s="50">
        <v>0</v>
      </c>
    </row>
    <row r="2163" spans="1:5" ht="28.8" hidden="1" x14ac:dyDescent="0.3">
      <c r="A2163" s="50" t="s">
        <v>1767</v>
      </c>
      <c r="B2163" s="50" t="s">
        <v>1766</v>
      </c>
      <c r="C2163" s="50" t="s">
        <v>196</v>
      </c>
      <c r="D2163" s="51">
        <v>0</v>
      </c>
      <c r="E2163" s="50">
        <v>0</v>
      </c>
    </row>
    <row r="2164" spans="1:5" ht="28.8" hidden="1" x14ac:dyDescent="0.3">
      <c r="A2164" s="50" t="s">
        <v>1765</v>
      </c>
      <c r="B2164" s="50" t="s">
        <v>1764</v>
      </c>
      <c r="C2164" s="50" t="s">
        <v>196</v>
      </c>
      <c r="D2164" s="51">
        <v>0</v>
      </c>
      <c r="E2164" s="50">
        <v>0</v>
      </c>
    </row>
    <row r="2165" spans="1:5" ht="28.8" hidden="1" x14ac:dyDescent="0.3">
      <c r="A2165" s="50" t="s">
        <v>1763</v>
      </c>
      <c r="B2165" s="50" t="s">
        <v>1762</v>
      </c>
      <c r="C2165" s="50" t="s">
        <v>196</v>
      </c>
      <c r="D2165" s="51">
        <v>0</v>
      </c>
      <c r="E2165" s="50">
        <v>0</v>
      </c>
    </row>
    <row r="2166" spans="1:5" ht="28.8" hidden="1" x14ac:dyDescent="0.3">
      <c r="A2166" s="50" t="s">
        <v>1761</v>
      </c>
      <c r="B2166" s="50" t="s">
        <v>1760</v>
      </c>
      <c r="C2166" s="50" t="s">
        <v>196</v>
      </c>
      <c r="D2166" s="51">
        <v>0</v>
      </c>
      <c r="E2166" s="50">
        <v>0</v>
      </c>
    </row>
    <row r="2167" spans="1:5" ht="28.8" hidden="1" x14ac:dyDescent="0.3">
      <c r="A2167" s="50" t="s">
        <v>1759</v>
      </c>
      <c r="B2167" s="50" t="s">
        <v>1758</v>
      </c>
      <c r="C2167" s="50" t="s">
        <v>196</v>
      </c>
      <c r="D2167" s="51">
        <v>0</v>
      </c>
      <c r="E2167" s="50">
        <v>0</v>
      </c>
    </row>
    <row r="2168" spans="1:5" ht="28.8" hidden="1" x14ac:dyDescent="0.3">
      <c r="A2168" s="50" t="s">
        <v>1757</v>
      </c>
      <c r="B2168" s="50" t="s">
        <v>1756</v>
      </c>
      <c r="C2168" s="50" t="s">
        <v>196</v>
      </c>
      <c r="D2168" s="51">
        <v>0</v>
      </c>
      <c r="E2168" s="50">
        <v>0</v>
      </c>
    </row>
    <row r="2169" spans="1:5" ht="28.8" hidden="1" x14ac:dyDescent="0.3">
      <c r="A2169" s="50" t="s">
        <v>1755</v>
      </c>
      <c r="B2169" s="50" t="s">
        <v>1754</v>
      </c>
      <c r="C2169" s="50" t="s">
        <v>196</v>
      </c>
      <c r="D2169" s="51">
        <v>0</v>
      </c>
      <c r="E2169" s="50">
        <v>0</v>
      </c>
    </row>
    <row r="2170" spans="1:5" ht="28.8" hidden="1" x14ac:dyDescent="0.3">
      <c r="A2170" s="50" t="s">
        <v>1753</v>
      </c>
      <c r="B2170" s="50" t="s">
        <v>1752</v>
      </c>
      <c r="C2170" s="50" t="s">
        <v>196</v>
      </c>
      <c r="D2170" s="51">
        <v>0</v>
      </c>
      <c r="E2170" s="50">
        <v>0</v>
      </c>
    </row>
    <row r="2171" spans="1:5" ht="28.8" hidden="1" x14ac:dyDescent="0.3">
      <c r="A2171" s="50" t="s">
        <v>1751</v>
      </c>
      <c r="B2171" s="50" t="s">
        <v>1750</v>
      </c>
      <c r="C2171" s="50" t="s">
        <v>196</v>
      </c>
      <c r="D2171" s="51">
        <v>0</v>
      </c>
      <c r="E2171" s="50">
        <v>0</v>
      </c>
    </row>
    <row r="2172" spans="1:5" ht="28.8" hidden="1" x14ac:dyDescent="0.3">
      <c r="A2172" s="50" t="s">
        <v>1749</v>
      </c>
      <c r="B2172" s="50" t="s">
        <v>1748</v>
      </c>
      <c r="C2172" s="50" t="s">
        <v>196</v>
      </c>
      <c r="D2172" s="51">
        <v>0</v>
      </c>
      <c r="E2172" s="50">
        <v>0</v>
      </c>
    </row>
    <row r="2173" spans="1:5" ht="28.8" hidden="1" x14ac:dyDescent="0.3">
      <c r="A2173" s="50" t="s">
        <v>1747</v>
      </c>
      <c r="B2173" s="50" t="s">
        <v>1746</v>
      </c>
      <c r="C2173" s="50" t="s">
        <v>196</v>
      </c>
      <c r="D2173" s="51">
        <v>0</v>
      </c>
      <c r="E2173" s="50">
        <v>0</v>
      </c>
    </row>
    <row r="2174" spans="1:5" ht="28.8" hidden="1" x14ac:dyDescent="0.3">
      <c r="A2174" s="50" t="s">
        <v>1745</v>
      </c>
      <c r="B2174" s="50" t="s">
        <v>1744</v>
      </c>
      <c r="C2174" s="50" t="s">
        <v>196</v>
      </c>
      <c r="D2174" s="51">
        <v>0</v>
      </c>
      <c r="E2174" s="50">
        <v>0</v>
      </c>
    </row>
    <row r="2175" spans="1:5" ht="28.8" hidden="1" x14ac:dyDescent="0.3">
      <c r="A2175" s="50" t="s">
        <v>1743</v>
      </c>
      <c r="B2175" s="50" t="s">
        <v>1742</v>
      </c>
      <c r="C2175" s="50" t="s">
        <v>196</v>
      </c>
      <c r="D2175" s="51">
        <v>0</v>
      </c>
      <c r="E2175" s="50">
        <v>0</v>
      </c>
    </row>
    <row r="2176" spans="1:5" ht="28.8" hidden="1" x14ac:dyDescent="0.3">
      <c r="A2176" s="50" t="s">
        <v>1741</v>
      </c>
      <c r="B2176" s="50" t="s">
        <v>1740</v>
      </c>
      <c r="C2176" s="50" t="s">
        <v>196</v>
      </c>
      <c r="D2176" s="51">
        <v>0</v>
      </c>
      <c r="E2176" s="50">
        <v>0</v>
      </c>
    </row>
    <row r="2177" spans="1:5" ht="28.8" hidden="1" x14ac:dyDescent="0.3">
      <c r="A2177" s="50" t="s">
        <v>1739</v>
      </c>
      <c r="B2177" s="50" t="s">
        <v>1738</v>
      </c>
      <c r="C2177" s="50" t="s">
        <v>196</v>
      </c>
      <c r="D2177" s="51">
        <v>0</v>
      </c>
      <c r="E2177" s="50">
        <v>0</v>
      </c>
    </row>
    <row r="2178" spans="1:5" ht="28.8" hidden="1" x14ac:dyDescent="0.3">
      <c r="A2178" s="50" t="s">
        <v>1737</v>
      </c>
      <c r="B2178" s="50" t="s">
        <v>1736</v>
      </c>
      <c r="C2178" s="50" t="s">
        <v>196</v>
      </c>
      <c r="D2178" s="51">
        <v>0</v>
      </c>
      <c r="E2178" s="50">
        <v>0</v>
      </c>
    </row>
    <row r="2179" spans="1:5" ht="28.8" hidden="1" x14ac:dyDescent="0.3">
      <c r="A2179" s="50" t="s">
        <v>1735</v>
      </c>
      <c r="B2179" s="50" t="s">
        <v>1734</v>
      </c>
      <c r="C2179" s="50" t="s">
        <v>196</v>
      </c>
      <c r="D2179" s="51">
        <v>0</v>
      </c>
      <c r="E2179" s="50">
        <v>0</v>
      </c>
    </row>
    <row r="2180" spans="1:5" ht="28.8" hidden="1" x14ac:dyDescent="0.3">
      <c r="A2180" s="50" t="s">
        <v>1733</v>
      </c>
      <c r="B2180" s="50" t="s">
        <v>1732</v>
      </c>
      <c r="C2180" s="50" t="s">
        <v>196</v>
      </c>
      <c r="D2180" s="51">
        <v>0</v>
      </c>
      <c r="E2180" s="50">
        <v>0</v>
      </c>
    </row>
    <row r="2181" spans="1:5" ht="28.8" hidden="1" x14ac:dyDescent="0.3">
      <c r="A2181" s="50" t="s">
        <v>1731</v>
      </c>
      <c r="B2181" s="50" t="s">
        <v>1730</v>
      </c>
      <c r="C2181" s="50" t="s">
        <v>196</v>
      </c>
      <c r="D2181" s="51">
        <v>0</v>
      </c>
      <c r="E2181" s="50">
        <v>0</v>
      </c>
    </row>
    <row r="2182" spans="1:5" ht="28.8" hidden="1" x14ac:dyDescent="0.3">
      <c r="A2182" s="50" t="s">
        <v>1729</v>
      </c>
      <c r="B2182" s="50" t="s">
        <v>1728</v>
      </c>
      <c r="C2182" s="50" t="s">
        <v>196</v>
      </c>
      <c r="D2182" s="51">
        <v>0</v>
      </c>
      <c r="E2182" s="50">
        <v>0</v>
      </c>
    </row>
    <row r="2183" spans="1:5" ht="28.8" hidden="1" x14ac:dyDescent="0.3">
      <c r="A2183" s="50" t="s">
        <v>1727</v>
      </c>
      <c r="B2183" s="50" t="s">
        <v>1726</v>
      </c>
      <c r="C2183" s="50" t="s">
        <v>196</v>
      </c>
      <c r="D2183" s="51">
        <v>0</v>
      </c>
      <c r="E2183" s="50">
        <v>0</v>
      </c>
    </row>
    <row r="2184" spans="1:5" ht="28.8" hidden="1" x14ac:dyDescent="0.3">
      <c r="A2184" s="50" t="s">
        <v>1725</v>
      </c>
      <c r="B2184" s="50" t="s">
        <v>1724</v>
      </c>
      <c r="C2184" s="50" t="s">
        <v>196</v>
      </c>
      <c r="D2184" s="51">
        <v>0</v>
      </c>
      <c r="E2184" s="50">
        <v>0</v>
      </c>
    </row>
    <row r="2185" spans="1:5" ht="28.8" hidden="1" x14ac:dyDescent="0.3">
      <c r="A2185" s="50" t="s">
        <v>1723</v>
      </c>
      <c r="B2185" s="50" t="s">
        <v>1722</v>
      </c>
      <c r="C2185" s="50" t="s">
        <v>196</v>
      </c>
      <c r="D2185" s="51">
        <v>0</v>
      </c>
      <c r="E2185" s="50">
        <v>0</v>
      </c>
    </row>
    <row r="2186" spans="1:5" ht="28.8" hidden="1" x14ac:dyDescent="0.3">
      <c r="A2186" s="50" t="s">
        <v>1721</v>
      </c>
      <c r="B2186" s="50" t="s">
        <v>1720</v>
      </c>
      <c r="C2186" s="50" t="s">
        <v>196</v>
      </c>
      <c r="D2186" s="51">
        <v>0</v>
      </c>
      <c r="E2186" s="50">
        <v>0</v>
      </c>
    </row>
    <row r="2187" spans="1:5" ht="28.8" hidden="1" x14ac:dyDescent="0.3">
      <c r="A2187" s="50" t="s">
        <v>1719</v>
      </c>
      <c r="B2187" s="50" t="s">
        <v>1718</v>
      </c>
      <c r="C2187" s="50" t="s">
        <v>196</v>
      </c>
      <c r="D2187" s="51">
        <v>0</v>
      </c>
      <c r="E2187" s="50">
        <v>0</v>
      </c>
    </row>
    <row r="2188" spans="1:5" ht="28.8" hidden="1" x14ac:dyDescent="0.3">
      <c r="A2188" s="50" t="s">
        <v>1717</v>
      </c>
      <c r="B2188" s="50" t="s">
        <v>1716</v>
      </c>
      <c r="C2188" s="50" t="s">
        <v>196</v>
      </c>
      <c r="D2188" s="50" t="s">
        <v>1715</v>
      </c>
      <c r="E2188" s="50">
        <v>5219.33</v>
      </c>
    </row>
    <row r="2189" spans="1:5" ht="28.8" hidden="1" x14ac:dyDescent="0.3">
      <c r="A2189" s="50" t="s">
        <v>1714</v>
      </c>
      <c r="B2189" s="50" t="s">
        <v>1713</v>
      </c>
      <c r="C2189" s="50" t="s">
        <v>196</v>
      </c>
      <c r="D2189" s="51">
        <v>0</v>
      </c>
      <c r="E2189" s="50">
        <v>0</v>
      </c>
    </row>
    <row r="2190" spans="1:5" ht="28.8" hidden="1" x14ac:dyDescent="0.3">
      <c r="A2190" s="50" t="s">
        <v>1712</v>
      </c>
      <c r="B2190" s="50" t="s">
        <v>1711</v>
      </c>
      <c r="C2190" s="50" t="s">
        <v>196</v>
      </c>
      <c r="D2190" s="50" t="s">
        <v>1710</v>
      </c>
      <c r="E2190" s="50">
        <v>5355.45</v>
      </c>
    </row>
    <row r="2191" spans="1:5" ht="28.8" hidden="1" x14ac:dyDescent="0.3">
      <c r="A2191" s="50" t="s">
        <v>1709</v>
      </c>
      <c r="B2191" s="50" t="s">
        <v>1708</v>
      </c>
      <c r="C2191" s="50" t="s">
        <v>196</v>
      </c>
      <c r="D2191" s="51">
        <v>0</v>
      </c>
      <c r="E2191" s="50">
        <v>0</v>
      </c>
    </row>
    <row r="2192" spans="1:5" ht="28.8" hidden="1" x14ac:dyDescent="0.3">
      <c r="A2192" s="50" t="s">
        <v>1707</v>
      </c>
      <c r="B2192" s="50" t="s">
        <v>1706</v>
      </c>
      <c r="C2192" s="50" t="s">
        <v>196</v>
      </c>
      <c r="D2192" s="50" t="s">
        <v>1705</v>
      </c>
      <c r="E2192" s="50">
        <v>5601</v>
      </c>
    </row>
    <row r="2193" spans="1:5" ht="28.8" hidden="1" x14ac:dyDescent="0.3">
      <c r="A2193" s="50" t="s">
        <v>1704</v>
      </c>
      <c r="B2193" s="50" t="s">
        <v>1703</v>
      </c>
      <c r="C2193" s="50" t="s">
        <v>196</v>
      </c>
      <c r="D2193" s="51">
        <v>0</v>
      </c>
      <c r="E2193" s="50">
        <v>0</v>
      </c>
    </row>
    <row r="2194" spans="1:5" ht="28.8" hidden="1" x14ac:dyDescent="0.3">
      <c r="A2194" s="50" t="s">
        <v>1702</v>
      </c>
      <c r="B2194" s="50" t="s">
        <v>1701</v>
      </c>
      <c r="C2194" s="50" t="s">
        <v>196</v>
      </c>
      <c r="D2194" s="51">
        <v>0</v>
      </c>
      <c r="E2194" s="50">
        <v>0</v>
      </c>
    </row>
    <row r="2195" spans="1:5" ht="28.8" hidden="1" x14ac:dyDescent="0.3">
      <c r="A2195" s="50" t="s">
        <v>1700</v>
      </c>
      <c r="B2195" s="50" t="s">
        <v>1699</v>
      </c>
      <c r="C2195" s="50" t="s">
        <v>196</v>
      </c>
      <c r="D2195" s="51">
        <v>0</v>
      </c>
      <c r="E2195" s="50">
        <v>0</v>
      </c>
    </row>
    <row r="2196" spans="1:5" ht="28.8" hidden="1" x14ac:dyDescent="0.3">
      <c r="A2196" s="50" t="s">
        <v>1698</v>
      </c>
      <c r="B2196" s="50" t="s">
        <v>1697</v>
      </c>
      <c r="C2196" s="50" t="s">
        <v>196</v>
      </c>
      <c r="D2196" s="51">
        <v>0</v>
      </c>
      <c r="E2196" s="50">
        <v>0</v>
      </c>
    </row>
    <row r="2197" spans="1:5" ht="28.8" hidden="1" x14ac:dyDescent="0.3">
      <c r="A2197" s="50" t="s">
        <v>1696</v>
      </c>
      <c r="B2197" s="50" t="s">
        <v>1695</v>
      </c>
      <c r="C2197" s="50" t="s">
        <v>196</v>
      </c>
      <c r="D2197" s="50" t="s">
        <v>1690</v>
      </c>
      <c r="E2197" s="50">
        <v>2032.3</v>
      </c>
    </row>
    <row r="2198" spans="1:5" ht="28.8" hidden="1" x14ac:dyDescent="0.3">
      <c r="A2198" s="50" t="s">
        <v>1694</v>
      </c>
      <c r="B2198" s="50" t="s">
        <v>1693</v>
      </c>
      <c r="C2198" s="50" t="s">
        <v>196</v>
      </c>
      <c r="D2198" s="51">
        <v>0</v>
      </c>
      <c r="E2198" s="50">
        <v>0</v>
      </c>
    </row>
    <row r="2199" spans="1:5" ht="28.8" hidden="1" x14ac:dyDescent="0.3">
      <c r="A2199" s="50" t="s">
        <v>1692</v>
      </c>
      <c r="B2199" s="50" t="s">
        <v>1691</v>
      </c>
      <c r="C2199" s="50" t="s">
        <v>196</v>
      </c>
      <c r="D2199" s="50" t="s">
        <v>1690</v>
      </c>
      <c r="E2199" s="50">
        <v>2032.3</v>
      </c>
    </row>
    <row r="2200" spans="1:5" ht="28.8" hidden="1" x14ac:dyDescent="0.3">
      <c r="A2200" s="50" t="s">
        <v>1689</v>
      </c>
      <c r="B2200" s="50" t="s">
        <v>1688</v>
      </c>
      <c r="C2200" s="50" t="s">
        <v>196</v>
      </c>
      <c r="D2200" s="51">
        <v>0</v>
      </c>
      <c r="E2200" s="50">
        <v>0</v>
      </c>
    </row>
    <row r="2201" spans="1:5" ht="28.8" hidden="1" x14ac:dyDescent="0.3">
      <c r="A2201" s="50" t="s">
        <v>1687</v>
      </c>
      <c r="B2201" s="50" t="s">
        <v>1686</v>
      </c>
      <c r="C2201" s="50" t="s">
        <v>196</v>
      </c>
      <c r="D2201" s="51">
        <v>0</v>
      </c>
      <c r="E2201" s="50">
        <v>0</v>
      </c>
    </row>
    <row r="2202" spans="1:5" ht="28.8" hidden="1" x14ac:dyDescent="0.3">
      <c r="A2202" s="50" t="s">
        <v>1685</v>
      </c>
      <c r="B2202" s="50" t="s">
        <v>1684</v>
      </c>
      <c r="C2202" s="50" t="s">
        <v>196</v>
      </c>
      <c r="D2202" s="50" t="s">
        <v>1683</v>
      </c>
      <c r="E2202" s="50">
        <v>6348.78</v>
      </c>
    </row>
    <row r="2203" spans="1:5" ht="28.8" hidden="1" x14ac:dyDescent="0.3">
      <c r="A2203" s="50" t="s">
        <v>1682</v>
      </c>
      <c r="B2203" s="50" t="s">
        <v>1681</v>
      </c>
      <c r="C2203" s="50" t="s">
        <v>196</v>
      </c>
      <c r="D2203" s="51">
        <v>0</v>
      </c>
      <c r="E2203" s="50">
        <v>0</v>
      </c>
    </row>
    <row r="2204" spans="1:5" ht="28.8" hidden="1" x14ac:dyDescent="0.3">
      <c r="A2204" s="50" t="s">
        <v>1680</v>
      </c>
      <c r="B2204" s="50" t="s">
        <v>1679</v>
      </c>
      <c r="C2204" s="50" t="s">
        <v>196</v>
      </c>
      <c r="D2204" s="51">
        <v>0</v>
      </c>
      <c r="E2204" s="50">
        <v>0</v>
      </c>
    </row>
    <row r="2205" spans="1:5" ht="28.8" hidden="1" x14ac:dyDescent="0.3">
      <c r="A2205" s="50" t="s">
        <v>1678</v>
      </c>
      <c r="B2205" s="50" t="s">
        <v>1677</v>
      </c>
      <c r="C2205" s="50" t="s">
        <v>196</v>
      </c>
      <c r="D2205" s="51">
        <v>0</v>
      </c>
      <c r="E2205" s="50">
        <v>0</v>
      </c>
    </row>
    <row r="2206" spans="1:5" ht="28.8" hidden="1" x14ac:dyDescent="0.3">
      <c r="A2206" s="50" t="s">
        <v>1676</v>
      </c>
      <c r="B2206" s="50" t="s">
        <v>1675</v>
      </c>
      <c r="C2206" s="50" t="s">
        <v>196</v>
      </c>
      <c r="D2206" s="51">
        <v>0</v>
      </c>
      <c r="E2206" s="50">
        <v>0</v>
      </c>
    </row>
    <row r="2207" spans="1:5" ht="28.8" hidden="1" x14ac:dyDescent="0.3">
      <c r="A2207" s="50" t="s">
        <v>1674</v>
      </c>
      <c r="B2207" s="50" t="s">
        <v>1673</v>
      </c>
      <c r="C2207" s="50" t="s">
        <v>196</v>
      </c>
      <c r="D2207" s="51">
        <v>0</v>
      </c>
      <c r="E2207" s="50">
        <v>0</v>
      </c>
    </row>
    <row r="2208" spans="1:5" ht="28.8" hidden="1" x14ac:dyDescent="0.3">
      <c r="A2208" s="50" t="s">
        <v>1672</v>
      </c>
      <c r="B2208" s="50" t="s">
        <v>1671</v>
      </c>
      <c r="C2208" s="50" t="s">
        <v>196</v>
      </c>
      <c r="D2208" s="51">
        <v>0</v>
      </c>
      <c r="E2208" s="50">
        <v>0</v>
      </c>
    </row>
    <row r="2209" spans="1:5" ht="28.8" hidden="1" x14ac:dyDescent="0.3">
      <c r="A2209" s="50" t="s">
        <v>1670</v>
      </c>
      <c r="B2209" s="50" t="s">
        <v>1669</v>
      </c>
      <c r="C2209" s="50" t="s">
        <v>196</v>
      </c>
      <c r="D2209" s="50" t="s">
        <v>1668</v>
      </c>
      <c r="E2209" s="50">
        <v>6479.3</v>
      </c>
    </row>
    <row r="2210" spans="1:5" ht="28.8" hidden="1" x14ac:dyDescent="0.3">
      <c r="A2210" s="50" t="s">
        <v>1667</v>
      </c>
      <c r="B2210" s="50" t="s">
        <v>1666</v>
      </c>
      <c r="C2210" s="50" t="s">
        <v>196</v>
      </c>
      <c r="D2210" s="51">
        <v>0</v>
      </c>
      <c r="E2210" s="50">
        <v>0</v>
      </c>
    </row>
    <row r="2211" spans="1:5" ht="28.8" hidden="1" x14ac:dyDescent="0.3">
      <c r="A2211" s="50" t="s">
        <v>1665</v>
      </c>
      <c r="B2211" s="50" t="s">
        <v>1664</v>
      </c>
      <c r="C2211" s="50" t="s">
        <v>196</v>
      </c>
      <c r="D2211" s="51">
        <v>0</v>
      </c>
      <c r="E2211" s="50">
        <v>0</v>
      </c>
    </row>
    <row r="2212" spans="1:5" ht="28.8" hidden="1" x14ac:dyDescent="0.3">
      <c r="A2212" s="50" t="s">
        <v>1663</v>
      </c>
      <c r="B2212" s="50" t="s">
        <v>1662</v>
      </c>
      <c r="C2212" s="50" t="s">
        <v>196</v>
      </c>
      <c r="D2212" s="51">
        <v>0</v>
      </c>
      <c r="E2212" s="50">
        <v>0</v>
      </c>
    </row>
    <row r="2213" spans="1:5" ht="28.8" hidden="1" x14ac:dyDescent="0.3">
      <c r="A2213" s="50" t="s">
        <v>1661</v>
      </c>
      <c r="B2213" s="50" t="s">
        <v>1660</v>
      </c>
      <c r="C2213" s="50" t="s">
        <v>196</v>
      </c>
      <c r="D2213" s="51">
        <v>0</v>
      </c>
      <c r="E2213" s="50">
        <v>0</v>
      </c>
    </row>
    <row r="2214" spans="1:5" ht="28.8" hidden="1" x14ac:dyDescent="0.3">
      <c r="A2214" s="50" t="s">
        <v>1659</v>
      </c>
      <c r="B2214" s="50" t="s">
        <v>1658</v>
      </c>
      <c r="C2214" s="50" t="s">
        <v>196</v>
      </c>
      <c r="D2214" s="51">
        <v>0</v>
      </c>
      <c r="E2214" s="50">
        <v>0</v>
      </c>
    </row>
    <row r="2215" spans="1:5" ht="28.8" hidden="1" x14ac:dyDescent="0.3">
      <c r="A2215" s="50" t="s">
        <v>1657</v>
      </c>
      <c r="B2215" s="50" t="s">
        <v>1656</v>
      </c>
      <c r="C2215" s="50" t="s">
        <v>196</v>
      </c>
      <c r="D2215" s="51">
        <v>0</v>
      </c>
      <c r="E2215" s="50">
        <v>0</v>
      </c>
    </row>
    <row r="2216" spans="1:5" ht="28.8" hidden="1" x14ac:dyDescent="0.3">
      <c r="A2216" s="50" t="s">
        <v>1655</v>
      </c>
      <c r="B2216" s="50" t="s">
        <v>1654</v>
      </c>
      <c r="C2216" s="50" t="s">
        <v>196</v>
      </c>
      <c r="D2216" s="51">
        <v>0</v>
      </c>
      <c r="E2216" s="50">
        <v>0</v>
      </c>
    </row>
    <row r="2217" spans="1:5" ht="28.8" hidden="1" x14ac:dyDescent="0.3">
      <c r="A2217" s="50" t="s">
        <v>1653</v>
      </c>
      <c r="B2217" s="50" t="s">
        <v>1652</v>
      </c>
      <c r="C2217" s="50" t="s">
        <v>196</v>
      </c>
      <c r="D2217" s="51">
        <v>0</v>
      </c>
      <c r="E2217" s="50">
        <v>0</v>
      </c>
    </row>
    <row r="2218" spans="1:5" ht="28.8" hidden="1" x14ac:dyDescent="0.3">
      <c r="A2218" s="50" t="s">
        <v>1651</v>
      </c>
      <c r="B2218" s="50" t="s">
        <v>1650</v>
      </c>
      <c r="C2218" s="50" t="s">
        <v>196</v>
      </c>
      <c r="D2218" s="51">
        <v>0</v>
      </c>
      <c r="E2218" s="50">
        <v>0</v>
      </c>
    </row>
    <row r="2219" spans="1:5" ht="28.8" hidden="1" x14ac:dyDescent="0.3">
      <c r="A2219" s="50" t="s">
        <v>1649</v>
      </c>
      <c r="B2219" s="50" t="s">
        <v>1648</v>
      </c>
      <c r="C2219" s="50" t="s">
        <v>196</v>
      </c>
      <c r="D2219" s="51">
        <v>0</v>
      </c>
      <c r="E2219" s="50">
        <v>0</v>
      </c>
    </row>
    <row r="2220" spans="1:5" ht="28.8" hidden="1" x14ac:dyDescent="0.3">
      <c r="A2220" s="50" t="s">
        <v>1647</v>
      </c>
      <c r="B2220" s="50" t="s">
        <v>1646</v>
      </c>
      <c r="C2220" s="50" t="s">
        <v>196</v>
      </c>
      <c r="D2220" s="51">
        <v>0</v>
      </c>
      <c r="E2220" s="50">
        <v>0</v>
      </c>
    </row>
    <row r="2221" spans="1:5" ht="28.8" hidden="1" x14ac:dyDescent="0.3">
      <c r="A2221" s="50" t="s">
        <v>1645</v>
      </c>
      <c r="B2221" s="50" t="s">
        <v>1644</v>
      </c>
      <c r="C2221" s="50" t="s">
        <v>196</v>
      </c>
      <c r="D2221" s="50" t="s">
        <v>1643</v>
      </c>
      <c r="E2221" s="50">
        <v>8203</v>
      </c>
    </row>
    <row r="2222" spans="1:5" ht="28.8" hidden="1" x14ac:dyDescent="0.3">
      <c r="A2222" s="50" t="s">
        <v>1642</v>
      </c>
      <c r="B2222" s="50" t="s">
        <v>1641</v>
      </c>
      <c r="C2222" s="50" t="s">
        <v>196</v>
      </c>
      <c r="D2222" s="51">
        <v>0</v>
      </c>
      <c r="E2222" s="50">
        <v>0</v>
      </c>
    </row>
    <row r="2223" spans="1:5" ht="28.8" hidden="1" x14ac:dyDescent="0.3">
      <c r="A2223" s="50" t="s">
        <v>1640</v>
      </c>
      <c r="B2223" s="50" t="s">
        <v>1639</v>
      </c>
      <c r="C2223" s="50" t="s">
        <v>196</v>
      </c>
      <c r="D2223" s="51">
        <v>0</v>
      </c>
      <c r="E2223" s="50">
        <v>0</v>
      </c>
    </row>
    <row r="2224" spans="1:5" ht="28.8" hidden="1" x14ac:dyDescent="0.3">
      <c r="A2224" s="50" t="s">
        <v>1638</v>
      </c>
      <c r="B2224" s="50" t="s">
        <v>1637</v>
      </c>
      <c r="C2224" s="50" t="s">
        <v>196</v>
      </c>
      <c r="D2224" s="51">
        <v>0</v>
      </c>
      <c r="E2224" s="50">
        <v>0</v>
      </c>
    </row>
    <row r="2225" spans="1:5" ht="28.8" hidden="1" x14ac:dyDescent="0.3">
      <c r="A2225" s="50" t="s">
        <v>1636</v>
      </c>
      <c r="B2225" s="50" t="s">
        <v>1635</v>
      </c>
      <c r="C2225" s="50" t="s">
        <v>196</v>
      </c>
      <c r="D2225" s="51">
        <v>0</v>
      </c>
      <c r="E2225" s="50">
        <v>0</v>
      </c>
    </row>
    <row r="2226" spans="1:5" ht="28.8" hidden="1" x14ac:dyDescent="0.3">
      <c r="A2226" s="50" t="s">
        <v>1634</v>
      </c>
      <c r="B2226" s="50" t="s">
        <v>1633</v>
      </c>
      <c r="C2226" s="50" t="s">
        <v>196</v>
      </c>
      <c r="D2226" s="51">
        <v>0</v>
      </c>
      <c r="E2226" s="50">
        <v>0</v>
      </c>
    </row>
    <row r="2227" spans="1:5" ht="28.8" hidden="1" x14ac:dyDescent="0.3">
      <c r="A2227" s="50" t="s">
        <v>1632</v>
      </c>
      <c r="B2227" s="50" t="s">
        <v>1631</v>
      </c>
      <c r="C2227" s="50" t="s">
        <v>196</v>
      </c>
      <c r="D2227" s="51">
        <v>0</v>
      </c>
      <c r="E2227" s="50">
        <v>0</v>
      </c>
    </row>
    <row r="2228" spans="1:5" hidden="1" x14ac:dyDescent="0.3">
      <c r="A2228" s="50" t="s">
        <v>1630</v>
      </c>
      <c r="B2228" s="50" t="s">
        <v>1629</v>
      </c>
      <c r="C2228" s="50" t="s">
        <v>196</v>
      </c>
      <c r="D2228" s="51">
        <v>0</v>
      </c>
      <c r="E2228" s="50">
        <v>0</v>
      </c>
    </row>
    <row r="2229" spans="1:5" hidden="1" x14ac:dyDescent="0.3">
      <c r="A2229" s="50" t="s">
        <v>1628</v>
      </c>
      <c r="B2229" s="50" t="s">
        <v>1627</v>
      </c>
      <c r="C2229" s="50" t="s">
        <v>196</v>
      </c>
      <c r="D2229" s="51">
        <v>0</v>
      </c>
      <c r="E2229" s="50">
        <v>0</v>
      </c>
    </row>
    <row r="2230" spans="1:5" hidden="1" x14ac:dyDescent="0.3">
      <c r="A2230" s="50" t="s">
        <v>1626</v>
      </c>
      <c r="B2230" s="50" t="s">
        <v>1625</v>
      </c>
      <c r="C2230" s="50" t="s">
        <v>196</v>
      </c>
      <c r="D2230" s="51">
        <v>0</v>
      </c>
      <c r="E2230" s="50">
        <v>0</v>
      </c>
    </row>
    <row r="2231" spans="1:5" hidden="1" x14ac:dyDescent="0.3">
      <c r="A2231" s="50" t="s">
        <v>1624</v>
      </c>
      <c r="B2231" s="50" t="s">
        <v>1623</v>
      </c>
      <c r="C2231" s="50" t="s">
        <v>196</v>
      </c>
      <c r="D2231" s="51">
        <v>0</v>
      </c>
      <c r="E2231" s="50">
        <v>0</v>
      </c>
    </row>
    <row r="2232" spans="1:5" hidden="1" x14ac:dyDescent="0.3">
      <c r="A2232" s="50" t="s">
        <v>1622</v>
      </c>
      <c r="B2232" s="50" t="s">
        <v>1621</v>
      </c>
      <c r="C2232" s="50" t="s">
        <v>196</v>
      </c>
      <c r="D2232" s="51">
        <v>0</v>
      </c>
      <c r="E2232" s="50">
        <v>0</v>
      </c>
    </row>
    <row r="2233" spans="1:5" hidden="1" x14ac:dyDescent="0.3">
      <c r="A2233" s="50" t="s">
        <v>1620</v>
      </c>
      <c r="B2233" s="50" t="s">
        <v>1619</v>
      </c>
      <c r="C2233" s="50" t="s">
        <v>196</v>
      </c>
      <c r="D2233" s="51">
        <v>0</v>
      </c>
      <c r="E2233" s="50">
        <v>0</v>
      </c>
    </row>
    <row r="2234" spans="1:5" hidden="1" x14ac:dyDescent="0.3">
      <c r="A2234" s="50" t="s">
        <v>1618</v>
      </c>
      <c r="B2234" s="50" t="s">
        <v>1617</v>
      </c>
      <c r="C2234" s="50" t="s">
        <v>196</v>
      </c>
      <c r="D2234" s="51">
        <v>0</v>
      </c>
      <c r="E2234" s="50">
        <v>0</v>
      </c>
    </row>
    <row r="2235" spans="1:5" hidden="1" x14ac:dyDescent="0.3">
      <c r="A2235" s="50" t="s">
        <v>1616</v>
      </c>
      <c r="B2235" s="50" t="s">
        <v>1615</v>
      </c>
      <c r="C2235" s="50" t="s">
        <v>196</v>
      </c>
      <c r="D2235" s="51">
        <v>0</v>
      </c>
      <c r="E2235" s="50">
        <v>0</v>
      </c>
    </row>
    <row r="2236" spans="1:5" hidden="1" x14ac:dyDescent="0.3">
      <c r="A2236" s="50" t="s">
        <v>1614</v>
      </c>
      <c r="B2236" s="50" t="s">
        <v>1613</v>
      </c>
      <c r="C2236" s="50" t="s">
        <v>196</v>
      </c>
      <c r="D2236" s="51">
        <v>0</v>
      </c>
      <c r="E2236" s="50">
        <v>0</v>
      </c>
    </row>
    <row r="2237" spans="1:5" hidden="1" x14ac:dyDescent="0.3">
      <c r="A2237" s="50" t="s">
        <v>1612</v>
      </c>
      <c r="B2237" s="50" t="s">
        <v>1611</v>
      </c>
      <c r="C2237" s="50" t="s">
        <v>196</v>
      </c>
      <c r="D2237" s="51">
        <v>0</v>
      </c>
      <c r="E2237" s="50">
        <v>0</v>
      </c>
    </row>
    <row r="2238" spans="1:5" hidden="1" x14ac:dyDescent="0.3">
      <c r="A2238" s="50" t="s">
        <v>1610</v>
      </c>
      <c r="B2238" s="50" t="s">
        <v>1609</v>
      </c>
      <c r="C2238" s="50" t="s">
        <v>196</v>
      </c>
      <c r="D2238" s="51">
        <v>0</v>
      </c>
      <c r="E2238" s="50">
        <v>0</v>
      </c>
    </row>
    <row r="2239" spans="1:5" hidden="1" x14ac:dyDescent="0.3">
      <c r="A2239" s="50" t="s">
        <v>1608</v>
      </c>
      <c r="B2239" s="50" t="s">
        <v>1607</v>
      </c>
      <c r="C2239" s="50" t="s">
        <v>196</v>
      </c>
      <c r="D2239" s="51">
        <v>0</v>
      </c>
      <c r="E2239" s="50">
        <v>0</v>
      </c>
    </row>
    <row r="2240" spans="1:5" hidden="1" x14ac:dyDescent="0.3">
      <c r="A2240" s="50" t="s">
        <v>1606</v>
      </c>
      <c r="B2240" s="50" t="s">
        <v>1605</v>
      </c>
      <c r="C2240" s="50" t="s">
        <v>196</v>
      </c>
      <c r="D2240" s="51">
        <v>0</v>
      </c>
      <c r="E2240" s="50">
        <v>0</v>
      </c>
    </row>
    <row r="2241" spans="1:5" hidden="1" x14ac:dyDescent="0.3">
      <c r="A2241" s="50" t="s">
        <v>1604</v>
      </c>
      <c r="B2241" s="50" t="s">
        <v>1603</v>
      </c>
      <c r="C2241" s="50" t="s">
        <v>196</v>
      </c>
      <c r="D2241" s="51">
        <v>0</v>
      </c>
      <c r="E2241" s="50">
        <v>0</v>
      </c>
    </row>
    <row r="2242" spans="1:5" hidden="1" x14ac:dyDescent="0.3">
      <c r="A2242" s="50" t="s">
        <v>1602</v>
      </c>
      <c r="B2242" s="50" t="s">
        <v>1601</v>
      </c>
      <c r="C2242" s="50" t="s">
        <v>196</v>
      </c>
      <c r="D2242" s="51">
        <v>0</v>
      </c>
      <c r="E2242" s="50">
        <v>0</v>
      </c>
    </row>
    <row r="2243" spans="1:5" hidden="1" x14ac:dyDescent="0.3">
      <c r="A2243" s="50" t="s">
        <v>1600</v>
      </c>
      <c r="B2243" s="50" t="s">
        <v>1599</v>
      </c>
      <c r="C2243" s="50" t="s">
        <v>196</v>
      </c>
      <c r="D2243" s="51">
        <v>0</v>
      </c>
      <c r="E2243" s="50">
        <v>0</v>
      </c>
    </row>
    <row r="2244" spans="1:5" hidden="1" x14ac:dyDescent="0.3">
      <c r="A2244" s="50" t="s">
        <v>1598</v>
      </c>
      <c r="B2244" s="50" t="s">
        <v>1597</v>
      </c>
      <c r="C2244" s="50" t="s">
        <v>196</v>
      </c>
      <c r="D2244" s="51">
        <v>0</v>
      </c>
      <c r="E2244" s="50">
        <v>0</v>
      </c>
    </row>
    <row r="2245" spans="1:5" hidden="1" x14ac:dyDescent="0.3">
      <c r="A2245" s="50" t="s">
        <v>1596</v>
      </c>
      <c r="B2245" s="50" t="s">
        <v>1595</v>
      </c>
      <c r="C2245" s="50" t="s">
        <v>196</v>
      </c>
      <c r="D2245" s="51">
        <v>0</v>
      </c>
      <c r="E2245" s="50">
        <v>0</v>
      </c>
    </row>
    <row r="2246" spans="1:5" hidden="1" x14ac:dyDescent="0.3">
      <c r="A2246" s="50" t="s">
        <v>1594</v>
      </c>
      <c r="B2246" s="50" t="s">
        <v>1593</v>
      </c>
      <c r="C2246" s="50" t="s">
        <v>196</v>
      </c>
      <c r="D2246" s="51">
        <v>0</v>
      </c>
      <c r="E2246" s="50">
        <v>0</v>
      </c>
    </row>
    <row r="2247" spans="1:5" hidden="1" x14ac:dyDescent="0.3">
      <c r="A2247" s="50" t="s">
        <v>1592</v>
      </c>
      <c r="B2247" s="50" t="s">
        <v>1591</v>
      </c>
      <c r="C2247" s="50" t="s">
        <v>196</v>
      </c>
      <c r="D2247" s="51">
        <v>0</v>
      </c>
      <c r="E2247" s="50">
        <v>0</v>
      </c>
    </row>
    <row r="2248" spans="1:5" hidden="1" x14ac:dyDescent="0.3">
      <c r="A2248" s="50" t="s">
        <v>1590</v>
      </c>
      <c r="B2248" s="50" t="s">
        <v>1589</v>
      </c>
      <c r="C2248" s="50" t="s">
        <v>196</v>
      </c>
      <c r="D2248" s="51">
        <v>0</v>
      </c>
      <c r="E2248" s="50">
        <v>0</v>
      </c>
    </row>
    <row r="2249" spans="1:5" hidden="1" x14ac:dyDescent="0.3">
      <c r="A2249" s="50" t="s">
        <v>1588</v>
      </c>
      <c r="B2249" s="50" t="s">
        <v>1587</v>
      </c>
      <c r="C2249" s="50" t="s">
        <v>196</v>
      </c>
      <c r="D2249" s="50" t="s">
        <v>1586</v>
      </c>
      <c r="E2249" s="50">
        <v>61563.24</v>
      </c>
    </row>
    <row r="2250" spans="1:5" hidden="1" x14ac:dyDescent="0.3">
      <c r="A2250" s="50" t="s">
        <v>1585</v>
      </c>
      <c r="B2250" s="50" t="s">
        <v>1584</v>
      </c>
      <c r="C2250" s="50" t="s">
        <v>196</v>
      </c>
      <c r="D2250" s="51">
        <v>0</v>
      </c>
      <c r="E2250" s="50">
        <v>0</v>
      </c>
    </row>
    <row r="2251" spans="1:5" hidden="1" x14ac:dyDescent="0.3">
      <c r="A2251" s="50" t="s">
        <v>1583</v>
      </c>
      <c r="B2251" s="50" t="s">
        <v>1582</v>
      </c>
      <c r="C2251" s="50" t="s">
        <v>196</v>
      </c>
      <c r="D2251" s="51">
        <v>0</v>
      </c>
      <c r="E2251" s="50">
        <v>0</v>
      </c>
    </row>
    <row r="2252" spans="1:5" hidden="1" x14ac:dyDescent="0.3">
      <c r="A2252" s="50" t="s">
        <v>1581</v>
      </c>
      <c r="B2252" s="50" t="s">
        <v>1580</v>
      </c>
      <c r="C2252" s="50" t="s">
        <v>196</v>
      </c>
      <c r="D2252" s="51">
        <v>0</v>
      </c>
      <c r="E2252" s="50">
        <v>0</v>
      </c>
    </row>
    <row r="2253" spans="1:5" hidden="1" x14ac:dyDescent="0.3">
      <c r="A2253" s="50" t="s">
        <v>1579</v>
      </c>
      <c r="B2253" s="50" t="s">
        <v>1578</v>
      </c>
      <c r="C2253" s="50" t="s">
        <v>196</v>
      </c>
      <c r="D2253" s="51">
        <v>0</v>
      </c>
      <c r="E2253" s="50">
        <v>0</v>
      </c>
    </row>
    <row r="2254" spans="1:5" hidden="1" x14ac:dyDescent="0.3">
      <c r="A2254" s="50" t="s">
        <v>1577</v>
      </c>
      <c r="B2254" s="50" t="s">
        <v>1576</v>
      </c>
      <c r="C2254" s="50" t="s">
        <v>196</v>
      </c>
      <c r="D2254" s="51">
        <v>0</v>
      </c>
      <c r="E2254" s="50">
        <v>0</v>
      </c>
    </row>
    <row r="2255" spans="1:5" hidden="1" x14ac:dyDescent="0.3">
      <c r="A2255" s="50" t="s">
        <v>1575</v>
      </c>
      <c r="B2255" s="50" t="s">
        <v>1574</v>
      </c>
      <c r="C2255" s="50" t="s">
        <v>196</v>
      </c>
      <c r="D2255" s="51">
        <v>0</v>
      </c>
      <c r="E2255" s="50">
        <v>0</v>
      </c>
    </row>
    <row r="2256" spans="1:5" hidden="1" x14ac:dyDescent="0.3">
      <c r="A2256" s="50" t="s">
        <v>1573</v>
      </c>
      <c r="B2256" s="50" t="s">
        <v>1572</v>
      </c>
      <c r="C2256" s="50" t="s">
        <v>196</v>
      </c>
      <c r="D2256" s="51">
        <v>0</v>
      </c>
      <c r="E2256" s="50">
        <v>0</v>
      </c>
    </row>
    <row r="2257" spans="1:5" ht="43.2" hidden="1" x14ac:dyDescent="0.3">
      <c r="A2257" s="50" t="s">
        <v>1571</v>
      </c>
      <c r="B2257" s="50" t="s">
        <v>1570</v>
      </c>
      <c r="D2257" s="51">
        <v>29.5</v>
      </c>
      <c r="E2257" s="50">
        <v>29.5</v>
      </c>
    </row>
    <row r="2258" spans="1:5" ht="43.2" hidden="1" x14ac:dyDescent="0.3">
      <c r="A2258" s="50" t="s">
        <v>1569</v>
      </c>
      <c r="B2258" s="50" t="s">
        <v>1568</v>
      </c>
      <c r="D2258" s="51">
        <v>61.45</v>
      </c>
      <c r="E2258" s="50">
        <v>61.45</v>
      </c>
    </row>
    <row r="2259" spans="1:5" ht="43.2" hidden="1" x14ac:dyDescent="0.3">
      <c r="A2259" s="50" t="s">
        <v>1567</v>
      </c>
      <c r="B2259" s="50" t="s">
        <v>1566</v>
      </c>
      <c r="D2259" s="51">
        <v>224</v>
      </c>
      <c r="E2259" s="50">
        <v>224</v>
      </c>
    </row>
    <row r="2260" spans="1:5" hidden="1" x14ac:dyDescent="0.3">
      <c r="A2260" s="50" t="s">
        <v>1565</v>
      </c>
      <c r="B2260" s="50" t="s">
        <v>1564</v>
      </c>
      <c r="D2260" s="51">
        <v>0</v>
      </c>
      <c r="E2260" s="50">
        <v>0</v>
      </c>
    </row>
    <row r="2261" spans="1:5" ht="28.8" hidden="1" x14ac:dyDescent="0.3">
      <c r="A2261" s="50" t="s">
        <v>1563</v>
      </c>
      <c r="B2261" s="50" t="s">
        <v>1562</v>
      </c>
      <c r="D2261" s="51">
        <v>0</v>
      </c>
      <c r="E2261" s="50">
        <v>0</v>
      </c>
    </row>
    <row r="2262" spans="1:5" ht="28.8" hidden="1" x14ac:dyDescent="0.3">
      <c r="A2262" s="50" t="s">
        <v>1561</v>
      </c>
      <c r="B2262" s="50" t="s">
        <v>1560</v>
      </c>
      <c r="D2262" s="50" t="s">
        <v>1559</v>
      </c>
      <c r="E2262" s="50">
        <v>1314</v>
      </c>
    </row>
    <row r="2263" spans="1:5" ht="28.8" hidden="1" x14ac:dyDescent="0.3">
      <c r="A2263" s="50" t="s">
        <v>1558</v>
      </c>
      <c r="B2263" s="50" t="s">
        <v>1557</v>
      </c>
      <c r="D2263" s="50" t="s">
        <v>1550</v>
      </c>
      <c r="E2263" s="50">
        <v>2335</v>
      </c>
    </row>
    <row r="2264" spans="1:5" ht="28.8" hidden="1" x14ac:dyDescent="0.3">
      <c r="A2264" s="50" t="s">
        <v>1556</v>
      </c>
      <c r="B2264" s="50" t="s">
        <v>1555</v>
      </c>
      <c r="D2264" s="51">
        <v>0</v>
      </c>
      <c r="E2264" s="50">
        <v>0</v>
      </c>
    </row>
    <row r="2265" spans="1:5" ht="28.8" hidden="1" x14ac:dyDescent="0.3">
      <c r="A2265" s="50" t="s">
        <v>1554</v>
      </c>
      <c r="B2265" s="50" t="s">
        <v>1553</v>
      </c>
      <c r="D2265" s="51">
        <v>0</v>
      </c>
      <c r="E2265" s="50">
        <v>0</v>
      </c>
    </row>
    <row r="2266" spans="1:5" ht="28.8" hidden="1" x14ac:dyDescent="0.3">
      <c r="A2266" s="50" t="s">
        <v>1552</v>
      </c>
      <c r="B2266" s="50" t="s">
        <v>1551</v>
      </c>
      <c r="D2266" s="50" t="s">
        <v>1550</v>
      </c>
      <c r="E2266" s="50">
        <v>2335</v>
      </c>
    </row>
    <row r="2267" spans="1:5" hidden="1" x14ac:dyDescent="0.3">
      <c r="A2267" s="50" t="s">
        <v>1549</v>
      </c>
      <c r="B2267" s="50" t="s">
        <v>1548</v>
      </c>
      <c r="D2267" s="51">
        <v>0</v>
      </c>
      <c r="E2267" s="50">
        <v>0</v>
      </c>
    </row>
    <row r="2268" spans="1:5" ht="28.8" hidden="1" x14ac:dyDescent="0.3">
      <c r="A2268" s="50" t="s">
        <v>1547</v>
      </c>
      <c r="B2268" s="50" t="s">
        <v>1546</v>
      </c>
      <c r="D2268" s="51">
        <v>0</v>
      </c>
      <c r="E2268" s="50">
        <v>0</v>
      </c>
    </row>
    <row r="2269" spans="1:5" hidden="1" x14ac:dyDescent="0.3">
      <c r="A2269" s="50" t="s">
        <v>1545</v>
      </c>
      <c r="B2269" s="50" t="s">
        <v>1544</v>
      </c>
      <c r="C2269" s="50" t="s">
        <v>496</v>
      </c>
      <c r="D2269" s="51">
        <v>0</v>
      </c>
      <c r="E2269" s="50">
        <v>0</v>
      </c>
    </row>
    <row r="2270" spans="1:5" hidden="1" x14ac:dyDescent="0.3">
      <c r="A2270" s="50" t="s">
        <v>1543</v>
      </c>
      <c r="B2270" s="50" t="s">
        <v>1542</v>
      </c>
      <c r="D2270" s="51">
        <v>0</v>
      </c>
      <c r="E2270" s="50">
        <v>0</v>
      </c>
    </row>
    <row r="2271" spans="1:5" ht="28.8" hidden="1" x14ac:dyDescent="0.3">
      <c r="A2271" s="50" t="s">
        <v>1541</v>
      </c>
      <c r="B2271" s="50" t="s">
        <v>1540</v>
      </c>
      <c r="D2271" s="51">
        <v>0</v>
      </c>
      <c r="E2271" s="50">
        <v>0</v>
      </c>
    </row>
    <row r="2272" spans="1:5" hidden="1" x14ac:dyDescent="0.3">
      <c r="A2272" s="50" t="s">
        <v>1539</v>
      </c>
      <c r="B2272" s="50" t="s">
        <v>1538</v>
      </c>
      <c r="C2272" s="50" t="s">
        <v>196</v>
      </c>
      <c r="D2272" s="51">
        <v>0</v>
      </c>
      <c r="E2272" s="50">
        <v>0</v>
      </c>
    </row>
    <row r="2273" spans="1:5" hidden="1" x14ac:dyDescent="0.3">
      <c r="A2273" s="50" t="s">
        <v>1537</v>
      </c>
      <c r="B2273" s="50" t="s">
        <v>1536</v>
      </c>
      <c r="C2273" s="50" t="s">
        <v>196</v>
      </c>
      <c r="D2273" s="51">
        <v>0</v>
      </c>
      <c r="E2273" s="50">
        <v>0</v>
      </c>
    </row>
    <row r="2274" spans="1:5" hidden="1" x14ac:dyDescent="0.3">
      <c r="A2274" s="50" t="s">
        <v>1535</v>
      </c>
      <c r="B2274" s="50" t="s">
        <v>1534</v>
      </c>
      <c r="C2274" s="50" t="s">
        <v>196</v>
      </c>
      <c r="D2274" s="51">
        <v>0</v>
      </c>
      <c r="E2274" s="50">
        <v>0</v>
      </c>
    </row>
    <row r="2275" spans="1:5" hidden="1" x14ac:dyDescent="0.3">
      <c r="A2275" s="50" t="s">
        <v>1533</v>
      </c>
      <c r="B2275" s="50" t="s">
        <v>1532</v>
      </c>
      <c r="C2275" s="50" t="s">
        <v>196</v>
      </c>
      <c r="D2275" s="51">
        <v>0</v>
      </c>
      <c r="E2275" s="50">
        <v>0</v>
      </c>
    </row>
    <row r="2276" spans="1:5" hidden="1" x14ac:dyDescent="0.3">
      <c r="A2276" s="50" t="s">
        <v>1531</v>
      </c>
      <c r="B2276" s="50" t="s">
        <v>1530</v>
      </c>
      <c r="C2276" s="50" t="s">
        <v>196</v>
      </c>
      <c r="D2276" s="51">
        <v>0</v>
      </c>
      <c r="E2276" s="50">
        <v>0</v>
      </c>
    </row>
    <row r="2277" spans="1:5" hidden="1" x14ac:dyDescent="0.3">
      <c r="A2277" s="50" t="s">
        <v>1529</v>
      </c>
      <c r="B2277" s="50" t="s">
        <v>1528</v>
      </c>
      <c r="C2277" s="50" t="s">
        <v>196</v>
      </c>
      <c r="D2277" s="51">
        <v>0</v>
      </c>
      <c r="E2277" s="50">
        <v>0</v>
      </c>
    </row>
    <row r="2278" spans="1:5" hidden="1" x14ac:dyDescent="0.3">
      <c r="A2278" s="50" t="s">
        <v>1527</v>
      </c>
      <c r="B2278" s="50" t="s">
        <v>1526</v>
      </c>
      <c r="C2278" s="50" t="s">
        <v>196</v>
      </c>
      <c r="D2278" s="51">
        <v>0</v>
      </c>
      <c r="E2278" s="50">
        <v>0</v>
      </c>
    </row>
    <row r="2279" spans="1:5" hidden="1" x14ac:dyDescent="0.3">
      <c r="A2279" s="50" t="s">
        <v>1525</v>
      </c>
      <c r="B2279" s="50" t="s">
        <v>1524</v>
      </c>
      <c r="C2279" s="50" t="s">
        <v>196</v>
      </c>
      <c r="D2279" s="51">
        <v>0</v>
      </c>
      <c r="E2279" s="50">
        <v>0</v>
      </c>
    </row>
    <row r="2280" spans="1:5" hidden="1" x14ac:dyDescent="0.3">
      <c r="A2280" s="50" t="s">
        <v>1523</v>
      </c>
      <c r="B2280" s="50" t="s">
        <v>1522</v>
      </c>
      <c r="C2280" s="50" t="s">
        <v>196</v>
      </c>
      <c r="D2280" s="51">
        <v>0</v>
      </c>
      <c r="E2280" s="50">
        <v>0</v>
      </c>
    </row>
    <row r="2281" spans="1:5" hidden="1" x14ac:dyDescent="0.3">
      <c r="A2281" s="50" t="s">
        <v>1521</v>
      </c>
      <c r="B2281" s="50" t="s">
        <v>1520</v>
      </c>
      <c r="C2281" s="50" t="s">
        <v>196</v>
      </c>
      <c r="D2281" s="51">
        <v>0</v>
      </c>
      <c r="E2281" s="50">
        <v>0</v>
      </c>
    </row>
    <row r="2282" spans="1:5" hidden="1" x14ac:dyDescent="0.3">
      <c r="A2282" s="50" t="s">
        <v>1519</v>
      </c>
      <c r="B2282" s="50" t="s">
        <v>1518</v>
      </c>
      <c r="C2282" s="50" t="s">
        <v>196</v>
      </c>
      <c r="D2282" s="51">
        <v>0</v>
      </c>
      <c r="E2282" s="50">
        <v>0</v>
      </c>
    </row>
    <row r="2283" spans="1:5" hidden="1" x14ac:dyDescent="0.3">
      <c r="A2283" s="50" t="s">
        <v>1517</v>
      </c>
      <c r="B2283" s="50" t="s">
        <v>1516</v>
      </c>
      <c r="C2283" s="50" t="s">
        <v>196</v>
      </c>
      <c r="D2283" s="51">
        <v>0</v>
      </c>
      <c r="E2283" s="50">
        <v>0</v>
      </c>
    </row>
    <row r="2284" spans="1:5" hidden="1" x14ac:dyDescent="0.3">
      <c r="A2284" s="50" t="s">
        <v>1515</v>
      </c>
      <c r="B2284" s="50" t="s">
        <v>1514</v>
      </c>
      <c r="C2284" s="50" t="s">
        <v>196</v>
      </c>
      <c r="D2284" s="51">
        <v>0</v>
      </c>
      <c r="E2284" s="50">
        <v>0</v>
      </c>
    </row>
    <row r="2285" spans="1:5" hidden="1" x14ac:dyDescent="0.3">
      <c r="A2285" s="50" t="s">
        <v>1513</v>
      </c>
      <c r="B2285" s="50" t="s">
        <v>1512</v>
      </c>
      <c r="C2285" s="50" t="s">
        <v>196</v>
      </c>
      <c r="D2285" s="51">
        <v>0</v>
      </c>
      <c r="E2285" s="50">
        <v>0</v>
      </c>
    </row>
    <row r="2286" spans="1:5" hidden="1" x14ac:dyDescent="0.3">
      <c r="A2286" s="50" t="s">
        <v>1511</v>
      </c>
      <c r="B2286" s="50" t="s">
        <v>1510</v>
      </c>
      <c r="C2286" s="50" t="s">
        <v>196</v>
      </c>
      <c r="D2286" s="51">
        <v>0</v>
      </c>
      <c r="E2286" s="50">
        <v>0</v>
      </c>
    </row>
    <row r="2287" spans="1:5" hidden="1" x14ac:dyDescent="0.3">
      <c r="A2287" s="50" t="s">
        <v>1509</v>
      </c>
      <c r="B2287" s="50" t="s">
        <v>1508</v>
      </c>
      <c r="C2287" s="50" t="s">
        <v>196</v>
      </c>
      <c r="D2287" s="51">
        <v>0</v>
      </c>
      <c r="E2287" s="50">
        <v>0</v>
      </c>
    </row>
    <row r="2288" spans="1:5" hidden="1" x14ac:dyDescent="0.3">
      <c r="A2288" s="50" t="s">
        <v>1507</v>
      </c>
      <c r="B2288" s="50" t="s">
        <v>1506</v>
      </c>
      <c r="C2288" s="50" t="s">
        <v>196</v>
      </c>
      <c r="D2288" s="51">
        <v>0</v>
      </c>
      <c r="E2288" s="50">
        <v>0</v>
      </c>
    </row>
    <row r="2289" spans="1:5" hidden="1" x14ac:dyDescent="0.3">
      <c r="A2289" s="50" t="s">
        <v>1505</v>
      </c>
      <c r="B2289" s="50" t="s">
        <v>1504</v>
      </c>
      <c r="C2289" s="50" t="s">
        <v>196</v>
      </c>
      <c r="D2289" s="51">
        <v>0</v>
      </c>
      <c r="E2289" s="50">
        <v>0</v>
      </c>
    </row>
    <row r="2290" spans="1:5" hidden="1" x14ac:dyDescent="0.3">
      <c r="A2290" s="50" t="s">
        <v>1503</v>
      </c>
      <c r="B2290" s="50" t="s">
        <v>1502</v>
      </c>
      <c r="C2290" s="50" t="s">
        <v>196</v>
      </c>
      <c r="D2290" s="51">
        <v>0</v>
      </c>
      <c r="E2290" s="50">
        <v>0</v>
      </c>
    </row>
    <row r="2291" spans="1:5" hidden="1" x14ac:dyDescent="0.3">
      <c r="A2291" s="50" t="s">
        <v>1501</v>
      </c>
      <c r="B2291" s="50" t="s">
        <v>1500</v>
      </c>
      <c r="C2291" s="50" t="s">
        <v>196</v>
      </c>
      <c r="D2291" s="51">
        <v>0</v>
      </c>
      <c r="E2291" s="50">
        <v>0</v>
      </c>
    </row>
    <row r="2292" spans="1:5" hidden="1" x14ac:dyDescent="0.3">
      <c r="A2292" s="50" t="s">
        <v>1499</v>
      </c>
      <c r="B2292" s="50" t="s">
        <v>1498</v>
      </c>
      <c r="C2292" s="50" t="s">
        <v>196</v>
      </c>
      <c r="D2292" s="51">
        <v>0</v>
      </c>
      <c r="E2292" s="50">
        <v>0</v>
      </c>
    </row>
    <row r="2293" spans="1:5" hidden="1" x14ac:dyDescent="0.3">
      <c r="A2293" s="50" t="s">
        <v>1497</v>
      </c>
      <c r="B2293" s="50" t="s">
        <v>1496</v>
      </c>
      <c r="C2293" s="50" t="s">
        <v>196</v>
      </c>
      <c r="D2293" s="51">
        <v>0</v>
      </c>
      <c r="E2293" s="50">
        <v>0</v>
      </c>
    </row>
    <row r="2294" spans="1:5" hidden="1" x14ac:dyDescent="0.3">
      <c r="A2294" s="50" t="s">
        <v>1495</v>
      </c>
      <c r="B2294" s="50" t="s">
        <v>1494</v>
      </c>
      <c r="C2294" s="50" t="s">
        <v>196</v>
      </c>
      <c r="D2294" s="51">
        <v>0</v>
      </c>
      <c r="E2294" s="50">
        <v>0</v>
      </c>
    </row>
    <row r="2295" spans="1:5" hidden="1" x14ac:dyDescent="0.3">
      <c r="A2295" s="50" t="s">
        <v>1493</v>
      </c>
      <c r="B2295" s="50" t="s">
        <v>1492</v>
      </c>
      <c r="C2295" s="50" t="s">
        <v>196</v>
      </c>
      <c r="D2295" s="51">
        <v>0</v>
      </c>
      <c r="E2295" s="50">
        <v>0</v>
      </c>
    </row>
    <row r="2296" spans="1:5" hidden="1" x14ac:dyDescent="0.3">
      <c r="A2296" s="50" t="s">
        <v>1491</v>
      </c>
      <c r="B2296" s="50" t="s">
        <v>1490</v>
      </c>
      <c r="C2296" s="50" t="s">
        <v>196</v>
      </c>
      <c r="D2296" s="51">
        <v>0</v>
      </c>
      <c r="E2296" s="50">
        <v>0</v>
      </c>
    </row>
    <row r="2297" spans="1:5" hidden="1" x14ac:dyDescent="0.3">
      <c r="A2297" s="50" t="s">
        <v>1489</v>
      </c>
      <c r="B2297" s="50" t="s">
        <v>1488</v>
      </c>
      <c r="C2297" s="50" t="s">
        <v>196</v>
      </c>
      <c r="D2297" s="51">
        <v>0</v>
      </c>
      <c r="E2297" s="50">
        <v>0</v>
      </c>
    </row>
    <row r="2298" spans="1:5" hidden="1" x14ac:dyDescent="0.3">
      <c r="A2298" s="50" t="s">
        <v>1487</v>
      </c>
      <c r="B2298" s="50" t="s">
        <v>1486</v>
      </c>
      <c r="C2298" s="50" t="s">
        <v>196</v>
      </c>
      <c r="D2298" s="51">
        <v>0</v>
      </c>
      <c r="E2298" s="50">
        <v>0</v>
      </c>
    </row>
    <row r="2299" spans="1:5" hidden="1" x14ac:dyDescent="0.3">
      <c r="A2299" s="50" t="s">
        <v>1485</v>
      </c>
      <c r="B2299" s="50" t="s">
        <v>1484</v>
      </c>
      <c r="C2299" s="50" t="s">
        <v>196</v>
      </c>
      <c r="D2299" s="51">
        <v>0</v>
      </c>
      <c r="E2299" s="50">
        <v>0</v>
      </c>
    </row>
    <row r="2300" spans="1:5" hidden="1" x14ac:dyDescent="0.3">
      <c r="A2300" s="50" t="s">
        <v>1483</v>
      </c>
      <c r="B2300" s="50" t="s">
        <v>1482</v>
      </c>
      <c r="C2300" s="50" t="s">
        <v>196</v>
      </c>
      <c r="D2300" s="51">
        <v>0</v>
      </c>
      <c r="E2300" s="50">
        <v>0</v>
      </c>
    </row>
    <row r="2301" spans="1:5" hidden="1" x14ac:dyDescent="0.3">
      <c r="A2301" s="50" t="s">
        <v>1481</v>
      </c>
      <c r="B2301" s="50" t="s">
        <v>1480</v>
      </c>
      <c r="C2301" s="50" t="s">
        <v>196</v>
      </c>
      <c r="D2301" s="51">
        <v>0</v>
      </c>
      <c r="E2301" s="50">
        <v>0</v>
      </c>
    </row>
    <row r="2302" spans="1:5" hidden="1" x14ac:dyDescent="0.3">
      <c r="A2302" s="50" t="s">
        <v>1479</v>
      </c>
      <c r="B2302" s="50" t="s">
        <v>1478</v>
      </c>
      <c r="C2302" s="50" t="s">
        <v>196</v>
      </c>
      <c r="D2302" s="51">
        <v>0</v>
      </c>
      <c r="E2302" s="50">
        <v>0</v>
      </c>
    </row>
    <row r="2303" spans="1:5" hidden="1" x14ac:dyDescent="0.3">
      <c r="A2303" s="50" t="s">
        <v>1477</v>
      </c>
      <c r="B2303" s="50" t="s">
        <v>1476</v>
      </c>
      <c r="C2303" s="50" t="s">
        <v>196</v>
      </c>
      <c r="D2303" s="51">
        <v>0</v>
      </c>
      <c r="E2303" s="50">
        <v>0</v>
      </c>
    </row>
    <row r="2304" spans="1:5" hidden="1" x14ac:dyDescent="0.3">
      <c r="A2304" s="50" t="s">
        <v>1475</v>
      </c>
      <c r="B2304" s="50" t="s">
        <v>1474</v>
      </c>
      <c r="C2304" s="50" t="s">
        <v>196</v>
      </c>
      <c r="D2304" s="51">
        <v>0</v>
      </c>
      <c r="E2304" s="50">
        <v>0</v>
      </c>
    </row>
    <row r="2305" spans="1:5" hidden="1" x14ac:dyDescent="0.3">
      <c r="A2305" s="50" t="s">
        <v>1473</v>
      </c>
      <c r="B2305" s="50" t="s">
        <v>1472</v>
      </c>
      <c r="C2305" s="50" t="s">
        <v>196</v>
      </c>
      <c r="D2305" s="50" t="s">
        <v>1471</v>
      </c>
      <c r="E2305" s="50">
        <v>10432.26</v>
      </c>
    </row>
    <row r="2306" spans="1:5" hidden="1" x14ac:dyDescent="0.3">
      <c r="A2306" s="50" t="s">
        <v>1470</v>
      </c>
      <c r="B2306" s="50" t="s">
        <v>1469</v>
      </c>
      <c r="C2306" s="50" t="s">
        <v>196</v>
      </c>
      <c r="D2306" s="51">
        <v>0</v>
      </c>
      <c r="E2306" s="50">
        <v>0</v>
      </c>
    </row>
    <row r="2307" spans="1:5" hidden="1" x14ac:dyDescent="0.3">
      <c r="A2307" s="50" t="s">
        <v>1468</v>
      </c>
      <c r="B2307" s="50" t="s">
        <v>1467</v>
      </c>
      <c r="C2307" s="50" t="s">
        <v>196</v>
      </c>
      <c r="D2307" s="51">
        <v>0</v>
      </c>
      <c r="E2307" s="50">
        <v>0</v>
      </c>
    </row>
    <row r="2308" spans="1:5" hidden="1" x14ac:dyDescent="0.3">
      <c r="A2308" s="50" t="s">
        <v>1466</v>
      </c>
      <c r="B2308" s="50" t="s">
        <v>1465</v>
      </c>
      <c r="C2308" s="50" t="s">
        <v>196</v>
      </c>
      <c r="D2308" s="51">
        <v>0</v>
      </c>
      <c r="E2308" s="50">
        <v>0</v>
      </c>
    </row>
    <row r="2309" spans="1:5" hidden="1" x14ac:dyDescent="0.3">
      <c r="A2309" s="50" t="s">
        <v>1464</v>
      </c>
      <c r="B2309" s="50" t="s">
        <v>1463</v>
      </c>
      <c r="C2309" s="50" t="s">
        <v>196</v>
      </c>
      <c r="D2309" s="51">
        <v>0</v>
      </c>
      <c r="E2309" s="50">
        <v>0</v>
      </c>
    </row>
    <row r="2310" spans="1:5" hidden="1" x14ac:dyDescent="0.3">
      <c r="A2310" s="50" t="s">
        <v>1462</v>
      </c>
      <c r="B2310" s="50" t="s">
        <v>1461</v>
      </c>
      <c r="C2310" s="50" t="s">
        <v>196</v>
      </c>
      <c r="D2310" s="51">
        <v>0</v>
      </c>
      <c r="E2310" s="50">
        <v>0</v>
      </c>
    </row>
    <row r="2311" spans="1:5" hidden="1" x14ac:dyDescent="0.3">
      <c r="A2311" s="50" t="s">
        <v>1460</v>
      </c>
      <c r="B2311" s="50" t="s">
        <v>1459</v>
      </c>
      <c r="C2311" s="50" t="s">
        <v>196</v>
      </c>
      <c r="D2311" s="51">
        <v>0</v>
      </c>
      <c r="E2311" s="50">
        <v>0</v>
      </c>
    </row>
    <row r="2312" spans="1:5" hidden="1" x14ac:dyDescent="0.3">
      <c r="A2312" s="50" t="s">
        <v>1458</v>
      </c>
      <c r="B2312" s="50" t="s">
        <v>1457</v>
      </c>
      <c r="C2312" s="50" t="s">
        <v>196</v>
      </c>
      <c r="D2312" s="51">
        <v>0</v>
      </c>
      <c r="E2312" s="50">
        <v>0</v>
      </c>
    </row>
    <row r="2313" spans="1:5" hidden="1" x14ac:dyDescent="0.3">
      <c r="A2313" s="50" t="s">
        <v>1456</v>
      </c>
      <c r="B2313" s="50" t="s">
        <v>1455</v>
      </c>
      <c r="C2313" s="50" t="s">
        <v>196</v>
      </c>
      <c r="D2313" s="51">
        <v>0</v>
      </c>
      <c r="E2313" s="50">
        <v>0</v>
      </c>
    </row>
    <row r="2314" spans="1:5" hidden="1" x14ac:dyDescent="0.3">
      <c r="A2314" s="50" t="s">
        <v>1454</v>
      </c>
      <c r="B2314" s="50" t="s">
        <v>1453</v>
      </c>
      <c r="C2314" s="50" t="s">
        <v>196</v>
      </c>
      <c r="D2314" s="50" t="s">
        <v>1446</v>
      </c>
      <c r="E2314" s="50">
        <v>3940.5</v>
      </c>
    </row>
    <row r="2315" spans="1:5" hidden="1" x14ac:dyDescent="0.3">
      <c r="A2315" s="50" t="s">
        <v>1452</v>
      </c>
      <c r="B2315" s="50" t="s">
        <v>1451</v>
      </c>
      <c r="C2315" s="50" t="s">
        <v>196</v>
      </c>
      <c r="D2315" s="50" t="s">
        <v>1446</v>
      </c>
      <c r="E2315" s="50">
        <v>3940.5</v>
      </c>
    </row>
    <row r="2316" spans="1:5" hidden="1" x14ac:dyDescent="0.3">
      <c r="A2316" s="50" t="s">
        <v>1450</v>
      </c>
      <c r="B2316" s="50" t="s">
        <v>1449</v>
      </c>
      <c r="C2316" s="50" t="s">
        <v>196</v>
      </c>
      <c r="D2316" s="51">
        <v>0</v>
      </c>
      <c r="E2316" s="50">
        <v>0</v>
      </c>
    </row>
    <row r="2317" spans="1:5" hidden="1" x14ac:dyDescent="0.3">
      <c r="A2317" s="50" t="s">
        <v>1448</v>
      </c>
      <c r="B2317" s="50" t="s">
        <v>1447</v>
      </c>
      <c r="C2317" s="50" t="s">
        <v>196</v>
      </c>
      <c r="D2317" s="50" t="s">
        <v>1446</v>
      </c>
      <c r="E2317" s="50">
        <v>3940.5</v>
      </c>
    </row>
    <row r="2318" spans="1:5" hidden="1" x14ac:dyDescent="0.3">
      <c r="A2318" s="50" t="s">
        <v>1445</v>
      </c>
      <c r="B2318" s="50" t="s">
        <v>1444</v>
      </c>
      <c r="C2318" s="50" t="s">
        <v>196</v>
      </c>
      <c r="D2318" s="51">
        <v>0</v>
      </c>
      <c r="E2318" s="50">
        <v>0</v>
      </c>
    </row>
    <row r="2319" spans="1:5" hidden="1" x14ac:dyDescent="0.3">
      <c r="A2319" s="50" t="s">
        <v>1443</v>
      </c>
      <c r="B2319" s="50" t="s">
        <v>1442</v>
      </c>
      <c r="C2319" s="50" t="s">
        <v>196</v>
      </c>
      <c r="D2319" s="50" t="s">
        <v>1441</v>
      </c>
      <c r="E2319" s="50">
        <v>49784.83</v>
      </c>
    </row>
    <row r="2320" spans="1:5" hidden="1" x14ac:dyDescent="0.3">
      <c r="A2320" s="50" t="s">
        <v>1440</v>
      </c>
      <c r="B2320" s="50" t="s">
        <v>1439</v>
      </c>
      <c r="C2320" s="50" t="s">
        <v>196</v>
      </c>
      <c r="D2320" s="51">
        <v>0</v>
      </c>
      <c r="E2320" s="50">
        <v>0</v>
      </c>
    </row>
    <row r="2321" spans="1:5" hidden="1" x14ac:dyDescent="0.3">
      <c r="A2321" s="50" t="s">
        <v>1438</v>
      </c>
      <c r="B2321" s="50" t="s">
        <v>1437</v>
      </c>
      <c r="C2321" s="50" t="s">
        <v>196</v>
      </c>
      <c r="D2321" s="51">
        <v>0</v>
      </c>
      <c r="E2321" s="50">
        <v>0</v>
      </c>
    </row>
    <row r="2322" spans="1:5" hidden="1" x14ac:dyDescent="0.3">
      <c r="A2322" s="50" t="s">
        <v>1436</v>
      </c>
      <c r="B2322" s="50" t="s">
        <v>1435</v>
      </c>
      <c r="C2322" s="50" t="s">
        <v>196</v>
      </c>
      <c r="D2322" s="51">
        <v>0</v>
      </c>
      <c r="E2322" s="50">
        <v>0</v>
      </c>
    </row>
    <row r="2323" spans="1:5" hidden="1" x14ac:dyDescent="0.3">
      <c r="A2323" s="50" t="s">
        <v>1434</v>
      </c>
      <c r="B2323" s="50" t="s">
        <v>1433</v>
      </c>
      <c r="C2323" s="50" t="s">
        <v>196</v>
      </c>
      <c r="D2323" s="51">
        <v>0</v>
      </c>
      <c r="E2323" s="50">
        <v>0</v>
      </c>
    </row>
    <row r="2324" spans="1:5" hidden="1" x14ac:dyDescent="0.3">
      <c r="A2324" s="50" t="s">
        <v>1432</v>
      </c>
      <c r="B2324" s="50" t="s">
        <v>1431</v>
      </c>
      <c r="C2324" s="50" t="s">
        <v>196</v>
      </c>
      <c r="D2324" s="51">
        <v>0</v>
      </c>
      <c r="E2324" s="50">
        <v>0</v>
      </c>
    </row>
    <row r="2325" spans="1:5" hidden="1" x14ac:dyDescent="0.3">
      <c r="A2325" s="50" t="s">
        <v>1430</v>
      </c>
      <c r="B2325" s="50" t="s">
        <v>1429</v>
      </c>
      <c r="C2325" s="50" t="s">
        <v>196</v>
      </c>
      <c r="D2325" s="50" t="s">
        <v>1428</v>
      </c>
      <c r="E2325" s="50">
        <v>9552.19</v>
      </c>
    </row>
    <row r="2326" spans="1:5" hidden="1" x14ac:dyDescent="0.3">
      <c r="A2326" s="50" t="s">
        <v>1427</v>
      </c>
      <c r="B2326" s="50" t="s">
        <v>1426</v>
      </c>
      <c r="C2326" s="50" t="s">
        <v>196</v>
      </c>
      <c r="D2326" s="51">
        <v>0</v>
      </c>
      <c r="E2326" s="50">
        <v>0</v>
      </c>
    </row>
    <row r="2327" spans="1:5" hidden="1" x14ac:dyDescent="0.3">
      <c r="A2327" s="50" t="s">
        <v>1425</v>
      </c>
      <c r="B2327" s="50" t="s">
        <v>1424</v>
      </c>
      <c r="C2327" s="50" t="s">
        <v>196</v>
      </c>
      <c r="D2327" s="51">
        <v>0</v>
      </c>
      <c r="E2327" s="50">
        <v>0</v>
      </c>
    </row>
    <row r="2328" spans="1:5" hidden="1" x14ac:dyDescent="0.3">
      <c r="A2328" s="50" t="s">
        <v>1423</v>
      </c>
      <c r="B2328" s="50" t="s">
        <v>1422</v>
      </c>
      <c r="C2328" s="50" t="s">
        <v>196</v>
      </c>
      <c r="D2328" s="50" t="s">
        <v>1421</v>
      </c>
      <c r="E2328" s="50">
        <v>13279.03</v>
      </c>
    </row>
    <row r="2329" spans="1:5" hidden="1" x14ac:dyDescent="0.3">
      <c r="A2329" s="50" t="s">
        <v>1420</v>
      </c>
      <c r="B2329" s="50" t="s">
        <v>1419</v>
      </c>
      <c r="C2329" s="50" t="s">
        <v>196</v>
      </c>
      <c r="D2329" s="50" t="s">
        <v>1418</v>
      </c>
      <c r="E2329" s="50">
        <v>16136.44</v>
      </c>
    </row>
    <row r="2330" spans="1:5" hidden="1" x14ac:dyDescent="0.3">
      <c r="A2330" s="50" t="s">
        <v>1417</v>
      </c>
      <c r="B2330" s="50" t="s">
        <v>1416</v>
      </c>
      <c r="C2330" s="50" t="s">
        <v>196</v>
      </c>
      <c r="D2330" s="51">
        <v>0</v>
      </c>
      <c r="E2330" s="50">
        <v>0</v>
      </c>
    </row>
    <row r="2331" spans="1:5" hidden="1" x14ac:dyDescent="0.3">
      <c r="A2331" s="50" t="s">
        <v>1415</v>
      </c>
      <c r="B2331" s="50" t="s">
        <v>1414</v>
      </c>
      <c r="C2331" s="50" t="s">
        <v>196</v>
      </c>
      <c r="D2331" s="50" t="s">
        <v>1413</v>
      </c>
      <c r="E2331" s="50">
        <v>26555</v>
      </c>
    </row>
    <row r="2332" spans="1:5" hidden="1" x14ac:dyDescent="0.3">
      <c r="A2332" s="50" t="s">
        <v>1412</v>
      </c>
      <c r="B2332" s="50" t="s">
        <v>1411</v>
      </c>
      <c r="D2332" s="51">
        <v>0</v>
      </c>
      <c r="E2332" s="50">
        <v>0</v>
      </c>
    </row>
    <row r="2333" spans="1:5" hidden="1" x14ac:dyDescent="0.3">
      <c r="A2333" s="50" t="s">
        <v>1410</v>
      </c>
      <c r="B2333" s="50" t="s">
        <v>1409</v>
      </c>
      <c r="C2333" s="50" t="s">
        <v>196</v>
      </c>
      <c r="D2333" s="51">
        <v>0</v>
      </c>
      <c r="E2333" s="50">
        <v>0</v>
      </c>
    </row>
    <row r="2334" spans="1:5" hidden="1" x14ac:dyDescent="0.3">
      <c r="A2334" s="50" t="s">
        <v>1408</v>
      </c>
      <c r="B2334" s="50" t="s">
        <v>1407</v>
      </c>
      <c r="C2334" s="50" t="s">
        <v>196</v>
      </c>
      <c r="D2334" s="50" t="s">
        <v>1402</v>
      </c>
      <c r="E2334" s="50">
        <v>4018.68</v>
      </c>
    </row>
    <row r="2335" spans="1:5" hidden="1" x14ac:dyDescent="0.3">
      <c r="A2335" s="50" t="s">
        <v>1406</v>
      </c>
      <c r="B2335" s="50" t="s">
        <v>1405</v>
      </c>
      <c r="D2335" s="51">
        <v>0</v>
      </c>
      <c r="E2335" s="50">
        <v>0</v>
      </c>
    </row>
    <row r="2336" spans="1:5" hidden="1" x14ac:dyDescent="0.3">
      <c r="A2336" s="50" t="s">
        <v>1404</v>
      </c>
      <c r="B2336" s="50" t="s">
        <v>1403</v>
      </c>
      <c r="C2336" s="50" t="s">
        <v>196</v>
      </c>
      <c r="D2336" s="50" t="s">
        <v>1402</v>
      </c>
      <c r="E2336" s="50">
        <v>4018.68</v>
      </c>
    </row>
    <row r="2337" spans="1:5" hidden="1" x14ac:dyDescent="0.3">
      <c r="A2337" s="50" t="s">
        <v>1401</v>
      </c>
      <c r="B2337" s="50" t="s">
        <v>1400</v>
      </c>
      <c r="C2337" s="50" t="s">
        <v>196</v>
      </c>
      <c r="D2337" s="51">
        <v>0</v>
      </c>
      <c r="E2337" s="50">
        <v>0</v>
      </c>
    </row>
    <row r="2338" spans="1:5" hidden="1" x14ac:dyDescent="0.3">
      <c r="A2338" s="50" t="s">
        <v>1399</v>
      </c>
      <c r="B2338" s="50" t="s">
        <v>1398</v>
      </c>
      <c r="C2338" s="50" t="s">
        <v>196</v>
      </c>
      <c r="D2338" s="51">
        <v>0</v>
      </c>
      <c r="E2338" s="50">
        <v>0</v>
      </c>
    </row>
    <row r="2339" spans="1:5" hidden="1" x14ac:dyDescent="0.3">
      <c r="A2339" s="50" t="s">
        <v>1397</v>
      </c>
      <c r="B2339" s="50" t="s">
        <v>1396</v>
      </c>
      <c r="C2339" s="50" t="s">
        <v>196</v>
      </c>
      <c r="D2339" s="50" t="s">
        <v>1395</v>
      </c>
      <c r="E2339" s="50">
        <v>4808.7</v>
      </c>
    </row>
    <row r="2340" spans="1:5" hidden="1" x14ac:dyDescent="0.3">
      <c r="A2340" s="50" t="s">
        <v>1394</v>
      </c>
      <c r="B2340" s="50" t="s">
        <v>1393</v>
      </c>
      <c r="C2340" s="50" t="s">
        <v>196</v>
      </c>
      <c r="D2340" s="50" t="s">
        <v>1392</v>
      </c>
      <c r="E2340" s="50">
        <v>3174.33</v>
      </c>
    </row>
    <row r="2341" spans="1:5" hidden="1" x14ac:dyDescent="0.3">
      <c r="A2341" s="50" t="s">
        <v>1391</v>
      </c>
      <c r="B2341" s="50" t="s">
        <v>1390</v>
      </c>
      <c r="C2341" s="50" t="s">
        <v>196</v>
      </c>
      <c r="D2341" s="50" t="s">
        <v>1389</v>
      </c>
      <c r="E2341" s="50">
        <v>4676.3100000000004</v>
      </c>
    </row>
    <row r="2342" spans="1:5" hidden="1" x14ac:dyDescent="0.3">
      <c r="A2342" s="50" t="s">
        <v>1388</v>
      </c>
      <c r="B2342" s="50" t="s">
        <v>1387</v>
      </c>
      <c r="C2342" s="50" t="s">
        <v>196</v>
      </c>
      <c r="D2342" s="50" t="s">
        <v>1386</v>
      </c>
      <c r="E2342" s="50">
        <v>3834.39</v>
      </c>
    </row>
    <row r="2343" spans="1:5" hidden="1" x14ac:dyDescent="0.3">
      <c r="A2343" s="50" t="s">
        <v>1385</v>
      </c>
      <c r="B2343" s="50" t="s">
        <v>1384</v>
      </c>
      <c r="C2343" s="50" t="s">
        <v>196</v>
      </c>
      <c r="D2343" s="50" t="s">
        <v>1383</v>
      </c>
      <c r="E2343" s="50">
        <v>5108.3500000000004</v>
      </c>
    </row>
    <row r="2344" spans="1:5" hidden="1" x14ac:dyDescent="0.3">
      <c r="A2344" s="50" t="s">
        <v>1382</v>
      </c>
      <c r="B2344" s="50" t="s">
        <v>1381</v>
      </c>
      <c r="C2344" s="50" t="s">
        <v>196</v>
      </c>
      <c r="D2344" s="50" t="s">
        <v>1380</v>
      </c>
      <c r="E2344" s="50">
        <v>5580.89</v>
      </c>
    </row>
    <row r="2345" spans="1:5" hidden="1" x14ac:dyDescent="0.3">
      <c r="A2345" s="50" t="s">
        <v>1379</v>
      </c>
      <c r="B2345" s="50" t="s">
        <v>1378</v>
      </c>
      <c r="C2345" s="50" t="s">
        <v>196</v>
      </c>
      <c r="D2345" s="50" t="s">
        <v>1377</v>
      </c>
      <c r="E2345" s="50">
        <v>2180</v>
      </c>
    </row>
    <row r="2346" spans="1:5" hidden="1" x14ac:dyDescent="0.3">
      <c r="A2346" s="50" t="s">
        <v>1376</v>
      </c>
      <c r="B2346" s="50" t="s">
        <v>1375</v>
      </c>
      <c r="C2346" s="50" t="s">
        <v>196</v>
      </c>
      <c r="D2346" s="50" t="s">
        <v>1374</v>
      </c>
      <c r="E2346" s="50">
        <v>10392</v>
      </c>
    </row>
    <row r="2347" spans="1:5" hidden="1" x14ac:dyDescent="0.3">
      <c r="A2347" s="50" t="s">
        <v>1373</v>
      </c>
      <c r="B2347" s="50" t="s">
        <v>1372</v>
      </c>
      <c r="C2347" s="50" t="s">
        <v>196</v>
      </c>
      <c r="D2347" s="50" t="s">
        <v>1371</v>
      </c>
      <c r="E2347" s="50">
        <v>4963.5</v>
      </c>
    </row>
    <row r="2348" spans="1:5" hidden="1" x14ac:dyDescent="0.3">
      <c r="A2348" s="50" t="s">
        <v>1370</v>
      </c>
      <c r="B2348" s="50" t="s">
        <v>1369</v>
      </c>
      <c r="C2348" s="50" t="s">
        <v>196</v>
      </c>
      <c r="D2348" s="51">
        <v>0</v>
      </c>
      <c r="E2348" s="50">
        <v>0</v>
      </c>
    </row>
    <row r="2349" spans="1:5" hidden="1" x14ac:dyDescent="0.3">
      <c r="A2349" s="50" t="s">
        <v>1368</v>
      </c>
      <c r="B2349" s="50" t="s">
        <v>1367</v>
      </c>
      <c r="C2349" s="50" t="s">
        <v>196</v>
      </c>
      <c r="D2349" s="50" t="s">
        <v>1366</v>
      </c>
      <c r="E2349" s="50">
        <v>6221.34</v>
      </c>
    </row>
    <row r="2350" spans="1:5" hidden="1" x14ac:dyDescent="0.3">
      <c r="A2350" s="50" t="s">
        <v>1365</v>
      </c>
      <c r="B2350" s="50" t="s">
        <v>1364</v>
      </c>
      <c r="C2350" s="50" t="s">
        <v>196</v>
      </c>
      <c r="D2350" s="51">
        <v>0</v>
      </c>
      <c r="E2350" s="50">
        <v>0</v>
      </c>
    </row>
    <row r="2351" spans="1:5" hidden="1" x14ac:dyDescent="0.3">
      <c r="A2351" s="50" t="s">
        <v>1363</v>
      </c>
      <c r="B2351" s="50" t="s">
        <v>1362</v>
      </c>
      <c r="C2351" s="50" t="s">
        <v>196</v>
      </c>
      <c r="D2351" s="50" t="s">
        <v>1361</v>
      </c>
      <c r="E2351" s="50">
        <v>11773.24</v>
      </c>
    </row>
    <row r="2352" spans="1:5" hidden="1" x14ac:dyDescent="0.3">
      <c r="A2352" s="50" t="s">
        <v>1360</v>
      </c>
      <c r="B2352" s="50" t="s">
        <v>1359</v>
      </c>
      <c r="C2352" s="50" t="s">
        <v>196</v>
      </c>
      <c r="D2352" s="51">
        <v>0</v>
      </c>
      <c r="E2352" s="50">
        <v>0</v>
      </c>
    </row>
    <row r="2353" spans="1:5" hidden="1" x14ac:dyDescent="0.3">
      <c r="A2353" s="50" t="s">
        <v>1358</v>
      </c>
      <c r="B2353" s="50" t="s">
        <v>1357</v>
      </c>
      <c r="C2353" s="50" t="s">
        <v>196</v>
      </c>
      <c r="D2353" s="50" t="s">
        <v>1356</v>
      </c>
      <c r="E2353" s="50">
        <v>10969</v>
      </c>
    </row>
    <row r="2354" spans="1:5" hidden="1" x14ac:dyDescent="0.3">
      <c r="A2354" s="50" t="s">
        <v>1355</v>
      </c>
      <c r="B2354" s="50" t="s">
        <v>1354</v>
      </c>
      <c r="C2354" s="50" t="s">
        <v>196</v>
      </c>
      <c r="D2354" s="51">
        <v>0</v>
      </c>
      <c r="E2354" s="50">
        <v>0</v>
      </c>
    </row>
    <row r="2355" spans="1:5" hidden="1" x14ac:dyDescent="0.3">
      <c r="A2355" s="50" t="s">
        <v>1353</v>
      </c>
      <c r="B2355" s="50" t="s">
        <v>1352</v>
      </c>
      <c r="C2355" s="50" t="s">
        <v>196</v>
      </c>
      <c r="D2355" s="50" t="s">
        <v>1351</v>
      </c>
      <c r="E2355" s="50">
        <v>10607.34</v>
      </c>
    </row>
    <row r="2356" spans="1:5" hidden="1" x14ac:dyDescent="0.3">
      <c r="A2356" s="50" t="s">
        <v>1350</v>
      </c>
      <c r="B2356" s="50" t="s">
        <v>1349</v>
      </c>
      <c r="C2356" s="50" t="s">
        <v>196</v>
      </c>
      <c r="D2356" s="50" t="s">
        <v>1348</v>
      </c>
      <c r="E2356" s="50">
        <v>7366</v>
      </c>
    </row>
    <row r="2357" spans="1:5" hidden="1" x14ac:dyDescent="0.3">
      <c r="A2357" s="50" t="s">
        <v>1347</v>
      </c>
      <c r="B2357" s="50" t="s">
        <v>1346</v>
      </c>
      <c r="C2357" s="50" t="s">
        <v>196</v>
      </c>
      <c r="D2357" s="51">
        <v>0</v>
      </c>
      <c r="E2357" s="50">
        <v>0</v>
      </c>
    </row>
    <row r="2358" spans="1:5" hidden="1" x14ac:dyDescent="0.3">
      <c r="A2358" s="50" t="s">
        <v>1345</v>
      </c>
      <c r="B2358" s="50" t="s">
        <v>1344</v>
      </c>
      <c r="C2358" s="50" t="s">
        <v>196</v>
      </c>
      <c r="D2358" s="51">
        <v>0</v>
      </c>
      <c r="E2358" s="50">
        <v>0</v>
      </c>
    </row>
    <row r="2359" spans="1:5" hidden="1" x14ac:dyDescent="0.3">
      <c r="A2359" s="50" t="s">
        <v>1343</v>
      </c>
      <c r="B2359" s="50" t="s">
        <v>1342</v>
      </c>
      <c r="C2359" s="50" t="s">
        <v>196</v>
      </c>
      <c r="D2359" s="50" t="s">
        <v>1341</v>
      </c>
      <c r="E2359" s="50">
        <v>6057.42</v>
      </c>
    </row>
    <row r="2360" spans="1:5" hidden="1" x14ac:dyDescent="0.3">
      <c r="A2360" s="50" t="s">
        <v>1340</v>
      </c>
      <c r="B2360" s="50" t="s">
        <v>1339</v>
      </c>
      <c r="C2360" s="50" t="s">
        <v>196</v>
      </c>
      <c r="D2360" s="51">
        <v>518.94000000000005</v>
      </c>
      <c r="E2360" s="50">
        <v>518.94000000000005</v>
      </c>
    </row>
    <row r="2361" spans="1:5" hidden="1" x14ac:dyDescent="0.3">
      <c r="A2361" s="50" t="s">
        <v>1338</v>
      </c>
      <c r="B2361" s="50" t="s">
        <v>1337</v>
      </c>
      <c r="C2361" s="50" t="s">
        <v>196</v>
      </c>
      <c r="D2361" s="50" t="s">
        <v>1336</v>
      </c>
      <c r="E2361" s="50">
        <v>5649</v>
      </c>
    </row>
    <row r="2362" spans="1:5" hidden="1" x14ac:dyDescent="0.3">
      <c r="A2362" s="50" t="s">
        <v>1335</v>
      </c>
      <c r="B2362" s="50" t="s">
        <v>1334</v>
      </c>
      <c r="C2362" s="50" t="s">
        <v>196</v>
      </c>
      <c r="D2362" s="51">
        <v>0</v>
      </c>
      <c r="E2362" s="50">
        <v>0</v>
      </c>
    </row>
    <row r="2363" spans="1:5" hidden="1" x14ac:dyDescent="0.3">
      <c r="A2363" s="50" t="s">
        <v>1333</v>
      </c>
      <c r="B2363" s="50" t="s">
        <v>1332</v>
      </c>
      <c r="C2363" s="50" t="s">
        <v>196</v>
      </c>
      <c r="D2363" s="50" t="s">
        <v>1331</v>
      </c>
      <c r="E2363" s="50">
        <v>6230.54</v>
      </c>
    </row>
    <row r="2364" spans="1:5" hidden="1" x14ac:dyDescent="0.3">
      <c r="A2364" s="50" t="s">
        <v>1330</v>
      </c>
      <c r="B2364" s="50" t="s">
        <v>1329</v>
      </c>
      <c r="C2364" s="50" t="s">
        <v>196</v>
      </c>
      <c r="D2364" s="50" t="s">
        <v>1328</v>
      </c>
      <c r="E2364" s="50">
        <v>6395</v>
      </c>
    </row>
    <row r="2365" spans="1:5" hidden="1" x14ac:dyDescent="0.3">
      <c r="A2365" s="50" t="s">
        <v>1327</v>
      </c>
      <c r="B2365" s="50" t="s">
        <v>1326</v>
      </c>
      <c r="C2365" s="50" t="s">
        <v>196</v>
      </c>
      <c r="D2365" s="50" t="s">
        <v>1325</v>
      </c>
      <c r="E2365" s="50">
        <v>7194.67</v>
      </c>
    </row>
    <row r="2366" spans="1:5" hidden="1" x14ac:dyDescent="0.3">
      <c r="A2366" s="50" t="s">
        <v>1324</v>
      </c>
      <c r="B2366" s="50" t="s">
        <v>1323</v>
      </c>
      <c r="C2366" s="50" t="s">
        <v>196</v>
      </c>
      <c r="D2366" s="50" t="s">
        <v>1322</v>
      </c>
      <c r="E2366" s="50">
        <v>7167.96</v>
      </c>
    </row>
    <row r="2367" spans="1:5" hidden="1" x14ac:dyDescent="0.3">
      <c r="A2367" s="50" t="s">
        <v>1321</v>
      </c>
      <c r="B2367" s="50" t="s">
        <v>1320</v>
      </c>
      <c r="C2367" s="50" t="s">
        <v>196</v>
      </c>
      <c r="D2367" s="50" t="s">
        <v>1319</v>
      </c>
      <c r="E2367" s="50">
        <v>7876.05</v>
      </c>
    </row>
    <row r="2368" spans="1:5" ht="28.8" hidden="1" x14ac:dyDescent="0.3">
      <c r="A2368" s="50" t="s">
        <v>1318</v>
      </c>
      <c r="B2368" s="50" t="s">
        <v>1317</v>
      </c>
      <c r="D2368" s="51">
        <v>0</v>
      </c>
      <c r="E2368" s="50">
        <v>0</v>
      </c>
    </row>
    <row r="2369" spans="1:5" hidden="1" x14ac:dyDescent="0.3">
      <c r="A2369" s="50" t="s">
        <v>1316</v>
      </c>
      <c r="B2369" s="50" t="s">
        <v>1315</v>
      </c>
      <c r="C2369" s="50" t="s">
        <v>196</v>
      </c>
      <c r="D2369" s="50" t="s">
        <v>1314</v>
      </c>
      <c r="E2369" s="50">
        <v>2597.6</v>
      </c>
    </row>
    <row r="2370" spans="1:5" hidden="1" x14ac:dyDescent="0.3">
      <c r="A2370" s="50" t="s">
        <v>1313</v>
      </c>
      <c r="B2370" s="50" t="s">
        <v>1312</v>
      </c>
      <c r="C2370" s="50" t="s">
        <v>196</v>
      </c>
      <c r="D2370" s="51">
        <v>0</v>
      </c>
      <c r="E2370" s="50">
        <v>0</v>
      </c>
    </row>
    <row r="2371" spans="1:5" hidden="1" x14ac:dyDescent="0.3">
      <c r="A2371" s="50" t="s">
        <v>1311</v>
      </c>
      <c r="B2371" s="50" t="s">
        <v>1310</v>
      </c>
      <c r="C2371" s="50" t="s">
        <v>196</v>
      </c>
      <c r="D2371" s="50" t="s">
        <v>1309</v>
      </c>
      <c r="E2371" s="50">
        <v>2770</v>
      </c>
    </row>
    <row r="2372" spans="1:5" hidden="1" x14ac:dyDescent="0.3">
      <c r="A2372" s="50" t="s">
        <v>1308</v>
      </c>
      <c r="B2372" s="50" t="s">
        <v>1307</v>
      </c>
      <c r="C2372" s="50" t="s">
        <v>196</v>
      </c>
      <c r="D2372" s="50" t="s">
        <v>1306</v>
      </c>
      <c r="E2372" s="50">
        <v>6943.86</v>
      </c>
    </row>
    <row r="2373" spans="1:5" hidden="1" x14ac:dyDescent="0.3">
      <c r="A2373" s="50" t="s">
        <v>1305</v>
      </c>
      <c r="B2373" s="50" t="s">
        <v>1304</v>
      </c>
      <c r="C2373" s="50" t="s">
        <v>196</v>
      </c>
      <c r="D2373" s="51">
        <v>0</v>
      </c>
      <c r="E2373" s="50">
        <v>0</v>
      </c>
    </row>
    <row r="2374" spans="1:5" hidden="1" x14ac:dyDescent="0.3">
      <c r="A2374" s="50" t="s">
        <v>1303</v>
      </c>
      <c r="B2374" s="50" t="s">
        <v>1302</v>
      </c>
      <c r="C2374" s="50" t="s">
        <v>196</v>
      </c>
      <c r="D2374" s="51">
        <v>0</v>
      </c>
      <c r="E2374" s="50">
        <v>0</v>
      </c>
    </row>
    <row r="2375" spans="1:5" hidden="1" x14ac:dyDescent="0.3">
      <c r="A2375" s="50" t="s">
        <v>1301</v>
      </c>
      <c r="B2375" s="50" t="s">
        <v>1300</v>
      </c>
      <c r="C2375" s="50" t="s">
        <v>196</v>
      </c>
      <c r="D2375" s="51">
        <v>0</v>
      </c>
      <c r="E2375" s="50">
        <v>0</v>
      </c>
    </row>
    <row r="2376" spans="1:5" hidden="1" x14ac:dyDescent="0.3">
      <c r="A2376" s="50" t="s">
        <v>1299</v>
      </c>
      <c r="B2376" s="50" t="s">
        <v>1298</v>
      </c>
      <c r="C2376" s="50" t="s">
        <v>196</v>
      </c>
      <c r="D2376" s="50" t="s">
        <v>1297</v>
      </c>
      <c r="E2376" s="50">
        <v>8466.2900000000009</v>
      </c>
    </row>
    <row r="2377" spans="1:5" hidden="1" x14ac:dyDescent="0.3">
      <c r="A2377" s="50" t="s">
        <v>1296</v>
      </c>
      <c r="B2377" s="50" t="s">
        <v>1295</v>
      </c>
      <c r="C2377" s="50" t="s">
        <v>196</v>
      </c>
      <c r="D2377" s="50" t="s">
        <v>1294</v>
      </c>
      <c r="E2377" s="50">
        <v>7314.9</v>
      </c>
    </row>
    <row r="2378" spans="1:5" hidden="1" x14ac:dyDescent="0.3">
      <c r="A2378" s="50" t="s">
        <v>1293</v>
      </c>
      <c r="B2378" s="50" t="s">
        <v>1292</v>
      </c>
      <c r="C2378" s="50" t="s">
        <v>196</v>
      </c>
      <c r="D2378" s="51">
        <v>0</v>
      </c>
      <c r="E2378" s="50">
        <v>0</v>
      </c>
    </row>
    <row r="2379" spans="1:5" hidden="1" x14ac:dyDescent="0.3">
      <c r="A2379" s="50" t="s">
        <v>1291</v>
      </c>
      <c r="B2379" s="50" t="s">
        <v>1290</v>
      </c>
      <c r="C2379" s="50" t="s">
        <v>196</v>
      </c>
      <c r="D2379" s="51">
        <v>0</v>
      </c>
      <c r="E2379" s="50">
        <v>0</v>
      </c>
    </row>
    <row r="2380" spans="1:5" hidden="1" x14ac:dyDescent="0.3">
      <c r="A2380" s="50" t="s">
        <v>1289</v>
      </c>
      <c r="B2380" s="50" t="s">
        <v>1288</v>
      </c>
      <c r="C2380" s="50" t="s">
        <v>196</v>
      </c>
      <c r="D2380" s="50" t="s">
        <v>1287</v>
      </c>
      <c r="E2380" s="50">
        <v>2908</v>
      </c>
    </row>
    <row r="2381" spans="1:5" hidden="1" x14ac:dyDescent="0.3">
      <c r="A2381" s="50" t="s">
        <v>1286</v>
      </c>
      <c r="B2381" s="50" t="s">
        <v>1285</v>
      </c>
      <c r="C2381" s="50" t="s">
        <v>196</v>
      </c>
      <c r="D2381" s="50" t="s">
        <v>1284</v>
      </c>
      <c r="E2381" s="50">
        <v>11339.2</v>
      </c>
    </row>
    <row r="2382" spans="1:5" hidden="1" x14ac:dyDescent="0.3">
      <c r="A2382" s="50" t="s">
        <v>1283</v>
      </c>
      <c r="B2382" s="50" t="s">
        <v>1282</v>
      </c>
      <c r="C2382" s="50" t="s">
        <v>196</v>
      </c>
      <c r="D2382" s="51">
        <v>0</v>
      </c>
      <c r="E2382" s="50">
        <v>0</v>
      </c>
    </row>
    <row r="2383" spans="1:5" hidden="1" x14ac:dyDescent="0.3">
      <c r="A2383" s="50" t="s">
        <v>1281</v>
      </c>
      <c r="B2383" s="50" t="s">
        <v>1280</v>
      </c>
      <c r="C2383" s="50" t="s">
        <v>196</v>
      </c>
      <c r="D2383" s="51">
        <v>0</v>
      </c>
      <c r="E2383" s="50">
        <v>0</v>
      </c>
    </row>
    <row r="2384" spans="1:5" hidden="1" x14ac:dyDescent="0.3">
      <c r="A2384" s="50" t="s">
        <v>1279</v>
      </c>
      <c r="B2384" s="50" t="s">
        <v>1278</v>
      </c>
      <c r="C2384" s="50" t="s">
        <v>196</v>
      </c>
      <c r="D2384" s="50" t="s">
        <v>1277</v>
      </c>
      <c r="E2384" s="50">
        <v>6492.37</v>
      </c>
    </row>
    <row r="2385" spans="1:5" hidden="1" x14ac:dyDescent="0.3">
      <c r="A2385" s="50" t="s">
        <v>1276</v>
      </c>
      <c r="B2385" s="50" t="s">
        <v>1275</v>
      </c>
      <c r="C2385" s="50" t="s">
        <v>196</v>
      </c>
      <c r="D2385" s="51">
        <v>0</v>
      </c>
      <c r="E2385" s="50">
        <v>0</v>
      </c>
    </row>
    <row r="2386" spans="1:5" hidden="1" x14ac:dyDescent="0.3">
      <c r="A2386" s="50" t="s">
        <v>1274</v>
      </c>
      <c r="B2386" s="50" t="s">
        <v>1273</v>
      </c>
      <c r="C2386" s="50" t="s">
        <v>196</v>
      </c>
      <c r="D2386" s="51">
        <v>0</v>
      </c>
      <c r="E2386" s="50">
        <v>0</v>
      </c>
    </row>
    <row r="2387" spans="1:5" hidden="1" x14ac:dyDescent="0.3">
      <c r="A2387" s="50" t="s">
        <v>1272</v>
      </c>
      <c r="B2387" s="50" t="s">
        <v>1271</v>
      </c>
      <c r="C2387" s="50" t="s">
        <v>196</v>
      </c>
      <c r="D2387" s="50" t="s">
        <v>1270</v>
      </c>
      <c r="E2387" s="50">
        <v>14506</v>
      </c>
    </row>
    <row r="2388" spans="1:5" hidden="1" x14ac:dyDescent="0.3">
      <c r="A2388" s="50" t="s">
        <v>1269</v>
      </c>
      <c r="B2388" s="50" t="s">
        <v>1268</v>
      </c>
      <c r="C2388" s="50" t="s">
        <v>196</v>
      </c>
      <c r="D2388" s="51">
        <v>0</v>
      </c>
      <c r="E2388" s="50">
        <v>0</v>
      </c>
    </row>
    <row r="2389" spans="1:5" hidden="1" x14ac:dyDescent="0.3">
      <c r="A2389" s="50" t="s">
        <v>1267</v>
      </c>
      <c r="B2389" s="50" t="s">
        <v>1266</v>
      </c>
      <c r="C2389" s="50" t="s">
        <v>196</v>
      </c>
      <c r="D2389" s="50" t="s">
        <v>1265</v>
      </c>
      <c r="E2389" s="50">
        <v>9384.52</v>
      </c>
    </row>
    <row r="2390" spans="1:5" hidden="1" x14ac:dyDescent="0.3">
      <c r="A2390" s="50" t="s">
        <v>1264</v>
      </c>
      <c r="B2390" s="50" t="s">
        <v>1263</v>
      </c>
      <c r="C2390" s="50" t="s">
        <v>196</v>
      </c>
      <c r="D2390" s="51">
        <v>0</v>
      </c>
      <c r="E2390" s="50">
        <v>0</v>
      </c>
    </row>
    <row r="2391" spans="1:5" hidden="1" x14ac:dyDescent="0.3">
      <c r="A2391" s="50" t="s">
        <v>1262</v>
      </c>
      <c r="B2391" s="50" t="s">
        <v>1261</v>
      </c>
      <c r="C2391" s="50" t="s">
        <v>196</v>
      </c>
      <c r="D2391" s="51">
        <v>0</v>
      </c>
      <c r="E2391" s="50">
        <v>0</v>
      </c>
    </row>
    <row r="2392" spans="1:5" hidden="1" x14ac:dyDescent="0.3">
      <c r="A2392" s="50" t="s">
        <v>1260</v>
      </c>
      <c r="B2392" s="50" t="s">
        <v>1259</v>
      </c>
      <c r="C2392" s="50" t="s">
        <v>196</v>
      </c>
      <c r="D2392" s="51">
        <v>0</v>
      </c>
      <c r="E2392" s="50">
        <v>0</v>
      </c>
    </row>
    <row r="2393" spans="1:5" hidden="1" x14ac:dyDescent="0.3">
      <c r="A2393" s="50" t="s">
        <v>1258</v>
      </c>
      <c r="B2393" s="50" t="s">
        <v>1257</v>
      </c>
      <c r="C2393" s="50" t="s">
        <v>196</v>
      </c>
      <c r="D2393" s="51">
        <v>0</v>
      </c>
      <c r="E2393" s="50">
        <v>0</v>
      </c>
    </row>
    <row r="2394" spans="1:5" hidden="1" x14ac:dyDescent="0.3">
      <c r="A2394" s="50" t="s">
        <v>1256</v>
      </c>
      <c r="B2394" s="50" t="s">
        <v>1255</v>
      </c>
      <c r="C2394" s="50" t="s">
        <v>196</v>
      </c>
      <c r="D2394" s="51">
        <v>0</v>
      </c>
      <c r="E2394" s="50">
        <v>0</v>
      </c>
    </row>
    <row r="2395" spans="1:5" hidden="1" x14ac:dyDescent="0.3">
      <c r="A2395" s="50" t="s">
        <v>1254</v>
      </c>
      <c r="B2395" s="50" t="s">
        <v>1253</v>
      </c>
      <c r="C2395" s="50" t="s">
        <v>196</v>
      </c>
      <c r="D2395" s="51">
        <v>0</v>
      </c>
      <c r="E2395" s="50">
        <v>0</v>
      </c>
    </row>
    <row r="2396" spans="1:5" hidden="1" x14ac:dyDescent="0.3">
      <c r="A2396" s="50" t="s">
        <v>1252</v>
      </c>
      <c r="B2396" s="50" t="s">
        <v>1251</v>
      </c>
      <c r="C2396" s="50" t="s">
        <v>196</v>
      </c>
      <c r="D2396" s="51">
        <v>0</v>
      </c>
      <c r="E2396" s="50">
        <v>0</v>
      </c>
    </row>
    <row r="2397" spans="1:5" hidden="1" x14ac:dyDescent="0.3">
      <c r="A2397" s="50" t="s">
        <v>1250</v>
      </c>
      <c r="B2397" s="50" t="s">
        <v>1249</v>
      </c>
      <c r="C2397" s="50" t="s">
        <v>196</v>
      </c>
      <c r="D2397" s="51">
        <v>0</v>
      </c>
      <c r="E2397" s="50">
        <v>0</v>
      </c>
    </row>
    <row r="2398" spans="1:5" ht="28.8" hidden="1" x14ac:dyDescent="0.3">
      <c r="A2398" s="50" t="s">
        <v>1248</v>
      </c>
      <c r="B2398" s="50" t="s">
        <v>1247</v>
      </c>
      <c r="D2398" s="51">
        <v>0</v>
      </c>
      <c r="E2398" s="50">
        <v>0</v>
      </c>
    </row>
    <row r="2399" spans="1:5" hidden="1" x14ac:dyDescent="0.3">
      <c r="A2399" s="50" t="s">
        <v>1246</v>
      </c>
      <c r="B2399" s="50" t="s">
        <v>1245</v>
      </c>
      <c r="C2399" s="50" t="s">
        <v>196</v>
      </c>
      <c r="D2399" s="51">
        <v>0</v>
      </c>
      <c r="E2399" s="50">
        <v>0</v>
      </c>
    </row>
    <row r="2400" spans="1:5" hidden="1" x14ac:dyDescent="0.3">
      <c r="A2400" s="50" t="s">
        <v>1244</v>
      </c>
      <c r="B2400" s="50" t="s">
        <v>1243</v>
      </c>
      <c r="C2400" s="50" t="s">
        <v>196</v>
      </c>
      <c r="D2400" s="51">
        <v>0</v>
      </c>
      <c r="E2400" s="50">
        <v>0</v>
      </c>
    </row>
    <row r="2401" spans="1:5" hidden="1" x14ac:dyDescent="0.3">
      <c r="A2401" s="50" t="s">
        <v>1242</v>
      </c>
      <c r="B2401" s="50" t="s">
        <v>1241</v>
      </c>
      <c r="C2401" s="50" t="s">
        <v>196</v>
      </c>
      <c r="D2401" s="51">
        <v>0</v>
      </c>
      <c r="E2401" s="50">
        <v>0</v>
      </c>
    </row>
    <row r="2402" spans="1:5" hidden="1" x14ac:dyDescent="0.3">
      <c r="A2402" s="50" t="s">
        <v>1240</v>
      </c>
      <c r="B2402" s="50" t="s">
        <v>1239</v>
      </c>
      <c r="C2402" s="50" t="s">
        <v>196</v>
      </c>
      <c r="D2402" s="51">
        <v>0</v>
      </c>
      <c r="E2402" s="50">
        <v>0</v>
      </c>
    </row>
    <row r="2403" spans="1:5" hidden="1" x14ac:dyDescent="0.3">
      <c r="A2403" s="50" t="s">
        <v>1238</v>
      </c>
      <c r="B2403" s="50" t="s">
        <v>1237</v>
      </c>
      <c r="C2403" s="50" t="s">
        <v>196</v>
      </c>
      <c r="D2403" s="51">
        <v>0</v>
      </c>
      <c r="E2403" s="50">
        <v>0</v>
      </c>
    </row>
    <row r="2404" spans="1:5" hidden="1" x14ac:dyDescent="0.3">
      <c r="A2404" s="50" t="s">
        <v>1236</v>
      </c>
      <c r="B2404" s="50" t="s">
        <v>1235</v>
      </c>
      <c r="C2404" s="50" t="s">
        <v>196</v>
      </c>
      <c r="D2404" s="50" t="s">
        <v>1234</v>
      </c>
      <c r="E2404" s="50">
        <v>7954.28</v>
      </c>
    </row>
    <row r="2405" spans="1:5" ht="28.8" hidden="1" x14ac:dyDescent="0.3">
      <c r="A2405" s="50" t="s">
        <v>1233</v>
      </c>
      <c r="B2405" s="50" t="s">
        <v>1232</v>
      </c>
      <c r="D2405" s="51">
        <v>0</v>
      </c>
      <c r="E2405" s="50">
        <v>0</v>
      </c>
    </row>
    <row r="2406" spans="1:5" hidden="1" x14ac:dyDescent="0.3">
      <c r="A2406" s="50" t="s">
        <v>1231</v>
      </c>
      <c r="B2406" s="50" t="s">
        <v>1230</v>
      </c>
      <c r="C2406" s="50" t="s">
        <v>196</v>
      </c>
      <c r="D2406" s="51">
        <v>0</v>
      </c>
      <c r="E2406" s="50">
        <v>0</v>
      </c>
    </row>
    <row r="2407" spans="1:5" hidden="1" x14ac:dyDescent="0.3">
      <c r="A2407" s="50" t="s">
        <v>1229</v>
      </c>
      <c r="B2407" s="50" t="s">
        <v>1228</v>
      </c>
      <c r="C2407" s="50" t="s">
        <v>196</v>
      </c>
      <c r="D2407" s="50" t="s">
        <v>1227</v>
      </c>
      <c r="E2407" s="50">
        <v>8741.8799999999992</v>
      </c>
    </row>
    <row r="2408" spans="1:5" hidden="1" x14ac:dyDescent="0.3">
      <c r="A2408" s="50" t="s">
        <v>1226</v>
      </c>
      <c r="B2408" s="50" t="s">
        <v>1225</v>
      </c>
      <c r="C2408" s="50" t="s">
        <v>196</v>
      </c>
      <c r="D2408" s="51">
        <v>0</v>
      </c>
      <c r="E2408" s="50">
        <v>0</v>
      </c>
    </row>
    <row r="2409" spans="1:5" hidden="1" x14ac:dyDescent="0.3">
      <c r="A2409" s="50" t="s">
        <v>1224</v>
      </c>
      <c r="B2409" s="50" t="s">
        <v>1223</v>
      </c>
      <c r="C2409" s="50" t="s">
        <v>196</v>
      </c>
      <c r="D2409" s="50" t="s">
        <v>1222</v>
      </c>
      <c r="E2409" s="50">
        <v>17409.599999999999</v>
      </c>
    </row>
    <row r="2410" spans="1:5" hidden="1" x14ac:dyDescent="0.3">
      <c r="A2410" s="50" t="s">
        <v>1221</v>
      </c>
      <c r="B2410" s="50" t="s">
        <v>1220</v>
      </c>
      <c r="C2410" s="50" t="s">
        <v>196</v>
      </c>
      <c r="D2410" s="50" t="s">
        <v>1219</v>
      </c>
      <c r="E2410" s="50">
        <v>12400.02</v>
      </c>
    </row>
    <row r="2411" spans="1:5" hidden="1" x14ac:dyDescent="0.3">
      <c r="A2411" s="50" t="s">
        <v>1218</v>
      </c>
      <c r="B2411" s="50" t="s">
        <v>1217</v>
      </c>
      <c r="C2411" s="50" t="s">
        <v>196</v>
      </c>
      <c r="D2411" s="51">
        <v>0</v>
      </c>
      <c r="E2411" s="50">
        <v>0</v>
      </c>
    </row>
    <row r="2412" spans="1:5" hidden="1" x14ac:dyDescent="0.3">
      <c r="A2412" s="50" t="s">
        <v>1216</v>
      </c>
      <c r="B2412" s="50" t="s">
        <v>1215</v>
      </c>
      <c r="C2412" s="50" t="s">
        <v>196</v>
      </c>
      <c r="D2412" s="51">
        <v>0</v>
      </c>
      <c r="E2412" s="50">
        <v>0</v>
      </c>
    </row>
    <row r="2413" spans="1:5" hidden="1" x14ac:dyDescent="0.3">
      <c r="A2413" s="50" t="s">
        <v>1214</v>
      </c>
      <c r="B2413" s="50" t="s">
        <v>1213</v>
      </c>
      <c r="C2413" s="50" t="s">
        <v>196</v>
      </c>
      <c r="D2413" s="51">
        <v>0</v>
      </c>
      <c r="E2413" s="50">
        <v>0</v>
      </c>
    </row>
    <row r="2414" spans="1:5" hidden="1" x14ac:dyDescent="0.3">
      <c r="A2414" s="50" t="s">
        <v>1212</v>
      </c>
      <c r="B2414" s="50" t="s">
        <v>1211</v>
      </c>
      <c r="C2414" s="50" t="s">
        <v>196</v>
      </c>
      <c r="D2414" s="51">
        <v>0</v>
      </c>
      <c r="E2414" s="50">
        <v>0</v>
      </c>
    </row>
    <row r="2415" spans="1:5" hidden="1" x14ac:dyDescent="0.3">
      <c r="A2415" s="50" t="s">
        <v>1210</v>
      </c>
      <c r="B2415" s="50" t="s">
        <v>1209</v>
      </c>
      <c r="C2415" s="50" t="s">
        <v>196</v>
      </c>
      <c r="D2415" s="51">
        <v>0</v>
      </c>
      <c r="E2415" s="50">
        <v>0</v>
      </c>
    </row>
    <row r="2416" spans="1:5" hidden="1" x14ac:dyDescent="0.3">
      <c r="A2416" s="50" t="s">
        <v>1208</v>
      </c>
      <c r="B2416" s="50" t="s">
        <v>1207</v>
      </c>
      <c r="C2416" s="50" t="s">
        <v>196</v>
      </c>
      <c r="D2416" s="51">
        <v>0</v>
      </c>
      <c r="E2416" s="50">
        <v>0</v>
      </c>
    </row>
    <row r="2417" spans="1:5" hidden="1" x14ac:dyDescent="0.3">
      <c r="A2417" s="50" t="s">
        <v>1206</v>
      </c>
      <c r="B2417" s="50" t="s">
        <v>1205</v>
      </c>
      <c r="C2417" s="50" t="s">
        <v>196</v>
      </c>
      <c r="D2417" s="50" t="s">
        <v>1204</v>
      </c>
      <c r="E2417" s="50">
        <v>9327.9599999999991</v>
      </c>
    </row>
    <row r="2418" spans="1:5" hidden="1" x14ac:dyDescent="0.3">
      <c r="A2418" s="50" t="s">
        <v>1203</v>
      </c>
      <c r="B2418" s="50" t="s">
        <v>1202</v>
      </c>
      <c r="C2418" s="50" t="s">
        <v>196</v>
      </c>
      <c r="D2418" s="51">
        <v>0</v>
      </c>
      <c r="E2418" s="50">
        <v>0</v>
      </c>
    </row>
    <row r="2419" spans="1:5" hidden="1" x14ac:dyDescent="0.3">
      <c r="A2419" s="50" t="s">
        <v>1201</v>
      </c>
      <c r="B2419" s="50" t="s">
        <v>1200</v>
      </c>
      <c r="C2419" s="50" t="s">
        <v>196</v>
      </c>
      <c r="D2419" s="51">
        <v>0</v>
      </c>
      <c r="E2419" s="50">
        <v>0</v>
      </c>
    </row>
    <row r="2420" spans="1:5" hidden="1" x14ac:dyDescent="0.3">
      <c r="A2420" s="50" t="s">
        <v>1199</v>
      </c>
      <c r="B2420" s="50" t="s">
        <v>1198</v>
      </c>
      <c r="C2420" s="50" t="s">
        <v>196</v>
      </c>
      <c r="D2420" s="51">
        <v>0</v>
      </c>
      <c r="E2420" s="50">
        <v>0</v>
      </c>
    </row>
    <row r="2421" spans="1:5" hidden="1" x14ac:dyDescent="0.3">
      <c r="A2421" s="50" t="s">
        <v>1197</v>
      </c>
      <c r="B2421" s="50" t="s">
        <v>1196</v>
      </c>
      <c r="C2421" s="50" t="s">
        <v>196</v>
      </c>
      <c r="D2421" s="51">
        <v>0</v>
      </c>
      <c r="E2421" s="50">
        <v>0</v>
      </c>
    </row>
    <row r="2422" spans="1:5" hidden="1" x14ac:dyDescent="0.3">
      <c r="A2422" s="50" t="s">
        <v>1195</v>
      </c>
      <c r="B2422" s="50" t="s">
        <v>1194</v>
      </c>
      <c r="C2422" s="50" t="s">
        <v>196</v>
      </c>
      <c r="D2422" s="51">
        <v>0</v>
      </c>
      <c r="E2422" s="50">
        <v>0</v>
      </c>
    </row>
    <row r="2423" spans="1:5" hidden="1" x14ac:dyDescent="0.3">
      <c r="A2423" s="50" t="s">
        <v>1193</v>
      </c>
      <c r="B2423" s="50" t="s">
        <v>1192</v>
      </c>
      <c r="C2423" s="50" t="s">
        <v>196</v>
      </c>
      <c r="D2423" s="50" t="s">
        <v>1191</v>
      </c>
      <c r="E2423" s="50">
        <v>18403.560000000001</v>
      </c>
    </row>
    <row r="2424" spans="1:5" hidden="1" x14ac:dyDescent="0.3">
      <c r="A2424" s="50" t="s">
        <v>1190</v>
      </c>
      <c r="B2424" s="50" t="s">
        <v>1189</v>
      </c>
      <c r="C2424" s="50" t="s">
        <v>196</v>
      </c>
      <c r="D2424" s="51">
        <v>0</v>
      </c>
      <c r="E2424" s="50">
        <v>0</v>
      </c>
    </row>
    <row r="2425" spans="1:5" hidden="1" x14ac:dyDescent="0.3">
      <c r="A2425" s="50" t="s">
        <v>1188</v>
      </c>
      <c r="B2425" s="50" t="s">
        <v>1187</v>
      </c>
      <c r="C2425" s="50" t="s">
        <v>196</v>
      </c>
      <c r="D2425" s="51">
        <v>0</v>
      </c>
      <c r="E2425" s="50">
        <v>0</v>
      </c>
    </row>
    <row r="2426" spans="1:5" hidden="1" x14ac:dyDescent="0.3">
      <c r="A2426" s="50" t="s">
        <v>1186</v>
      </c>
      <c r="B2426" s="50" t="s">
        <v>1185</v>
      </c>
      <c r="C2426" s="50" t="s">
        <v>196</v>
      </c>
      <c r="D2426" s="51">
        <v>0</v>
      </c>
      <c r="E2426" s="50">
        <v>0</v>
      </c>
    </row>
    <row r="2427" spans="1:5" ht="28.8" hidden="1" x14ac:dyDescent="0.3">
      <c r="A2427" s="50" t="s">
        <v>1184</v>
      </c>
      <c r="B2427" s="50" t="s">
        <v>1183</v>
      </c>
      <c r="D2427" s="51">
        <v>0</v>
      </c>
      <c r="E2427" s="50">
        <v>0</v>
      </c>
    </row>
    <row r="2428" spans="1:5" ht="28.8" hidden="1" x14ac:dyDescent="0.3">
      <c r="A2428" s="50" t="s">
        <v>1182</v>
      </c>
      <c r="B2428" s="50" t="s">
        <v>1181</v>
      </c>
      <c r="D2428" s="51">
        <v>0</v>
      </c>
      <c r="E2428" s="50">
        <v>0</v>
      </c>
    </row>
    <row r="2429" spans="1:5" ht="28.8" hidden="1" x14ac:dyDescent="0.3">
      <c r="A2429" s="50" t="s">
        <v>1180</v>
      </c>
      <c r="B2429" s="50" t="s">
        <v>1179</v>
      </c>
      <c r="D2429" s="51">
        <v>0</v>
      </c>
      <c r="E2429" s="50">
        <v>0</v>
      </c>
    </row>
    <row r="2430" spans="1:5" ht="28.8" hidden="1" x14ac:dyDescent="0.3">
      <c r="A2430" s="50" t="s">
        <v>1178</v>
      </c>
      <c r="B2430" s="50" t="s">
        <v>1177</v>
      </c>
      <c r="D2430" s="50" t="s">
        <v>718</v>
      </c>
      <c r="E2430" s="50">
        <v>15100</v>
      </c>
    </row>
    <row r="2431" spans="1:5" ht="43.2" hidden="1" x14ac:dyDescent="0.3">
      <c r="A2431" s="50" t="s">
        <v>1176</v>
      </c>
      <c r="B2431" s="50" t="s">
        <v>1175</v>
      </c>
      <c r="C2431" s="50" t="s">
        <v>1174</v>
      </c>
      <c r="D2431" s="51">
        <v>607.83000000000004</v>
      </c>
      <c r="E2431" s="50">
        <v>607.83000000000004</v>
      </c>
    </row>
    <row r="2432" spans="1:5" hidden="1" x14ac:dyDescent="0.3">
      <c r="A2432" s="50" t="s">
        <v>430</v>
      </c>
      <c r="B2432" s="50" t="s">
        <v>431</v>
      </c>
      <c r="D2432" s="51">
        <v>31.55</v>
      </c>
      <c r="E2432" s="50">
        <v>31.55</v>
      </c>
    </row>
    <row r="2433" spans="1:5" hidden="1" x14ac:dyDescent="0.3">
      <c r="A2433" s="50" t="s">
        <v>1173</v>
      </c>
      <c r="B2433" s="50" t="s">
        <v>1172</v>
      </c>
      <c r="D2433" s="51">
        <v>0</v>
      </c>
      <c r="E2433" s="50">
        <v>0</v>
      </c>
    </row>
    <row r="2434" spans="1:5" ht="43.2" hidden="1" x14ac:dyDescent="0.3">
      <c r="A2434" s="50" t="s">
        <v>1171</v>
      </c>
      <c r="B2434" s="50" t="s">
        <v>1170</v>
      </c>
      <c r="D2434" s="50" t="s">
        <v>1169</v>
      </c>
      <c r="E2434" s="50">
        <v>3812.63</v>
      </c>
    </row>
    <row r="2435" spans="1:5" hidden="1" x14ac:dyDescent="0.3">
      <c r="A2435" s="50" t="s">
        <v>1168</v>
      </c>
      <c r="B2435" s="50" t="s">
        <v>1167</v>
      </c>
      <c r="C2435" s="50" t="s">
        <v>196</v>
      </c>
      <c r="D2435" s="51">
        <v>0</v>
      </c>
      <c r="E2435" s="50">
        <v>0</v>
      </c>
    </row>
    <row r="2436" spans="1:5" ht="28.8" hidden="1" x14ac:dyDescent="0.3">
      <c r="A2436" s="50" t="s">
        <v>1166</v>
      </c>
      <c r="B2436" s="50" t="s">
        <v>1166</v>
      </c>
      <c r="C2436" s="50" t="s">
        <v>1165</v>
      </c>
      <c r="D2436" s="50" t="s">
        <v>1164</v>
      </c>
      <c r="E2436" s="50">
        <v>1950</v>
      </c>
    </row>
    <row r="2437" spans="1:5" hidden="1" x14ac:dyDescent="0.3">
      <c r="A2437" s="50" t="s">
        <v>1163</v>
      </c>
      <c r="B2437" s="50" t="s">
        <v>1162</v>
      </c>
      <c r="D2437" s="50" t="s">
        <v>1161</v>
      </c>
      <c r="E2437" s="50">
        <v>709.45</v>
      </c>
    </row>
    <row r="2438" spans="1:5" ht="28.8" hidden="1" x14ac:dyDescent="0.3">
      <c r="A2438" s="50" t="s">
        <v>1160</v>
      </c>
      <c r="B2438" s="50" t="s">
        <v>1159</v>
      </c>
      <c r="D2438" s="50" t="s">
        <v>1158</v>
      </c>
      <c r="E2438" s="50">
        <v>4928</v>
      </c>
    </row>
    <row r="2439" spans="1:5" ht="28.8" hidden="1" x14ac:dyDescent="0.3">
      <c r="A2439" s="50" t="s">
        <v>1157</v>
      </c>
      <c r="B2439" s="50" t="s">
        <v>1156</v>
      </c>
      <c r="D2439" s="51">
        <v>0</v>
      </c>
      <c r="E2439" s="50">
        <v>0</v>
      </c>
    </row>
    <row r="2440" spans="1:5" ht="28.8" hidden="1" x14ac:dyDescent="0.3">
      <c r="A2440" s="50" t="s">
        <v>1155</v>
      </c>
      <c r="B2440" s="50" t="s">
        <v>1154</v>
      </c>
      <c r="D2440" s="51">
        <v>0</v>
      </c>
      <c r="E2440" s="50">
        <v>0</v>
      </c>
    </row>
    <row r="2441" spans="1:5" ht="28.8" hidden="1" x14ac:dyDescent="0.3">
      <c r="A2441" s="50" t="s">
        <v>1153</v>
      </c>
      <c r="B2441" s="50" t="s">
        <v>1152</v>
      </c>
      <c r="D2441" s="51">
        <v>0</v>
      </c>
      <c r="E2441" s="50">
        <v>0</v>
      </c>
    </row>
    <row r="2442" spans="1:5" hidden="1" x14ac:dyDescent="0.3">
      <c r="A2442" s="50" t="s">
        <v>1151</v>
      </c>
      <c r="B2442" s="50" t="s">
        <v>1150</v>
      </c>
      <c r="D2442" s="51">
        <v>58.37</v>
      </c>
      <c r="E2442" s="50">
        <v>58.37</v>
      </c>
    </row>
    <row r="2443" spans="1:5" ht="28.8" hidden="1" x14ac:dyDescent="0.3">
      <c r="A2443" s="50" t="s">
        <v>434</v>
      </c>
      <c r="B2443" s="50" t="s">
        <v>435</v>
      </c>
      <c r="D2443" s="51">
        <v>7.2</v>
      </c>
      <c r="E2443" s="50">
        <v>6.96</v>
      </c>
    </row>
    <row r="2444" spans="1:5" hidden="1" x14ac:dyDescent="0.3">
      <c r="A2444" s="50" t="s">
        <v>1149</v>
      </c>
      <c r="B2444" s="50" t="s">
        <v>1148</v>
      </c>
      <c r="D2444" s="51">
        <v>18</v>
      </c>
      <c r="E2444" s="50">
        <v>27.69</v>
      </c>
    </row>
    <row r="2445" spans="1:5" ht="28.8" hidden="1" x14ac:dyDescent="0.3">
      <c r="A2445" s="50" t="s">
        <v>1147</v>
      </c>
      <c r="B2445" s="50" t="s">
        <v>1147</v>
      </c>
      <c r="D2445" s="51">
        <v>158</v>
      </c>
      <c r="E2445" s="50">
        <v>146.33000000000001</v>
      </c>
    </row>
    <row r="2446" spans="1:5" ht="43.2" hidden="1" x14ac:dyDescent="0.3">
      <c r="A2446" s="50" t="s">
        <v>1146</v>
      </c>
      <c r="B2446" s="50" t="s">
        <v>1146</v>
      </c>
      <c r="D2446" s="51">
        <v>66</v>
      </c>
      <c r="E2446" s="50">
        <v>53.48</v>
      </c>
    </row>
    <row r="2447" spans="1:5" hidden="1" x14ac:dyDescent="0.3">
      <c r="A2447" s="50" t="s">
        <v>230</v>
      </c>
      <c r="B2447" s="50" t="s">
        <v>231</v>
      </c>
      <c r="D2447" s="51">
        <v>42</v>
      </c>
      <c r="E2447" s="50">
        <v>42</v>
      </c>
    </row>
    <row r="2448" spans="1:5" hidden="1" x14ac:dyDescent="0.3">
      <c r="A2448" s="50" t="s">
        <v>232</v>
      </c>
      <c r="B2448" s="50" t="s">
        <v>233</v>
      </c>
      <c r="D2448" s="51">
        <v>11</v>
      </c>
      <c r="E2448" s="50">
        <v>11</v>
      </c>
    </row>
    <row r="2449" spans="1:5" ht="28.8" hidden="1" x14ac:dyDescent="0.3">
      <c r="A2449" s="50" t="s">
        <v>1145</v>
      </c>
      <c r="B2449" s="50" t="s">
        <v>1144</v>
      </c>
      <c r="D2449" s="50" t="s">
        <v>1143</v>
      </c>
      <c r="E2449" s="50">
        <v>5600</v>
      </c>
    </row>
    <row r="2450" spans="1:5" ht="28.8" hidden="1" x14ac:dyDescent="0.3">
      <c r="A2450" s="50" t="s">
        <v>438</v>
      </c>
      <c r="B2450" s="50" t="s">
        <v>439</v>
      </c>
      <c r="D2450" s="51">
        <v>5.22</v>
      </c>
      <c r="E2450" s="50">
        <v>5.22</v>
      </c>
    </row>
    <row r="2451" spans="1:5" ht="28.8" hidden="1" x14ac:dyDescent="0.3">
      <c r="A2451" s="50" t="s">
        <v>440</v>
      </c>
      <c r="B2451" s="50" t="s">
        <v>441</v>
      </c>
      <c r="D2451" s="51">
        <v>7.11</v>
      </c>
      <c r="E2451" s="50">
        <v>7.11</v>
      </c>
    </row>
    <row r="2452" spans="1:5" ht="28.8" hidden="1" x14ac:dyDescent="0.3">
      <c r="A2452" s="50" t="s">
        <v>1142</v>
      </c>
      <c r="B2452" s="50" t="s">
        <v>1141</v>
      </c>
      <c r="C2452" s="50" t="s">
        <v>14</v>
      </c>
      <c r="D2452" s="51">
        <v>0.3</v>
      </c>
      <c r="E2452" s="50">
        <v>0.3</v>
      </c>
    </row>
    <row r="2453" spans="1:5" ht="28.8" hidden="1" x14ac:dyDescent="0.3">
      <c r="A2453" s="50" t="s">
        <v>1140</v>
      </c>
      <c r="B2453" s="50" t="s">
        <v>1139</v>
      </c>
      <c r="C2453" s="50" t="s">
        <v>14</v>
      </c>
      <c r="D2453" s="51">
        <v>0.38</v>
      </c>
      <c r="E2453" s="50">
        <v>0.38</v>
      </c>
    </row>
    <row r="2454" spans="1:5" hidden="1" x14ac:dyDescent="0.3">
      <c r="A2454" s="50" t="s">
        <v>1138</v>
      </c>
      <c r="B2454" s="50" t="s">
        <v>1137</v>
      </c>
      <c r="D2454" s="51">
        <v>0</v>
      </c>
      <c r="E2454" s="50">
        <v>0</v>
      </c>
    </row>
    <row r="2455" spans="1:5" hidden="1" x14ac:dyDescent="0.3">
      <c r="A2455" s="50" t="s">
        <v>1136</v>
      </c>
      <c r="B2455" s="50" t="s">
        <v>1135</v>
      </c>
      <c r="D2455" s="51">
        <v>0</v>
      </c>
      <c r="E2455" s="50">
        <v>0</v>
      </c>
    </row>
    <row r="2456" spans="1:5" hidden="1" x14ac:dyDescent="0.3">
      <c r="A2456" s="50" t="s">
        <v>1134</v>
      </c>
      <c r="B2456" s="50" t="s">
        <v>1133</v>
      </c>
      <c r="D2456" s="51">
        <v>0</v>
      </c>
      <c r="E2456" s="50">
        <v>0</v>
      </c>
    </row>
    <row r="2457" spans="1:5" ht="28.8" hidden="1" x14ac:dyDescent="0.3">
      <c r="A2457" s="50" t="s">
        <v>1132</v>
      </c>
      <c r="B2457" s="50" t="s">
        <v>1131</v>
      </c>
      <c r="D2457" s="50" t="s">
        <v>1130</v>
      </c>
      <c r="E2457" s="50">
        <v>77000</v>
      </c>
    </row>
    <row r="2458" spans="1:5" ht="57.6" hidden="1" x14ac:dyDescent="0.3">
      <c r="A2458" s="50" t="s">
        <v>1129</v>
      </c>
      <c r="B2458" s="50" t="s">
        <v>1129</v>
      </c>
      <c r="D2458" s="51">
        <v>225.5</v>
      </c>
      <c r="E2458" s="50">
        <v>232.8</v>
      </c>
    </row>
    <row r="2459" spans="1:5" ht="43.2" hidden="1" x14ac:dyDescent="0.3">
      <c r="A2459" s="50" t="s">
        <v>1128</v>
      </c>
      <c r="B2459" s="50" t="s">
        <v>1128</v>
      </c>
      <c r="D2459" s="51">
        <v>8.57</v>
      </c>
      <c r="E2459" s="50">
        <v>8.57</v>
      </c>
    </row>
    <row r="2460" spans="1:5" ht="43.2" hidden="1" x14ac:dyDescent="0.3">
      <c r="A2460" s="50" t="s">
        <v>1127</v>
      </c>
      <c r="B2460" s="50" t="s">
        <v>1127</v>
      </c>
      <c r="D2460" s="51">
        <v>13.56</v>
      </c>
      <c r="E2460" s="50">
        <v>13.56</v>
      </c>
    </row>
    <row r="2461" spans="1:5" ht="43.2" hidden="1" x14ac:dyDescent="0.3">
      <c r="A2461" s="50" t="s">
        <v>1126</v>
      </c>
      <c r="B2461" s="50" t="s">
        <v>1126</v>
      </c>
      <c r="D2461" s="51">
        <v>81.489999999999995</v>
      </c>
      <c r="E2461" s="50">
        <v>81.489999999999995</v>
      </c>
    </row>
    <row r="2462" spans="1:5" ht="57.6" hidden="1" x14ac:dyDescent="0.3">
      <c r="A2462" s="50" t="s">
        <v>1125</v>
      </c>
      <c r="B2462" s="50" t="s">
        <v>1124</v>
      </c>
      <c r="D2462" s="50" t="s">
        <v>1123</v>
      </c>
      <c r="E2462" s="50">
        <v>30000</v>
      </c>
    </row>
    <row r="2463" spans="1:5" hidden="1" x14ac:dyDescent="0.3">
      <c r="A2463" s="50" t="s">
        <v>1122</v>
      </c>
      <c r="B2463" s="50" t="s">
        <v>1121</v>
      </c>
      <c r="D2463" s="51">
        <v>0</v>
      </c>
      <c r="E2463" s="50">
        <v>0</v>
      </c>
    </row>
    <row r="2464" spans="1:5" hidden="1" x14ac:dyDescent="0.3">
      <c r="A2464" s="50" t="s">
        <v>1120</v>
      </c>
      <c r="B2464" s="50" t="s">
        <v>1119</v>
      </c>
      <c r="D2464" s="50" t="s">
        <v>1118</v>
      </c>
      <c r="E2464" s="50">
        <v>1447.5</v>
      </c>
    </row>
    <row r="2465" spans="1:5" ht="28.8" hidden="1" x14ac:dyDescent="0.3">
      <c r="A2465" s="50" t="s">
        <v>1117</v>
      </c>
      <c r="B2465" s="50" t="s">
        <v>1116</v>
      </c>
      <c r="D2465" s="51">
        <v>0</v>
      </c>
      <c r="E2465" s="50">
        <v>0</v>
      </c>
    </row>
    <row r="2466" spans="1:5" ht="28.8" hidden="1" x14ac:dyDescent="0.3">
      <c r="A2466" s="50" t="s">
        <v>1115</v>
      </c>
      <c r="B2466" s="50" t="s">
        <v>1114</v>
      </c>
      <c r="D2466" s="51">
        <v>0</v>
      </c>
      <c r="E2466" s="50">
        <v>0</v>
      </c>
    </row>
    <row r="2467" spans="1:5" hidden="1" x14ac:dyDescent="0.3">
      <c r="A2467" s="50" t="s">
        <v>1113</v>
      </c>
      <c r="B2467" s="50" t="s">
        <v>1112</v>
      </c>
      <c r="D2467" s="51">
        <v>0</v>
      </c>
      <c r="E2467" s="50">
        <v>0</v>
      </c>
    </row>
    <row r="2468" spans="1:5" hidden="1" x14ac:dyDescent="0.3">
      <c r="A2468" s="50" t="s">
        <v>1111</v>
      </c>
      <c r="B2468" s="50" t="s">
        <v>1110</v>
      </c>
      <c r="D2468" s="50" t="s">
        <v>1109</v>
      </c>
      <c r="E2468" s="50">
        <v>537.5</v>
      </c>
    </row>
    <row r="2469" spans="1:5" hidden="1" x14ac:dyDescent="0.3">
      <c r="A2469" s="50" t="s">
        <v>1108</v>
      </c>
      <c r="B2469" s="50" t="s">
        <v>1107</v>
      </c>
      <c r="D2469" s="51">
        <v>0</v>
      </c>
      <c r="E2469" s="50">
        <v>0</v>
      </c>
    </row>
    <row r="2470" spans="1:5" hidden="1" x14ac:dyDescent="0.3">
      <c r="A2470" s="50" t="s">
        <v>1106</v>
      </c>
      <c r="B2470" s="50" t="s">
        <v>1105</v>
      </c>
      <c r="D2470" s="50" t="s">
        <v>1104</v>
      </c>
      <c r="E2470" s="50">
        <v>2965.69</v>
      </c>
    </row>
    <row r="2471" spans="1:5" ht="28.8" hidden="1" x14ac:dyDescent="0.3">
      <c r="A2471" s="50" t="s">
        <v>1103</v>
      </c>
      <c r="B2471" s="50" t="s">
        <v>1102</v>
      </c>
      <c r="D2471" s="50" t="s">
        <v>1101</v>
      </c>
      <c r="E2471" s="50">
        <v>3808.9</v>
      </c>
    </row>
    <row r="2472" spans="1:5" hidden="1" x14ac:dyDescent="0.3">
      <c r="A2472" s="50" t="s">
        <v>1100</v>
      </c>
      <c r="B2472" s="50" t="s">
        <v>1099</v>
      </c>
      <c r="D2472" s="51">
        <v>0</v>
      </c>
      <c r="E2472" s="50">
        <v>0</v>
      </c>
    </row>
    <row r="2473" spans="1:5" hidden="1" x14ac:dyDescent="0.3">
      <c r="A2473" s="50" t="s">
        <v>442</v>
      </c>
      <c r="B2473" s="50" t="s">
        <v>443</v>
      </c>
      <c r="D2473" s="51">
        <v>243.48</v>
      </c>
      <c r="E2473" s="50">
        <v>243.48</v>
      </c>
    </row>
    <row r="2474" spans="1:5" ht="43.2" hidden="1" x14ac:dyDescent="0.3">
      <c r="A2474" s="50" t="s">
        <v>1098</v>
      </c>
      <c r="B2474" s="50" t="s">
        <v>1097</v>
      </c>
      <c r="D2474" s="50" t="s">
        <v>1096</v>
      </c>
      <c r="E2474" s="50">
        <v>64014.720000000001</v>
      </c>
    </row>
    <row r="2475" spans="1:5" ht="28.8" hidden="1" x14ac:dyDescent="0.3">
      <c r="A2475" s="50" t="s">
        <v>1095</v>
      </c>
      <c r="B2475" s="50" t="s">
        <v>1094</v>
      </c>
      <c r="D2475" s="50" t="s">
        <v>1093</v>
      </c>
      <c r="E2475" s="50">
        <v>7907</v>
      </c>
    </row>
    <row r="2476" spans="1:5" hidden="1" x14ac:dyDescent="0.3">
      <c r="A2476" s="50" t="s">
        <v>1092</v>
      </c>
      <c r="B2476" s="50" t="s">
        <v>1091</v>
      </c>
      <c r="C2476" s="50" t="s">
        <v>496</v>
      </c>
      <c r="D2476" s="51">
        <v>460.87</v>
      </c>
      <c r="E2476" s="50">
        <v>460.87</v>
      </c>
    </row>
    <row r="2477" spans="1:5" hidden="1" x14ac:dyDescent="0.3">
      <c r="A2477" s="50" t="s">
        <v>1090</v>
      </c>
      <c r="B2477" s="50" t="s">
        <v>1089</v>
      </c>
      <c r="C2477" s="50" t="s">
        <v>496</v>
      </c>
      <c r="D2477" s="51">
        <v>516.49</v>
      </c>
      <c r="E2477" s="50">
        <v>516.49</v>
      </c>
    </row>
    <row r="2478" spans="1:5" hidden="1" x14ac:dyDescent="0.3">
      <c r="A2478" s="50" t="s">
        <v>1088</v>
      </c>
      <c r="B2478" s="50" t="s">
        <v>1087</v>
      </c>
      <c r="C2478" s="50" t="s">
        <v>496</v>
      </c>
      <c r="D2478" s="51">
        <v>517.79</v>
      </c>
      <c r="E2478" s="50">
        <v>517.79</v>
      </c>
    </row>
    <row r="2479" spans="1:5" hidden="1" x14ac:dyDescent="0.3">
      <c r="A2479" s="50" t="s">
        <v>1086</v>
      </c>
      <c r="B2479" s="50" t="s">
        <v>1085</v>
      </c>
      <c r="C2479" s="50" t="s">
        <v>496</v>
      </c>
      <c r="D2479" s="51">
        <v>0</v>
      </c>
      <c r="E2479" s="50">
        <v>0</v>
      </c>
    </row>
    <row r="2480" spans="1:5" hidden="1" x14ac:dyDescent="0.3">
      <c r="A2480" s="50" t="s">
        <v>1084</v>
      </c>
      <c r="B2480" s="50" t="s">
        <v>1083</v>
      </c>
      <c r="C2480" s="50" t="s">
        <v>496</v>
      </c>
      <c r="D2480" s="51">
        <v>706.07</v>
      </c>
      <c r="E2480" s="50">
        <v>706.07</v>
      </c>
    </row>
    <row r="2481" spans="1:5" hidden="1" x14ac:dyDescent="0.3">
      <c r="A2481" s="50" t="s">
        <v>1082</v>
      </c>
      <c r="B2481" s="50" t="s">
        <v>1081</v>
      </c>
      <c r="C2481" s="50" t="s">
        <v>496</v>
      </c>
      <c r="D2481" s="51">
        <v>776.68</v>
      </c>
      <c r="E2481" s="50">
        <v>776.68</v>
      </c>
    </row>
    <row r="2482" spans="1:5" hidden="1" x14ac:dyDescent="0.3">
      <c r="A2482" s="50" t="s">
        <v>1080</v>
      </c>
      <c r="B2482" s="50" t="s">
        <v>1079</v>
      </c>
      <c r="C2482" s="50" t="s">
        <v>496</v>
      </c>
      <c r="D2482" s="51">
        <v>941.43</v>
      </c>
      <c r="E2482" s="50">
        <v>941.43</v>
      </c>
    </row>
    <row r="2483" spans="1:5" hidden="1" x14ac:dyDescent="0.3">
      <c r="A2483" s="50" t="s">
        <v>1078</v>
      </c>
      <c r="B2483" s="50" t="s">
        <v>1077</v>
      </c>
      <c r="C2483" s="50" t="s">
        <v>496</v>
      </c>
      <c r="D2483" s="50" t="s">
        <v>1076</v>
      </c>
      <c r="E2483" s="50">
        <v>1684.24</v>
      </c>
    </row>
    <row r="2484" spans="1:5" hidden="1" x14ac:dyDescent="0.3">
      <c r="A2484" s="50" t="s">
        <v>1075</v>
      </c>
      <c r="B2484" s="50" t="s">
        <v>1074</v>
      </c>
      <c r="D2484" s="51">
        <v>0</v>
      </c>
      <c r="E2484" s="50">
        <v>0</v>
      </c>
    </row>
    <row r="2485" spans="1:5" hidden="1" x14ac:dyDescent="0.3">
      <c r="A2485" s="50" t="s">
        <v>1073</v>
      </c>
      <c r="B2485" s="50" t="s">
        <v>1072</v>
      </c>
      <c r="D2485" s="51">
        <v>0</v>
      </c>
      <c r="E2485" s="50">
        <v>0</v>
      </c>
    </row>
    <row r="2486" spans="1:5" hidden="1" x14ac:dyDescent="0.3">
      <c r="A2486" s="50" t="s">
        <v>1071</v>
      </c>
      <c r="B2486" s="50" t="s">
        <v>1070</v>
      </c>
      <c r="C2486" s="50" t="s">
        <v>496</v>
      </c>
      <c r="D2486" s="50" t="s">
        <v>1069</v>
      </c>
      <c r="E2486" s="50">
        <v>10123.17</v>
      </c>
    </row>
    <row r="2487" spans="1:5" hidden="1" x14ac:dyDescent="0.3">
      <c r="A2487" s="50" t="s">
        <v>1068</v>
      </c>
      <c r="B2487" s="50" t="s">
        <v>1067</v>
      </c>
      <c r="C2487" s="50" t="s">
        <v>496</v>
      </c>
      <c r="D2487" s="51">
        <v>0</v>
      </c>
      <c r="E2487" s="50">
        <v>0</v>
      </c>
    </row>
    <row r="2488" spans="1:5" hidden="1" x14ac:dyDescent="0.3">
      <c r="A2488" s="50" t="s">
        <v>1066</v>
      </c>
      <c r="B2488" s="50" t="s">
        <v>1065</v>
      </c>
      <c r="C2488" s="50" t="s">
        <v>496</v>
      </c>
      <c r="D2488" s="51">
        <v>0</v>
      </c>
      <c r="E2488" s="50">
        <v>0</v>
      </c>
    </row>
    <row r="2489" spans="1:5" hidden="1" x14ac:dyDescent="0.3">
      <c r="A2489" s="50" t="s">
        <v>1064</v>
      </c>
      <c r="B2489" s="50" t="s">
        <v>1063</v>
      </c>
      <c r="C2489" s="50" t="s">
        <v>496</v>
      </c>
      <c r="D2489" s="51">
        <v>0</v>
      </c>
      <c r="E2489" s="50">
        <v>0</v>
      </c>
    </row>
    <row r="2490" spans="1:5" hidden="1" x14ac:dyDescent="0.3">
      <c r="A2490" s="50" t="s">
        <v>1062</v>
      </c>
      <c r="B2490" s="50" t="s">
        <v>1061</v>
      </c>
      <c r="C2490" s="50" t="s">
        <v>496</v>
      </c>
      <c r="D2490" s="50" t="s">
        <v>1060</v>
      </c>
      <c r="E2490" s="50">
        <v>989.28</v>
      </c>
    </row>
    <row r="2491" spans="1:5" hidden="1" x14ac:dyDescent="0.3">
      <c r="A2491" s="50" t="s">
        <v>1059</v>
      </c>
      <c r="B2491" s="50" t="s">
        <v>1058</v>
      </c>
      <c r="C2491" s="50" t="s">
        <v>496</v>
      </c>
      <c r="D2491" s="51">
        <v>0</v>
      </c>
      <c r="E2491" s="50">
        <v>0</v>
      </c>
    </row>
    <row r="2492" spans="1:5" hidden="1" x14ac:dyDescent="0.3">
      <c r="A2492" s="50" t="s">
        <v>1057</v>
      </c>
      <c r="B2492" s="50" t="s">
        <v>1056</v>
      </c>
      <c r="C2492" s="50" t="s">
        <v>496</v>
      </c>
      <c r="D2492" s="50" t="s">
        <v>1055</v>
      </c>
      <c r="E2492" s="50">
        <v>3603.38</v>
      </c>
    </row>
    <row r="2493" spans="1:5" hidden="1" x14ac:dyDescent="0.3">
      <c r="A2493" s="50" t="s">
        <v>1054</v>
      </c>
      <c r="B2493" s="50" t="s">
        <v>1053</v>
      </c>
      <c r="C2493" s="50" t="s">
        <v>496</v>
      </c>
      <c r="D2493" s="50" t="s">
        <v>1052</v>
      </c>
      <c r="E2493" s="50">
        <v>4569.8599999999997</v>
      </c>
    </row>
    <row r="2494" spans="1:5" hidden="1" x14ac:dyDescent="0.3">
      <c r="A2494" s="50" t="s">
        <v>1051</v>
      </c>
      <c r="B2494" s="50" t="s">
        <v>1050</v>
      </c>
      <c r="C2494" s="50" t="s">
        <v>496</v>
      </c>
      <c r="D2494" s="51">
        <v>0</v>
      </c>
      <c r="E2494" s="50">
        <v>0</v>
      </c>
    </row>
    <row r="2495" spans="1:5" hidden="1" x14ac:dyDescent="0.3">
      <c r="A2495" s="50" t="s">
        <v>1049</v>
      </c>
      <c r="B2495" s="50" t="s">
        <v>1048</v>
      </c>
      <c r="D2495" s="51">
        <v>0</v>
      </c>
      <c r="E2495" s="50">
        <v>0</v>
      </c>
    </row>
    <row r="2496" spans="1:5" ht="28.8" hidden="1" x14ac:dyDescent="0.3">
      <c r="A2496" s="50" t="s">
        <v>1047</v>
      </c>
      <c r="B2496" s="50" t="s">
        <v>1046</v>
      </c>
      <c r="D2496" s="51">
        <v>0</v>
      </c>
      <c r="E2496" s="50">
        <v>0</v>
      </c>
    </row>
    <row r="2497" spans="1:5" hidden="1" x14ac:dyDescent="0.3">
      <c r="A2497" s="50" t="s">
        <v>1045</v>
      </c>
      <c r="B2497" s="50" t="s">
        <v>1045</v>
      </c>
      <c r="D2497" s="50" t="s">
        <v>1044</v>
      </c>
      <c r="E2497" s="50">
        <v>41680</v>
      </c>
    </row>
    <row r="2498" spans="1:5" ht="43.2" hidden="1" x14ac:dyDescent="0.3">
      <c r="A2498" s="50" t="s">
        <v>1043</v>
      </c>
      <c r="B2498" s="50" t="s">
        <v>1042</v>
      </c>
      <c r="D2498" s="51">
        <v>550</v>
      </c>
      <c r="E2498" s="50">
        <v>550</v>
      </c>
    </row>
    <row r="2499" spans="1:5" hidden="1" x14ac:dyDescent="0.3">
      <c r="A2499" s="50" t="s">
        <v>1041</v>
      </c>
      <c r="B2499" s="50" t="s">
        <v>1040</v>
      </c>
      <c r="D2499" s="51">
        <v>0</v>
      </c>
      <c r="E2499" s="50">
        <v>0</v>
      </c>
    </row>
    <row r="2500" spans="1:5" hidden="1" x14ac:dyDescent="0.3">
      <c r="A2500" s="50" t="s">
        <v>1039</v>
      </c>
      <c r="B2500" s="50" t="s">
        <v>1038</v>
      </c>
      <c r="D2500" s="50" t="s">
        <v>1037</v>
      </c>
      <c r="E2500" s="50">
        <v>2431.5</v>
      </c>
    </row>
    <row r="2501" spans="1:5" hidden="1" x14ac:dyDescent="0.3">
      <c r="A2501" s="50" t="s">
        <v>1036</v>
      </c>
      <c r="B2501" s="50" t="s">
        <v>1035</v>
      </c>
      <c r="D2501" s="50" t="s">
        <v>1034</v>
      </c>
      <c r="E2501" s="50">
        <v>2193</v>
      </c>
    </row>
    <row r="2502" spans="1:5" ht="28.8" hidden="1" x14ac:dyDescent="0.3">
      <c r="A2502" s="50" t="s">
        <v>1033</v>
      </c>
      <c r="B2502" s="50" t="s">
        <v>1032</v>
      </c>
      <c r="D2502" s="50" t="s">
        <v>1031</v>
      </c>
      <c r="E2502" s="50">
        <v>1050</v>
      </c>
    </row>
    <row r="2503" spans="1:5" hidden="1" x14ac:dyDescent="0.3">
      <c r="A2503" s="50" t="s">
        <v>1030</v>
      </c>
      <c r="B2503" s="50" t="s">
        <v>1029</v>
      </c>
      <c r="D2503" s="51">
        <v>0</v>
      </c>
      <c r="E2503" s="50">
        <v>0</v>
      </c>
    </row>
    <row r="2504" spans="1:5" hidden="1" x14ac:dyDescent="0.3">
      <c r="A2504" s="50" t="s">
        <v>1028</v>
      </c>
      <c r="B2504" s="50" t="s">
        <v>1027</v>
      </c>
      <c r="D2504" s="51">
        <v>0</v>
      </c>
      <c r="E2504" s="50">
        <v>0</v>
      </c>
    </row>
    <row r="2505" spans="1:5" hidden="1" x14ac:dyDescent="0.3">
      <c r="A2505" s="50" t="s">
        <v>1026</v>
      </c>
      <c r="B2505" s="50" t="s">
        <v>445</v>
      </c>
      <c r="D2505" s="51">
        <v>0.63</v>
      </c>
      <c r="E2505" s="50">
        <v>0.63</v>
      </c>
    </row>
    <row r="2506" spans="1:5" hidden="1" x14ac:dyDescent="0.3">
      <c r="A2506" s="50" t="s">
        <v>1025</v>
      </c>
      <c r="B2506" s="50" t="s">
        <v>447</v>
      </c>
      <c r="D2506" s="51">
        <v>0.69</v>
      </c>
      <c r="E2506" s="50">
        <v>0.7</v>
      </c>
    </row>
    <row r="2507" spans="1:5" hidden="1" x14ac:dyDescent="0.3">
      <c r="A2507" s="50" t="s">
        <v>1024</v>
      </c>
      <c r="B2507" s="50" t="s">
        <v>449</v>
      </c>
      <c r="D2507" s="51">
        <v>0.91</v>
      </c>
      <c r="E2507" s="50">
        <v>0.91</v>
      </c>
    </row>
    <row r="2508" spans="1:5" ht="28.8" hidden="1" x14ac:dyDescent="0.3">
      <c r="A2508" s="50" t="s">
        <v>1023</v>
      </c>
      <c r="B2508" s="50" t="s">
        <v>1022</v>
      </c>
      <c r="D2508" s="51">
        <v>99.25</v>
      </c>
      <c r="E2508" s="50">
        <v>99.25</v>
      </c>
    </row>
    <row r="2509" spans="1:5" ht="28.8" hidden="1" x14ac:dyDescent="0.3">
      <c r="A2509" s="50" t="s">
        <v>1021</v>
      </c>
      <c r="B2509" s="50" t="s">
        <v>1020</v>
      </c>
      <c r="D2509" s="51">
        <v>129.4</v>
      </c>
      <c r="E2509" s="50">
        <v>129.4</v>
      </c>
    </row>
    <row r="2510" spans="1:5" ht="28.8" hidden="1" x14ac:dyDescent="0.3">
      <c r="A2510" s="50" t="s">
        <v>1019</v>
      </c>
      <c r="B2510" s="50" t="s">
        <v>1018</v>
      </c>
      <c r="D2510" s="51">
        <v>151.63</v>
      </c>
      <c r="E2510" s="50">
        <v>151.63</v>
      </c>
    </row>
    <row r="2511" spans="1:5" ht="28.8" hidden="1" x14ac:dyDescent="0.3">
      <c r="A2511" s="50" t="s">
        <v>1017</v>
      </c>
      <c r="B2511" s="50" t="s">
        <v>1016</v>
      </c>
      <c r="D2511" s="51">
        <v>0</v>
      </c>
      <c r="E2511" s="50">
        <v>0</v>
      </c>
    </row>
    <row r="2512" spans="1:5" hidden="1" x14ac:dyDescent="0.3">
      <c r="A2512" s="50" t="s">
        <v>1015</v>
      </c>
      <c r="B2512" s="50" t="s">
        <v>1014</v>
      </c>
      <c r="D2512" s="50" t="s">
        <v>1013</v>
      </c>
      <c r="E2512" s="50">
        <v>4464</v>
      </c>
    </row>
    <row r="2513" spans="1:5" ht="28.8" hidden="1" x14ac:dyDescent="0.3">
      <c r="A2513" s="50" t="s">
        <v>1012</v>
      </c>
      <c r="B2513" s="50" t="s">
        <v>1011</v>
      </c>
      <c r="C2513" s="50" t="s">
        <v>1010</v>
      </c>
      <c r="D2513" s="50" t="s">
        <v>1009</v>
      </c>
      <c r="E2513" s="50">
        <v>1930</v>
      </c>
    </row>
    <row r="2514" spans="1:5" hidden="1" x14ac:dyDescent="0.3">
      <c r="A2514" s="50" t="s">
        <v>1008</v>
      </c>
      <c r="B2514" s="50" t="s">
        <v>1007</v>
      </c>
      <c r="D2514" s="51">
        <v>202.45</v>
      </c>
      <c r="E2514" s="50">
        <v>202.45</v>
      </c>
    </row>
    <row r="2515" spans="1:5" ht="28.8" hidden="1" x14ac:dyDescent="0.3">
      <c r="A2515" s="50" t="s">
        <v>1006</v>
      </c>
      <c r="B2515" s="50" t="s">
        <v>1005</v>
      </c>
      <c r="C2515" s="50" t="s">
        <v>14</v>
      </c>
      <c r="D2515" s="51">
        <v>0.7</v>
      </c>
      <c r="E2515" s="50">
        <v>0.7</v>
      </c>
    </row>
    <row r="2516" spans="1:5" hidden="1" x14ac:dyDescent="0.3">
      <c r="A2516" s="50" t="s">
        <v>1004</v>
      </c>
      <c r="B2516" s="50" t="s">
        <v>1003</v>
      </c>
      <c r="D2516" s="51">
        <v>0</v>
      </c>
      <c r="E2516" s="50">
        <v>0</v>
      </c>
    </row>
    <row r="2517" spans="1:5" hidden="1" x14ac:dyDescent="0.3">
      <c r="A2517" s="50" t="s">
        <v>1002</v>
      </c>
      <c r="B2517" s="50" t="s">
        <v>1001</v>
      </c>
      <c r="D2517" s="51">
        <v>0</v>
      </c>
      <c r="E2517" s="50">
        <v>0</v>
      </c>
    </row>
    <row r="2518" spans="1:5" ht="28.8" hidden="1" x14ac:dyDescent="0.3">
      <c r="A2518" s="50" t="s">
        <v>1000</v>
      </c>
      <c r="B2518" s="50" t="s">
        <v>999</v>
      </c>
      <c r="D2518" s="51">
        <v>0</v>
      </c>
      <c r="E2518" s="50">
        <v>0</v>
      </c>
    </row>
    <row r="2519" spans="1:5" ht="28.8" hidden="1" x14ac:dyDescent="0.3">
      <c r="A2519" s="50" t="s">
        <v>998</v>
      </c>
      <c r="B2519" s="50" t="s">
        <v>997</v>
      </c>
      <c r="D2519" s="51">
        <v>0</v>
      </c>
      <c r="E2519" s="50">
        <v>0</v>
      </c>
    </row>
    <row r="2520" spans="1:5" ht="28.8" hidden="1" x14ac:dyDescent="0.3">
      <c r="A2520" s="50" t="s">
        <v>996</v>
      </c>
      <c r="B2520" s="50" t="s">
        <v>995</v>
      </c>
      <c r="D2520" s="51">
        <v>0</v>
      </c>
      <c r="E2520" s="50">
        <v>0</v>
      </c>
    </row>
    <row r="2521" spans="1:5" ht="28.8" hidden="1" x14ac:dyDescent="0.3">
      <c r="A2521" s="50" t="s">
        <v>994</v>
      </c>
      <c r="B2521" s="50" t="s">
        <v>992</v>
      </c>
      <c r="D2521" s="51">
        <v>0</v>
      </c>
      <c r="E2521" s="50">
        <v>0</v>
      </c>
    </row>
    <row r="2522" spans="1:5" ht="28.8" hidden="1" x14ac:dyDescent="0.3">
      <c r="A2522" s="50" t="s">
        <v>993</v>
      </c>
      <c r="B2522" s="50" t="s">
        <v>992</v>
      </c>
      <c r="D2522" s="51">
        <v>0</v>
      </c>
      <c r="E2522" s="50">
        <v>0</v>
      </c>
    </row>
    <row r="2523" spans="1:5" hidden="1" x14ac:dyDescent="0.3">
      <c r="A2523" s="50" t="s">
        <v>991</v>
      </c>
      <c r="B2523" s="50" t="s">
        <v>990</v>
      </c>
      <c r="D2523" s="51">
        <v>0</v>
      </c>
      <c r="E2523" s="50">
        <v>0</v>
      </c>
    </row>
    <row r="2524" spans="1:5" ht="28.8" hidden="1" x14ac:dyDescent="0.3">
      <c r="A2524" s="50" t="s">
        <v>989</v>
      </c>
      <c r="B2524" s="50" t="s">
        <v>988</v>
      </c>
      <c r="D2524" s="51">
        <v>0</v>
      </c>
      <c r="E2524" s="50">
        <v>0</v>
      </c>
    </row>
    <row r="2525" spans="1:5" ht="28.8" hidden="1" x14ac:dyDescent="0.3">
      <c r="A2525" s="50" t="s">
        <v>987</v>
      </c>
      <c r="B2525" s="50" t="s">
        <v>986</v>
      </c>
      <c r="D2525" s="51">
        <v>0</v>
      </c>
      <c r="E2525" s="50">
        <v>0</v>
      </c>
    </row>
    <row r="2526" spans="1:5" hidden="1" x14ac:dyDescent="0.3">
      <c r="A2526" s="50" t="s">
        <v>985</v>
      </c>
      <c r="B2526" s="50" t="s">
        <v>984</v>
      </c>
      <c r="D2526" s="51">
        <v>0</v>
      </c>
      <c r="E2526" s="50">
        <v>0</v>
      </c>
    </row>
    <row r="2527" spans="1:5" hidden="1" x14ac:dyDescent="0.3">
      <c r="A2527" s="50" t="s">
        <v>983</v>
      </c>
      <c r="B2527" s="50" t="s">
        <v>982</v>
      </c>
      <c r="D2527" s="50" t="s">
        <v>981</v>
      </c>
      <c r="E2527" s="50">
        <v>1051</v>
      </c>
    </row>
    <row r="2528" spans="1:5" hidden="1" x14ac:dyDescent="0.3">
      <c r="A2528" s="50" t="s">
        <v>980</v>
      </c>
      <c r="B2528" s="50" t="s">
        <v>979</v>
      </c>
      <c r="D2528" s="51">
        <v>0</v>
      </c>
      <c r="E2528" s="50">
        <v>0</v>
      </c>
    </row>
    <row r="2529" spans="1:5" hidden="1" x14ac:dyDescent="0.3">
      <c r="A2529" s="50" t="s">
        <v>978</v>
      </c>
      <c r="B2529" s="50" t="s">
        <v>977</v>
      </c>
      <c r="C2529" s="50" t="s">
        <v>496</v>
      </c>
      <c r="D2529" s="51">
        <v>0</v>
      </c>
      <c r="E2529" s="50">
        <v>0</v>
      </c>
    </row>
    <row r="2530" spans="1:5" hidden="1" x14ac:dyDescent="0.3">
      <c r="A2530" s="50" t="s">
        <v>976</v>
      </c>
      <c r="B2530" s="50" t="s">
        <v>975</v>
      </c>
      <c r="C2530" s="50" t="s">
        <v>496</v>
      </c>
      <c r="D2530" s="51">
        <v>0</v>
      </c>
      <c r="E2530" s="50">
        <v>0</v>
      </c>
    </row>
    <row r="2531" spans="1:5" hidden="1" x14ac:dyDescent="0.3">
      <c r="A2531" s="50" t="s">
        <v>974</v>
      </c>
      <c r="B2531" s="50" t="s">
        <v>973</v>
      </c>
      <c r="C2531" s="50" t="s">
        <v>496</v>
      </c>
      <c r="D2531" s="51">
        <v>0</v>
      </c>
      <c r="E2531" s="50">
        <v>0</v>
      </c>
    </row>
    <row r="2532" spans="1:5" hidden="1" x14ac:dyDescent="0.3">
      <c r="A2532" s="50" t="s">
        <v>972</v>
      </c>
      <c r="B2532" s="50" t="s">
        <v>971</v>
      </c>
      <c r="C2532" s="50" t="s">
        <v>496</v>
      </c>
      <c r="D2532" s="51">
        <v>0</v>
      </c>
      <c r="E2532" s="50">
        <v>0</v>
      </c>
    </row>
    <row r="2533" spans="1:5" hidden="1" x14ac:dyDescent="0.3">
      <c r="A2533" s="50" t="s">
        <v>970</v>
      </c>
      <c r="B2533" s="50" t="s">
        <v>969</v>
      </c>
      <c r="C2533" s="50" t="s">
        <v>496</v>
      </c>
      <c r="D2533" s="51">
        <v>0</v>
      </c>
      <c r="E2533" s="50">
        <v>0</v>
      </c>
    </row>
    <row r="2534" spans="1:5" hidden="1" x14ac:dyDescent="0.3">
      <c r="A2534" s="50" t="s">
        <v>968</v>
      </c>
      <c r="B2534" s="50" t="s">
        <v>967</v>
      </c>
      <c r="C2534" s="50" t="s">
        <v>496</v>
      </c>
      <c r="D2534" s="51">
        <v>0</v>
      </c>
      <c r="E2534" s="50">
        <v>0</v>
      </c>
    </row>
    <row r="2535" spans="1:5" hidden="1" x14ac:dyDescent="0.3">
      <c r="A2535" s="50" t="s">
        <v>966</v>
      </c>
      <c r="B2535" s="50" t="s">
        <v>965</v>
      </c>
      <c r="C2535" s="50" t="s">
        <v>496</v>
      </c>
      <c r="D2535" s="51">
        <v>0</v>
      </c>
      <c r="E2535" s="50">
        <v>0</v>
      </c>
    </row>
    <row r="2536" spans="1:5" hidden="1" x14ac:dyDescent="0.3">
      <c r="A2536" s="50" t="s">
        <v>964</v>
      </c>
      <c r="B2536" s="50" t="s">
        <v>963</v>
      </c>
      <c r="C2536" s="50" t="s">
        <v>496</v>
      </c>
      <c r="D2536" s="51">
        <v>0</v>
      </c>
      <c r="E2536" s="50">
        <v>0</v>
      </c>
    </row>
    <row r="2537" spans="1:5" hidden="1" x14ac:dyDescent="0.3">
      <c r="A2537" s="50" t="s">
        <v>962</v>
      </c>
      <c r="B2537" s="50" t="s">
        <v>961</v>
      </c>
      <c r="C2537" s="50" t="s">
        <v>496</v>
      </c>
      <c r="D2537" s="51">
        <v>0</v>
      </c>
      <c r="E2537" s="50">
        <v>0</v>
      </c>
    </row>
    <row r="2538" spans="1:5" ht="28.8" hidden="1" x14ac:dyDescent="0.3">
      <c r="A2538" s="50" t="s">
        <v>450</v>
      </c>
      <c r="B2538" s="50" t="s">
        <v>451</v>
      </c>
      <c r="D2538" s="51">
        <v>1.69</v>
      </c>
      <c r="E2538" s="50">
        <v>1.69</v>
      </c>
    </row>
    <row r="2539" spans="1:5" ht="28.8" hidden="1" x14ac:dyDescent="0.3">
      <c r="A2539" s="50" t="s">
        <v>960</v>
      </c>
      <c r="B2539" s="50" t="s">
        <v>959</v>
      </c>
      <c r="C2539" s="50" t="s">
        <v>533</v>
      </c>
      <c r="D2539" s="51">
        <v>0</v>
      </c>
      <c r="E2539" s="50">
        <v>0</v>
      </c>
    </row>
    <row r="2540" spans="1:5" ht="28.8" hidden="1" x14ac:dyDescent="0.3">
      <c r="A2540" s="50" t="s">
        <v>958</v>
      </c>
      <c r="B2540" s="50" t="s">
        <v>957</v>
      </c>
      <c r="C2540" s="50" t="s">
        <v>846</v>
      </c>
      <c r="D2540" s="51">
        <v>0</v>
      </c>
      <c r="E2540" s="50">
        <v>0</v>
      </c>
    </row>
    <row r="2541" spans="1:5" ht="28.8" hidden="1" x14ac:dyDescent="0.3">
      <c r="A2541" s="50" t="s">
        <v>956</v>
      </c>
      <c r="B2541" s="50" t="s">
        <v>955</v>
      </c>
      <c r="C2541" s="50" t="s">
        <v>846</v>
      </c>
      <c r="D2541" s="51">
        <v>0</v>
      </c>
      <c r="E2541" s="50">
        <v>0</v>
      </c>
    </row>
    <row r="2542" spans="1:5" ht="28.8" hidden="1" x14ac:dyDescent="0.3">
      <c r="A2542" s="50" t="s">
        <v>954</v>
      </c>
      <c r="B2542" s="50" t="s">
        <v>953</v>
      </c>
      <c r="C2542" s="50" t="s">
        <v>846</v>
      </c>
      <c r="D2542" s="51">
        <v>0</v>
      </c>
      <c r="E2542" s="50">
        <v>0</v>
      </c>
    </row>
    <row r="2543" spans="1:5" ht="28.8" hidden="1" x14ac:dyDescent="0.3">
      <c r="A2543" s="50" t="s">
        <v>952</v>
      </c>
      <c r="B2543" s="50" t="s">
        <v>951</v>
      </c>
      <c r="C2543" s="50" t="s">
        <v>846</v>
      </c>
      <c r="D2543" s="51">
        <v>0</v>
      </c>
      <c r="E2543" s="50">
        <v>0</v>
      </c>
    </row>
    <row r="2544" spans="1:5" ht="28.8" hidden="1" x14ac:dyDescent="0.3">
      <c r="A2544" s="50" t="s">
        <v>950</v>
      </c>
      <c r="B2544" s="50" t="s">
        <v>949</v>
      </c>
      <c r="C2544" s="50" t="s">
        <v>846</v>
      </c>
      <c r="D2544" s="51">
        <v>0</v>
      </c>
      <c r="E2544" s="50">
        <v>0</v>
      </c>
    </row>
    <row r="2545" spans="1:5" ht="28.8" hidden="1" x14ac:dyDescent="0.3">
      <c r="A2545" s="50" t="s">
        <v>948</v>
      </c>
      <c r="B2545" s="50" t="s">
        <v>947</v>
      </c>
      <c r="C2545" s="50" t="s">
        <v>846</v>
      </c>
      <c r="D2545" s="51">
        <v>0</v>
      </c>
      <c r="E2545" s="50">
        <v>0</v>
      </c>
    </row>
    <row r="2546" spans="1:5" ht="28.8" hidden="1" x14ac:dyDescent="0.3">
      <c r="A2546" s="50" t="s">
        <v>946</v>
      </c>
      <c r="B2546" s="50" t="s">
        <v>945</v>
      </c>
      <c r="C2546" s="50" t="s">
        <v>846</v>
      </c>
      <c r="D2546" s="51">
        <v>0</v>
      </c>
      <c r="E2546" s="50">
        <v>0</v>
      </c>
    </row>
    <row r="2547" spans="1:5" ht="28.8" hidden="1" x14ac:dyDescent="0.3">
      <c r="A2547" s="50" t="s">
        <v>944</v>
      </c>
      <c r="B2547" s="50" t="s">
        <v>943</v>
      </c>
      <c r="C2547" s="50" t="s">
        <v>846</v>
      </c>
      <c r="D2547" s="51">
        <v>0</v>
      </c>
      <c r="E2547" s="50">
        <v>0</v>
      </c>
    </row>
    <row r="2548" spans="1:5" ht="28.8" hidden="1" x14ac:dyDescent="0.3">
      <c r="A2548" s="50" t="s">
        <v>942</v>
      </c>
      <c r="B2548" s="50" t="s">
        <v>941</v>
      </c>
      <c r="C2548" s="50" t="s">
        <v>846</v>
      </c>
      <c r="D2548" s="51">
        <v>0</v>
      </c>
      <c r="E2548" s="50">
        <v>0</v>
      </c>
    </row>
    <row r="2549" spans="1:5" ht="28.8" hidden="1" x14ac:dyDescent="0.3">
      <c r="A2549" s="50" t="s">
        <v>940</v>
      </c>
      <c r="B2549" s="50" t="s">
        <v>939</v>
      </c>
      <c r="D2549" s="51">
        <v>0</v>
      </c>
      <c r="E2549" s="50">
        <v>0</v>
      </c>
    </row>
    <row r="2550" spans="1:5" ht="28.8" hidden="1" x14ac:dyDescent="0.3">
      <c r="A2550" s="50" t="s">
        <v>938</v>
      </c>
      <c r="B2550" s="50" t="s">
        <v>937</v>
      </c>
      <c r="C2550" s="50" t="s">
        <v>846</v>
      </c>
      <c r="D2550" s="51">
        <v>0</v>
      </c>
      <c r="E2550" s="50">
        <v>0</v>
      </c>
    </row>
    <row r="2551" spans="1:5" ht="28.8" hidden="1" x14ac:dyDescent="0.3">
      <c r="A2551" s="50" t="s">
        <v>936</v>
      </c>
      <c r="B2551" s="50" t="s">
        <v>935</v>
      </c>
      <c r="C2551" s="50" t="s">
        <v>846</v>
      </c>
      <c r="D2551" s="51">
        <v>0</v>
      </c>
      <c r="E2551" s="50">
        <v>0</v>
      </c>
    </row>
    <row r="2552" spans="1:5" hidden="1" x14ac:dyDescent="0.3">
      <c r="A2552" s="50" t="s">
        <v>934</v>
      </c>
      <c r="B2552" s="50" t="s">
        <v>933</v>
      </c>
      <c r="C2552" s="50" t="s">
        <v>846</v>
      </c>
      <c r="D2552" s="51">
        <v>0</v>
      </c>
      <c r="E2552" s="50">
        <v>0</v>
      </c>
    </row>
    <row r="2553" spans="1:5" hidden="1" x14ac:dyDescent="0.3">
      <c r="A2553" s="50" t="s">
        <v>932</v>
      </c>
      <c r="B2553" s="50" t="s">
        <v>931</v>
      </c>
      <c r="C2553" s="50" t="s">
        <v>846</v>
      </c>
      <c r="D2553" s="51">
        <v>0</v>
      </c>
      <c r="E2553" s="50">
        <v>0</v>
      </c>
    </row>
    <row r="2554" spans="1:5" ht="28.8" hidden="1" x14ac:dyDescent="0.3">
      <c r="A2554" s="50" t="s">
        <v>930</v>
      </c>
      <c r="B2554" s="50" t="s">
        <v>929</v>
      </c>
      <c r="C2554" s="50" t="s">
        <v>846</v>
      </c>
      <c r="D2554" s="51">
        <v>0</v>
      </c>
      <c r="E2554" s="50">
        <v>0</v>
      </c>
    </row>
    <row r="2555" spans="1:5" ht="28.8" hidden="1" x14ac:dyDescent="0.3">
      <c r="A2555" s="50" t="s">
        <v>928</v>
      </c>
      <c r="B2555" s="50" t="s">
        <v>927</v>
      </c>
      <c r="C2555" s="50" t="s">
        <v>846</v>
      </c>
      <c r="D2555" s="51">
        <v>0</v>
      </c>
      <c r="E2555" s="50">
        <v>0</v>
      </c>
    </row>
    <row r="2556" spans="1:5" ht="28.8" hidden="1" x14ac:dyDescent="0.3">
      <c r="A2556" s="50" t="s">
        <v>926</v>
      </c>
      <c r="B2556" s="50" t="s">
        <v>925</v>
      </c>
      <c r="C2556" s="50" t="s">
        <v>846</v>
      </c>
      <c r="D2556" s="51">
        <v>0</v>
      </c>
      <c r="E2556" s="50">
        <v>0</v>
      </c>
    </row>
    <row r="2557" spans="1:5" ht="28.8" hidden="1" x14ac:dyDescent="0.3">
      <c r="A2557" s="50" t="s">
        <v>924</v>
      </c>
      <c r="B2557" s="50" t="s">
        <v>923</v>
      </c>
      <c r="D2557" s="51">
        <v>0</v>
      </c>
      <c r="E2557" s="50">
        <v>0</v>
      </c>
    </row>
    <row r="2558" spans="1:5" hidden="1" x14ac:dyDescent="0.3">
      <c r="A2558" s="50" t="s">
        <v>922</v>
      </c>
      <c r="B2558" s="50" t="s">
        <v>921</v>
      </c>
      <c r="C2558" s="50" t="s">
        <v>846</v>
      </c>
      <c r="D2558" s="51">
        <v>0</v>
      </c>
      <c r="E2558" s="50">
        <v>0</v>
      </c>
    </row>
    <row r="2559" spans="1:5" hidden="1" x14ac:dyDescent="0.3">
      <c r="A2559" s="50" t="s">
        <v>920</v>
      </c>
      <c r="B2559" s="50" t="s">
        <v>919</v>
      </c>
      <c r="C2559" s="50" t="s">
        <v>846</v>
      </c>
      <c r="D2559" s="51">
        <v>0</v>
      </c>
      <c r="E2559" s="50">
        <v>0</v>
      </c>
    </row>
    <row r="2560" spans="1:5" hidden="1" x14ac:dyDescent="0.3">
      <c r="A2560" s="50" t="s">
        <v>918</v>
      </c>
      <c r="B2560" s="50" t="s">
        <v>917</v>
      </c>
      <c r="C2560" s="50" t="s">
        <v>846</v>
      </c>
      <c r="D2560" s="51">
        <v>0</v>
      </c>
      <c r="E2560" s="50">
        <v>0</v>
      </c>
    </row>
    <row r="2561" spans="1:5" hidden="1" x14ac:dyDescent="0.3">
      <c r="A2561" s="50" t="s">
        <v>916</v>
      </c>
      <c r="B2561" s="50" t="s">
        <v>915</v>
      </c>
      <c r="C2561" s="50" t="s">
        <v>846</v>
      </c>
      <c r="D2561" s="51">
        <v>0</v>
      </c>
      <c r="E2561" s="50">
        <v>0</v>
      </c>
    </row>
    <row r="2562" spans="1:5" ht="28.8" hidden="1" x14ac:dyDescent="0.3">
      <c r="A2562" s="50" t="s">
        <v>914</v>
      </c>
      <c r="B2562" s="50" t="s">
        <v>913</v>
      </c>
      <c r="C2562" s="50" t="s">
        <v>846</v>
      </c>
      <c r="D2562" s="51">
        <v>0</v>
      </c>
      <c r="E2562" s="50">
        <v>0</v>
      </c>
    </row>
    <row r="2563" spans="1:5" ht="28.8" hidden="1" x14ac:dyDescent="0.3">
      <c r="A2563" s="50" t="s">
        <v>912</v>
      </c>
      <c r="B2563" s="50" t="s">
        <v>911</v>
      </c>
      <c r="C2563" s="50" t="s">
        <v>846</v>
      </c>
      <c r="D2563" s="51">
        <v>0</v>
      </c>
      <c r="E2563" s="50">
        <v>0</v>
      </c>
    </row>
    <row r="2564" spans="1:5" ht="28.8" hidden="1" x14ac:dyDescent="0.3">
      <c r="A2564" s="50" t="s">
        <v>910</v>
      </c>
      <c r="B2564" s="50" t="s">
        <v>909</v>
      </c>
      <c r="C2564" s="50" t="s">
        <v>846</v>
      </c>
      <c r="D2564" s="51">
        <v>0</v>
      </c>
      <c r="E2564" s="50">
        <v>0</v>
      </c>
    </row>
    <row r="2565" spans="1:5" ht="28.8" hidden="1" x14ac:dyDescent="0.3">
      <c r="A2565" s="50" t="s">
        <v>908</v>
      </c>
      <c r="B2565" s="50" t="s">
        <v>907</v>
      </c>
      <c r="C2565" s="50" t="s">
        <v>846</v>
      </c>
      <c r="D2565" s="51">
        <v>0</v>
      </c>
      <c r="E2565" s="50">
        <v>0</v>
      </c>
    </row>
    <row r="2566" spans="1:5" ht="28.8" hidden="1" x14ac:dyDescent="0.3">
      <c r="A2566" s="50" t="s">
        <v>906</v>
      </c>
      <c r="B2566" s="50" t="s">
        <v>905</v>
      </c>
      <c r="C2566" s="50" t="s">
        <v>846</v>
      </c>
      <c r="D2566" s="51">
        <v>0</v>
      </c>
      <c r="E2566" s="50">
        <v>0</v>
      </c>
    </row>
    <row r="2567" spans="1:5" ht="28.8" hidden="1" x14ac:dyDescent="0.3">
      <c r="A2567" s="50" t="s">
        <v>904</v>
      </c>
      <c r="B2567" s="50" t="s">
        <v>903</v>
      </c>
      <c r="C2567" s="50" t="s">
        <v>846</v>
      </c>
      <c r="D2567" s="51">
        <v>0</v>
      </c>
      <c r="E2567" s="50">
        <v>0</v>
      </c>
    </row>
    <row r="2568" spans="1:5" ht="28.8" hidden="1" x14ac:dyDescent="0.3">
      <c r="A2568" s="50" t="s">
        <v>902</v>
      </c>
      <c r="B2568" s="50" t="s">
        <v>901</v>
      </c>
      <c r="C2568" s="50" t="s">
        <v>846</v>
      </c>
      <c r="D2568" s="51">
        <v>0</v>
      </c>
      <c r="E2568" s="50">
        <v>0</v>
      </c>
    </row>
    <row r="2569" spans="1:5" ht="28.8" hidden="1" x14ac:dyDescent="0.3">
      <c r="A2569" s="50" t="s">
        <v>900</v>
      </c>
      <c r="B2569" s="50" t="s">
        <v>899</v>
      </c>
      <c r="C2569" s="50" t="s">
        <v>846</v>
      </c>
      <c r="D2569" s="51">
        <v>0</v>
      </c>
      <c r="E2569" s="50">
        <v>0</v>
      </c>
    </row>
    <row r="2570" spans="1:5" ht="28.8" hidden="1" x14ac:dyDescent="0.3">
      <c r="A2570" s="50" t="s">
        <v>898</v>
      </c>
      <c r="B2570" s="50" t="s">
        <v>897</v>
      </c>
      <c r="C2570" s="50" t="s">
        <v>846</v>
      </c>
      <c r="D2570" s="51">
        <v>0</v>
      </c>
      <c r="E2570" s="50">
        <v>0</v>
      </c>
    </row>
    <row r="2571" spans="1:5" ht="28.8" hidden="1" x14ac:dyDescent="0.3">
      <c r="A2571" s="50" t="s">
        <v>896</v>
      </c>
      <c r="B2571" s="50" t="s">
        <v>895</v>
      </c>
      <c r="C2571" s="50" t="s">
        <v>846</v>
      </c>
      <c r="D2571" s="51">
        <v>0</v>
      </c>
      <c r="E2571" s="50">
        <v>0</v>
      </c>
    </row>
    <row r="2572" spans="1:5" ht="28.8" hidden="1" x14ac:dyDescent="0.3">
      <c r="A2572" s="50" t="s">
        <v>894</v>
      </c>
      <c r="B2572" s="50" t="s">
        <v>893</v>
      </c>
      <c r="C2572" s="50" t="s">
        <v>846</v>
      </c>
      <c r="D2572" s="51">
        <v>0</v>
      </c>
      <c r="E2572" s="50">
        <v>0</v>
      </c>
    </row>
    <row r="2573" spans="1:5" ht="28.8" hidden="1" x14ac:dyDescent="0.3">
      <c r="A2573" s="50" t="s">
        <v>892</v>
      </c>
      <c r="B2573" s="50" t="s">
        <v>891</v>
      </c>
      <c r="C2573" s="50" t="s">
        <v>846</v>
      </c>
      <c r="D2573" s="51">
        <v>0</v>
      </c>
      <c r="E2573" s="50">
        <v>0</v>
      </c>
    </row>
    <row r="2574" spans="1:5" ht="28.8" hidden="1" x14ac:dyDescent="0.3">
      <c r="A2574" s="50" t="s">
        <v>890</v>
      </c>
      <c r="B2574" s="50" t="s">
        <v>889</v>
      </c>
      <c r="C2574" s="50" t="s">
        <v>846</v>
      </c>
      <c r="D2574" s="51">
        <v>0</v>
      </c>
      <c r="E2574" s="50">
        <v>0</v>
      </c>
    </row>
    <row r="2575" spans="1:5" ht="28.8" hidden="1" x14ac:dyDescent="0.3">
      <c r="A2575" s="50" t="s">
        <v>888</v>
      </c>
      <c r="B2575" s="50" t="s">
        <v>887</v>
      </c>
      <c r="C2575" s="50" t="s">
        <v>846</v>
      </c>
      <c r="D2575" s="51">
        <v>0</v>
      </c>
      <c r="E2575" s="50">
        <v>0</v>
      </c>
    </row>
    <row r="2576" spans="1:5" ht="28.8" hidden="1" x14ac:dyDescent="0.3">
      <c r="A2576" s="50" t="s">
        <v>886</v>
      </c>
      <c r="B2576" s="50" t="s">
        <v>885</v>
      </c>
      <c r="C2576" s="50" t="s">
        <v>846</v>
      </c>
      <c r="D2576" s="51">
        <v>0</v>
      </c>
      <c r="E2576" s="50">
        <v>0</v>
      </c>
    </row>
    <row r="2577" spans="1:5" ht="28.8" hidden="1" x14ac:dyDescent="0.3">
      <c r="A2577" s="50" t="s">
        <v>884</v>
      </c>
      <c r="B2577" s="50" t="s">
        <v>883</v>
      </c>
      <c r="C2577" s="50" t="s">
        <v>846</v>
      </c>
      <c r="D2577" s="51">
        <v>0</v>
      </c>
      <c r="E2577" s="50">
        <v>0</v>
      </c>
    </row>
    <row r="2578" spans="1:5" ht="28.8" hidden="1" x14ac:dyDescent="0.3">
      <c r="A2578" s="50" t="s">
        <v>882</v>
      </c>
      <c r="B2578" s="50" t="s">
        <v>881</v>
      </c>
      <c r="C2578" s="50" t="s">
        <v>846</v>
      </c>
      <c r="D2578" s="51">
        <v>0</v>
      </c>
      <c r="E2578" s="50">
        <v>0</v>
      </c>
    </row>
    <row r="2579" spans="1:5" ht="28.8" hidden="1" x14ac:dyDescent="0.3">
      <c r="A2579" s="50" t="s">
        <v>880</v>
      </c>
      <c r="B2579" s="50" t="s">
        <v>879</v>
      </c>
      <c r="C2579" s="50" t="s">
        <v>846</v>
      </c>
      <c r="D2579" s="51">
        <v>0</v>
      </c>
      <c r="E2579" s="50">
        <v>0</v>
      </c>
    </row>
    <row r="2580" spans="1:5" ht="28.8" hidden="1" x14ac:dyDescent="0.3">
      <c r="A2580" s="50" t="s">
        <v>878</v>
      </c>
      <c r="B2580" s="50" t="s">
        <v>877</v>
      </c>
      <c r="C2580" s="50" t="s">
        <v>846</v>
      </c>
      <c r="D2580" s="51">
        <v>0</v>
      </c>
      <c r="E2580" s="50">
        <v>0</v>
      </c>
    </row>
    <row r="2581" spans="1:5" ht="28.8" hidden="1" x14ac:dyDescent="0.3">
      <c r="A2581" s="50" t="s">
        <v>876</v>
      </c>
      <c r="B2581" s="50" t="s">
        <v>875</v>
      </c>
      <c r="C2581" s="50" t="s">
        <v>846</v>
      </c>
      <c r="D2581" s="51">
        <v>0</v>
      </c>
      <c r="E2581" s="50">
        <v>0</v>
      </c>
    </row>
    <row r="2582" spans="1:5" ht="28.8" hidden="1" x14ac:dyDescent="0.3">
      <c r="A2582" s="50" t="s">
        <v>874</v>
      </c>
      <c r="B2582" s="50" t="s">
        <v>873</v>
      </c>
      <c r="C2582" s="50" t="s">
        <v>846</v>
      </c>
      <c r="D2582" s="51">
        <v>0</v>
      </c>
      <c r="E2582" s="50">
        <v>0</v>
      </c>
    </row>
    <row r="2583" spans="1:5" ht="28.8" hidden="1" x14ac:dyDescent="0.3">
      <c r="A2583" s="50" t="s">
        <v>872</v>
      </c>
      <c r="B2583" s="50" t="s">
        <v>871</v>
      </c>
      <c r="C2583" s="50" t="s">
        <v>846</v>
      </c>
      <c r="D2583" s="51">
        <v>0</v>
      </c>
      <c r="E2583" s="50">
        <v>0</v>
      </c>
    </row>
    <row r="2584" spans="1:5" ht="28.8" hidden="1" x14ac:dyDescent="0.3">
      <c r="A2584" s="50" t="s">
        <v>870</v>
      </c>
      <c r="B2584" s="50" t="s">
        <v>869</v>
      </c>
      <c r="C2584" s="50" t="s">
        <v>846</v>
      </c>
      <c r="D2584" s="51">
        <v>0</v>
      </c>
      <c r="E2584" s="50">
        <v>0</v>
      </c>
    </row>
    <row r="2585" spans="1:5" ht="28.8" hidden="1" x14ac:dyDescent="0.3">
      <c r="A2585" s="50" t="s">
        <v>868</v>
      </c>
      <c r="B2585" s="50" t="s">
        <v>867</v>
      </c>
      <c r="C2585" s="50" t="s">
        <v>846</v>
      </c>
      <c r="D2585" s="51">
        <v>0</v>
      </c>
      <c r="E2585" s="50">
        <v>0</v>
      </c>
    </row>
    <row r="2586" spans="1:5" ht="28.8" hidden="1" x14ac:dyDescent="0.3">
      <c r="A2586" s="50" t="s">
        <v>866</v>
      </c>
      <c r="B2586" s="50" t="s">
        <v>865</v>
      </c>
      <c r="C2586" s="50" t="s">
        <v>846</v>
      </c>
      <c r="D2586" s="51">
        <v>0</v>
      </c>
      <c r="E2586" s="50">
        <v>0</v>
      </c>
    </row>
    <row r="2587" spans="1:5" ht="28.8" hidden="1" x14ac:dyDescent="0.3">
      <c r="A2587" s="50" t="s">
        <v>864</v>
      </c>
      <c r="B2587" s="50" t="s">
        <v>863</v>
      </c>
      <c r="C2587" s="50" t="s">
        <v>846</v>
      </c>
      <c r="D2587" s="51">
        <v>0</v>
      </c>
      <c r="E2587" s="50">
        <v>0</v>
      </c>
    </row>
    <row r="2588" spans="1:5" ht="28.8" hidden="1" x14ac:dyDescent="0.3">
      <c r="A2588" s="50" t="s">
        <v>862</v>
      </c>
      <c r="B2588" s="50" t="s">
        <v>861</v>
      </c>
      <c r="C2588" s="50" t="s">
        <v>846</v>
      </c>
      <c r="D2588" s="51">
        <v>0</v>
      </c>
      <c r="E2588" s="50">
        <v>0</v>
      </c>
    </row>
    <row r="2589" spans="1:5" ht="28.8" hidden="1" x14ac:dyDescent="0.3">
      <c r="A2589" s="50" t="s">
        <v>860</v>
      </c>
      <c r="B2589" s="50" t="s">
        <v>859</v>
      </c>
      <c r="C2589" s="50" t="s">
        <v>846</v>
      </c>
      <c r="D2589" s="51">
        <v>0</v>
      </c>
      <c r="E2589" s="50">
        <v>0</v>
      </c>
    </row>
    <row r="2590" spans="1:5" hidden="1" x14ac:dyDescent="0.3">
      <c r="A2590" s="50" t="s">
        <v>858</v>
      </c>
      <c r="B2590" s="50" t="s">
        <v>857</v>
      </c>
      <c r="C2590" s="50" t="s">
        <v>846</v>
      </c>
      <c r="D2590" s="51">
        <v>0</v>
      </c>
      <c r="E2590" s="50">
        <v>0</v>
      </c>
    </row>
    <row r="2591" spans="1:5" hidden="1" x14ac:dyDescent="0.3">
      <c r="A2591" s="50" t="s">
        <v>856</v>
      </c>
      <c r="B2591" s="50" t="s">
        <v>855</v>
      </c>
      <c r="C2591" s="50" t="s">
        <v>846</v>
      </c>
      <c r="D2591" s="51">
        <v>0</v>
      </c>
      <c r="E2591" s="50">
        <v>0</v>
      </c>
    </row>
    <row r="2592" spans="1:5" ht="28.8" hidden="1" x14ac:dyDescent="0.3">
      <c r="A2592" s="50" t="s">
        <v>854</v>
      </c>
      <c r="B2592" s="50" t="s">
        <v>853</v>
      </c>
      <c r="C2592" s="50" t="s">
        <v>846</v>
      </c>
      <c r="D2592" s="51">
        <v>0</v>
      </c>
      <c r="E2592" s="50">
        <v>0</v>
      </c>
    </row>
    <row r="2593" spans="1:5" ht="28.8" hidden="1" x14ac:dyDescent="0.3">
      <c r="A2593" s="50" t="s">
        <v>852</v>
      </c>
      <c r="B2593" s="50" t="s">
        <v>851</v>
      </c>
      <c r="C2593" s="50" t="s">
        <v>846</v>
      </c>
      <c r="D2593" s="51">
        <v>0</v>
      </c>
      <c r="E2593" s="50">
        <v>0</v>
      </c>
    </row>
    <row r="2594" spans="1:5" ht="28.8" hidden="1" x14ac:dyDescent="0.3">
      <c r="A2594" s="50" t="s">
        <v>850</v>
      </c>
      <c r="B2594" s="50" t="s">
        <v>849</v>
      </c>
      <c r="C2594" s="50" t="s">
        <v>846</v>
      </c>
      <c r="D2594" s="51">
        <v>0</v>
      </c>
      <c r="E2594" s="50">
        <v>0</v>
      </c>
    </row>
    <row r="2595" spans="1:5" ht="28.8" hidden="1" x14ac:dyDescent="0.3">
      <c r="A2595" s="50" t="s">
        <v>848</v>
      </c>
      <c r="B2595" s="50" t="s">
        <v>847</v>
      </c>
      <c r="C2595" s="50" t="s">
        <v>846</v>
      </c>
      <c r="D2595" s="51">
        <v>0</v>
      </c>
      <c r="E2595" s="50">
        <v>0</v>
      </c>
    </row>
    <row r="2596" spans="1:5" ht="28.8" hidden="1" x14ac:dyDescent="0.3">
      <c r="A2596" s="50" t="s">
        <v>845</v>
      </c>
      <c r="B2596" s="50" t="s">
        <v>844</v>
      </c>
      <c r="D2596" s="50" t="s">
        <v>843</v>
      </c>
      <c r="E2596" s="50">
        <v>38475</v>
      </c>
    </row>
    <row r="2597" spans="1:5" ht="28.8" hidden="1" x14ac:dyDescent="0.3">
      <c r="A2597" s="50" t="s">
        <v>842</v>
      </c>
      <c r="B2597" s="50" t="s">
        <v>841</v>
      </c>
      <c r="C2597" s="50" t="s">
        <v>533</v>
      </c>
      <c r="D2597" s="50" t="s">
        <v>840</v>
      </c>
      <c r="E2597" s="50">
        <v>6938.16</v>
      </c>
    </row>
    <row r="2598" spans="1:5" ht="28.8" hidden="1" x14ac:dyDescent="0.3">
      <c r="A2598" s="50" t="s">
        <v>839</v>
      </c>
      <c r="B2598" s="50" t="s">
        <v>838</v>
      </c>
      <c r="D2598" s="51">
        <v>0</v>
      </c>
      <c r="E2598" s="50">
        <v>0</v>
      </c>
    </row>
    <row r="2599" spans="1:5" ht="43.2" hidden="1" x14ac:dyDescent="0.3">
      <c r="A2599" s="50" t="s">
        <v>837</v>
      </c>
      <c r="B2599" s="50" t="s">
        <v>836</v>
      </c>
      <c r="D2599" s="50" t="s">
        <v>835</v>
      </c>
      <c r="E2599" s="50">
        <v>22683.25</v>
      </c>
    </row>
    <row r="2600" spans="1:5" ht="43.2" hidden="1" x14ac:dyDescent="0.3">
      <c r="A2600" s="50" t="s">
        <v>834</v>
      </c>
      <c r="B2600" s="50" t="s">
        <v>833</v>
      </c>
      <c r="D2600" s="50" t="s">
        <v>832</v>
      </c>
      <c r="E2600" s="50">
        <v>25116.89</v>
      </c>
    </row>
    <row r="2601" spans="1:5" ht="28.8" hidden="1" x14ac:dyDescent="0.3">
      <c r="A2601" s="50" t="s">
        <v>831</v>
      </c>
      <c r="B2601" s="50" t="s">
        <v>830</v>
      </c>
      <c r="D2601" s="50" t="s">
        <v>829</v>
      </c>
      <c r="E2601" s="50">
        <v>30493.09</v>
      </c>
    </row>
    <row r="2602" spans="1:5" ht="28.8" hidden="1" x14ac:dyDescent="0.3">
      <c r="A2602" s="50" t="s">
        <v>828</v>
      </c>
      <c r="B2602" s="50" t="s">
        <v>827</v>
      </c>
      <c r="D2602" s="50" t="s">
        <v>826</v>
      </c>
      <c r="E2602" s="50">
        <v>34813.1</v>
      </c>
    </row>
    <row r="2603" spans="1:5" ht="28.8" hidden="1" x14ac:dyDescent="0.3">
      <c r="A2603" s="50" t="s">
        <v>825</v>
      </c>
      <c r="B2603" s="50" t="s">
        <v>824</v>
      </c>
      <c r="D2603" s="50" t="s">
        <v>823</v>
      </c>
      <c r="E2603" s="50">
        <v>45412</v>
      </c>
    </row>
    <row r="2604" spans="1:5" ht="43.2" hidden="1" x14ac:dyDescent="0.3">
      <c r="A2604" s="50" t="s">
        <v>822</v>
      </c>
      <c r="B2604" s="50" t="s">
        <v>821</v>
      </c>
      <c r="D2604" s="50" t="s">
        <v>820</v>
      </c>
      <c r="E2604" s="50">
        <v>45524.959999999999</v>
      </c>
    </row>
    <row r="2605" spans="1:5" ht="43.2" hidden="1" x14ac:dyDescent="0.3">
      <c r="A2605" s="50" t="s">
        <v>819</v>
      </c>
      <c r="B2605" s="50" t="s">
        <v>818</v>
      </c>
      <c r="D2605" s="50" t="s">
        <v>817</v>
      </c>
      <c r="E2605" s="50">
        <v>88303.76</v>
      </c>
    </row>
    <row r="2606" spans="1:5" hidden="1" x14ac:dyDescent="0.3">
      <c r="A2606" s="50" t="s">
        <v>816</v>
      </c>
      <c r="B2606" s="50" t="s">
        <v>815</v>
      </c>
      <c r="D2606" s="51">
        <v>0</v>
      </c>
      <c r="E2606" s="50">
        <v>0</v>
      </c>
    </row>
    <row r="2607" spans="1:5" ht="28.8" hidden="1" x14ac:dyDescent="0.3">
      <c r="A2607" s="50" t="s">
        <v>814</v>
      </c>
      <c r="B2607" s="50" t="s">
        <v>813</v>
      </c>
      <c r="D2607" s="50" t="s">
        <v>812</v>
      </c>
      <c r="E2607" s="50">
        <v>8000</v>
      </c>
    </row>
    <row r="2608" spans="1:5" hidden="1" x14ac:dyDescent="0.3">
      <c r="A2608" s="50" t="s">
        <v>811</v>
      </c>
      <c r="B2608" s="50" t="s">
        <v>810</v>
      </c>
      <c r="C2608" s="50" t="s">
        <v>496</v>
      </c>
      <c r="D2608" s="51">
        <v>286.16000000000003</v>
      </c>
      <c r="E2608" s="50">
        <v>143.08000000000001</v>
      </c>
    </row>
    <row r="2609" spans="1:5" hidden="1" x14ac:dyDescent="0.3">
      <c r="A2609" s="50" t="s">
        <v>809</v>
      </c>
      <c r="B2609" s="50" t="s">
        <v>809</v>
      </c>
      <c r="C2609" s="50" t="s">
        <v>496</v>
      </c>
      <c r="D2609" s="51">
        <v>416.55</v>
      </c>
      <c r="E2609" s="50">
        <v>361.37</v>
      </c>
    </row>
    <row r="2610" spans="1:5" ht="28.8" hidden="1" x14ac:dyDescent="0.3">
      <c r="A2610" s="50" t="s">
        <v>808</v>
      </c>
      <c r="B2610" s="50" t="s">
        <v>807</v>
      </c>
      <c r="D2610" s="50" t="s">
        <v>806</v>
      </c>
      <c r="E2610" s="50">
        <v>0</v>
      </c>
    </row>
    <row r="2611" spans="1:5" hidden="1" x14ac:dyDescent="0.3">
      <c r="A2611" s="50" t="s">
        <v>805</v>
      </c>
      <c r="B2611" s="50" t="s">
        <v>804</v>
      </c>
      <c r="D2611" s="51">
        <v>175.34</v>
      </c>
      <c r="E2611" s="50">
        <v>175.34</v>
      </c>
    </row>
    <row r="2612" spans="1:5" hidden="1" x14ac:dyDescent="0.3">
      <c r="A2612" s="50" t="s">
        <v>452</v>
      </c>
      <c r="B2612" s="50" t="s">
        <v>453</v>
      </c>
      <c r="C2612" s="50" t="s">
        <v>803</v>
      </c>
      <c r="D2612" s="51">
        <v>496.99</v>
      </c>
      <c r="E2612" s="50">
        <v>496.99</v>
      </c>
    </row>
    <row r="2613" spans="1:5" hidden="1" x14ac:dyDescent="0.3">
      <c r="A2613" s="50" t="s">
        <v>802</v>
      </c>
      <c r="B2613" s="50" t="s">
        <v>801</v>
      </c>
      <c r="D2613" s="51">
        <v>75</v>
      </c>
      <c r="E2613" s="50">
        <v>75</v>
      </c>
    </row>
    <row r="2614" spans="1:5" ht="28.8" hidden="1" x14ac:dyDescent="0.3">
      <c r="A2614" s="50" t="s">
        <v>800</v>
      </c>
      <c r="B2614" s="50" t="s">
        <v>799</v>
      </c>
      <c r="D2614" s="50" t="s">
        <v>798</v>
      </c>
      <c r="E2614" s="50">
        <v>1067.28</v>
      </c>
    </row>
    <row r="2615" spans="1:5" hidden="1" x14ac:dyDescent="0.3">
      <c r="A2615" s="50" t="s">
        <v>797</v>
      </c>
      <c r="B2615" s="50" t="s">
        <v>796</v>
      </c>
      <c r="D2615" s="51">
        <v>0</v>
      </c>
      <c r="E2615" s="50">
        <v>0</v>
      </c>
    </row>
    <row r="2616" spans="1:5" ht="43.2" hidden="1" x14ac:dyDescent="0.3">
      <c r="A2616" s="50" t="s">
        <v>795</v>
      </c>
      <c r="B2616" s="50" t="s">
        <v>794</v>
      </c>
      <c r="D2616" s="50" t="s">
        <v>793</v>
      </c>
      <c r="E2616" s="50">
        <v>5675.27</v>
      </c>
    </row>
    <row r="2617" spans="1:5" hidden="1" x14ac:dyDescent="0.3">
      <c r="A2617" s="50" t="s">
        <v>792</v>
      </c>
      <c r="B2617" s="50" t="s">
        <v>791</v>
      </c>
      <c r="D2617" s="50" t="s">
        <v>790</v>
      </c>
      <c r="E2617" s="50">
        <v>4000</v>
      </c>
    </row>
    <row r="2618" spans="1:5" ht="43.2" hidden="1" x14ac:dyDescent="0.3">
      <c r="A2618" s="50" t="s">
        <v>789</v>
      </c>
      <c r="B2618" s="50" t="s">
        <v>788</v>
      </c>
      <c r="D2618" s="51">
        <v>672</v>
      </c>
      <c r="E2618" s="50">
        <v>672</v>
      </c>
    </row>
    <row r="2619" spans="1:5" hidden="1" x14ac:dyDescent="0.3">
      <c r="A2619" s="50" t="s">
        <v>787</v>
      </c>
      <c r="B2619" s="50" t="s">
        <v>786</v>
      </c>
      <c r="D2619" s="51">
        <v>302.33</v>
      </c>
      <c r="E2619" s="50">
        <v>302.33</v>
      </c>
    </row>
    <row r="2620" spans="1:5" hidden="1" x14ac:dyDescent="0.3">
      <c r="A2620" s="50" t="s">
        <v>785</v>
      </c>
      <c r="B2620" s="50" t="s">
        <v>780</v>
      </c>
      <c r="D2620" s="51">
        <v>0</v>
      </c>
      <c r="E2620" s="50">
        <v>0</v>
      </c>
    </row>
    <row r="2621" spans="1:5" hidden="1" x14ac:dyDescent="0.3">
      <c r="A2621" s="50" t="s">
        <v>784</v>
      </c>
      <c r="B2621" s="50" t="s">
        <v>782</v>
      </c>
      <c r="D2621" s="51">
        <v>0</v>
      </c>
      <c r="E2621" s="50">
        <v>0</v>
      </c>
    </row>
    <row r="2622" spans="1:5" hidden="1" x14ac:dyDescent="0.3">
      <c r="A2622" s="50" t="s">
        <v>783</v>
      </c>
      <c r="B2622" s="50" t="s">
        <v>782</v>
      </c>
      <c r="D2622" s="51">
        <v>0</v>
      </c>
      <c r="E2622" s="50">
        <v>0</v>
      </c>
    </row>
    <row r="2623" spans="1:5" hidden="1" x14ac:dyDescent="0.3">
      <c r="A2623" s="50" t="s">
        <v>781</v>
      </c>
      <c r="B2623" s="50" t="s">
        <v>780</v>
      </c>
      <c r="D2623" s="51">
        <v>0</v>
      </c>
      <c r="E2623" s="50">
        <v>0</v>
      </c>
    </row>
    <row r="2624" spans="1:5" hidden="1" x14ac:dyDescent="0.3">
      <c r="A2624" s="50" t="s">
        <v>779</v>
      </c>
      <c r="B2624" s="50" t="s">
        <v>778</v>
      </c>
      <c r="D2624" s="51">
        <v>0</v>
      </c>
      <c r="E2624" s="50">
        <v>0</v>
      </c>
    </row>
    <row r="2625" spans="1:5" ht="28.8" hidden="1" x14ac:dyDescent="0.3">
      <c r="A2625" s="50" t="s">
        <v>777</v>
      </c>
      <c r="B2625" s="50" t="s">
        <v>776</v>
      </c>
      <c r="D2625" s="50" t="s">
        <v>775</v>
      </c>
      <c r="E2625" s="50">
        <v>11569</v>
      </c>
    </row>
    <row r="2626" spans="1:5" hidden="1" x14ac:dyDescent="0.3">
      <c r="A2626" s="50" t="s">
        <v>774</v>
      </c>
      <c r="B2626" s="50" t="s">
        <v>773</v>
      </c>
      <c r="C2626" s="50" t="s">
        <v>496</v>
      </c>
      <c r="D2626" s="51">
        <v>0</v>
      </c>
      <c r="E2626" s="50">
        <v>0</v>
      </c>
    </row>
    <row r="2627" spans="1:5" hidden="1" x14ac:dyDescent="0.3">
      <c r="A2627" s="50" t="s">
        <v>772</v>
      </c>
      <c r="B2627" s="50" t="s">
        <v>771</v>
      </c>
      <c r="C2627" s="50" t="s">
        <v>496</v>
      </c>
      <c r="D2627" s="51">
        <v>0</v>
      </c>
      <c r="E2627" s="50">
        <v>0</v>
      </c>
    </row>
    <row r="2628" spans="1:5" hidden="1" x14ac:dyDescent="0.3">
      <c r="A2628" s="50" t="s">
        <v>770</v>
      </c>
      <c r="B2628" s="50" t="s">
        <v>769</v>
      </c>
      <c r="C2628" s="50" t="s">
        <v>496</v>
      </c>
      <c r="D2628" s="51">
        <v>0</v>
      </c>
      <c r="E2628" s="50">
        <v>0</v>
      </c>
    </row>
    <row r="2629" spans="1:5" hidden="1" x14ac:dyDescent="0.3">
      <c r="A2629" s="50" t="s">
        <v>768</v>
      </c>
      <c r="B2629" s="50" t="s">
        <v>767</v>
      </c>
      <c r="C2629" s="50" t="s">
        <v>496</v>
      </c>
      <c r="D2629" s="51">
        <v>0</v>
      </c>
      <c r="E2629" s="50">
        <v>0</v>
      </c>
    </row>
    <row r="2630" spans="1:5" hidden="1" x14ac:dyDescent="0.3">
      <c r="A2630" s="50" t="s">
        <v>766</v>
      </c>
      <c r="B2630" s="50" t="s">
        <v>765</v>
      </c>
      <c r="C2630" s="50" t="s">
        <v>496</v>
      </c>
      <c r="D2630" s="51">
        <v>0</v>
      </c>
      <c r="E2630" s="50">
        <v>0</v>
      </c>
    </row>
    <row r="2631" spans="1:5" hidden="1" x14ac:dyDescent="0.3">
      <c r="A2631" s="50" t="s">
        <v>764</v>
      </c>
      <c r="B2631" s="50" t="s">
        <v>763</v>
      </c>
      <c r="C2631" s="50" t="s">
        <v>496</v>
      </c>
      <c r="D2631" s="51">
        <v>0</v>
      </c>
      <c r="E2631" s="50">
        <v>0</v>
      </c>
    </row>
    <row r="2632" spans="1:5" hidden="1" x14ac:dyDescent="0.3">
      <c r="A2632" s="50" t="s">
        <v>762</v>
      </c>
      <c r="B2632" s="50" t="s">
        <v>761</v>
      </c>
      <c r="C2632" s="50" t="s">
        <v>496</v>
      </c>
      <c r="D2632" s="51">
        <v>0</v>
      </c>
      <c r="E2632" s="50">
        <v>0</v>
      </c>
    </row>
    <row r="2633" spans="1:5" hidden="1" x14ac:dyDescent="0.3">
      <c r="A2633" s="50" t="s">
        <v>760</v>
      </c>
      <c r="B2633" s="50" t="s">
        <v>759</v>
      </c>
      <c r="D2633" s="50" t="s">
        <v>758</v>
      </c>
      <c r="E2633" s="50">
        <v>4339</v>
      </c>
    </row>
    <row r="2634" spans="1:5" hidden="1" x14ac:dyDescent="0.3">
      <c r="A2634" s="50" t="s">
        <v>757</v>
      </c>
      <c r="B2634" s="50" t="s">
        <v>756</v>
      </c>
      <c r="D2634" s="51">
        <v>0</v>
      </c>
      <c r="E2634" s="50">
        <v>0</v>
      </c>
    </row>
    <row r="2635" spans="1:5" hidden="1" x14ac:dyDescent="0.3">
      <c r="A2635" s="50" t="s">
        <v>755</v>
      </c>
      <c r="B2635" s="50" t="s">
        <v>754</v>
      </c>
      <c r="D2635" s="51">
        <v>0</v>
      </c>
      <c r="E2635" s="50">
        <v>0</v>
      </c>
    </row>
    <row r="2636" spans="1:5" ht="43.2" hidden="1" x14ac:dyDescent="0.3">
      <c r="A2636" s="50" t="s">
        <v>753</v>
      </c>
      <c r="B2636" s="50" t="s">
        <v>752</v>
      </c>
      <c r="D2636" s="50" t="s">
        <v>751</v>
      </c>
      <c r="E2636" s="50">
        <v>7173.6</v>
      </c>
    </row>
    <row r="2637" spans="1:5" ht="28.8" hidden="1" x14ac:dyDescent="0.3">
      <c r="A2637" s="50" t="s">
        <v>750</v>
      </c>
      <c r="B2637" s="50" t="s">
        <v>749</v>
      </c>
      <c r="D2637" s="51">
        <v>0</v>
      </c>
      <c r="E2637" s="50">
        <v>0</v>
      </c>
    </row>
    <row r="2638" spans="1:5" hidden="1" x14ac:dyDescent="0.3">
      <c r="A2638" s="50" t="s">
        <v>748</v>
      </c>
      <c r="B2638" s="50" t="s">
        <v>747</v>
      </c>
      <c r="D2638" s="50" t="s">
        <v>746</v>
      </c>
      <c r="E2638" s="50">
        <v>5516</v>
      </c>
    </row>
    <row r="2639" spans="1:5" hidden="1" x14ac:dyDescent="0.3">
      <c r="A2639" s="50" t="s">
        <v>745</v>
      </c>
      <c r="B2639" s="50" t="s">
        <v>744</v>
      </c>
      <c r="D2639" s="51">
        <v>147</v>
      </c>
      <c r="E2639" s="50">
        <v>147</v>
      </c>
    </row>
    <row r="2640" spans="1:5" hidden="1" x14ac:dyDescent="0.3">
      <c r="A2640" s="50" t="s">
        <v>743</v>
      </c>
      <c r="B2640" s="50" t="s">
        <v>742</v>
      </c>
      <c r="D2640" s="51">
        <v>157.5</v>
      </c>
      <c r="E2640" s="50">
        <v>157.5</v>
      </c>
    </row>
    <row r="2641" spans="1:5" ht="43.2" hidden="1" x14ac:dyDescent="0.3">
      <c r="A2641" s="50" t="s">
        <v>741</v>
      </c>
      <c r="B2641" s="50" t="s">
        <v>740</v>
      </c>
      <c r="D2641" s="50" t="s">
        <v>739</v>
      </c>
      <c r="E2641" s="50">
        <v>38966.400000000001</v>
      </c>
    </row>
    <row r="2642" spans="1:5" ht="28.8" hidden="1" x14ac:dyDescent="0.3">
      <c r="A2642" s="50" t="s">
        <v>738</v>
      </c>
      <c r="B2642" s="50" t="s">
        <v>737</v>
      </c>
      <c r="C2642" s="50" t="s">
        <v>533</v>
      </c>
      <c r="D2642" s="51">
        <v>0</v>
      </c>
      <c r="E2642" s="50">
        <v>0</v>
      </c>
    </row>
    <row r="2643" spans="1:5" ht="28.8" hidden="1" x14ac:dyDescent="0.3">
      <c r="A2643" s="50" t="s">
        <v>736</v>
      </c>
      <c r="B2643" s="50" t="s">
        <v>735</v>
      </c>
      <c r="C2643" s="50" t="s">
        <v>533</v>
      </c>
      <c r="D2643" s="50" t="s">
        <v>734</v>
      </c>
      <c r="E2643" s="50">
        <v>14161.01</v>
      </c>
    </row>
    <row r="2644" spans="1:5" hidden="1" x14ac:dyDescent="0.3">
      <c r="A2644" s="50" t="s">
        <v>733</v>
      </c>
      <c r="B2644" s="50" t="s">
        <v>732</v>
      </c>
      <c r="D2644" s="51">
        <v>0</v>
      </c>
      <c r="E2644" s="50">
        <v>0</v>
      </c>
    </row>
    <row r="2645" spans="1:5" ht="28.8" hidden="1" x14ac:dyDescent="0.3">
      <c r="A2645" s="50" t="s">
        <v>731</v>
      </c>
      <c r="B2645" s="50" t="s">
        <v>730</v>
      </c>
      <c r="D2645" s="51">
        <v>0</v>
      </c>
      <c r="E2645" s="50">
        <v>0</v>
      </c>
    </row>
    <row r="2646" spans="1:5" ht="28.8" hidden="1" x14ac:dyDescent="0.3">
      <c r="A2646" s="50" t="s">
        <v>729</v>
      </c>
      <c r="B2646" s="50" t="s">
        <v>728</v>
      </c>
      <c r="D2646" s="51">
        <v>0</v>
      </c>
      <c r="E2646" s="50">
        <v>0</v>
      </c>
    </row>
    <row r="2647" spans="1:5" ht="43.2" hidden="1" x14ac:dyDescent="0.3">
      <c r="A2647" s="50" t="s">
        <v>727</v>
      </c>
      <c r="B2647" s="50" t="s">
        <v>726</v>
      </c>
      <c r="D2647" s="50" t="s">
        <v>725</v>
      </c>
      <c r="E2647" s="50">
        <v>20582.189999999999</v>
      </c>
    </row>
    <row r="2648" spans="1:5" ht="28.8" hidden="1" x14ac:dyDescent="0.3">
      <c r="A2648" s="50" t="s">
        <v>724</v>
      </c>
      <c r="B2648" s="50" t="s">
        <v>723</v>
      </c>
      <c r="C2648" s="50" t="s">
        <v>533</v>
      </c>
      <c r="D2648" s="51">
        <v>0</v>
      </c>
      <c r="E2648" s="50">
        <v>0</v>
      </c>
    </row>
    <row r="2649" spans="1:5" ht="28.8" hidden="1" x14ac:dyDescent="0.3">
      <c r="A2649" s="50" t="s">
        <v>722</v>
      </c>
      <c r="B2649" s="50" t="s">
        <v>721</v>
      </c>
      <c r="D2649" s="51">
        <v>850</v>
      </c>
      <c r="E2649" s="50">
        <v>850</v>
      </c>
    </row>
    <row r="2650" spans="1:5" ht="28.8" hidden="1" x14ac:dyDescent="0.3">
      <c r="A2650" s="50" t="s">
        <v>720</v>
      </c>
      <c r="B2650" s="50" t="s">
        <v>719</v>
      </c>
      <c r="D2650" s="50" t="s">
        <v>718</v>
      </c>
      <c r="E2650" s="50">
        <v>15100</v>
      </c>
    </row>
    <row r="2651" spans="1:5" ht="28.8" hidden="1" x14ac:dyDescent="0.3">
      <c r="A2651" s="50" t="s">
        <v>717</v>
      </c>
      <c r="B2651" s="50" t="s">
        <v>716</v>
      </c>
      <c r="D2651" s="50" t="s">
        <v>715</v>
      </c>
      <c r="E2651" s="50">
        <v>2100</v>
      </c>
    </row>
    <row r="2652" spans="1:5" ht="28.8" hidden="1" x14ac:dyDescent="0.3">
      <c r="A2652" s="50" t="s">
        <v>714</v>
      </c>
      <c r="B2652" s="50" t="s">
        <v>713</v>
      </c>
      <c r="D2652" s="51">
        <v>250</v>
      </c>
      <c r="E2652" s="50">
        <v>511.44</v>
      </c>
    </row>
    <row r="2653" spans="1:5" hidden="1" x14ac:dyDescent="0.3">
      <c r="A2653" s="50" t="s">
        <v>712</v>
      </c>
      <c r="B2653" s="50" t="s">
        <v>711</v>
      </c>
      <c r="D2653" s="51">
        <v>45.96</v>
      </c>
      <c r="E2653" s="50">
        <v>1016.13</v>
      </c>
    </row>
    <row r="2654" spans="1:5" ht="43.2" hidden="1" x14ac:dyDescent="0.3">
      <c r="A2654" s="50" t="s">
        <v>710</v>
      </c>
      <c r="B2654" s="50" t="s">
        <v>710</v>
      </c>
      <c r="D2654" s="51">
        <v>13.8</v>
      </c>
      <c r="E2654" s="50">
        <v>13.8</v>
      </c>
    </row>
    <row r="2655" spans="1:5" ht="28.8" hidden="1" x14ac:dyDescent="0.3">
      <c r="A2655" s="50" t="s">
        <v>709</v>
      </c>
      <c r="B2655" s="50" t="s">
        <v>708</v>
      </c>
      <c r="D2655" s="50" t="s">
        <v>707</v>
      </c>
      <c r="E2655" s="50">
        <v>2500</v>
      </c>
    </row>
    <row r="2656" spans="1:5" ht="28.8" hidden="1" x14ac:dyDescent="0.3">
      <c r="A2656" s="50" t="s">
        <v>706</v>
      </c>
      <c r="B2656" s="50" t="s">
        <v>705</v>
      </c>
      <c r="D2656" s="51">
        <v>43.33</v>
      </c>
      <c r="E2656" s="50">
        <v>43.33</v>
      </c>
    </row>
    <row r="2657" spans="1:5" ht="28.8" hidden="1" x14ac:dyDescent="0.3">
      <c r="A2657" s="50" t="s">
        <v>704</v>
      </c>
      <c r="B2657" s="50" t="s">
        <v>703</v>
      </c>
      <c r="D2657" s="50" t="s">
        <v>702</v>
      </c>
      <c r="E2657" s="50">
        <v>2958.8</v>
      </c>
    </row>
    <row r="2658" spans="1:5" ht="28.8" hidden="1" x14ac:dyDescent="0.3">
      <c r="A2658" s="50" t="s">
        <v>701</v>
      </c>
      <c r="B2658" s="50" t="s">
        <v>699</v>
      </c>
      <c r="D2658" s="51">
        <v>0</v>
      </c>
      <c r="E2658" s="50">
        <v>0</v>
      </c>
    </row>
    <row r="2659" spans="1:5" ht="28.8" hidden="1" x14ac:dyDescent="0.3">
      <c r="A2659" s="50" t="s">
        <v>700</v>
      </c>
      <c r="B2659" s="50" t="s">
        <v>699</v>
      </c>
      <c r="D2659" s="50" t="s">
        <v>698</v>
      </c>
      <c r="E2659" s="50">
        <v>2625</v>
      </c>
    </row>
    <row r="2660" spans="1:5" ht="28.8" hidden="1" x14ac:dyDescent="0.3">
      <c r="A2660" s="50" t="s">
        <v>697</v>
      </c>
      <c r="B2660" s="50" t="s">
        <v>696</v>
      </c>
      <c r="D2660" s="50" t="s">
        <v>695</v>
      </c>
      <c r="E2660" s="50">
        <v>2385.5</v>
      </c>
    </row>
    <row r="2661" spans="1:5" ht="28.8" hidden="1" x14ac:dyDescent="0.3">
      <c r="A2661" s="50" t="s">
        <v>694</v>
      </c>
      <c r="B2661" s="50" t="s">
        <v>693</v>
      </c>
      <c r="D2661" s="51">
        <v>0</v>
      </c>
      <c r="E2661" s="50">
        <v>0</v>
      </c>
    </row>
    <row r="2662" spans="1:5" hidden="1" x14ac:dyDescent="0.3">
      <c r="A2662" s="50" t="s">
        <v>692</v>
      </c>
      <c r="B2662" s="50" t="s">
        <v>691</v>
      </c>
      <c r="C2662" s="50" t="s">
        <v>196</v>
      </c>
      <c r="D2662" s="51">
        <v>0</v>
      </c>
      <c r="E2662" s="50">
        <v>0</v>
      </c>
    </row>
    <row r="2663" spans="1:5" hidden="1" x14ac:dyDescent="0.3">
      <c r="A2663" s="50" t="s">
        <v>690</v>
      </c>
      <c r="B2663" s="50" t="s">
        <v>689</v>
      </c>
      <c r="C2663" s="50" t="s">
        <v>196</v>
      </c>
      <c r="D2663" s="51">
        <v>0</v>
      </c>
      <c r="E2663" s="50">
        <v>0</v>
      </c>
    </row>
    <row r="2664" spans="1:5" ht="28.8" hidden="1" x14ac:dyDescent="0.3">
      <c r="A2664" s="50" t="s">
        <v>688</v>
      </c>
      <c r="B2664" s="50" t="s">
        <v>687</v>
      </c>
      <c r="D2664" s="51">
        <v>138.58000000000001</v>
      </c>
      <c r="E2664" s="50">
        <v>138.58000000000001</v>
      </c>
    </row>
    <row r="2665" spans="1:5" ht="28.8" hidden="1" x14ac:dyDescent="0.3">
      <c r="A2665" s="50" t="s">
        <v>454</v>
      </c>
      <c r="B2665" s="50" t="s">
        <v>455</v>
      </c>
      <c r="D2665" s="51">
        <v>77.05</v>
      </c>
      <c r="E2665" s="50">
        <v>80.67</v>
      </c>
    </row>
    <row r="2666" spans="1:5" ht="28.8" hidden="1" x14ac:dyDescent="0.3">
      <c r="A2666" s="50" t="s">
        <v>456</v>
      </c>
      <c r="B2666" s="50" t="s">
        <v>457</v>
      </c>
      <c r="D2666" s="51">
        <v>169.6</v>
      </c>
      <c r="E2666" s="50">
        <v>169.6</v>
      </c>
    </row>
    <row r="2667" spans="1:5" ht="28.8" hidden="1" x14ac:dyDescent="0.3">
      <c r="A2667" s="50" t="s">
        <v>686</v>
      </c>
      <c r="B2667" s="50" t="s">
        <v>685</v>
      </c>
      <c r="D2667" s="50" t="s">
        <v>684</v>
      </c>
      <c r="E2667" s="50">
        <v>11305.25</v>
      </c>
    </row>
    <row r="2668" spans="1:5" ht="28.8" hidden="1" x14ac:dyDescent="0.3">
      <c r="A2668" s="50" t="s">
        <v>683</v>
      </c>
      <c r="B2668" s="50" t="s">
        <v>682</v>
      </c>
      <c r="D2668" s="50" t="s">
        <v>681</v>
      </c>
      <c r="E2668" s="50">
        <v>22037.4</v>
      </c>
    </row>
    <row r="2669" spans="1:5" ht="28.8" hidden="1" x14ac:dyDescent="0.3">
      <c r="A2669" s="50" t="s">
        <v>458</v>
      </c>
      <c r="B2669" s="50" t="s">
        <v>459</v>
      </c>
      <c r="C2669" s="50" t="s">
        <v>680</v>
      </c>
      <c r="D2669" s="51">
        <v>670.43</v>
      </c>
      <c r="E2669" s="50">
        <v>670.43</v>
      </c>
    </row>
    <row r="2670" spans="1:5" hidden="1" x14ac:dyDescent="0.3">
      <c r="A2670" s="50" t="s">
        <v>460</v>
      </c>
      <c r="B2670" s="50" t="s">
        <v>461</v>
      </c>
      <c r="C2670" s="50" t="s">
        <v>680</v>
      </c>
      <c r="D2670" s="51">
        <v>0</v>
      </c>
      <c r="E2670" s="50">
        <v>0</v>
      </c>
    </row>
    <row r="2671" spans="1:5" ht="28.8" hidden="1" x14ac:dyDescent="0.3">
      <c r="A2671" s="50" t="s">
        <v>679</v>
      </c>
      <c r="B2671" s="50" t="s">
        <v>678</v>
      </c>
      <c r="C2671" s="50" t="s">
        <v>654</v>
      </c>
      <c r="D2671" s="51">
        <v>0</v>
      </c>
      <c r="E2671" s="50">
        <v>0</v>
      </c>
    </row>
    <row r="2672" spans="1:5" ht="28.8" hidden="1" x14ac:dyDescent="0.3">
      <c r="A2672" s="50" t="s">
        <v>677</v>
      </c>
      <c r="B2672" s="50" t="s">
        <v>676</v>
      </c>
      <c r="C2672" s="50" t="s">
        <v>654</v>
      </c>
      <c r="D2672" s="51">
        <v>0</v>
      </c>
      <c r="E2672" s="50">
        <v>0</v>
      </c>
    </row>
    <row r="2673" spans="1:5" ht="28.8" hidden="1" x14ac:dyDescent="0.3">
      <c r="A2673" s="50" t="s">
        <v>675</v>
      </c>
      <c r="B2673" s="50" t="s">
        <v>674</v>
      </c>
      <c r="C2673" s="50" t="s">
        <v>654</v>
      </c>
      <c r="D2673" s="51">
        <v>0</v>
      </c>
      <c r="E2673" s="50">
        <v>0</v>
      </c>
    </row>
    <row r="2674" spans="1:5" ht="28.8" hidden="1" x14ac:dyDescent="0.3">
      <c r="A2674" s="50" t="s">
        <v>673</v>
      </c>
      <c r="B2674" s="50" t="s">
        <v>672</v>
      </c>
      <c r="C2674" s="50" t="s">
        <v>654</v>
      </c>
      <c r="D2674" s="51">
        <v>0</v>
      </c>
      <c r="E2674" s="50">
        <v>0</v>
      </c>
    </row>
    <row r="2675" spans="1:5" ht="28.8" hidden="1" x14ac:dyDescent="0.3">
      <c r="A2675" s="50" t="s">
        <v>671</v>
      </c>
      <c r="B2675" s="50" t="s">
        <v>670</v>
      </c>
      <c r="C2675" s="50" t="s">
        <v>654</v>
      </c>
      <c r="D2675" s="51">
        <v>0</v>
      </c>
      <c r="E2675" s="50">
        <v>0</v>
      </c>
    </row>
    <row r="2676" spans="1:5" ht="28.8" hidden="1" x14ac:dyDescent="0.3">
      <c r="A2676" s="50" t="s">
        <v>669</v>
      </c>
      <c r="B2676" s="50" t="s">
        <v>668</v>
      </c>
      <c r="C2676" s="50" t="s">
        <v>654</v>
      </c>
      <c r="D2676" s="51">
        <v>0</v>
      </c>
      <c r="E2676" s="50">
        <v>0</v>
      </c>
    </row>
    <row r="2677" spans="1:5" hidden="1" x14ac:dyDescent="0.3">
      <c r="A2677" s="50" t="s">
        <v>667</v>
      </c>
      <c r="B2677" s="50" t="s">
        <v>666</v>
      </c>
      <c r="D2677" s="50" t="s">
        <v>665</v>
      </c>
      <c r="E2677" s="50">
        <v>8685.51</v>
      </c>
    </row>
    <row r="2678" spans="1:5" hidden="1" x14ac:dyDescent="0.3">
      <c r="A2678" s="50" t="s">
        <v>664</v>
      </c>
      <c r="B2678" s="50" t="s">
        <v>663</v>
      </c>
      <c r="D2678" s="51">
        <v>550</v>
      </c>
      <c r="E2678" s="50">
        <v>550</v>
      </c>
    </row>
    <row r="2679" spans="1:5" ht="28.8" hidden="1" x14ac:dyDescent="0.3">
      <c r="A2679" s="50" t="s">
        <v>662</v>
      </c>
      <c r="B2679" s="50" t="s">
        <v>661</v>
      </c>
      <c r="C2679" s="50" t="s">
        <v>654</v>
      </c>
      <c r="D2679" s="51">
        <v>0</v>
      </c>
      <c r="E2679" s="50">
        <v>0</v>
      </c>
    </row>
    <row r="2680" spans="1:5" hidden="1" x14ac:dyDescent="0.3">
      <c r="A2680" s="50" t="s">
        <v>660</v>
      </c>
      <c r="B2680" s="50" t="s">
        <v>659</v>
      </c>
      <c r="D2680" s="51">
        <v>0</v>
      </c>
      <c r="E2680" s="50">
        <v>0</v>
      </c>
    </row>
    <row r="2681" spans="1:5" hidden="1" x14ac:dyDescent="0.3">
      <c r="A2681" s="50" t="s">
        <v>658</v>
      </c>
      <c r="B2681" s="50" t="s">
        <v>657</v>
      </c>
      <c r="C2681" s="50" t="s">
        <v>654</v>
      </c>
      <c r="D2681" s="51">
        <v>0</v>
      </c>
      <c r="E2681" s="50">
        <v>0</v>
      </c>
    </row>
    <row r="2682" spans="1:5" hidden="1" x14ac:dyDescent="0.3">
      <c r="A2682" s="50" t="s">
        <v>656</v>
      </c>
      <c r="B2682" s="50" t="s">
        <v>655</v>
      </c>
      <c r="C2682" s="50" t="s">
        <v>654</v>
      </c>
      <c r="D2682" s="51">
        <v>0</v>
      </c>
      <c r="E2682" s="50">
        <v>0</v>
      </c>
    </row>
    <row r="2683" spans="1:5" ht="28.8" hidden="1" x14ac:dyDescent="0.3">
      <c r="A2683" s="50" t="s">
        <v>653</v>
      </c>
      <c r="B2683" s="50" t="s">
        <v>652</v>
      </c>
      <c r="C2683" s="50" t="s">
        <v>646</v>
      </c>
      <c r="D2683" s="51">
        <v>304.55</v>
      </c>
      <c r="E2683" s="50">
        <v>304.55</v>
      </c>
    </row>
    <row r="2684" spans="1:5" hidden="1" x14ac:dyDescent="0.3">
      <c r="A2684" s="50" t="s">
        <v>651</v>
      </c>
      <c r="B2684" s="50" t="s">
        <v>650</v>
      </c>
      <c r="D2684" s="50" t="s">
        <v>649</v>
      </c>
      <c r="E2684" s="50">
        <v>6500</v>
      </c>
    </row>
    <row r="2685" spans="1:5" hidden="1" x14ac:dyDescent="0.3">
      <c r="A2685" s="50" t="s">
        <v>648</v>
      </c>
      <c r="B2685" s="50" t="s">
        <v>647</v>
      </c>
      <c r="C2685" s="50" t="s">
        <v>646</v>
      </c>
      <c r="D2685" s="51">
        <v>205.99</v>
      </c>
      <c r="E2685" s="50">
        <v>205.99</v>
      </c>
    </row>
    <row r="2686" spans="1:5" hidden="1" x14ac:dyDescent="0.3">
      <c r="A2686" s="50" t="s">
        <v>645</v>
      </c>
      <c r="B2686" s="50" t="s">
        <v>644</v>
      </c>
      <c r="C2686" s="50" t="s">
        <v>643</v>
      </c>
      <c r="D2686" s="51">
        <v>341.95</v>
      </c>
      <c r="E2686" s="50">
        <v>341.95</v>
      </c>
    </row>
    <row r="2687" spans="1:5" hidden="1" x14ac:dyDescent="0.3">
      <c r="A2687" s="50" t="s">
        <v>642</v>
      </c>
      <c r="B2687" s="50" t="s">
        <v>642</v>
      </c>
      <c r="C2687" s="50" t="s">
        <v>581</v>
      </c>
      <c r="D2687" s="50" t="s">
        <v>641</v>
      </c>
      <c r="E2687" s="50">
        <v>1175.53</v>
      </c>
    </row>
    <row r="2688" spans="1:5" ht="28.8" hidden="1" x14ac:dyDescent="0.3">
      <c r="A2688" s="50" t="s">
        <v>640</v>
      </c>
      <c r="B2688" s="50" t="s">
        <v>639</v>
      </c>
      <c r="D2688" s="51">
        <v>0</v>
      </c>
      <c r="E2688" s="50">
        <v>0</v>
      </c>
    </row>
    <row r="2689" spans="1:5" hidden="1" x14ac:dyDescent="0.3">
      <c r="A2689" s="50" t="s">
        <v>638</v>
      </c>
      <c r="B2689" s="50" t="s">
        <v>638</v>
      </c>
      <c r="C2689" s="50" t="s">
        <v>581</v>
      </c>
      <c r="D2689" s="50" t="s">
        <v>637</v>
      </c>
      <c r="E2689" s="50">
        <v>3172.84</v>
      </c>
    </row>
    <row r="2690" spans="1:5" hidden="1" x14ac:dyDescent="0.3">
      <c r="A2690" s="50" t="s">
        <v>636</v>
      </c>
      <c r="B2690" s="50" t="s">
        <v>635</v>
      </c>
      <c r="D2690" s="51">
        <v>0</v>
      </c>
      <c r="E2690" s="50">
        <v>0</v>
      </c>
    </row>
    <row r="2691" spans="1:5" ht="28.8" hidden="1" x14ac:dyDescent="0.3">
      <c r="A2691" s="50" t="s">
        <v>634</v>
      </c>
      <c r="B2691" s="50" t="s">
        <v>633</v>
      </c>
      <c r="D2691" s="51">
        <v>0</v>
      </c>
      <c r="E2691" s="50">
        <v>0</v>
      </c>
    </row>
    <row r="2692" spans="1:5" hidden="1" x14ac:dyDescent="0.3">
      <c r="A2692" s="50" t="s">
        <v>632</v>
      </c>
      <c r="B2692" s="50" t="s">
        <v>631</v>
      </c>
      <c r="D2692" s="51">
        <v>0</v>
      </c>
      <c r="E2692" s="50">
        <v>0</v>
      </c>
    </row>
    <row r="2693" spans="1:5" ht="28.8" hidden="1" x14ac:dyDescent="0.3">
      <c r="A2693" s="50" t="s">
        <v>630</v>
      </c>
      <c r="B2693" s="50" t="s">
        <v>629</v>
      </c>
      <c r="D2693" s="51">
        <v>0</v>
      </c>
      <c r="E2693" s="50">
        <v>0</v>
      </c>
    </row>
    <row r="2694" spans="1:5" hidden="1" x14ac:dyDescent="0.3">
      <c r="A2694" s="50" t="s">
        <v>628</v>
      </c>
      <c r="B2694" s="50" t="s">
        <v>627</v>
      </c>
      <c r="D2694" s="50" t="s">
        <v>626</v>
      </c>
      <c r="E2694" s="50">
        <v>10550</v>
      </c>
    </row>
    <row r="2695" spans="1:5" hidden="1" x14ac:dyDescent="0.3">
      <c r="A2695" s="50" t="s">
        <v>625</v>
      </c>
      <c r="B2695" s="50" t="s">
        <v>624</v>
      </c>
      <c r="D2695" s="50" t="s">
        <v>623</v>
      </c>
      <c r="E2695" s="50">
        <v>9892</v>
      </c>
    </row>
    <row r="2696" spans="1:5" hidden="1" x14ac:dyDescent="0.3">
      <c r="A2696" s="50" t="s">
        <v>622</v>
      </c>
      <c r="B2696" s="50" t="s">
        <v>621</v>
      </c>
      <c r="D2696" s="51">
        <v>900</v>
      </c>
      <c r="E2696" s="50">
        <v>900</v>
      </c>
    </row>
    <row r="2697" spans="1:5" hidden="1" x14ac:dyDescent="0.3">
      <c r="A2697" s="50" t="s">
        <v>620</v>
      </c>
      <c r="B2697" s="50" t="s">
        <v>619</v>
      </c>
      <c r="D2697" s="51">
        <v>0</v>
      </c>
      <c r="E2697" s="50">
        <v>0</v>
      </c>
    </row>
    <row r="2698" spans="1:5" hidden="1" x14ac:dyDescent="0.3">
      <c r="A2698" s="50" t="s">
        <v>618</v>
      </c>
      <c r="B2698" s="50" t="s">
        <v>617</v>
      </c>
      <c r="D2698" s="50" t="s">
        <v>616</v>
      </c>
      <c r="E2698" s="50">
        <v>10527.25</v>
      </c>
    </row>
    <row r="2699" spans="1:5" hidden="1" x14ac:dyDescent="0.3">
      <c r="A2699" s="50" t="s">
        <v>615</v>
      </c>
      <c r="B2699" s="50" t="s">
        <v>614</v>
      </c>
      <c r="C2699" s="50" t="s">
        <v>613</v>
      </c>
      <c r="D2699" s="51">
        <v>0</v>
      </c>
      <c r="E2699" s="50">
        <v>0</v>
      </c>
    </row>
    <row r="2700" spans="1:5" hidden="1" x14ac:dyDescent="0.3">
      <c r="A2700" s="50" t="s">
        <v>612</v>
      </c>
      <c r="B2700" s="50" t="s">
        <v>611</v>
      </c>
      <c r="C2700" s="50" t="s">
        <v>610</v>
      </c>
      <c r="D2700" s="50" t="s">
        <v>609</v>
      </c>
      <c r="E2700" s="50">
        <v>14073</v>
      </c>
    </row>
    <row r="2701" spans="1:5" hidden="1" x14ac:dyDescent="0.3">
      <c r="A2701" s="50" t="s">
        <v>608</v>
      </c>
      <c r="B2701" s="50" t="s">
        <v>607</v>
      </c>
      <c r="D2701" s="51">
        <v>0</v>
      </c>
      <c r="E2701" s="50">
        <v>0</v>
      </c>
    </row>
    <row r="2702" spans="1:5" ht="28.8" hidden="1" x14ac:dyDescent="0.3">
      <c r="A2702" s="50" t="s">
        <v>606</v>
      </c>
      <c r="B2702" s="50" t="s">
        <v>605</v>
      </c>
      <c r="D2702" s="51">
        <v>0</v>
      </c>
      <c r="E2702" s="50">
        <v>0</v>
      </c>
    </row>
    <row r="2703" spans="1:5" hidden="1" x14ac:dyDescent="0.3">
      <c r="A2703" s="50" t="s">
        <v>604</v>
      </c>
      <c r="B2703" s="50" t="s">
        <v>603</v>
      </c>
      <c r="D2703" s="51">
        <v>52.19</v>
      </c>
      <c r="E2703" s="50">
        <v>52.19</v>
      </c>
    </row>
    <row r="2704" spans="1:5" hidden="1" x14ac:dyDescent="0.3">
      <c r="A2704" s="50" t="s">
        <v>602</v>
      </c>
      <c r="B2704" s="50" t="s">
        <v>601</v>
      </c>
      <c r="D2704" s="51">
        <v>48.65</v>
      </c>
      <c r="E2704" s="50">
        <v>48.65</v>
      </c>
    </row>
    <row r="2705" spans="1:5" ht="43.2" hidden="1" x14ac:dyDescent="0.3">
      <c r="A2705" s="50" t="s">
        <v>600</v>
      </c>
      <c r="B2705" s="50" t="s">
        <v>599</v>
      </c>
      <c r="D2705" s="51">
        <v>55.88</v>
      </c>
      <c r="E2705" s="50">
        <v>55.88</v>
      </c>
    </row>
    <row r="2706" spans="1:5" ht="43.2" hidden="1" x14ac:dyDescent="0.3">
      <c r="A2706" s="50" t="s">
        <v>598</v>
      </c>
      <c r="B2706" s="50" t="s">
        <v>597</v>
      </c>
      <c r="D2706" s="51">
        <v>58.79</v>
      </c>
      <c r="E2706" s="50">
        <v>58.79</v>
      </c>
    </row>
    <row r="2707" spans="1:5" ht="43.2" hidden="1" x14ac:dyDescent="0.3">
      <c r="A2707" s="50" t="s">
        <v>596</v>
      </c>
      <c r="B2707" s="50" t="s">
        <v>595</v>
      </c>
      <c r="D2707" s="51">
        <v>63.34</v>
      </c>
      <c r="E2707" s="50">
        <v>63.34</v>
      </c>
    </row>
    <row r="2708" spans="1:5" ht="28.8" hidden="1" x14ac:dyDescent="0.3">
      <c r="A2708" s="50" t="s">
        <v>594</v>
      </c>
      <c r="B2708" s="50" t="s">
        <v>593</v>
      </c>
      <c r="D2708" s="51">
        <v>73.27</v>
      </c>
      <c r="E2708" s="50">
        <v>73.27</v>
      </c>
    </row>
    <row r="2709" spans="1:5" ht="43.2" hidden="1" x14ac:dyDescent="0.3">
      <c r="A2709" s="50" t="s">
        <v>592</v>
      </c>
      <c r="B2709" s="50" t="s">
        <v>591</v>
      </c>
      <c r="D2709" s="51">
        <v>65.98</v>
      </c>
      <c r="E2709" s="50">
        <v>65.98</v>
      </c>
    </row>
    <row r="2710" spans="1:5" ht="43.2" hidden="1" x14ac:dyDescent="0.3">
      <c r="A2710" s="50" t="s">
        <v>590</v>
      </c>
      <c r="B2710" s="50" t="s">
        <v>589</v>
      </c>
      <c r="D2710" s="51">
        <v>69.58</v>
      </c>
      <c r="E2710" s="50">
        <v>69.58</v>
      </c>
    </row>
    <row r="2711" spans="1:5" ht="28.8" hidden="1" x14ac:dyDescent="0.3">
      <c r="A2711" s="50" t="s">
        <v>588</v>
      </c>
      <c r="B2711" s="50" t="s">
        <v>587</v>
      </c>
      <c r="C2711" s="50" t="s">
        <v>581</v>
      </c>
      <c r="D2711" s="51">
        <v>990.91</v>
      </c>
      <c r="E2711" s="50">
        <v>990.91</v>
      </c>
    </row>
    <row r="2712" spans="1:5" ht="28.8" hidden="1" x14ac:dyDescent="0.3">
      <c r="A2712" s="50" t="s">
        <v>586</v>
      </c>
      <c r="B2712" s="50" t="s">
        <v>585</v>
      </c>
      <c r="C2712" s="50" t="s">
        <v>581</v>
      </c>
      <c r="D2712" s="50" t="s">
        <v>584</v>
      </c>
      <c r="E2712" s="50">
        <v>1008.06</v>
      </c>
    </row>
    <row r="2713" spans="1:5" ht="28.8" hidden="1" x14ac:dyDescent="0.3">
      <c r="A2713" s="50" t="s">
        <v>583</v>
      </c>
      <c r="B2713" s="50" t="s">
        <v>582</v>
      </c>
      <c r="C2713" s="50" t="s">
        <v>581</v>
      </c>
      <c r="D2713" s="50" t="s">
        <v>580</v>
      </c>
      <c r="E2713" s="50">
        <v>1188.07</v>
      </c>
    </row>
    <row r="2714" spans="1:5" hidden="1" x14ac:dyDescent="0.3">
      <c r="A2714" s="50" t="s">
        <v>579</v>
      </c>
      <c r="B2714" s="50" t="s">
        <v>578</v>
      </c>
      <c r="D2714" s="51">
        <v>0</v>
      </c>
      <c r="E2714" s="50">
        <v>0</v>
      </c>
    </row>
    <row r="2715" spans="1:5" ht="28.8" hidden="1" x14ac:dyDescent="0.3">
      <c r="A2715" s="50" t="s">
        <v>577</v>
      </c>
      <c r="B2715" s="50" t="s">
        <v>576</v>
      </c>
      <c r="D2715" s="51">
        <v>0</v>
      </c>
      <c r="E2715" s="50">
        <v>0</v>
      </c>
    </row>
    <row r="2716" spans="1:5" hidden="1" x14ac:dyDescent="0.3">
      <c r="A2716" s="50" t="s">
        <v>575</v>
      </c>
      <c r="B2716" s="50" t="s">
        <v>572</v>
      </c>
      <c r="D2716" s="51">
        <v>0</v>
      </c>
      <c r="E2716" s="50">
        <v>0</v>
      </c>
    </row>
    <row r="2717" spans="1:5" ht="28.8" hidden="1" x14ac:dyDescent="0.3">
      <c r="A2717" s="50" t="s">
        <v>574</v>
      </c>
      <c r="B2717" s="50" t="s">
        <v>573</v>
      </c>
      <c r="D2717" s="51">
        <v>0</v>
      </c>
      <c r="E2717" s="50">
        <v>0</v>
      </c>
    </row>
    <row r="2718" spans="1:5" hidden="1" x14ac:dyDescent="0.3">
      <c r="A2718" s="50" t="s">
        <v>572</v>
      </c>
      <c r="B2718" s="50" t="s">
        <v>571</v>
      </c>
      <c r="D2718" s="51">
        <v>0</v>
      </c>
      <c r="E2718" s="50">
        <v>0</v>
      </c>
    </row>
    <row r="2719" spans="1:5" ht="28.8" hidden="1" x14ac:dyDescent="0.3">
      <c r="A2719" s="50" t="s">
        <v>570</v>
      </c>
      <c r="B2719" s="50" t="s">
        <v>569</v>
      </c>
      <c r="D2719" s="51">
        <v>0</v>
      </c>
      <c r="E2719" s="50">
        <v>0</v>
      </c>
    </row>
    <row r="2720" spans="1:5" ht="28.8" hidden="1" x14ac:dyDescent="0.3">
      <c r="A2720" s="50" t="s">
        <v>568</v>
      </c>
      <c r="B2720" s="50" t="s">
        <v>567</v>
      </c>
      <c r="D2720" s="51">
        <v>0</v>
      </c>
      <c r="E2720" s="50">
        <v>0</v>
      </c>
    </row>
    <row r="2721" spans="1:5" ht="28.8" hidden="1" x14ac:dyDescent="0.3">
      <c r="A2721" s="50" t="s">
        <v>566</v>
      </c>
      <c r="B2721" s="50" t="s">
        <v>565</v>
      </c>
      <c r="D2721" s="51">
        <v>0</v>
      </c>
      <c r="E2721" s="50">
        <v>0</v>
      </c>
    </row>
    <row r="2722" spans="1:5" hidden="1" x14ac:dyDescent="0.3">
      <c r="A2722" s="50" t="s">
        <v>564</v>
      </c>
      <c r="B2722" s="50" t="s">
        <v>563</v>
      </c>
      <c r="D2722" s="51">
        <v>0</v>
      </c>
      <c r="E2722" s="50">
        <v>0</v>
      </c>
    </row>
    <row r="2723" spans="1:5" ht="28.8" hidden="1" x14ac:dyDescent="0.3">
      <c r="A2723" s="50" t="s">
        <v>562</v>
      </c>
      <c r="B2723" s="50" t="s">
        <v>561</v>
      </c>
      <c r="C2723" s="50" t="s">
        <v>196</v>
      </c>
      <c r="D2723" s="51">
        <v>0</v>
      </c>
      <c r="E2723" s="50">
        <v>0</v>
      </c>
    </row>
    <row r="2724" spans="1:5" hidden="1" x14ac:dyDescent="0.3">
      <c r="A2724" s="50" t="s">
        <v>560</v>
      </c>
      <c r="B2724" s="50" t="s">
        <v>559</v>
      </c>
      <c r="D2724" s="51">
        <v>0</v>
      </c>
      <c r="E2724" s="50">
        <v>0</v>
      </c>
    </row>
    <row r="2725" spans="1:5" hidden="1" x14ac:dyDescent="0.3">
      <c r="A2725" s="50" t="s">
        <v>558</v>
      </c>
      <c r="B2725" s="50" t="s">
        <v>557</v>
      </c>
      <c r="D2725" s="51">
        <v>0</v>
      </c>
      <c r="E2725" s="50">
        <v>0</v>
      </c>
    </row>
    <row r="2726" spans="1:5" ht="28.8" hidden="1" x14ac:dyDescent="0.3">
      <c r="A2726" s="50" t="s">
        <v>556</v>
      </c>
      <c r="B2726" s="50" t="s">
        <v>555</v>
      </c>
      <c r="D2726" s="51">
        <v>0</v>
      </c>
      <c r="E2726" s="50">
        <v>0</v>
      </c>
    </row>
    <row r="2727" spans="1:5" ht="28.8" hidden="1" x14ac:dyDescent="0.3">
      <c r="A2727" s="50" t="s">
        <v>554</v>
      </c>
      <c r="B2727" s="50" t="s">
        <v>553</v>
      </c>
      <c r="D2727" s="51">
        <v>0</v>
      </c>
      <c r="E2727" s="50">
        <v>0</v>
      </c>
    </row>
    <row r="2728" spans="1:5" hidden="1" x14ac:dyDescent="0.3">
      <c r="A2728" s="50" t="s">
        <v>552</v>
      </c>
      <c r="B2728" s="50" t="s">
        <v>551</v>
      </c>
      <c r="C2728" s="50" t="s">
        <v>533</v>
      </c>
      <c r="D2728" s="51">
        <v>0</v>
      </c>
      <c r="E2728" s="50">
        <v>0</v>
      </c>
    </row>
    <row r="2729" spans="1:5" ht="28.8" hidden="1" x14ac:dyDescent="0.3">
      <c r="A2729" s="50" t="s">
        <v>550</v>
      </c>
      <c r="B2729" s="50" t="s">
        <v>549</v>
      </c>
      <c r="D2729" s="50" t="s">
        <v>548</v>
      </c>
      <c r="E2729" s="50">
        <v>8161.02</v>
      </c>
    </row>
    <row r="2730" spans="1:5" hidden="1" x14ac:dyDescent="0.3">
      <c r="A2730" s="50" t="s">
        <v>547</v>
      </c>
      <c r="B2730" s="50" t="s">
        <v>546</v>
      </c>
      <c r="D2730" s="51">
        <v>0</v>
      </c>
      <c r="E2730" s="50">
        <v>0</v>
      </c>
    </row>
    <row r="2731" spans="1:5" hidden="1" x14ac:dyDescent="0.3">
      <c r="A2731" s="50" t="s">
        <v>545</v>
      </c>
      <c r="B2731" s="50" t="s">
        <v>544</v>
      </c>
      <c r="D2731" s="51">
        <v>0</v>
      </c>
      <c r="E2731" s="50">
        <v>0</v>
      </c>
    </row>
    <row r="2732" spans="1:5" hidden="1" x14ac:dyDescent="0.3">
      <c r="A2732" s="50" t="s">
        <v>543</v>
      </c>
      <c r="B2732" s="50" t="s">
        <v>542</v>
      </c>
      <c r="D2732" s="51">
        <v>0</v>
      </c>
      <c r="E2732" s="50">
        <v>0</v>
      </c>
    </row>
    <row r="2733" spans="1:5" hidden="1" x14ac:dyDescent="0.3">
      <c r="A2733" s="50" t="s">
        <v>541</v>
      </c>
      <c r="B2733" s="50" t="s">
        <v>540</v>
      </c>
      <c r="C2733" s="50" t="s">
        <v>533</v>
      </c>
      <c r="D2733" s="50" t="s">
        <v>539</v>
      </c>
      <c r="E2733" s="50">
        <v>0</v>
      </c>
    </row>
    <row r="2734" spans="1:5" hidden="1" x14ac:dyDescent="0.3">
      <c r="A2734" s="50" t="s">
        <v>538</v>
      </c>
      <c r="B2734" s="50" t="s">
        <v>537</v>
      </c>
      <c r="C2734" s="50" t="s">
        <v>533</v>
      </c>
      <c r="D2734" s="50" t="s">
        <v>536</v>
      </c>
      <c r="E2734" s="50">
        <v>0</v>
      </c>
    </row>
    <row r="2735" spans="1:5" hidden="1" x14ac:dyDescent="0.3">
      <c r="A2735" s="50" t="s">
        <v>535</v>
      </c>
      <c r="B2735" s="50" t="s">
        <v>534</v>
      </c>
      <c r="C2735" s="50" t="s">
        <v>533</v>
      </c>
      <c r="D2735" s="50" t="s">
        <v>532</v>
      </c>
      <c r="E2735" s="50">
        <v>0</v>
      </c>
    </row>
    <row r="2736" spans="1:5" hidden="1" x14ac:dyDescent="0.3">
      <c r="A2736" s="50" t="s">
        <v>531</v>
      </c>
      <c r="B2736" s="50" t="s">
        <v>530</v>
      </c>
      <c r="D2736" s="51">
        <v>0</v>
      </c>
      <c r="E2736" s="50">
        <v>0</v>
      </c>
    </row>
    <row r="2737" spans="1:5" ht="28.8" hidden="1" x14ac:dyDescent="0.3">
      <c r="A2737" s="50" t="s">
        <v>529</v>
      </c>
      <c r="B2737" s="50" t="s">
        <v>528</v>
      </c>
      <c r="D2737" s="50" t="s">
        <v>527</v>
      </c>
      <c r="E2737" s="50">
        <v>3511.5</v>
      </c>
    </row>
    <row r="2738" spans="1:5" hidden="1" x14ac:dyDescent="0.3">
      <c r="A2738" s="50" t="s">
        <v>526</v>
      </c>
      <c r="B2738" s="50" t="s">
        <v>525</v>
      </c>
      <c r="D2738" s="51">
        <v>0</v>
      </c>
      <c r="E2738" s="50">
        <v>0</v>
      </c>
    </row>
    <row r="2739" spans="1:5" ht="28.8" hidden="1" x14ac:dyDescent="0.3">
      <c r="A2739" s="50" t="s">
        <v>524</v>
      </c>
      <c r="B2739" s="50" t="s">
        <v>523</v>
      </c>
      <c r="D2739" s="51">
        <v>0</v>
      </c>
      <c r="E2739" s="50">
        <v>0</v>
      </c>
    </row>
    <row r="2740" spans="1:5" hidden="1" x14ac:dyDescent="0.3">
      <c r="A2740" s="50" t="s">
        <v>522</v>
      </c>
      <c r="B2740" s="50" t="s">
        <v>521</v>
      </c>
      <c r="D2740" s="51">
        <v>169</v>
      </c>
      <c r="E2740" s="50">
        <v>169</v>
      </c>
    </row>
    <row r="2741" spans="1:5" ht="28.8" hidden="1" x14ac:dyDescent="0.3">
      <c r="A2741" s="50" t="s">
        <v>520</v>
      </c>
      <c r="B2741" s="50" t="s">
        <v>519</v>
      </c>
      <c r="D2741" s="50" t="s">
        <v>518</v>
      </c>
      <c r="E2741" s="50">
        <v>15923.7</v>
      </c>
    </row>
    <row r="2742" spans="1:5" hidden="1" x14ac:dyDescent="0.3">
      <c r="A2742" s="50" t="s">
        <v>517</v>
      </c>
      <c r="B2742" s="50" t="s">
        <v>516</v>
      </c>
      <c r="D2742" s="51">
        <v>0</v>
      </c>
      <c r="E2742" s="50">
        <v>0</v>
      </c>
    </row>
    <row r="2743" spans="1:5" hidden="1" x14ac:dyDescent="0.3">
      <c r="A2743" s="50" t="s">
        <v>515</v>
      </c>
      <c r="B2743" s="50" t="s">
        <v>514</v>
      </c>
      <c r="D2743" s="51">
        <v>430.34</v>
      </c>
      <c r="E2743" s="50">
        <v>430.34</v>
      </c>
    </row>
    <row r="2744" spans="1:5" hidden="1" x14ac:dyDescent="0.3">
      <c r="A2744" s="50" t="s">
        <v>513</v>
      </c>
      <c r="B2744" s="50" t="s">
        <v>512</v>
      </c>
      <c r="D2744" s="51">
        <v>0</v>
      </c>
      <c r="E2744" s="50">
        <v>0</v>
      </c>
    </row>
    <row r="2745" spans="1:5" hidden="1" x14ac:dyDescent="0.3">
      <c r="A2745" s="50" t="s">
        <v>511</v>
      </c>
      <c r="B2745" s="50" t="s">
        <v>510</v>
      </c>
      <c r="D2745" s="50" t="s">
        <v>509</v>
      </c>
      <c r="E2745" s="50">
        <v>1115.22</v>
      </c>
    </row>
    <row r="2746" spans="1:5" ht="28.8" hidden="1" x14ac:dyDescent="0.3">
      <c r="A2746" s="50" t="s">
        <v>508</v>
      </c>
      <c r="B2746" s="50" t="s">
        <v>508</v>
      </c>
      <c r="D2746" s="51">
        <v>0</v>
      </c>
      <c r="E2746" s="50">
        <v>1085.46</v>
      </c>
    </row>
    <row r="2747" spans="1:5" hidden="1" x14ac:dyDescent="0.3">
      <c r="A2747" s="50" t="s">
        <v>507</v>
      </c>
      <c r="B2747" s="50" t="s">
        <v>506</v>
      </c>
      <c r="D2747" s="51">
        <v>5.22</v>
      </c>
      <c r="E2747" s="50">
        <v>5.22</v>
      </c>
    </row>
    <row r="2748" spans="1:5" ht="28.8" hidden="1" x14ac:dyDescent="0.3">
      <c r="A2748" s="50" t="s">
        <v>503</v>
      </c>
      <c r="B2748" s="50" t="s">
        <v>505</v>
      </c>
      <c r="D2748" s="51">
        <v>175.85</v>
      </c>
      <c r="E2748" s="50">
        <v>175.85</v>
      </c>
    </row>
    <row r="2749" spans="1:5" ht="28.8" hidden="1" x14ac:dyDescent="0.3">
      <c r="A2749" s="50" t="s">
        <v>504</v>
      </c>
      <c r="B2749" s="50" t="s">
        <v>503</v>
      </c>
      <c r="D2749" s="51">
        <v>175.85</v>
      </c>
      <c r="E2749" s="50">
        <v>175.85</v>
      </c>
    </row>
    <row r="2750" spans="1:5" hidden="1" x14ac:dyDescent="0.3">
      <c r="A2750" s="50" t="s">
        <v>502</v>
      </c>
      <c r="B2750" s="50" t="s">
        <v>501</v>
      </c>
      <c r="D2750" s="51">
        <v>701.67</v>
      </c>
      <c r="E2750" s="50">
        <v>701.67</v>
      </c>
    </row>
    <row r="2751" spans="1:5" ht="28.8" hidden="1" x14ac:dyDescent="0.3">
      <c r="A2751" s="50" t="s">
        <v>500</v>
      </c>
      <c r="B2751" s="50" t="s">
        <v>499</v>
      </c>
      <c r="D2751" s="50" t="s">
        <v>498</v>
      </c>
      <c r="E2751" s="50">
        <v>11638.05</v>
      </c>
    </row>
    <row r="2752" spans="1:5" hidden="1" x14ac:dyDescent="0.3">
      <c r="A2752" s="50" t="s">
        <v>497</v>
      </c>
      <c r="B2752" s="50" t="s">
        <v>497</v>
      </c>
      <c r="C2752" s="50" t="s">
        <v>496</v>
      </c>
      <c r="D2752" s="51">
        <v>0</v>
      </c>
      <c r="E2752" s="50">
        <v>0</v>
      </c>
    </row>
    <row r="2753" spans="1:5" ht="43.2" hidden="1" x14ac:dyDescent="0.3">
      <c r="A2753" s="50" t="s">
        <v>495</v>
      </c>
      <c r="B2753" s="50" t="s">
        <v>494</v>
      </c>
      <c r="D2753" s="51">
        <v>0</v>
      </c>
      <c r="E2753" s="50">
        <v>0</v>
      </c>
    </row>
    <row r="2754" spans="1:5" ht="28.8" hidden="1" x14ac:dyDescent="0.3">
      <c r="A2754" s="50" t="s">
        <v>493</v>
      </c>
      <c r="B2754" s="50" t="s">
        <v>492</v>
      </c>
      <c r="D2754" s="50" t="s">
        <v>491</v>
      </c>
      <c r="E2754" s="50">
        <v>7180</v>
      </c>
    </row>
  </sheetData>
  <autoFilter ref="A1:E2754" xr:uid="{F9DDA62C-8B05-4E4B-9B04-D76EF31BBE8C}">
    <filterColumn colId="2">
      <filters>
        <filter val="CAS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W-shop Calc</vt:lpstr>
      <vt:lpstr>W-shop RPT</vt:lpstr>
      <vt:lpstr>W-shop Report Total</vt:lpstr>
      <vt:lpstr>W-shop Rpt Total + Plnd</vt:lpstr>
      <vt:lpstr>Replenishment</vt:lpstr>
      <vt:lpstr>Sheet2</vt:lpstr>
      <vt:lpstr>Sheet1</vt:lpstr>
      <vt:lpstr>ItemListingReport</vt:lpstr>
      <vt:lpstr>Replenishment!Print_Area</vt:lpstr>
      <vt:lpstr>'W-shop Report Total'!Print_Area</vt:lpstr>
      <vt:lpstr>'W-shop Rpt Total + Plnd'!Print_Area</vt:lpstr>
      <vt:lpstr>'W-shop Calc'!Print_Titles</vt:lpstr>
      <vt:lpstr>'W-shop Report Total'!Print_Titles</vt:lpstr>
      <vt:lpstr>'W-shop RPT'!Print_Titles</vt:lpstr>
      <vt:lpstr>'W-shop Rpt Total + Plnd'!Print_Titles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2026-03-19T08:16:31Z</cp:lastPrinted>
  <dcterms:created xsi:type="dcterms:W3CDTF">2026-02-09T03:34:08Z</dcterms:created>
  <dcterms:modified xsi:type="dcterms:W3CDTF">2026-03-23T22:15:55Z</dcterms:modified>
</cp:coreProperties>
</file>