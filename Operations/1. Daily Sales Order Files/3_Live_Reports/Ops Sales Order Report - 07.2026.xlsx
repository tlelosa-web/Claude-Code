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Dev\Operations\1. Daily Sales Order Files\3_Live_Reports\"/>
    </mc:Choice>
  </mc:AlternateContent>
  <xr:revisionPtr revIDLastSave="0" documentId="13_ncr:1_{E712F38F-625E-48A5-8964-59066557924F}" xr6:coauthVersionLast="47" xr6:coauthVersionMax="47" xr10:uidLastSave="{00000000-0000-0000-0000-000000000000}"/>
  <bookViews>
    <workbookView xWindow="-108" yWindow="-108" windowWidth="23256" windowHeight="12456" firstSheet="15" activeTab="21" xr2:uid="{00000000-000D-0000-FFFF-FFFF00000000}"/>
  </bookViews>
  <sheets>
    <sheet name="29.06.2026" sheetId="1" r:id="rId1"/>
    <sheet name="01.07.2026" sheetId="2" r:id="rId2"/>
    <sheet name="02.07.2026" sheetId="3" r:id="rId3"/>
    <sheet name="03.07.2026" sheetId="4" r:id="rId4"/>
    <sheet name="06.07.2026" sheetId="5" r:id="rId5"/>
    <sheet name="07.07.2026" sheetId="6" r:id="rId6"/>
    <sheet name="08.07.2026" sheetId="7" r:id="rId7"/>
    <sheet name="09.07.2026" sheetId="8" r:id="rId8"/>
    <sheet name="10.07.2026" sheetId="9" r:id="rId9"/>
    <sheet name="13.07.2026" sheetId="10" r:id="rId10"/>
    <sheet name="14.07.2026" sheetId="11" r:id="rId11"/>
    <sheet name="15.07.2026" sheetId="12" r:id="rId12"/>
    <sheet name="16.07.2026" sheetId="13" r:id="rId13"/>
    <sheet name="17.07.2026" sheetId="14" r:id="rId14"/>
    <sheet name="21.07.2026" sheetId="15" r:id="rId15"/>
    <sheet name="22.07.2026" sheetId="16" r:id="rId16"/>
    <sheet name="23.07.2026" sheetId="17" r:id="rId17"/>
    <sheet name="24.07.2026" sheetId="18" r:id="rId18"/>
    <sheet name="27.07.2026" sheetId="19" r:id="rId19"/>
    <sheet name="28.07.2026" sheetId="20" r:id="rId20"/>
    <sheet name="30.07.2026" sheetId="21" r:id="rId21"/>
    <sheet name="Monthly INV - 07.2026" sheetId="22" r:id="rId22"/>
  </sheets>
  <definedNames>
    <definedName name="_xlnm.Print_Area" localSheetId="1">'01.07.2026'!$A$1:$L$38</definedName>
    <definedName name="_xlnm.Print_Area" localSheetId="2">'02.07.2026'!$A$1:$L$34</definedName>
    <definedName name="_xlnm.Print_Area" localSheetId="3">'03.07.2026'!$A$1:$L$39</definedName>
    <definedName name="_xlnm.Print_Area" localSheetId="4">'06.07.2026'!$A$1:$L$46</definedName>
    <definedName name="_xlnm.Print_Area" localSheetId="5">'07.07.2026'!$A$1:$L$42</definedName>
    <definedName name="_xlnm.Print_Area" localSheetId="6">'08.07.2026'!$A$1:$L$41</definedName>
    <definedName name="_xlnm.Print_Area" localSheetId="7">'09.07.2026'!$A$1:$L$38</definedName>
    <definedName name="_xlnm.Print_Area" localSheetId="8">'10.07.2026'!$A$1:$L$43</definedName>
    <definedName name="_xlnm.Print_Area" localSheetId="9">'13.07.2026'!$A$1:$L$49</definedName>
    <definedName name="_xlnm.Print_Area" localSheetId="10">'14.07.2026'!$A$1:$L$34</definedName>
    <definedName name="_xlnm.Print_Area" localSheetId="11">'15.07.2026'!$A$1:$L$44</definedName>
    <definedName name="_xlnm.Print_Area" localSheetId="12">'16.07.2026'!$A$1:$L$48</definedName>
    <definedName name="_xlnm.Print_Area" localSheetId="13">'17.07.2026'!$A$1:$L$46</definedName>
    <definedName name="_xlnm.Print_Area" localSheetId="14">'21.07.2026'!$A$1:$L$43</definedName>
    <definedName name="_xlnm.Print_Area" localSheetId="15">'22.07.2026'!$A$1:$L$32</definedName>
    <definedName name="_xlnm.Print_Area" localSheetId="16">'23.07.2026'!$A$1:$L$35</definedName>
    <definedName name="_xlnm.Print_Area" localSheetId="17">'24.07.2026'!$A$1:$L$32</definedName>
    <definedName name="_xlnm.Print_Area" localSheetId="18">'27.07.2026'!$A$1:$L$38</definedName>
    <definedName name="_xlnm.Print_Area" localSheetId="19">'28.07.2026'!$A$1:$L$43</definedName>
    <definedName name="_xlnm.Print_Area" localSheetId="0">'29.06.2026'!$A$1:$L$36</definedName>
    <definedName name="_xlnm.Print_Area" localSheetId="20">'30.07.2026'!$A$1:$L$47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1" i="22" l="1"/>
  <c r="C5" i="22"/>
  <c r="G44" i="21"/>
  <c r="G42" i="21"/>
  <c r="G31" i="21"/>
  <c r="L30" i="21"/>
  <c r="L24" i="21"/>
  <c r="L23" i="21"/>
  <c r="L22" i="21"/>
  <c r="L21" i="21"/>
  <c r="L20" i="21"/>
  <c r="L19" i="21"/>
  <c r="L18" i="21"/>
  <c r="L17" i="21"/>
  <c r="L16" i="21"/>
  <c r="L15" i="21"/>
  <c r="L14" i="21"/>
  <c r="L12" i="21"/>
  <c r="L11" i="21"/>
  <c r="L10" i="21"/>
  <c r="L29" i="21"/>
  <c r="L28" i="21"/>
  <c r="L27" i="21"/>
  <c r="L26" i="21"/>
  <c r="L25" i="21"/>
  <c r="L9" i="21"/>
  <c r="L8" i="21"/>
  <c r="L13" i="21"/>
  <c r="L7" i="21"/>
  <c r="L6" i="21"/>
  <c r="L5" i="21"/>
  <c r="L4" i="21"/>
  <c r="L3" i="21"/>
  <c r="K1" i="21"/>
  <c r="G35" i="19"/>
  <c r="G33" i="19"/>
  <c r="J26" i="19"/>
  <c r="G26" i="19"/>
  <c r="G22" i="19"/>
  <c r="L21" i="19"/>
  <c r="L20" i="19"/>
  <c r="L19" i="19"/>
  <c r="L18" i="19"/>
  <c r="L17" i="19"/>
  <c r="L16" i="19"/>
  <c r="L15" i="19"/>
  <c r="L14" i="19"/>
  <c r="L13" i="19"/>
  <c r="L12" i="19"/>
  <c r="L11" i="19"/>
  <c r="L10" i="19"/>
  <c r="L9" i="19"/>
  <c r="L8" i="19"/>
  <c r="J25" i="19" s="1"/>
  <c r="L7" i="19"/>
  <c r="L6" i="19"/>
  <c r="L5" i="19"/>
  <c r="L4" i="19"/>
  <c r="L3" i="19"/>
  <c r="K1" i="19"/>
  <c r="G29" i="18"/>
  <c r="G27" i="18"/>
  <c r="G23" i="18"/>
  <c r="J22" i="18"/>
  <c r="G19" i="18"/>
  <c r="L18" i="18"/>
  <c r="L17" i="18"/>
  <c r="L16" i="18"/>
  <c r="L15" i="18"/>
  <c r="L14" i="18"/>
  <c r="L13" i="18"/>
  <c r="L12" i="18"/>
  <c r="L11" i="18"/>
  <c r="L10" i="18"/>
  <c r="L9" i="18"/>
  <c r="L8" i="18"/>
  <c r="L7" i="18"/>
  <c r="L6" i="18"/>
  <c r="L5" i="18"/>
  <c r="J23" i="18" s="1"/>
  <c r="L4" i="18"/>
  <c r="G22" i="18" s="1"/>
  <c r="L3" i="18"/>
  <c r="K1" i="18"/>
  <c r="G30" i="17"/>
  <c r="G28" i="17"/>
  <c r="J22" i="17"/>
  <c r="G18" i="17"/>
  <c r="L17" i="17"/>
  <c r="L16" i="17"/>
  <c r="L15" i="17"/>
  <c r="L14" i="17"/>
  <c r="L13" i="17"/>
  <c r="L12" i="17"/>
  <c r="L11" i="17"/>
  <c r="L10" i="17"/>
  <c r="L9" i="17"/>
  <c r="L8" i="17"/>
  <c r="L7" i="17"/>
  <c r="L6" i="17"/>
  <c r="L5" i="17"/>
  <c r="L4" i="17"/>
  <c r="J21" i="17" s="1"/>
  <c r="L3" i="17"/>
  <c r="G22" i="17" s="1"/>
  <c r="K1" i="17"/>
  <c r="G29" i="16"/>
  <c r="G27" i="16"/>
  <c r="G18" i="16"/>
  <c r="L17" i="16"/>
  <c r="L16" i="16"/>
  <c r="L15" i="16"/>
  <c r="L14" i="16"/>
  <c r="L13" i="16"/>
  <c r="L12" i="16"/>
  <c r="L11" i="16"/>
  <c r="L10" i="16"/>
  <c r="L9" i="16"/>
  <c r="L8" i="16"/>
  <c r="L7" i="16"/>
  <c r="L6" i="16"/>
  <c r="L5" i="16"/>
  <c r="G22" i="16" s="1"/>
  <c r="L4" i="16"/>
  <c r="L3" i="16"/>
  <c r="J21" i="16" s="1"/>
  <c r="K1" i="16"/>
  <c r="G40" i="15"/>
  <c r="G38" i="15"/>
  <c r="J29" i="15"/>
  <c r="G25" i="15"/>
  <c r="L24" i="15"/>
  <c r="L23" i="15"/>
  <c r="L22" i="15"/>
  <c r="L21" i="15"/>
  <c r="L20" i="15"/>
  <c r="L19" i="15"/>
  <c r="L18" i="15"/>
  <c r="L17" i="15"/>
  <c r="L16" i="15"/>
  <c r="L15" i="15"/>
  <c r="L14" i="15"/>
  <c r="L13" i="15"/>
  <c r="L12" i="15"/>
  <c r="L11" i="15"/>
  <c r="L10" i="15"/>
  <c r="L9" i="15"/>
  <c r="L8" i="15"/>
  <c r="L7" i="15"/>
  <c r="L6" i="15"/>
  <c r="L5" i="15"/>
  <c r="L4" i="15"/>
  <c r="G29" i="15" s="1"/>
  <c r="L3" i="15"/>
  <c r="J28" i="15" s="1"/>
  <c r="K1" i="15"/>
  <c r="G43" i="14"/>
  <c r="G41" i="14"/>
  <c r="G31" i="14"/>
  <c r="J30" i="14"/>
  <c r="G27" i="14"/>
  <c r="L26" i="14"/>
  <c r="L25" i="14"/>
  <c r="L24" i="14"/>
  <c r="L23" i="14"/>
  <c r="L22" i="14"/>
  <c r="L21" i="14"/>
  <c r="L20" i="14"/>
  <c r="L19" i="14"/>
  <c r="L18" i="14"/>
  <c r="L17" i="14"/>
  <c r="L16" i="14"/>
  <c r="L15" i="14"/>
  <c r="L14" i="14"/>
  <c r="L13" i="14"/>
  <c r="L12" i="14"/>
  <c r="L11" i="14"/>
  <c r="L10" i="14"/>
  <c r="L9" i="14"/>
  <c r="L8" i="14"/>
  <c r="L7" i="14"/>
  <c r="L6" i="14"/>
  <c r="L5" i="14"/>
  <c r="L4" i="14"/>
  <c r="J31" i="14" s="1"/>
  <c r="L3" i="14"/>
  <c r="G30" i="14" s="1"/>
  <c r="K1" i="14"/>
  <c r="G43" i="13"/>
  <c r="G41" i="13"/>
  <c r="G31" i="13"/>
  <c r="J30" i="13"/>
  <c r="G27" i="13"/>
  <c r="L26" i="13"/>
  <c r="L25" i="13"/>
  <c r="L24" i="13"/>
  <c r="L23" i="13"/>
  <c r="L22" i="13"/>
  <c r="L21" i="13"/>
  <c r="L20" i="13"/>
  <c r="L19" i="13"/>
  <c r="L18" i="13"/>
  <c r="L17" i="13"/>
  <c r="L16" i="13"/>
  <c r="L15" i="13"/>
  <c r="J31" i="13" s="1"/>
  <c r="L14" i="13"/>
  <c r="L13" i="13"/>
  <c r="L12" i="13"/>
  <c r="L11" i="13"/>
  <c r="L10" i="13"/>
  <c r="L9" i="13"/>
  <c r="L8" i="13"/>
  <c r="L7" i="13"/>
  <c r="L6" i="13"/>
  <c r="L5" i="13"/>
  <c r="L4" i="13"/>
  <c r="L3" i="13"/>
  <c r="G30" i="13" s="1"/>
  <c r="K1" i="13"/>
  <c r="G41" i="12"/>
  <c r="G39" i="12"/>
  <c r="G31" i="12"/>
  <c r="J30" i="12"/>
  <c r="G27" i="12"/>
  <c r="L26" i="12"/>
  <c r="L25" i="12"/>
  <c r="L24" i="12"/>
  <c r="L23" i="12"/>
  <c r="L22" i="12"/>
  <c r="L21" i="12"/>
  <c r="L20" i="12"/>
  <c r="L19" i="12"/>
  <c r="L18" i="12"/>
  <c r="L17" i="12"/>
  <c r="L16" i="12"/>
  <c r="L15" i="12"/>
  <c r="J31" i="12" s="1"/>
  <c r="L14" i="12"/>
  <c r="L13" i="12"/>
  <c r="L12" i="12"/>
  <c r="L11" i="12"/>
  <c r="L10" i="12"/>
  <c r="L9" i="12"/>
  <c r="L8" i="12"/>
  <c r="L7" i="12"/>
  <c r="L6" i="12"/>
  <c r="L5" i="12"/>
  <c r="L4" i="12"/>
  <c r="L3" i="12"/>
  <c r="G30" i="12" s="1"/>
  <c r="K1" i="12"/>
  <c r="G31" i="11"/>
  <c r="G29" i="11"/>
  <c r="G24" i="11"/>
  <c r="J23" i="11"/>
  <c r="G20" i="11"/>
  <c r="L19" i="11"/>
  <c r="L18" i="11"/>
  <c r="L17" i="11"/>
  <c r="L16" i="11"/>
  <c r="L15" i="11"/>
  <c r="L14" i="11"/>
  <c r="L13" i="11"/>
  <c r="L12" i="11"/>
  <c r="L11" i="11"/>
  <c r="L10" i="11"/>
  <c r="L9" i="11"/>
  <c r="L8" i="11"/>
  <c r="J24" i="11" s="1"/>
  <c r="L7" i="11"/>
  <c r="L6" i="11"/>
  <c r="L5" i="11"/>
  <c r="L4" i="11"/>
  <c r="G23" i="11" s="1"/>
  <c r="L3" i="11"/>
  <c r="K1" i="11"/>
  <c r="G44" i="10"/>
  <c r="G42" i="10"/>
  <c r="G25" i="10"/>
  <c r="L24" i="10"/>
  <c r="L23" i="10"/>
  <c r="L22" i="10"/>
  <c r="L21" i="10"/>
  <c r="L20" i="10"/>
  <c r="L19" i="10"/>
  <c r="L18" i="10"/>
  <c r="L17" i="10"/>
  <c r="L16" i="10"/>
  <c r="L15" i="10"/>
  <c r="L14" i="10"/>
  <c r="L13" i="10"/>
  <c r="L12" i="10"/>
  <c r="L11" i="10"/>
  <c r="L10" i="10"/>
  <c r="L9" i="10"/>
  <c r="L8" i="10"/>
  <c r="L7" i="10"/>
  <c r="J29" i="10" s="1"/>
  <c r="L6" i="10"/>
  <c r="L5" i="10"/>
  <c r="L4" i="10"/>
  <c r="J28" i="10" s="1"/>
  <c r="L3" i="10"/>
  <c r="K1" i="10"/>
  <c r="G40" i="9"/>
  <c r="G38" i="9"/>
  <c r="G31" i="9"/>
  <c r="G27" i="9"/>
  <c r="L26" i="9"/>
  <c r="L25" i="9"/>
  <c r="J31" i="9" s="1"/>
  <c r="L24" i="9"/>
  <c r="L23" i="9"/>
  <c r="L22" i="9"/>
  <c r="L21" i="9"/>
  <c r="L20" i="9"/>
  <c r="L19" i="9"/>
  <c r="L18" i="9"/>
  <c r="L17" i="9"/>
  <c r="L16" i="9"/>
  <c r="L15" i="9"/>
  <c r="L14" i="9"/>
  <c r="L13" i="9"/>
  <c r="L12" i="9"/>
  <c r="L11" i="9"/>
  <c r="L10" i="9"/>
  <c r="L9" i="9"/>
  <c r="L8" i="9"/>
  <c r="L7" i="9"/>
  <c r="L6" i="9"/>
  <c r="L5" i="9"/>
  <c r="L4" i="9"/>
  <c r="L3" i="9"/>
  <c r="J30" i="9" s="1"/>
  <c r="K1" i="9"/>
  <c r="G35" i="8"/>
  <c r="G33" i="8"/>
  <c r="G23" i="8"/>
  <c r="L22" i="8"/>
  <c r="L21" i="8"/>
  <c r="J27" i="8" s="1"/>
  <c r="L20" i="8"/>
  <c r="L19" i="8"/>
  <c r="L18" i="8"/>
  <c r="L17" i="8"/>
  <c r="L16" i="8"/>
  <c r="L15" i="8"/>
  <c r="L14" i="8"/>
  <c r="L13" i="8"/>
  <c r="L12" i="8"/>
  <c r="L11" i="8"/>
  <c r="L10" i="8"/>
  <c r="L9" i="8"/>
  <c r="L8" i="8"/>
  <c r="L7" i="8"/>
  <c r="L6" i="8"/>
  <c r="L5" i="8"/>
  <c r="L4" i="8"/>
  <c r="L3" i="8"/>
  <c r="J26" i="8" s="1"/>
  <c r="K1" i="8"/>
  <c r="G38" i="7"/>
  <c r="G36" i="7"/>
  <c r="G24" i="7"/>
  <c r="L23" i="7"/>
  <c r="L22" i="7"/>
  <c r="L21" i="7"/>
  <c r="L20" i="7"/>
  <c r="L19" i="7"/>
  <c r="L18" i="7"/>
  <c r="L17" i="7"/>
  <c r="L16" i="7"/>
  <c r="L15" i="7"/>
  <c r="L14" i="7"/>
  <c r="L13" i="7"/>
  <c r="L12" i="7"/>
  <c r="L11" i="7"/>
  <c r="L10" i="7"/>
  <c r="L9" i="7"/>
  <c r="L8" i="7"/>
  <c r="J28" i="7" s="1"/>
  <c r="L7" i="7"/>
  <c r="L6" i="7"/>
  <c r="L5" i="7"/>
  <c r="L4" i="7"/>
  <c r="L3" i="7"/>
  <c r="J27" i="7" s="1"/>
  <c r="K1" i="7"/>
  <c r="G38" i="6"/>
  <c r="G36" i="6"/>
  <c r="G29" i="6"/>
  <c r="J28" i="6"/>
  <c r="G25" i="6"/>
  <c r="L24" i="6"/>
  <c r="L23" i="6"/>
  <c r="L22" i="6"/>
  <c r="L21" i="6"/>
  <c r="L20" i="6"/>
  <c r="L19" i="6"/>
  <c r="L18" i="6"/>
  <c r="L17" i="6"/>
  <c r="L16" i="6"/>
  <c r="L15" i="6"/>
  <c r="L14" i="6"/>
  <c r="L13" i="6"/>
  <c r="L12" i="6"/>
  <c r="J29" i="6" s="1"/>
  <c r="L11" i="6"/>
  <c r="L10" i="6"/>
  <c r="L9" i="6"/>
  <c r="L8" i="6"/>
  <c r="L7" i="6"/>
  <c r="L6" i="6"/>
  <c r="L5" i="6"/>
  <c r="G28" i="6" s="1"/>
  <c r="L4" i="6"/>
  <c r="L3" i="6"/>
  <c r="K1" i="6"/>
  <c r="G41" i="5"/>
  <c r="G39" i="5"/>
  <c r="J28" i="5"/>
  <c r="G24" i="5"/>
  <c r="L23" i="5"/>
  <c r="L22" i="5"/>
  <c r="L21" i="5"/>
  <c r="L20" i="5"/>
  <c r="L19" i="5"/>
  <c r="L18" i="5"/>
  <c r="L17" i="5"/>
  <c r="L16" i="5"/>
  <c r="L15" i="5"/>
  <c r="L14" i="5"/>
  <c r="L13" i="5"/>
  <c r="L12" i="5"/>
  <c r="L11" i="5"/>
  <c r="L10" i="5"/>
  <c r="G28" i="5" s="1"/>
  <c r="L9" i="5"/>
  <c r="L8" i="5"/>
  <c r="J27" i="5" s="1"/>
  <c r="L7" i="5"/>
  <c r="L6" i="5"/>
  <c r="L5" i="5"/>
  <c r="L4" i="5"/>
  <c r="L3" i="5"/>
  <c r="K1" i="5"/>
  <c r="G34" i="4"/>
  <c r="G32" i="4"/>
  <c r="G20" i="4"/>
  <c r="L19" i="4"/>
  <c r="L18" i="4"/>
  <c r="J24" i="4" s="1"/>
  <c r="L17" i="4"/>
  <c r="L16" i="4"/>
  <c r="L15" i="4"/>
  <c r="L14" i="4"/>
  <c r="L13" i="4"/>
  <c r="L12" i="4"/>
  <c r="L11" i="4"/>
  <c r="L10" i="4"/>
  <c r="L9" i="4"/>
  <c r="G9" i="4"/>
  <c r="L8" i="4"/>
  <c r="L7" i="4"/>
  <c r="L6" i="4"/>
  <c r="L5" i="4"/>
  <c r="L4" i="4"/>
  <c r="L3" i="4"/>
  <c r="G23" i="4" s="1"/>
  <c r="K1" i="4"/>
  <c r="G31" i="3"/>
  <c r="G29" i="3"/>
  <c r="G20" i="3"/>
  <c r="L19" i="3"/>
  <c r="L18" i="3"/>
  <c r="L17" i="3"/>
  <c r="L16" i="3"/>
  <c r="L15" i="3"/>
  <c r="L14" i="3"/>
  <c r="L13" i="3"/>
  <c r="J24" i="3" s="1"/>
  <c r="L12" i="3"/>
  <c r="L11" i="3"/>
  <c r="G23" i="3" s="1"/>
  <c r="L10" i="3"/>
  <c r="L9" i="3"/>
  <c r="L8" i="3"/>
  <c r="L7" i="3"/>
  <c r="L6" i="3"/>
  <c r="L5" i="3"/>
  <c r="J23" i="3" s="1"/>
  <c r="L4" i="3"/>
  <c r="L3" i="3"/>
  <c r="K1" i="3"/>
  <c r="G33" i="2"/>
  <c r="G31" i="2"/>
  <c r="G25" i="2"/>
  <c r="G22" i="2"/>
  <c r="L21" i="2"/>
  <c r="L20" i="2"/>
  <c r="L19" i="2"/>
  <c r="L18" i="2"/>
  <c r="L17" i="2"/>
  <c r="L16" i="2"/>
  <c r="L15" i="2"/>
  <c r="L14" i="2"/>
  <c r="L13" i="2"/>
  <c r="L12" i="2"/>
  <c r="L11" i="2"/>
  <c r="L10" i="2"/>
  <c r="L9" i="2"/>
  <c r="L8" i="2"/>
  <c r="L7" i="2"/>
  <c r="J25" i="2" s="1"/>
  <c r="L6" i="2"/>
  <c r="G26" i="2" s="1"/>
  <c r="L5" i="2"/>
  <c r="L4" i="2"/>
  <c r="L3" i="2"/>
  <c r="K1" i="2"/>
  <c r="G33" i="1"/>
  <c r="G31" i="1"/>
  <c r="G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L5" i="1"/>
  <c r="J24" i="1" s="1"/>
  <c r="L4" i="1"/>
  <c r="L3" i="1"/>
  <c r="J25" i="1" s="1"/>
  <c r="K1" i="1"/>
  <c r="G40" i="20"/>
  <c r="G38" i="20"/>
  <c r="G25" i="20"/>
  <c r="L24" i="20"/>
  <c r="L23" i="20"/>
  <c r="L22" i="20"/>
  <c r="L21" i="20"/>
  <c r="L20" i="20"/>
  <c r="L19" i="20"/>
  <c r="L18" i="20"/>
  <c r="L17" i="20"/>
  <c r="L16" i="20"/>
  <c r="L15" i="20"/>
  <c r="L14" i="20"/>
  <c r="L13" i="20"/>
  <c r="L12" i="20"/>
  <c r="L11" i="20"/>
  <c r="L10" i="20"/>
  <c r="L9" i="20"/>
  <c r="L8" i="20"/>
  <c r="L7" i="20"/>
  <c r="L6" i="20"/>
  <c r="L5" i="20"/>
  <c r="L4" i="20"/>
  <c r="J28" i="20" s="1"/>
  <c r="L3" i="20"/>
  <c r="J29" i="20" s="1"/>
  <c r="K1" i="20"/>
  <c r="J34" i="21" l="1"/>
  <c r="F9" i="22" s="1"/>
  <c r="G35" i="21"/>
  <c r="F4" i="22" s="1"/>
  <c r="J35" i="21"/>
  <c r="F10" i="22" s="1"/>
  <c r="F11" i="22" s="1"/>
  <c r="C13" i="22" s="1"/>
  <c r="E13" i="22" s="1"/>
  <c r="G21" i="16"/>
  <c r="J23" i="4"/>
  <c r="G24" i="4"/>
  <c r="J22" i="16"/>
  <c r="G28" i="10"/>
  <c r="G25" i="1"/>
  <c r="G26" i="8"/>
  <c r="G30" i="9"/>
  <c r="G29" i="10"/>
  <c r="J26" i="2"/>
  <c r="G24" i="1"/>
  <c r="G21" i="17"/>
  <c r="G24" i="3"/>
  <c r="G27" i="7"/>
  <c r="G28" i="15"/>
  <c r="G25" i="19"/>
  <c r="G27" i="5"/>
  <c r="G27" i="8"/>
  <c r="G28" i="20"/>
  <c r="G29" i="20"/>
  <c r="G28" i="7"/>
  <c r="G34" i="21"/>
  <c r="F3" i="22" s="1"/>
  <c r="F5" i="22" s="1"/>
  <c r="C7" i="22" s="1"/>
  <c r="E7" i="22" s="1"/>
</calcChain>
</file>

<file path=xl/sharedStrings.xml><?xml version="1.0" encoding="utf-8"?>
<sst xmlns="http://schemas.openxmlformats.org/spreadsheetml/2006/main" count="4623" uniqueCount="426">
  <si>
    <t>SALES ORDER REPORT</t>
  </si>
  <si>
    <t>Date</t>
  </si>
  <si>
    <t>Delivery Date</t>
  </si>
  <si>
    <t>Job Number</t>
  </si>
  <si>
    <t>SO Number</t>
  </si>
  <si>
    <t>Customer Ref.</t>
  </si>
  <si>
    <t>Customer</t>
  </si>
  <si>
    <t>Total</t>
  </si>
  <si>
    <t>Sales Rep</t>
  </si>
  <si>
    <t>Status</t>
  </si>
  <si>
    <t>Payment Status</t>
  </si>
  <si>
    <t>Details</t>
  </si>
  <si>
    <t>Planned Delivery Date</t>
  </si>
  <si>
    <t>FM4192</t>
  </si>
  <si>
    <t>SO4702</t>
  </si>
  <si>
    <t>PO:4500220535</t>
  </si>
  <si>
    <t>Rand Refinery (Pty) Ltd</t>
  </si>
  <si>
    <t>G-E</t>
  </si>
  <si>
    <t>In Progress</t>
  </si>
  <si>
    <t>ACCOUNT - UP TO DATE</t>
  </si>
  <si>
    <t>Delivery 28/07/2026</t>
  </si>
  <si>
    <t>FM4164</t>
  </si>
  <si>
    <t>SO4683</t>
  </si>
  <si>
    <t>FM4164-FM4166</t>
  </si>
  <si>
    <t>TESLA COMMS</t>
  </si>
  <si>
    <t>G-S</t>
  </si>
  <si>
    <t>CASH SALE – PARTIAL</t>
  </si>
  <si>
    <t>Partial Delivery 28/07/2026</t>
  </si>
  <si>
    <t>FM4223</t>
  </si>
  <si>
    <t>SO4733</t>
  </si>
  <si>
    <t>PO11842</t>
  </si>
  <si>
    <t>Xtreme Air Control (Pty) Ltd</t>
  </si>
  <si>
    <t>G-N</t>
  </si>
  <si>
    <t>Target Completion 29/07/2026</t>
  </si>
  <si>
    <t>FM4047</t>
  </si>
  <si>
    <t>SO4556</t>
  </si>
  <si>
    <t>POE12858</t>
  </si>
  <si>
    <t>LJ Trading &amp; Projects (Pty) Ltd</t>
  </si>
  <si>
    <t>SM</t>
  </si>
  <si>
    <t>Ready-Dispatch</t>
  </si>
  <si>
    <t>FM4220</t>
  </si>
  <si>
    <t>SO4732</t>
  </si>
  <si>
    <t>Cash Sale</t>
  </si>
  <si>
    <t>Mpumalanga Duct Shop cc</t>
  </si>
  <si>
    <t>S-M</t>
  </si>
  <si>
    <t>CASH SALE - PAID</t>
  </si>
  <si>
    <t>FM4250</t>
  </si>
  <si>
    <t>SO4756</t>
  </si>
  <si>
    <t>PO9292</t>
  </si>
  <si>
    <t>Butec</t>
  </si>
  <si>
    <t>CASH SALE - C.O.D.</t>
  </si>
  <si>
    <t>FM4261</t>
  </si>
  <si>
    <t>SO4766</t>
  </si>
  <si>
    <t>Makasela Air</t>
  </si>
  <si>
    <t>FM4263</t>
  </si>
  <si>
    <t>SO4769</t>
  </si>
  <si>
    <t>FM4263 REV01</t>
  </si>
  <si>
    <t>Umoyo Laboratory Extraction Technologies</t>
  </si>
  <si>
    <t>S-K</t>
  </si>
  <si>
    <t>E 354 T ATEX II 2G/D h T3/125 X Gb/Db (Qty: 1), Louvre Shutter (Qty: 1), KDAXIS 250 (Qty: 1), Louvre Shutter (Qty: 1)</t>
  </si>
  <si>
    <t>FM4262</t>
  </si>
  <si>
    <t>SO4767</t>
  </si>
  <si>
    <t>J5387-002ORD</t>
  </si>
  <si>
    <t>RTS Africa Engineering (Pty) Ltd</t>
  </si>
  <si>
    <t>FM4224</t>
  </si>
  <si>
    <t>SO4738</t>
  </si>
  <si>
    <t>ZAPOH2607ZAPRO000502</t>
  </si>
  <si>
    <t>Bluhm Burton Engineering Projects (Pty) Ltd</t>
  </si>
  <si>
    <t>FM4108</t>
  </si>
  <si>
    <t>SO4624</t>
  </si>
  <si>
    <t>PO:030544</t>
  </si>
  <si>
    <t>Atlas Air Conditioning (Pty) Ltd</t>
  </si>
  <si>
    <t>MT</t>
  </si>
  <si>
    <t>FM4252</t>
  </si>
  <si>
    <t>SO4759</t>
  </si>
  <si>
    <t>J5388-001ORD</t>
  </si>
  <si>
    <t>Generated: 2026-07-28 07:45</t>
  </si>
  <si>
    <t>FM4264</t>
  </si>
  <si>
    <t>SO4770</t>
  </si>
  <si>
    <t>Oribi Air CC</t>
  </si>
  <si>
    <t>S-L</t>
  </si>
  <si>
    <t>KSB250 5.1.1 (Qty: 8), KSB 315 5.6.1 (Qty: 4)</t>
  </si>
  <si>
    <t>FM4144</t>
  </si>
  <si>
    <t>SO4661</t>
  </si>
  <si>
    <t>PO0208</t>
  </si>
  <si>
    <t>Global Marine and Diesel Parts Namibia CC</t>
  </si>
  <si>
    <t>ST</t>
  </si>
  <si>
    <t>FM4240</t>
  </si>
  <si>
    <t>SO4760</t>
  </si>
  <si>
    <t>Order Number 8173</t>
  </si>
  <si>
    <t>MECSS</t>
  </si>
  <si>
    <t>FM4260</t>
  </si>
  <si>
    <t>SO4765</t>
  </si>
  <si>
    <t>138264</t>
  </si>
  <si>
    <t>Vescotech (Pty) Ltd</t>
  </si>
  <si>
    <t>S-NW</t>
  </si>
  <si>
    <t>FM3990</t>
  </si>
  <si>
    <t>SO4517</t>
  </si>
  <si>
    <t>PO:0000426</t>
  </si>
  <si>
    <t>Compu Cool (Pty) Ltd</t>
  </si>
  <si>
    <t>Pending</t>
  </si>
  <si>
    <t>SO4554</t>
  </si>
  <si>
    <t>FMTA4599</t>
  </si>
  <si>
    <t>Matla Solution Group</t>
  </si>
  <si>
    <t>FM4036</t>
  </si>
  <si>
    <t>SO4555</t>
  </si>
  <si>
    <t>FM4035-FM4036</t>
  </si>
  <si>
    <t>Michmat Projects</t>
  </si>
  <si>
    <t>M-R</t>
  </si>
  <si>
    <t>SO4557</t>
  </si>
  <si>
    <t>nan</t>
  </si>
  <si>
    <t>Vigeta Pty Ltd</t>
  </si>
  <si>
    <t>SO4621</t>
  </si>
  <si>
    <t>LT69511</t>
  </si>
  <si>
    <t>Luft Technik (Pty) Ltd</t>
  </si>
  <si>
    <t>FM4259</t>
  </si>
  <si>
    <t>SO4764</t>
  </si>
  <si>
    <t>Elroi Trading Enterprise</t>
  </si>
  <si>
    <t>Total Value (All):</t>
  </si>
  <si>
    <t>BREAKDOWN</t>
  </si>
  <si>
    <t>Cash Sale (July):</t>
  </si>
  <si>
    <t>Cash Sale (August):</t>
  </si>
  <si>
    <t>Account (July):</t>
  </si>
  <si>
    <t>Account (August):</t>
  </si>
  <si>
    <t>Comments</t>
  </si>
  <si>
    <t>SO4553</t>
  </si>
  <si>
    <t>FMTA4519</t>
  </si>
  <si>
    <t>ST AIR SERVICES AND MAINTENANCE (PTY) LTD</t>
  </si>
  <si>
    <t>CASH SALE - UNPAID</t>
  </si>
  <si>
    <t>Due Today - Total:</t>
  </si>
  <si>
    <t>Ready-Dispatch:</t>
  </si>
  <si>
    <t>Recommended Print Range: A1:L47</t>
  </si>
  <si>
    <t>Suggested Date for Next Update: 28.04.2026</t>
  </si>
  <si>
    <t>FM4064</t>
  </si>
  <si>
    <t>SO4584</t>
  </si>
  <si>
    <t>211563</t>
  </si>
  <si>
    <t>Kenmare Moma Processing (Mauritius) Limited</t>
  </si>
  <si>
    <t>S-R</t>
  </si>
  <si>
    <t>SCL-K11 TS-22kW - Item No 28000552 (Qty: 2)</t>
  </si>
  <si>
    <t>FM4145</t>
  </si>
  <si>
    <t>SO4666</t>
  </si>
  <si>
    <t>PO 58 - MIMOSA MALL</t>
  </si>
  <si>
    <t>FUMAX 500.20.C.8 c/w 4kW 2P 380V (Qty: 6), 500 Diam Counter Flange (Qty: 12), 500 Diam Mounting Feet (Qty: 12), 315 to 560 NDA RED ANeoprene Floor Mounts (Qty: 24), 500 mm Inlet Cone &amp; Screen (Qty: 6)</t>
  </si>
  <si>
    <t>MAXFLO 630/150/10 P c/w 2,20KW 4P 380V (Qty: 1), 630 Diam Silencer 1.5D Podded (Qty: 2), 630 Diam Counter Flange (Qty: 2), 630 Diam Mounting Feet (Qty: 4), 630 to 1000 NDB GREEN Neoprene Floor Mounts (Qty: 8), LINEO 315 (Qty: 1), 315 Diam Tube Silencer 600L (Qty: 2), MAXFLO 560/150/10 P c/w 2,20KW 2P 380V (Qty: 1), 560 Diam Silencer 2.0D Podded (Qty: 2), 560 Diam Counter Flange (Qty: 2), 560 Diam Mounting Feet (Qty: 4), 315 to 560 NDA RED ANeoprene Floor Mounts (Qty: 8), MAXFLO 800/250/14 A c/w 5,50KW 4P 380V (Qty: 1), 800 Diam Silencer 1.5D Podded (Qty: 2), 800 Diam Counter Flange (Qty: 2), 800 Diam Mounting Feet (Qty: 4), 630 to 1000 NDB GREEN Neoprene Floor Mounts (Qty: 8), MAXFLO 710/250/14 A c/w 2,20KW 4P 380V (Qty: 1), 710 Diam Silencer 1.5D Podded (Qty: 2), 710 Diam Counter Flange (Qty: 2), 710 Diam Mounting Feet (Qty: 4), 630 to 1000 NDB GREEN Neoprene Floor Mounts (Qty: 8), MAXFLO 560/150/10 A c/w 3,00KW 2P 380V (Qty: 1), 560 Diam Silencer 2.0D Podded (Qty: 2), 560 Diam Counter Flange (Qty: 2), 560 Diam Mounting Feet (Qty: 4), 315 to 560 NDA RED ANeoprene Floor Mounts (Qty: 8), MAXFLO 560/150/10 P c/w 2,20KW 2P 380V (Qty: 1), 560 Diam Silencer 2.0D Podded (Qty: 2), 560 Diam Counter Flange (Qty: 2), 560 Diam Mounting Feet (Qty: 4), 315 to 560 NDA RED ANeoprene Floor Mounts (Qty: 8), 500.20.C.4 c/w 1.50KW 2P 380V (Qty: 4), 500 Diam Silencer 1.5D Podded (Qty: 8), 500 Diam Counter Flange (Qty: 8), 500 Diam Mounting Feet (Qty: 16), 315 to 560 NDA RED ANeoprene Floor Mounts (Qty: 32)</t>
  </si>
  <si>
    <t>FM4134</t>
  </si>
  <si>
    <t>SO4651</t>
  </si>
  <si>
    <t>DPO-1882</t>
  </si>
  <si>
    <t>Dueltron (Pty) Ltd</t>
  </si>
  <si>
    <t>BDB 500 CM c/w 9.2kw 4pole 380V (Qty: 1)</t>
  </si>
  <si>
    <t>FM4163</t>
  </si>
  <si>
    <t>SO4681</t>
  </si>
  <si>
    <t>Artesian Construction</t>
  </si>
  <si>
    <t>MAJAX-3 315 c/w 0,25KW 4P 380V(repair) (Qty: 1)</t>
  </si>
  <si>
    <t>FM4177</t>
  </si>
  <si>
    <t>SO4690</t>
  </si>
  <si>
    <t>PO11823</t>
  </si>
  <si>
    <t>NEOLINEO-150/V (Qty: 3)</t>
  </si>
  <si>
    <t>FM4151</t>
  </si>
  <si>
    <t>SO4667</t>
  </si>
  <si>
    <t>PO0000150</t>
  </si>
  <si>
    <t>SmartTech Woman</t>
  </si>
  <si>
    <t>RB 7-1.0 c/w 0.75 2P 380v (Qty: 1)</t>
  </si>
  <si>
    <t>MAJAX-3 630 c/w 1,50KW 4P 380V (Qty: 2), 630 Diam Silencer 1.5D Podded (Qty: 4), 630 Diam Counter Flange (Qty: 4), 630 Diam Mounting Feet (Qty: 8), 630 to 1000 NDB GREEN Neoprene Floor Mounts (Qty: 16), MAJAX-3 560 c/w 1,50KW 4P 380V (Qty: 3), 560 Diam Melinex Silencer 1.5D Podded (Qty: 6), 560 Diam Counter Flange (Qty: 6), 560 Diam Mounting Feet (Qty: 12), 315 to 560 NDA RED ANeoprene Floor Mounts (Qty: 24), MAXFLO 710/250/14 A c/w 1,10KW 4P 380V (Qty: 1), 710 Diam Silencer 1.5D Podded (Qty: 2), 710 Diam Counter Flange (Qty: 2), 710 Diam Mounting Feet (Qty: 4), 630 to 1000 NDB GREEN Neoprene Floor Mounts (Qty: 8)</t>
  </si>
  <si>
    <t>FM4097</t>
  </si>
  <si>
    <t>SO4613</t>
  </si>
  <si>
    <t>PO146777</t>
  </si>
  <si>
    <t>Howden Power a Div of Howden Africa (Pty) LTD</t>
  </si>
  <si>
    <t>FUMAX 1000.32.F.8 c/w 22KW 4P 380V (Qty: 2)</t>
  </si>
  <si>
    <t>CAM-550-2T-5.5/INOX-316 230/400V. IE3 (Qty: 1)</t>
  </si>
  <si>
    <t>FM4156</t>
  </si>
  <si>
    <t>SO4676</t>
  </si>
  <si>
    <t>Kate Chishimba</t>
  </si>
  <si>
    <t>R-Z</t>
  </si>
  <si>
    <t>MAJAX-3 630 c/w 11,00KW 2P 380V (Qty: 1), 630 Diam Melinex Silencer 1.5D Podded (Qty: 2), 630 Diam Counter Flange (Qty: 2), 630 Diam Mounting Feet (Qty: 4), 630 to 1000 NDB GREEN Neoprene Floor Mounts (Qty: 8)</t>
  </si>
  <si>
    <t>FM4171</t>
  </si>
  <si>
    <t>SO4684</t>
  </si>
  <si>
    <t>Vortron System Mauritius Ltd</t>
  </si>
  <si>
    <t>R-M</t>
  </si>
  <si>
    <t>MAXFLO 560/250/14 A c/w 0,55KW 4P 380V (Qty: 2), 560 Diam Counter Flange (Qty: 4), MAXFLO 560/250/14 A c/w 1,10KW 4P 380V (Qty: 3), 560 Diam Counter Flange (Qty: 6), 560 Diam Silencer 1.5D Podded (Qty: 7), MAXFLO 800/250/14 A c/w 4,00KW 4P 380V (Qty: 3), 630 to 1000 NDB GREEN Neoprene Floor Mounts (Qty: 12), 800 Diam Counter Flange (Qty: 6), 800 Diam Mounting Feet (Qty: 6), MAXFLO 800/250/14 A c/w 5,50KW 4P 380V (Qty: 3), 800 Diam Counter Flange (Qty: 6), MAXFLO 800/250/14 A c/w 5,50KW 4P 380V (Qty: 3), 630 to 1000 NDB GREEN Neoprene Floor Mounts (Qty: 3), 800 Diam Counter Flange (Qty: 3), 800 Diam Mounting Feet (Qty: 3), 800 Diam Silencer 1.5D Podded (Qty: 4)</t>
  </si>
  <si>
    <t>Generated: 2026-06-29 07:56</t>
  </si>
  <si>
    <t>FM4172</t>
  </si>
  <si>
    <t>SO4685</t>
  </si>
  <si>
    <t>RG JACK &amp; SON</t>
  </si>
  <si>
    <t>S-WC</t>
  </si>
  <si>
    <t>VFC 355/300 c/w 300W 230V MOTOR (Qty: 1), Delivery (Qty: 1)</t>
  </si>
  <si>
    <t>DDMP 10/10 230V (Qty: 1)</t>
  </si>
  <si>
    <t>LINEO 315 QUIET - EF 1 (Qty: 1), LINEO 250 QUIET - EF 2 (Qty: 1), LINEO 200 QUIET - EF 3 (Qty: 1), KDAXIS 200 - EF 4 (Qty: 1), KDAXIS 200 - EF 5 (Qty: 1), MAXFLO 630/250/14 A c/w 1,10KW 4P 380V - FA 1 (Qty: 1), 630 Diam Silencer 1.5D Podded (Qty: 2), 630 Diam Counter Flange (Qty: 2), 630 Diam Mounting Feet (Qty: 4), 630 to 1000 NDB GREEN Neoprene Floor Mounts (Qty: 8), MAXFLO 710/250/14 A c/w 1,10KW 4P 380V - FA 2 (Qty: 1), 710 Diam Silencer 1.5D Podded (Qty: 2), 710 Diam Counter Flange (Qty: 2), 710 Diam Mounting Feet (Qty: 4), 630 to 1000 NDB GREEN Neoprene Floor Mounts (Qty: 8)</t>
  </si>
  <si>
    <t>MFAJAX-3 1250 c/w 45,00KW 4P 380V (Qty: 3), 1250 Diam Counter Flange (Qty: 6), 1250 Diam Mounting Feet (Qty: 6), 630 to 1000 NDB GREEN Neoprene Floor Mounts (Qty: 12), MAJAX-3 560 c/w 5,50KW 2P 380V (Qty: 2), 560 Diam Counter Flange (Qty: 4), 560 Diam Mounting Feet (Qty: 4), 315 to 560 NDA RED ANeoprene Floor Mounts (Qty: 8)</t>
  </si>
  <si>
    <t>630 Diam Vertical Discharge BASE c/w 2.2kW 4P 380V (Qty: 10)</t>
  </si>
  <si>
    <t>LCH HOSPITAL (Qty: 1)</t>
  </si>
  <si>
    <t>Cash Sale (June):</t>
  </si>
  <si>
    <t>Account (June):</t>
  </si>
  <si>
    <t>Recommended Print Range: A1:L39</t>
  </si>
  <si>
    <t>FM4179</t>
  </si>
  <si>
    <t>SO4692</t>
  </si>
  <si>
    <t>ZEFS More Vision</t>
  </si>
  <si>
    <t>MAXFLO 500/150/10 A c/w 3.00kW 2P 380V (Qty: 1)</t>
  </si>
  <si>
    <t>FM4178</t>
  </si>
  <si>
    <t>SO4691</t>
  </si>
  <si>
    <t>PO116933</t>
  </si>
  <si>
    <t>Boleng Mechanical Engineering Services &amp; Consulting</t>
  </si>
  <si>
    <t>G-W</t>
  </si>
  <si>
    <t>CA/LINE-20 (Qty: 1), 200 Diam Tube Silencer 600L (Qty: 2)</t>
  </si>
  <si>
    <t>FM4180</t>
  </si>
  <si>
    <t>SO4693</t>
  </si>
  <si>
    <t>PO11887</t>
  </si>
  <si>
    <t>Brasco Group</t>
  </si>
  <si>
    <t>MAJAX-3 900 c/w 7,50KW 4P 380V (Qty: 1)</t>
  </si>
  <si>
    <t>UV710/3/6 (Qty: 6)</t>
  </si>
  <si>
    <t>FM4187</t>
  </si>
  <si>
    <t>SO4698</t>
  </si>
  <si>
    <t>Compre Air (Pty) Ltd</t>
  </si>
  <si>
    <t>MAXFLO 400/150/10 P c/w 1,10KW 2P 380V(FAN 01) (Qty: 1), 400 Diam Silencer 1.5D Podded (Qty: 2), 400 Diam Counter Flange (Qty: 2), 400 Diam Mounting Feet (Qty: 4), 315 to 560 NDA RED ANeoprene Floor Mounts (Qty: 8), MAXFLO 315/150/10 A c/w 0,75KW 2P 380V (Fan 02) (Qty: 1), 315 Diam Silencer 1.5D Podded (Qty: 2), 315 Diam Counter Flange (Qty: 2), 315 Diam Mounting Feet (Qty: 4), 315 to 560 NDA RED ANeoprene Floor Mounts (Qty: 8)</t>
  </si>
  <si>
    <t>FM4189</t>
  </si>
  <si>
    <t>SO4699</t>
  </si>
  <si>
    <t>Triomphant Pty Ltd</t>
  </si>
  <si>
    <t>S-FS</t>
  </si>
  <si>
    <t>MAJAX-3 630 c/w 0,55KW 6P 380V (Qty: 1), 630 Diam Counter Flange (Qty: 2), 630 Diam Mounting Feet (Qty: 2), MAJAX-3 560 c/w 0,37KW 4P 380V (Qty: 1), 560 Diam Counter Flange (Qty: 2), 560 Diam Mounting Feet (Qty: 2), To Blomfonfontan (Qty: 1)</t>
  </si>
  <si>
    <t>Recommended Print Range: A1:L43</t>
  </si>
  <si>
    <t>FM4196</t>
  </si>
  <si>
    <t>SO4706</t>
  </si>
  <si>
    <t>LT69880</t>
  </si>
  <si>
    <t>CASH SALE - PENDING</t>
  </si>
  <si>
    <t>NEOLINEO-315/V (Qty: 1)</t>
  </si>
  <si>
    <t>FM3743</t>
  </si>
  <si>
    <t>SO4705</t>
  </si>
  <si>
    <t>Setati Sol</t>
  </si>
  <si>
    <t>MAXFLO 500/150/10 A c/w 0,25KW 4P 380V (Qty: 1), 500 Diam Melinex Silencer 1.5D Podded (Qty: 2), 500 Diam Counter Flange (Qty: 2), 500 Diam Mounting Feet (Qty: 4), 315 to 560 NDA RED ANeoprene Floor Mounts (Qty: 8)</t>
  </si>
  <si>
    <t>CASH SALE</t>
  </si>
  <si>
    <t>FM4193</t>
  </si>
  <si>
    <t>SO4703</t>
  </si>
  <si>
    <t>PO - OA17902</t>
  </si>
  <si>
    <t>Optimal Air CC</t>
  </si>
  <si>
    <t>MAXFLO 630/150/10 A c/w 3,00KW 4P 380V (Qty: 1), 630 Diam Counter Flange (Qty: 2), 630 Diam Silencer 1.5D (Qty: 1)</t>
  </si>
  <si>
    <t>MAXFLO 500/150/10 A c/w 4,00KW 2P 380V (Qty: 4)</t>
  </si>
  <si>
    <t>FM4197</t>
  </si>
  <si>
    <t>SO4707</t>
  </si>
  <si>
    <t>CP105983</t>
  </si>
  <si>
    <t>CASTCO PRECISION CASTINGS (PTY) LTD</t>
  </si>
  <si>
    <t>CMA-218-2M (Qty: 1)</t>
  </si>
  <si>
    <t>Recommended Print Range: A1:L50</t>
  </si>
  <si>
    <t>FM4201</t>
  </si>
  <si>
    <t>SO4710</t>
  </si>
  <si>
    <t>PurchaseOrder - 1521</t>
  </si>
  <si>
    <t>Right Price Airconditioning (Pty) Ltd</t>
  </si>
  <si>
    <t>DD 10/8 - 6M0312 - 245W 6P 220V - 1Ph (Qty: 1)</t>
  </si>
  <si>
    <t>FM4202</t>
  </si>
  <si>
    <t>SO4712</t>
  </si>
  <si>
    <t>PO:SP734244</t>
  </si>
  <si>
    <t>D-Teq Air (Pty) Ltd</t>
  </si>
  <si>
    <t>CE 250 (Qty: 3), V 150/6 AR (Qty: 1)</t>
  </si>
  <si>
    <t>FM4206</t>
  </si>
  <si>
    <t>SO4717</t>
  </si>
  <si>
    <t>J52699</t>
  </si>
  <si>
    <t>MAJAX-2 630 c/w 0,55KW 4P 380V (Qty: 1)</t>
  </si>
  <si>
    <t>FM4183</t>
  </si>
  <si>
    <t>SO4719</t>
  </si>
  <si>
    <t>P272857 MM</t>
  </si>
  <si>
    <t>Noble Motor and Control (Pty) Ltd</t>
  </si>
  <si>
    <t>HV1250 c/w 1.1Kw 450 rpm 380V - Dust Ignition Proof Zone 22. (Qty: 1)</t>
  </si>
  <si>
    <t>FM4204</t>
  </si>
  <si>
    <t>SO4714</t>
  </si>
  <si>
    <t>Dunamis Engineering</t>
  </si>
  <si>
    <t>Impeller (Qty: 1)</t>
  </si>
  <si>
    <t>FM4203</t>
  </si>
  <si>
    <t>SO4713</t>
  </si>
  <si>
    <t>FM4208</t>
  </si>
  <si>
    <t>SO4720</t>
  </si>
  <si>
    <t>PO:1432</t>
  </si>
  <si>
    <t>Invelaphi Group (Pty) Ltd</t>
  </si>
  <si>
    <t>MAXFLO 630/250/14 A c/w 1,50KW 4P 380V (Qty: 1), 630 Diam Silencer 1.5D Podded (Qty: 2), 630 Diam Counter Flange (Qty: 2), 630 Diam Mounting Feet (Qty: 4), 630 to 1000 NDB GREEN Neoprene Floor Mounts (Qty: 8)</t>
  </si>
  <si>
    <t>FM4214</t>
  </si>
  <si>
    <t>SO4725</t>
  </si>
  <si>
    <t>PO4463</t>
  </si>
  <si>
    <t>Air Speration (Pty) Ltd</t>
  </si>
  <si>
    <t>S-EC</t>
  </si>
  <si>
    <t>AT 12/12 SC - Single Unit (Qty: 1)</t>
  </si>
  <si>
    <t>FM4207</t>
  </si>
  <si>
    <t>SO4718</t>
  </si>
  <si>
    <t>PO16033</t>
  </si>
  <si>
    <t>Systeco Fabrication (Pty) Ltd</t>
  </si>
  <si>
    <t>MAJAX-3 400 c/w 0,55KW 2P 380V (Qty: 1)</t>
  </si>
  <si>
    <t>FM4209</t>
  </si>
  <si>
    <t>SO4722</t>
  </si>
  <si>
    <t>Future Success</t>
  </si>
  <si>
    <t>MAJAX-3 800 c/w 5,50KW 4P 380V (Qty: 1)</t>
  </si>
  <si>
    <t>FM4213</t>
  </si>
  <si>
    <t>SO4724</t>
  </si>
  <si>
    <t>PO116958- Mcdonalds Rietfontein</t>
  </si>
  <si>
    <t>MAXFLO 710/150/10 A c/w 1,10KW 4P 380V - (BIFUCATED) - EF1 (Qty: 1), 710 Diam Counter Flange (Qty: 2), 710 Diam Melinex Silencer 1.5D Podded (Qty: 2), 710 Diam Mounting Feet (Qty: 4), 630 to 1000 NDB GREEN Neoprene Floor Mounts (Qty: 8), MAXFLO 315/150/10 A c/w 0.37kW 2P 220V -EF2 (Qty: 1), 315 Diam Silencer 1.5D Podded (Qty: 2), 315 Diam Counter Flange (Qty: 2), 315 Diam Mounting Feet (Qty: 4), 315 to 560 NDA RED ANeoprene Floor Mounts (Qty: 8)</t>
  </si>
  <si>
    <t>Recommended Print Range: A1:L52</t>
  </si>
  <si>
    <t>FM4126</t>
  </si>
  <si>
    <t>SO4727</t>
  </si>
  <si>
    <t>PO0000834 - PO18 JHB FORENSIC - Replacent Fan</t>
  </si>
  <si>
    <t>MAXFLO 710/250/14 A c/w 3,00KW 4P 380V (Qty: 1)</t>
  </si>
  <si>
    <t>Fumax c/w 5.5 kW 4 Pole 380 V (Qty: 2), 900 Diam Counter Flange (Qty: 4)</t>
  </si>
  <si>
    <t>Recommended Print Range: A1:L42</t>
  </si>
  <si>
    <t>FM4230</t>
  </si>
  <si>
    <t>SO4741</t>
  </si>
  <si>
    <t>Airpro Fans and Blowers (Pty) Ltd</t>
  </si>
  <si>
    <t>SAAFAB</t>
  </si>
  <si>
    <t>CMA-325-2T (Qty: 2)</t>
  </si>
  <si>
    <t>FM4227</t>
  </si>
  <si>
    <t>SO4736</t>
  </si>
  <si>
    <t>Industrial Supply (Pty)Ltd</t>
  </si>
  <si>
    <t>G-P</t>
  </si>
  <si>
    <t>KDAXIS 250 (Qty: 5)</t>
  </si>
  <si>
    <t>FM4228</t>
  </si>
  <si>
    <t>SO4739</t>
  </si>
  <si>
    <t>JJJ Airconditioning and Refrigeration</t>
  </si>
  <si>
    <t>MAXFLO 315/150/10 P c/w 0,55KW 2P 380V (Qty: 1)</t>
  </si>
  <si>
    <t>SO4742</t>
  </si>
  <si>
    <t>PO:26860</t>
  </si>
  <si>
    <t>Maddox Adams International SA cc</t>
  </si>
  <si>
    <t>SCL-K04 MS-1.1kW 380V (Qty: 2)</t>
  </si>
  <si>
    <t>FM4229</t>
  </si>
  <si>
    <t>SO4740</t>
  </si>
  <si>
    <t>Techno Mobile CC</t>
  </si>
  <si>
    <t>MAXFLO 500/150/10 P c/w 0,75KW 4P 380V (Qty: 2), 500 Diam Silencer 1.5D Podded (Qty: 2), 500 Diam Counter Flange (Qty: 2), 500 Diam Mounting Feet (Qty: 6), 315 Diam horizontal discharge unit (Qty: 5), 500 Diam Horizontal Discharge Unit (Qty: 2)</t>
  </si>
  <si>
    <t>MAXFLO 400/150/10 A c/w 1.50KW 2P 380V (Supply) (Qty: 1), 400 Diam Silencer 1.5D Podded (Qty: 1), 400 Diam Counter Flange (Qty: 2), 400 Diam Mounting Feet (Qty: 4), MAXFLO 500/150/10 A c/w 0,75KW 4P 380V (Plate Mount) Extraction (Qty: 1)</t>
  </si>
  <si>
    <t>Majax-2 560 c/w 1.1kW 4Pole 380V (Flame Proof) (Qty: 5), Majax Inlet Cone &amp; Screen (Qty: 5), 560 Diam Silax Attenuator1.5D Podded (Qty: 5), Fan Screen (Qty: 5), Wooden crates (Qty: 5)</t>
  </si>
  <si>
    <t>Recommended Print Range: A1:L49</t>
  </si>
  <si>
    <t>SO4737</t>
  </si>
  <si>
    <t>SO4744</t>
  </si>
  <si>
    <t>0.75kW 2P 380V (New Motor) (Qty: 1)</t>
  </si>
  <si>
    <t>FM4234</t>
  </si>
  <si>
    <t>SO4743</t>
  </si>
  <si>
    <t>OA17954</t>
  </si>
  <si>
    <t>MAXFLO 300/150/10 A c/w 0,55KW 2P 380V refurbish Fan (Qty: 1)</t>
  </si>
  <si>
    <t>Recommended Print Range: A1:L51</t>
  </si>
  <si>
    <t>FM4232</t>
  </si>
  <si>
    <t>SO4745</t>
  </si>
  <si>
    <t>MAXFLO 315/150/10 A c/w 0,55KW 4P 220V (Qty: 1), 315 Diam Counter Flange (Qty: 2)</t>
  </si>
  <si>
    <t>FM4238</t>
  </si>
  <si>
    <t>SO4749</t>
  </si>
  <si>
    <t>Cool World</t>
  </si>
  <si>
    <t>MAXFLO 500/150/10 A c/w 1,10KW 4P 380V (Qty: 1), 500 Diam Melinex Silencer 1.5D Podded (Qty: 2), 500 Diam Counter Flange (Qty: 2), 500 Diam Mounting Feet (Qty: 4), 315 to 560 NDA RED ANeoprene Floor Mounts (Qty: 8), MAXFLO 315/150/10 A c/w 0,75KW 2P 380V (Qty: 1), 315 Diam Melinex Silencer 1.5D Podded (Qty: 2), 315 Diam Counter Flange (Qty: 2), 315 Diam Mounting Feet (Qty: 4), 315 to 560 NDA RED ANeoprene Floor Mounts (Qty: 8)</t>
  </si>
  <si>
    <t>FM4241</t>
  </si>
  <si>
    <t>SO4750</t>
  </si>
  <si>
    <t>EJ Stainless &amp; Mild Steel Solutions</t>
  </si>
  <si>
    <t>315 impeller (Qty: 1)</t>
  </si>
  <si>
    <t>FM4242</t>
  </si>
  <si>
    <t>SO4751</t>
  </si>
  <si>
    <t>Revised</t>
  </si>
  <si>
    <t>Global Cooling Air</t>
  </si>
  <si>
    <t>MAXFLO 400/150/10 P c/w 0.37KW 4P 380V (Qty: 1), 400 Diam Silencer 1.5D Podded (Qty: 1), 400 Diam Counter Flange (Qty: 2)</t>
  </si>
  <si>
    <t>FM4244</t>
  </si>
  <si>
    <t>SO4753</t>
  </si>
  <si>
    <t>Apex Engineering (PTY) Ltd</t>
  </si>
  <si>
    <t>CMP 512 2M (Qty: 1)</t>
  </si>
  <si>
    <t>Recommended Print Range: A1:L48</t>
  </si>
  <si>
    <t>MAJAX-3 630 c/w 1,50KW 4P 380V (Qty: 2), 630 Diam Silencer 1.5D Podded (Qty: 4), 630 Diam Counter Flange (Qty: 4), 630 Diam Mounting Feet (Qty: 8), 630 to 1000 NDB GREEN Neoprene Floor Mounts (Qty: 16), MAJAX-3 560 c/w 1,50KW 4P 380V (Qty: 3), 560 Diam Melinex Silencer 1.5D Podded (Qty: 6), 560 Diam Counter Flange (Qty: 6), 560 Diam Mounting Feet (Qty: 12), 315 to 560 NDA RED ANeoprene Floor Mounts (Qty: 24)</t>
  </si>
  <si>
    <t>NEOLINEO-200/V (Qty: 1), 200 Diam Tube Silencer 600L (Qty: 2), MAXFLO 560/150/10 P c/w 0,75KW 4P 380V (Qty: 1), 560 Diam Silencer 1.5D Podded (Qty: 2), 560 Diam Counter Flange (Qty: 2), 560 Diam Mounting Feet (Qty: 4), 315 to 560 NDA RED ANeoprene Floor Mounts (Qty: 8), NEOLINEO-315/V (Qty: 3), 315 Diam Tube Silencer 600L (Qty: 6), NEOLINEO-315/V (Qty: 1), 315 Diam Tube Silencer 600L (Qty: 2), MAXFLO 560/250/14 P c/w 0,55KW 4P 380V (Qty: 1), 560 Diam Silencer 1.5D Podded (Qty: 2), 560 Diam Counter Flange (Qty: 2), 560 Diam Mounting Feet (Qty: 4), 315 to 560 NDA RED ANeoprene Floor Mounts (Qty: 8), NEOLINEO-250/V (Qty: 3), 250 Diam Tube Silencer 600L (Qty: 6), NEOLINEO-315/V (Qty: 1), 315 Diam Tube Silencer 600L (Qty: 2), MAXFLO 560/150/10 P c/w 0,55KW 4P 380V (Qty: 1), 560 Diam Silencer 1.5D Podded (Qty: 2), 560 Diam Counter Flange (Qty: 2), 560 Diam Mounting Feet (Qty: 4), 315 to 560 NDA RED ANeoprene Floor Mounts (Qty: 8), NEOLINEO-315/V (Qty: 2), 315 Diam Tube Silencer 600L (Qty: 4), NEOLINEO-250/V (Qty: 1), 250 Diam Tube Silencer 600L (Qty: 2)</t>
  </si>
  <si>
    <t>Recommended Print Range: A1:L37</t>
  </si>
  <si>
    <t>MAJAX 1000 c/w 9.2KW 4Pole 400V (Qty: 1), Fan QCP (Qty: 1), MAXFLO 315/150/10 A c/w 0.37kW 2Pole 400V (Qty: 1), Fan QCP (Qty: 1), 315 Screen (Qty: 1), 1000 1.5D Podded Attenuator (Qty: 1), MAJAX 560 c/w 4KW 2Pole 400V (Qty: 1), Fan QCP (Qty: 1), Majax 315 c/w 0.37kW 2 Pole 400V (Qty: 1), Fan QCP (Qty: 1), 315 Screen (Qty: 1), 560 1.5D Podded Attenuator (Qty: 1)</t>
  </si>
  <si>
    <t>/1.0 ARR 6A 11kW 2P MOTOR 525 V (Qty: 1)</t>
  </si>
  <si>
    <t>Recommended Print Range: A1:L38</t>
  </si>
  <si>
    <t>0.75 kW 380V variable speed drive (Qty: 1), 3 kW 380V variable speed drive (Qty: 1), 18.5 kW 380V variable speed drive (Qty: 1)</t>
  </si>
  <si>
    <t>500 Diam Melinex Silencer 2.0D Podded (Qty: 1)</t>
  </si>
  <si>
    <t>HPLV 560/1.0 ARR 6A 11kW 2P MOTOR 525 V (Qty: 1)</t>
  </si>
  <si>
    <t>HCDF 40 - 4T - Flameproof (Qty: 8)</t>
  </si>
  <si>
    <t>SO4780</t>
  </si>
  <si>
    <t>Neobionomics Services Pty Ltd</t>
  </si>
  <si>
    <t>FM4279</t>
  </si>
  <si>
    <t>SO4786</t>
  </si>
  <si>
    <t>PO-000007129</t>
  </si>
  <si>
    <t>Cape Fans (Pty) Ltd</t>
  </si>
  <si>
    <t>Tiracamino Chimney Fan for Chimney Tops (Qty: 1)</t>
  </si>
  <si>
    <t>FM4266</t>
  </si>
  <si>
    <t>SO4772</t>
  </si>
  <si>
    <t>PO260435</t>
  </si>
  <si>
    <t>Minelog Supplies cc</t>
  </si>
  <si>
    <t>FM4276</t>
  </si>
  <si>
    <t>SO4782</t>
  </si>
  <si>
    <t>Nokolo Investments</t>
  </si>
  <si>
    <t>R-S</t>
  </si>
  <si>
    <t>FM4270</t>
  </si>
  <si>
    <t>SO4776</t>
  </si>
  <si>
    <t>A3412099606</t>
  </si>
  <si>
    <t>NWK LTD</t>
  </si>
  <si>
    <t>FM4274</t>
  </si>
  <si>
    <t>SO4781</t>
  </si>
  <si>
    <t>A3412099607</t>
  </si>
  <si>
    <t>FM4269</t>
  </si>
  <si>
    <t>SO4775</t>
  </si>
  <si>
    <t>AFRICA INDUSTRIAL AND MINING EQUIPMENT SUPPLIES (PTY)</t>
  </si>
  <si>
    <t>M</t>
  </si>
  <si>
    <t>FM4278</t>
  </si>
  <si>
    <t>SO4785</t>
  </si>
  <si>
    <t>213814</t>
  </si>
  <si>
    <t>SCL-K08 MS-7.5kW - Item No 28000002 (Qty: 1)</t>
  </si>
  <si>
    <t>Invoicing</t>
  </si>
  <si>
    <t>Current Month:</t>
  </si>
  <si>
    <t>Cash Sale Invoiced</t>
  </si>
  <si>
    <t>Cash Sale Invoice OS</t>
  </si>
  <si>
    <t>Account Invoiced</t>
  </si>
  <si>
    <t>Account Invoice OS</t>
  </si>
  <si>
    <t>Total Excl VAT.</t>
  </si>
  <si>
    <t>GRAND TOTAL:</t>
  </si>
  <si>
    <t>Excl. VAT</t>
  </si>
  <si>
    <t>Incl. VAT</t>
  </si>
  <si>
    <t>AUGUST:</t>
  </si>
  <si>
    <t>Total Excl.</t>
  </si>
  <si>
    <t>C3/C4/C9/C10: CustomerInvoicesReport.csv (Due Date month determines Cash/Account)  |  F3/F4/F9/F10: Formulas linking to BREAKDOWN section in daily tab '30.07.2026'  |  Generated: 2026-07-30 15:19</t>
  </si>
  <si>
    <t>Partial Delivery 28/07/2026, Awaiting balance for final dispatch</t>
  </si>
  <si>
    <r>
      <rPr>
        <b/>
        <sz val="11"/>
        <color theme="1"/>
        <rFont val="Calibri"/>
        <family val="2"/>
        <scheme val="minor"/>
      </rPr>
      <t>Axial Fans + Accessories ON HOLD (R45678.55)</t>
    </r>
    <r>
      <rPr>
        <sz val="11"/>
        <color theme="1"/>
        <rFont val="Calibri"/>
        <family val="2"/>
        <scheme val="minor"/>
      </rPr>
      <t>, Issue Box Fans + Accessories.(4 x 315Tubes Short)</t>
    </r>
  </si>
  <si>
    <t>Target Completion 31/07/2026</t>
  </si>
  <si>
    <t>Partial Delivery 02/07/2026, Awaiting balance for final dispatch</t>
  </si>
  <si>
    <t>Target Completion 30/07/2026</t>
  </si>
  <si>
    <t>Target Completion 04/08/2027</t>
  </si>
  <si>
    <r>
      <rPr>
        <b/>
        <sz val="11"/>
        <color theme="1"/>
        <rFont val="Calibri"/>
        <family val="2"/>
        <scheme val="minor"/>
      </rPr>
      <t>PO4164, @Attenu-Tec</t>
    </r>
    <r>
      <rPr>
        <sz val="11"/>
        <color theme="1"/>
        <rFont val="Calibri"/>
        <family val="2"/>
        <scheme val="minor"/>
      </rPr>
      <t xml:space="preserve"> - ETA: 31/07/2026</t>
    </r>
  </si>
  <si>
    <t>FM4273</t>
  </si>
  <si>
    <t xml:space="preserve">Awaiting payment and Go-Ahead, MT to follow up </t>
  </si>
  <si>
    <t xml:space="preserve">Awaiting payment and Go-Ahead, SM to follow up </t>
  </si>
  <si>
    <t>Target Completion 03/08/2026</t>
  </si>
  <si>
    <r>
      <rPr>
        <b/>
        <sz val="11"/>
        <color theme="1"/>
        <rFont val="Calibri"/>
        <family val="2"/>
        <scheme val="minor"/>
      </rPr>
      <t>PO4046 @ Nicotra,</t>
    </r>
    <r>
      <rPr>
        <sz val="11"/>
        <color theme="1"/>
        <rFont val="Calibri"/>
        <family val="2"/>
        <scheme val="minor"/>
      </rPr>
      <t xml:space="preserve"> Completion 27/07/2026, ETA: 05/08/2026</t>
    </r>
  </si>
  <si>
    <t>Target Completion 07/08/2027</t>
  </si>
  <si>
    <t>Target Completion 05/08/2027</t>
  </si>
  <si>
    <t>Target Completion 10/08/2026</t>
  </si>
  <si>
    <t>MAJAX-2 500 c/w 2,20KW 2P 380V (Bifurcated) (Qty: 4) Not Issued</t>
  </si>
  <si>
    <r>
      <rPr>
        <b/>
        <sz val="11"/>
        <color theme="1"/>
        <rFont val="Calibri"/>
        <family val="2"/>
        <scheme val="minor"/>
      </rPr>
      <t>PO4167 @ SODECA ,</t>
    </r>
    <r>
      <rPr>
        <sz val="11"/>
        <color theme="1"/>
        <rFont val="Calibri"/>
        <family val="2"/>
        <scheme val="minor"/>
      </rPr>
      <t xml:space="preserve"> Ex Stock, ETA: 07/08/2026</t>
    </r>
  </si>
  <si>
    <r>
      <rPr>
        <b/>
        <sz val="11"/>
        <color theme="1"/>
        <rFont val="Calibri"/>
        <family val="2"/>
        <scheme val="minor"/>
      </rPr>
      <t>PO4066 @ SODECA ,</t>
    </r>
    <r>
      <rPr>
        <sz val="11"/>
        <color theme="1"/>
        <rFont val="Calibri"/>
        <family val="2"/>
        <scheme val="minor"/>
      </rPr>
      <t xml:space="preserve"> Completion 12/08/2026, ETA: 19/08/2026</t>
    </r>
  </si>
  <si>
    <r>
      <rPr>
        <b/>
        <sz val="11"/>
        <color theme="1"/>
        <rFont val="Calibri"/>
        <family val="2"/>
        <scheme val="minor"/>
      </rPr>
      <t>PO4161 @ Centrifab</t>
    </r>
    <r>
      <rPr>
        <sz val="11"/>
        <color theme="1"/>
        <rFont val="Calibri"/>
        <family val="2"/>
        <scheme val="minor"/>
      </rPr>
      <t>, ETA: 14/08/2026, Awaiting handing</t>
    </r>
  </si>
  <si>
    <r>
      <rPr>
        <b/>
        <sz val="11"/>
        <color theme="1"/>
        <rFont val="Calibri"/>
        <family val="2"/>
        <scheme val="minor"/>
      </rPr>
      <t>PO4166 @ SODECA,</t>
    </r>
    <r>
      <rPr>
        <sz val="11"/>
        <color theme="1"/>
        <rFont val="Calibri"/>
        <family val="2"/>
        <scheme val="minor"/>
      </rPr>
      <t xml:space="preserve"> Completion 10/09/2026, ETA: 18/09/2026</t>
    </r>
  </si>
  <si>
    <t>ON HOLD</t>
  </si>
  <si>
    <t>Awaiting Collection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</si>
</sst>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&quot;* #,##0.00_-;\-&quot;R&quot;* #,##0.00_-;_-&quot;R&quot;* &quot;-&quot;??_-;_-@_-"/>
    <numFmt numFmtId="164" formatCode="&quot;R&quot;\ #,##0.00"/>
  </numFmts>
  <fonts count="105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color rgb="FFFFFFFF"/>
      <name val="Calibri"/>
    </font>
    <font>
      <b/>
      <sz val="11"/>
      <name val="Calibri"/>
    </font>
    <font>
      <b/>
      <u/>
      <sz val="11"/>
      <name val="Calibri"/>
    </font>
    <font>
      <i/>
      <sz val="10"/>
      <name val="Calibri"/>
    </font>
    <font>
      <sz val="11"/>
      <name val="Calibri"/>
    </font>
    <font>
      <b/>
      <sz val="14"/>
      <name val="Calibri"/>
    </font>
    <font>
      <b/>
      <sz val="11"/>
      <color rgb="FFFFFFFF"/>
      <name val="Calibri"/>
    </font>
    <font>
      <b/>
      <sz val="11"/>
      <name val="Calibri"/>
    </font>
    <font>
      <b/>
      <u/>
      <sz val="11"/>
      <name val="Calibri"/>
    </font>
    <font>
      <i/>
      <sz val="10"/>
      <name val="Calibri"/>
    </font>
    <font>
      <b/>
      <sz val="14"/>
      <name val="Calibri"/>
    </font>
    <font>
      <b/>
      <sz val="11"/>
      <color rgb="FFFFFFFF"/>
      <name val="Calibri"/>
    </font>
    <font>
      <b/>
      <sz val="11"/>
      <name val="Calibri"/>
    </font>
    <font>
      <b/>
      <u/>
      <sz val="11"/>
      <name val="Calibri"/>
    </font>
    <font>
      <i/>
      <sz val="10"/>
      <name val="Calibri"/>
    </font>
    <font>
      <b/>
      <sz val="14"/>
      <name val="Calibri"/>
    </font>
    <font>
      <b/>
      <sz val="11"/>
      <color rgb="FFFFFFFF"/>
      <name val="Calibri"/>
    </font>
    <font>
      <b/>
      <sz val="11"/>
      <name val="Calibri"/>
    </font>
    <font>
      <b/>
      <u/>
      <sz val="11"/>
      <name val="Calibri"/>
    </font>
    <font>
      <i/>
      <sz val="10"/>
      <name val="Calibri"/>
    </font>
    <font>
      <b/>
      <sz val="14"/>
      <name val="Calibri"/>
    </font>
    <font>
      <b/>
      <sz val="11"/>
      <color rgb="FFFFFFFF"/>
      <name val="Calibri"/>
    </font>
    <font>
      <b/>
      <sz val="11"/>
      <name val="Calibri"/>
    </font>
    <font>
      <b/>
      <u/>
      <sz val="11"/>
      <name val="Calibri"/>
    </font>
    <font>
      <i/>
      <sz val="10"/>
      <name val="Calibri"/>
    </font>
    <font>
      <b/>
      <sz val="14"/>
      <name val="Calibri"/>
    </font>
    <font>
      <b/>
      <sz val="11"/>
      <color rgb="FFFFFFFF"/>
      <name val="Calibri"/>
    </font>
    <font>
      <b/>
      <sz val="11"/>
      <name val="Calibri"/>
    </font>
    <font>
      <b/>
      <u/>
      <sz val="11"/>
      <name val="Calibri"/>
    </font>
    <font>
      <i/>
      <sz val="10"/>
      <name val="Calibri"/>
    </font>
    <font>
      <b/>
      <sz val="14"/>
      <name val="Calibri"/>
    </font>
    <font>
      <b/>
      <sz val="11"/>
      <color rgb="FFFFFFFF"/>
      <name val="Calibri"/>
    </font>
    <font>
      <b/>
      <sz val="11"/>
      <name val="Calibri"/>
    </font>
    <font>
      <b/>
      <u/>
      <sz val="11"/>
      <name val="Calibri"/>
    </font>
    <font>
      <i/>
      <sz val="10"/>
      <name val="Calibri"/>
    </font>
    <font>
      <b/>
      <sz val="14"/>
      <name val="Calibri"/>
    </font>
    <font>
      <b/>
      <sz val="11"/>
      <color rgb="FFFFFFFF"/>
      <name val="Calibri"/>
    </font>
    <font>
      <b/>
      <sz val="11"/>
      <name val="Calibri"/>
    </font>
    <font>
      <b/>
      <u/>
      <sz val="11"/>
      <name val="Calibri"/>
    </font>
    <font>
      <i/>
      <sz val="10"/>
      <name val="Calibri"/>
    </font>
    <font>
      <b/>
      <sz val="14"/>
      <name val="Calibri"/>
    </font>
    <font>
      <b/>
      <sz val="11"/>
      <color rgb="FFFFFFFF"/>
      <name val="Calibri"/>
    </font>
    <font>
      <b/>
      <sz val="11"/>
      <name val="Calibri"/>
    </font>
    <font>
      <b/>
      <u/>
      <sz val="11"/>
      <name val="Calibri"/>
    </font>
    <font>
      <i/>
      <sz val="10"/>
      <name val="Calibri"/>
    </font>
    <font>
      <b/>
      <sz val="14"/>
      <name val="Calibri"/>
    </font>
    <font>
      <b/>
      <sz val="11"/>
      <color rgb="FFFFFFFF"/>
      <name val="Calibri"/>
    </font>
    <font>
      <b/>
      <sz val="11"/>
      <name val="Calibri"/>
    </font>
    <font>
      <b/>
      <u/>
      <sz val="11"/>
      <name val="Calibri"/>
    </font>
    <font>
      <i/>
      <sz val="10"/>
      <name val="Calibri"/>
    </font>
    <font>
      <b/>
      <sz val="14"/>
      <name val="Calibri"/>
    </font>
    <font>
      <b/>
      <sz val="11"/>
      <color rgb="FFFFFFFF"/>
      <name val="Calibri"/>
    </font>
    <font>
      <b/>
      <sz val="11"/>
      <name val="Calibri"/>
    </font>
    <font>
      <b/>
      <u/>
      <sz val="11"/>
      <name val="Calibri"/>
    </font>
    <font>
      <i/>
      <sz val="10"/>
      <name val="Calibri"/>
    </font>
    <font>
      <b/>
      <sz val="14"/>
      <name val="Calibri"/>
    </font>
    <font>
      <b/>
      <sz val="11"/>
      <color rgb="FFFFFFFF"/>
      <name val="Calibri"/>
    </font>
    <font>
      <b/>
      <sz val="11"/>
      <name val="Calibri"/>
    </font>
    <font>
      <b/>
      <u/>
      <sz val="11"/>
      <name val="Calibri"/>
    </font>
    <font>
      <i/>
      <sz val="10"/>
      <name val="Calibri"/>
    </font>
    <font>
      <b/>
      <sz val="14"/>
      <name val="Calibri"/>
    </font>
    <font>
      <b/>
      <sz val="11"/>
      <color rgb="FFFFFFFF"/>
      <name val="Calibri"/>
    </font>
    <font>
      <b/>
      <sz val="11"/>
      <name val="Calibri"/>
    </font>
    <font>
      <b/>
      <u/>
      <sz val="11"/>
      <name val="Calibri"/>
    </font>
    <font>
      <i/>
      <sz val="10"/>
      <name val="Calibri"/>
    </font>
    <font>
      <b/>
      <sz val="14"/>
      <name val="Calibri"/>
    </font>
    <font>
      <b/>
      <sz val="11"/>
      <color rgb="FFFFFFFF"/>
      <name val="Calibri"/>
    </font>
    <font>
      <b/>
      <sz val="11"/>
      <name val="Calibri"/>
    </font>
    <font>
      <b/>
      <u/>
      <sz val="11"/>
      <name val="Calibri"/>
    </font>
    <font>
      <i/>
      <sz val="10"/>
      <name val="Calibri"/>
    </font>
    <font>
      <b/>
      <sz val="14"/>
      <name val="Calibri"/>
    </font>
    <font>
      <b/>
      <sz val="11"/>
      <color rgb="FFFFFFFF"/>
      <name val="Calibri"/>
    </font>
    <font>
      <b/>
      <sz val="11"/>
      <name val="Calibri"/>
    </font>
    <font>
      <b/>
      <u/>
      <sz val="11"/>
      <name val="Calibri"/>
    </font>
    <font>
      <i/>
      <sz val="10"/>
      <name val="Calibri"/>
    </font>
    <font>
      <b/>
      <sz val="14"/>
      <name val="Calibri"/>
    </font>
    <font>
      <b/>
      <sz val="11"/>
      <color rgb="FFFFFFFF"/>
      <name val="Calibri"/>
    </font>
    <font>
      <b/>
      <sz val="11"/>
      <name val="Calibri"/>
    </font>
    <font>
      <b/>
      <u/>
      <sz val="11"/>
      <name val="Calibri"/>
    </font>
    <font>
      <i/>
      <sz val="10"/>
      <name val="Calibri"/>
    </font>
    <font>
      <b/>
      <sz val="14"/>
      <name val="Calibri"/>
    </font>
    <font>
      <b/>
      <sz val="11"/>
      <color rgb="FFFFFFFF"/>
      <name val="Calibri"/>
    </font>
    <font>
      <b/>
      <sz val="11"/>
      <name val="Calibri"/>
    </font>
    <font>
      <b/>
      <u/>
      <sz val="11"/>
      <name val="Calibri"/>
    </font>
    <font>
      <i/>
      <sz val="10"/>
      <name val="Calibri"/>
    </font>
    <font>
      <b/>
      <sz val="14"/>
      <name val="Calibri"/>
    </font>
    <font>
      <b/>
      <sz val="11"/>
      <color rgb="FFFFFFFF"/>
      <name val="Calibri"/>
    </font>
    <font>
      <b/>
      <sz val="11"/>
      <name val="Calibri"/>
    </font>
    <font>
      <b/>
      <u/>
      <sz val="11"/>
      <name val="Calibri"/>
    </font>
    <font>
      <i/>
      <sz val="10"/>
      <name val="Calibri"/>
    </font>
    <font>
      <b/>
      <sz val="14"/>
      <name val="Calibri"/>
    </font>
    <font>
      <b/>
      <sz val="11"/>
      <color rgb="FFFFFFFF"/>
      <name val="Calibri"/>
    </font>
    <font>
      <b/>
      <sz val="11"/>
      <name val="Calibri"/>
    </font>
    <font>
      <b/>
      <u/>
      <sz val="11"/>
      <name val="Calibri"/>
    </font>
    <font>
      <i/>
      <sz val="10"/>
      <name val="Calibri"/>
    </font>
    <font>
      <b/>
      <sz val="14"/>
      <name val="Calibri"/>
    </font>
    <font>
      <b/>
      <sz val="11"/>
      <color rgb="FFFFFFFF"/>
      <name val="Calibri"/>
    </font>
    <font>
      <b/>
      <sz val="11"/>
      <name val="Calibri"/>
    </font>
    <font>
      <b/>
      <u/>
      <sz val="11"/>
      <name val="Calibri"/>
    </font>
    <font>
      <i/>
      <sz val="10"/>
      <name val="Calibri"/>
    </font>
    <font>
      <b/>
      <sz val="11"/>
      <color rgb="FFFFFFFF"/>
      <name val="Calibri"/>
    </font>
    <font>
      <i/>
      <sz val="9"/>
      <color rgb="FF808080"/>
      <name val="Calibri"/>
    </font>
    <font>
      <b/>
      <sz val="11"/>
      <color theme="1"/>
      <name val="Calibri"/>
      <family val="2"/>
      <scheme val="minor"/>
    </font>
  </fonts>
  <fills count="70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  <fill>
      <patternFill patternType="solid">
        <fgColor rgb="FFC6EFCE"/>
        <bgColor rgb="FFC6EFCE"/>
      </patternFill>
    </fill>
    <fill>
      <patternFill patternType="solid">
        <fgColor rgb="FFFFFF00"/>
        <bgColor rgb="FFFFFF00"/>
      </patternFill>
    </fill>
    <fill>
      <patternFill patternType="solid">
        <fgColor rgb="FF366092"/>
        <bgColor rgb="FF366092"/>
      </patternFill>
    </fill>
    <fill>
      <patternFill patternType="solid">
        <fgColor rgb="FFC6EFCE"/>
        <bgColor rgb="FFC6EFCE"/>
      </patternFill>
    </fill>
    <fill>
      <patternFill patternType="solid">
        <fgColor rgb="FFFFFF00"/>
        <bgColor rgb="FFFFFF00"/>
      </patternFill>
    </fill>
    <fill>
      <patternFill patternType="solid">
        <fgColor rgb="FF366092"/>
        <bgColor rgb="FF366092"/>
      </patternFill>
    </fill>
    <fill>
      <patternFill patternType="solid">
        <fgColor rgb="FFC6EFCE"/>
        <bgColor rgb="FFC6EFCE"/>
      </patternFill>
    </fill>
    <fill>
      <patternFill patternType="solid">
        <fgColor rgb="FFFFFF00"/>
        <bgColor rgb="FFFFFF00"/>
      </patternFill>
    </fill>
    <fill>
      <patternFill patternType="solid">
        <fgColor rgb="FF366092"/>
        <bgColor rgb="FF366092"/>
      </patternFill>
    </fill>
    <fill>
      <patternFill patternType="solid">
        <fgColor rgb="FFC6EFCE"/>
        <bgColor rgb="FFC6EFCE"/>
      </patternFill>
    </fill>
    <fill>
      <patternFill patternType="solid">
        <fgColor rgb="FFFFFF00"/>
        <bgColor rgb="FFFFFF00"/>
      </patternFill>
    </fill>
    <fill>
      <patternFill patternType="solid">
        <fgColor rgb="FF366092"/>
        <bgColor rgb="FF366092"/>
      </patternFill>
    </fill>
    <fill>
      <patternFill patternType="solid">
        <fgColor rgb="FFC6EFCE"/>
        <bgColor rgb="FFC6EFCE"/>
      </patternFill>
    </fill>
    <fill>
      <patternFill patternType="solid">
        <fgColor rgb="FFFFFF00"/>
        <bgColor rgb="FFFFFF00"/>
      </patternFill>
    </fill>
    <fill>
      <patternFill patternType="solid">
        <fgColor rgb="FF366092"/>
        <bgColor rgb="FF366092"/>
      </patternFill>
    </fill>
    <fill>
      <patternFill patternType="solid">
        <fgColor rgb="FFC6EFCE"/>
        <bgColor rgb="FFC6EFCE"/>
      </patternFill>
    </fill>
    <fill>
      <patternFill patternType="solid">
        <fgColor rgb="FFFFFF00"/>
        <bgColor rgb="FFFFFF00"/>
      </patternFill>
    </fill>
    <fill>
      <patternFill patternType="solid">
        <fgColor rgb="FF366092"/>
        <bgColor rgb="FF366092"/>
      </patternFill>
    </fill>
    <fill>
      <patternFill patternType="solid">
        <fgColor rgb="FFC6EFCE"/>
        <bgColor rgb="FFC6EFCE"/>
      </patternFill>
    </fill>
    <fill>
      <patternFill patternType="solid">
        <fgColor rgb="FFFFFF00"/>
        <bgColor rgb="FFFFFF00"/>
      </patternFill>
    </fill>
    <fill>
      <patternFill patternType="solid">
        <fgColor rgb="FF366092"/>
        <bgColor rgb="FF366092"/>
      </patternFill>
    </fill>
    <fill>
      <patternFill patternType="solid">
        <fgColor rgb="FFC6EFCE"/>
        <bgColor rgb="FFC6EFCE"/>
      </patternFill>
    </fill>
    <fill>
      <patternFill patternType="solid">
        <fgColor rgb="FFFFFF00"/>
        <bgColor rgb="FFFFFF00"/>
      </patternFill>
    </fill>
    <fill>
      <patternFill patternType="solid">
        <fgColor rgb="FF366092"/>
        <bgColor rgb="FF366092"/>
      </patternFill>
    </fill>
    <fill>
      <patternFill patternType="solid">
        <fgColor rgb="FFC6EFCE"/>
        <bgColor rgb="FFC6EFCE"/>
      </patternFill>
    </fill>
    <fill>
      <patternFill patternType="solid">
        <fgColor rgb="FFFFFF00"/>
        <bgColor rgb="FFFFFF00"/>
      </patternFill>
    </fill>
    <fill>
      <patternFill patternType="solid">
        <fgColor rgb="FF366092"/>
        <bgColor rgb="FF366092"/>
      </patternFill>
    </fill>
    <fill>
      <patternFill patternType="solid">
        <fgColor rgb="FFC6EFCE"/>
        <bgColor rgb="FFC6EFCE"/>
      </patternFill>
    </fill>
    <fill>
      <patternFill patternType="solid">
        <fgColor rgb="FFFFFF00"/>
        <bgColor rgb="FFFFFF00"/>
      </patternFill>
    </fill>
    <fill>
      <patternFill patternType="solid">
        <fgColor rgb="FF366092"/>
        <bgColor rgb="FF366092"/>
      </patternFill>
    </fill>
    <fill>
      <patternFill patternType="solid">
        <fgColor rgb="FFC6EFCE"/>
        <bgColor rgb="FFC6EFCE"/>
      </patternFill>
    </fill>
    <fill>
      <patternFill patternType="solid">
        <fgColor rgb="FFFFFF00"/>
        <bgColor rgb="FFFFFF00"/>
      </patternFill>
    </fill>
    <fill>
      <patternFill patternType="solid">
        <fgColor rgb="FF366092"/>
        <bgColor rgb="FF366092"/>
      </patternFill>
    </fill>
    <fill>
      <patternFill patternType="solid">
        <fgColor rgb="FFC6EFCE"/>
        <bgColor rgb="FFC6EFCE"/>
      </patternFill>
    </fill>
    <fill>
      <patternFill patternType="solid">
        <fgColor rgb="FFFFFF00"/>
        <bgColor rgb="FFFFFF00"/>
      </patternFill>
    </fill>
    <fill>
      <patternFill patternType="solid">
        <fgColor rgb="FF366092"/>
        <bgColor rgb="FF366092"/>
      </patternFill>
    </fill>
    <fill>
      <patternFill patternType="solid">
        <fgColor rgb="FFC6EFCE"/>
        <bgColor rgb="FFC6EFCE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rgb="FFC6EFCE"/>
      </patternFill>
    </fill>
    <fill>
      <patternFill patternType="solid">
        <fgColor rgb="FF366092"/>
        <bgColor rgb="FF366092"/>
      </patternFill>
    </fill>
    <fill>
      <patternFill patternType="solid">
        <fgColor rgb="FFC6EFCE"/>
        <bgColor rgb="FFC6EFCE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  <fill>
      <patternFill patternType="solid">
        <fgColor rgb="FF366092"/>
        <bgColor rgb="FF366092"/>
      </patternFill>
    </fill>
    <fill>
      <patternFill patternType="solid">
        <fgColor rgb="FFC6EFCE"/>
        <bgColor rgb="FFC6EFCE"/>
      </patternFill>
    </fill>
    <fill>
      <patternFill patternType="solid">
        <fgColor rgb="FFFFFF00"/>
        <bgColor rgb="FFFFFF00"/>
      </patternFill>
    </fill>
    <fill>
      <patternFill patternType="solid">
        <fgColor rgb="FF366092"/>
        <bgColor rgb="FF366092"/>
      </patternFill>
    </fill>
    <fill>
      <patternFill patternType="solid">
        <fgColor rgb="FFC6EFCE"/>
        <bgColor rgb="FFC6EFCE"/>
      </patternFill>
    </fill>
    <fill>
      <patternFill patternType="solid">
        <fgColor rgb="FFFFFF00"/>
        <bgColor rgb="FFFFFF00"/>
      </patternFill>
    </fill>
    <fill>
      <patternFill patternType="solid">
        <fgColor rgb="FF366092"/>
        <bgColor rgb="FF366092"/>
      </patternFill>
    </fill>
    <fill>
      <patternFill patternType="solid">
        <fgColor rgb="FFC6EFCE"/>
        <bgColor rgb="FFC6EFCE"/>
      </patternFill>
    </fill>
    <fill>
      <patternFill patternType="solid">
        <fgColor rgb="FFFFFF00"/>
        <bgColor rgb="FFFFFF00"/>
      </patternFill>
    </fill>
    <fill>
      <patternFill patternType="solid">
        <fgColor rgb="FFFFC000"/>
        <bgColor indexed="64"/>
      </patternFill>
    </fill>
    <fill>
      <patternFill patternType="solid">
        <fgColor rgb="FFFFC000"/>
        <bgColor rgb="FFC6EFCE"/>
      </patternFill>
    </fill>
    <fill>
      <patternFill patternType="solid">
        <fgColor rgb="FF366092"/>
        <bgColor rgb="FF366092"/>
      </patternFill>
    </fill>
    <fill>
      <patternFill patternType="solid">
        <fgColor rgb="FFC6EFCE"/>
        <bgColor rgb="FFC6EFCE"/>
      </patternFill>
    </fill>
    <fill>
      <patternFill patternType="solid">
        <fgColor rgb="FFFFFF00"/>
        <bgColor rgb="FFFFFF00"/>
      </patternFill>
    </fill>
    <fill>
      <patternFill patternType="solid">
        <fgColor rgb="FF366092"/>
        <bgColor rgb="FF366092"/>
      </patternFill>
    </fill>
    <fill>
      <patternFill patternType="solid">
        <fgColor rgb="FFC6EFCE"/>
        <bgColor rgb="FFC6EFCE"/>
      </patternFill>
    </fill>
    <fill>
      <patternFill patternType="solid">
        <fgColor rgb="FFFFFF00"/>
        <bgColor rgb="FFFFFF00"/>
      </patternFill>
    </fill>
    <fill>
      <patternFill patternType="solid">
        <fgColor rgb="FF366092"/>
        <bgColor rgb="FF366092"/>
      </patternFill>
    </fill>
    <fill>
      <patternFill patternType="solid">
        <fgColor rgb="FFC6EFCE"/>
        <bgColor rgb="FFC6EFCE"/>
      </patternFill>
    </fill>
    <fill>
      <patternFill patternType="solid">
        <fgColor rgb="FFFFFF00"/>
        <bgColor rgb="FFFFFF00"/>
      </patternFill>
    </fill>
    <fill>
      <patternFill patternType="solid">
        <fgColor rgb="FFD9E1F2"/>
        <bgColor rgb="FFD9E1F2"/>
      </patternFill>
    </fill>
    <fill>
      <patternFill patternType="solid">
        <fgColor rgb="FFEBF0FA"/>
        <bgColor rgb="FFEBF0FA"/>
      </patternFill>
    </fill>
    <fill>
      <patternFill patternType="solid">
        <fgColor rgb="FFBDD7EE"/>
        <bgColor rgb="FFBDD7EE"/>
      </patternFill>
    </fill>
    <fill>
      <patternFill patternType="solid">
        <fgColor rgb="FF2E75B6"/>
        <bgColor rgb="FF2E75B6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95">
    <xf numFmtId="0" fontId="0" fillId="0" borderId="0" xfId="0"/>
    <xf numFmtId="0" fontId="1" fillId="0" borderId="0" xfId="0" applyFont="1"/>
    <xf numFmtId="14" fontId="1" fillId="0" borderId="0" xfId="0" applyNumberFormat="1" applyFont="1"/>
    <xf numFmtId="0" fontId="2" fillId="2" borderId="1" xfId="0" applyFont="1" applyFill="1" applyBorder="1" applyAlignment="1">
      <alignment horizontal="center" vertical="center" wrapText="1"/>
    </xf>
    <xf numFmtId="14" fontId="0" fillId="3" borderId="1" xfId="0" applyNumberFormat="1" applyFill="1" applyBorder="1" applyAlignment="1">
      <alignment horizontal="center" vertical="top" wrapText="1"/>
    </xf>
    <xf numFmtId="0" fontId="0" fillId="3" borderId="1" xfId="0" applyFill="1" applyBorder="1" applyAlignment="1">
      <alignment horizontal="center" vertical="top" wrapText="1"/>
    </xf>
    <xf numFmtId="0" fontId="0" fillId="3" borderId="1" xfId="0" applyFill="1" applyBorder="1" applyAlignment="1">
      <alignment horizontal="left" vertical="top" wrapText="1"/>
    </xf>
    <xf numFmtId="164" fontId="0" fillId="3" borderId="1" xfId="0" applyNumberFormat="1" applyFill="1" applyBorder="1" applyAlignment="1">
      <alignment vertical="top" wrapText="1"/>
    </xf>
    <xf numFmtId="14" fontId="0" fillId="4" borderId="1" xfId="0" applyNumberFormat="1" applyFill="1" applyBorder="1" applyAlignment="1">
      <alignment horizontal="center" vertical="top" wrapText="1"/>
    </xf>
    <xf numFmtId="0" fontId="0" fillId="4" borderId="1" xfId="0" applyFill="1" applyBorder="1" applyAlignment="1">
      <alignment horizontal="center" vertical="top" wrapText="1"/>
    </xf>
    <xf numFmtId="0" fontId="0" fillId="4" borderId="1" xfId="0" applyFill="1" applyBorder="1" applyAlignment="1">
      <alignment horizontal="left" vertical="top" wrapText="1"/>
    </xf>
    <xf numFmtId="164" fontId="0" fillId="4" borderId="1" xfId="0" applyNumberFormat="1" applyFill="1" applyBorder="1" applyAlignment="1">
      <alignment vertical="top" wrapText="1"/>
    </xf>
    <xf numFmtId="14" fontId="0" fillId="0" borderId="1" xfId="0" applyNumberFormat="1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0" fontId="0" fillId="0" borderId="1" xfId="0" applyBorder="1" applyAlignment="1">
      <alignment horizontal="left" vertical="top" wrapText="1"/>
    </xf>
    <xf numFmtId="164" fontId="0" fillId="0" borderId="1" xfId="0" applyNumberFormat="1" applyBorder="1" applyAlignment="1">
      <alignment vertical="top" wrapText="1"/>
    </xf>
    <xf numFmtId="0" fontId="3" fillId="0" borderId="0" xfId="0" applyFont="1"/>
    <xf numFmtId="164" fontId="3" fillId="0" borderId="0" xfId="0" applyNumberFormat="1" applyFont="1"/>
    <xf numFmtId="0" fontId="4" fillId="0" borderId="0" xfId="0" applyFont="1"/>
    <xf numFmtId="164" fontId="0" fillId="0" borderId="0" xfId="0" applyNumberFormat="1"/>
    <xf numFmtId="14" fontId="0" fillId="0" borderId="1" xfId="0" applyNumberFormat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5" fillId="0" borderId="0" xfId="0" applyFont="1"/>
    <xf numFmtId="0" fontId="0" fillId="0" borderId="0" xfId="0" applyAlignment="1">
      <alignment horizontal="center"/>
    </xf>
    <xf numFmtId="44" fontId="0" fillId="0" borderId="0" xfId="0" applyNumberFormat="1"/>
    <xf numFmtId="44" fontId="2" fillId="2" borderId="1" xfId="0" applyNumberFormat="1" applyFont="1" applyFill="1" applyBorder="1" applyAlignment="1">
      <alignment horizontal="center" vertical="center" wrapText="1"/>
    </xf>
    <xf numFmtId="44" fontId="0" fillId="3" borderId="1" xfId="0" applyNumberFormat="1" applyFill="1" applyBorder="1" applyAlignment="1">
      <alignment vertical="top" wrapText="1"/>
    </xf>
    <xf numFmtId="44" fontId="0" fillId="0" borderId="1" xfId="0" applyNumberFormat="1" applyBorder="1" applyAlignment="1">
      <alignment vertical="top" wrapText="1"/>
    </xf>
    <xf numFmtId="44" fontId="0" fillId="4" borderId="1" xfId="0" applyNumberFormat="1" applyFill="1" applyBorder="1" applyAlignment="1">
      <alignment vertical="top" wrapText="1"/>
    </xf>
    <xf numFmtId="44" fontId="3" fillId="0" borderId="0" xfId="0" applyNumberFormat="1" applyFont="1"/>
    <xf numFmtId="164" fontId="0" fillId="0" borderId="0" xfId="0" applyNumberFormat="1" applyAlignment="1">
      <alignment horizontal="center"/>
    </xf>
    <xf numFmtId="14" fontId="7" fillId="0" borderId="0" xfId="0" applyNumberFormat="1" applyFont="1"/>
    <xf numFmtId="0" fontId="8" fillId="5" borderId="2" xfId="0" applyFont="1" applyFill="1" applyBorder="1" applyAlignment="1">
      <alignment horizontal="center" vertical="center" wrapText="1"/>
    </xf>
    <xf numFmtId="14" fontId="0" fillId="6" borderId="2" xfId="0" applyNumberFormat="1" applyFill="1" applyBorder="1" applyAlignment="1">
      <alignment horizontal="center" vertical="top" wrapText="1"/>
    </xf>
    <xf numFmtId="0" fontId="0" fillId="6" borderId="2" xfId="0" applyFill="1" applyBorder="1" applyAlignment="1">
      <alignment horizontal="center" vertical="top" wrapText="1"/>
    </xf>
    <xf numFmtId="0" fontId="0" fillId="6" borderId="2" xfId="0" applyFill="1" applyBorder="1" applyAlignment="1">
      <alignment horizontal="left" vertical="top" wrapText="1"/>
    </xf>
    <xf numFmtId="14" fontId="0" fillId="7" borderId="2" xfId="0" applyNumberFormat="1" applyFill="1" applyBorder="1" applyAlignment="1">
      <alignment horizontal="center" vertical="top" wrapText="1"/>
    </xf>
    <xf numFmtId="0" fontId="0" fillId="7" borderId="2" xfId="0" applyFill="1" applyBorder="1" applyAlignment="1">
      <alignment horizontal="center" vertical="top" wrapText="1"/>
    </xf>
    <xf numFmtId="0" fontId="0" fillId="7" borderId="2" xfId="0" applyFill="1" applyBorder="1" applyAlignment="1">
      <alignment horizontal="left" vertical="top" wrapText="1"/>
    </xf>
    <xf numFmtId="14" fontId="0" fillId="0" borderId="2" xfId="0" applyNumberFormat="1" applyBorder="1" applyAlignment="1">
      <alignment horizontal="center" vertical="top" wrapText="1"/>
    </xf>
    <xf numFmtId="0" fontId="0" fillId="0" borderId="2" xfId="0" applyBorder="1" applyAlignment="1">
      <alignment horizontal="center" vertical="top" wrapText="1"/>
    </xf>
    <xf numFmtId="0" fontId="0" fillId="0" borderId="2" xfId="0" applyBorder="1" applyAlignment="1">
      <alignment horizontal="left" vertical="top" wrapText="1"/>
    </xf>
    <xf numFmtId="0" fontId="9" fillId="0" borderId="0" xfId="0" applyFont="1"/>
    <xf numFmtId="0" fontId="10" fillId="0" borderId="0" xfId="0" applyFont="1"/>
    <xf numFmtId="14" fontId="0" fillId="0" borderId="2" xfId="0" applyNumberFormat="1" applyBorder="1" applyAlignment="1">
      <alignment vertical="top" wrapText="1"/>
    </xf>
    <xf numFmtId="0" fontId="0" fillId="0" borderId="2" xfId="0" applyBorder="1" applyAlignment="1">
      <alignment vertical="top" wrapText="1"/>
    </xf>
    <xf numFmtId="44" fontId="8" fillId="5" borderId="2" xfId="0" applyNumberFormat="1" applyFont="1" applyFill="1" applyBorder="1" applyAlignment="1">
      <alignment horizontal="center" vertical="center" wrapText="1"/>
    </xf>
    <xf numFmtId="44" fontId="0" fillId="0" borderId="0" xfId="0" applyNumberFormat="1" applyAlignment="1">
      <alignment horizontal="left"/>
    </xf>
    <xf numFmtId="44" fontId="0" fillId="6" borderId="2" xfId="0" applyNumberFormat="1" applyFill="1" applyBorder="1" applyAlignment="1">
      <alignment horizontal="left" vertical="top" wrapText="1"/>
    </xf>
    <xf numFmtId="44" fontId="0" fillId="0" borderId="2" xfId="0" applyNumberFormat="1" applyBorder="1" applyAlignment="1">
      <alignment horizontal="left" vertical="top" wrapText="1"/>
    </xf>
    <xf numFmtId="44" fontId="0" fillId="7" borderId="2" xfId="0" applyNumberFormat="1" applyFill="1" applyBorder="1" applyAlignment="1">
      <alignment horizontal="left" vertical="top" wrapText="1"/>
    </xf>
    <xf numFmtId="44" fontId="9" fillId="0" borderId="0" xfId="0" applyNumberFormat="1" applyFont="1" applyAlignment="1">
      <alignment horizontal="left"/>
    </xf>
    <xf numFmtId="0" fontId="12" fillId="0" borderId="0" xfId="0" applyFont="1"/>
    <xf numFmtId="14" fontId="12" fillId="0" borderId="0" xfId="0" applyNumberFormat="1" applyFont="1"/>
    <xf numFmtId="0" fontId="13" fillId="8" borderId="4" xfId="0" applyFont="1" applyFill="1" applyBorder="1" applyAlignment="1">
      <alignment horizontal="center" vertical="center" wrapText="1"/>
    </xf>
    <xf numFmtId="14" fontId="0" fillId="9" borderId="4" xfId="0" applyNumberFormat="1" applyFill="1" applyBorder="1" applyAlignment="1">
      <alignment horizontal="center" vertical="top" wrapText="1"/>
    </xf>
    <xf numFmtId="0" fontId="0" fillId="9" borderId="4" xfId="0" applyFill="1" applyBorder="1" applyAlignment="1">
      <alignment horizontal="center" vertical="top" wrapText="1"/>
    </xf>
    <xf numFmtId="0" fontId="0" fillId="9" borderId="4" xfId="0" applyFill="1" applyBorder="1" applyAlignment="1">
      <alignment horizontal="left" vertical="top" wrapText="1"/>
    </xf>
    <xf numFmtId="164" fontId="0" fillId="9" borderId="4" xfId="0" applyNumberFormat="1" applyFill="1" applyBorder="1" applyAlignment="1">
      <alignment vertical="top" wrapText="1"/>
    </xf>
    <xf numFmtId="14" fontId="0" fillId="10" borderId="4" xfId="0" applyNumberFormat="1" applyFill="1" applyBorder="1" applyAlignment="1">
      <alignment horizontal="center" vertical="top" wrapText="1"/>
    </xf>
    <xf numFmtId="0" fontId="0" fillId="10" borderId="4" xfId="0" applyFill="1" applyBorder="1" applyAlignment="1">
      <alignment horizontal="center" vertical="top" wrapText="1"/>
    </xf>
    <xf numFmtId="0" fontId="0" fillId="10" borderId="4" xfId="0" applyFill="1" applyBorder="1" applyAlignment="1">
      <alignment horizontal="left" vertical="top" wrapText="1"/>
    </xf>
    <xf numFmtId="164" fontId="0" fillId="10" borderId="4" xfId="0" applyNumberFormat="1" applyFill="1" applyBorder="1" applyAlignment="1">
      <alignment vertical="top" wrapText="1"/>
    </xf>
    <xf numFmtId="14" fontId="0" fillId="0" borderId="4" xfId="0" applyNumberFormat="1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0" fillId="0" borderId="4" xfId="0" applyBorder="1" applyAlignment="1">
      <alignment horizontal="left" vertical="top" wrapText="1"/>
    </xf>
    <xf numFmtId="164" fontId="0" fillId="0" borderId="4" xfId="0" applyNumberFormat="1" applyBorder="1" applyAlignment="1">
      <alignment vertical="top" wrapText="1"/>
    </xf>
    <xf numFmtId="0" fontId="14" fillId="0" borderId="0" xfId="0" applyFont="1"/>
    <xf numFmtId="164" fontId="14" fillId="0" borderId="0" xfId="0" applyNumberFormat="1" applyFont="1"/>
    <xf numFmtId="0" fontId="15" fillId="0" borderId="0" xfId="0" applyFont="1"/>
    <xf numFmtId="14" fontId="0" fillId="0" borderId="4" xfId="0" applyNumberFormat="1" applyBorder="1" applyAlignment="1">
      <alignment vertical="top" wrapText="1"/>
    </xf>
    <xf numFmtId="0" fontId="0" fillId="0" borderId="4" xfId="0" applyBorder="1" applyAlignment="1">
      <alignment vertical="top" wrapText="1"/>
    </xf>
    <xf numFmtId="0" fontId="16" fillId="0" borderId="0" xfId="0" applyFont="1"/>
    <xf numFmtId="0" fontId="17" fillId="0" borderId="0" xfId="0" applyFont="1"/>
    <xf numFmtId="14" fontId="17" fillId="0" borderId="0" xfId="0" applyNumberFormat="1" applyFont="1"/>
    <xf numFmtId="0" fontId="18" fillId="11" borderId="5" xfId="0" applyFont="1" applyFill="1" applyBorder="1" applyAlignment="1">
      <alignment horizontal="center" vertical="center" wrapText="1"/>
    </xf>
    <xf numFmtId="14" fontId="0" fillId="12" borderId="5" xfId="0" applyNumberFormat="1" applyFill="1" applyBorder="1" applyAlignment="1">
      <alignment horizontal="center" vertical="top" wrapText="1"/>
    </xf>
    <xf numFmtId="0" fontId="0" fillId="12" borderId="5" xfId="0" applyFill="1" applyBorder="1" applyAlignment="1">
      <alignment horizontal="center" vertical="top" wrapText="1"/>
    </xf>
    <xf numFmtId="0" fontId="0" fillId="12" borderId="5" xfId="0" applyFill="1" applyBorder="1" applyAlignment="1">
      <alignment horizontal="left" vertical="top" wrapText="1"/>
    </xf>
    <xf numFmtId="164" fontId="0" fillId="12" borderId="5" xfId="0" applyNumberFormat="1" applyFill="1" applyBorder="1" applyAlignment="1">
      <alignment vertical="top" wrapText="1"/>
    </xf>
    <xf numFmtId="14" fontId="0" fillId="13" borderId="5" xfId="0" applyNumberFormat="1" applyFill="1" applyBorder="1" applyAlignment="1">
      <alignment horizontal="center" vertical="top" wrapText="1"/>
    </xf>
    <xf numFmtId="0" fontId="0" fillId="13" borderId="5" xfId="0" applyFill="1" applyBorder="1" applyAlignment="1">
      <alignment horizontal="center" vertical="top" wrapText="1"/>
    </xf>
    <xf numFmtId="0" fontId="0" fillId="13" borderId="5" xfId="0" applyFill="1" applyBorder="1" applyAlignment="1">
      <alignment horizontal="left" vertical="top" wrapText="1"/>
    </xf>
    <xf numFmtId="164" fontId="0" fillId="13" borderId="5" xfId="0" applyNumberFormat="1" applyFill="1" applyBorder="1" applyAlignment="1">
      <alignment vertical="top" wrapText="1"/>
    </xf>
    <xf numFmtId="14" fontId="0" fillId="0" borderId="5" xfId="0" applyNumberFormat="1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0" fillId="0" borderId="5" xfId="0" applyBorder="1" applyAlignment="1">
      <alignment horizontal="left" vertical="top" wrapText="1"/>
    </xf>
    <xf numFmtId="164" fontId="0" fillId="0" borderId="5" xfId="0" applyNumberFormat="1" applyBorder="1" applyAlignment="1">
      <alignment vertical="top" wrapText="1"/>
    </xf>
    <xf numFmtId="0" fontId="19" fillId="0" borderId="0" xfId="0" applyFont="1"/>
    <xf numFmtId="164" fontId="19" fillId="0" borderId="0" xfId="0" applyNumberFormat="1" applyFont="1"/>
    <xf numFmtId="0" fontId="20" fillId="0" borderId="0" xfId="0" applyFont="1"/>
    <xf numFmtId="14" fontId="0" fillId="0" borderId="5" xfId="0" applyNumberFormat="1" applyBorder="1" applyAlignment="1">
      <alignment vertical="top" wrapText="1"/>
    </xf>
    <xf numFmtId="0" fontId="0" fillId="0" borderId="5" xfId="0" applyBorder="1" applyAlignment="1">
      <alignment vertical="top" wrapText="1"/>
    </xf>
    <xf numFmtId="14" fontId="0" fillId="13" borderId="5" xfId="0" applyNumberFormat="1" applyFill="1" applyBorder="1" applyAlignment="1">
      <alignment vertical="top" wrapText="1"/>
    </xf>
    <xf numFmtId="0" fontId="0" fillId="13" borderId="5" xfId="0" applyFill="1" applyBorder="1" applyAlignment="1">
      <alignment vertical="top" wrapText="1"/>
    </xf>
    <xf numFmtId="0" fontId="0" fillId="13" borderId="5" xfId="0" applyFill="1" applyBorder="1"/>
    <xf numFmtId="0" fontId="21" fillId="0" borderId="0" xfId="0" applyFont="1"/>
    <xf numFmtId="14" fontId="22" fillId="0" borderId="0" xfId="0" applyNumberFormat="1" applyFont="1"/>
    <xf numFmtId="0" fontId="23" fillId="14" borderId="6" xfId="0" applyFont="1" applyFill="1" applyBorder="1" applyAlignment="1">
      <alignment horizontal="center" vertical="center" wrapText="1"/>
    </xf>
    <xf numFmtId="14" fontId="0" fillId="15" borderId="6" xfId="0" applyNumberFormat="1" applyFill="1" applyBorder="1" applyAlignment="1">
      <alignment horizontal="center" vertical="top" wrapText="1"/>
    </xf>
    <xf numFmtId="0" fontId="0" fillId="15" borderId="6" xfId="0" applyFill="1" applyBorder="1" applyAlignment="1">
      <alignment horizontal="center" vertical="top" wrapText="1"/>
    </xf>
    <xf numFmtId="0" fontId="0" fillId="15" borderId="6" xfId="0" applyFill="1" applyBorder="1" applyAlignment="1">
      <alignment horizontal="left" vertical="top" wrapText="1"/>
    </xf>
    <xf numFmtId="14" fontId="0" fillId="16" borderId="6" xfId="0" applyNumberFormat="1" applyFill="1" applyBorder="1" applyAlignment="1">
      <alignment horizontal="center" vertical="top" wrapText="1"/>
    </xf>
    <xf numFmtId="0" fontId="0" fillId="16" borderId="6" xfId="0" applyFill="1" applyBorder="1" applyAlignment="1">
      <alignment horizontal="center" vertical="top" wrapText="1"/>
    </xf>
    <xf numFmtId="0" fontId="0" fillId="16" borderId="6" xfId="0" applyFill="1" applyBorder="1" applyAlignment="1">
      <alignment horizontal="left" vertical="top" wrapText="1"/>
    </xf>
    <xf numFmtId="14" fontId="0" fillId="0" borderId="6" xfId="0" applyNumberFormat="1" applyBorder="1" applyAlignment="1">
      <alignment horizontal="center" vertical="top" wrapText="1"/>
    </xf>
    <xf numFmtId="0" fontId="0" fillId="0" borderId="6" xfId="0" applyBorder="1" applyAlignment="1">
      <alignment horizontal="center" vertical="top" wrapText="1"/>
    </xf>
    <xf numFmtId="0" fontId="0" fillId="0" borderId="6" xfId="0" applyBorder="1" applyAlignment="1">
      <alignment horizontal="left" vertical="top" wrapText="1"/>
    </xf>
    <xf numFmtId="0" fontId="24" fillId="0" borderId="0" xfId="0" applyFont="1"/>
    <xf numFmtId="0" fontId="25" fillId="0" borderId="0" xfId="0" applyFont="1"/>
    <xf numFmtId="14" fontId="0" fillId="0" borderId="6" xfId="0" applyNumberFormat="1" applyBorder="1" applyAlignment="1">
      <alignment vertical="top" wrapText="1"/>
    </xf>
    <xf numFmtId="0" fontId="0" fillId="0" borderId="6" xfId="0" applyBorder="1" applyAlignment="1">
      <alignment vertical="top" wrapText="1"/>
    </xf>
    <xf numFmtId="44" fontId="23" fillId="14" borderId="6" xfId="0" applyNumberFormat="1" applyFont="1" applyFill="1" applyBorder="1" applyAlignment="1">
      <alignment horizontal="center" vertical="center" wrapText="1"/>
    </xf>
    <xf numFmtId="44" fontId="0" fillId="15" borderId="6" xfId="0" applyNumberFormat="1" applyFill="1" applyBorder="1" applyAlignment="1">
      <alignment vertical="top" wrapText="1"/>
    </xf>
    <xf numFmtId="44" fontId="0" fillId="0" borderId="6" xfId="0" applyNumberFormat="1" applyBorder="1" applyAlignment="1">
      <alignment vertical="top" wrapText="1"/>
    </xf>
    <xf numFmtId="44" fontId="0" fillId="16" borderId="6" xfId="0" applyNumberFormat="1" applyFill="1" applyBorder="1" applyAlignment="1">
      <alignment vertical="top" wrapText="1"/>
    </xf>
    <xf numFmtId="44" fontId="24" fillId="0" borderId="0" xfId="0" applyNumberFormat="1" applyFont="1"/>
    <xf numFmtId="0" fontId="0" fillId="0" borderId="0" xfId="0" applyAlignment="1">
      <alignment horizontal="left"/>
    </xf>
    <xf numFmtId="14" fontId="27" fillId="0" borderId="0" xfId="0" applyNumberFormat="1" applyFont="1"/>
    <xf numFmtId="0" fontId="28" fillId="17" borderId="7" xfId="0" applyFont="1" applyFill="1" applyBorder="1" applyAlignment="1">
      <alignment horizontal="center" vertical="center" wrapText="1"/>
    </xf>
    <xf numFmtId="14" fontId="0" fillId="18" borderId="7" xfId="0" applyNumberFormat="1" applyFill="1" applyBorder="1" applyAlignment="1">
      <alignment horizontal="center" vertical="top" wrapText="1"/>
    </xf>
    <xf numFmtId="0" fontId="0" fillId="18" borderId="7" xfId="0" applyFill="1" applyBorder="1" applyAlignment="1">
      <alignment horizontal="center" vertical="top" wrapText="1"/>
    </xf>
    <xf numFmtId="0" fontId="0" fillId="18" borderId="7" xfId="0" applyFill="1" applyBorder="1" applyAlignment="1">
      <alignment horizontal="left" vertical="top" wrapText="1"/>
    </xf>
    <xf numFmtId="14" fontId="0" fillId="19" borderId="7" xfId="0" applyNumberFormat="1" applyFill="1" applyBorder="1" applyAlignment="1">
      <alignment horizontal="center" vertical="top" wrapText="1"/>
    </xf>
    <xf numFmtId="0" fontId="0" fillId="19" borderId="7" xfId="0" applyFill="1" applyBorder="1" applyAlignment="1">
      <alignment horizontal="center" vertical="top" wrapText="1"/>
    </xf>
    <xf numFmtId="0" fontId="0" fillId="19" borderId="7" xfId="0" applyFill="1" applyBorder="1" applyAlignment="1">
      <alignment horizontal="left" vertical="top" wrapText="1"/>
    </xf>
    <xf numFmtId="14" fontId="0" fillId="0" borderId="7" xfId="0" applyNumberFormat="1" applyBorder="1" applyAlignment="1">
      <alignment horizontal="center" vertical="top" wrapText="1"/>
    </xf>
    <xf numFmtId="0" fontId="0" fillId="0" borderId="7" xfId="0" applyBorder="1" applyAlignment="1">
      <alignment horizontal="center" vertical="top" wrapText="1"/>
    </xf>
    <xf numFmtId="0" fontId="0" fillId="0" borderId="7" xfId="0" applyBorder="1" applyAlignment="1">
      <alignment horizontal="left" vertical="top" wrapText="1"/>
    </xf>
    <xf numFmtId="0" fontId="29" fillId="0" borderId="0" xfId="0" applyFont="1"/>
    <xf numFmtId="0" fontId="30" fillId="0" borderId="0" xfId="0" applyFont="1"/>
    <xf numFmtId="0" fontId="0" fillId="0" borderId="7" xfId="0" applyBorder="1" applyAlignment="1">
      <alignment vertical="top" wrapText="1"/>
    </xf>
    <xf numFmtId="44" fontId="28" fillId="17" borderId="7" xfId="0" applyNumberFormat="1" applyFont="1" applyFill="1" applyBorder="1" applyAlignment="1">
      <alignment horizontal="center" vertical="center" wrapText="1"/>
    </xf>
    <xf numFmtId="44" fontId="0" fillId="18" borderId="7" xfId="0" applyNumberFormat="1" applyFill="1" applyBorder="1" applyAlignment="1">
      <alignment vertical="top" wrapText="1"/>
    </xf>
    <xf numFmtId="44" fontId="0" fillId="0" borderId="7" xfId="0" applyNumberFormat="1" applyBorder="1" applyAlignment="1">
      <alignment vertical="top" wrapText="1"/>
    </xf>
    <xf numFmtId="44" fontId="0" fillId="19" borderId="7" xfId="0" applyNumberFormat="1" applyFill="1" applyBorder="1" applyAlignment="1">
      <alignment vertical="top" wrapText="1"/>
    </xf>
    <xf numFmtId="44" fontId="29" fillId="0" borderId="0" xfId="0" applyNumberFormat="1" applyFont="1"/>
    <xf numFmtId="0" fontId="27" fillId="0" borderId="0" xfId="0" applyFont="1" applyAlignment="1">
      <alignment horizontal="center"/>
    </xf>
    <xf numFmtId="0" fontId="31" fillId="0" borderId="0" xfId="0" applyFont="1" applyAlignment="1">
      <alignment horizontal="center"/>
    </xf>
    <xf numFmtId="0" fontId="32" fillId="0" borderId="0" xfId="0" applyFont="1"/>
    <xf numFmtId="14" fontId="32" fillId="0" borderId="0" xfId="0" applyNumberFormat="1" applyFont="1"/>
    <xf numFmtId="0" fontId="33" fillId="20" borderId="8" xfId="0" applyFont="1" applyFill="1" applyBorder="1" applyAlignment="1">
      <alignment horizontal="center" vertical="center" wrapText="1"/>
    </xf>
    <xf numFmtId="14" fontId="0" fillId="21" borderId="8" xfId="0" applyNumberFormat="1" applyFill="1" applyBorder="1" applyAlignment="1">
      <alignment horizontal="center" vertical="top" wrapText="1"/>
    </xf>
    <xf numFmtId="0" fontId="0" fillId="21" borderId="8" xfId="0" applyFill="1" applyBorder="1" applyAlignment="1">
      <alignment horizontal="center" vertical="top" wrapText="1"/>
    </xf>
    <xf numFmtId="0" fontId="0" fillId="21" borderId="8" xfId="0" applyFill="1" applyBorder="1" applyAlignment="1">
      <alignment horizontal="left" vertical="top" wrapText="1"/>
    </xf>
    <xf numFmtId="14" fontId="0" fillId="22" borderId="8" xfId="0" applyNumberFormat="1" applyFill="1" applyBorder="1" applyAlignment="1">
      <alignment horizontal="center" vertical="top" wrapText="1"/>
    </xf>
    <xf numFmtId="0" fontId="0" fillId="22" borderId="8" xfId="0" applyFill="1" applyBorder="1" applyAlignment="1">
      <alignment horizontal="center" vertical="top" wrapText="1"/>
    </xf>
    <xf numFmtId="0" fontId="0" fillId="22" borderId="8" xfId="0" applyFill="1" applyBorder="1" applyAlignment="1">
      <alignment horizontal="left" vertical="top" wrapText="1"/>
    </xf>
    <xf numFmtId="14" fontId="0" fillId="0" borderId="8" xfId="0" applyNumberFormat="1" applyBorder="1" applyAlignment="1">
      <alignment horizontal="center" vertical="top" wrapText="1"/>
    </xf>
    <xf numFmtId="0" fontId="0" fillId="0" borderId="8" xfId="0" applyBorder="1" applyAlignment="1">
      <alignment horizontal="center" vertical="top" wrapText="1"/>
    </xf>
    <xf numFmtId="0" fontId="0" fillId="0" borderId="8" xfId="0" applyBorder="1" applyAlignment="1">
      <alignment horizontal="left" vertical="top" wrapText="1"/>
    </xf>
    <xf numFmtId="0" fontId="34" fillId="0" borderId="0" xfId="0" applyFont="1"/>
    <xf numFmtId="0" fontId="35" fillId="0" borderId="0" xfId="0" applyFont="1"/>
    <xf numFmtId="14" fontId="0" fillId="0" borderId="8" xfId="0" applyNumberFormat="1" applyBorder="1" applyAlignment="1">
      <alignment vertical="top" wrapText="1"/>
    </xf>
    <xf numFmtId="0" fontId="0" fillId="0" borderId="8" xfId="0" applyBorder="1" applyAlignment="1">
      <alignment vertical="top" wrapText="1"/>
    </xf>
    <xf numFmtId="44" fontId="33" fillId="20" borderId="8" xfId="0" applyNumberFormat="1" applyFont="1" applyFill="1" applyBorder="1" applyAlignment="1">
      <alignment horizontal="center" vertical="center" wrapText="1"/>
    </xf>
    <xf numFmtId="44" fontId="0" fillId="21" borderId="8" xfId="0" applyNumberFormat="1" applyFill="1" applyBorder="1" applyAlignment="1">
      <alignment vertical="top" wrapText="1"/>
    </xf>
    <xf numFmtId="44" fontId="0" fillId="0" borderId="8" xfId="0" applyNumberFormat="1" applyBorder="1" applyAlignment="1">
      <alignment vertical="top" wrapText="1"/>
    </xf>
    <xf numFmtId="44" fontId="0" fillId="22" borderId="8" xfId="0" applyNumberFormat="1" applyFill="1" applyBorder="1" applyAlignment="1">
      <alignment vertical="top" wrapText="1"/>
    </xf>
    <xf numFmtId="44" fontId="34" fillId="0" borderId="0" xfId="0" applyNumberFormat="1" applyFont="1"/>
    <xf numFmtId="14" fontId="37" fillId="0" borderId="0" xfId="0" applyNumberFormat="1" applyFont="1"/>
    <xf numFmtId="0" fontId="38" fillId="23" borderId="9" xfId="0" applyFont="1" applyFill="1" applyBorder="1" applyAlignment="1">
      <alignment horizontal="center" vertical="center" wrapText="1"/>
    </xf>
    <xf numFmtId="14" fontId="0" fillId="24" borderId="9" xfId="0" applyNumberFormat="1" applyFill="1" applyBorder="1" applyAlignment="1">
      <alignment horizontal="center" vertical="top" wrapText="1"/>
    </xf>
    <xf numFmtId="0" fontId="0" fillId="24" borderId="9" xfId="0" applyFill="1" applyBorder="1" applyAlignment="1">
      <alignment horizontal="center" vertical="top" wrapText="1"/>
    </xf>
    <xf numFmtId="0" fontId="0" fillId="24" borderId="9" xfId="0" applyFill="1" applyBorder="1" applyAlignment="1">
      <alignment horizontal="left" vertical="top" wrapText="1"/>
    </xf>
    <xf numFmtId="14" fontId="0" fillId="25" borderId="9" xfId="0" applyNumberFormat="1" applyFill="1" applyBorder="1" applyAlignment="1">
      <alignment horizontal="center" vertical="top" wrapText="1"/>
    </xf>
    <xf numFmtId="0" fontId="0" fillId="25" borderId="9" xfId="0" applyFill="1" applyBorder="1" applyAlignment="1">
      <alignment horizontal="center" vertical="top" wrapText="1"/>
    </xf>
    <xf numFmtId="0" fontId="0" fillId="25" borderId="9" xfId="0" applyFill="1" applyBorder="1" applyAlignment="1">
      <alignment horizontal="left" vertical="top" wrapText="1"/>
    </xf>
    <xf numFmtId="14" fontId="0" fillId="0" borderId="9" xfId="0" applyNumberFormat="1" applyBorder="1" applyAlignment="1">
      <alignment horizontal="center" vertical="top" wrapText="1"/>
    </xf>
    <xf numFmtId="0" fontId="0" fillId="0" borderId="9" xfId="0" applyBorder="1" applyAlignment="1">
      <alignment horizontal="center" vertical="top" wrapText="1"/>
    </xf>
    <xf numFmtId="0" fontId="0" fillId="0" borderId="9" xfId="0" applyBorder="1" applyAlignment="1">
      <alignment horizontal="left" vertical="top" wrapText="1"/>
    </xf>
    <xf numFmtId="0" fontId="39" fillId="0" borderId="0" xfId="0" applyFont="1"/>
    <xf numFmtId="0" fontId="40" fillId="0" borderId="0" xfId="0" applyFont="1"/>
    <xf numFmtId="44" fontId="38" fillId="23" borderId="9" xfId="0" applyNumberFormat="1" applyFont="1" applyFill="1" applyBorder="1" applyAlignment="1">
      <alignment horizontal="center" vertical="center" wrapText="1"/>
    </xf>
    <xf numFmtId="44" fontId="0" fillId="24" borderId="9" xfId="0" applyNumberFormat="1" applyFill="1" applyBorder="1" applyAlignment="1">
      <alignment vertical="top" wrapText="1"/>
    </xf>
    <xf numFmtId="44" fontId="0" fillId="0" borderId="9" xfId="0" applyNumberFormat="1" applyBorder="1" applyAlignment="1">
      <alignment vertical="top" wrapText="1"/>
    </xf>
    <xf numFmtId="44" fontId="0" fillId="25" borderId="9" xfId="0" applyNumberFormat="1" applyFill="1" applyBorder="1" applyAlignment="1">
      <alignment vertical="top" wrapText="1"/>
    </xf>
    <xf numFmtId="44" fontId="39" fillId="0" borderId="0" xfId="0" applyNumberFormat="1" applyFont="1"/>
    <xf numFmtId="14" fontId="0" fillId="0" borderId="9" xfId="0" applyNumberFormat="1" applyBorder="1" applyAlignment="1">
      <alignment vertical="top" wrapText="1"/>
    </xf>
    <xf numFmtId="0" fontId="0" fillId="0" borderId="9" xfId="0" applyBorder="1" applyAlignment="1">
      <alignment vertical="top" wrapText="1"/>
    </xf>
    <xf numFmtId="0" fontId="42" fillId="0" borderId="0" xfId="0" applyFont="1"/>
    <xf numFmtId="14" fontId="42" fillId="0" borderId="0" xfId="0" applyNumberFormat="1" applyFont="1"/>
    <xf numFmtId="0" fontId="43" fillId="26" borderId="10" xfId="0" applyFont="1" applyFill="1" applyBorder="1" applyAlignment="1">
      <alignment horizontal="center" vertical="center" wrapText="1"/>
    </xf>
    <xf numFmtId="14" fontId="0" fillId="27" borderId="10" xfId="0" applyNumberFormat="1" applyFill="1" applyBorder="1" applyAlignment="1">
      <alignment horizontal="center" vertical="top" wrapText="1"/>
    </xf>
    <xf numFmtId="0" fontId="0" fillId="27" borderId="10" xfId="0" applyFill="1" applyBorder="1" applyAlignment="1">
      <alignment horizontal="center" vertical="top" wrapText="1"/>
    </xf>
    <xf numFmtId="0" fontId="0" fillId="27" borderId="10" xfId="0" applyFill="1" applyBorder="1" applyAlignment="1">
      <alignment horizontal="left" vertical="top" wrapText="1"/>
    </xf>
    <xf numFmtId="164" fontId="0" fillId="27" borderId="10" xfId="0" applyNumberFormat="1" applyFill="1" applyBorder="1" applyAlignment="1">
      <alignment vertical="top" wrapText="1"/>
    </xf>
    <xf numFmtId="14" fontId="0" fillId="28" borderId="10" xfId="0" applyNumberFormat="1" applyFill="1" applyBorder="1" applyAlignment="1">
      <alignment horizontal="center" vertical="top" wrapText="1"/>
    </xf>
    <xf numFmtId="0" fontId="0" fillId="28" borderId="10" xfId="0" applyFill="1" applyBorder="1" applyAlignment="1">
      <alignment horizontal="center" vertical="top" wrapText="1"/>
    </xf>
    <xf numFmtId="0" fontId="0" fillId="28" borderId="10" xfId="0" applyFill="1" applyBorder="1" applyAlignment="1">
      <alignment horizontal="left" vertical="top" wrapText="1"/>
    </xf>
    <xf numFmtId="164" fontId="0" fillId="28" borderId="10" xfId="0" applyNumberFormat="1" applyFill="1" applyBorder="1" applyAlignment="1">
      <alignment vertical="top" wrapText="1"/>
    </xf>
    <xf numFmtId="14" fontId="0" fillId="0" borderId="10" xfId="0" applyNumberFormat="1" applyBorder="1" applyAlignment="1">
      <alignment horizontal="center" vertical="top" wrapText="1"/>
    </xf>
    <xf numFmtId="0" fontId="0" fillId="0" borderId="10" xfId="0" applyBorder="1" applyAlignment="1">
      <alignment horizontal="center" vertical="top" wrapText="1"/>
    </xf>
    <xf numFmtId="0" fontId="0" fillId="0" borderId="10" xfId="0" applyBorder="1" applyAlignment="1">
      <alignment horizontal="left" vertical="top" wrapText="1"/>
    </xf>
    <xf numFmtId="164" fontId="0" fillId="0" borderId="10" xfId="0" applyNumberFormat="1" applyBorder="1" applyAlignment="1">
      <alignment vertical="top" wrapText="1"/>
    </xf>
    <xf numFmtId="0" fontId="44" fillId="0" borderId="0" xfId="0" applyFont="1"/>
    <xf numFmtId="164" fontId="44" fillId="0" borderId="0" xfId="0" applyNumberFormat="1" applyFont="1"/>
    <xf numFmtId="0" fontId="45" fillId="0" borderId="0" xfId="0" applyFont="1"/>
    <xf numFmtId="14" fontId="0" fillId="0" borderId="10" xfId="0" applyNumberFormat="1" applyBorder="1" applyAlignment="1">
      <alignment vertical="top" wrapText="1"/>
    </xf>
    <xf numFmtId="0" fontId="0" fillId="0" borderId="10" xfId="0" applyBorder="1" applyAlignment="1">
      <alignment vertical="top" wrapText="1"/>
    </xf>
    <xf numFmtId="14" fontId="0" fillId="28" borderId="10" xfId="0" applyNumberFormat="1" applyFill="1" applyBorder="1" applyAlignment="1">
      <alignment vertical="top" wrapText="1"/>
    </xf>
    <xf numFmtId="0" fontId="0" fillId="28" borderId="10" xfId="0" applyFill="1" applyBorder="1" applyAlignment="1">
      <alignment vertical="top" wrapText="1"/>
    </xf>
    <xf numFmtId="0" fontId="0" fillId="28" borderId="10" xfId="0" applyFill="1" applyBorder="1"/>
    <xf numFmtId="0" fontId="46" fillId="0" borderId="0" xfId="0" applyFont="1"/>
    <xf numFmtId="14" fontId="47" fillId="0" borderId="0" xfId="0" applyNumberFormat="1" applyFont="1"/>
    <xf numFmtId="0" fontId="48" fillId="29" borderId="11" xfId="0" applyFont="1" applyFill="1" applyBorder="1" applyAlignment="1">
      <alignment horizontal="center" vertical="center" wrapText="1"/>
    </xf>
    <xf numFmtId="14" fontId="0" fillId="30" borderId="11" xfId="0" applyNumberFormat="1" applyFill="1" applyBorder="1" applyAlignment="1">
      <alignment horizontal="center" vertical="top" wrapText="1"/>
    </xf>
    <xf numFmtId="0" fontId="0" fillId="30" borderId="11" xfId="0" applyFill="1" applyBorder="1" applyAlignment="1">
      <alignment horizontal="center" vertical="top" wrapText="1"/>
    </xf>
    <xf numFmtId="0" fontId="0" fillId="30" borderId="11" xfId="0" applyFill="1" applyBorder="1" applyAlignment="1">
      <alignment horizontal="left" vertical="top" wrapText="1"/>
    </xf>
    <xf numFmtId="14" fontId="0" fillId="31" borderId="11" xfId="0" applyNumberFormat="1" applyFill="1" applyBorder="1" applyAlignment="1">
      <alignment horizontal="center" vertical="top" wrapText="1"/>
    </xf>
    <xf numFmtId="0" fontId="0" fillId="31" borderId="11" xfId="0" applyFill="1" applyBorder="1" applyAlignment="1">
      <alignment horizontal="center" vertical="top" wrapText="1"/>
    </xf>
    <xf numFmtId="0" fontId="0" fillId="31" borderId="11" xfId="0" applyFill="1" applyBorder="1" applyAlignment="1">
      <alignment horizontal="left" vertical="top" wrapText="1"/>
    </xf>
    <xf numFmtId="14" fontId="0" fillId="0" borderId="11" xfId="0" applyNumberFormat="1" applyBorder="1" applyAlignment="1">
      <alignment horizontal="center" vertical="top" wrapText="1"/>
    </xf>
    <xf numFmtId="0" fontId="0" fillId="0" borderId="11" xfId="0" applyBorder="1" applyAlignment="1">
      <alignment horizontal="center" vertical="top" wrapText="1"/>
    </xf>
    <xf numFmtId="0" fontId="0" fillId="0" borderId="11" xfId="0" applyBorder="1" applyAlignment="1">
      <alignment horizontal="left" vertical="top" wrapText="1"/>
    </xf>
    <xf numFmtId="0" fontId="49" fillId="0" borderId="0" xfId="0" applyFont="1"/>
    <xf numFmtId="0" fontId="50" fillId="0" borderId="0" xfId="0" applyFont="1"/>
    <xf numFmtId="14" fontId="0" fillId="0" borderId="11" xfId="0" applyNumberFormat="1" applyBorder="1" applyAlignment="1">
      <alignment vertical="top" wrapText="1"/>
    </xf>
    <xf numFmtId="0" fontId="0" fillId="0" borderId="11" xfId="0" applyBorder="1" applyAlignment="1">
      <alignment vertical="top" wrapText="1"/>
    </xf>
    <xf numFmtId="44" fontId="48" fillId="29" borderId="11" xfId="0" applyNumberFormat="1" applyFont="1" applyFill="1" applyBorder="1" applyAlignment="1">
      <alignment horizontal="center" vertical="center" wrapText="1"/>
    </xf>
    <xf numFmtId="44" fontId="0" fillId="30" borderId="11" xfId="0" applyNumberFormat="1" applyFill="1" applyBorder="1" applyAlignment="1">
      <alignment vertical="top" wrapText="1"/>
    </xf>
    <xf numFmtId="44" fontId="0" fillId="0" borderId="11" xfId="0" applyNumberFormat="1" applyBorder="1" applyAlignment="1">
      <alignment vertical="top" wrapText="1"/>
    </xf>
    <xf numFmtId="44" fontId="0" fillId="31" borderId="11" xfId="0" applyNumberFormat="1" applyFill="1" applyBorder="1" applyAlignment="1">
      <alignment vertical="top" wrapText="1"/>
    </xf>
    <xf numFmtId="44" fontId="49" fillId="0" borderId="0" xfId="0" applyNumberFormat="1" applyFont="1"/>
    <xf numFmtId="14" fontId="52" fillId="0" borderId="0" xfId="0" applyNumberFormat="1" applyFont="1"/>
    <xf numFmtId="0" fontId="53" fillId="32" borderId="12" xfId="0" applyFont="1" applyFill="1" applyBorder="1" applyAlignment="1">
      <alignment horizontal="center" vertical="center" wrapText="1"/>
    </xf>
    <xf numFmtId="14" fontId="0" fillId="33" borderId="12" xfId="0" applyNumberFormat="1" applyFill="1" applyBorder="1" applyAlignment="1">
      <alignment horizontal="center" vertical="top" wrapText="1"/>
    </xf>
    <xf numFmtId="0" fontId="0" fillId="33" borderId="12" xfId="0" applyFill="1" applyBorder="1" applyAlignment="1">
      <alignment horizontal="center" vertical="top" wrapText="1"/>
    </xf>
    <xf numFmtId="0" fontId="0" fillId="33" borderId="12" xfId="0" applyFill="1" applyBorder="1" applyAlignment="1">
      <alignment horizontal="left" vertical="top" wrapText="1"/>
    </xf>
    <xf numFmtId="164" fontId="0" fillId="33" borderId="12" xfId="0" applyNumberFormat="1" applyFill="1" applyBorder="1" applyAlignment="1">
      <alignment vertical="top" wrapText="1"/>
    </xf>
    <xf numFmtId="14" fontId="0" fillId="34" borderId="12" xfId="0" applyNumberFormat="1" applyFill="1" applyBorder="1" applyAlignment="1">
      <alignment horizontal="center" vertical="top" wrapText="1"/>
    </xf>
    <xf numFmtId="0" fontId="0" fillId="34" borderId="12" xfId="0" applyFill="1" applyBorder="1" applyAlignment="1">
      <alignment horizontal="center" vertical="top" wrapText="1"/>
    </xf>
    <xf numFmtId="0" fontId="0" fillId="34" borderId="12" xfId="0" applyFill="1" applyBorder="1" applyAlignment="1">
      <alignment horizontal="left" vertical="top" wrapText="1"/>
    </xf>
    <xf numFmtId="164" fontId="0" fillId="34" borderId="12" xfId="0" applyNumberFormat="1" applyFill="1" applyBorder="1" applyAlignment="1">
      <alignment vertical="top" wrapText="1"/>
    </xf>
    <xf numFmtId="14" fontId="0" fillId="0" borderId="12" xfId="0" applyNumberFormat="1" applyBorder="1" applyAlignment="1">
      <alignment horizontal="center" vertical="top" wrapText="1"/>
    </xf>
    <xf numFmtId="0" fontId="0" fillId="0" borderId="12" xfId="0" applyBorder="1" applyAlignment="1">
      <alignment horizontal="center" vertical="top" wrapText="1"/>
    </xf>
    <xf numFmtId="0" fontId="0" fillId="0" borderId="12" xfId="0" applyBorder="1" applyAlignment="1">
      <alignment horizontal="left" vertical="top" wrapText="1"/>
    </xf>
    <xf numFmtId="164" fontId="0" fillId="0" borderId="12" xfId="0" applyNumberFormat="1" applyBorder="1" applyAlignment="1">
      <alignment vertical="top" wrapText="1"/>
    </xf>
    <xf numFmtId="0" fontId="54" fillId="0" borderId="0" xfId="0" applyFont="1"/>
    <xf numFmtId="164" fontId="54" fillId="0" borderId="0" xfId="0" applyNumberFormat="1" applyFont="1"/>
    <xf numFmtId="0" fontId="55" fillId="0" borderId="0" xfId="0" applyFont="1"/>
    <xf numFmtId="14" fontId="0" fillId="0" borderId="12" xfId="0" applyNumberFormat="1" applyBorder="1" applyAlignment="1">
      <alignment vertical="top" wrapText="1"/>
    </xf>
    <xf numFmtId="0" fontId="0" fillId="0" borderId="12" xfId="0" applyBorder="1" applyAlignment="1">
      <alignment vertical="top" wrapText="1"/>
    </xf>
    <xf numFmtId="0" fontId="57" fillId="0" borderId="0" xfId="0" applyFont="1"/>
    <xf numFmtId="14" fontId="57" fillId="0" borderId="0" xfId="0" applyNumberFormat="1" applyFont="1"/>
    <xf numFmtId="0" fontId="58" fillId="35" borderId="13" xfId="0" applyFont="1" applyFill="1" applyBorder="1" applyAlignment="1">
      <alignment horizontal="center" vertical="center" wrapText="1"/>
    </xf>
    <xf numFmtId="14" fontId="0" fillId="36" borderId="13" xfId="0" applyNumberFormat="1" applyFill="1" applyBorder="1" applyAlignment="1">
      <alignment horizontal="center" vertical="top" wrapText="1"/>
    </xf>
    <xf numFmtId="0" fontId="0" fillId="36" borderId="13" xfId="0" applyFill="1" applyBorder="1" applyAlignment="1">
      <alignment horizontal="center" vertical="top" wrapText="1"/>
    </xf>
    <xf numFmtId="0" fontId="0" fillId="36" borderId="13" xfId="0" applyFill="1" applyBorder="1" applyAlignment="1">
      <alignment horizontal="left" vertical="top" wrapText="1"/>
    </xf>
    <xf numFmtId="164" fontId="0" fillId="36" borderId="13" xfId="0" applyNumberFormat="1" applyFill="1" applyBorder="1" applyAlignment="1">
      <alignment vertical="top" wrapText="1"/>
    </xf>
    <xf numFmtId="14" fontId="0" fillId="37" borderId="13" xfId="0" applyNumberFormat="1" applyFill="1" applyBorder="1" applyAlignment="1">
      <alignment horizontal="center" vertical="top" wrapText="1"/>
    </xf>
    <xf numFmtId="0" fontId="0" fillId="37" borderId="13" xfId="0" applyFill="1" applyBorder="1" applyAlignment="1">
      <alignment horizontal="center" vertical="top" wrapText="1"/>
    </xf>
    <xf numFmtId="0" fontId="0" fillId="37" borderId="13" xfId="0" applyFill="1" applyBorder="1" applyAlignment="1">
      <alignment horizontal="left" vertical="top" wrapText="1"/>
    </xf>
    <xf numFmtId="164" fontId="0" fillId="37" borderId="13" xfId="0" applyNumberFormat="1" applyFill="1" applyBorder="1" applyAlignment="1">
      <alignment vertical="top" wrapText="1"/>
    </xf>
    <xf numFmtId="14" fontId="0" fillId="0" borderId="13" xfId="0" applyNumberFormat="1" applyBorder="1" applyAlignment="1">
      <alignment horizontal="center" vertical="top" wrapText="1"/>
    </xf>
    <xf numFmtId="0" fontId="0" fillId="0" borderId="13" xfId="0" applyBorder="1" applyAlignment="1">
      <alignment horizontal="center" vertical="top" wrapText="1"/>
    </xf>
    <xf numFmtId="0" fontId="0" fillId="0" borderId="13" xfId="0" applyBorder="1" applyAlignment="1">
      <alignment horizontal="left" vertical="top" wrapText="1"/>
    </xf>
    <xf numFmtId="164" fontId="0" fillId="0" borderId="13" xfId="0" applyNumberFormat="1" applyBorder="1" applyAlignment="1">
      <alignment vertical="top" wrapText="1"/>
    </xf>
    <xf numFmtId="0" fontId="59" fillId="0" borderId="0" xfId="0" applyFont="1"/>
    <xf numFmtId="164" fontId="59" fillId="0" borderId="0" xfId="0" applyNumberFormat="1" applyFont="1"/>
    <xf numFmtId="0" fontId="60" fillId="0" borderId="0" xfId="0" applyFont="1"/>
    <xf numFmtId="14" fontId="0" fillId="0" borderId="13" xfId="0" applyNumberFormat="1" applyBorder="1" applyAlignment="1">
      <alignment vertical="top" wrapText="1"/>
    </xf>
    <xf numFmtId="0" fontId="0" fillId="0" borderId="13" xfId="0" applyBorder="1" applyAlignment="1">
      <alignment vertical="top" wrapText="1"/>
    </xf>
    <xf numFmtId="14" fontId="0" fillId="37" borderId="13" xfId="0" applyNumberFormat="1" applyFill="1" applyBorder="1" applyAlignment="1">
      <alignment vertical="top" wrapText="1"/>
    </xf>
    <xf numFmtId="0" fontId="0" fillId="37" borderId="13" xfId="0" applyFill="1" applyBorder="1" applyAlignment="1">
      <alignment vertical="top" wrapText="1"/>
    </xf>
    <xf numFmtId="0" fontId="0" fillId="37" borderId="13" xfId="0" applyFill="1" applyBorder="1"/>
    <xf numFmtId="0" fontId="61" fillId="0" borderId="0" xfId="0" applyFont="1"/>
    <xf numFmtId="14" fontId="62" fillId="0" borderId="0" xfId="0" applyNumberFormat="1" applyFont="1"/>
    <xf numFmtId="0" fontId="63" fillId="38" borderId="14" xfId="0" applyFont="1" applyFill="1" applyBorder="1" applyAlignment="1">
      <alignment horizontal="center" vertical="center" wrapText="1"/>
    </xf>
    <xf numFmtId="14" fontId="0" fillId="39" borderId="14" xfId="0" applyNumberFormat="1" applyFill="1" applyBorder="1" applyAlignment="1">
      <alignment horizontal="center" vertical="top" wrapText="1"/>
    </xf>
    <xf numFmtId="0" fontId="0" fillId="39" borderId="14" xfId="0" applyFill="1" applyBorder="1" applyAlignment="1">
      <alignment horizontal="center" vertical="top" wrapText="1"/>
    </xf>
    <xf numFmtId="0" fontId="0" fillId="39" borderId="14" xfId="0" applyFill="1" applyBorder="1" applyAlignment="1">
      <alignment horizontal="left" vertical="top" wrapText="1"/>
    </xf>
    <xf numFmtId="14" fontId="0" fillId="40" borderId="14" xfId="0" applyNumberFormat="1" applyFill="1" applyBorder="1" applyAlignment="1">
      <alignment horizontal="center" vertical="top" wrapText="1"/>
    </xf>
    <xf numFmtId="0" fontId="0" fillId="40" borderId="14" xfId="0" applyFill="1" applyBorder="1" applyAlignment="1">
      <alignment horizontal="center" vertical="top" wrapText="1"/>
    </xf>
    <xf numFmtId="0" fontId="0" fillId="40" borderId="14" xfId="0" applyFill="1" applyBorder="1" applyAlignment="1">
      <alignment horizontal="left" vertical="top" wrapText="1"/>
    </xf>
    <xf numFmtId="14" fontId="0" fillId="0" borderId="14" xfId="0" applyNumberFormat="1" applyBorder="1" applyAlignment="1">
      <alignment horizontal="center" vertical="top" wrapText="1"/>
    </xf>
    <xf numFmtId="0" fontId="0" fillId="0" borderId="14" xfId="0" applyBorder="1" applyAlignment="1">
      <alignment horizontal="center" vertical="top" wrapText="1"/>
    </xf>
    <xf numFmtId="0" fontId="0" fillId="0" borderId="14" xfId="0" applyBorder="1" applyAlignment="1">
      <alignment horizontal="left" vertical="top" wrapText="1"/>
    </xf>
    <xf numFmtId="0" fontId="64" fillId="0" borderId="0" xfId="0" applyFont="1"/>
    <xf numFmtId="0" fontId="65" fillId="0" borderId="0" xfId="0" applyFont="1"/>
    <xf numFmtId="14" fontId="0" fillId="0" borderId="14" xfId="0" applyNumberFormat="1" applyBorder="1" applyAlignment="1">
      <alignment vertical="top" wrapText="1"/>
    </xf>
    <xf numFmtId="14" fontId="0" fillId="40" borderId="14" xfId="0" applyNumberFormat="1" applyFill="1" applyBorder="1" applyAlignment="1">
      <alignment vertical="top" wrapText="1"/>
    </xf>
    <xf numFmtId="0" fontId="0" fillId="41" borderId="14" xfId="0" applyFill="1" applyBorder="1" applyAlignment="1">
      <alignment horizontal="center" vertical="top" wrapText="1"/>
    </xf>
    <xf numFmtId="0" fontId="0" fillId="41" borderId="14" xfId="0" applyFill="1" applyBorder="1" applyAlignment="1">
      <alignment horizontal="left" vertical="top" wrapText="1"/>
    </xf>
    <xf numFmtId="0" fontId="63" fillId="38" borderId="14" xfId="0" applyFont="1" applyFill="1" applyBorder="1" applyAlignment="1">
      <alignment vertical="center" wrapText="1"/>
    </xf>
    <xf numFmtId="14" fontId="0" fillId="39" borderId="14" xfId="0" applyNumberFormat="1" applyFill="1" applyBorder="1" applyAlignment="1">
      <alignment vertical="top" wrapText="1"/>
    </xf>
    <xf numFmtId="14" fontId="0" fillId="41" borderId="14" xfId="0" applyNumberFormat="1" applyFill="1" applyBorder="1" applyAlignment="1">
      <alignment vertical="top" wrapText="1"/>
    </xf>
    <xf numFmtId="44" fontId="63" fillId="38" borderId="14" xfId="0" applyNumberFormat="1" applyFont="1" applyFill="1" applyBorder="1" applyAlignment="1">
      <alignment horizontal="center" vertical="center" wrapText="1"/>
    </xf>
    <xf numFmtId="44" fontId="0" fillId="39" borderId="14" xfId="0" applyNumberFormat="1" applyFill="1" applyBorder="1" applyAlignment="1">
      <alignment vertical="top" wrapText="1"/>
    </xf>
    <xf numFmtId="44" fontId="0" fillId="41" borderId="14" xfId="0" applyNumberFormat="1" applyFill="1" applyBorder="1" applyAlignment="1">
      <alignment vertical="top" wrapText="1"/>
    </xf>
    <xf numFmtId="44" fontId="0" fillId="0" borderId="14" xfId="0" applyNumberFormat="1" applyBorder="1" applyAlignment="1">
      <alignment vertical="top" wrapText="1"/>
    </xf>
    <xf numFmtId="44" fontId="0" fillId="40" borderId="14" xfId="0" applyNumberFormat="1" applyFill="1" applyBorder="1" applyAlignment="1">
      <alignment vertical="top" wrapText="1"/>
    </xf>
    <xf numFmtId="44" fontId="64" fillId="0" borderId="0" xfId="0" applyNumberFormat="1" applyFont="1"/>
    <xf numFmtId="44" fontId="0" fillId="0" borderId="12" xfId="0" applyNumberFormat="1" applyBorder="1" applyAlignment="1">
      <alignment vertical="top" wrapText="1"/>
    </xf>
    <xf numFmtId="14" fontId="67" fillId="0" borderId="0" xfId="0" applyNumberFormat="1" applyFont="1"/>
    <xf numFmtId="0" fontId="68" fillId="42" borderId="15" xfId="0" applyFont="1" applyFill="1" applyBorder="1" applyAlignment="1">
      <alignment horizontal="center" vertical="center" wrapText="1"/>
    </xf>
    <xf numFmtId="14" fontId="0" fillId="43" borderId="15" xfId="0" applyNumberFormat="1" applyFill="1" applyBorder="1" applyAlignment="1">
      <alignment horizontal="center" vertical="top" wrapText="1"/>
    </xf>
    <xf numFmtId="0" fontId="0" fillId="43" borderId="15" xfId="0" applyFill="1" applyBorder="1" applyAlignment="1">
      <alignment horizontal="center" vertical="top" wrapText="1"/>
    </xf>
    <xf numFmtId="0" fontId="0" fillId="43" borderId="15" xfId="0" applyFill="1" applyBorder="1" applyAlignment="1">
      <alignment horizontal="left" vertical="top" wrapText="1"/>
    </xf>
    <xf numFmtId="14" fontId="0" fillId="44" borderId="15" xfId="0" applyNumberFormat="1" applyFill="1" applyBorder="1" applyAlignment="1">
      <alignment horizontal="center" vertical="top" wrapText="1"/>
    </xf>
    <xf numFmtId="0" fontId="0" fillId="44" borderId="15" xfId="0" applyFill="1" applyBorder="1" applyAlignment="1">
      <alignment horizontal="center" vertical="top" wrapText="1"/>
    </xf>
    <xf numFmtId="0" fontId="0" fillId="44" borderId="15" xfId="0" applyFill="1" applyBorder="1" applyAlignment="1">
      <alignment horizontal="left" vertical="top" wrapText="1"/>
    </xf>
    <xf numFmtId="14" fontId="0" fillId="0" borderId="15" xfId="0" applyNumberFormat="1" applyBorder="1" applyAlignment="1">
      <alignment horizontal="center" vertical="top" wrapText="1"/>
    </xf>
    <xf numFmtId="0" fontId="0" fillId="0" borderId="15" xfId="0" applyBorder="1" applyAlignment="1">
      <alignment horizontal="center" vertical="top" wrapText="1"/>
    </xf>
    <xf numFmtId="0" fontId="0" fillId="0" borderId="15" xfId="0" applyBorder="1" applyAlignment="1">
      <alignment horizontal="left" vertical="top" wrapText="1"/>
    </xf>
    <xf numFmtId="0" fontId="69" fillId="0" borderId="0" xfId="0" applyFont="1"/>
    <xf numFmtId="0" fontId="70" fillId="0" borderId="0" xfId="0" applyFont="1"/>
    <xf numFmtId="0" fontId="0" fillId="45" borderId="15" xfId="0" applyFill="1" applyBorder="1" applyAlignment="1">
      <alignment horizontal="center" vertical="top" wrapText="1"/>
    </xf>
    <xf numFmtId="164" fontId="0" fillId="45" borderId="15" xfId="0" applyNumberFormat="1" applyFill="1" applyBorder="1" applyAlignment="1">
      <alignment horizontal="center" vertical="top" wrapText="1"/>
    </xf>
    <xf numFmtId="44" fontId="68" fillId="42" borderId="15" xfId="0" applyNumberFormat="1" applyFont="1" applyFill="1" applyBorder="1" applyAlignment="1">
      <alignment horizontal="center" vertical="center" wrapText="1"/>
    </xf>
    <xf numFmtId="44" fontId="0" fillId="43" borderId="15" xfId="0" applyNumberFormat="1" applyFill="1" applyBorder="1" applyAlignment="1">
      <alignment vertical="top" wrapText="1"/>
    </xf>
    <xf numFmtId="44" fontId="0" fillId="45" borderId="15" xfId="0" applyNumberFormat="1" applyFill="1" applyBorder="1" applyAlignment="1">
      <alignment vertical="top" wrapText="1"/>
    </xf>
    <xf numFmtId="44" fontId="0" fillId="0" borderId="15" xfId="0" applyNumberFormat="1" applyBorder="1" applyAlignment="1">
      <alignment vertical="top" wrapText="1"/>
    </xf>
    <xf numFmtId="44" fontId="0" fillId="44" borderId="15" xfId="0" applyNumberFormat="1" applyFill="1" applyBorder="1" applyAlignment="1">
      <alignment vertical="top" wrapText="1"/>
    </xf>
    <xf numFmtId="44" fontId="69" fillId="0" borderId="0" xfId="0" applyNumberFormat="1" applyFont="1"/>
    <xf numFmtId="14" fontId="72" fillId="0" borderId="0" xfId="0" applyNumberFormat="1" applyFont="1"/>
    <xf numFmtId="0" fontId="73" fillId="46" borderId="16" xfId="0" applyFont="1" applyFill="1" applyBorder="1" applyAlignment="1">
      <alignment horizontal="center" vertical="center" wrapText="1"/>
    </xf>
    <xf numFmtId="14" fontId="0" fillId="47" borderId="16" xfId="0" applyNumberFormat="1" applyFill="1" applyBorder="1" applyAlignment="1">
      <alignment horizontal="center" vertical="top" wrapText="1"/>
    </xf>
    <xf numFmtId="0" fontId="0" fillId="47" borderId="16" xfId="0" applyFill="1" applyBorder="1" applyAlignment="1">
      <alignment horizontal="center" vertical="top" wrapText="1"/>
    </xf>
    <xf numFmtId="0" fontId="0" fillId="47" borderId="16" xfId="0" applyFill="1" applyBorder="1" applyAlignment="1">
      <alignment horizontal="left" vertical="top" wrapText="1"/>
    </xf>
    <xf numFmtId="14" fontId="0" fillId="48" borderId="16" xfId="0" applyNumberFormat="1" applyFill="1" applyBorder="1" applyAlignment="1">
      <alignment horizontal="center" vertical="top" wrapText="1"/>
    </xf>
    <xf numFmtId="0" fontId="0" fillId="48" borderId="16" xfId="0" applyFill="1" applyBorder="1" applyAlignment="1">
      <alignment horizontal="center" vertical="top" wrapText="1"/>
    </xf>
    <xf numFmtId="0" fontId="0" fillId="48" borderId="16" xfId="0" applyFill="1" applyBorder="1" applyAlignment="1">
      <alignment horizontal="left" vertical="top" wrapText="1"/>
    </xf>
    <xf numFmtId="14" fontId="0" fillId="0" borderId="16" xfId="0" applyNumberFormat="1" applyBorder="1" applyAlignment="1">
      <alignment horizontal="center" vertical="top" wrapText="1"/>
    </xf>
    <xf numFmtId="0" fontId="0" fillId="0" borderId="16" xfId="0" applyBorder="1" applyAlignment="1">
      <alignment horizontal="center" vertical="top" wrapText="1"/>
    </xf>
    <xf numFmtId="0" fontId="0" fillId="0" borderId="16" xfId="0" applyBorder="1" applyAlignment="1">
      <alignment horizontal="left" vertical="top" wrapText="1"/>
    </xf>
    <xf numFmtId="0" fontId="74" fillId="0" borderId="0" xfId="0" applyFont="1"/>
    <xf numFmtId="0" fontId="75" fillId="0" borderId="0" xfId="0" applyFont="1"/>
    <xf numFmtId="0" fontId="0" fillId="0" borderId="16" xfId="0" applyBorder="1" applyAlignment="1">
      <alignment vertical="top" wrapText="1"/>
    </xf>
    <xf numFmtId="44" fontId="73" fillId="46" borderId="16" xfId="0" applyNumberFormat="1" applyFont="1" applyFill="1" applyBorder="1" applyAlignment="1">
      <alignment horizontal="center" vertical="center" wrapText="1"/>
    </xf>
    <xf numFmtId="44" fontId="0" fillId="47" borderId="16" xfId="0" applyNumberFormat="1" applyFill="1" applyBorder="1" applyAlignment="1">
      <alignment vertical="top" wrapText="1"/>
    </xf>
    <xf numFmtId="44" fontId="0" fillId="48" borderId="16" xfId="0" applyNumberFormat="1" applyFill="1" applyBorder="1" applyAlignment="1">
      <alignment vertical="top" wrapText="1"/>
    </xf>
    <xf numFmtId="44" fontId="0" fillId="0" borderId="16" xfId="0" applyNumberFormat="1" applyBorder="1" applyAlignment="1">
      <alignment vertical="top" wrapText="1"/>
    </xf>
    <xf numFmtId="44" fontId="74" fillId="0" borderId="0" xfId="0" applyNumberFormat="1" applyFont="1"/>
    <xf numFmtId="0" fontId="77" fillId="0" borderId="0" xfId="0" applyFont="1"/>
    <xf numFmtId="14" fontId="77" fillId="0" borderId="0" xfId="0" applyNumberFormat="1" applyFont="1"/>
    <xf numFmtId="0" fontId="78" fillId="49" borderId="17" xfId="0" applyFont="1" applyFill="1" applyBorder="1" applyAlignment="1">
      <alignment horizontal="center" vertical="center" wrapText="1"/>
    </xf>
    <xf numFmtId="14" fontId="0" fillId="50" borderId="17" xfId="0" applyNumberFormat="1" applyFill="1" applyBorder="1" applyAlignment="1">
      <alignment horizontal="center" vertical="top" wrapText="1"/>
    </xf>
    <xf numFmtId="0" fontId="0" fillId="50" borderId="17" xfId="0" applyFill="1" applyBorder="1" applyAlignment="1">
      <alignment horizontal="center" vertical="top" wrapText="1"/>
    </xf>
    <xf numFmtId="0" fontId="0" fillId="50" borderId="17" xfId="0" applyFill="1" applyBorder="1" applyAlignment="1">
      <alignment horizontal="left" vertical="top" wrapText="1"/>
    </xf>
    <xf numFmtId="164" fontId="0" fillId="50" borderId="17" xfId="0" applyNumberFormat="1" applyFill="1" applyBorder="1" applyAlignment="1">
      <alignment vertical="top" wrapText="1"/>
    </xf>
    <xf numFmtId="14" fontId="0" fillId="51" borderId="17" xfId="0" applyNumberFormat="1" applyFill="1" applyBorder="1" applyAlignment="1">
      <alignment horizontal="center" vertical="top" wrapText="1"/>
    </xf>
    <xf numFmtId="0" fontId="0" fillId="51" borderId="17" xfId="0" applyFill="1" applyBorder="1" applyAlignment="1">
      <alignment horizontal="center" vertical="top" wrapText="1"/>
    </xf>
    <xf numFmtId="0" fontId="0" fillId="51" borderId="17" xfId="0" applyFill="1" applyBorder="1" applyAlignment="1">
      <alignment horizontal="left" vertical="top" wrapText="1"/>
    </xf>
    <xf numFmtId="164" fontId="0" fillId="51" borderId="17" xfId="0" applyNumberFormat="1" applyFill="1" applyBorder="1" applyAlignment="1">
      <alignment vertical="top" wrapText="1"/>
    </xf>
    <xf numFmtId="14" fontId="0" fillId="0" borderId="17" xfId="0" applyNumberFormat="1" applyBorder="1" applyAlignment="1">
      <alignment horizontal="center" vertical="top" wrapText="1"/>
    </xf>
    <xf numFmtId="0" fontId="0" fillId="0" borderId="17" xfId="0" applyBorder="1" applyAlignment="1">
      <alignment horizontal="center" vertical="top" wrapText="1"/>
    </xf>
    <xf numFmtId="0" fontId="0" fillId="0" borderId="17" xfId="0" applyBorder="1" applyAlignment="1">
      <alignment horizontal="left" vertical="top" wrapText="1"/>
    </xf>
    <xf numFmtId="164" fontId="0" fillId="0" borderId="17" xfId="0" applyNumberFormat="1" applyBorder="1" applyAlignment="1">
      <alignment vertical="top" wrapText="1"/>
    </xf>
    <xf numFmtId="0" fontId="79" fillId="0" borderId="0" xfId="0" applyFont="1"/>
    <xf numFmtId="164" fontId="79" fillId="0" borderId="0" xfId="0" applyNumberFormat="1" applyFont="1"/>
    <xf numFmtId="0" fontId="80" fillId="0" borderId="0" xfId="0" applyFont="1"/>
    <xf numFmtId="14" fontId="0" fillId="0" borderId="17" xfId="0" applyNumberFormat="1" applyBorder="1" applyAlignment="1">
      <alignment vertical="top" wrapText="1"/>
    </xf>
    <xf numFmtId="0" fontId="0" fillId="0" borderId="17" xfId="0" applyBorder="1" applyAlignment="1">
      <alignment vertical="top" wrapText="1"/>
    </xf>
    <xf numFmtId="0" fontId="81" fillId="0" borderId="0" xfId="0" applyFont="1"/>
    <xf numFmtId="14" fontId="82" fillId="0" borderId="0" xfId="0" applyNumberFormat="1" applyFont="1"/>
    <xf numFmtId="0" fontId="83" fillId="52" borderId="18" xfId="0" applyFont="1" applyFill="1" applyBorder="1" applyAlignment="1">
      <alignment horizontal="center" vertical="center" wrapText="1"/>
    </xf>
    <xf numFmtId="14" fontId="0" fillId="53" borderId="18" xfId="0" applyNumberFormat="1" applyFill="1" applyBorder="1" applyAlignment="1">
      <alignment horizontal="center" vertical="top" wrapText="1"/>
    </xf>
    <xf numFmtId="0" fontId="0" fillId="53" borderId="18" xfId="0" applyFill="1" applyBorder="1" applyAlignment="1">
      <alignment horizontal="center" vertical="top" wrapText="1"/>
    </xf>
    <xf numFmtId="0" fontId="0" fillId="53" borderId="18" xfId="0" applyFill="1" applyBorder="1" applyAlignment="1">
      <alignment horizontal="left" vertical="top" wrapText="1"/>
    </xf>
    <xf numFmtId="14" fontId="0" fillId="54" borderId="18" xfId="0" applyNumberFormat="1" applyFill="1" applyBorder="1" applyAlignment="1">
      <alignment horizontal="center" vertical="top" wrapText="1"/>
    </xf>
    <xf numFmtId="0" fontId="0" fillId="54" borderId="18" xfId="0" applyFill="1" applyBorder="1" applyAlignment="1">
      <alignment horizontal="center" vertical="top" wrapText="1"/>
    </xf>
    <xf numFmtId="0" fontId="0" fillId="54" borderId="18" xfId="0" applyFill="1" applyBorder="1" applyAlignment="1">
      <alignment horizontal="left" vertical="top" wrapText="1"/>
    </xf>
    <xf numFmtId="14" fontId="0" fillId="0" borderId="18" xfId="0" applyNumberFormat="1" applyBorder="1" applyAlignment="1">
      <alignment horizontal="center" vertical="top" wrapText="1"/>
    </xf>
    <xf numFmtId="0" fontId="0" fillId="0" borderId="18" xfId="0" applyBorder="1" applyAlignment="1">
      <alignment horizontal="center" vertical="top" wrapText="1"/>
    </xf>
    <xf numFmtId="0" fontId="0" fillId="0" borderId="18" xfId="0" applyBorder="1" applyAlignment="1">
      <alignment horizontal="left" vertical="top" wrapText="1"/>
    </xf>
    <xf numFmtId="0" fontId="84" fillId="0" borderId="0" xfId="0" applyFont="1"/>
    <xf numFmtId="0" fontId="85" fillId="0" borderId="0" xfId="0" applyFont="1"/>
    <xf numFmtId="14" fontId="0" fillId="0" borderId="18" xfId="0" applyNumberFormat="1" applyBorder="1" applyAlignment="1">
      <alignment vertical="top" wrapText="1"/>
    </xf>
    <xf numFmtId="0" fontId="0" fillId="0" borderId="18" xfId="0" applyBorder="1" applyAlignment="1">
      <alignment vertical="top" wrapText="1"/>
    </xf>
    <xf numFmtId="44" fontId="83" fillId="52" borderId="18" xfId="0" applyNumberFormat="1" applyFont="1" applyFill="1" applyBorder="1" applyAlignment="1">
      <alignment horizontal="center" vertical="center" wrapText="1"/>
    </xf>
    <xf numFmtId="44" fontId="0" fillId="0" borderId="18" xfId="0" applyNumberFormat="1" applyBorder="1" applyAlignment="1">
      <alignment vertical="top" wrapText="1"/>
    </xf>
    <xf numFmtId="44" fontId="0" fillId="54" borderId="18" xfId="0" applyNumberFormat="1" applyFill="1" applyBorder="1" applyAlignment="1">
      <alignment vertical="top" wrapText="1"/>
    </xf>
    <xf numFmtId="44" fontId="84" fillId="0" borderId="0" xfId="0" applyNumberFormat="1" applyFont="1"/>
    <xf numFmtId="44" fontId="0" fillId="55" borderId="18" xfId="0" applyNumberFormat="1" applyFill="1" applyBorder="1" applyAlignment="1">
      <alignment vertical="top" wrapText="1"/>
    </xf>
    <xf numFmtId="0" fontId="0" fillId="55" borderId="18" xfId="0" applyFill="1" applyBorder="1" applyAlignment="1">
      <alignment horizontal="center" vertical="top" wrapText="1"/>
    </xf>
    <xf numFmtId="44" fontId="0" fillId="56" borderId="18" xfId="0" applyNumberFormat="1" applyFill="1" applyBorder="1" applyAlignment="1">
      <alignment vertical="top" wrapText="1"/>
    </xf>
    <xf numFmtId="0" fontId="0" fillId="56" borderId="18" xfId="0" applyFill="1" applyBorder="1" applyAlignment="1">
      <alignment horizontal="center" vertical="top" wrapText="1"/>
    </xf>
    <xf numFmtId="14" fontId="87" fillId="0" borderId="0" xfId="0" applyNumberFormat="1" applyFont="1"/>
    <xf numFmtId="0" fontId="88" fillId="57" borderId="19" xfId="0" applyFont="1" applyFill="1" applyBorder="1" applyAlignment="1">
      <alignment horizontal="center" vertical="center" wrapText="1"/>
    </xf>
    <xf numFmtId="14" fontId="0" fillId="58" borderId="19" xfId="0" applyNumberFormat="1" applyFill="1" applyBorder="1" applyAlignment="1">
      <alignment horizontal="center" vertical="top" wrapText="1"/>
    </xf>
    <xf numFmtId="0" fontId="0" fillId="58" borderId="19" xfId="0" applyFill="1" applyBorder="1" applyAlignment="1">
      <alignment horizontal="center" vertical="top" wrapText="1"/>
    </xf>
    <xf numFmtId="0" fontId="0" fillId="58" borderId="19" xfId="0" applyFill="1" applyBorder="1" applyAlignment="1">
      <alignment horizontal="left" vertical="top" wrapText="1"/>
    </xf>
    <xf numFmtId="14" fontId="0" fillId="59" borderId="19" xfId="0" applyNumberFormat="1" applyFill="1" applyBorder="1" applyAlignment="1">
      <alignment horizontal="center" vertical="top" wrapText="1"/>
    </xf>
    <xf numFmtId="0" fontId="0" fillId="59" borderId="19" xfId="0" applyFill="1" applyBorder="1" applyAlignment="1">
      <alignment horizontal="center" vertical="top" wrapText="1"/>
    </xf>
    <xf numFmtId="0" fontId="0" fillId="59" borderId="19" xfId="0" applyFill="1" applyBorder="1" applyAlignment="1">
      <alignment horizontal="left" vertical="top" wrapText="1"/>
    </xf>
    <xf numFmtId="14" fontId="0" fillId="0" borderId="19" xfId="0" applyNumberFormat="1" applyBorder="1" applyAlignment="1">
      <alignment horizontal="center" vertical="top" wrapText="1"/>
    </xf>
    <xf numFmtId="0" fontId="0" fillId="0" borderId="19" xfId="0" applyBorder="1" applyAlignment="1">
      <alignment horizontal="center" vertical="top" wrapText="1"/>
    </xf>
    <xf numFmtId="0" fontId="0" fillId="0" borderId="19" xfId="0" applyBorder="1" applyAlignment="1">
      <alignment horizontal="left" vertical="top" wrapText="1"/>
    </xf>
    <xf numFmtId="0" fontId="89" fillId="0" borderId="0" xfId="0" applyFont="1"/>
    <xf numFmtId="0" fontId="90" fillId="0" borderId="0" xfId="0" applyFont="1"/>
    <xf numFmtId="14" fontId="0" fillId="0" borderId="19" xfId="0" applyNumberFormat="1" applyBorder="1" applyAlignment="1">
      <alignment vertical="top" wrapText="1"/>
    </xf>
    <xf numFmtId="0" fontId="0" fillId="0" borderId="19" xfId="0" applyBorder="1" applyAlignment="1">
      <alignment vertical="top" wrapText="1"/>
    </xf>
    <xf numFmtId="14" fontId="0" fillId="59" borderId="19" xfId="0" applyNumberFormat="1" applyFill="1" applyBorder="1" applyAlignment="1">
      <alignment vertical="top" wrapText="1"/>
    </xf>
    <xf numFmtId="0" fontId="0" fillId="59" borderId="19" xfId="0" applyFill="1" applyBorder="1" applyAlignment="1">
      <alignment vertical="top" wrapText="1"/>
    </xf>
    <xf numFmtId="0" fontId="0" fillId="55" borderId="19" xfId="0" applyFill="1" applyBorder="1" applyAlignment="1">
      <alignment horizontal="center" vertical="top" wrapText="1"/>
    </xf>
    <xf numFmtId="0" fontId="0" fillId="56" borderId="19" xfId="0" applyFill="1" applyBorder="1" applyAlignment="1">
      <alignment horizontal="center" vertical="top" wrapText="1"/>
    </xf>
    <xf numFmtId="44" fontId="88" fillId="57" borderId="19" xfId="0" applyNumberFormat="1" applyFont="1" applyFill="1" applyBorder="1" applyAlignment="1">
      <alignment horizontal="center" vertical="center" wrapText="1"/>
    </xf>
    <xf numFmtId="44" fontId="0" fillId="59" borderId="19" xfId="0" applyNumberFormat="1" applyFill="1" applyBorder="1" applyAlignment="1">
      <alignment vertical="top" wrapText="1"/>
    </xf>
    <xf numFmtId="44" fontId="0" fillId="56" borderId="19" xfId="0" applyNumberFormat="1" applyFill="1" applyBorder="1" applyAlignment="1">
      <alignment vertical="top" wrapText="1"/>
    </xf>
    <xf numFmtId="44" fontId="0" fillId="55" borderId="19" xfId="0" applyNumberFormat="1" applyFill="1" applyBorder="1" applyAlignment="1">
      <alignment vertical="top" wrapText="1"/>
    </xf>
    <xf numFmtId="44" fontId="0" fillId="0" borderId="19" xfId="0" applyNumberFormat="1" applyBorder="1" applyAlignment="1">
      <alignment vertical="top" wrapText="1"/>
    </xf>
    <xf numFmtId="44" fontId="89" fillId="0" borderId="0" xfId="0" applyNumberFormat="1" applyFont="1"/>
    <xf numFmtId="14" fontId="92" fillId="0" borderId="0" xfId="0" applyNumberFormat="1" applyFont="1"/>
    <xf numFmtId="0" fontId="93" fillId="60" borderId="20" xfId="0" applyFont="1" applyFill="1" applyBorder="1" applyAlignment="1">
      <alignment horizontal="center" vertical="center" wrapText="1"/>
    </xf>
    <xf numFmtId="14" fontId="0" fillId="61" borderId="20" xfId="0" applyNumberFormat="1" applyFill="1" applyBorder="1" applyAlignment="1">
      <alignment horizontal="center" vertical="top" wrapText="1"/>
    </xf>
    <xf numFmtId="0" fontId="0" fillId="61" borderId="20" xfId="0" applyFill="1" applyBorder="1" applyAlignment="1">
      <alignment horizontal="center" vertical="top" wrapText="1"/>
    </xf>
    <xf numFmtId="0" fontId="0" fillId="61" borderId="20" xfId="0" applyFill="1" applyBorder="1" applyAlignment="1">
      <alignment horizontal="left" vertical="top" wrapText="1"/>
    </xf>
    <xf numFmtId="14" fontId="0" fillId="62" borderId="20" xfId="0" applyNumberFormat="1" applyFill="1" applyBorder="1" applyAlignment="1">
      <alignment horizontal="center" vertical="top" wrapText="1"/>
    </xf>
    <xf numFmtId="0" fontId="0" fillId="62" borderId="20" xfId="0" applyFill="1" applyBorder="1" applyAlignment="1">
      <alignment horizontal="center" vertical="top" wrapText="1"/>
    </xf>
    <xf numFmtId="0" fontId="0" fillId="62" borderId="20" xfId="0" applyFill="1" applyBorder="1" applyAlignment="1">
      <alignment horizontal="left" vertical="top" wrapText="1"/>
    </xf>
    <xf numFmtId="14" fontId="0" fillId="0" borderId="20" xfId="0" applyNumberFormat="1" applyBorder="1" applyAlignment="1">
      <alignment horizontal="center" vertical="top" wrapText="1"/>
    </xf>
    <xf numFmtId="0" fontId="0" fillId="0" borderId="20" xfId="0" applyBorder="1" applyAlignment="1">
      <alignment horizontal="center" vertical="top" wrapText="1"/>
    </xf>
    <xf numFmtId="0" fontId="0" fillId="0" borderId="20" xfId="0" applyBorder="1" applyAlignment="1">
      <alignment horizontal="left" vertical="top" wrapText="1"/>
    </xf>
    <xf numFmtId="0" fontId="94" fillId="0" borderId="0" xfId="0" applyFont="1"/>
    <xf numFmtId="0" fontId="95" fillId="0" borderId="0" xfId="0" applyFont="1"/>
    <xf numFmtId="0" fontId="0" fillId="0" borderId="20" xfId="0" applyBorder="1" applyAlignment="1">
      <alignment vertical="top" wrapText="1"/>
    </xf>
    <xf numFmtId="0" fontId="0" fillId="62" borderId="20" xfId="0" applyFill="1" applyBorder="1" applyAlignment="1">
      <alignment vertical="top" wrapText="1"/>
    </xf>
    <xf numFmtId="44" fontId="93" fillId="60" borderId="20" xfId="0" applyNumberFormat="1" applyFont="1" applyFill="1" applyBorder="1" applyAlignment="1">
      <alignment horizontal="center" vertical="center" wrapText="1"/>
    </xf>
    <xf numFmtId="44" fontId="0" fillId="61" borderId="20" xfId="0" applyNumberFormat="1" applyFill="1" applyBorder="1" applyAlignment="1">
      <alignment vertical="top" wrapText="1"/>
    </xf>
    <xf numFmtId="44" fontId="0" fillId="62" borderId="20" xfId="0" applyNumberFormat="1" applyFill="1" applyBorder="1" applyAlignment="1">
      <alignment vertical="top" wrapText="1"/>
    </xf>
    <xf numFmtId="44" fontId="0" fillId="0" borderId="20" xfId="0" applyNumberFormat="1" applyBorder="1" applyAlignment="1">
      <alignment vertical="top" wrapText="1"/>
    </xf>
    <xf numFmtId="44" fontId="94" fillId="0" borderId="0" xfId="0" applyNumberFormat="1" applyFont="1"/>
    <xf numFmtId="44" fontId="0" fillId="55" borderId="20" xfId="0" applyNumberFormat="1" applyFill="1" applyBorder="1" applyAlignment="1">
      <alignment vertical="top" wrapText="1"/>
    </xf>
    <xf numFmtId="0" fontId="0" fillId="55" borderId="20" xfId="0" applyFill="1" applyBorder="1" applyAlignment="1">
      <alignment horizontal="center" vertical="top" wrapText="1"/>
    </xf>
    <xf numFmtId="0" fontId="0" fillId="56" borderId="20" xfId="0" applyFill="1" applyBorder="1" applyAlignment="1">
      <alignment horizontal="center" vertical="top" wrapText="1"/>
    </xf>
    <xf numFmtId="44" fontId="0" fillId="56" borderId="20" xfId="0" applyNumberFormat="1" applyFill="1" applyBorder="1" applyAlignment="1">
      <alignment vertical="top" wrapText="1"/>
    </xf>
    <xf numFmtId="14" fontId="97" fillId="0" borderId="0" xfId="0" applyNumberFormat="1" applyFont="1"/>
    <xf numFmtId="0" fontId="98" fillId="63" borderId="21" xfId="0" applyFont="1" applyFill="1" applyBorder="1" applyAlignment="1">
      <alignment horizontal="center" vertical="center" wrapText="1"/>
    </xf>
    <xf numFmtId="14" fontId="0" fillId="64" borderId="21" xfId="0" applyNumberFormat="1" applyFill="1" applyBorder="1" applyAlignment="1">
      <alignment horizontal="center" vertical="top" wrapText="1"/>
    </xf>
    <xf numFmtId="0" fontId="0" fillId="64" borderId="21" xfId="0" applyFill="1" applyBorder="1" applyAlignment="1">
      <alignment horizontal="center" vertical="top" wrapText="1"/>
    </xf>
    <xf numFmtId="0" fontId="0" fillId="64" borderId="21" xfId="0" applyFill="1" applyBorder="1" applyAlignment="1">
      <alignment horizontal="left" vertical="top" wrapText="1"/>
    </xf>
    <xf numFmtId="14" fontId="0" fillId="0" borderId="21" xfId="0" applyNumberFormat="1" applyBorder="1" applyAlignment="1">
      <alignment horizontal="center" vertical="top" wrapText="1"/>
    </xf>
    <xf numFmtId="0" fontId="0" fillId="0" borderId="21" xfId="0" applyBorder="1" applyAlignment="1">
      <alignment horizontal="center" vertical="top" wrapText="1"/>
    </xf>
    <xf numFmtId="0" fontId="0" fillId="0" borderId="21" xfId="0" applyBorder="1" applyAlignment="1">
      <alignment horizontal="left" vertical="top" wrapText="1"/>
    </xf>
    <xf numFmtId="14" fontId="0" fillId="65" borderId="21" xfId="0" applyNumberFormat="1" applyFill="1" applyBorder="1" applyAlignment="1">
      <alignment horizontal="center" vertical="top" wrapText="1"/>
    </xf>
    <xf numFmtId="0" fontId="0" fillId="65" borderId="21" xfId="0" applyFill="1" applyBorder="1" applyAlignment="1">
      <alignment horizontal="center" vertical="top" wrapText="1"/>
    </xf>
    <xf numFmtId="0" fontId="0" fillId="65" borderId="21" xfId="0" applyFill="1" applyBorder="1" applyAlignment="1">
      <alignment horizontal="left" vertical="top" wrapText="1"/>
    </xf>
    <xf numFmtId="0" fontId="99" fillId="0" borderId="0" xfId="0" applyFont="1"/>
    <xf numFmtId="0" fontId="100" fillId="0" borderId="0" xfId="0" applyFont="1"/>
    <xf numFmtId="0" fontId="92" fillId="66" borderId="0" xfId="0" applyFont="1" applyFill="1"/>
    <xf numFmtId="0" fontId="0" fillId="66" borderId="0" xfId="0" applyFill="1"/>
    <xf numFmtId="0" fontId="94" fillId="0" borderId="0" xfId="0" applyFont="1" applyAlignment="1">
      <alignment horizontal="left" vertical="center"/>
    </xf>
    <xf numFmtId="0" fontId="6" fillId="67" borderId="0" xfId="0" applyFont="1" applyFill="1" applyAlignment="1">
      <alignment horizontal="left" vertical="center"/>
    </xf>
    <xf numFmtId="4" fontId="6" fillId="67" borderId="0" xfId="0" applyNumberFormat="1" applyFont="1" applyFill="1" applyAlignment="1">
      <alignment horizontal="right" vertical="center"/>
    </xf>
    <xf numFmtId="4" fontId="0" fillId="67" borderId="0" xfId="0" applyNumberFormat="1" applyFill="1"/>
    <xf numFmtId="0" fontId="94" fillId="68" borderId="0" xfId="0" applyFont="1" applyFill="1" applyAlignment="1">
      <alignment horizontal="left" vertical="center"/>
    </xf>
    <xf numFmtId="4" fontId="94" fillId="68" borderId="0" xfId="0" applyNumberFormat="1" applyFont="1" applyFill="1" applyAlignment="1">
      <alignment horizontal="right" vertical="center"/>
    </xf>
    <xf numFmtId="0" fontId="102" fillId="69" borderId="0" xfId="0" applyFont="1" applyFill="1" applyAlignment="1">
      <alignment horizontal="left" vertical="center"/>
    </xf>
    <xf numFmtId="4" fontId="102" fillId="69" borderId="0" xfId="0" applyNumberFormat="1" applyFont="1" applyFill="1" applyAlignment="1">
      <alignment horizontal="right" vertical="center"/>
    </xf>
    <xf numFmtId="0" fontId="103" fillId="0" borderId="0" xfId="0" applyFont="1"/>
    <xf numFmtId="0" fontId="92" fillId="0" borderId="3" xfId="0" applyFont="1" applyBorder="1" applyAlignment="1">
      <alignment horizontal="left"/>
    </xf>
    <xf numFmtId="0" fontId="0" fillId="0" borderId="3" xfId="0" applyBorder="1"/>
    <xf numFmtId="0" fontId="96" fillId="0" borderId="0" xfId="0" applyFont="1" applyAlignment="1">
      <alignment horizontal="left"/>
    </xf>
    <xf numFmtId="0" fontId="0" fillId="0" borderId="0" xfId="0" applyAlignment="1">
      <alignment horizontal="center"/>
    </xf>
    <xf numFmtId="0" fontId="5" fillId="0" borderId="0" xfId="0" applyFont="1" applyAlignment="1">
      <alignment horizontal="left"/>
    </xf>
    <xf numFmtId="0" fontId="0" fillId="0" borderId="0" xfId="0"/>
    <xf numFmtId="0" fontId="7" fillId="0" borderId="3" xfId="0" applyFont="1" applyBorder="1" applyAlignment="1">
      <alignment horizontal="left"/>
    </xf>
    <xf numFmtId="0" fontId="11" fillId="0" borderId="0" xfId="0" applyFont="1" applyAlignment="1">
      <alignment horizontal="left"/>
    </xf>
    <xf numFmtId="0" fontId="22" fillId="0" borderId="3" xfId="0" applyFont="1" applyBorder="1" applyAlignment="1">
      <alignment horizontal="left"/>
    </xf>
    <xf numFmtId="0" fontId="26" fillId="0" borderId="0" xfId="0" applyFont="1" applyAlignment="1">
      <alignment horizontal="left"/>
    </xf>
    <xf numFmtId="0" fontId="36" fillId="0" borderId="0" xfId="0" applyFont="1" applyAlignment="1">
      <alignment horizontal="left"/>
    </xf>
    <xf numFmtId="0" fontId="37" fillId="0" borderId="3" xfId="0" applyFont="1" applyBorder="1" applyAlignment="1">
      <alignment horizontal="left"/>
    </xf>
    <xf numFmtId="0" fontId="41" fillId="0" borderId="0" xfId="0" applyFont="1" applyAlignment="1">
      <alignment horizontal="left"/>
    </xf>
    <xf numFmtId="0" fontId="47" fillId="0" borderId="3" xfId="0" applyFont="1" applyBorder="1" applyAlignment="1">
      <alignment horizontal="left"/>
    </xf>
    <xf numFmtId="0" fontId="51" fillId="0" borderId="0" xfId="0" applyFont="1" applyAlignment="1">
      <alignment horizontal="left"/>
    </xf>
    <xf numFmtId="0" fontId="52" fillId="0" borderId="3" xfId="0" applyFont="1" applyBorder="1" applyAlignment="1">
      <alignment horizontal="left"/>
    </xf>
    <xf numFmtId="0" fontId="56" fillId="0" borderId="0" xfId="0" applyFont="1" applyAlignment="1">
      <alignment horizontal="left"/>
    </xf>
    <xf numFmtId="0" fontId="62" fillId="0" borderId="3" xfId="0" applyFont="1" applyBorder="1" applyAlignment="1">
      <alignment horizontal="left"/>
    </xf>
    <xf numFmtId="0" fontId="66" fillId="0" borderId="0" xfId="0" applyFont="1" applyAlignment="1">
      <alignment horizontal="left"/>
    </xf>
    <xf numFmtId="0" fontId="67" fillId="0" borderId="3" xfId="0" applyFont="1" applyBorder="1" applyAlignment="1">
      <alignment horizontal="left"/>
    </xf>
    <xf numFmtId="0" fontId="71" fillId="0" borderId="0" xfId="0" applyFont="1" applyAlignment="1">
      <alignment horizontal="left"/>
    </xf>
    <xf numFmtId="0" fontId="72" fillId="0" borderId="3" xfId="0" applyFont="1" applyBorder="1" applyAlignment="1">
      <alignment horizontal="left"/>
    </xf>
    <xf numFmtId="0" fontId="76" fillId="0" borderId="0" xfId="0" applyFont="1" applyAlignment="1">
      <alignment horizontal="left"/>
    </xf>
    <xf numFmtId="0" fontId="82" fillId="0" borderId="3" xfId="0" applyFont="1" applyBorder="1" applyAlignment="1">
      <alignment horizontal="left"/>
    </xf>
    <xf numFmtId="0" fontId="86" fillId="0" borderId="0" xfId="0" applyFont="1" applyAlignment="1">
      <alignment horizontal="left"/>
    </xf>
    <xf numFmtId="0" fontId="87" fillId="0" borderId="3" xfId="0" applyFont="1" applyBorder="1" applyAlignment="1">
      <alignment horizontal="left"/>
    </xf>
    <xf numFmtId="0" fontId="91" fillId="0" borderId="0" xfId="0" applyFont="1" applyAlignment="1">
      <alignment horizontal="left"/>
    </xf>
    <xf numFmtId="0" fontId="104" fillId="64" borderId="21" xfId="0" applyFont="1" applyFill="1" applyBorder="1" applyAlignment="1">
      <alignment horizontal="left" vertical="top" wrapText="1"/>
    </xf>
    <xf numFmtId="0" fontId="0" fillId="56" borderId="21" xfId="0" applyFill="1" applyBorder="1" applyAlignment="1">
      <alignment horizontal="center" vertical="top" wrapText="1"/>
    </xf>
    <xf numFmtId="0" fontId="104" fillId="65" borderId="21" xfId="0" applyFont="1" applyFill="1" applyBorder="1" applyAlignment="1">
      <alignment horizontal="left" vertical="top" wrapText="1"/>
    </xf>
    <xf numFmtId="0" fontId="101" fillId="0" borderId="0" xfId="0" applyFont="1" applyAlignment="1">
      <alignment horizontal="left"/>
    </xf>
    <xf numFmtId="0" fontId="97" fillId="0" borderId="3" xfId="0" applyFont="1" applyBorder="1" applyAlignment="1">
      <alignment horizontal="left"/>
    </xf>
    <xf numFmtId="44" fontId="0" fillId="56" borderId="21" xfId="0" applyNumberFormat="1" applyFill="1" applyBorder="1" applyAlignment="1">
      <alignment horizontal="left" vertical="top" wrapText="1"/>
    </xf>
    <xf numFmtId="44" fontId="0" fillId="55" borderId="21" xfId="0" applyNumberFormat="1" applyFill="1" applyBorder="1" applyAlignment="1">
      <alignment horizontal="left" vertical="top" wrapText="1"/>
    </xf>
    <xf numFmtId="44" fontId="0" fillId="64" borderId="21" xfId="0" applyNumberFormat="1" applyFill="1" applyBorder="1" applyAlignment="1">
      <alignment horizontal="left" vertical="top" wrapText="1"/>
    </xf>
    <xf numFmtId="44" fontId="0" fillId="0" borderId="21" xfId="0" applyNumberFormat="1" applyBorder="1" applyAlignment="1">
      <alignment horizontal="left" vertical="top" wrapText="1"/>
    </xf>
    <xf numFmtId="44" fontId="0" fillId="65" borderId="21" xfId="0" applyNumberFormat="1" applyFill="1" applyBorder="1" applyAlignment="1">
      <alignment horizontal="left" vertical="top" wrapText="1"/>
    </xf>
    <xf numFmtId="44" fontId="99" fillId="0" borderId="0" xfId="0" applyNumberFormat="1" applyFont="1" applyAlignment="1">
      <alignment horizontal="left"/>
    </xf>
    <xf numFmtId="44" fontId="98" fillId="63" borderId="21" xfId="0" applyNumberFormat="1" applyFont="1" applyFill="1" applyBorder="1" applyAlignment="1">
      <alignment horizontal="center" vertical="center" wrapText="1"/>
    </xf>
    <xf numFmtId="14" fontId="0" fillId="0" borderId="21" xfId="0" applyNumberFormat="1" applyFill="1" applyBorder="1" applyAlignment="1">
      <alignment horizontal="center" vertical="top" wrapText="1"/>
    </xf>
    <xf numFmtId="0" fontId="0" fillId="0" borderId="21" xfId="0" applyFill="1" applyBorder="1" applyAlignment="1">
      <alignment horizontal="center" vertical="top" wrapText="1"/>
    </xf>
    <xf numFmtId="0" fontId="0" fillId="0" borderId="21" xfId="0" applyFill="1" applyBorder="1" applyAlignment="1">
      <alignment horizontal="left" vertical="top" wrapText="1"/>
    </xf>
    <xf numFmtId="44" fontId="0" fillId="0" borderId="21" xfId="0" applyNumberFormat="1" applyFill="1" applyBorder="1" applyAlignment="1">
      <alignment horizontal="left" vertical="top" wrapText="1"/>
    </xf>
    <xf numFmtId="0" fontId="104" fillId="0" borderId="21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35"/>
  <sheetViews>
    <sheetView zoomScale="80" zoomScaleNormal="80" workbookViewId="0">
      <pane xSplit="4" ySplit="2" topLeftCell="E3" activePane="bottomRight" state="frozen"/>
      <selection activeCell="A16" sqref="A16"/>
      <selection pane="topRight" activeCell="A16" sqref="A16"/>
      <selection pane="bottomLeft" activeCell="A16" sqref="A16"/>
      <selection pane="bottomRight" activeCell="F3" sqref="F3"/>
    </sheetView>
  </sheetViews>
  <sheetFormatPr defaultRowHeight="14.4" x14ac:dyDescent="0.3"/>
  <cols>
    <col min="1" max="2" width="12" customWidth="1"/>
    <col min="3" max="3" width="15" customWidth="1"/>
    <col min="4" max="4" width="12" customWidth="1"/>
    <col min="5" max="5" width="20" customWidth="1"/>
    <col min="6" max="6" width="30" customWidth="1"/>
    <col min="7" max="7" width="15" customWidth="1"/>
    <col min="8" max="8" width="9.109375" style="23" bestFit="1" customWidth="1"/>
    <col min="9" max="9" width="15" customWidth="1"/>
    <col min="10" max="10" width="23.33203125" customWidth="1"/>
    <col min="11" max="11" width="50" customWidth="1"/>
    <col min="12" max="12" width="12" customWidth="1"/>
  </cols>
  <sheetData>
    <row r="1" spans="1:12" ht="18" customHeight="1" x14ac:dyDescent="0.35">
      <c r="A1" s="1" t="s">
        <v>0</v>
      </c>
      <c r="K1" s="2">
        <f ca="1">TODAY()</f>
        <v>46233</v>
      </c>
    </row>
    <row r="2" spans="1:12" ht="43.2" customHeight="1" x14ac:dyDescent="0.3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28.8" customHeight="1" x14ac:dyDescent="0.3">
      <c r="A3" s="4">
        <v>46155</v>
      </c>
      <c r="B3" s="4">
        <v>46202</v>
      </c>
      <c r="C3" s="5" t="s">
        <v>133</v>
      </c>
      <c r="D3" s="5" t="s">
        <v>134</v>
      </c>
      <c r="E3" s="6" t="s">
        <v>135</v>
      </c>
      <c r="F3" s="6" t="s">
        <v>136</v>
      </c>
      <c r="G3" s="7">
        <v>523356</v>
      </c>
      <c r="H3" s="5" t="s">
        <v>137</v>
      </c>
      <c r="I3" s="5" t="s">
        <v>18</v>
      </c>
      <c r="J3" s="5" t="s">
        <v>19</v>
      </c>
      <c r="K3" s="6" t="s">
        <v>138</v>
      </c>
      <c r="L3" s="4">
        <f t="shared" ref="L3:L20" si="0">B3</f>
        <v>46202</v>
      </c>
    </row>
    <row r="4" spans="1:12" ht="57.6" customHeight="1" x14ac:dyDescent="0.3">
      <c r="A4" s="4">
        <v>46190</v>
      </c>
      <c r="B4" s="4">
        <v>46202</v>
      </c>
      <c r="C4" s="5" t="s">
        <v>139</v>
      </c>
      <c r="D4" s="5" t="s">
        <v>140</v>
      </c>
      <c r="E4" s="6" t="s">
        <v>141</v>
      </c>
      <c r="F4" s="6" t="s">
        <v>127</v>
      </c>
      <c r="G4" s="7">
        <v>149545.07999999999</v>
      </c>
      <c r="H4" s="5" t="s">
        <v>38</v>
      </c>
      <c r="I4" s="5" t="s">
        <v>18</v>
      </c>
      <c r="J4" s="5" t="s">
        <v>19</v>
      </c>
      <c r="K4" s="6" t="s">
        <v>142</v>
      </c>
      <c r="L4" s="4">
        <f t="shared" si="0"/>
        <v>46202</v>
      </c>
    </row>
    <row r="5" spans="1:12" ht="409.6" customHeight="1" x14ac:dyDescent="0.3">
      <c r="A5" s="4">
        <v>46142</v>
      </c>
      <c r="B5" s="4">
        <v>46202.330806064812</v>
      </c>
      <c r="C5" s="5" t="s">
        <v>34</v>
      </c>
      <c r="D5" s="5" t="s">
        <v>35</v>
      </c>
      <c r="E5" s="6" t="s">
        <v>36</v>
      </c>
      <c r="F5" s="6" t="s">
        <v>37</v>
      </c>
      <c r="G5" s="7">
        <v>251413.01</v>
      </c>
      <c r="H5" s="5" t="s">
        <v>38</v>
      </c>
      <c r="I5" s="5" t="s">
        <v>18</v>
      </c>
      <c r="J5" s="5" t="s">
        <v>128</v>
      </c>
      <c r="K5" s="6" t="s">
        <v>143</v>
      </c>
      <c r="L5" s="4">
        <f t="shared" si="0"/>
        <v>46202.330806064812</v>
      </c>
    </row>
    <row r="6" spans="1:12" x14ac:dyDescent="0.3">
      <c r="A6" s="12">
        <v>46182</v>
      </c>
      <c r="B6" s="12">
        <v>46203</v>
      </c>
      <c r="C6" s="13" t="s">
        <v>144</v>
      </c>
      <c r="D6" s="13" t="s">
        <v>145</v>
      </c>
      <c r="E6" s="14" t="s">
        <v>146</v>
      </c>
      <c r="F6" s="14" t="s">
        <v>147</v>
      </c>
      <c r="G6" s="15">
        <v>62080.45</v>
      </c>
      <c r="H6" s="13" t="s">
        <v>72</v>
      </c>
      <c r="I6" s="13" t="s">
        <v>18</v>
      </c>
      <c r="J6" s="13" t="s">
        <v>19</v>
      </c>
      <c r="K6" s="14" t="s">
        <v>148</v>
      </c>
      <c r="L6" s="12">
        <f t="shared" si="0"/>
        <v>46203</v>
      </c>
    </row>
    <row r="7" spans="1:12" x14ac:dyDescent="0.3">
      <c r="A7" s="12">
        <v>46197</v>
      </c>
      <c r="B7" s="12">
        <v>46203</v>
      </c>
      <c r="C7" s="13" t="s">
        <v>149</v>
      </c>
      <c r="D7" s="13" t="s">
        <v>150</v>
      </c>
      <c r="E7" s="14" t="s">
        <v>149</v>
      </c>
      <c r="F7" s="14" t="s">
        <v>151</v>
      </c>
      <c r="G7" s="15">
        <v>6013.35</v>
      </c>
      <c r="H7" s="13" t="s">
        <v>17</v>
      </c>
      <c r="I7" s="13" t="s">
        <v>18</v>
      </c>
      <c r="J7" s="13" t="s">
        <v>45</v>
      </c>
      <c r="K7" s="14" t="s">
        <v>152</v>
      </c>
      <c r="L7" s="12">
        <f t="shared" si="0"/>
        <v>46203</v>
      </c>
    </row>
    <row r="8" spans="1:12" x14ac:dyDescent="0.3">
      <c r="A8" s="12">
        <v>46199</v>
      </c>
      <c r="B8" s="12">
        <v>46204</v>
      </c>
      <c r="C8" s="13" t="s">
        <v>153</v>
      </c>
      <c r="D8" s="13" t="s">
        <v>154</v>
      </c>
      <c r="E8" s="14" t="s">
        <v>155</v>
      </c>
      <c r="F8" s="14" t="s">
        <v>31</v>
      </c>
      <c r="G8" s="15">
        <v>6996.39</v>
      </c>
      <c r="H8" s="13" t="s">
        <v>32</v>
      </c>
      <c r="I8" s="13" t="s">
        <v>18</v>
      </c>
      <c r="J8" s="13" t="s">
        <v>19</v>
      </c>
      <c r="K8" s="14" t="s">
        <v>156</v>
      </c>
      <c r="L8" s="12">
        <f t="shared" si="0"/>
        <v>46204</v>
      </c>
    </row>
    <row r="9" spans="1:12" x14ac:dyDescent="0.3">
      <c r="A9" s="12">
        <v>46190</v>
      </c>
      <c r="B9" s="12">
        <v>46206</v>
      </c>
      <c r="C9" s="13" t="s">
        <v>157</v>
      </c>
      <c r="D9" s="13" t="s">
        <v>158</v>
      </c>
      <c r="E9" s="14" t="s">
        <v>159</v>
      </c>
      <c r="F9" s="14" t="s">
        <v>160</v>
      </c>
      <c r="G9" s="15">
        <v>22505.72</v>
      </c>
      <c r="H9" s="13" t="s">
        <v>72</v>
      </c>
      <c r="I9" s="13" t="s">
        <v>18</v>
      </c>
      <c r="J9" s="13" t="s">
        <v>45</v>
      </c>
      <c r="K9" s="14" t="s">
        <v>161</v>
      </c>
      <c r="L9" s="12">
        <f t="shared" si="0"/>
        <v>46206</v>
      </c>
    </row>
    <row r="10" spans="1:12" ht="172.8" customHeight="1" x14ac:dyDescent="0.3">
      <c r="A10" s="12">
        <v>46198</v>
      </c>
      <c r="B10" s="12">
        <v>46206</v>
      </c>
      <c r="C10" s="13" t="s">
        <v>21</v>
      </c>
      <c r="D10" s="13" t="s">
        <v>22</v>
      </c>
      <c r="E10" s="14" t="s">
        <v>23</v>
      </c>
      <c r="F10" s="14" t="s">
        <v>24</v>
      </c>
      <c r="G10" s="15">
        <v>143822.45000000001</v>
      </c>
      <c r="H10" s="13" t="s">
        <v>25</v>
      </c>
      <c r="I10" s="13" t="s">
        <v>18</v>
      </c>
      <c r="J10" s="13" t="s">
        <v>45</v>
      </c>
      <c r="K10" s="14" t="s">
        <v>162</v>
      </c>
      <c r="L10" s="12">
        <f t="shared" si="0"/>
        <v>46206</v>
      </c>
    </row>
    <row r="11" spans="1:12" ht="28.8" customHeight="1" x14ac:dyDescent="0.3">
      <c r="A11" s="12">
        <v>46167</v>
      </c>
      <c r="B11" s="12">
        <v>46213</v>
      </c>
      <c r="C11" s="13" t="s">
        <v>163</v>
      </c>
      <c r="D11" s="13" t="s">
        <v>164</v>
      </c>
      <c r="E11" s="14" t="s">
        <v>165</v>
      </c>
      <c r="F11" s="14" t="s">
        <v>166</v>
      </c>
      <c r="G11" s="15">
        <v>220505.60000000001</v>
      </c>
      <c r="H11" s="13" t="s">
        <v>86</v>
      </c>
      <c r="I11" s="13" t="s">
        <v>18</v>
      </c>
      <c r="J11" s="13" t="s">
        <v>19</v>
      </c>
      <c r="K11" s="14" t="s">
        <v>167</v>
      </c>
      <c r="L11" s="12">
        <f t="shared" si="0"/>
        <v>46213</v>
      </c>
    </row>
    <row r="12" spans="1:12" ht="28.8" customHeight="1" x14ac:dyDescent="0.3">
      <c r="A12" s="12">
        <v>46185</v>
      </c>
      <c r="B12" s="12">
        <v>46213</v>
      </c>
      <c r="C12" s="13" t="s">
        <v>82</v>
      </c>
      <c r="D12" s="13" t="s">
        <v>83</v>
      </c>
      <c r="E12" s="14" t="s">
        <v>84</v>
      </c>
      <c r="F12" s="14" t="s">
        <v>85</v>
      </c>
      <c r="G12" s="15">
        <v>109947.56</v>
      </c>
      <c r="H12" s="13" t="s">
        <v>86</v>
      </c>
      <c r="I12" s="13" t="s">
        <v>18</v>
      </c>
      <c r="J12" s="13" t="s">
        <v>45</v>
      </c>
      <c r="K12" s="14" t="s">
        <v>168</v>
      </c>
      <c r="L12" s="12">
        <f t="shared" si="0"/>
        <v>46213</v>
      </c>
    </row>
    <row r="13" spans="1:12" ht="57.6" customHeight="1" x14ac:dyDescent="0.3">
      <c r="A13" s="12">
        <v>46195</v>
      </c>
      <c r="B13" s="12">
        <v>46213</v>
      </c>
      <c r="C13" s="13" t="s">
        <v>169</v>
      </c>
      <c r="D13" s="13" t="s">
        <v>170</v>
      </c>
      <c r="E13" s="14" t="s">
        <v>169</v>
      </c>
      <c r="F13" s="14" t="s">
        <v>171</v>
      </c>
      <c r="G13" s="15">
        <v>37443.69</v>
      </c>
      <c r="H13" s="13" t="s">
        <v>172</v>
      </c>
      <c r="I13" s="13" t="s">
        <v>18</v>
      </c>
      <c r="J13" s="13" t="s">
        <v>26</v>
      </c>
      <c r="K13" s="14" t="s">
        <v>173</v>
      </c>
      <c r="L13" s="12">
        <f t="shared" si="0"/>
        <v>46213</v>
      </c>
    </row>
    <row r="14" spans="1:12" ht="187.2" customHeight="1" x14ac:dyDescent="0.3">
      <c r="A14" s="12">
        <v>46198</v>
      </c>
      <c r="B14" s="12">
        <v>46213</v>
      </c>
      <c r="C14" s="13" t="s">
        <v>174</v>
      </c>
      <c r="D14" s="13" t="s">
        <v>175</v>
      </c>
      <c r="E14" s="14" t="s">
        <v>42</v>
      </c>
      <c r="F14" s="14" t="s">
        <v>176</v>
      </c>
      <c r="G14" s="15">
        <v>241125</v>
      </c>
      <c r="H14" s="13" t="s">
        <v>177</v>
      </c>
      <c r="I14" s="13" t="s">
        <v>18</v>
      </c>
      <c r="J14" s="13" t="s">
        <v>19</v>
      </c>
      <c r="K14" s="14" t="s">
        <v>178</v>
      </c>
      <c r="L14" s="12">
        <f t="shared" si="0"/>
        <v>46213</v>
      </c>
    </row>
    <row r="15" spans="1:12" ht="43.2" customHeight="1" x14ac:dyDescent="0.3">
      <c r="A15" s="12" t="s">
        <v>179</v>
      </c>
      <c r="B15" s="12">
        <v>46213</v>
      </c>
      <c r="C15" s="13" t="s">
        <v>180</v>
      </c>
      <c r="D15" s="13" t="s">
        <v>181</v>
      </c>
      <c r="E15" s="14" t="s">
        <v>42</v>
      </c>
      <c r="F15" s="14" t="s">
        <v>182</v>
      </c>
      <c r="G15" s="15">
        <v>12896.1</v>
      </c>
      <c r="H15" s="13" t="s">
        <v>183</v>
      </c>
      <c r="I15" s="13" t="s">
        <v>18</v>
      </c>
      <c r="J15" s="13" t="s">
        <v>45</v>
      </c>
      <c r="K15" s="14" t="s">
        <v>184</v>
      </c>
      <c r="L15" s="12">
        <f t="shared" si="0"/>
        <v>46213</v>
      </c>
    </row>
    <row r="16" spans="1:12" x14ac:dyDescent="0.3">
      <c r="A16" s="12">
        <v>46171</v>
      </c>
      <c r="B16" s="12">
        <v>46227</v>
      </c>
      <c r="C16" s="13" t="s">
        <v>68</v>
      </c>
      <c r="D16" s="13" t="s">
        <v>69</v>
      </c>
      <c r="E16" s="14" t="s">
        <v>70</v>
      </c>
      <c r="F16" s="14" t="s">
        <v>71</v>
      </c>
      <c r="G16" s="15">
        <v>18400</v>
      </c>
      <c r="H16" s="13" t="s">
        <v>72</v>
      </c>
      <c r="I16" s="13" t="s">
        <v>18</v>
      </c>
      <c r="J16" s="13" t="s">
        <v>19</v>
      </c>
      <c r="K16" s="14" t="s">
        <v>185</v>
      </c>
      <c r="L16" s="12">
        <f t="shared" si="0"/>
        <v>46227</v>
      </c>
    </row>
    <row r="17" spans="1:12" ht="158.4" customHeight="1" x14ac:dyDescent="0.3">
      <c r="A17" s="8">
        <v>46128</v>
      </c>
      <c r="B17" s="8">
        <v>46234</v>
      </c>
      <c r="C17" s="9" t="s">
        <v>100</v>
      </c>
      <c r="D17" s="9" t="s">
        <v>101</v>
      </c>
      <c r="E17" s="10" t="s">
        <v>102</v>
      </c>
      <c r="F17" s="10" t="s">
        <v>103</v>
      </c>
      <c r="G17" s="11">
        <v>82900.05</v>
      </c>
      <c r="H17" s="9" t="s">
        <v>72</v>
      </c>
      <c r="I17" s="9" t="s">
        <v>100</v>
      </c>
      <c r="J17" s="9"/>
      <c r="K17" s="10" t="s">
        <v>186</v>
      </c>
      <c r="L17" s="8">
        <f t="shared" si="0"/>
        <v>46234</v>
      </c>
    </row>
    <row r="18" spans="1:12" ht="86.4" customHeight="1" x14ac:dyDescent="0.3">
      <c r="A18" s="8">
        <v>46142</v>
      </c>
      <c r="B18" s="8">
        <v>46234</v>
      </c>
      <c r="C18" s="9" t="s">
        <v>104</v>
      </c>
      <c r="D18" s="9" t="s">
        <v>105</v>
      </c>
      <c r="E18" s="10" t="s">
        <v>106</v>
      </c>
      <c r="F18" s="10" t="s">
        <v>107</v>
      </c>
      <c r="G18" s="11">
        <v>310411</v>
      </c>
      <c r="H18" s="9" t="s">
        <v>108</v>
      </c>
      <c r="I18" s="9" t="s">
        <v>100</v>
      </c>
      <c r="J18" s="9"/>
      <c r="K18" s="10" t="s">
        <v>187</v>
      </c>
      <c r="L18" s="8">
        <f t="shared" si="0"/>
        <v>46234</v>
      </c>
    </row>
    <row r="19" spans="1:12" ht="28.8" customHeight="1" x14ac:dyDescent="0.3">
      <c r="A19" s="8">
        <v>46142</v>
      </c>
      <c r="B19" s="8">
        <v>46234</v>
      </c>
      <c r="C19" s="9" t="s">
        <v>100</v>
      </c>
      <c r="D19" s="9" t="s">
        <v>109</v>
      </c>
      <c r="E19" s="10" t="s">
        <v>110</v>
      </c>
      <c r="F19" s="10" t="s">
        <v>111</v>
      </c>
      <c r="G19" s="11">
        <v>204447</v>
      </c>
      <c r="H19" s="9" t="s">
        <v>38</v>
      </c>
      <c r="I19" s="9" t="s">
        <v>100</v>
      </c>
      <c r="J19" s="9"/>
      <c r="K19" s="10" t="s">
        <v>188</v>
      </c>
      <c r="L19" s="8">
        <f t="shared" si="0"/>
        <v>46234</v>
      </c>
    </row>
    <row r="20" spans="1:12" x14ac:dyDescent="0.3">
      <c r="A20" s="8">
        <v>46170</v>
      </c>
      <c r="B20" s="8">
        <v>46234</v>
      </c>
      <c r="C20" s="9" t="s">
        <v>100</v>
      </c>
      <c r="D20" s="9" t="s">
        <v>112</v>
      </c>
      <c r="E20" s="10" t="s">
        <v>113</v>
      </c>
      <c r="F20" s="10" t="s">
        <v>114</v>
      </c>
      <c r="G20" s="11">
        <v>1860403.01</v>
      </c>
      <c r="H20" s="9" t="s">
        <v>72</v>
      </c>
      <c r="I20" s="9" t="s">
        <v>100</v>
      </c>
      <c r="J20" s="9"/>
      <c r="K20" s="10" t="s">
        <v>189</v>
      </c>
      <c r="L20" s="8">
        <f t="shared" si="0"/>
        <v>46234</v>
      </c>
    </row>
    <row r="21" spans="1:12" x14ac:dyDescent="0.3">
      <c r="F21" s="16" t="s">
        <v>118</v>
      </c>
      <c r="G21" s="17">
        <f>SUMIF(I3:I20,"&lt;&gt;Pending",G3:G20)</f>
        <v>1806050.4000000001</v>
      </c>
    </row>
    <row r="23" spans="1:12" x14ac:dyDescent="0.3">
      <c r="F23" s="18" t="s">
        <v>119</v>
      </c>
    </row>
    <row r="24" spans="1:12" x14ac:dyDescent="0.3">
      <c r="F24" t="s">
        <v>190</v>
      </c>
      <c r="G24" s="19">
        <f ca="1">SUMIFS(G3:G20, J3:J20, "*CASH SALE*", L3:L20, "&gt;="&amp;EOMONTH(TODAY(),-1)+1, L3:L20, "&lt;="&amp;EOMONTH(TODAY(),0), I3:I20, "&lt;&gt;Pending")</f>
        <v>326615.51999999996</v>
      </c>
      <c r="I24" t="s">
        <v>120</v>
      </c>
      <c r="J24" s="19">
        <f ca="1">SUMIFS(G3:G20, J3:J20, "*CASH SALE*", L3:L20, "&gt;="&amp;EOMONTH(TODAY(),0)+1, L3:L20, "&lt;="&amp;EOMONTH(TODAY(),1), I3:I20, "&lt;&gt;Pending")</f>
        <v>0</v>
      </c>
    </row>
    <row r="25" spans="1:12" x14ac:dyDescent="0.3">
      <c r="F25" t="s">
        <v>191</v>
      </c>
      <c r="G25" s="19">
        <f ca="1">SUMIFS(G3:G20, J3:J20, "*ACCOUNT*", L3:L20, "&gt;="&amp;EOMONTH(TODAY(),-1)+1, L3:L20, "&lt;="&amp;EOMONTH(TODAY(),0), I3:I20, "&lt;&gt;Pending")</f>
        <v>487026.99</v>
      </c>
      <c r="I25" t="s">
        <v>122</v>
      </c>
      <c r="J25" s="19">
        <f ca="1">SUMIFS(G3:G20, J3:J20, "*ACCOUNT*", L3:L20, "&gt;="&amp;EOMONTH(TODAY(),0)+1, L3:L20, "&lt;="&amp;EOMONTH(TODAY(),1), I3:I20, "&lt;&gt;Pending")</f>
        <v>0</v>
      </c>
    </row>
    <row r="27" spans="1:12" ht="28.8" customHeight="1" x14ac:dyDescent="0.3">
      <c r="A27" s="3" t="s">
        <v>1</v>
      </c>
      <c r="B27" s="3" t="s">
        <v>2</v>
      </c>
      <c r="C27" s="3" t="s">
        <v>3</v>
      </c>
      <c r="D27" s="3" t="s">
        <v>4</v>
      </c>
      <c r="E27" s="3" t="s">
        <v>5</v>
      </c>
      <c r="F27" s="3" t="s">
        <v>6</v>
      </c>
      <c r="G27" s="3" t="s">
        <v>7</v>
      </c>
      <c r="H27" s="3" t="s">
        <v>8</v>
      </c>
      <c r="I27" s="3" t="s">
        <v>9</v>
      </c>
      <c r="J27" s="3" t="s">
        <v>10</v>
      </c>
      <c r="K27" s="3" t="s">
        <v>124</v>
      </c>
    </row>
    <row r="28" spans="1:12" ht="28.8" customHeight="1" x14ac:dyDescent="0.3">
      <c r="A28" s="20">
        <v>46190</v>
      </c>
      <c r="B28" s="20">
        <v>46202</v>
      </c>
      <c r="C28" s="21" t="s">
        <v>139</v>
      </c>
      <c r="D28" s="21" t="s">
        <v>140</v>
      </c>
      <c r="E28" s="21" t="s">
        <v>141</v>
      </c>
      <c r="F28" s="21" t="s">
        <v>127</v>
      </c>
      <c r="G28" s="15">
        <v>149545.07999999999</v>
      </c>
      <c r="H28" s="13" t="s">
        <v>38</v>
      </c>
      <c r="I28" s="21" t="s">
        <v>18</v>
      </c>
      <c r="J28" s="21" t="s">
        <v>19</v>
      </c>
      <c r="K28" s="14"/>
    </row>
    <row r="29" spans="1:12" ht="28.8" customHeight="1" x14ac:dyDescent="0.3">
      <c r="A29" s="20">
        <v>46155</v>
      </c>
      <c r="B29" s="20">
        <v>46202</v>
      </c>
      <c r="C29" s="21" t="s">
        <v>133</v>
      </c>
      <c r="D29" s="21" t="s">
        <v>134</v>
      </c>
      <c r="E29" s="21" t="s">
        <v>135</v>
      </c>
      <c r="F29" s="21" t="s">
        <v>136</v>
      </c>
      <c r="G29" s="15">
        <v>523356</v>
      </c>
      <c r="H29" s="13" t="s">
        <v>137</v>
      </c>
      <c r="I29" s="21" t="s">
        <v>18</v>
      </c>
      <c r="J29" s="21" t="s">
        <v>19</v>
      </c>
      <c r="K29" s="14"/>
    </row>
    <row r="30" spans="1:12" x14ac:dyDescent="0.3">
      <c r="A30" s="20">
        <v>46142</v>
      </c>
      <c r="B30" s="20">
        <v>46202.330806064812</v>
      </c>
      <c r="C30" s="21" t="s">
        <v>34</v>
      </c>
      <c r="D30" s="21" t="s">
        <v>35</v>
      </c>
      <c r="E30" s="21" t="s">
        <v>36</v>
      </c>
      <c r="F30" s="21" t="s">
        <v>37</v>
      </c>
      <c r="G30" s="15">
        <v>251413.01</v>
      </c>
      <c r="H30" s="13" t="s">
        <v>38</v>
      </c>
      <c r="I30" s="21" t="s">
        <v>18</v>
      </c>
      <c r="J30" s="21" t="s">
        <v>128</v>
      </c>
      <c r="K30" s="14"/>
    </row>
    <row r="31" spans="1:12" x14ac:dyDescent="0.3">
      <c r="F31" s="16" t="s">
        <v>129</v>
      </c>
      <c r="G31" s="17">
        <f>SUM(G28:G30)</f>
        <v>924314.09</v>
      </c>
    </row>
    <row r="33" spans="1:7" x14ac:dyDescent="0.3">
      <c r="F33" s="16" t="s">
        <v>130</v>
      </c>
      <c r="G33" s="17">
        <f>SUMIFS(G3:G20, I3:I20, "*Ready*Dispatch*")</f>
        <v>0</v>
      </c>
    </row>
    <row r="34" spans="1:7" x14ac:dyDescent="0.3">
      <c r="A34" s="455" t="s">
        <v>192</v>
      </c>
      <c r="B34" s="456"/>
      <c r="C34" s="456"/>
      <c r="D34" s="456"/>
    </row>
    <row r="35" spans="1:7" x14ac:dyDescent="0.3">
      <c r="A35" s="455" t="s">
        <v>132</v>
      </c>
      <c r="B35" s="456"/>
      <c r="C35" s="456"/>
      <c r="D35" s="456"/>
    </row>
  </sheetData>
  <mergeCells count="2">
    <mergeCell ref="A34:D34"/>
    <mergeCell ref="A35:D35"/>
  </mergeCells>
  <pageMargins left="0.25" right="0.25" top="0.75" bottom="0.75" header="0.3" footer="0.3"/>
  <pageSetup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L37"/>
  <sheetViews>
    <sheetView zoomScale="70" zoomScaleNormal="70" workbookViewId="0">
      <pane xSplit="4" ySplit="2" topLeftCell="E3" activePane="bottomRight" state="frozen"/>
      <selection activeCell="D8" sqref="D8"/>
      <selection pane="topRight" activeCell="D8" sqref="D8"/>
      <selection pane="bottomLeft" activeCell="D8" sqref="D8"/>
      <selection pane="bottomRight" activeCell="I4" sqref="I4"/>
    </sheetView>
  </sheetViews>
  <sheetFormatPr defaultRowHeight="14.4" x14ac:dyDescent="0.3"/>
  <cols>
    <col min="1" max="2" width="12" customWidth="1"/>
    <col min="3" max="3" width="15" customWidth="1"/>
    <col min="4" max="4" width="12" customWidth="1"/>
    <col min="5" max="5" width="20" customWidth="1"/>
    <col min="6" max="6" width="30" customWidth="1"/>
    <col min="7" max="7" width="15" style="24" customWidth="1"/>
    <col min="8" max="8" width="9.109375" style="23" bestFit="1" customWidth="1"/>
    <col min="9" max="9" width="15" customWidth="1"/>
    <col min="10" max="10" width="23.33203125" style="23" customWidth="1"/>
    <col min="11" max="11" width="50" customWidth="1"/>
    <col min="12" max="12" width="12" customWidth="1"/>
  </cols>
  <sheetData>
    <row r="1" spans="1:12" ht="18" customHeight="1" x14ac:dyDescent="0.35">
      <c r="A1" s="1" t="s">
        <v>0</v>
      </c>
      <c r="K1" s="2">
        <f ca="1">TODAY()</f>
        <v>46233</v>
      </c>
    </row>
    <row r="2" spans="1:12" ht="43.2" customHeight="1" x14ac:dyDescent="0.3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25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x14ac:dyDescent="0.3">
      <c r="A3" s="4">
        <v>46202</v>
      </c>
      <c r="B3" s="4">
        <v>46204.333646296298</v>
      </c>
      <c r="C3" s="5" t="s">
        <v>193</v>
      </c>
      <c r="D3" s="5" t="s">
        <v>194</v>
      </c>
      <c r="E3" s="6" t="s">
        <v>110</v>
      </c>
      <c r="F3" s="6" t="s">
        <v>195</v>
      </c>
      <c r="G3" s="26">
        <v>10568.5</v>
      </c>
      <c r="H3" s="5" t="s">
        <v>17</v>
      </c>
      <c r="I3" s="5" t="s">
        <v>18</v>
      </c>
      <c r="J3" s="5" t="s">
        <v>45</v>
      </c>
      <c r="K3" s="6" t="s">
        <v>196</v>
      </c>
      <c r="L3" s="4">
        <f t="shared" ref="L3:L21" si="0">B3</f>
        <v>46204.333646296298</v>
      </c>
    </row>
    <row r="4" spans="1:12" x14ac:dyDescent="0.3">
      <c r="A4" s="4">
        <v>46197</v>
      </c>
      <c r="B4" s="4">
        <v>46204.333646296298</v>
      </c>
      <c r="C4" s="5" t="s">
        <v>149</v>
      </c>
      <c r="D4" s="5" t="s">
        <v>150</v>
      </c>
      <c r="E4" s="6" t="s">
        <v>149</v>
      </c>
      <c r="F4" s="6" t="s">
        <v>151</v>
      </c>
      <c r="G4" s="26">
        <v>6013.35</v>
      </c>
      <c r="H4" s="5" t="s">
        <v>17</v>
      </c>
      <c r="I4" s="5" t="s">
        <v>39</v>
      </c>
      <c r="J4" s="5" t="s">
        <v>45</v>
      </c>
      <c r="K4" s="6" t="s">
        <v>152</v>
      </c>
      <c r="L4" s="4">
        <f t="shared" si="0"/>
        <v>46204.333646296298</v>
      </c>
    </row>
    <row r="5" spans="1:12" ht="409.6" customHeight="1" x14ac:dyDescent="0.3">
      <c r="A5" s="12">
        <v>46142</v>
      </c>
      <c r="B5" s="12">
        <v>46206</v>
      </c>
      <c r="C5" s="13" t="s">
        <v>34</v>
      </c>
      <c r="D5" s="13" t="s">
        <v>35</v>
      </c>
      <c r="E5" s="14" t="s">
        <v>36</v>
      </c>
      <c r="F5" s="14" t="s">
        <v>37</v>
      </c>
      <c r="G5" s="27">
        <v>251413.01</v>
      </c>
      <c r="H5" s="13" t="s">
        <v>38</v>
      </c>
      <c r="I5" s="13" t="s">
        <v>18</v>
      </c>
      <c r="J5" s="13" t="s">
        <v>128</v>
      </c>
      <c r="K5" s="14" t="s">
        <v>143</v>
      </c>
      <c r="L5" s="12">
        <f t="shared" si="0"/>
        <v>46206</v>
      </c>
    </row>
    <row r="6" spans="1:12" x14ac:dyDescent="0.3">
      <c r="A6" s="12">
        <v>46182</v>
      </c>
      <c r="B6" s="12">
        <v>46206</v>
      </c>
      <c r="C6" s="13" t="s">
        <v>144</v>
      </c>
      <c r="D6" s="13" t="s">
        <v>145</v>
      </c>
      <c r="E6" s="14" t="s">
        <v>146</v>
      </c>
      <c r="F6" s="14" t="s">
        <v>147</v>
      </c>
      <c r="G6" s="27">
        <v>62080.45</v>
      </c>
      <c r="H6" s="13" t="s">
        <v>72</v>
      </c>
      <c r="I6" s="13" t="s">
        <v>18</v>
      </c>
      <c r="J6" s="13" t="s">
        <v>19</v>
      </c>
      <c r="K6" s="14" t="s">
        <v>148</v>
      </c>
      <c r="L6" s="12">
        <f t="shared" si="0"/>
        <v>46206</v>
      </c>
    </row>
    <row r="7" spans="1:12" x14ac:dyDescent="0.3">
      <c r="A7" s="12">
        <v>46190</v>
      </c>
      <c r="B7" s="12">
        <v>46206</v>
      </c>
      <c r="C7" s="13" t="s">
        <v>157</v>
      </c>
      <c r="D7" s="13" t="s">
        <v>158</v>
      </c>
      <c r="E7" s="14" t="s">
        <v>159</v>
      </c>
      <c r="F7" s="14" t="s">
        <v>160</v>
      </c>
      <c r="G7" s="27">
        <v>22505.72</v>
      </c>
      <c r="H7" s="13" t="s">
        <v>72</v>
      </c>
      <c r="I7" s="13" t="s">
        <v>18</v>
      </c>
      <c r="J7" s="13" t="s">
        <v>45</v>
      </c>
      <c r="K7" s="14" t="s">
        <v>161</v>
      </c>
      <c r="L7" s="12">
        <f t="shared" si="0"/>
        <v>46206</v>
      </c>
    </row>
    <row r="8" spans="1:12" ht="57.6" customHeight="1" x14ac:dyDescent="0.3">
      <c r="A8" s="12">
        <v>46195</v>
      </c>
      <c r="B8" s="12">
        <v>46206</v>
      </c>
      <c r="C8" s="13" t="s">
        <v>169</v>
      </c>
      <c r="D8" s="13" t="s">
        <v>170</v>
      </c>
      <c r="E8" s="14" t="s">
        <v>169</v>
      </c>
      <c r="F8" s="14" t="s">
        <v>171</v>
      </c>
      <c r="G8" s="27">
        <v>37443.69</v>
      </c>
      <c r="H8" s="13" t="s">
        <v>172</v>
      </c>
      <c r="I8" s="13" t="s">
        <v>18</v>
      </c>
      <c r="J8" s="13" t="s">
        <v>26</v>
      </c>
      <c r="K8" s="14" t="s">
        <v>173</v>
      </c>
      <c r="L8" s="12">
        <f t="shared" si="0"/>
        <v>46206</v>
      </c>
    </row>
    <row r="9" spans="1:12" ht="28.8" customHeight="1" x14ac:dyDescent="0.3">
      <c r="A9" s="12">
        <v>46199</v>
      </c>
      <c r="B9" s="12">
        <v>46206</v>
      </c>
      <c r="C9" s="13" t="s">
        <v>197</v>
      </c>
      <c r="D9" s="13" t="s">
        <v>198</v>
      </c>
      <c r="E9" s="14" t="s">
        <v>199</v>
      </c>
      <c r="F9" s="14" t="s">
        <v>200</v>
      </c>
      <c r="G9" s="27">
        <v>4421.08</v>
      </c>
      <c r="H9" s="13" t="s">
        <v>201</v>
      </c>
      <c r="I9" s="13" t="s">
        <v>18</v>
      </c>
      <c r="J9" s="13" t="s">
        <v>19</v>
      </c>
      <c r="K9" s="14" t="s">
        <v>202</v>
      </c>
      <c r="L9" s="12">
        <f t="shared" si="0"/>
        <v>46206</v>
      </c>
    </row>
    <row r="10" spans="1:12" x14ac:dyDescent="0.3">
      <c r="A10" s="12">
        <v>46202</v>
      </c>
      <c r="B10" s="12">
        <v>46206</v>
      </c>
      <c r="C10" s="13" t="s">
        <v>203</v>
      </c>
      <c r="D10" s="13" t="s">
        <v>204</v>
      </c>
      <c r="E10" s="14" t="s">
        <v>205</v>
      </c>
      <c r="F10" s="14" t="s">
        <v>206</v>
      </c>
      <c r="G10" s="27">
        <v>18050.400000000001</v>
      </c>
      <c r="H10" s="13" t="s">
        <v>38</v>
      </c>
      <c r="I10" s="13" t="s">
        <v>18</v>
      </c>
      <c r="J10" s="13" t="s">
        <v>45</v>
      </c>
      <c r="K10" s="14" t="s">
        <v>207</v>
      </c>
      <c r="L10" s="12">
        <f t="shared" si="0"/>
        <v>46206</v>
      </c>
    </row>
    <row r="11" spans="1:12" ht="172.8" customHeight="1" x14ac:dyDescent="0.3">
      <c r="A11" s="12">
        <v>46198</v>
      </c>
      <c r="B11" s="12">
        <v>46209</v>
      </c>
      <c r="C11" s="13" t="s">
        <v>21</v>
      </c>
      <c r="D11" s="13" t="s">
        <v>22</v>
      </c>
      <c r="E11" s="14" t="s">
        <v>23</v>
      </c>
      <c r="F11" s="14" t="s">
        <v>24</v>
      </c>
      <c r="G11" s="27">
        <v>143822.45000000001</v>
      </c>
      <c r="H11" s="13" t="s">
        <v>25</v>
      </c>
      <c r="I11" s="13" t="s">
        <v>18</v>
      </c>
      <c r="J11" s="13" t="s">
        <v>45</v>
      </c>
      <c r="K11" s="14" t="s">
        <v>162</v>
      </c>
      <c r="L11" s="12">
        <f t="shared" si="0"/>
        <v>46209</v>
      </c>
    </row>
    <row r="12" spans="1:12" ht="28.8" customHeight="1" x14ac:dyDescent="0.3">
      <c r="A12" s="12">
        <v>46167</v>
      </c>
      <c r="B12" s="12">
        <v>46213</v>
      </c>
      <c r="C12" s="13" t="s">
        <v>163</v>
      </c>
      <c r="D12" s="13" t="s">
        <v>164</v>
      </c>
      <c r="E12" s="14" t="s">
        <v>165</v>
      </c>
      <c r="F12" s="14" t="s">
        <v>166</v>
      </c>
      <c r="G12" s="27">
        <v>220505.60000000001</v>
      </c>
      <c r="H12" s="13" t="s">
        <v>86</v>
      </c>
      <c r="I12" s="13" t="s">
        <v>18</v>
      </c>
      <c r="J12" s="13" t="s">
        <v>19</v>
      </c>
      <c r="K12" s="14" t="s">
        <v>167</v>
      </c>
      <c r="L12" s="12">
        <f t="shared" si="0"/>
        <v>46213</v>
      </c>
    </row>
    <row r="13" spans="1:12" ht="28.8" customHeight="1" x14ac:dyDescent="0.3">
      <c r="A13" s="12">
        <v>46185</v>
      </c>
      <c r="B13" s="12">
        <v>46213</v>
      </c>
      <c r="C13" s="13" t="s">
        <v>82</v>
      </c>
      <c r="D13" s="13" t="s">
        <v>83</v>
      </c>
      <c r="E13" s="14" t="s">
        <v>84</v>
      </c>
      <c r="F13" s="14" t="s">
        <v>85</v>
      </c>
      <c r="G13" s="27">
        <v>109947.56</v>
      </c>
      <c r="H13" s="13" t="s">
        <v>86</v>
      </c>
      <c r="I13" s="13" t="s">
        <v>18</v>
      </c>
      <c r="J13" s="13" t="s">
        <v>45</v>
      </c>
      <c r="K13" s="14" t="s">
        <v>168</v>
      </c>
      <c r="L13" s="12">
        <f t="shared" si="0"/>
        <v>46213</v>
      </c>
    </row>
    <row r="14" spans="1:12" ht="28.8" customHeight="1" x14ac:dyDescent="0.3">
      <c r="A14" s="12">
        <v>46198</v>
      </c>
      <c r="B14" s="12">
        <v>46213</v>
      </c>
      <c r="C14" s="13" t="s">
        <v>180</v>
      </c>
      <c r="D14" s="13" t="s">
        <v>181</v>
      </c>
      <c r="E14" s="14" t="s">
        <v>42</v>
      </c>
      <c r="F14" s="14" t="s">
        <v>182</v>
      </c>
      <c r="G14" s="27">
        <v>12896.1</v>
      </c>
      <c r="H14" s="13" t="s">
        <v>183</v>
      </c>
      <c r="I14" s="13" t="s">
        <v>18</v>
      </c>
      <c r="J14" s="13" t="s">
        <v>45</v>
      </c>
      <c r="K14" s="14" t="s">
        <v>184</v>
      </c>
      <c r="L14" s="12">
        <f t="shared" si="0"/>
        <v>46213</v>
      </c>
    </row>
    <row r="15" spans="1:12" x14ac:dyDescent="0.3">
      <c r="A15" s="12">
        <v>46171</v>
      </c>
      <c r="B15" s="12">
        <v>46227</v>
      </c>
      <c r="C15" s="13" t="s">
        <v>68</v>
      </c>
      <c r="D15" s="13" t="s">
        <v>69</v>
      </c>
      <c r="E15" s="14" t="s">
        <v>70</v>
      </c>
      <c r="F15" s="14" t="s">
        <v>71</v>
      </c>
      <c r="G15" s="27">
        <v>18400</v>
      </c>
      <c r="H15" s="13" t="s">
        <v>72</v>
      </c>
      <c r="I15" s="13" t="s">
        <v>18</v>
      </c>
      <c r="J15" s="13" t="s">
        <v>19</v>
      </c>
      <c r="K15" s="14" t="s">
        <v>185</v>
      </c>
      <c r="L15" s="12">
        <f t="shared" si="0"/>
        <v>46227</v>
      </c>
    </row>
    <row r="16" spans="1:12" ht="187.2" customHeight="1" x14ac:dyDescent="0.3">
      <c r="A16" s="8">
        <v>46198</v>
      </c>
      <c r="B16" s="8">
        <v>46227</v>
      </c>
      <c r="C16" s="9" t="s">
        <v>174</v>
      </c>
      <c r="D16" s="9" t="s">
        <v>175</v>
      </c>
      <c r="E16" s="10" t="s">
        <v>42</v>
      </c>
      <c r="F16" s="10" t="s">
        <v>176</v>
      </c>
      <c r="G16" s="28">
        <v>241125</v>
      </c>
      <c r="H16" s="9" t="s">
        <v>177</v>
      </c>
      <c r="I16" s="9" t="s">
        <v>100</v>
      </c>
      <c r="J16" s="9" t="s">
        <v>19</v>
      </c>
      <c r="K16" s="10" t="s">
        <v>178</v>
      </c>
      <c r="L16" s="8">
        <f t="shared" si="0"/>
        <v>46227</v>
      </c>
    </row>
    <row r="17" spans="1:12" x14ac:dyDescent="0.3">
      <c r="A17" s="8">
        <v>46111</v>
      </c>
      <c r="B17" s="8">
        <v>46234</v>
      </c>
      <c r="C17" s="9" t="s">
        <v>96</v>
      </c>
      <c r="D17" s="9" t="s">
        <v>97</v>
      </c>
      <c r="E17" s="10" t="s">
        <v>98</v>
      </c>
      <c r="F17" s="10" t="s">
        <v>99</v>
      </c>
      <c r="G17" s="28">
        <v>169353.60000000001</v>
      </c>
      <c r="H17" s="9" t="s">
        <v>72</v>
      </c>
      <c r="I17" s="9" t="s">
        <v>100</v>
      </c>
      <c r="J17" s="9"/>
      <c r="K17" s="10" t="s">
        <v>208</v>
      </c>
      <c r="L17" s="8">
        <f t="shared" si="0"/>
        <v>46234</v>
      </c>
    </row>
    <row r="18" spans="1:12" ht="158.4" customHeight="1" x14ac:dyDescent="0.3">
      <c r="A18" s="8">
        <v>46128</v>
      </c>
      <c r="B18" s="8">
        <v>46234</v>
      </c>
      <c r="C18" s="9" t="s">
        <v>100</v>
      </c>
      <c r="D18" s="9" t="s">
        <v>101</v>
      </c>
      <c r="E18" s="10" t="s">
        <v>102</v>
      </c>
      <c r="F18" s="10" t="s">
        <v>103</v>
      </c>
      <c r="G18" s="28">
        <v>82900.05</v>
      </c>
      <c r="H18" s="9" t="s">
        <v>72</v>
      </c>
      <c r="I18" s="9" t="s">
        <v>100</v>
      </c>
      <c r="J18" s="9"/>
      <c r="K18" s="10" t="s">
        <v>186</v>
      </c>
      <c r="L18" s="8">
        <f t="shared" si="0"/>
        <v>46234</v>
      </c>
    </row>
    <row r="19" spans="1:12" ht="86.4" customHeight="1" x14ac:dyDescent="0.3">
      <c r="A19" s="8">
        <v>46142</v>
      </c>
      <c r="B19" s="8">
        <v>46234</v>
      </c>
      <c r="C19" s="9" t="s">
        <v>104</v>
      </c>
      <c r="D19" s="9" t="s">
        <v>105</v>
      </c>
      <c r="E19" s="10" t="s">
        <v>106</v>
      </c>
      <c r="F19" s="10" t="s">
        <v>107</v>
      </c>
      <c r="G19" s="28">
        <v>310411</v>
      </c>
      <c r="H19" s="9" t="s">
        <v>108</v>
      </c>
      <c r="I19" s="9" t="s">
        <v>100</v>
      </c>
      <c r="J19" s="9"/>
      <c r="K19" s="10" t="s">
        <v>187</v>
      </c>
      <c r="L19" s="8">
        <f t="shared" si="0"/>
        <v>46234</v>
      </c>
    </row>
    <row r="20" spans="1:12" ht="28.8" customHeight="1" x14ac:dyDescent="0.3">
      <c r="A20" s="8">
        <v>46142</v>
      </c>
      <c r="B20" s="8">
        <v>46234</v>
      </c>
      <c r="C20" s="9" t="s">
        <v>100</v>
      </c>
      <c r="D20" s="9" t="s">
        <v>109</v>
      </c>
      <c r="E20" s="10" t="s">
        <v>110</v>
      </c>
      <c r="F20" s="10" t="s">
        <v>111</v>
      </c>
      <c r="G20" s="28">
        <v>204447</v>
      </c>
      <c r="H20" s="9" t="s">
        <v>38</v>
      </c>
      <c r="I20" s="9" t="s">
        <v>100</v>
      </c>
      <c r="J20" s="9"/>
      <c r="K20" s="10" t="s">
        <v>188</v>
      </c>
      <c r="L20" s="8">
        <f t="shared" si="0"/>
        <v>46234</v>
      </c>
    </row>
    <row r="21" spans="1:12" x14ac:dyDescent="0.3">
      <c r="A21" s="8">
        <v>46170</v>
      </c>
      <c r="B21" s="8">
        <v>46234</v>
      </c>
      <c r="C21" s="9" t="s">
        <v>100</v>
      </c>
      <c r="D21" s="9" t="s">
        <v>112</v>
      </c>
      <c r="E21" s="10" t="s">
        <v>113</v>
      </c>
      <c r="F21" s="10" t="s">
        <v>114</v>
      </c>
      <c r="G21" s="28">
        <v>1860403.01</v>
      </c>
      <c r="H21" s="9" t="s">
        <v>72</v>
      </c>
      <c r="I21" s="9" t="s">
        <v>100</v>
      </c>
      <c r="J21" s="9"/>
      <c r="K21" s="10" t="s">
        <v>189</v>
      </c>
      <c r="L21" s="8">
        <f t="shared" si="0"/>
        <v>46234</v>
      </c>
    </row>
    <row r="22" spans="1:12" x14ac:dyDescent="0.3">
      <c r="F22" s="16" t="s">
        <v>118</v>
      </c>
      <c r="G22" s="29">
        <f>SUMIF(I3:I21,"&lt;&gt;Pending",G3:G21)</f>
        <v>918067.91</v>
      </c>
    </row>
    <row r="24" spans="1:12" x14ac:dyDescent="0.3">
      <c r="F24" s="18" t="s">
        <v>119</v>
      </c>
    </row>
    <row r="25" spans="1:12" x14ac:dyDescent="0.3">
      <c r="F25" t="s">
        <v>120</v>
      </c>
      <c r="G25" s="24">
        <f ca="1">SUMIFS(G3:G21, J3:J21, "*CASH SALE*", L3:L21, "&gt;="&amp;EOMONTH(TODAY(),-1)+1, L3:L21, "&lt;="&amp;EOMONTH(TODAY(),0), I3:I21, "&lt;&gt;Pending")</f>
        <v>612660.77999999991</v>
      </c>
      <c r="I25" t="s">
        <v>121</v>
      </c>
      <c r="J25" s="30">
        <f ca="1">SUMIFS(G3:G21, J3:J21, "*CASH SALE*", L3:L21, "&gt;="&amp;EOMONTH(TODAY(),0)+1, L3:L21, "&lt;="&amp;EOMONTH(TODAY(),1), I3:I21, "&lt;&gt;Pending")</f>
        <v>0</v>
      </c>
    </row>
    <row r="26" spans="1:12" x14ac:dyDescent="0.3">
      <c r="F26" t="s">
        <v>122</v>
      </c>
      <c r="G26" s="24">
        <f ca="1">SUMIFS(G3:G21, J3:J21, "*ACCOUNT*", L3:L21, "&gt;="&amp;EOMONTH(TODAY(),-1)+1, L3:L21, "&lt;="&amp;EOMONTH(TODAY(),0), I3:I21, "&lt;&gt;Pending")</f>
        <v>305407.13</v>
      </c>
      <c r="I26" t="s">
        <v>123</v>
      </c>
      <c r="J26" s="30">
        <f ca="1">SUMIFS(G3:G21, J3:J21, "*ACCOUNT*", L3:L21, "&gt;="&amp;EOMONTH(TODAY(),0)+1, L3:L21, "&lt;="&amp;EOMONTH(TODAY(),1), I3:I21, "&lt;&gt;Pending")</f>
        <v>0</v>
      </c>
    </row>
    <row r="28" spans="1:12" ht="28.8" customHeight="1" x14ac:dyDescent="0.3">
      <c r="A28" s="3" t="s">
        <v>1</v>
      </c>
      <c r="B28" s="3" t="s">
        <v>2</v>
      </c>
      <c r="C28" s="3" t="s">
        <v>3</v>
      </c>
      <c r="D28" s="3" t="s">
        <v>4</v>
      </c>
      <c r="E28" s="3" t="s">
        <v>5</v>
      </c>
      <c r="F28" s="3" t="s">
        <v>6</v>
      </c>
      <c r="G28" s="25" t="s">
        <v>7</v>
      </c>
      <c r="H28" s="3" t="s">
        <v>8</v>
      </c>
      <c r="I28" s="3" t="s">
        <v>9</v>
      </c>
      <c r="J28" s="3" t="s">
        <v>10</v>
      </c>
      <c r="K28" s="3" t="s">
        <v>124</v>
      </c>
    </row>
    <row r="29" spans="1:12" x14ac:dyDescent="0.3">
      <c r="A29" s="20">
        <v>46197</v>
      </c>
      <c r="B29" s="20">
        <v>46204.333646296298</v>
      </c>
      <c r="C29" s="21" t="s">
        <v>149</v>
      </c>
      <c r="D29" s="21" t="s">
        <v>150</v>
      </c>
      <c r="E29" s="21" t="s">
        <v>149</v>
      </c>
      <c r="F29" s="21" t="s">
        <v>151</v>
      </c>
      <c r="G29" s="27">
        <v>6013.35</v>
      </c>
      <c r="H29" s="13" t="s">
        <v>17</v>
      </c>
      <c r="I29" s="21" t="s">
        <v>18</v>
      </c>
      <c r="J29" s="13" t="s">
        <v>45</v>
      </c>
      <c r="K29" s="14"/>
    </row>
    <row r="30" spans="1:12" x14ac:dyDescent="0.3">
      <c r="A30" s="20">
        <v>46202</v>
      </c>
      <c r="B30" s="20">
        <v>46204.333646296298</v>
      </c>
      <c r="C30" s="21" t="s">
        <v>193</v>
      </c>
      <c r="D30" s="21" t="s">
        <v>194</v>
      </c>
      <c r="E30" s="21" t="s">
        <v>110</v>
      </c>
      <c r="F30" s="21" t="s">
        <v>195</v>
      </c>
      <c r="G30" s="27">
        <v>10568.5</v>
      </c>
      <c r="H30" s="13" t="s">
        <v>17</v>
      </c>
      <c r="I30" s="21" t="s">
        <v>18</v>
      </c>
      <c r="J30" s="13" t="s">
        <v>45</v>
      </c>
      <c r="K30" s="14"/>
    </row>
    <row r="31" spans="1:12" x14ac:dyDescent="0.3">
      <c r="F31" s="16" t="s">
        <v>129</v>
      </c>
      <c r="G31" s="29">
        <f>SUM(G29:G30)</f>
        <v>16581.849999999999</v>
      </c>
    </row>
    <row r="33" spans="1:7" x14ac:dyDescent="0.3">
      <c r="F33" s="16" t="s">
        <v>130</v>
      </c>
      <c r="G33" s="29">
        <f>SUMIFS(G3:G21, I3:I21, "*Ready*Dispatch*")</f>
        <v>6013.35</v>
      </c>
    </row>
    <row r="36" spans="1:7" x14ac:dyDescent="0.3">
      <c r="A36" s="22" t="s">
        <v>131</v>
      </c>
    </row>
    <row r="37" spans="1:7" x14ac:dyDescent="0.3">
      <c r="A37" s="22" t="s">
        <v>132</v>
      </c>
    </row>
  </sheetData>
  <pageMargins left="0.25" right="0.25" top="0.75" bottom="0.75" header="0.3" footer="0.3"/>
  <pageSetup scale="59"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L33"/>
  <sheetViews>
    <sheetView zoomScale="70" zoomScaleNormal="70" workbookViewId="0">
      <pane xSplit="4" ySplit="2" topLeftCell="E11" activePane="bottomRight" state="frozen"/>
      <selection activeCell="O11" sqref="O11"/>
      <selection pane="topRight" activeCell="O11" sqref="O11"/>
      <selection pane="bottomLeft" activeCell="O11" sqref="O11"/>
      <selection pane="bottomRight" activeCell="O11" sqref="O11"/>
    </sheetView>
  </sheetViews>
  <sheetFormatPr defaultRowHeight="14.4" x14ac:dyDescent="0.3"/>
  <cols>
    <col min="1" max="2" width="12" customWidth="1"/>
    <col min="3" max="3" width="15" customWidth="1"/>
    <col min="4" max="4" width="12" customWidth="1"/>
    <col min="5" max="5" width="20" customWidth="1"/>
    <col min="6" max="6" width="30" customWidth="1"/>
    <col min="7" max="7" width="15" style="47" customWidth="1"/>
    <col min="8" max="8" width="9.109375" style="23" bestFit="1" customWidth="1"/>
    <col min="9" max="9" width="15" customWidth="1"/>
    <col min="10" max="10" width="21.21875" style="23" bestFit="1" customWidth="1"/>
    <col min="11" max="11" width="50" customWidth="1"/>
    <col min="12" max="12" width="12" customWidth="1"/>
  </cols>
  <sheetData>
    <row r="1" spans="1:12" ht="18" customHeight="1" x14ac:dyDescent="0.35">
      <c r="A1" s="457" t="s">
        <v>0</v>
      </c>
      <c r="B1" s="452"/>
      <c r="C1" s="452"/>
      <c r="D1" s="452"/>
      <c r="K1" s="31">
        <f ca="1">TODAY()</f>
        <v>46233</v>
      </c>
    </row>
    <row r="2" spans="1:12" ht="43.2" customHeight="1" x14ac:dyDescent="0.3">
      <c r="A2" s="32" t="s">
        <v>1</v>
      </c>
      <c r="B2" s="32" t="s">
        <v>2</v>
      </c>
      <c r="C2" s="32" t="s">
        <v>3</v>
      </c>
      <c r="D2" s="32" t="s">
        <v>4</v>
      </c>
      <c r="E2" s="32" t="s">
        <v>5</v>
      </c>
      <c r="F2" s="32" t="s">
        <v>6</v>
      </c>
      <c r="G2" s="46" t="s">
        <v>7</v>
      </c>
      <c r="H2" s="32" t="s">
        <v>8</v>
      </c>
      <c r="I2" s="32" t="s">
        <v>9</v>
      </c>
      <c r="J2" s="32" t="s">
        <v>10</v>
      </c>
      <c r="K2" s="32" t="s">
        <v>11</v>
      </c>
      <c r="L2" s="32" t="s">
        <v>12</v>
      </c>
    </row>
    <row r="3" spans="1:12" x14ac:dyDescent="0.3">
      <c r="A3" s="33">
        <v>46182</v>
      </c>
      <c r="B3" s="33">
        <v>46205.331844525463</v>
      </c>
      <c r="C3" s="34" t="s">
        <v>144</v>
      </c>
      <c r="D3" s="34" t="s">
        <v>145</v>
      </c>
      <c r="E3" s="35" t="s">
        <v>146</v>
      </c>
      <c r="F3" s="35" t="s">
        <v>147</v>
      </c>
      <c r="G3" s="48">
        <v>62080.45</v>
      </c>
      <c r="H3" s="34" t="s">
        <v>72</v>
      </c>
      <c r="I3" s="34" t="s">
        <v>18</v>
      </c>
      <c r="J3" s="34" t="s">
        <v>19</v>
      </c>
      <c r="K3" s="35" t="s">
        <v>148</v>
      </c>
      <c r="L3" s="33">
        <f t="shared" ref="L3:L19" si="0">B3</f>
        <v>46205.331844525463</v>
      </c>
    </row>
    <row r="4" spans="1:12" x14ac:dyDescent="0.3">
      <c r="A4" s="33">
        <v>46197</v>
      </c>
      <c r="B4" s="33">
        <v>46205.331844525463</v>
      </c>
      <c r="C4" s="34" t="s">
        <v>149</v>
      </c>
      <c r="D4" s="34" t="s">
        <v>150</v>
      </c>
      <c r="E4" s="35" t="s">
        <v>149</v>
      </c>
      <c r="F4" s="35" t="s">
        <v>151</v>
      </c>
      <c r="G4" s="48">
        <v>6013.35</v>
      </c>
      <c r="H4" s="34" t="s">
        <v>17</v>
      </c>
      <c r="I4" s="34" t="s">
        <v>39</v>
      </c>
      <c r="J4" s="34" t="s">
        <v>45</v>
      </c>
      <c r="K4" s="35" t="s">
        <v>152</v>
      </c>
      <c r="L4" s="33">
        <f t="shared" si="0"/>
        <v>46205.331844525463</v>
      </c>
    </row>
    <row r="5" spans="1:12" x14ac:dyDescent="0.3">
      <c r="A5" s="39">
        <v>46190</v>
      </c>
      <c r="B5" s="39">
        <v>46206</v>
      </c>
      <c r="C5" s="40" t="s">
        <v>157</v>
      </c>
      <c r="D5" s="40" t="s">
        <v>158</v>
      </c>
      <c r="E5" s="41" t="s">
        <v>159</v>
      </c>
      <c r="F5" s="41" t="s">
        <v>160</v>
      </c>
      <c r="G5" s="49">
        <v>22505.72</v>
      </c>
      <c r="H5" s="40" t="s">
        <v>72</v>
      </c>
      <c r="I5" s="40" t="s">
        <v>18</v>
      </c>
      <c r="J5" s="40" t="s">
        <v>45</v>
      </c>
      <c r="K5" s="41" t="s">
        <v>161</v>
      </c>
      <c r="L5" s="39">
        <f t="shared" si="0"/>
        <v>46206</v>
      </c>
    </row>
    <row r="6" spans="1:12" x14ac:dyDescent="0.3">
      <c r="A6" s="39">
        <v>46202</v>
      </c>
      <c r="B6" s="39">
        <v>46206</v>
      </c>
      <c r="C6" s="40" t="s">
        <v>203</v>
      </c>
      <c r="D6" s="40" t="s">
        <v>204</v>
      </c>
      <c r="E6" s="41" t="s">
        <v>205</v>
      </c>
      <c r="F6" s="41" t="s">
        <v>206</v>
      </c>
      <c r="G6" s="49">
        <v>18050.400000000001</v>
      </c>
      <c r="H6" s="40" t="s">
        <v>38</v>
      </c>
      <c r="I6" s="40" t="s">
        <v>18</v>
      </c>
      <c r="J6" s="40" t="s">
        <v>45</v>
      </c>
      <c r="K6" s="41" t="s">
        <v>207</v>
      </c>
      <c r="L6" s="39">
        <f t="shared" si="0"/>
        <v>46206</v>
      </c>
    </row>
    <row r="7" spans="1:12" ht="409.6" customHeight="1" x14ac:dyDescent="0.3">
      <c r="A7" s="39">
        <v>46142</v>
      </c>
      <c r="B7" s="39">
        <v>46209</v>
      </c>
      <c r="C7" s="40" t="s">
        <v>34</v>
      </c>
      <c r="D7" s="40" t="s">
        <v>35</v>
      </c>
      <c r="E7" s="41" t="s">
        <v>36</v>
      </c>
      <c r="F7" s="41" t="s">
        <v>37</v>
      </c>
      <c r="G7" s="49">
        <v>251413.01</v>
      </c>
      <c r="H7" s="40" t="s">
        <v>38</v>
      </c>
      <c r="I7" s="40" t="s">
        <v>18</v>
      </c>
      <c r="J7" s="40" t="s">
        <v>128</v>
      </c>
      <c r="K7" s="41" t="s">
        <v>143</v>
      </c>
      <c r="L7" s="39">
        <f t="shared" si="0"/>
        <v>46209</v>
      </c>
    </row>
    <row r="8" spans="1:12" ht="57.6" customHeight="1" x14ac:dyDescent="0.3">
      <c r="A8" s="39">
        <v>46195</v>
      </c>
      <c r="B8" s="39">
        <v>46209</v>
      </c>
      <c r="C8" s="40" t="s">
        <v>169</v>
      </c>
      <c r="D8" s="40" t="s">
        <v>170</v>
      </c>
      <c r="E8" s="41" t="s">
        <v>169</v>
      </c>
      <c r="F8" s="41" t="s">
        <v>171</v>
      </c>
      <c r="G8" s="49">
        <v>37443.69</v>
      </c>
      <c r="H8" s="40" t="s">
        <v>172</v>
      </c>
      <c r="I8" s="40" t="s">
        <v>18</v>
      </c>
      <c r="J8" s="40" t="s">
        <v>26</v>
      </c>
      <c r="K8" s="41" t="s">
        <v>173</v>
      </c>
      <c r="L8" s="39">
        <f t="shared" si="0"/>
        <v>46209</v>
      </c>
    </row>
    <row r="9" spans="1:12" ht="28.8" customHeight="1" x14ac:dyDescent="0.3">
      <c r="A9" s="39">
        <v>46167</v>
      </c>
      <c r="B9" s="39">
        <v>46213</v>
      </c>
      <c r="C9" s="40" t="s">
        <v>163</v>
      </c>
      <c r="D9" s="40" t="s">
        <v>164</v>
      </c>
      <c r="E9" s="41" t="s">
        <v>165</v>
      </c>
      <c r="F9" s="41" t="s">
        <v>166</v>
      </c>
      <c r="G9" s="49">
        <v>220505.60000000001</v>
      </c>
      <c r="H9" s="40" t="s">
        <v>86</v>
      </c>
      <c r="I9" s="40" t="s">
        <v>18</v>
      </c>
      <c r="J9" s="40" t="s">
        <v>19</v>
      </c>
      <c r="K9" s="41" t="s">
        <v>167</v>
      </c>
      <c r="L9" s="39">
        <f t="shared" si="0"/>
        <v>46213</v>
      </c>
    </row>
    <row r="10" spans="1:12" ht="28.8" customHeight="1" x14ac:dyDescent="0.3">
      <c r="A10" s="39">
        <v>46185</v>
      </c>
      <c r="B10" s="39">
        <v>46213</v>
      </c>
      <c r="C10" s="40" t="s">
        <v>82</v>
      </c>
      <c r="D10" s="40" t="s">
        <v>83</v>
      </c>
      <c r="E10" s="41" t="s">
        <v>84</v>
      </c>
      <c r="F10" s="41" t="s">
        <v>85</v>
      </c>
      <c r="G10" s="49">
        <v>109947.56</v>
      </c>
      <c r="H10" s="40" t="s">
        <v>86</v>
      </c>
      <c r="I10" s="40" t="s">
        <v>18</v>
      </c>
      <c r="J10" s="40" t="s">
        <v>45</v>
      </c>
      <c r="K10" s="41" t="s">
        <v>168</v>
      </c>
      <c r="L10" s="39">
        <f t="shared" si="0"/>
        <v>46213</v>
      </c>
    </row>
    <row r="11" spans="1:12" ht="187.2" customHeight="1" x14ac:dyDescent="0.3">
      <c r="A11" s="39">
        <v>46198</v>
      </c>
      <c r="B11" s="39">
        <v>46213</v>
      </c>
      <c r="C11" s="40" t="s">
        <v>21</v>
      </c>
      <c r="D11" s="40" t="s">
        <v>22</v>
      </c>
      <c r="E11" s="41" t="s">
        <v>23</v>
      </c>
      <c r="F11" s="41" t="s">
        <v>24</v>
      </c>
      <c r="G11" s="49">
        <v>143822.45000000001</v>
      </c>
      <c r="H11" s="40" t="s">
        <v>25</v>
      </c>
      <c r="I11" s="40" t="s">
        <v>18</v>
      </c>
      <c r="J11" s="40" t="s">
        <v>45</v>
      </c>
      <c r="K11" s="41" t="s">
        <v>162</v>
      </c>
      <c r="L11" s="39">
        <f t="shared" si="0"/>
        <v>46213</v>
      </c>
    </row>
    <row r="12" spans="1:12" ht="28.8" customHeight="1" x14ac:dyDescent="0.3">
      <c r="A12" s="39">
        <v>46198</v>
      </c>
      <c r="B12" s="39">
        <v>46213</v>
      </c>
      <c r="C12" s="40" t="s">
        <v>180</v>
      </c>
      <c r="D12" s="40" t="s">
        <v>181</v>
      </c>
      <c r="E12" s="41" t="s">
        <v>42</v>
      </c>
      <c r="F12" s="41" t="s">
        <v>182</v>
      </c>
      <c r="G12" s="49">
        <v>12896.1</v>
      </c>
      <c r="H12" s="40" t="s">
        <v>183</v>
      </c>
      <c r="I12" s="40" t="s">
        <v>18</v>
      </c>
      <c r="J12" s="40" t="s">
        <v>45</v>
      </c>
      <c r="K12" s="41" t="s">
        <v>184</v>
      </c>
      <c r="L12" s="39">
        <f t="shared" si="0"/>
        <v>46213</v>
      </c>
    </row>
    <row r="13" spans="1:12" ht="187.2" customHeight="1" x14ac:dyDescent="0.3">
      <c r="A13" s="39">
        <v>46198</v>
      </c>
      <c r="B13" s="39">
        <v>46227</v>
      </c>
      <c r="C13" s="40" t="s">
        <v>174</v>
      </c>
      <c r="D13" s="40" t="s">
        <v>175</v>
      </c>
      <c r="E13" s="41" t="s">
        <v>42</v>
      </c>
      <c r="F13" s="41" t="s">
        <v>176</v>
      </c>
      <c r="G13" s="49">
        <v>241125</v>
      </c>
      <c r="H13" s="40" t="s">
        <v>177</v>
      </c>
      <c r="I13" s="40" t="s">
        <v>18</v>
      </c>
      <c r="J13" s="40" t="s">
        <v>19</v>
      </c>
      <c r="K13" s="41" t="s">
        <v>178</v>
      </c>
      <c r="L13" s="39">
        <f t="shared" si="0"/>
        <v>46227</v>
      </c>
    </row>
    <row r="14" spans="1:12" x14ac:dyDescent="0.3">
      <c r="A14" s="39">
        <v>46171</v>
      </c>
      <c r="B14" s="39">
        <v>46234</v>
      </c>
      <c r="C14" s="40" t="s">
        <v>68</v>
      </c>
      <c r="D14" s="40" t="s">
        <v>69</v>
      </c>
      <c r="E14" s="41" t="s">
        <v>70</v>
      </c>
      <c r="F14" s="41" t="s">
        <v>71</v>
      </c>
      <c r="G14" s="49">
        <v>18400</v>
      </c>
      <c r="H14" s="40" t="s">
        <v>72</v>
      </c>
      <c r="I14" s="40" t="s">
        <v>18</v>
      </c>
      <c r="J14" s="40" t="s">
        <v>19</v>
      </c>
      <c r="K14" s="41" t="s">
        <v>185</v>
      </c>
      <c r="L14" s="39">
        <f t="shared" si="0"/>
        <v>46234</v>
      </c>
    </row>
    <row r="15" spans="1:12" x14ac:dyDescent="0.3">
      <c r="A15" s="36">
        <v>46111</v>
      </c>
      <c r="B15" s="36">
        <v>46234</v>
      </c>
      <c r="C15" s="37" t="s">
        <v>96</v>
      </c>
      <c r="D15" s="37" t="s">
        <v>97</v>
      </c>
      <c r="E15" s="38" t="s">
        <v>98</v>
      </c>
      <c r="F15" s="38" t="s">
        <v>99</v>
      </c>
      <c r="G15" s="50">
        <v>169353.60000000001</v>
      </c>
      <c r="H15" s="37" t="s">
        <v>72</v>
      </c>
      <c r="I15" s="37" t="s">
        <v>100</v>
      </c>
      <c r="J15" s="37"/>
      <c r="K15" s="38" t="s">
        <v>208</v>
      </c>
      <c r="L15" s="36">
        <f t="shared" si="0"/>
        <v>46234</v>
      </c>
    </row>
    <row r="16" spans="1:12" ht="158.4" customHeight="1" x14ac:dyDescent="0.3">
      <c r="A16" s="36">
        <v>46128</v>
      </c>
      <c r="B16" s="36">
        <v>46234</v>
      </c>
      <c r="C16" s="37" t="s">
        <v>100</v>
      </c>
      <c r="D16" s="37" t="s">
        <v>101</v>
      </c>
      <c r="E16" s="38" t="s">
        <v>102</v>
      </c>
      <c r="F16" s="38" t="s">
        <v>103</v>
      </c>
      <c r="G16" s="50">
        <v>82900.05</v>
      </c>
      <c r="H16" s="37" t="s">
        <v>72</v>
      </c>
      <c r="I16" s="37" t="s">
        <v>100</v>
      </c>
      <c r="J16" s="37"/>
      <c r="K16" s="38" t="s">
        <v>186</v>
      </c>
      <c r="L16" s="36">
        <f t="shared" si="0"/>
        <v>46234</v>
      </c>
    </row>
    <row r="17" spans="1:12" ht="86.4" customHeight="1" x14ac:dyDescent="0.3">
      <c r="A17" s="36">
        <v>46142</v>
      </c>
      <c r="B17" s="36">
        <v>46234</v>
      </c>
      <c r="C17" s="37" t="s">
        <v>104</v>
      </c>
      <c r="D17" s="37" t="s">
        <v>105</v>
      </c>
      <c r="E17" s="38" t="s">
        <v>106</v>
      </c>
      <c r="F17" s="38" t="s">
        <v>107</v>
      </c>
      <c r="G17" s="50">
        <v>310411</v>
      </c>
      <c r="H17" s="37" t="s">
        <v>108</v>
      </c>
      <c r="I17" s="37" t="s">
        <v>100</v>
      </c>
      <c r="J17" s="37"/>
      <c r="K17" s="38" t="s">
        <v>187</v>
      </c>
      <c r="L17" s="36">
        <f t="shared" si="0"/>
        <v>46234</v>
      </c>
    </row>
    <row r="18" spans="1:12" ht="28.8" customHeight="1" x14ac:dyDescent="0.3">
      <c r="A18" s="36">
        <v>46142</v>
      </c>
      <c r="B18" s="36">
        <v>46234</v>
      </c>
      <c r="C18" s="37" t="s">
        <v>100</v>
      </c>
      <c r="D18" s="37" t="s">
        <v>109</v>
      </c>
      <c r="E18" s="38" t="s">
        <v>110</v>
      </c>
      <c r="F18" s="38" t="s">
        <v>111</v>
      </c>
      <c r="G18" s="50">
        <v>204447</v>
      </c>
      <c r="H18" s="37" t="s">
        <v>38</v>
      </c>
      <c r="I18" s="37" t="s">
        <v>100</v>
      </c>
      <c r="J18" s="37"/>
      <c r="K18" s="38" t="s">
        <v>188</v>
      </c>
      <c r="L18" s="36">
        <f t="shared" si="0"/>
        <v>46234</v>
      </c>
    </row>
    <row r="19" spans="1:12" x14ac:dyDescent="0.3">
      <c r="A19" s="36">
        <v>46170</v>
      </c>
      <c r="B19" s="36">
        <v>46234</v>
      </c>
      <c r="C19" s="37" t="s">
        <v>100</v>
      </c>
      <c r="D19" s="37" t="s">
        <v>112</v>
      </c>
      <c r="E19" s="38" t="s">
        <v>113</v>
      </c>
      <c r="F19" s="38" t="s">
        <v>114</v>
      </c>
      <c r="G19" s="50">
        <v>1860403.01</v>
      </c>
      <c r="H19" s="37" t="s">
        <v>72</v>
      </c>
      <c r="I19" s="37" t="s">
        <v>100</v>
      </c>
      <c r="J19" s="37"/>
      <c r="K19" s="38" t="s">
        <v>189</v>
      </c>
      <c r="L19" s="36">
        <f t="shared" si="0"/>
        <v>46234</v>
      </c>
    </row>
    <row r="20" spans="1:12" x14ac:dyDescent="0.3">
      <c r="F20" s="42" t="s">
        <v>118</v>
      </c>
      <c r="G20" s="51">
        <f>SUMIF(I3:I19,"&lt;&gt;Pending",G3:G19)</f>
        <v>1144203.33</v>
      </c>
    </row>
    <row r="22" spans="1:12" x14ac:dyDescent="0.3">
      <c r="F22" s="43" t="s">
        <v>119</v>
      </c>
    </row>
    <row r="23" spans="1:12" x14ac:dyDescent="0.3">
      <c r="F23" t="s">
        <v>120</v>
      </c>
      <c r="G23" s="47">
        <f ca="1">SUMIFS(G3:G19, J3:J19, "*CASH SALE*", L3:L19, "&gt;="&amp;EOMONTH(TODAY(),-1)+1, L3:L19, "&lt;="&amp;EOMONTH(TODAY(),0), I3:I19, "&lt;&gt;Pending")</f>
        <v>602092.27999999991</v>
      </c>
      <c r="I23" t="s">
        <v>121</v>
      </c>
      <c r="J23" s="30">
        <f ca="1">SUMIFS(G3:G19, J3:J19, "*CASH SALE*", L3:L19, "&gt;="&amp;EOMONTH(TODAY(),0)+1, L3:L19, "&lt;="&amp;EOMONTH(TODAY(),1), I3:I19, "&lt;&gt;Pending")</f>
        <v>0</v>
      </c>
    </row>
    <row r="24" spans="1:12" x14ac:dyDescent="0.3">
      <c r="F24" t="s">
        <v>122</v>
      </c>
      <c r="G24" s="47">
        <f ca="1">SUMIFS(G3:G19, J3:J19, "*ACCOUNT*", L3:L19, "&gt;="&amp;EOMONTH(TODAY(),-1)+1, L3:L19, "&lt;="&amp;EOMONTH(TODAY(),0), I3:I19, "&lt;&gt;Pending")</f>
        <v>542111.05000000005</v>
      </c>
      <c r="I24" t="s">
        <v>123</v>
      </c>
      <c r="J24" s="30">
        <f ca="1">SUMIFS(G3:G19, J3:J19, "*ACCOUNT*", L3:L19, "&gt;="&amp;EOMONTH(TODAY(),0)+1, L3:L19, "&lt;="&amp;EOMONTH(TODAY(),1), I3:I19, "&lt;&gt;Pending")</f>
        <v>0</v>
      </c>
    </row>
    <row r="26" spans="1:12" ht="28.8" customHeight="1" x14ac:dyDescent="0.3">
      <c r="A26" s="32" t="s">
        <v>1</v>
      </c>
      <c r="B26" s="32" t="s">
        <v>2</v>
      </c>
      <c r="C26" s="32" t="s">
        <v>3</v>
      </c>
      <c r="D26" s="32" t="s">
        <v>4</v>
      </c>
      <c r="E26" s="32" t="s">
        <v>5</v>
      </c>
      <c r="F26" s="32" t="s">
        <v>6</v>
      </c>
      <c r="G26" s="46" t="s">
        <v>7</v>
      </c>
      <c r="H26" s="32" t="s">
        <v>8</v>
      </c>
      <c r="I26" s="32" t="s">
        <v>9</v>
      </c>
      <c r="J26" s="32" t="s">
        <v>10</v>
      </c>
      <c r="K26" s="32" t="s">
        <v>124</v>
      </c>
    </row>
    <row r="27" spans="1:12" x14ac:dyDescent="0.3">
      <c r="A27" s="44">
        <v>46197</v>
      </c>
      <c r="B27" s="44">
        <v>46205.331844525463</v>
      </c>
      <c r="C27" s="45" t="s">
        <v>149</v>
      </c>
      <c r="D27" s="45" t="s">
        <v>150</v>
      </c>
      <c r="E27" s="45" t="s">
        <v>149</v>
      </c>
      <c r="F27" s="45" t="s">
        <v>151</v>
      </c>
      <c r="G27" s="49">
        <v>6013.35</v>
      </c>
      <c r="H27" s="40" t="s">
        <v>17</v>
      </c>
      <c r="I27" s="45" t="s">
        <v>18</v>
      </c>
      <c r="J27" s="40" t="s">
        <v>45</v>
      </c>
      <c r="K27" s="41"/>
    </row>
    <row r="28" spans="1:12" x14ac:dyDescent="0.3">
      <c r="A28" s="44">
        <v>46198</v>
      </c>
      <c r="B28" s="44">
        <v>46205.331844525463</v>
      </c>
      <c r="C28" s="45" t="s">
        <v>21</v>
      </c>
      <c r="D28" s="45" t="s">
        <v>22</v>
      </c>
      <c r="E28" s="45" t="s">
        <v>23</v>
      </c>
      <c r="F28" s="45" t="s">
        <v>24</v>
      </c>
      <c r="G28" s="49">
        <v>143822.45000000001</v>
      </c>
      <c r="H28" s="40" t="s">
        <v>25</v>
      </c>
      <c r="I28" s="45" t="s">
        <v>18</v>
      </c>
      <c r="J28" s="40" t="s">
        <v>45</v>
      </c>
      <c r="K28" s="41"/>
    </row>
    <row r="29" spans="1:12" x14ac:dyDescent="0.3">
      <c r="F29" s="42" t="s">
        <v>129</v>
      </c>
      <c r="G29" s="51">
        <f>SUM(G27:G28)</f>
        <v>149835.80000000002</v>
      </c>
    </row>
    <row r="31" spans="1:12" x14ac:dyDescent="0.3">
      <c r="F31" s="42" t="s">
        <v>130</v>
      </c>
      <c r="G31" s="51">
        <f>SUMIFS(G3:G19, I3:I19, "*Ready*Dispatch*")</f>
        <v>6013.35</v>
      </c>
    </row>
    <row r="32" spans="1:12" x14ac:dyDescent="0.3">
      <c r="A32" s="458" t="s">
        <v>192</v>
      </c>
      <c r="B32" s="456"/>
      <c r="C32" s="456"/>
      <c r="D32" s="456"/>
    </row>
    <row r="33" spans="1:4" x14ac:dyDescent="0.3">
      <c r="A33" s="458" t="s">
        <v>132</v>
      </c>
      <c r="B33" s="456"/>
      <c r="C33" s="456"/>
      <c r="D33" s="456"/>
    </row>
  </sheetData>
  <mergeCells count="3">
    <mergeCell ref="A1:D1"/>
    <mergeCell ref="A32:D32"/>
    <mergeCell ref="A33:D33"/>
  </mergeCells>
  <pageMargins left="0.25" right="0.25" top="0.75" bottom="0.75" header="0.3" footer="0.3"/>
  <pageSetup fitToHeight="0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L38"/>
  <sheetViews>
    <sheetView zoomScale="80" zoomScaleNormal="80" workbookViewId="0">
      <pane xSplit="4" ySplit="2" topLeftCell="E14" activePane="bottomRight" state="frozen"/>
      <selection activeCell="J7" sqref="J7"/>
      <selection pane="topRight" activeCell="J7" sqref="J7"/>
      <selection pane="bottomLeft" activeCell="J7" sqref="J7"/>
      <selection pane="bottomRight" activeCell="J40" sqref="J40"/>
    </sheetView>
  </sheetViews>
  <sheetFormatPr defaultRowHeight="14.4" x14ac:dyDescent="0.3"/>
  <cols>
    <col min="1" max="2" width="12" customWidth="1"/>
    <col min="3" max="3" width="15" customWidth="1"/>
    <col min="4" max="4" width="12" customWidth="1"/>
    <col min="5" max="5" width="20" customWidth="1"/>
    <col min="6" max="6" width="30" customWidth="1"/>
    <col min="7" max="7" width="15" customWidth="1"/>
    <col min="8" max="8" width="20" customWidth="1"/>
    <col min="9" max="9" width="15" customWidth="1"/>
    <col min="10" max="10" width="23.33203125" customWidth="1"/>
    <col min="11" max="11" width="50" customWidth="1"/>
    <col min="12" max="12" width="12" customWidth="1"/>
  </cols>
  <sheetData>
    <row r="1" spans="1:12" ht="18" customHeight="1" x14ac:dyDescent="0.35">
      <c r="A1" s="52" t="s">
        <v>0</v>
      </c>
      <c r="K1" s="53">
        <f ca="1">TODAY()</f>
        <v>46233</v>
      </c>
    </row>
    <row r="2" spans="1:12" ht="43.2" customHeight="1" x14ac:dyDescent="0.3">
      <c r="A2" s="54" t="s">
        <v>1</v>
      </c>
      <c r="B2" s="54" t="s">
        <v>2</v>
      </c>
      <c r="C2" s="54" t="s">
        <v>3</v>
      </c>
      <c r="D2" s="54" t="s">
        <v>4</v>
      </c>
      <c r="E2" s="54" t="s">
        <v>5</v>
      </c>
      <c r="F2" s="54" t="s">
        <v>6</v>
      </c>
      <c r="G2" s="54" t="s">
        <v>7</v>
      </c>
      <c r="H2" s="54" t="s">
        <v>8</v>
      </c>
      <c r="I2" s="54" t="s">
        <v>9</v>
      </c>
      <c r="J2" s="54" t="s">
        <v>10</v>
      </c>
      <c r="K2" s="54" t="s">
        <v>11</v>
      </c>
      <c r="L2" s="54" t="s">
        <v>12</v>
      </c>
    </row>
    <row r="3" spans="1:12" x14ac:dyDescent="0.3">
      <c r="A3" s="55">
        <v>46197</v>
      </c>
      <c r="B3" s="55">
        <v>46206.36472513889</v>
      </c>
      <c r="C3" s="56" t="s">
        <v>149</v>
      </c>
      <c r="D3" s="56" t="s">
        <v>150</v>
      </c>
      <c r="E3" s="57" t="s">
        <v>149</v>
      </c>
      <c r="F3" s="57" t="s">
        <v>151</v>
      </c>
      <c r="G3" s="58">
        <v>6013.35</v>
      </c>
      <c r="H3" s="56" t="s">
        <v>17</v>
      </c>
      <c r="I3" s="56" t="s">
        <v>39</v>
      </c>
      <c r="J3" s="56" t="s">
        <v>45</v>
      </c>
      <c r="K3" s="57" t="s">
        <v>152</v>
      </c>
      <c r="L3" s="55">
        <f t="shared" ref="L3:L19" si="0">B3</f>
        <v>46206.36472513889</v>
      </c>
    </row>
    <row r="4" spans="1:12" x14ac:dyDescent="0.3">
      <c r="A4" s="55">
        <v>46202</v>
      </c>
      <c r="B4" s="55">
        <v>46206.36472513889</v>
      </c>
      <c r="C4" s="56" t="s">
        <v>203</v>
      </c>
      <c r="D4" s="56" t="s">
        <v>204</v>
      </c>
      <c r="E4" s="57" t="s">
        <v>205</v>
      </c>
      <c r="F4" s="57" t="s">
        <v>206</v>
      </c>
      <c r="G4" s="58">
        <v>18050.400000000001</v>
      </c>
      <c r="H4" s="56" t="s">
        <v>38</v>
      </c>
      <c r="I4" s="56" t="s">
        <v>18</v>
      </c>
      <c r="J4" s="56" t="s">
        <v>45</v>
      </c>
      <c r="K4" s="57" t="s">
        <v>207</v>
      </c>
      <c r="L4" s="55">
        <f t="shared" si="0"/>
        <v>46206.36472513889</v>
      </c>
    </row>
    <row r="5" spans="1:12" ht="57.6" customHeight="1" x14ac:dyDescent="0.3">
      <c r="A5" s="63">
        <v>46195</v>
      </c>
      <c r="B5" s="63">
        <v>46209</v>
      </c>
      <c r="C5" s="64" t="s">
        <v>169</v>
      </c>
      <c r="D5" s="64" t="s">
        <v>170</v>
      </c>
      <c r="E5" s="65" t="s">
        <v>169</v>
      </c>
      <c r="F5" s="65" t="s">
        <v>171</v>
      </c>
      <c r="G5" s="66">
        <v>37443.69</v>
      </c>
      <c r="H5" s="64" t="s">
        <v>172</v>
      </c>
      <c r="I5" s="64" t="s">
        <v>18</v>
      </c>
      <c r="J5" s="64" t="s">
        <v>26</v>
      </c>
      <c r="K5" s="65" t="s">
        <v>173</v>
      </c>
      <c r="L5" s="63">
        <f t="shared" si="0"/>
        <v>46209</v>
      </c>
    </row>
    <row r="6" spans="1:12" ht="72" customHeight="1" x14ac:dyDescent="0.3">
      <c r="A6" s="59">
        <v>46205</v>
      </c>
      <c r="B6" s="59">
        <v>46210</v>
      </c>
      <c r="C6" s="60" t="s">
        <v>209</v>
      </c>
      <c r="D6" s="60" t="s">
        <v>210</v>
      </c>
      <c r="E6" s="61" t="s">
        <v>42</v>
      </c>
      <c r="F6" s="61" t="s">
        <v>211</v>
      </c>
      <c r="G6" s="62">
        <v>26773.15</v>
      </c>
      <c r="H6" s="60" t="s">
        <v>201</v>
      </c>
      <c r="I6" s="60" t="s">
        <v>18</v>
      </c>
      <c r="J6" s="60" t="s">
        <v>45</v>
      </c>
      <c r="K6" s="61" t="s">
        <v>212</v>
      </c>
      <c r="L6" s="59">
        <f t="shared" si="0"/>
        <v>46210</v>
      </c>
    </row>
    <row r="7" spans="1:12" ht="72" customHeight="1" x14ac:dyDescent="0.3">
      <c r="A7" s="59">
        <v>46205</v>
      </c>
      <c r="B7" s="59">
        <v>46211</v>
      </c>
      <c r="C7" s="60" t="s">
        <v>213</v>
      </c>
      <c r="D7" s="60" t="s">
        <v>214</v>
      </c>
      <c r="E7" s="61" t="s">
        <v>42</v>
      </c>
      <c r="F7" s="61" t="s">
        <v>215</v>
      </c>
      <c r="G7" s="62">
        <v>28094.5</v>
      </c>
      <c r="H7" s="60" t="s">
        <v>216</v>
      </c>
      <c r="I7" s="60" t="s">
        <v>18</v>
      </c>
      <c r="J7" s="60" t="s">
        <v>45</v>
      </c>
      <c r="K7" s="61" t="s">
        <v>217</v>
      </c>
      <c r="L7" s="59">
        <f t="shared" si="0"/>
        <v>46211</v>
      </c>
    </row>
    <row r="8" spans="1:12" ht="57.6" customHeight="1" x14ac:dyDescent="0.3">
      <c r="A8" s="63">
        <v>46190</v>
      </c>
      <c r="B8" s="63">
        <v>46212</v>
      </c>
      <c r="C8" s="64" t="s">
        <v>157</v>
      </c>
      <c r="D8" s="64" t="s">
        <v>158</v>
      </c>
      <c r="E8" s="65" t="s">
        <v>159</v>
      </c>
      <c r="F8" s="65" t="s">
        <v>160</v>
      </c>
      <c r="G8" s="66">
        <v>22505.72</v>
      </c>
      <c r="H8" s="64" t="s">
        <v>72</v>
      </c>
      <c r="I8" s="64" t="s">
        <v>18</v>
      </c>
      <c r="J8" s="64" t="s">
        <v>45</v>
      </c>
      <c r="K8" s="65" t="s">
        <v>161</v>
      </c>
      <c r="L8" s="63">
        <f t="shared" si="0"/>
        <v>46212</v>
      </c>
    </row>
    <row r="9" spans="1:12" ht="409.6" customHeight="1" x14ac:dyDescent="0.3">
      <c r="A9" s="63">
        <v>46142</v>
      </c>
      <c r="B9" s="63">
        <v>46213</v>
      </c>
      <c r="C9" s="64" t="s">
        <v>34</v>
      </c>
      <c r="D9" s="64" t="s">
        <v>35</v>
      </c>
      <c r="E9" s="65" t="s">
        <v>36</v>
      </c>
      <c r="F9" s="65" t="s">
        <v>37</v>
      </c>
      <c r="G9" s="66">
        <f>251433.71-180000</f>
        <v>71433.709999999992</v>
      </c>
      <c r="H9" s="64" t="s">
        <v>38</v>
      </c>
      <c r="I9" s="64" t="s">
        <v>18</v>
      </c>
      <c r="J9" s="64" t="s">
        <v>128</v>
      </c>
      <c r="K9" s="65" t="s">
        <v>143</v>
      </c>
      <c r="L9" s="63">
        <f t="shared" si="0"/>
        <v>46213</v>
      </c>
    </row>
    <row r="10" spans="1:12" ht="28.8" customHeight="1" x14ac:dyDescent="0.3">
      <c r="A10" s="63">
        <v>46167</v>
      </c>
      <c r="B10" s="63">
        <v>46213</v>
      </c>
      <c r="C10" s="64" t="s">
        <v>163</v>
      </c>
      <c r="D10" s="64" t="s">
        <v>164</v>
      </c>
      <c r="E10" s="65" t="s">
        <v>165</v>
      </c>
      <c r="F10" s="65" t="s">
        <v>166</v>
      </c>
      <c r="G10" s="66">
        <v>220505.60000000001</v>
      </c>
      <c r="H10" s="64" t="s">
        <v>86</v>
      </c>
      <c r="I10" s="64" t="s">
        <v>18</v>
      </c>
      <c r="J10" s="64" t="s">
        <v>19</v>
      </c>
      <c r="K10" s="65" t="s">
        <v>167</v>
      </c>
      <c r="L10" s="63">
        <f t="shared" si="0"/>
        <v>46213</v>
      </c>
    </row>
    <row r="11" spans="1:12" ht="187.2" customHeight="1" x14ac:dyDescent="0.3">
      <c r="A11" s="63">
        <v>46198</v>
      </c>
      <c r="B11" s="63">
        <v>46213</v>
      </c>
      <c r="C11" s="64" t="s">
        <v>21</v>
      </c>
      <c r="D11" s="64" t="s">
        <v>22</v>
      </c>
      <c r="E11" s="65" t="s">
        <v>23</v>
      </c>
      <c r="F11" s="65" t="s">
        <v>24</v>
      </c>
      <c r="G11" s="66">
        <v>143822.45000000001</v>
      </c>
      <c r="H11" s="64" t="s">
        <v>25</v>
      </c>
      <c r="I11" s="64" t="s">
        <v>18</v>
      </c>
      <c r="J11" s="64" t="s">
        <v>45</v>
      </c>
      <c r="K11" s="65" t="s">
        <v>162</v>
      </c>
      <c r="L11" s="63">
        <f t="shared" si="0"/>
        <v>46213</v>
      </c>
    </row>
    <row r="12" spans="1:12" ht="28.8" customHeight="1" x14ac:dyDescent="0.3">
      <c r="A12" s="63">
        <v>46198</v>
      </c>
      <c r="B12" s="63">
        <v>46213</v>
      </c>
      <c r="C12" s="64" t="s">
        <v>180</v>
      </c>
      <c r="D12" s="64" t="s">
        <v>181</v>
      </c>
      <c r="E12" s="65" t="s">
        <v>42</v>
      </c>
      <c r="F12" s="65" t="s">
        <v>182</v>
      </c>
      <c r="G12" s="66">
        <v>12896.1</v>
      </c>
      <c r="H12" s="64" t="s">
        <v>183</v>
      </c>
      <c r="I12" s="64" t="s">
        <v>18</v>
      </c>
      <c r="J12" s="64" t="s">
        <v>45</v>
      </c>
      <c r="K12" s="65" t="s">
        <v>184</v>
      </c>
      <c r="L12" s="63">
        <f t="shared" si="0"/>
        <v>46213</v>
      </c>
    </row>
    <row r="13" spans="1:12" ht="187.2" customHeight="1" x14ac:dyDescent="0.3">
      <c r="A13" s="63">
        <v>46198</v>
      </c>
      <c r="B13" s="63">
        <v>46227</v>
      </c>
      <c r="C13" s="64" t="s">
        <v>174</v>
      </c>
      <c r="D13" s="64" t="s">
        <v>175</v>
      </c>
      <c r="E13" s="65" t="s">
        <v>42</v>
      </c>
      <c r="F13" s="65" t="s">
        <v>176</v>
      </c>
      <c r="G13" s="66">
        <v>241125</v>
      </c>
      <c r="H13" s="64" t="s">
        <v>177</v>
      </c>
      <c r="I13" s="64" t="s">
        <v>18</v>
      </c>
      <c r="J13" s="64" t="s">
        <v>19</v>
      </c>
      <c r="K13" s="65" t="s">
        <v>178</v>
      </c>
      <c r="L13" s="63">
        <f t="shared" si="0"/>
        <v>46227</v>
      </c>
    </row>
    <row r="14" spans="1:12" ht="158.4" customHeight="1" x14ac:dyDescent="0.3">
      <c r="A14" s="59">
        <v>46128</v>
      </c>
      <c r="B14" s="59">
        <v>46234</v>
      </c>
      <c r="C14" s="60" t="s">
        <v>100</v>
      </c>
      <c r="D14" s="60" t="s">
        <v>101</v>
      </c>
      <c r="E14" s="61" t="s">
        <v>102</v>
      </c>
      <c r="F14" s="61" t="s">
        <v>103</v>
      </c>
      <c r="G14" s="62">
        <v>82900.05</v>
      </c>
      <c r="H14" s="60" t="s">
        <v>72</v>
      </c>
      <c r="I14" s="60" t="s">
        <v>100</v>
      </c>
      <c r="J14" s="60"/>
      <c r="K14" s="61" t="s">
        <v>186</v>
      </c>
      <c r="L14" s="59">
        <f t="shared" si="0"/>
        <v>46234</v>
      </c>
    </row>
    <row r="15" spans="1:12" ht="86.4" customHeight="1" x14ac:dyDescent="0.3">
      <c r="A15" s="59">
        <v>46142</v>
      </c>
      <c r="B15" s="59">
        <v>46234</v>
      </c>
      <c r="C15" s="60" t="s">
        <v>104</v>
      </c>
      <c r="D15" s="60" t="s">
        <v>105</v>
      </c>
      <c r="E15" s="61" t="s">
        <v>106</v>
      </c>
      <c r="F15" s="61" t="s">
        <v>107</v>
      </c>
      <c r="G15" s="62">
        <v>310411</v>
      </c>
      <c r="H15" s="60" t="s">
        <v>108</v>
      </c>
      <c r="I15" s="60" t="s">
        <v>100</v>
      </c>
      <c r="J15" s="60"/>
      <c r="K15" s="61" t="s">
        <v>187</v>
      </c>
      <c r="L15" s="59">
        <f t="shared" si="0"/>
        <v>46234</v>
      </c>
    </row>
    <row r="16" spans="1:12" ht="28.8" customHeight="1" x14ac:dyDescent="0.3">
      <c r="A16" s="59">
        <v>46142</v>
      </c>
      <c r="B16" s="59">
        <v>46234</v>
      </c>
      <c r="C16" s="60" t="s">
        <v>100</v>
      </c>
      <c r="D16" s="60" t="s">
        <v>109</v>
      </c>
      <c r="E16" s="61" t="s">
        <v>110</v>
      </c>
      <c r="F16" s="61" t="s">
        <v>111</v>
      </c>
      <c r="G16" s="62">
        <v>204447</v>
      </c>
      <c r="H16" s="60" t="s">
        <v>38</v>
      </c>
      <c r="I16" s="60" t="s">
        <v>100</v>
      </c>
      <c r="J16" s="60"/>
      <c r="K16" s="61" t="s">
        <v>188</v>
      </c>
      <c r="L16" s="59">
        <f t="shared" si="0"/>
        <v>46234</v>
      </c>
    </row>
    <row r="17" spans="1:12" x14ac:dyDescent="0.3">
      <c r="A17" s="59">
        <v>46170</v>
      </c>
      <c r="B17" s="59">
        <v>46234</v>
      </c>
      <c r="C17" s="60" t="s">
        <v>100</v>
      </c>
      <c r="D17" s="60" t="s">
        <v>112</v>
      </c>
      <c r="E17" s="61" t="s">
        <v>113</v>
      </c>
      <c r="F17" s="61" t="s">
        <v>114</v>
      </c>
      <c r="G17" s="62">
        <v>1860403.01</v>
      </c>
      <c r="H17" s="60" t="s">
        <v>72</v>
      </c>
      <c r="I17" s="60" t="s">
        <v>100</v>
      </c>
      <c r="J17" s="60"/>
      <c r="K17" s="61" t="s">
        <v>189</v>
      </c>
      <c r="L17" s="59">
        <f t="shared" si="0"/>
        <v>46234</v>
      </c>
    </row>
    <row r="18" spans="1:12" x14ac:dyDescent="0.3">
      <c r="A18" s="63">
        <v>46171</v>
      </c>
      <c r="B18" s="63">
        <v>46239</v>
      </c>
      <c r="C18" s="64" t="s">
        <v>68</v>
      </c>
      <c r="D18" s="64" t="s">
        <v>69</v>
      </c>
      <c r="E18" s="65" t="s">
        <v>70</v>
      </c>
      <c r="F18" s="65" t="s">
        <v>71</v>
      </c>
      <c r="G18" s="66">
        <v>18400</v>
      </c>
      <c r="H18" s="64" t="s">
        <v>72</v>
      </c>
      <c r="I18" s="64" t="s">
        <v>18</v>
      </c>
      <c r="J18" s="64" t="s">
        <v>19</v>
      </c>
      <c r="K18" s="65" t="s">
        <v>185</v>
      </c>
      <c r="L18" s="63">
        <f t="shared" si="0"/>
        <v>46239</v>
      </c>
    </row>
    <row r="19" spans="1:12" ht="28.8" customHeight="1" x14ac:dyDescent="0.3">
      <c r="A19" s="63">
        <v>46185</v>
      </c>
      <c r="B19" s="63">
        <v>46253</v>
      </c>
      <c r="C19" s="64" t="s">
        <v>82</v>
      </c>
      <c r="D19" s="64" t="s">
        <v>83</v>
      </c>
      <c r="E19" s="65" t="s">
        <v>84</v>
      </c>
      <c r="F19" s="65" t="s">
        <v>85</v>
      </c>
      <c r="G19" s="66">
        <v>109947.56</v>
      </c>
      <c r="H19" s="64" t="s">
        <v>86</v>
      </c>
      <c r="I19" s="64" t="s">
        <v>18</v>
      </c>
      <c r="J19" s="64" t="s">
        <v>45</v>
      </c>
      <c r="K19" s="65" t="s">
        <v>168</v>
      </c>
      <c r="L19" s="63">
        <f t="shared" si="0"/>
        <v>46253</v>
      </c>
    </row>
    <row r="20" spans="1:12" x14ac:dyDescent="0.3">
      <c r="F20" s="67" t="s">
        <v>118</v>
      </c>
      <c r="G20" s="68">
        <f>SUMIF(I3:I19,"&lt;&gt;Pending",G3:G19)</f>
        <v>957011.23</v>
      </c>
    </row>
    <row r="22" spans="1:12" x14ac:dyDescent="0.3">
      <c r="F22" s="69" t="s">
        <v>119</v>
      </c>
    </row>
    <row r="23" spans="1:12" x14ac:dyDescent="0.3">
      <c r="F23" t="s">
        <v>120</v>
      </c>
      <c r="G23" s="19">
        <f ca="1">SUMIFS(G3:G19, J3:J19, "*CASH SALE*", L3:L19, "&gt;="&amp;EOMONTH(TODAY(),-1)+1, L3:L19, "&lt;="&amp;EOMONTH(TODAY(),0), I3:I19, "&lt;&gt;Pending")</f>
        <v>367033.06999999995</v>
      </c>
      <c r="I23" t="s">
        <v>121</v>
      </c>
      <c r="J23" s="19">
        <f ca="1">SUMIFS(G3:G19, J3:J19, "*CASH SALE*", L3:L19, "&gt;="&amp;EOMONTH(TODAY(),0)+1, L3:L19, "&lt;="&amp;EOMONTH(TODAY(),1), I3:I19, "&lt;&gt;Pending")</f>
        <v>109947.56</v>
      </c>
    </row>
    <row r="24" spans="1:12" x14ac:dyDescent="0.3">
      <c r="F24" t="s">
        <v>122</v>
      </c>
      <c r="G24" s="19">
        <f ca="1">SUMIFS(G3:G19, J3:J19, "*ACCOUNT*", L3:L19, "&gt;="&amp;EOMONTH(TODAY(),-1)+1, L3:L19, "&lt;="&amp;EOMONTH(TODAY(),0), I3:I19, "&lt;&gt;Pending")</f>
        <v>461630.6</v>
      </c>
      <c r="I24" t="s">
        <v>123</v>
      </c>
      <c r="J24" s="19">
        <f ca="1">SUMIFS(G3:G19, J3:J19, "*ACCOUNT*", L3:L19, "&gt;="&amp;EOMONTH(TODAY(),0)+1, L3:L19, "&lt;="&amp;EOMONTH(TODAY(),1), I3:I19, "&lt;&gt;Pending")</f>
        <v>18400</v>
      </c>
    </row>
    <row r="27" spans="1:12" ht="28.8" customHeight="1" x14ac:dyDescent="0.3">
      <c r="A27" s="54" t="s">
        <v>1</v>
      </c>
      <c r="B27" s="54" t="s">
        <v>2</v>
      </c>
      <c r="C27" s="54" t="s">
        <v>3</v>
      </c>
      <c r="D27" s="54" t="s">
        <v>4</v>
      </c>
      <c r="E27" s="54" t="s">
        <v>5</v>
      </c>
      <c r="F27" s="54" t="s">
        <v>6</v>
      </c>
      <c r="G27" s="54" t="s">
        <v>7</v>
      </c>
      <c r="H27" s="54" t="s">
        <v>8</v>
      </c>
      <c r="I27" s="54" t="s">
        <v>9</v>
      </c>
      <c r="J27" s="54" t="s">
        <v>10</v>
      </c>
      <c r="K27" s="54" t="s">
        <v>124</v>
      </c>
    </row>
    <row r="28" spans="1:12" x14ac:dyDescent="0.3">
      <c r="A28" s="70">
        <v>46190</v>
      </c>
      <c r="B28" s="70">
        <v>46206.36472513889</v>
      </c>
      <c r="C28" s="71" t="s">
        <v>157</v>
      </c>
      <c r="D28" s="71" t="s">
        <v>158</v>
      </c>
      <c r="E28" s="71" t="s">
        <v>159</v>
      </c>
      <c r="F28" s="71" t="s">
        <v>160</v>
      </c>
      <c r="G28" s="66">
        <v>22505.72</v>
      </c>
      <c r="H28" s="71" t="s">
        <v>72</v>
      </c>
      <c r="I28" s="71" t="s">
        <v>18</v>
      </c>
      <c r="J28" s="71" t="s">
        <v>45</v>
      </c>
      <c r="K28" s="65"/>
    </row>
    <row r="29" spans="1:12" x14ac:dyDescent="0.3">
      <c r="A29" s="70">
        <v>46197</v>
      </c>
      <c r="B29" s="70">
        <v>46206.36472513889</v>
      </c>
      <c r="C29" s="71" t="s">
        <v>149</v>
      </c>
      <c r="D29" s="71" t="s">
        <v>150</v>
      </c>
      <c r="E29" s="71" t="s">
        <v>149</v>
      </c>
      <c r="F29" s="71" t="s">
        <v>151</v>
      </c>
      <c r="G29" s="66">
        <v>6013.35</v>
      </c>
      <c r="H29" s="71" t="s">
        <v>17</v>
      </c>
      <c r="I29" s="71" t="s">
        <v>18</v>
      </c>
      <c r="J29" s="71" t="s">
        <v>45</v>
      </c>
      <c r="K29" s="65"/>
    </row>
    <row r="30" spans="1:12" x14ac:dyDescent="0.3">
      <c r="A30" s="70">
        <v>46198</v>
      </c>
      <c r="B30" s="70">
        <v>46206.36472513889</v>
      </c>
      <c r="C30" s="71" t="s">
        <v>21</v>
      </c>
      <c r="D30" s="71" t="s">
        <v>22</v>
      </c>
      <c r="E30" s="71" t="s">
        <v>23</v>
      </c>
      <c r="F30" s="71" t="s">
        <v>24</v>
      </c>
      <c r="G30" s="66">
        <v>143822.45000000001</v>
      </c>
      <c r="H30" s="71" t="s">
        <v>25</v>
      </c>
      <c r="I30" s="71" t="s">
        <v>18</v>
      </c>
      <c r="J30" s="71" t="s">
        <v>45</v>
      </c>
      <c r="K30" s="65"/>
    </row>
    <row r="31" spans="1:12" x14ac:dyDescent="0.3">
      <c r="A31" s="70">
        <v>46202</v>
      </c>
      <c r="B31" s="70">
        <v>46206.36472513889</v>
      </c>
      <c r="C31" s="71" t="s">
        <v>203</v>
      </c>
      <c r="D31" s="71" t="s">
        <v>204</v>
      </c>
      <c r="E31" s="71" t="s">
        <v>205</v>
      </c>
      <c r="F31" s="71" t="s">
        <v>206</v>
      </c>
      <c r="G31" s="66">
        <v>18050.400000000001</v>
      </c>
      <c r="H31" s="71" t="s">
        <v>38</v>
      </c>
      <c r="I31" s="71" t="s">
        <v>18</v>
      </c>
      <c r="J31" s="71" t="s">
        <v>45</v>
      </c>
      <c r="K31" s="65"/>
    </row>
    <row r="32" spans="1:12" x14ac:dyDescent="0.3">
      <c r="F32" s="67" t="s">
        <v>129</v>
      </c>
      <c r="G32" s="68">
        <f>SUM(G28:G31)</f>
        <v>190391.92</v>
      </c>
    </row>
    <row r="34" spans="1:7" x14ac:dyDescent="0.3">
      <c r="F34" s="67" t="s">
        <v>130</v>
      </c>
      <c r="G34" s="68">
        <f>SUMIFS(G3:G19, I3:I19, "*Ready*Dispatch*")</f>
        <v>6013.35</v>
      </c>
    </row>
    <row r="37" spans="1:7" x14ac:dyDescent="0.3">
      <c r="A37" s="72" t="s">
        <v>218</v>
      </c>
    </row>
    <row r="38" spans="1:7" x14ac:dyDescent="0.3">
      <c r="A38" s="72" t="s">
        <v>132</v>
      </c>
    </row>
  </sheetData>
  <pageMargins left="0.25" right="0.25" top="0.75" bottom="0.75" header="0.3" footer="0.3"/>
  <pageSetup scale="37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L45"/>
  <sheetViews>
    <sheetView zoomScale="85" zoomScaleNormal="85" workbookViewId="0">
      <pane xSplit="4" ySplit="2" topLeftCell="E3" activePane="bottomRight" state="frozen"/>
      <selection activeCell="A4" sqref="A4:XFD4"/>
      <selection pane="topRight" activeCell="A4" sqref="A4:XFD4"/>
      <selection pane="bottomLeft" activeCell="A4" sqref="A4:XFD4"/>
      <selection pane="bottomRight" activeCell="J5" sqref="J5"/>
    </sheetView>
  </sheetViews>
  <sheetFormatPr defaultRowHeight="14.4" x14ac:dyDescent="0.3"/>
  <cols>
    <col min="1" max="2" width="12" customWidth="1"/>
    <col min="3" max="3" width="15" customWidth="1"/>
    <col min="4" max="4" width="12" customWidth="1"/>
    <col min="5" max="5" width="20" customWidth="1"/>
    <col min="6" max="6" width="30" customWidth="1"/>
    <col min="7" max="7" width="15" customWidth="1"/>
    <col min="8" max="8" width="20" customWidth="1"/>
    <col min="9" max="9" width="15" customWidth="1"/>
    <col min="10" max="10" width="23.33203125" customWidth="1"/>
    <col min="11" max="11" width="50" customWidth="1"/>
    <col min="12" max="12" width="12" customWidth="1"/>
  </cols>
  <sheetData>
    <row r="1" spans="1:12" ht="18" customHeight="1" x14ac:dyDescent="0.35">
      <c r="A1" s="73" t="s">
        <v>0</v>
      </c>
      <c r="K1" s="74">
        <f ca="1">TODAY()</f>
        <v>46233</v>
      </c>
    </row>
    <row r="2" spans="1:12" ht="43.2" customHeight="1" x14ac:dyDescent="0.3">
      <c r="A2" s="75" t="s">
        <v>1</v>
      </c>
      <c r="B2" s="75" t="s">
        <v>2</v>
      </c>
      <c r="C2" s="75" t="s">
        <v>3</v>
      </c>
      <c r="D2" s="75" t="s">
        <v>4</v>
      </c>
      <c r="E2" s="75" t="s">
        <v>5</v>
      </c>
      <c r="F2" s="75" t="s">
        <v>6</v>
      </c>
      <c r="G2" s="75" t="s">
        <v>7</v>
      </c>
      <c r="H2" s="75" t="s">
        <v>8</v>
      </c>
      <c r="I2" s="75" t="s">
        <v>9</v>
      </c>
      <c r="J2" s="75" t="s">
        <v>10</v>
      </c>
      <c r="K2" s="75" t="s">
        <v>11</v>
      </c>
      <c r="L2" s="75" t="s">
        <v>12</v>
      </c>
    </row>
    <row r="3" spans="1:12" x14ac:dyDescent="0.3">
      <c r="A3" s="76">
        <v>46202</v>
      </c>
      <c r="B3" s="76">
        <v>46209.514012951389</v>
      </c>
      <c r="C3" s="77" t="s">
        <v>203</v>
      </c>
      <c r="D3" s="77" t="s">
        <v>204</v>
      </c>
      <c r="E3" s="78" t="s">
        <v>205</v>
      </c>
      <c r="F3" s="78" t="s">
        <v>206</v>
      </c>
      <c r="G3" s="79">
        <v>18050.400000000001</v>
      </c>
      <c r="H3" s="77" t="s">
        <v>38</v>
      </c>
      <c r="I3" s="77" t="s">
        <v>18</v>
      </c>
      <c r="J3" s="77" t="s">
        <v>128</v>
      </c>
      <c r="K3" s="78" t="s">
        <v>207</v>
      </c>
      <c r="L3" s="76">
        <f t="shared" ref="L3:L23" si="0">B3</f>
        <v>46209.514012951389</v>
      </c>
    </row>
    <row r="4" spans="1:12" ht="57.6" customHeight="1" x14ac:dyDescent="0.3">
      <c r="A4" s="84">
        <v>46195</v>
      </c>
      <c r="B4" s="84">
        <v>46210</v>
      </c>
      <c r="C4" s="85" t="s">
        <v>169</v>
      </c>
      <c r="D4" s="85" t="s">
        <v>170</v>
      </c>
      <c r="E4" s="86" t="s">
        <v>169</v>
      </c>
      <c r="F4" s="86" t="s">
        <v>171</v>
      </c>
      <c r="G4" s="87">
        <v>37443.69</v>
      </c>
      <c r="H4" s="85" t="s">
        <v>172</v>
      </c>
      <c r="I4" s="85" t="s">
        <v>18</v>
      </c>
      <c r="J4" s="85" t="s">
        <v>26</v>
      </c>
      <c r="K4" s="86" t="s">
        <v>173</v>
      </c>
      <c r="L4" s="84">
        <f t="shared" si="0"/>
        <v>46210</v>
      </c>
    </row>
    <row r="5" spans="1:12" x14ac:dyDescent="0.3">
      <c r="A5" s="84">
        <v>46209</v>
      </c>
      <c r="B5" s="84">
        <v>46210</v>
      </c>
      <c r="C5" s="85" t="s">
        <v>219</v>
      </c>
      <c r="D5" s="85" t="s">
        <v>220</v>
      </c>
      <c r="E5" s="86" t="s">
        <v>221</v>
      </c>
      <c r="F5" s="86" t="s">
        <v>114</v>
      </c>
      <c r="G5" s="87">
        <v>6782.98</v>
      </c>
      <c r="H5" s="85" t="s">
        <v>32</v>
      </c>
      <c r="I5" s="85" t="s">
        <v>18</v>
      </c>
      <c r="J5" s="85" t="s">
        <v>222</v>
      </c>
      <c r="K5" s="86" t="s">
        <v>223</v>
      </c>
      <c r="L5" s="84">
        <f t="shared" si="0"/>
        <v>46210</v>
      </c>
    </row>
    <row r="6" spans="1:12" ht="115.2" customHeight="1" x14ac:dyDescent="0.3">
      <c r="A6" s="84">
        <v>46205</v>
      </c>
      <c r="B6" s="84">
        <v>46211</v>
      </c>
      <c r="C6" s="85" t="s">
        <v>209</v>
      </c>
      <c r="D6" s="85" t="s">
        <v>210</v>
      </c>
      <c r="E6" s="86" t="s">
        <v>42</v>
      </c>
      <c r="F6" s="86" t="s">
        <v>211</v>
      </c>
      <c r="G6" s="87">
        <v>26773.15</v>
      </c>
      <c r="H6" s="85" t="s">
        <v>201</v>
      </c>
      <c r="I6" s="85" t="s">
        <v>18</v>
      </c>
      <c r="J6" s="85" t="s">
        <v>45</v>
      </c>
      <c r="K6" s="86" t="s">
        <v>212</v>
      </c>
      <c r="L6" s="84">
        <f t="shared" si="0"/>
        <v>46211</v>
      </c>
    </row>
    <row r="7" spans="1:12" ht="57.6" customHeight="1" x14ac:dyDescent="0.3">
      <c r="A7" s="84">
        <v>46206</v>
      </c>
      <c r="B7" s="84">
        <v>46211</v>
      </c>
      <c r="C7" s="85" t="s">
        <v>224</v>
      </c>
      <c r="D7" s="85" t="s">
        <v>225</v>
      </c>
      <c r="E7" s="86" t="s">
        <v>42</v>
      </c>
      <c r="F7" s="86" t="s">
        <v>226</v>
      </c>
      <c r="G7" s="87">
        <v>17983.95</v>
      </c>
      <c r="H7" s="85" t="s">
        <v>86</v>
      </c>
      <c r="I7" s="85" t="s">
        <v>18</v>
      </c>
      <c r="J7" s="85" t="s">
        <v>45</v>
      </c>
      <c r="K7" s="86" t="s">
        <v>227</v>
      </c>
      <c r="L7" s="84">
        <f t="shared" si="0"/>
        <v>46211</v>
      </c>
    </row>
    <row r="8" spans="1:12" ht="72" customHeight="1" x14ac:dyDescent="0.3">
      <c r="A8" s="84">
        <v>46205</v>
      </c>
      <c r="B8" s="84">
        <v>46211</v>
      </c>
      <c r="C8" s="85" t="s">
        <v>213</v>
      </c>
      <c r="D8" s="85" t="s">
        <v>214</v>
      </c>
      <c r="E8" s="86" t="s">
        <v>42</v>
      </c>
      <c r="F8" s="86" t="s">
        <v>215</v>
      </c>
      <c r="G8" s="87">
        <v>28094.5</v>
      </c>
      <c r="H8" s="85" t="s">
        <v>216</v>
      </c>
      <c r="I8" s="85" t="s">
        <v>100</v>
      </c>
      <c r="J8" s="85" t="s">
        <v>228</v>
      </c>
      <c r="K8" s="86" t="s">
        <v>217</v>
      </c>
      <c r="L8" s="84">
        <f t="shared" si="0"/>
        <v>46211</v>
      </c>
    </row>
    <row r="9" spans="1:12" ht="409.6" customHeight="1" x14ac:dyDescent="0.3">
      <c r="A9" s="84">
        <v>46142</v>
      </c>
      <c r="B9" s="84">
        <v>46213</v>
      </c>
      <c r="C9" s="85" t="s">
        <v>34</v>
      </c>
      <c r="D9" s="85" t="s">
        <v>35</v>
      </c>
      <c r="E9" s="86" t="s">
        <v>36</v>
      </c>
      <c r="F9" s="86" t="s">
        <v>37</v>
      </c>
      <c r="G9" s="87">
        <v>251433.71</v>
      </c>
      <c r="H9" s="85" t="s">
        <v>38</v>
      </c>
      <c r="I9" s="85" t="s">
        <v>18</v>
      </c>
      <c r="J9" s="85" t="s">
        <v>128</v>
      </c>
      <c r="K9" s="86" t="s">
        <v>143</v>
      </c>
      <c r="L9" s="84">
        <f t="shared" si="0"/>
        <v>46213</v>
      </c>
    </row>
    <row r="10" spans="1:12" ht="28.8" customHeight="1" x14ac:dyDescent="0.3">
      <c r="A10" s="84">
        <v>46167</v>
      </c>
      <c r="B10" s="84">
        <v>46213</v>
      </c>
      <c r="C10" s="85" t="s">
        <v>163</v>
      </c>
      <c r="D10" s="85" t="s">
        <v>164</v>
      </c>
      <c r="E10" s="86" t="s">
        <v>165</v>
      </c>
      <c r="F10" s="86" t="s">
        <v>166</v>
      </c>
      <c r="G10" s="87">
        <v>220505.60000000001</v>
      </c>
      <c r="H10" s="85" t="s">
        <v>86</v>
      </c>
      <c r="I10" s="85" t="s">
        <v>18</v>
      </c>
      <c r="J10" s="85" t="s">
        <v>19</v>
      </c>
      <c r="K10" s="86" t="s">
        <v>167</v>
      </c>
      <c r="L10" s="84">
        <f t="shared" si="0"/>
        <v>46213</v>
      </c>
    </row>
    <row r="11" spans="1:12" x14ac:dyDescent="0.3">
      <c r="A11" s="84">
        <v>46190</v>
      </c>
      <c r="B11" s="84">
        <v>46213</v>
      </c>
      <c r="C11" s="85" t="s">
        <v>157</v>
      </c>
      <c r="D11" s="85" t="s">
        <v>158</v>
      </c>
      <c r="E11" s="86" t="s">
        <v>159</v>
      </c>
      <c r="F11" s="86" t="s">
        <v>160</v>
      </c>
      <c r="G11" s="87">
        <v>22505.72</v>
      </c>
      <c r="H11" s="85" t="s">
        <v>72</v>
      </c>
      <c r="I11" s="85" t="s">
        <v>18</v>
      </c>
      <c r="J11" s="85" t="s">
        <v>45</v>
      </c>
      <c r="K11" s="86" t="s">
        <v>161</v>
      </c>
      <c r="L11" s="84">
        <f t="shared" si="0"/>
        <v>46213</v>
      </c>
    </row>
    <row r="12" spans="1:12" ht="172.8" customHeight="1" x14ac:dyDescent="0.3">
      <c r="A12" s="84">
        <v>46198</v>
      </c>
      <c r="B12" s="84">
        <v>46213</v>
      </c>
      <c r="C12" s="85" t="s">
        <v>21</v>
      </c>
      <c r="D12" s="85" t="s">
        <v>22</v>
      </c>
      <c r="E12" s="86" t="s">
        <v>23</v>
      </c>
      <c r="F12" s="86" t="s">
        <v>24</v>
      </c>
      <c r="G12" s="87">
        <v>143822.45000000001</v>
      </c>
      <c r="H12" s="85" t="s">
        <v>25</v>
      </c>
      <c r="I12" s="85" t="s">
        <v>18</v>
      </c>
      <c r="J12" s="85" t="s">
        <v>45</v>
      </c>
      <c r="K12" s="86" t="s">
        <v>162</v>
      </c>
      <c r="L12" s="84">
        <f t="shared" si="0"/>
        <v>46213</v>
      </c>
    </row>
    <row r="13" spans="1:12" ht="28.8" customHeight="1" x14ac:dyDescent="0.3">
      <c r="A13" s="84">
        <v>46198</v>
      </c>
      <c r="B13" s="84">
        <v>46213</v>
      </c>
      <c r="C13" s="85" t="s">
        <v>180</v>
      </c>
      <c r="D13" s="85" t="s">
        <v>181</v>
      </c>
      <c r="E13" s="86" t="s">
        <v>42</v>
      </c>
      <c r="F13" s="86" t="s">
        <v>182</v>
      </c>
      <c r="G13" s="87">
        <v>12896.1</v>
      </c>
      <c r="H13" s="85" t="s">
        <v>183</v>
      </c>
      <c r="I13" s="85" t="s">
        <v>18</v>
      </c>
      <c r="J13" s="85" t="s">
        <v>45</v>
      </c>
      <c r="K13" s="86" t="s">
        <v>184</v>
      </c>
      <c r="L13" s="84">
        <f t="shared" si="0"/>
        <v>46213</v>
      </c>
    </row>
    <row r="14" spans="1:12" ht="43.2" customHeight="1" x14ac:dyDescent="0.3">
      <c r="A14" s="84">
        <v>46206</v>
      </c>
      <c r="B14" s="84">
        <v>46213</v>
      </c>
      <c r="C14" s="85" t="s">
        <v>229</v>
      </c>
      <c r="D14" s="85" t="s">
        <v>230</v>
      </c>
      <c r="E14" s="86" t="s">
        <v>231</v>
      </c>
      <c r="F14" s="86" t="s">
        <v>232</v>
      </c>
      <c r="G14" s="87">
        <v>15055.97</v>
      </c>
      <c r="H14" s="85" t="s">
        <v>201</v>
      </c>
      <c r="I14" s="85" t="s">
        <v>18</v>
      </c>
      <c r="J14" s="85" t="s">
        <v>45</v>
      </c>
      <c r="K14" s="86" t="s">
        <v>233</v>
      </c>
      <c r="L14" s="84">
        <f t="shared" si="0"/>
        <v>46213</v>
      </c>
    </row>
    <row r="15" spans="1:12" ht="187.2" customHeight="1" x14ac:dyDescent="0.3">
      <c r="A15" s="84">
        <v>46198</v>
      </c>
      <c r="B15" s="84">
        <v>46227</v>
      </c>
      <c r="C15" s="85" t="s">
        <v>174</v>
      </c>
      <c r="D15" s="85" t="s">
        <v>175</v>
      </c>
      <c r="E15" s="86" t="s">
        <v>42</v>
      </c>
      <c r="F15" s="86" t="s">
        <v>176</v>
      </c>
      <c r="G15" s="87">
        <v>241125</v>
      </c>
      <c r="H15" s="85" t="s">
        <v>177</v>
      </c>
      <c r="I15" s="85" t="s">
        <v>18</v>
      </c>
      <c r="J15" s="85" t="s">
        <v>19</v>
      </c>
      <c r="K15" s="86" t="s">
        <v>178</v>
      </c>
      <c r="L15" s="84">
        <f t="shared" si="0"/>
        <v>46227</v>
      </c>
    </row>
    <row r="16" spans="1:12" x14ac:dyDescent="0.3">
      <c r="A16" s="84">
        <v>46205</v>
      </c>
      <c r="B16" s="84">
        <v>46233</v>
      </c>
      <c r="C16" s="85" t="s">
        <v>13</v>
      </c>
      <c r="D16" s="85" t="s">
        <v>14</v>
      </c>
      <c r="E16" s="86" t="s">
        <v>15</v>
      </c>
      <c r="F16" s="86" t="s">
        <v>16</v>
      </c>
      <c r="G16" s="87">
        <v>70994.559999999998</v>
      </c>
      <c r="H16" s="85" t="s">
        <v>17</v>
      </c>
      <c r="I16" s="85" t="s">
        <v>18</v>
      </c>
      <c r="J16" s="85" t="s">
        <v>19</v>
      </c>
      <c r="K16" s="86" t="s">
        <v>234</v>
      </c>
      <c r="L16" s="84">
        <f t="shared" si="0"/>
        <v>46233</v>
      </c>
    </row>
    <row r="17" spans="1:12" x14ac:dyDescent="0.3">
      <c r="A17" s="80">
        <v>46111</v>
      </c>
      <c r="B17" s="80">
        <v>46234</v>
      </c>
      <c r="C17" s="81" t="s">
        <v>96</v>
      </c>
      <c r="D17" s="81" t="s">
        <v>97</v>
      </c>
      <c r="E17" s="82" t="s">
        <v>98</v>
      </c>
      <c r="F17" s="82" t="s">
        <v>99</v>
      </c>
      <c r="G17" s="83">
        <v>169353.60000000001</v>
      </c>
      <c r="H17" s="81" t="s">
        <v>72</v>
      </c>
      <c r="I17" s="81" t="s">
        <v>100</v>
      </c>
      <c r="J17" s="81"/>
      <c r="K17" s="82" t="s">
        <v>208</v>
      </c>
      <c r="L17" s="80">
        <f t="shared" si="0"/>
        <v>46234</v>
      </c>
    </row>
    <row r="18" spans="1:12" ht="158.4" customHeight="1" x14ac:dyDescent="0.3">
      <c r="A18" s="80">
        <v>46128</v>
      </c>
      <c r="B18" s="80">
        <v>46234</v>
      </c>
      <c r="C18" s="81" t="s">
        <v>100</v>
      </c>
      <c r="D18" s="81" t="s">
        <v>101</v>
      </c>
      <c r="E18" s="82" t="s">
        <v>102</v>
      </c>
      <c r="F18" s="82" t="s">
        <v>103</v>
      </c>
      <c r="G18" s="83">
        <v>82900.05</v>
      </c>
      <c r="H18" s="81" t="s">
        <v>72</v>
      </c>
      <c r="I18" s="81" t="s">
        <v>100</v>
      </c>
      <c r="J18" s="81"/>
      <c r="K18" s="82" t="s">
        <v>186</v>
      </c>
      <c r="L18" s="80">
        <f t="shared" si="0"/>
        <v>46234</v>
      </c>
    </row>
    <row r="19" spans="1:12" ht="86.4" customHeight="1" x14ac:dyDescent="0.3">
      <c r="A19" s="80">
        <v>46142</v>
      </c>
      <c r="B19" s="80">
        <v>46234</v>
      </c>
      <c r="C19" s="81" t="s">
        <v>104</v>
      </c>
      <c r="D19" s="81" t="s">
        <v>105</v>
      </c>
      <c r="E19" s="82" t="s">
        <v>106</v>
      </c>
      <c r="F19" s="82" t="s">
        <v>107</v>
      </c>
      <c r="G19" s="83">
        <v>310411</v>
      </c>
      <c r="H19" s="81" t="s">
        <v>108</v>
      </c>
      <c r="I19" s="81" t="s">
        <v>100</v>
      </c>
      <c r="J19" s="81"/>
      <c r="K19" s="82" t="s">
        <v>187</v>
      </c>
      <c r="L19" s="80">
        <f t="shared" si="0"/>
        <v>46234</v>
      </c>
    </row>
    <row r="20" spans="1:12" ht="28.8" customHeight="1" x14ac:dyDescent="0.3">
      <c r="A20" s="80">
        <v>46142</v>
      </c>
      <c r="B20" s="80">
        <v>46234</v>
      </c>
      <c r="C20" s="81" t="s">
        <v>100</v>
      </c>
      <c r="D20" s="81" t="s">
        <v>109</v>
      </c>
      <c r="E20" s="82" t="s">
        <v>110</v>
      </c>
      <c r="F20" s="82" t="s">
        <v>111</v>
      </c>
      <c r="G20" s="83">
        <v>204447</v>
      </c>
      <c r="H20" s="81" t="s">
        <v>38</v>
      </c>
      <c r="I20" s="81" t="s">
        <v>100</v>
      </c>
      <c r="J20" s="81"/>
      <c r="K20" s="82" t="s">
        <v>188</v>
      </c>
      <c r="L20" s="80">
        <f t="shared" si="0"/>
        <v>46234</v>
      </c>
    </row>
    <row r="21" spans="1:12" x14ac:dyDescent="0.3">
      <c r="A21" s="80">
        <v>46170</v>
      </c>
      <c r="B21" s="80">
        <v>46234</v>
      </c>
      <c r="C21" s="81" t="s">
        <v>100</v>
      </c>
      <c r="D21" s="81" t="s">
        <v>112</v>
      </c>
      <c r="E21" s="82" t="s">
        <v>113</v>
      </c>
      <c r="F21" s="82" t="s">
        <v>114</v>
      </c>
      <c r="G21" s="83">
        <v>1860403.01</v>
      </c>
      <c r="H21" s="81" t="s">
        <v>72</v>
      </c>
      <c r="I21" s="81" t="s">
        <v>100</v>
      </c>
      <c r="J21" s="81"/>
      <c r="K21" s="82" t="s">
        <v>189</v>
      </c>
      <c r="L21" s="80">
        <f t="shared" si="0"/>
        <v>46234</v>
      </c>
    </row>
    <row r="22" spans="1:12" ht="28.8" customHeight="1" x14ac:dyDescent="0.3">
      <c r="A22" s="84">
        <v>46185</v>
      </c>
      <c r="B22" s="84">
        <v>46239</v>
      </c>
      <c r="C22" s="85" t="s">
        <v>82</v>
      </c>
      <c r="D22" s="85" t="s">
        <v>83</v>
      </c>
      <c r="E22" s="86" t="s">
        <v>84</v>
      </c>
      <c r="F22" s="86" t="s">
        <v>85</v>
      </c>
      <c r="G22" s="87">
        <v>109947.56</v>
      </c>
      <c r="H22" s="85" t="s">
        <v>86</v>
      </c>
      <c r="I22" s="85" t="s">
        <v>18</v>
      </c>
      <c r="J22" s="85" t="s">
        <v>45</v>
      </c>
      <c r="K22" s="86" t="s">
        <v>168</v>
      </c>
      <c r="L22" s="84">
        <f t="shared" si="0"/>
        <v>46239</v>
      </c>
    </row>
    <row r="23" spans="1:12" x14ac:dyDescent="0.3">
      <c r="A23" s="84">
        <v>46171</v>
      </c>
      <c r="B23" s="84">
        <v>46253</v>
      </c>
      <c r="C23" s="85" t="s">
        <v>68</v>
      </c>
      <c r="D23" s="85" t="s">
        <v>69</v>
      </c>
      <c r="E23" s="86" t="s">
        <v>70</v>
      </c>
      <c r="F23" s="86" t="s">
        <v>71</v>
      </c>
      <c r="G23" s="87">
        <v>18400</v>
      </c>
      <c r="H23" s="85" t="s">
        <v>72</v>
      </c>
      <c r="I23" s="85" t="s">
        <v>18</v>
      </c>
      <c r="J23" s="85" t="s">
        <v>19</v>
      </c>
      <c r="K23" s="86" t="s">
        <v>185</v>
      </c>
      <c r="L23" s="84">
        <f t="shared" si="0"/>
        <v>46253</v>
      </c>
    </row>
    <row r="24" spans="1:12" x14ac:dyDescent="0.3">
      <c r="F24" s="88" t="s">
        <v>118</v>
      </c>
      <c r="G24" s="89">
        <f>SUMIF(I3:I23,"&lt;&gt;Pending",G3:G23)</f>
        <v>1213720.8399999999</v>
      </c>
    </row>
    <row r="26" spans="1:12" x14ac:dyDescent="0.3">
      <c r="F26" s="90" t="s">
        <v>119</v>
      </c>
    </row>
    <row r="27" spans="1:12" x14ac:dyDescent="0.3">
      <c r="F27" t="s">
        <v>120</v>
      </c>
      <c r="G27" s="19">
        <f ca="1">SUMIFS(G3:G23, J3:J23, "*CASH SALE*", L3:L23, "&gt;="&amp;EOMONTH(TODAY(),-1)+1, L3:L23, "&lt;="&amp;EOMONTH(TODAY(),0), I3:I23, "&lt;&gt;Pending")</f>
        <v>552748.12</v>
      </c>
      <c r="I27" t="s">
        <v>121</v>
      </c>
      <c r="J27" s="19">
        <f ca="1">SUMIFS(G3:G23, J3:J23, "*CASH SALE*", L3:L23, "&gt;="&amp;EOMONTH(TODAY(),0)+1, L3:L23, "&lt;="&amp;EOMONTH(TODAY(),1), I3:I23, "&lt;&gt;Pending")</f>
        <v>109947.56</v>
      </c>
    </row>
    <row r="28" spans="1:12" x14ac:dyDescent="0.3">
      <c r="F28" t="s">
        <v>122</v>
      </c>
      <c r="G28" s="19">
        <f ca="1">SUMIFS(G3:G23, J3:J23, "*ACCOUNT*", L3:L23, "&gt;="&amp;EOMONTH(TODAY(),-1)+1, L3:L23, "&lt;="&amp;EOMONTH(TODAY(),0), I3:I23, "&lt;&gt;Pending")</f>
        <v>532625.15999999992</v>
      </c>
      <c r="I28" t="s">
        <v>123</v>
      </c>
      <c r="J28" s="19">
        <f ca="1">SUMIFS(G3:G23, J3:J23, "*ACCOUNT*", L3:L23, "&gt;="&amp;EOMONTH(TODAY(),0)+1, L3:L23, "&lt;="&amp;EOMONTH(TODAY(),1), I3:I23, "&lt;&gt;Pending")</f>
        <v>18400</v>
      </c>
    </row>
    <row r="31" spans="1:12" ht="28.8" customHeight="1" x14ac:dyDescent="0.3">
      <c r="A31" s="75" t="s">
        <v>1</v>
      </c>
      <c r="B31" s="75" t="s">
        <v>2</v>
      </c>
      <c r="C31" s="75" t="s">
        <v>3</v>
      </c>
      <c r="D31" s="75" t="s">
        <v>4</v>
      </c>
      <c r="E31" s="75" t="s">
        <v>5</v>
      </c>
      <c r="F31" s="75" t="s">
        <v>6</v>
      </c>
      <c r="G31" s="75" t="s">
        <v>7</v>
      </c>
      <c r="H31" s="75" t="s">
        <v>8</v>
      </c>
      <c r="I31" s="75" t="s">
        <v>9</v>
      </c>
      <c r="J31" s="75" t="s">
        <v>10</v>
      </c>
      <c r="K31" s="75" t="s">
        <v>124</v>
      </c>
    </row>
    <row r="32" spans="1:12" x14ac:dyDescent="0.3">
      <c r="A32" s="91">
        <v>46142</v>
      </c>
      <c r="B32" s="91">
        <v>46209.514012951389</v>
      </c>
      <c r="C32" s="92" t="s">
        <v>34</v>
      </c>
      <c r="D32" s="92" t="s">
        <v>35</v>
      </c>
      <c r="E32" s="92" t="s">
        <v>36</v>
      </c>
      <c r="F32" s="92" t="s">
        <v>37</v>
      </c>
      <c r="G32" s="87">
        <v>251433.71</v>
      </c>
      <c r="H32" s="92" t="s">
        <v>38</v>
      </c>
      <c r="I32" s="92" t="s">
        <v>18</v>
      </c>
      <c r="J32" s="92" t="s">
        <v>128</v>
      </c>
      <c r="K32" s="86"/>
    </row>
    <row r="33" spans="1:12" x14ac:dyDescent="0.3">
      <c r="A33" s="91">
        <v>46190</v>
      </c>
      <c r="B33" s="91">
        <v>46209.514012951389</v>
      </c>
      <c r="C33" s="92" t="s">
        <v>157</v>
      </c>
      <c r="D33" s="92" t="s">
        <v>158</v>
      </c>
      <c r="E33" s="92" t="s">
        <v>159</v>
      </c>
      <c r="F33" s="92" t="s">
        <v>160</v>
      </c>
      <c r="G33" s="87">
        <v>22505.72</v>
      </c>
      <c r="H33" s="92" t="s">
        <v>72</v>
      </c>
      <c r="I33" s="92" t="s">
        <v>18</v>
      </c>
      <c r="J33" s="92" t="s">
        <v>45</v>
      </c>
      <c r="K33" s="86"/>
    </row>
    <row r="34" spans="1:12" x14ac:dyDescent="0.3">
      <c r="A34" s="91">
        <v>46195</v>
      </c>
      <c r="B34" s="91">
        <v>46209.514012951389</v>
      </c>
      <c r="C34" s="92" t="s">
        <v>169</v>
      </c>
      <c r="D34" s="92" t="s">
        <v>170</v>
      </c>
      <c r="E34" s="92" t="s">
        <v>169</v>
      </c>
      <c r="F34" s="92" t="s">
        <v>171</v>
      </c>
      <c r="G34" s="87">
        <v>37443.69</v>
      </c>
      <c r="H34" s="92" t="s">
        <v>172</v>
      </c>
      <c r="I34" s="92" t="s">
        <v>18</v>
      </c>
      <c r="J34" s="92" t="s">
        <v>26</v>
      </c>
      <c r="K34" s="86"/>
    </row>
    <row r="35" spans="1:12" x14ac:dyDescent="0.3">
      <c r="A35" s="91">
        <v>46198</v>
      </c>
      <c r="B35" s="91">
        <v>46209.514012951389</v>
      </c>
      <c r="C35" s="92" t="s">
        <v>21</v>
      </c>
      <c r="D35" s="92" t="s">
        <v>22</v>
      </c>
      <c r="E35" s="92" t="s">
        <v>23</v>
      </c>
      <c r="F35" s="92" t="s">
        <v>24</v>
      </c>
      <c r="G35" s="87">
        <v>143822.45000000001</v>
      </c>
      <c r="H35" s="92" t="s">
        <v>25</v>
      </c>
      <c r="I35" s="92" t="s">
        <v>18</v>
      </c>
      <c r="J35" s="92" t="s">
        <v>45</v>
      </c>
      <c r="K35" s="86"/>
    </row>
    <row r="36" spans="1:12" x14ac:dyDescent="0.3">
      <c r="A36" s="91">
        <v>46202</v>
      </c>
      <c r="B36" s="91">
        <v>46209.514012951389</v>
      </c>
      <c r="C36" s="92" t="s">
        <v>203</v>
      </c>
      <c r="D36" s="92" t="s">
        <v>204</v>
      </c>
      <c r="E36" s="92" t="s">
        <v>205</v>
      </c>
      <c r="F36" s="92" t="s">
        <v>206</v>
      </c>
      <c r="G36" s="87">
        <v>18050.400000000001</v>
      </c>
      <c r="H36" s="92" t="s">
        <v>38</v>
      </c>
      <c r="I36" s="92" t="s">
        <v>18</v>
      </c>
      <c r="J36" s="92" t="s">
        <v>45</v>
      </c>
      <c r="K36" s="86"/>
    </row>
    <row r="37" spans="1:12" x14ac:dyDescent="0.3">
      <c r="A37" s="91">
        <v>46205</v>
      </c>
      <c r="B37" s="91">
        <v>46209.514012951389</v>
      </c>
      <c r="C37" s="92" t="s">
        <v>209</v>
      </c>
      <c r="D37" s="92" t="s">
        <v>210</v>
      </c>
      <c r="E37" s="92" t="s">
        <v>42</v>
      </c>
      <c r="F37" s="92" t="s">
        <v>211</v>
      </c>
      <c r="G37" s="87">
        <v>26773.15</v>
      </c>
      <c r="H37" s="92" t="s">
        <v>201</v>
      </c>
      <c r="I37" s="92" t="s">
        <v>18</v>
      </c>
      <c r="J37" s="92" t="s">
        <v>45</v>
      </c>
      <c r="K37" s="86"/>
    </row>
    <row r="38" spans="1:12" ht="28.8" customHeight="1" x14ac:dyDescent="0.3">
      <c r="A38" s="93">
        <v>46142</v>
      </c>
      <c r="B38" s="93">
        <v>46209.514012951389</v>
      </c>
      <c r="C38" s="94" t="s">
        <v>100</v>
      </c>
      <c r="D38" s="94" t="s">
        <v>125</v>
      </c>
      <c r="E38" s="94" t="s">
        <v>126</v>
      </c>
      <c r="F38" s="94" t="s">
        <v>127</v>
      </c>
      <c r="G38" s="83">
        <v>426010.6</v>
      </c>
      <c r="H38" s="94" t="s">
        <v>38</v>
      </c>
      <c r="I38" s="94" t="s">
        <v>100</v>
      </c>
      <c r="J38" s="94"/>
      <c r="K38" s="82"/>
      <c r="L38" s="95"/>
    </row>
    <row r="39" spans="1:12" x14ac:dyDescent="0.3">
      <c r="F39" s="88" t="s">
        <v>129</v>
      </c>
      <c r="G39" s="89">
        <f>SUM(G32:G38)</f>
        <v>926039.72</v>
      </c>
    </row>
    <row r="41" spans="1:12" x14ac:dyDescent="0.3">
      <c r="F41" s="88" t="s">
        <v>130</v>
      </c>
      <c r="G41" s="89">
        <f>SUMIFS(G3:G23, I3:I23, "*Ready*Dispatch*")</f>
        <v>0</v>
      </c>
    </row>
    <row r="44" spans="1:12" x14ac:dyDescent="0.3">
      <c r="A44" s="96" t="s">
        <v>131</v>
      </c>
    </row>
    <row r="45" spans="1:12" x14ac:dyDescent="0.3">
      <c r="A45" s="96" t="s">
        <v>132</v>
      </c>
    </row>
  </sheetData>
  <pageMargins left="0.25" right="0.25" top="0.75" bottom="0.75" header="0.3" footer="0.3"/>
  <pageSetup fitToHeight="0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L41"/>
  <sheetViews>
    <sheetView zoomScale="80" zoomScaleNormal="80" workbookViewId="0">
      <pane xSplit="4" ySplit="2" topLeftCell="E3" activePane="bottomRight" state="frozen"/>
      <selection activeCell="K11" sqref="K11"/>
      <selection pane="topRight" activeCell="K11" sqref="K11"/>
      <selection pane="bottomLeft" activeCell="K11" sqref="K11"/>
      <selection pane="bottomRight" activeCell="K11" sqref="K11"/>
    </sheetView>
  </sheetViews>
  <sheetFormatPr defaultRowHeight="14.4" x14ac:dyDescent="0.3"/>
  <cols>
    <col min="1" max="2" width="10.5546875" bestFit="1" customWidth="1"/>
    <col min="3" max="3" width="11.33203125" style="23" bestFit="1" customWidth="1"/>
    <col min="4" max="4" width="10.77734375" style="23" bestFit="1" customWidth="1"/>
    <col min="5" max="5" width="14.88671875" bestFit="1" customWidth="1"/>
    <col min="6" max="6" width="29.33203125" bestFit="1" customWidth="1"/>
    <col min="7" max="7" width="14" style="24" bestFit="1" customWidth="1"/>
    <col min="8" max="8" width="9.109375" style="23" bestFit="1" customWidth="1"/>
    <col min="9" max="9" width="17.6640625" style="23" bestFit="1" customWidth="1"/>
    <col min="10" max="10" width="21.33203125" bestFit="1" customWidth="1"/>
    <col min="11" max="11" width="53.21875" bestFit="1" customWidth="1"/>
    <col min="12" max="12" width="10.5546875" bestFit="1" customWidth="1"/>
  </cols>
  <sheetData>
    <row r="1" spans="1:12" ht="18" customHeight="1" x14ac:dyDescent="0.35">
      <c r="A1" s="459" t="s">
        <v>0</v>
      </c>
      <c r="B1" s="452"/>
      <c r="C1" s="452"/>
      <c r="D1" s="452"/>
      <c r="K1" s="97">
        <f ca="1">TODAY()</f>
        <v>46233</v>
      </c>
    </row>
    <row r="2" spans="1:12" ht="43.2" customHeight="1" x14ac:dyDescent="0.3">
      <c r="A2" s="98" t="s">
        <v>1</v>
      </c>
      <c r="B2" s="98" t="s">
        <v>2</v>
      </c>
      <c r="C2" s="98" t="s">
        <v>3</v>
      </c>
      <c r="D2" s="98" t="s">
        <v>4</v>
      </c>
      <c r="E2" s="98" t="s">
        <v>5</v>
      </c>
      <c r="F2" s="98" t="s">
        <v>6</v>
      </c>
      <c r="G2" s="112" t="s">
        <v>7</v>
      </c>
      <c r="H2" s="98" t="s">
        <v>8</v>
      </c>
      <c r="I2" s="98" t="s">
        <v>9</v>
      </c>
      <c r="J2" s="98" t="s">
        <v>10</v>
      </c>
      <c r="K2" s="98" t="s">
        <v>11</v>
      </c>
      <c r="L2" s="98" t="s">
        <v>12</v>
      </c>
    </row>
    <row r="3" spans="1:12" ht="57.6" customHeight="1" x14ac:dyDescent="0.3">
      <c r="A3" s="99">
        <v>46195</v>
      </c>
      <c r="B3" s="99">
        <v>46210.317566631937</v>
      </c>
      <c r="C3" s="100" t="s">
        <v>169</v>
      </c>
      <c r="D3" s="100" t="s">
        <v>170</v>
      </c>
      <c r="E3" s="101" t="s">
        <v>169</v>
      </c>
      <c r="F3" s="101" t="s">
        <v>171</v>
      </c>
      <c r="G3" s="113">
        <v>37443.69</v>
      </c>
      <c r="H3" s="100" t="s">
        <v>172</v>
      </c>
      <c r="I3" s="100" t="s">
        <v>39</v>
      </c>
      <c r="J3" s="100" t="s">
        <v>26</v>
      </c>
      <c r="K3" s="101" t="s">
        <v>173</v>
      </c>
      <c r="L3" s="99">
        <f t="shared" ref="L3:L24" si="0">B3</f>
        <v>46210.317566631937</v>
      </c>
    </row>
    <row r="4" spans="1:12" x14ac:dyDescent="0.3">
      <c r="A4" s="99">
        <v>46202</v>
      </c>
      <c r="B4" s="99">
        <v>46210.317566631937</v>
      </c>
      <c r="C4" s="100" t="s">
        <v>203</v>
      </c>
      <c r="D4" s="100" t="s">
        <v>204</v>
      </c>
      <c r="E4" s="101" t="s">
        <v>205</v>
      </c>
      <c r="F4" s="101" t="s">
        <v>206</v>
      </c>
      <c r="G4" s="113">
        <v>18050.400000000001</v>
      </c>
      <c r="H4" s="100" t="s">
        <v>38</v>
      </c>
      <c r="I4" s="100" t="s">
        <v>39</v>
      </c>
      <c r="J4" s="100" t="s">
        <v>128</v>
      </c>
      <c r="K4" s="101" t="s">
        <v>207</v>
      </c>
      <c r="L4" s="99">
        <f t="shared" si="0"/>
        <v>46210.317566631937</v>
      </c>
    </row>
    <row r="5" spans="1:12" x14ac:dyDescent="0.3">
      <c r="A5" s="99">
        <v>46209</v>
      </c>
      <c r="B5" s="99">
        <v>46210.317566631937</v>
      </c>
      <c r="C5" s="100" t="s">
        <v>219</v>
      </c>
      <c r="D5" s="100" t="s">
        <v>220</v>
      </c>
      <c r="E5" s="101" t="s">
        <v>221</v>
      </c>
      <c r="F5" s="101" t="s">
        <v>114</v>
      </c>
      <c r="G5" s="113">
        <v>6782.98</v>
      </c>
      <c r="H5" s="100" t="s">
        <v>32</v>
      </c>
      <c r="I5" s="100" t="s">
        <v>39</v>
      </c>
      <c r="J5" s="100" t="s">
        <v>128</v>
      </c>
      <c r="K5" s="101" t="s">
        <v>223</v>
      </c>
      <c r="L5" s="99">
        <f t="shared" si="0"/>
        <v>46210.317566631937</v>
      </c>
    </row>
    <row r="6" spans="1:12" ht="28.8" customHeight="1" x14ac:dyDescent="0.3">
      <c r="A6" s="99">
        <v>46209</v>
      </c>
      <c r="B6" s="99">
        <v>46210.317566631937</v>
      </c>
      <c r="C6" s="100" t="s">
        <v>235</v>
      </c>
      <c r="D6" s="100" t="s">
        <v>236</v>
      </c>
      <c r="E6" s="101" t="s">
        <v>237</v>
      </c>
      <c r="F6" s="101" t="s">
        <v>238</v>
      </c>
      <c r="G6" s="113">
        <v>10100.450000000001</v>
      </c>
      <c r="H6" s="100" t="s">
        <v>183</v>
      </c>
      <c r="I6" s="100" t="s">
        <v>39</v>
      </c>
      <c r="J6" s="100" t="s">
        <v>45</v>
      </c>
      <c r="K6" s="101" t="s">
        <v>239</v>
      </c>
      <c r="L6" s="99">
        <f t="shared" si="0"/>
        <v>46210.317566631937</v>
      </c>
    </row>
    <row r="7" spans="1:12" x14ac:dyDescent="0.3">
      <c r="A7" s="105">
        <v>46190</v>
      </c>
      <c r="B7" s="105">
        <v>46211</v>
      </c>
      <c r="C7" s="106" t="s">
        <v>157</v>
      </c>
      <c r="D7" s="106" t="s">
        <v>158</v>
      </c>
      <c r="E7" s="107" t="s">
        <v>159</v>
      </c>
      <c r="F7" s="107" t="s">
        <v>160</v>
      </c>
      <c r="G7" s="114">
        <v>22505.72</v>
      </c>
      <c r="H7" s="106" t="s">
        <v>72</v>
      </c>
      <c r="I7" s="106" t="s">
        <v>18</v>
      </c>
      <c r="J7" s="106" t="s">
        <v>45</v>
      </c>
      <c r="K7" s="107" t="s">
        <v>161</v>
      </c>
      <c r="L7" s="105">
        <f t="shared" si="0"/>
        <v>46211</v>
      </c>
    </row>
    <row r="8" spans="1:12" ht="115.2" customHeight="1" x14ac:dyDescent="0.3">
      <c r="A8" s="105">
        <v>46205</v>
      </c>
      <c r="B8" s="105">
        <v>46211</v>
      </c>
      <c r="C8" s="106" t="s">
        <v>209</v>
      </c>
      <c r="D8" s="106" t="s">
        <v>210</v>
      </c>
      <c r="E8" s="107" t="s">
        <v>42</v>
      </c>
      <c r="F8" s="107" t="s">
        <v>211</v>
      </c>
      <c r="G8" s="114">
        <v>26773.15</v>
      </c>
      <c r="H8" s="106" t="s">
        <v>201</v>
      </c>
      <c r="I8" s="106" t="s">
        <v>18</v>
      </c>
      <c r="J8" s="106" t="s">
        <v>45</v>
      </c>
      <c r="K8" s="107" t="s">
        <v>212</v>
      </c>
      <c r="L8" s="105">
        <f t="shared" si="0"/>
        <v>46211</v>
      </c>
    </row>
    <row r="9" spans="1:12" ht="57.6" customHeight="1" x14ac:dyDescent="0.3">
      <c r="A9" s="105">
        <v>46206</v>
      </c>
      <c r="B9" s="105">
        <v>46211</v>
      </c>
      <c r="C9" s="106" t="s">
        <v>224</v>
      </c>
      <c r="D9" s="106" t="s">
        <v>225</v>
      </c>
      <c r="E9" s="107" t="s">
        <v>42</v>
      </c>
      <c r="F9" s="107" t="s">
        <v>226</v>
      </c>
      <c r="G9" s="114">
        <v>17983.95</v>
      </c>
      <c r="H9" s="106" t="s">
        <v>86</v>
      </c>
      <c r="I9" s="106" t="s">
        <v>18</v>
      </c>
      <c r="J9" s="106" t="s">
        <v>45</v>
      </c>
      <c r="K9" s="107" t="s">
        <v>227</v>
      </c>
      <c r="L9" s="105">
        <f t="shared" si="0"/>
        <v>46211</v>
      </c>
    </row>
    <row r="10" spans="1:12" ht="57.6" customHeight="1" x14ac:dyDescent="0.3">
      <c r="A10" s="102">
        <v>46205</v>
      </c>
      <c r="B10" s="102">
        <v>46211</v>
      </c>
      <c r="C10" s="103" t="s">
        <v>213</v>
      </c>
      <c r="D10" s="103" t="s">
        <v>214</v>
      </c>
      <c r="E10" s="104" t="s">
        <v>42</v>
      </c>
      <c r="F10" s="104" t="s">
        <v>215</v>
      </c>
      <c r="G10" s="115">
        <v>28094.5</v>
      </c>
      <c r="H10" s="103" t="s">
        <v>216</v>
      </c>
      <c r="I10" s="103" t="s">
        <v>100</v>
      </c>
      <c r="J10" s="103" t="s">
        <v>228</v>
      </c>
      <c r="K10" s="104" t="s">
        <v>217</v>
      </c>
      <c r="L10" s="102">
        <f t="shared" si="0"/>
        <v>46211</v>
      </c>
    </row>
    <row r="11" spans="1:12" ht="374.4" customHeight="1" x14ac:dyDescent="0.3">
      <c r="A11" s="105">
        <v>46142</v>
      </c>
      <c r="B11" s="105">
        <v>46213</v>
      </c>
      <c r="C11" s="106" t="s">
        <v>34</v>
      </c>
      <c r="D11" s="106" t="s">
        <v>35</v>
      </c>
      <c r="E11" s="107" t="s">
        <v>36</v>
      </c>
      <c r="F11" s="107" t="s">
        <v>37</v>
      </c>
      <c r="G11" s="114">
        <v>251433.71</v>
      </c>
      <c r="H11" s="106" t="s">
        <v>38</v>
      </c>
      <c r="I11" s="106" t="s">
        <v>18</v>
      </c>
      <c r="J11" s="106" t="s">
        <v>26</v>
      </c>
      <c r="K11" s="107" t="s">
        <v>143</v>
      </c>
      <c r="L11" s="105">
        <f t="shared" si="0"/>
        <v>46213</v>
      </c>
    </row>
    <row r="12" spans="1:12" ht="28.8" customHeight="1" x14ac:dyDescent="0.3">
      <c r="A12" s="105">
        <v>46167</v>
      </c>
      <c r="B12" s="105">
        <v>46213</v>
      </c>
      <c r="C12" s="106" t="s">
        <v>163</v>
      </c>
      <c r="D12" s="106" t="s">
        <v>164</v>
      </c>
      <c r="E12" s="107" t="s">
        <v>165</v>
      </c>
      <c r="F12" s="107" t="s">
        <v>166</v>
      </c>
      <c r="G12" s="114">
        <v>220505.60000000001</v>
      </c>
      <c r="H12" s="106" t="s">
        <v>86</v>
      </c>
      <c r="I12" s="106" t="s">
        <v>18</v>
      </c>
      <c r="J12" s="106" t="s">
        <v>19</v>
      </c>
      <c r="K12" s="107" t="s">
        <v>167</v>
      </c>
      <c r="L12" s="105">
        <f t="shared" si="0"/>
        <v>46213</v>
      </c>
    </row>
    <row r="13" spans="1:12" ht="158.4" customHeight="1" x14ac:dyDescent="0.3">
      <c r="A13" s="105">
        <v>46198</v>
      </c>
      <c r="B13" s="105">
        <v>46213</v>
      </c>
      <c r="C13" s="106" t="s">
        <v>21</v>
      </c>
      <c r="D13" s="106" t="s">
        <v>22</v>
      </c>
      <c r="E13" s="107" t="s">
        <v>23</v>
      </c>
      <c r="F13" s="107" t="s">
        <v>24</v>
      </c>
      <c r="G13" s="114">
        <v>143822.45000000001</v>
      </c>
      <c r="H13" s="106" t="s">
        <v>25</v>
      </c>
      <c r="I13" s="106" t="s">
        <v>18</v>
      </c>
      <c r="J13" s="106" t="s">
        <v>45</v>
      </c>
      <c r="K13" s="107" t="s">
        <v>162</v>
      </c>
      <c r="L13" s="105">
        <f t="shared" si="0"/>
        <v>46213</v>
      </c>
    </row>
    <row r="14" spans="1:12" x14ac:dyDescent="0.3">
      <c r="A14" s="105">
        <v>46198</v>
      </c>
      <c r="B14" s="105">
        <v>46213</v>
      </c>
      <c r="C14" s="106" t="s">
        <v>180</v>
      </c>
      <c r="D14" s="106" t="s">
        <v>181</v>
      </c>
      <c r="E14" s="107" t="s">
        <v>42</v>
      </c>
      <c r="F14" s="107" t="s">
        <v>182</v>
      </c>
      <c r="G14" s="114">
        <v>12896.1</v>
      </c>
      <c r="H14" s="106" t="s">
        <v>183</v>
      </c>
      <c r="I14" s="106" t="s">
        <v>18</v>
      </c>
      <c r="J14" s="106" t="s">
        <v>45</v>
      </c>
      <c r="K14" s="107" t="s">
        <v>184</v>
      </c>
      <c r="L14" s="105">
        <f t="shared" si="0"/>
        <v>46213</v>
      </c>
    </row>
    <row r="15" spans="1:12" ht="28.8" customHeight="1" x14ac:dyDescent="0.3">
      <c r="A15" s="105">
        <v>46206</v>
      </c>
      <c r="B15" s="105">
        <v>46213</v>
      </c>
      <c r="C15" s="106" t="s">
        <v>229</v>
      </c>
      <c r="D15" s="106" t="s">
        <v>230</v>
      </c>
      <c r="E15" s="107" t="s">
        <v>231</v>
      </c>
      <c r="F15" s="107" t="s">
        <v>232</v>
      </c>
      <c r="G15" s="114">
        <v>15055.97</v>
      </c>
      <c r="H15" s="106" t="s">
        <v>201</v>
      </c>
      <c r="I15" s="106" t="s">
        <v>18</v>
      </c>
      <c r="J15" s="106" t="s">
        <v>45</v>
      </c>
      <c r="K15" s="107" t="s">
        <v>233</v>
      </c>
      <c r="L15" s="105">
        <f t="shared" si="0"/>
        <v>46213</v>
      </c>
    </row>
    <row r="16" spans="1:12" ht="172.8" customHeight="1" x14ac:dyDescent="0.3">
      <c r="A16" s="105">
        <v>46198</v>
      </c>
      <c r="B16" s="105">
        <v>46227</v>
      </c>
      <c r="C16" s="106" t="s">
        <v>174</v>
      </c>
      <c r="D16" s="106" t="s">
        <v>175</v>
      </c>
      <c r="E16" s="107" t="s">
        <v>42</v>
      </c>
      <c r="F16" s="107" t="s">
        <v>176</v>
      </c>
      <c r="G16" s="114">
        <v>241125</v>
      </c>
      <c r="H16" s="106" t="s">
        <v>177</v>
      </c>
      <c r="I16" s="106" t="s">
        <v>18</v>
      </c>
      <c r="J16" s="106" t="s">
        <v>19</v>
      </c>
      <c r="K16" s="107" t="s">
        <v>178</v>
      </c>
      <c r="L16" s="105">
        <f t="shared" si="0"/>
        <v>46227</v>
      </c>
    </row>
    <row r="17" spans="1:12" x14ac:dyDescent="0.3">
      <c r="A17" s="105">
        <v>46205</v>
      </c>
      <c r="B17" s="105">
        <v>46233</v>
      </c>
      <c r="C17" s="106" t="s">
        <v>13</v>
      </c>
      <c r="D17" s="106" t="s">
        <v>14</v>
      </c>
      <c r="E17" s="107" t="s">
        <v>15</v>
      </c>
      <c r="F17" s="107" t="s">
        <v>16</v>
      </c>
      <c r="G17" s="114">
        <v>70994.559999999998</v>
      </c>
      <c r="H17" s="106" t="s">
        <v>17</v>
      </c>
      <c r="I17" s="106" t="s">
        <v>18</v>
      </c>
      <c r="J17" s="106" t="s">
        <v>19</v>
      </c>
      <c r="K17" s="107" t="s">
        <v>234</v>
      </c>
      <c r="L17" s="105">
        <f t="shared" si="0"/>
        <v>46233</v>
      </c>
    </row>
    <row r="18" spans="1:12" x14ac:dyDescent="0.3">
      <c r="A18" s="102">
        <v>46111</v>
      </c>
      <c r="B18" s="102">
        <v>46234</v>
      </c>
      <c r="C18" s="103" t="s">
        <v>96</v>
      </c>
      <c r="D18" s="103" t="s">
        <v>97</v>
      </c>
      <c r="E18" s="104" t="s">
        <v>98</v>
      </c>
      <c r="F18" s="104" t="s">
        <v>99</v>
      </c>
      <c r="G18" s="115">
        <v>169353.60000000001</v>
      </c>
      <c r="H18" s="103" t="s">
        <v>72</v>
      </c>
      <c r="I18" s="103" t="s">
        <v>100</v>
      </c>
      <c r="J18" s="103"/>
      <c r="K18" s="104" t="s">
        <v>208</v>
      </c>
      <c r="L18" s="102">
        <f t="shared" si="0"/>
        <v>46234</v>
      </c>
    </row>
    <row r="19" spans="1:12" ht="144" customHeight="1" x14ac:dyDescent="0.3">
      <c r="A19" s="102">
        <v>46128</v>
      </c>
      <c r="B19" s="102">
        <v>46234</v>
      </c>
      <c r="C19" s="103" t="s">
        <v>100</v>
      </c>
      <c r="D19" s="103" t="s">
        <v>101</v>
      </c>
      <c r="E19" s="104" t="s">
        <v>102</v>
      </c>
      <c r="F19" s="104" t="s">
        <v>103</v>
      </c>
      <c r="G19" s="115">
        <v>82900.05</v>
      </c>
      <c r="H19" s="103" t="s">
        <v>72</v>
      </c>
      <c r="I19" s="103" t="s">
        <v>100</v>
      </c>
      <c r="J19" s="103"/>
      <c r="K19" s="104" t="s">
        <v>186</v>
      </c>
      <c r="L19" s="102">
        <f t="shared" si="0"/>
        <v>46234</v>
      </c>
    </row>
    <row r="20" spans="1:12" ht="86.4" customHeight="1" x14ac:dyDescent="0.3">
      <c r="A20" s="102">
        <v>46142</v>
      </c>
      <c r="B20" s="102">
        <v>46234</v>
      </c>
      <c r="C20" s="103" t="s">
        <v>104</v>
      </c>
      <c r="D20" s="103" t="s">
        <v>105</v>
      </c>
      <c r="E20" s="104" t="s">
        <v>106</v>
      </c>
      <c r="F20" s="104" t="s">
        <v>107</v>
      </c>
      <c r="G20" s="115">
        <v>310411</v>
      </c>
      <c r="H20" s="103" t="s">
        <v>108</v>
      </c>
      <c r="I20" s="103" t="s">
        <v>100</v>
      </c>
      <c r="J20" s="103"/>
      <c r="K20" s="104" t="s">
        <v>187</v>
      </c>
      <c r="L20" s="102">
        <f t="shared" si="0"/>
        <v>46234</v>
      </c>
    </row>
    <row r="21" spans="1:12" x14ac:dyDescent="0.3">
      <c r="A21" s="102">
        <v>46142</v>
      </c>
      <c r="B21" s="102">
        <v>46234</v>
      </c>
      <c r="C21" s="103" t="s">
        <v>100</v>
      </c>
      <c r="D21" s="103" t="s">
        <v>109</v>
      </c>
      <c r="E21" s="104" t="s">
        <v>110</v>
      </c>
      <c r="F21" s="104" t="s">
        <v>111</v>
      </c>
      <c r="G21" s="115">
        <v>204447</v>
      </c>
      <c r="H21" s="103" t="s">
        <v>38</v>
      </c>
      <c r="I21" s="103" t="s">
        <v>100</v>
      </c>
      <c r="J21" s="103"/>
      <c r="K21" s="104" t="s">
        <v>188</v>
      </c>
      <c r="L21" s="102">
        <f t="shared" si="0"/>
        <v>46234</v>
      </c>
    </row>
    <row r="22" spans="1:12" x14ac:dyDescent="0.3">
      <c r="A22" s="102">
        <v>46170</v>
      </c>
      <c r="B22" s="102">
        <v>46234</v>
      </c>
      <c r="C22" s="103" t="s">
        <v>100</v>
      </c>
      <c r="D22" s="103" t="s">
        <v>112</v>
      </c>
      <c r="E22" s="104" t="s">
        <v>113</v>
      </c>
      <c r="F22" s="104" t="s">
        <v>114</v>
      </c>
      <c r="G22" s="115">
        <v>1860403.01</v>
      </c>
      <c r="H22" s="103" t="s">
        <v>72</v>
      </c>
      <c r="I22" s="103" t="s">
        <v>100</v>
      </c>
      <c r="J22" s="103"/>
      <c r="K22" s="104" t="s">
        <v>189</v>
      </c>
      <c r="L22" s="102">
        <f t="shared" si="0"/>
        <v>46234</v>
      </c>
    </row>
    <row r="23" spans="1:12" x14ac:dyDescent="0.3">
      <c r="A23" s="105">
        <v>46171</v>
      </c>
      <c r="B23" s="105">
        <v>46239</v>
      </c>
      <c r="C23" s="106" t="s">
        <v>68</v>
      </c>
      <c r="D23" s="106" t="s">
        <v>69</v>
      </c>
      <c r="E23" s="107" t="s">
        <v>70</v>
      </c>
      <c r="F23" s="107" t="s">
        <v>71</v>
      </c>
      <c r="G23" s="114">
        <v>18400</v>
      </c>
      <c r="H23" s="106" t="s">
        <v>72</v>
      </c>
      <c r="I23" s="106" t="s">
        <v>18</v>
      </c>
      <c r="J23" s="106" t="s">
        <v>19</v>
      </c>
      <c r="K23" s="107" t="s">
        <v>185</v>
      </c>
      <c r="L23" s="105">
        <f t="shared" si="0"/>
        <v>46239</v>
      </c>
    </row>
    <row r="24" spans="1:12" ht="28.8" customHeight="1" x14ac:dyDescent="0.3">
      <c r="A24" s="105">
        <v>46185</v>
      </c>
      <c r="B24" s="105">
        <v>46253</v>
      </c>
      <c r="C24" s="106" t="s">
        <v>82</v>
      </c>
      <c r="D24" s="106" t="s">
        <v>83</v>
      </c>
      <c r="E24" s="107" t="s">
        <v>84</v>
      </c>
      <c r="F24" s="107" t="s">
        <v>85</v>
      </c>
      <c r="G24" s="114">
        <v>109947.56</v>
      </c>
      <c r="H24" s="106" t="s">
        <v>86</v>
      </c>
      <c r="I24" s="106" t="s">
        <v>18</v>
      </c>
      <c r="J24" s="106" t="s">
        <v>45</v>
      </c>
      <c r="K24" s="107" t="s">
        <v>168</v>
      </c>
      <c r="L24" s="105">
        <f t="shared" si="0"/>
        <v>46253</v>
      </c>
    </row>
    <row r="25" spans="1:12" x14ac:dyDescent="0.3">
      <c r="F25" s="108" t="s">
        <v>118</v>
      </c>
      <c r="G25" s="116">
        <f>SUMIF(I3:I24,"&lt;&gt;Pending",G3:G24)</f>
        <v>1223821.29</v>
      </c>
    </row>
    <row r="27" spans="1:12" x14ac:dyDescent="0.3">
      <c r="F27" s="109" t="s">
        <v>119</v>
      </c>
    </row>
    <row r="28" spans="1:12" x14ac:dyDescent="0.3">
      <c r="F28" t="s">
        <v>120</v>
      </c>
      <c r="G28" s="24">
        <f ca="1">SUMIFS(G3:G24, J3:J24, "*CASH SALE*", L3:L24, "&gt;="&amp;EOMONTH(TODAY(),-1)+1, L3:L24, "&lt;="&amp;EOMONTH(TODAY(),0), I3:I24, "&lt;&gt;Pending")</f>
        <v>562848.56999999995</v>
      </c>
      <c r="I28" s="117" t="s">
        <v>121</v>
      </c>
      <c r="J28" s="19">
        <f ca="1">SUMIFS(G3:G24, J3:J24, "*CASH SALE*", L3:L24, "&gt;="&amp;EOMONTH(TODAY(),0)+1, L3:L24, "&lt;="&amp;EOMONTH(TODAY(),1), I3:I24, "&lt;&gt;Pending")</f>
        <v>109947.56</v>
      </c>
    </row>
    <row r="29" spans="1:12" x14ac:dyDescent="0.3">
      <c r="F29" t="s">
        <v>122</v>
      </c>
      <c r="G29" s="24">
        <f ca="1">SUMIFS(G3:G24, J3:J24, "*ACCOUNT*", L3:L24, "&gt;="&amp;EOMONTH(TODAY(),-1)+1, L3:L24, "&lt;="&amp;EOMONTH(TODAY(),0), I3:I24, "&lt;&gt;Pending")</f>
        <v>532625.15999999992</v>
      </c>
      <c r="I29" s="117" t="s">
        <v>123</v>
      </c>
      <c r="J29" s="19">
        <f ca="1">SUMIFS(G3:G24, J3:J24, "*ACCOUNT*", L3:L24, "&gt;="&amp;EOMONTH(TODAY(),0)+1, L3:L24, "&lt;="&amp;EOMONTH(TODAY(),1), I3:I24, "&lt;&gt;Pending")</f>
        <v>18400</v>
      </c>
    </row>
    <row r="31" spans="1:12" ht="28.8" customHeight="1" x14ac:dyDescent="0.3">
      <c r="A31" s="98" t="s">
        <v>1</v>
      </c>
      <c r="B31" s="98" t="s">
        <v>2</v>
      </c>
      <c r="C31" s="98" t="s">
        <v>3</v>
      </c>
      <c r="D31" s="98" t="s">
        <v>4</v>
      </c>
      <c r="E31" s="98" t="s">
        <v>5</v>
      </c>
      <c r="F31" s="98" t="s">
        <v>6</v>
      </c>
      <c r="G31" s="112" t="s">
        <v>7</v>
      </c>
      <c r="H31" s="98" t="s">
        <v>8</v>
      </c>
      <c r="I31" s="98" t="s">
        <v>9</v>
      </c>
      <c r="J31" s="98" t="s">
        <v>10</v>
      </c>
      <c r="K31" s="98" t="s">
        <v>124</v>
      </c>
    </row>
    <row r="32" spans="1:12" x14ac:dyDescent="0.3">
      <c r="A32" s="110">
        <v>46195</v>
      </c>
      <c r="B32" s="110">
        <v>46210.317566631937</v>
      </c>
      <c r="C32" s="106" t="s">
        <v>169</v>
      </c>
      <c r="D32" s="106" t="s">
        <v>170</v>
      </c>
      <c r="E32" s="111" t="s">
        <v>169</v>
      </c>
      <c r="F32" s="111" t="s">
        <v>171</v>
      </c>
      <c r="G32" s="114">
        <v>37443.69</v>
      </c>
      <c r="H32" s="106" t="s">
        <v>172</v>
      </c>
      <c r="I32" s="106" t="s">
        <v>39</v>
      </c>
      <c r="J32" s="106" t="s">
        <v>26</v>
      </c>
      <c r="K32" s="107"/>
    </row>
    <row r="33" spans="1:11" x14ac:dyDescent="0.3">
      <c r="A33" s="110">
        <v>46202</v>
      </c>
      <c r="B33" s="110">
        <v>46210.317566631937</v>
      </c>
      <c r="C33" s="106" t="s">
        <v>203</v>
      </c>
      <c r="D33" s="106" t="s">
        <v>204</v>
      </c>
      <c r="E33" s="111" t="s">
        <v>205</v>
      </c>
      <c r="F33" s="111" t="s">
        <v>206</v>
      </c>
      <c r="G33" s="114">
        <v>18050.400000000001</v>
      </c>
      <c r="H33" s="106" t="s">
        <v>38</v>
      </c>
      <c r="I33" s="106" t="s">
        <v>39</v>
      </c>
      <c r="J33" s="106" t="s">
        <v>128</v>
      </c>
      <c r="K33" s="107"/>
    </row>
    <row r="34" spans="1:11" x14ac:dyDescent="0.3">
      <c r="A34" s="110">
        <v>46209</v>
      </c>
      <c r="B34" s="110">
        <v>46210.317566631937</v>
      </c>
      <c r="C34" s="106" t="s">
        <v>219</v>
      </c>
      <c r="D34" s="106" t="s">
        <v>220</v>
      </c>
      <c r="E34" s="111" t="s">
        <v>221</v>
      </c>
      <c r="F34" s="111" t="s">
        <v>114</v>
      </c>
      <c r="G34" s="114">
        <v>6782.98</v>
      </c>
      <c r="H34" s="106" t="s">
        <v>32</v>
      </c>
      <c r="I34" s="106" t="s">
        <v>39</v>
      </c>
      <c r="J34" s="106" t="s">
        <v>128</v>
      </c>
      <c r="K34" s="107"/>
    </row>
    <row r="35" spans="1:11" ht="28.8" customHeight="1" x14ac:dyDescent="0.3">
      <c r="A35" s="110">
        <v>46209</v>
      </c>
      <c r="B35" s="110">
        <v>46210.317566631937</v>
      </c>
      <c r="C35" s="106" t="s">
        <v>235</v>
      </c>
      <c r="D35" s="106" t="s">
        <v>236</v>
      </c>
      <c r="E35" s="111" t="s">
        <v>237</v>
      </c>
      <c r="F35" s="111" t="s">
        <v>238</v>
      </c>
      <c r="G35" s="114">
        <v>10100.450000000001</v>
      </c>
      <c r="H35" s="106" t="s">
        <v>183</v>
      </c>
      <c r="I35" s="106" t="s">
        <v>39</v>
      </c>
      <c r="J35" s="106" t="s">
        <v>45</v>
      </c>
      <c r="K35" s="107"/>
    </row>
    <row r="36" spans="1:11" x14ac:dyDescent="0.3">
      <c r="F36" s="108" t="s">
        <v>129</v>
      </c>
      <c r="G36" s="116">
        <f>SUM(G32:G35)</f>
        <v>72377.52</v>
      </c>
    </row>
    <row r="38" spans="1:11" x14ac:dyDescent="0.3">
      <c r="F38" s="108" t="s">
        <v>130</v>
      </c>
      <c r="G38" s="116">
        <f>SUMIFS(G3:G24, I3:I24, "*Ready*Dispatch*")</f>
        <v>72377.52</v>
      </c>
    </row>
    <row r="40" spans="1:11" x14ac:dyDescent="0.3">
      <c r="A40" s="460" t="s">
        <v>240</v>
      </c>
      <c r="B40" s="456"/>
      <c r="C40" s="454"/>
      <c r="D40" s="454"/>
    </row>
    <row r="41" spans="1:11" x14ac:dyDescent="0.3">
      <c r="A41" s="460" t="s">
        <v>132</v>
      </c>
      <c r="B41" s="456"/>
      <c r="C41" s="454"/>
      <c r="D41" s="454"/>
    </row>
  </sheetData>
  <mergeCells count="3">
    <mergeCell ref="A1:D1"/>
    <mergeCell ref="A40:D40"/>
    <mergeCell ref="A41:D41"/>
  </mergeCells>
  <pageMargins left="0.25" right="0.25" top="0.75" bottom="0.75" header="0.3" footer="0.3"/>
  <pageSetup fitToHeight="0"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L40"/>
  <sheetViews>
    <sheetView zoomScale="80" zoomScaleNormal="80" workbookViewId="0">
      <pane xSplit="4" ySplit="2" topLeftCell="E13" activePane="bottomRight" state="frozen"/>
      <selection activeCell="K32" sqref="K32"/>
      <selection pane="topRight" activeCell="K32" sqref="K32"/>
      <selection pane="bottomLeft" activeCell="K32" sqref="K32"/>
      <selection pane="bottomRight" activeCell="I7" sqref="I7"/>
    </sheetView>
  </sheetViews>
  <sheetFormatPr defaultRowHeight="14.4" x14ac:dyDescent="0.3"/>
  <cols>
    <col min="1" max="2" width="12" style="23" customWidth="1"/>
    <col min="3" max="3" width="15" style="23" customWidth="1"/>
    <col min="4" max="4" width="12" customWidth="1"/>
    <col min="5" max="5" width="20" customWidth="1"/>
    <col min="6" max="6" width="30" customWidth="1"/>
    <col min="7" max="7" width="15" style="24" customWidth="1"/>
    <col min="8" max="8" width="20" style="23" customWidth="1"/>
    <col min="9" max="9" width="15" style="23" customWidth="1"/>
    <col min="10" max="10" width="23.33203125" style="23" customWidth="1"/>
    <col min="11" max="11" width="50" customWidth="1"/>
    <col min="12" max="12" width="12" customWidth="1"/>
  </cols>
  <sheetData>
    <row r="1" spans="1:12" ht="18" customHeight="1" x14ac:dyDescent="0.35">
      <c r="A1" s="137" t="s">
        <v>0</v>
      </c>
      <c r="K1" s="118">
        <f ca="1">TODAY()</f>
        <v>46233</v>
      </c>
    </row>
    <row r="2" spans="1:12" ht="43.2" customHeight="1" x14ac:dyDescent="0.3">
      <c r="A2" s="119" t="s">
        <v>1</v>
      </c>
      <c r="B2" s="119" t="s">
        <v>2</v>
      </c>
      <c r="C2" s="119" t="s">
        <v>3</v>
      </c>
      <c r="D2" s="119" t="s">
        <v>4</v>
      </c>
      <c r="E2" s="119" t="s">
        <v>5</v>
      </c>
      <c r="F2" s="119" t="s">
        <v>6</v>
      </c>
      <c r="G2" s="132" t="s">
        <v>7</v>
      </c>
      <c r="H2" s="119" t="s">
        <v>8</v>
      </c>
      <c r="I2" s="119" t="s">
        <v>9</v>
      </c>
      <c r="J2" s="119" t="s">
        <v>10</v>
      </c>
      <c r="K2" s="119" t="s">
        <v>11</v>
      </c>
      <c r="L2" s="119" t="s">
        <v>12</v>
      </c>
    </row>
    <row r="3" spans="1:12" ht="115.2" customHeight="1" x14ac:dyDescent="0.3">
      <c r="A3" s="120">
        <v>46205</v>
      </c>
      <c r="B3" s="120">
        <v>46211.344488425922</v>
      </c>
      <c r="C3" s="121" t="s">
        <v>209</v>
      </c>
      <c r="D3" s="121" t="s">
        <v>210</v>
      </c>
      <c r="E3" s="122" t="s">
        <v>42</v>
      </c>
      <c r="F3" s="122" t="s">
        <v>211</v>
      </c>
      <c r="G3" s="133">
        <v>26773.15</v>
      </c>
      <c r="H3" s="121" t="s">
        <v>201</v>
      </c>
      <c r="I3" s="121" t="s">
        <v>18</v>
      </c>
      <c r="J3" s="121" t="s">
        <v>45</v>
      </c>
      <c r="K3" s="122" t="s">
        <v>212</v>
      </c>
      <c r="L3" s="120">
        <f t="shared" ref="L3:L23" si="0">B3</f>
        <v>46211.344488425922</v>
      </c>
    </row>
    <row r="4" spans="1:12" ht="57.6" customHeight="1" x14ac:dyDescent="0.3">
      <c r="A4" s="120">
        <v>46206</v>
      </c>
      <c r="B4" s="120">
        <v>46211.344488425922</v>
      </c>
      <c r="C4" s="121" t="s">
        <v>224</v>
      </c>
      <c r="D4" s="121" t="s">
        <v>225</v>
      </c>
      <c r="E4" s="122" t="s">
        <v>42</v>
      </c>
      <c r="F4" s="122" t="s">
        <v>226</v>
      </c>
      <c r="G4" s="133">
        <v>17983.95</v>
      </c>
      <c r="H4" s="121" t="s">
        <v>86</v>
      </c>
      <c r="I4" s="121" t="s">
        <v>18</v>
      </c>
      <c r="J4" s="121" t="s">
        <v>45</v>
      </c>
      <c r="K4" s="122" t="s">
        <v>227</v>
      </c>
      <c r="L4" s="120">
        <f t="shared" si="0"/>
        <v>46211.344488425922</v>
      </c>
    </row>
    <row r="5" spans="1:12" x14ac:dyDescent="0.3">
      <c r="A5" s="120">
        <v>46210</v>
      </c>
      <c r="B5" s="120">
        <v>46211.344488425922</v>
      </c>
      <c r="C5" s="121" t="s">
        <v>241</v>
      </c>
      <c r="D5" s="121" t="s">
        <v>242</v>
      </c>
      <c r="E5" s="122" t="s">
        <v>243</v>
      </c>
      <c r="F5" s="122" t="s">
        <v>244</v>
      </c>
      <c r="G5" s="133">
        <v>6543.5</v>
      </c>
      <c r="H5" s="121" t="s">
        <v>25</v>
      </c>
      <c r="I5" s="121" t="s">
        <v>18</v>
      </c>
      <c r="J5" s="121" t="s">
        <v>45</v>
      </c>
      <c r="K5" s="122" t="s">
        <v>245</v>
      </c>
      <c r="L5" s="120">
        <f t="shared" si="0"/>
        <v>46211.344488425922</v>
      </c>
    </row>
    <row r="6" spans="1:12" x14ac:dyDescent="0.3">
      <c r="A6" s="120">
        <v>46210</v>
      </c>
      <c r="B6" s="120">
        <v>46211.344488425922</v>
      </c>
      <c r="C6" s="121" t="s">
        <v>246</v>
      </c>
      <c r="D6" s="121" t="s">
        <v>247</v>
      </c>
      <c r="E6" s="122" t="s">
        <v>248</v>
      </c>
      <c r="F6" s="122" t="s">
        <v>249</v>
      </c>
      <c r="G6" s="133">
        <v>3374.1</v>
      </c>
      <c r="H6" s="121" t="s">
        <v>25</v>
      </c>
      <c r="I6" s="121" t="s">
        <v>18</v>
      </c>
      <c r="J6" s="121" t="s">
        <v>19</v>
      </c>
      <c r="K6" s="122" t="s">
        <v>250</v>
      </c>
      <c r="L6" s="120">
        <f t="shared" si="0"/>
        <v>46211.344488425922</v>
      </c>
    </row>
    <row r="7" spans="1:12" x14ac:dyDescent="0.3">
      <c r="A7" s="120">
        <v>46202</v>
      </c>
      <c r="B7" s="120">
        <v>46211.344488425922</v>
      </c>
      <c r="C7" s="121" t="s">
        <v>203</v>
      </c>
      <c r="D7" s="121" t="s">
        <v>204</v>
      </c>
      <c r="E7" s="122" t="s">
        <v>205</v>
      </c>
      <c r="F7" s="122" t="s">
        <v>206</v>
      </c>
      <c r="G7" s="133">
        <v>18050.400000000001</v>
      </c>
      <c r="H7" s="121" t="s">
        <v>38</v>
      </c>
      <c r="I7" s="121" t="s">
        <v>39</v>
      </c>
      <c r="J7" s="121" t="s">
        <v>45</v>
      </c>
      <c r="K7" s="122" t="s">
        <v>207</v>
      </c>
      <c r="L7" s="120">
        <f t="shared" si="0"/>
        <v>46211.344488425922</v>
      </c>
    </row>
    <row r="8" spans="1:12" ht="28.8" customHeight="1" x14ac:dyDescent="0.3">
      <c r="A8" s="126">
        <v>46167</v>
      </c>
      <c r="B8" s="126">
        <v>46211</v>
      </c>
      <c r="C8" s="127" t="s">
        <v>163</v>
      </c>
      <c r="D8" s="127" t="s">
        <v>164</v>
      </c>
      <c r="E8" s="128" t="s">
        <v>165</v>
      </c>
      <c r="F8" s="128" t="s">
        <v>166</v>
      </c>
      <c r="G8" s="134">
        <v>220505.60000000001</v>
      </c>
      <c r="H8" s="127" t="s">
        <v>86</v>
      </c>
      <c r="I8" s="127" t="s">
        <v>18</v>
      </c>
      <c r="J8" s="127" t="s">
        <v>19</v>
      </c>
      <c r="K8" s="128" t="s">
        <v>167</v>
      </c>
      <c r="L8" s="126">
        <f t="shared" si="0"/>
        <v>46211</v>
      </c>
    </row>
    <row r="9" spans="1:12" ht="72" customHeight="1" x14ac:dyDescent="0.3">
      <c r="A9" s="123">
        <v>46205</v>
      </c>
      <c r="B9" s="123">
        <v>46211.344488425922</v>
      </c>
      <c r="C9" s="124" t="s">
        <v>213</v>
      </c>
      <c r="D9" s="124" t="s">
        <v>214</v>
      </c>
      <c r="E9" s="125" t="s">
        <v>42</v>
      </c>
      <c r="F9" s="125" t="s">
        <v>215</v>
      </c>
      <c r="G9" s="135">
        <v>28094.5</v>
      </c>
      <c r="H9" s="124" t="s">
        <v>216</v>
      </c>
      <c r="I9" s="124" t="s">
        <v>100</v>
      </c>
      <c r="J9" s="124" t="s">
        <v>228</v>
      </c>
      <c r="K9" s="125" t="s">
        <v>217</v>
      </c>
      <c r="L9" s="123">
        <f t="shared" si="0"/>
        <v>46211.344488425922</v>
      </c>
    </row>
    <row r="10" spans="1:12" x14ac:dyDescent="0.3">
      <c r="A10" s="126">
        <v>46190</v>
      </c>
      <c r="B10" s="126">
        <v>46212</v>
      </c>
      <c r="C10" s="127" t="s">
        <v>157</v>
      </c>
      <c r="D10" s="127" t="s">
        <v>158</v>
      </c>
      <c r="E10" s="128" t="s">
        <v>159</v>
      </c>
      <c r="F10" s="128" t="s">
        <v>160</v>
      </c>
      <c r="G10" s="134">
        <v>22505.72</v>
      </c>
      <c r="H10" s="127" t="s">
        <v>72</v>
      </c>
      <c r="I10" s="127" t="s">
        <v>18</v>
      </c>
      <c r="J10" s="127" t="s">
        <v>45</v>
      </c>
      <c r="K10" s="128" t="s">
        <v>161</v>
      </c>
      <c r="L10" s="126">
        <f t="shared" si="0"/>
        <v>46212</v>
      </c>
    </row>
    <row r="11" spans="1:12" ht="28.8" customHeight="1" x14ac:dyDescent="0.3">
      <c r="A11" s="126">
        <v>46198</v>
      </c>
      <c r="B11" s="126">
        <v>46213</v>
      </c>
      <c r="C11" s="127" t="s">
        <v>180</v>
      </c>
      <c r="D11" s="127" t="s">
        <v>181</v>
      </c>
      <c r="E11" s="128" t="s">
        <v>42</v>
      </c>
      <c r="F11" s="128" t="s">
        <v>182</v>
      </c>
      <c r="G11" s="134">
        <v>12896.1</v>
      </c>
      <c r="H11" s="127" t="s">
        <v>183</v>
      </c>
      <c r="I11" s="127" t="s">
        <v>18</v>
      </c>
      <c r="J11" s="127" t="s">
        <v>45</v>
      </c>
      <c r="K11" s="128" t="s">
        <v>184</v>
      </c>
      <c r="L11" s="126">
        <f t="shared" si="0"/>
        <v>46213</v>
      </c>
    </row>
    <row r="12" spans="1:12" ht="43.2" customHeight="1" x14ac:dyDescent="0.3">
      <c r="A12" s="126">
        <v>46206</v>
      </c>
      <c r="B12" s="126">
        <v>46213</v>
      </c>
      <c r="C12" s="127" t="s">
        <v>229</v>
      </c>
      <c r="D12" s="127" t="s">
        <v>230</v>
      </c>
      <c r="E12" s="128" t="s">
        <v>231</v>
      </c>
      <c r="F12" s="128" t="s">
        <v>232</v>
      </c>
      <c r="G12" s="134">
        <v>15055.97</v>
      </c>
      <c r="H12" s="127" t="s">
        <v>201</v>
      </c>
      <c r="I12" s="127" t="s">
        <v>18</v>
      </c>
      <c r="J12" s="127" t="s">
        <v>45</v>
      </c>
      <c r="K12" s="128" t="s">
        <v>233</v>
      </c>
      <c r="L12" s="126">
        <f t="shared" si="0"/>
        <v>46213</v>
      </c>
    </row>
    <row r="13" spans="1:12" ht="409.6" customHeight="1" x14ac:dyDescent="0.3">
      <c r="A13" s="126">
        <v>46142</v>
      </c>
      <c r="B13" s="126">
        <v>46220</v>
      </c>
      <c r="C13" s="127" t="s">
        <v>34</v>
      </c>
      <c r="D13" s="127" t="s">
        <v>35</v>
      </c>
      <c r="E13" s="128" t="s">
        <v>36</v>
      </c>
      <c r="F13" s="128" t="s">
        <v>37</v>
      </c>
      <c r="G13" s="134">
        <v>251433.71</v>
      </c>
      <c r="H13" s="127" t="s">
        <v>38</v>
      </c>
      <c r="I13" s="127" t="s">
        <v>18</v>
      </c>
      <c r="J13" s="127" t="s">
        <v>128</v>
      </c>
      <c r="K13" s="128" t="s">
        <v>143</v>
      </c>
      <c r="L13" s="126">
        <f t="shared" si="0"/>
        <v>46220</v>
      </c>
    </row>
    <row r="14" spans="1:12" ht="172.8" customHeight="1" x14ac:dyDescent="0.3">
      <c r="A14" s="126">
        <v>46198</v>
      </c>
      <c r="B14" s="126">
        <v>46220</v>
      </c>
      <c r="C14" s="127" t="s">
        <v>21</v>
      </c>
      <c r="D14" s="127" t="s">
        <v>22</v>
      </c>
      <c r="E14" s="128" t="s">
        <v>23</v>
      </c>
      <c r="F14" s="128" t="s">
        <v>24</v>
      </c>
      <c r="G14" s="134">
        <v>143822.45000000001</v>
      </c>
      <c r="H14" s="127" t="s">
        <v>25</v>
      </c>
      <c r="I14" s="127" t="s">
        <v>18</v>
      </c>
      <c r="J14" s="127" t="s">
        <v>45</v>
      </c>
      <c r="K14" s="128" t="s">
        <v>162</v>
      </c>
      <c r="L14" s="126">
        <f t="shared" si="0"/>
        <v>46220</v>
      </c>
    </row>
    <row r="15" spans="1:12" ht="187.2" customHeight="1" x14ac:dyDescent="0.3">
      <c r="A15" s="126">
        <v>46198</v>
      </c>
      <c r="B15" s="126">
        <v>46227</v>
      </c>
      <c r="C15" s="127" t="s">
        <v>174</v>
      </c>
      <c r="D15" s="127" t="s">
        <v>175</v>
      </c>
      <c r="E15" s="128" t="s">
        <v>42</v>
      </c>
      <c r="F15" s="128" t="s">
        <v>176</v>
      </c>
      <c r="G15" s="134">
        <v>241125</v>
      </c>
      <c r="H15" s="127" t="s">
        <v>177</v>
      </c>
      <c r="I15" s="127" t="s">
        <v>18</v>
      </c>
      <c r="J15" s="127" t="s">
        <v>19</v>
      </c>
      <c r="K15" s="128" t="s">
        <v>178</v>
      </c>
      <c r="L15" s="126">
        <f t="shared" si="0"/>
        <v>46227</v>
      </c>
    </row>
    <row r="16" spans="1:12" x14ac:dyDescent="0.3">
      <c r="A16" s="126">
        <v>46205</v>
      </c>
      <c r="B16" s="126">
        <v>46233</v>
      </c>
      <c r="C16" s="127" t="s">
        <v>13</v>
      </c>
      <c r="D16" s="127" t="s">
        <v>14</v>
      </c>
      <c r="E16" s="128" t="s">
        <v>15</v>
      </c>
      <c r="F16" s="128" t="s">
        <v>16</v>
      </c>
      <c r="G16" s="134">
        <v>70994.559999999998</v>
      </c>
      <c r="H16" s="127" t="s">
        <v>17</v>
      </c>
      <c r="I16" s="127" t="s">
        <v>18</v>
      </c>
      <c r="J16" s="127" t="s">
        <v>19</v>
      </c>
      <c r="K16" s="128" t="s">
        <v>234</v>
      </c>
      <c r="L16" s="126">
        <f t="shared" si="0"/>
        <v>46233</v>
      </c>
    </row>
    <row r="17" spans="1:12" x14ac:dyDescent="0.3">
      <c r="A17" s="123">
        <v>46111</v>
      </c>
      <c r="B17" s="123">
        <v>46234</v>
      </c>
      <c r="C17" s="124" t="s">
        <v>96</v>
      </c>
      <c r="D17" s="124" t="s">
        <v>97</v>
      </c>
      <c r="E17" s="125" t="s">
        <v>98</v>
      </c>
      <c r="F17" s="125" t="s">
        <v>99</v>
      </c>
      <c r="G17" s="135">
        <v>169353.60000000001</v>
      </c>
      <c r="H17" s="124" t="s">
        <v>72</v>
      </c>
      <c r="I17" s="124" t="s">
        <v>100</v>
      </c>
      <c r="J17" s="124"/>
      <c r="K17" s="125" t="s">
        <v>208</v>
      </c>
      <c r="L17" s="123">
        <f t="shared" si="0"/>
        <v>46234</v>
      </c>
    </row>
    <row r="18" spans="1:12" ht="158.4" customHeight="1" x14ac:dyDescent="0.3">
      <c r="A18" s="123">
        <v>46128</v>
      </c>
      <c r="B18" s="123">
        <v>46234</v>
      </c>
      <c r="C18" s="124" t="s">
        <v>100</v>
      </c>
      <c r="D18" s="124" t="s">
        <v>101</v>
      </c>
      <c r="E18" s="125" t="s">
        <v>102</v>
      </c>
      <c r="F18" s="125" t="s">
        <v>103</v>
      </c>
      <c r="G18" s="135">
        <v>82900.05</v>
      </c>
      <c r="H18" s="124" t="s">
        <v>72</v>
      </c>
      <c r="I18" s="124" t="s">
        <v>100</v>
      </c>
      <c r="J18" s="124"/>
      <c r="K18" s="125" t="s">
        <v>186</v>
      </c>
      <c r="L18" s="123">
        <f t="shared" si="0"/>
        <v>46234</v>
      </c>
    </row>
    <row r="19" spans="1:12" ht="86.4" customHeight="1" x14ac:dyDescent="0.3">
      <c r="A19" s="123">
        <v>46142</v>
      </c>
      <c r="B19" s="123">
        <v>46234</v>
      </c>
      <c r="C19" s="124" t="s">
        <v>104</v>
      </c>
      <c r="D19" s="124" t="s">
        <v>105</v>
      </c>
      <c r="E19" s="125" t="s">
        <v>106</v>
      </c>
      <c r="F19" s="125" t="s">
        <v>107</v>
      </c>
      <c r="G19" s="135">
        <v>310411</v>
      </c>
      <c r="H19" s="124" t="s">
        <v>108</v>
      </c>
      <c r="I19" s="124" t="s">
        <v>100</v>
      </c>
      <c r="J19" s="124"/>
      <c r="K19" s="125" t="s">
        <v>187</v>
      </c>
      <c r="L19" s="123">
        <f t="shared" si="0"/>
        <v>46234</v>
      </c>
    </row>
    <row r="20" spans="1:12" ht="28.8" customHeight="1" x14ac:dyDescent="0.3">
      <c r="A20" s="123">
        <v>46142</v>
      </c>
      <c r="B20" s="123">
        <v>46234</v>
      </c>
      <c r="C20" s="124" t="s">
        <v>100</v>
      </c>
      <c r="D20" s="124" t="s">
        <v>109</v>
      </c>
      <c r="E20" s="125" t="s">
        <v>110</v>
      </c>
      <c r="F20" s="125" t="s">
        <v>111</v>
      </c>
      <c r="G20" s="135">
        <v>204447</v>
      </c>
      <c r="H20" s="124" t="s">
        <v>38</v>
      </c>
      <c r="I20" s="124" t="s">
        <v>100</v>
      </c>
      <c r="J20" s="124"/>
      <c r="K20" s="125" t="s">
        <v>188</v>
      </c>
      <c r="L20" s="123">
        <f t="shared" si="0"/>
        <v>46234</v>
      </c>
    </row>
    <row r="21" spans="1:12" x14ac:dyDescent="0.3">
      <c r="A21" s="123">
        <v>46170</v>
      </c>
      <c r="B21" s="123">
        <v>46234</v>
      </c>
      <c r="C21" s="124" t="s">
        <v>100</v>
      </c>
      <c r="D21" s="124" t="s">
        <v>112</v>
      </c>
      <c r="E21" s="125" t="s">
        <v>113</v>
      </c>
      <c r="F21" s="125" t="s">
        <v>114</v>
      </c>
      <c r="G21" s="135">
        <v>1860403.01</v>
      </c>
      <c r="H21" s="124" t="s">
        <v>72</v>
      </c>
      <c r="I21" s="124" t="s">
        <v>100</v>
      </c>
      <c r="J21" s="124"/>
      <c r="K21" s="125" t="s">
        <v>189</v>
      </c>
      <c r="L21" s="123">
        <f t="shared" si="0"/>
        <v>46234</v>
      </c>
    </row>
    <row r="22" spans="1:12" x14ac:dyDescent="0.3">
      <c r="A22" s="126">
        <v>46171</v>
      </c>
      <c r="B22" s="126">
        <v>46239</v>
      </c>
      <c r="C22" s="127" t="s">
        <v>68</v>
      </c>
      <c r="D22" s="127" t="s">
        <v>69</v>
      </c>
      <c r="E22" s="128" t="s">
        <v>70</v>
      </c>
      <c r="F22" s="128" t="s">
        <v>71</v>
      </c>
      <c r="G22" s="134">
        <v>18400</v>
      </c>
      <c r="H22" s="127" t="s">
        <v>72</v>
      </c>
      <c r="I22" s="127" t="s">
        <v>18</v>
      </c>
      <c r="J22" s="127" t="s">
        <v>19</v>
      </c>
      <c r="K22" s="128" t="s">
        <v>185</v>
      </c>
      <c r="L22" s="126">
        <f t="shared" si="0"/>
        <v>46239</v>
      </c>
    </row>
    <row r="23" spans="1:12" ht="28.8" customHeight="1" x14ac:dyDescent="0.3">
      <c r="A23" s="126">
        <v>46185</v>
      </c>
      <c r="B23" s="126">
        <v>46253</v>
      </c>
      <c r="C23" s="127" t="s">
        <v>82</v>
      </c>
      <c r="D23" s="127" t="s">
        <v>83</v>
      </c>
      <c r="E23" s="128" t="s">
        <v>84</v>
      </c>
      <c r="F23" s="128" t="s">
        <v>85</v>
      </c>
      <c r="G23" s="134">
        <v>109947.56</v>
      </c>
      <c r="H23" s="127" t="s">
        <v>86</v>
      </c>
      <c r="I23" s="127" t="s">
        <v>18</v>
      </c>
      <c r="J23" s="127" t="s">
        <v>45</v>
      </c>
      <c r="K23" s="128" t="s">
        <v>168</v>
      </c>
      <c r="L23" s="126">
        <f t="shared" si="0"/>
        <v>46253</v>
      </c>
    </row>
    <row r="24" spans="1:12" x14ac:dyDescent="0.3">
      <c r="F24" s="129" t="s">
        <v>118</v>
      </c>
      <c r="G24" s="136">
        <f>SUMIF(I3:I23,"&lt;&gt;Pending",G3:G23)</f>
        <v>1179411.77</v>
      </c>
    </row>
    <row r="26" spans="1:12" x14ac:dyDescent="0.3">
      <c r="F26" s="130" t="s">
        <v>119</v>
      </c>
    </row>
    <row r="27" spans="1:12" x14ac:dyDescent="0.3">
      <c r="F27" t="s">
        <v>120</v>
      </c>
      <c r="G27" s="24">
        <f ca="1">SUMIFS(G3:G23, J3:J23, "*CASH SALE*", L3:L23, "&gt;="&amp;EOMONTH(TODAY(),-1)+1, L3:L23, "&lt;="&amp;EOMONTH(TODAY(),0), I3:I23, "&lt;&gt;Pending")</f>
        <v>515064.95</v>
      </c>
      <c r="I27" s="117" t="s">
        <v>121</v>
      </c>
      <c r="J27" s="30">
        <f ca="1">SUMIFS(G3:G23, J3:J23, "*CASH SALE*", L3:L23, "&gt;="&amp;EOMONTH(TODAY(),0)+1, L3:L23, "&lt;="&amp;EOMONTH(TODAY(),1), I3:I23, "&lt;&gt;Pending")</f>
        <v>109947.56</v>
      </c>
    </row>
    <row r="28" spans="1:12" x14ac:dyDescent="0.3">
      <c r="F28" t="s">
        <v>122</v>
      </c>
      <c r="G28" s="24">
        <f ca="1">SUMIFS(G3:G23, J3:J23, "*ACCOUNT*", L3:L23, "&gt;="&amp;EOMONTH(TODAY(),-1)+1, L3:L23, "&lt;="&amp;EOMONTH(TODAY(),0), I3:I23, "&lt;&gt;Pending")</f>
        <v>535999.26</v>
      </c>
      <c r="I28" s="117" t="s">
        <v>123</v>
      </c>
      <c r="J28" s="30">
        <f ca="1">SUMIFS(G3:G23, J3:J23, "*ACCOUNT*", L3:L23, "&gt;="&amp;EOMONTH(TODAY(),0)+1, L3:L23, "&lt;="&amp;EOMONTH(TODAY(),1), I3:I23, "&lt;&gt;Pending")</f>
        <v>18400</v>
      </c>
    </row>
    <row r="30" spans="1:12" ht="28.8" customHeight="1" x14ac:dyDescent="0.3">
      <c r="A30" s="119" t="s">
        <v>1</v>
      </c>
      <c r="B30" s="119" t="s">
        <v>2</v>
      </c>
      <c r="C30" s="119" t="s">
        <v>3</v>
      </c>
      <c r="D30" s="119" t="s">
        <v>4</v>
      </c>
      <c r="E30" s="119" t="s">
        <v>5</v>
      </c>
      <c r="F30" s="119" t="s">
        <v>6</v>
      </c>
      <c r="G30" s="132" t="s">
        <v>7</v>
      </c>
      <c r="H30" s="119" t="s">
        <v>8</v>
      </c>
      <c r="I30" s="119" t="s">
        <v>9</v>
      </c>
      <c r="J30" s="119" t="s">
        <v>10</v>
      </c>
      <c r="K30" s="119" t="s">
        <v>124</v>
      </c>
    </row>
    <row r="31" spans="1:12" x14ac:dyDescent="0.3">
      <c r="A31" s="126">
        <v>46205</v>
      </c>
      <c r="B31" s="126">
        <v>46211.344488425922</v>
      </c>
      <c r="C31" s="127" t="s">
        <v>209</v>
      </c>
      <c r="D31" s="131" t="s">
        <v>210</v>
      </c>
      <c r="E31" s="131" t="s">
        <v>42</v>
      </c>
      <c r="F31" s="131" t="s">
        <v>211</v>
      </c>
      <c r="G31" s="134">
        <v>26773.15</v>
      </c>
      <c r="H31" s="127" t="s">
        <v>201</v>
      </c>
      <c r="I31" s="127" t="s">
        <v>18</v>
      </c>
      <c r="J31" s="127" t="s">
        <v>45</v>
      </c>
      <c r="K31" s="128"/>
    </row>
    <row r="32" spans="1:12" x14ac:dyDescent="0.3">
      <c r="A32" s="126">
        <v>46206</v>
      </c>
      <c r="B32" s="126">
        <v>46211.344488425922</v>
      </c>
      <c r="C32" s="127" t="s">
        <v>224</v>
      </c>
      <c r="D32" s="131" t="s">
        <v>225</v>
      </c>
      <c r="E32" s="131" t="s">
        <v>42</v>
      </c>
      <c r="F32" s="131" t="s">
        <v>226</v>
      </c>
      <c r="G32" s="134">
        <v>17983.95</v>
      </c>
      <c r="H32" s="127" t="s">
        <v>86</v>
      </c>
      <c r="I32" s="127" t="s">
        <v>18</v>
      </c>
      <c r="J32" s="127" t="s">
        <v>45</v>
      </c>
      <c r="K32" s="128"/>
    </row>
    <row r="33" spans="1:11" x14ac:dyDescent="0.3">
      <c r="A33" s="126">
        <v>46210</v>
      </c>
      <c r="B33" s="126">
        <v>46211.344488425922</v>
      </c>
      <c r="C33" s="127" t="s">
        <v>241</v>
      </c>
      <c r="D33" s="131" t="s">
        <v>242</v>
      </c>
      <c r="E33" s="131" t="s">
        <v>243</v>
      </c>
      <c r="F33" s="131" t="s">
        <v>244</v>
      </c>
      <c r="G33" s="134">
        <v>6543.5</v>
      </c>
      <c r="H33" s="127" t="s">
        <v>25</v>
      </c>
      <c r="I33" s="127" t="s">
        <v>18</v>
      </c>
      <c r="J33" s="127" t="s">
        <v>45</v>
      </c>
      <c r="K33" s="128"/>
    </row>
    <row r="34" spans="1:11" x14ac:dyDescent="0.3">
      <c r="A34" s="126">
        <v>46210</v>
      </c>
      <c r="B34" s="126">
        <v>46211.344488425922</v>
      </c>
      <c r="C34" s="127" t="s">
        <v>246</v>
      </c>
      <c r="D34" s="131" t="s">
        <v>247</v>
      </c>
      <c r="E34" s="131" t="s">
        <v>248</v>
      </c>
      <c r="F34" s="131" t="s">
        <v>249</v>
      </c>
      <c r="G34" s="134">
        <v>3374.1</v>
      </c>
      <c r="H34" s="127" t="s">
        <v>25</v>
      </c>
      <c r="I34" s="127" t="s">
        <v>18</v>
      </c>
      <c r="J34" s="127" t="s">
        <v>19</v>
      </c>
      <c r="K34" s="128"/>
    </row>
    <row r="35" spans="1:11" x14ac:dyDescent="0.3">
      <c r="A35" s="126">
        <v>46202</v>
      </c>
      <c r="B35" s="126">
        <v>46211.344488425922</v>
      </c>
      <c r="C35" s="127" t="s">
        <v>203</v>
      </c>
      <c r="D35" s="131" t="s">
        <v>204</v>
      </c>
      <c r="E35" s="131" t="s">
        <v>205</v>
      </c>
      <c r="F35" s="131" t="s">
        <v>206</v>
      </c>
      <c r="G35" s="134">
        <v>18050.400000000001</v>
      </c>
      <c r="H35" s="127" t="s">
        <v>38</v>
      </c>
      <c r="I35" s="127" t="s">
        <v>39</v>
      </c>
      <c r="J35" s="127" t="s">
        <v>45</v>
      </c>
      <c r="K35" s="128"/>
    </row>
    <row r="36" spans="1:11" x14ac:dyDescent="0.3">
      <c r="F36" s="129" t="s">
        <v>129</v>
      </c>
      <c r="G36" s="136">
        <f>SUM(G31:G35)</f>
        <v>72725.100000000006</v>
      </c>
    </row>
    <row r="38" spans="1:11" x14ac:dyDescent="0.3">
      <c r="F38" s="129" t="s">
        <v>130</v>
      </c>
      <c r="G38" s="136">
        <f>SUMIFS(G3:G23, I3:I23, "*Ready*Dispatch*")</f>
        <v>18050.400000000001</v>
      </c>
    </row>
    <row r="39" spans="1:11" x14ac:dyDescent="0.3">
      <c r="A39" s="138" t="s">
        <v>131</v>
      </c>
    </row>
    <row r="40" spans="1:11" x14ac:dyDescent="0.3">
      <c r="A40" s="138" t="s">
        <v>132</v>
      </c>
    </row>
  </sheetData>
  <pageMargins left="0.25" right="0.25" top="0.75" bottom="0.75" header="0.3" footer="0.3"/>
  <pageSetup fitToHeight="0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L37"/>
  <sheetViews>
    <sheetView zoomScale="70" zoomScaleNormal="70" workbookViewId="0">
      <pane xSplit="4" ySplit="2" topLeftCell="E22" activePane="bottomRight" state="frozen"/>
      <selection activeCell="L26" sqref="A3:L26"/>
      <selection pane="topRight" activeCell="L26" sqref="A3:L26"/>
      <selection pane="bottomLeft" activeCell="L26" sqref="A3:L26"/>
      <selection pane="bottomRight" activeCell="L26" sqref="A3:L26"/>
    </sheetView>
  </sheetViews>
  <sheetFormatPr defaultRowHeight="14.4" x14ac:dyDescent="0.3"/>
  <cols>
    <col min="1" max="2" width="12" customWidth="1"/>
    <col min="3" max="3" width="15" customWidth="1"/>
    <col min="4" max="4" width="12" customWidth="1"/>
    <col min="5" max="5" width="20" customWidth="1"/>
    <col min="6" max="6" width="30" customWidth="1"/>
    <col min="7" max="7" width="15" style="24" customWidth="1"/>
    <col min="8" max="8" width="9.109375" style="23" bestFit="1" customWidth="1"/>
    <col min="9" max="9" width="17.6640625" style="23" bestFit="1" customWidth="1"/>
    <col min="10" max="10" width="23.33203125" customWidth="1"/>
    <col min="11" max="11" width="50" customWidth="1"/>
    <col min="12" max="12" width="12" customWidth="1"/>
  </cols>
  <sheetData>
    <row r="1" spans="1:12" ht="18" customHeight="1" x14ac:dyDescent="0.35">
      <c r="A1" s="139" t="s">
        <v>0</v>
      </c>
      <c r="K1" s="140">
        <f ca="1">TODAY()</f>
        <v>46233</v>
      </c>
    </row>
    <row r="2" spans="1:12" ht="43.2" customHeight="1" x14ac:dyDescent="0.3">
      <c r="A2" s="141" t="s">
        <v>1</v>
      </c>
      <c r="B2" s="141" t="s">
        <v>2</v>
      </c>
      <c r="C2" s="141" t="s">
        <v>3</v>
      </c>
      <c r="D2" s="141" t="s">
        <v>4</v>
      </c>
      <c r="E2" s="141" t="s">
        <v>5</v>
      </c>
      <c r="F2" s="141" t="s">
        <v>6</v>
      </c>
      <c r="G2" s="155" t="s">
        <v>7</v>
      </c>
      <c r="H2" s="141" t="s">
        <v>8</v>
      </c>
      <c r="I2" s="141" t="s">
        <v>9</v>
      </c>
      <c r="J2" s="141" t="s">
        <v>10</v>
      </c>
      <c r="K2" s="141" t="s">
        <v>11</v>
      </c>
      <c r="L2" s="141" t="s">
        <v>12</v>
      </c>
    </row>
    <row r="3" spans="1:12" x14ac:dyDescent="0.3">
      <c r="A3" s="142">
        <v>46190</v>
      </c>
      <c r="B3" s="142">
        <v>46212.386264745372</v>
      </c>
      <c r="C3" s="143" t="s">
        <v>157</v>
      </c>
      <c r="D3" s="143" t="s">
        <v>158</v>
      </c>
      <c r="E3" s="144" t="s">
        <v>159</v>
      </c>
      <c r="F3" s="144" t="s">
        <v>160</v>
      </c>
      <c r="G3" s="156">
        <v>22505.72</v>
      </c>
      <c r="H3" s="143" t="s">
        <v>72</v>
      </c>
      <c r="I3" s="143" t="s">
        <v>39</v>
      </c>
      <c r="J3" s="143" t="s">
        <v>45</v>
      </c>
      <c r="K3" s="144" t="s">
        <v>161</v>
      </c>
      <c r="L3" s="142">
        <f t="shared" ref="L3:L22" si="0">B3</f>
        <v>46212.386264745372</v>
      </c>
    </row>
    <row r="4" spans="1:12" ht="115.2" customHeight="1" x14ac:dyDescent="0.3">
      <c r="A4" s="142">
        <v>46205</v>
      </c>
      <c r="B4" s="142">
        <v>46212.386264745372</v>
      </c>
      <c r="C4" s="143" t="s">
        <v>209</v>
      </c>
      <c r="D4" s="143" t="s">
        <v>210</v>
      </c>
      <c r="E4" s="144" t="s">
        <v>42</v>
      </c>
      <c r="F4" s="144" t="s">
        <v>211</v>
      </c>
      <c r="G4" s="156">
        <v>26773.15</v>
      </c>
      <c r="H4" s="143" t="s">
        <v>201</v>
      </c>
      <c r="I4" s="143" t="s">
        <v>18</v>
      </c>
      <c r="J4" s="143" t="s">
        <v>45</v>
      </c>
      <c r="K4" s="144" t="s">
        <v>212</v>
      </c>
      <c r="L4" s="142">
        <f t="shared" si="0"/>
        <v>46212.386264745372</v>
      </c>
    </row>
    <row r="5" spans="1:12" x14ac:dyDescent="0.3">
      <c r="A5" s="142">
        <v>46210</v>
      </c>
      <c r="B5" s="142">
        <v>46094</v>
      </c>
      <c r="C5" s="143" t="s">
        <v>241</v>
      </c>
      <c r="D5" s="143" t="s">
        <v>242</v>
      </c>
      <c r="E5" s="144" t="s">
        <v>243</v>
      </c>
      <c r="F5" s="144" t="s">
        <v>244</v>
      </c>
      <c r="G5" s="156">
        <v>6543.5</v>
      </c>
      <c r="H5" s="143" t="s">
        <v>25</v>
      </c>
      <c r="I5" s="143" t="s">
        <v>39</v>
      </c>
      <c r="J5" s="143" t="s">
        <v>45</v>
      </c>
      <c r="K5" s="144" t="s">
        <v>245</v>
      </c>
      <c r="L5" s="142">
        <f t="shared" si="0"/>
        <v>46094</v>
      </c>
    </row>
    <row r="6" spans="1:12" ht="72" customHeight="1" x14ac:dyDescent="0.3">
      <c r="A6" s="148">
        <v>46205</v>
      </c>
      <c r="B6" s="148">
        <v>46216</v>
      </c>
      <c r="C6" s="149" t="s">
        <v>213</v>
      </c>
      <c r="D6" s="149" t="s">
        <v>214</v>
      </c>
      <c r="E6" s="150" t="s">
        <v>42</v>
      </c>
      <c r="F6" s="150" t="s">
        <v>215</v>
      </c>
      <c r="G6" s="157">
        <v>28094.5</v>
      </c>
      <c r="H6" s="149" t="s">
        <v>216</v>
      </c>
      <c r="I6" s="149" t="s">
        <v>39</v>
      </c>
      <c r="J6" s="149" t="s">
        <v>45</v>
      </c>
      <c r="K6" s="150" t="s">
        <v>217</v>
      </c>
      <c r="L6" s="148">
        <f t="shared" si="0"/>
        <v>46216</v>
      </c>
    </row>
    <row r="7" spans="1:12" ht="28.8" customHeight="1" x14ac:dyDescent="0.3">
      <c r="A7" s="148">
        <v>46198</v>
      </c>
      <c r="B7" s="148">
        <v>46216</v>
      </c>
      <c r="C7" s="149" t="s">
        <v>180</v>
      </c>
      <c r="D7" s="149" t="s">
        <v>181</v>
      </c>
      <c r="E7" s="150" t="s">
        <v>42</v>
      </c>
      <c r="F7" s="150" t="s">
        <v>182</v>
      </c>
      <c r="G7" s="157">
        <v>12896.1</v>
      </c>
      <c r="H7" s="149" t="s">
        <v>183</v>
      </c>
      <c r="I7" s="149" t="s">
        <v>18</v>
      </c>
      <c r="J7" s="149" t="s">
        <v>45</v>
      </c>
      <c r="K7" s="150" t="s">
        <v>184</v>
      </c>
      <c r="L7" s="148">
        <f t="shared" si="0"/>
        <v>46216</v>
      </c>
    </row>
    <row r="8" spans="1:12" ht="43.2" customHeight="1" x14ac:dyDescent="0.3">
      <c r="A8" s="148">
        <v>46206</v>
      </c>
      <c r="B8" s="148">
        <v>46213</v>
      </c>
      <c r="C8" s="149" t="s">
        <v>229</v>
      </c>
      <c r="D8" s="149" t="s">
        <v>230</v>
      </c>
      <c r="E8" s="150" t="s">
        <v>231</v>
      </c>
      <c r="F8" s="150" t="s">
        <v>232</v>
      </c>
      <c r="G8" s="157">
        <v>15055.97</v>
      </c>
      <c r="H8" s="149" t="s">
        <v>201</v>
      </c>
      <c r="I8" s="149" t="s">
        <v>39</v>
      </c>
      <c r="J8" s="149" t="s">
        <v>45</v>
      </c>
      <c r="K8" s="150" t="s">
        <v>233</v>
      </c>
      <c r="L8" s="148">
        <f t="shared" si="0"/>
        <v>46213</v>
      </c>
    </row>
    <row r="9" spans="1:12" ht="43.2" customHeight="1" x14ac:dyDescent="0.3">
      <c r="A9" s="148">
        <v>46211</v>
      </c>
      <c r="B9" s="148">
        <v>46216</v>
      </c>
      <c r="C9" s="149" t="s">
        <v>251</v>
      </c>
      <c r="D9" s="149" t="s">
        <v>252</v>
      </c>
      <c r="E9" s="150" t="s">
        <v>253</v>
      </c>
      <c r="F9" s="150" t="s">
        <v>211</v>
      </c>
      <c r="G9" s="157">
        <v>10343.790000000001</v>
      </c>
      <c r="H9" s="149" t="s">
        <v>201</v>
      </c>
      <c r="I9" s="149" t="s">
        <v>18</v>
      </c>
      <c r="J9" s="149" t="s">
        <v>45</v>
      </c>
      <c r="K9" s="150" t="s">
        <v>254</v>
      </c>
      <c r="L9" s="148">
        <f t="shared" si="0"/>
        <v>46216</v>
      </c>
    </row>
    <row r="10" spans="1:12" ht="409.6" customHeight="1" x14ac:dyDescent="0.3">
      <c r="A10" s="148">
        <v>46142</v>
      </c>
      <c r="B10" s="148">
        <v>46220</v>
      </c>
      <c r="C10" s="149" t="s">
        <v>34</v>
      </c>
      <c r="D10" s="149" t="s">
        <v>35</v>
      </c>
      <c r="E10" s="150" t="s">
        <v>36</v>
      </c>
      <c r="F10" s="150" t="s">
        <v>37</v>
      </c>
      <c r="G10" s="157">
        <v>251433.71</v>
      </c>
      <c r="H10" s="149" t="s">
        <v>38</v>
      </c>
      <c r="I10" s="149" t="s">
        <v>18</v>
      </c>
      <c r="J10" s="149" t="s">
        <v>128</v>
      </c>
      <c r="K10" s="150" t="s">
        <v>143</v>
      </c>
      <c r="L10" s="148">
        <f t="shared" si="0"/>
        <v>46220</v>
      </c>
    </row>
    <row r="11" spans="1:12" ht="172.8" customHeight="1" x14ac:dyDescent="0.3">
      <c r="A11" s="148">
        <v>46198</v>
      </c>
      <c r="B11" s="148">
        <v>46220</v>
      </c>
      <c r="C11" s="149" t="s">
        <v>21</v>
      </c>
      <c r="D11" s="149" t="s">
        <v>22</v>
      </c>
      <c r="E11" s="150" t="s">
        <v>23</v>
      </c>
      <c r="F11" s="150" t="s">
        <v>24</v>
      </c>
      <c r="G11" s="157">
        <v>143822.45000000001</v>
      </c>
      <c r="H11" s="149" t="s">
        <v>25</v>
      </c>
      <c r="I11" s="149" t="s">
        <v>18</v>
      </c>
      <c r="J11" s="149" t="s">
        <v>45</v>
      </c>
      <c r="K11" s="150" t="s">
        <v>162</v>
      </c>
      <c r="L11" s="148">
        <f t="shared" si="0"/>
        <v>46220</v>
      </c>
    </row>
    <row r="12" spans="1:12" ht="28.8" customHeight="1" x14ac:dyDescent="0.3">
      <c r="A12" s="148">
        <v>46211</v>
      </c>
      <c r="B12" s="148">
        <v>46220</v>
      </c>
      <c r="C12" s="149" t="s">
        <v>255</v>
      </c>
      <c r="D12" s="149" t="s">
        <v>256</v>
      </c>
      <c r="E12" s="150" t="s">
        <v>257</v>
      </c>
      <c r="F12" s="150" t="s">
        <v>258</v>
      </c>
      <c r="G12" s="157">
        <v>22914.9</v>
      </c>
      <c r="H12" s="149" t="s">
        <v>25</v>
      </c>
      <c r="I12" s="149" t="s">
        <v>18</v>
      </c>
      <c r="J12" s="149" t="s">
        <v>19</v>
      </c>
      <c r="K12" s="150" t="s">
        <v>259</v>
      </c>
      <c r="L12" s="148">
        <f t="shared" si="0"/>
        <v>46220</v>
      </c>
    </row>
    <row r="13" spans="1:12" ht="187.2" customHeight="1" x14ac:dyDescent="0.3">
      <c r="A13" s="148">
        <v>46198</v>
      </c>
      <c r="B13" s="148">
        <v>46227</v>
      </c>
      <c r="C13" s="149" t="s">
        <v>174</v>
      </c>
      <c r="D13" s="149" t="s">
        <v>175</v>
      </c>
      <c r="E13" s="150" t="s">
        <v>42</v>
      </c>
      <c r="F13" s="150" t="s">
        <v>176</v>
      </c>
      <c r="G13" s="157">
        <v>241125</v>
      </c>
      <c r="H13" s="149" t="s">
        <v>177</v>
      </c>
      <c r="I13" s="149" t="s">
        <v>18</v>
      </c>
      <c r="J13" s="149" t="s">
        <v>19</v>
      </c>
      <c r="K13" s="150" t="s">
        <v>178</v>
      </c>
      <c r="L13" s="148">
        <f t="shared" si="0"/>
        <v>46227</v>
      </c>
    </row>
    <row r="14" spans="1:12" x14ac:dyDescent="0.3">
      <c r="A14" s="148">
        <v>46205</v>
      </c>
      <c r="B14" s="148">
        <v>46233</v>
      </c>
      <c r="C14" s="149" t="s">
        <v>13</v>
      </c>
      <c r="D14" s="149" t="s">
        <v>14</v>
      </c>
      <c r="E14" s="150" t="s">
        <v>15</v>
      </c>
      <c r="F14" s="150" t="s">
        <v>16</v>
      </c>
      <c r="G14" s="157">
        <v>70994.559999999998</v>
      </c>
      <c r="H14" s="149" t="s">
        <v>17</v>
      </c>
      <c r="I14" s="149" t="s">
        <v>18</v>
      </c>
      <c r="J14" s="149" t="s">
        <v>19</v>
      </c>
      <c r="K14" s="150" t="s">
        <v>234</v>
      </c>
      <c r="L14" s="148">
        <f t="shared" si="0"/>
        <v>46233</v>
      </c>
    </row>
    <row r="15" spans="1:12" x14ac:dyDescent="0.3">
      <c r="A15" s="145">
        <v>46111</v>
      </c>
      <c r="B15" s="145">
        <v>46234</v>
      </c>
      <c r="C15" s="146" t="s">
        <v>96</v>
      </c>
      <c r="D15" s="146" t="s">
        <v>97</v>
      </c>
      <c r="E15" s="147" t="s">
        <v>98</v>
      </c>
      <c r="F15" s="147" t="s">
        <v>99</v>
      </c>
      <c r="G15" s="158">
        <v>169353.60000000001</v>
      </c>
      <c r="H15" s="146" t="s">
        <v>72</v>
      </c>
      <c r="I15" s="146" t="s">
        <v>100</v>
      </c>
      <c r="J15" s="146"/>
      <c r="K15" s="147" t="s">
        <v>208</v>
      </c>
      <c r="L15" s="145">
        <f t="shared" si="0"/>
        <v>46234</v>
      </c>
    </row>
    <row r="16" spans="1:12" ht="158.4" customHeight="1" x14ac:dyDescent="0.3">
      <c r="A16" s="145">
        <v>46128</v>
      </c>
      <c r="B16" s="145">
        <v>46234</v>
      </c>
      <c r="C16" s="146" t="s">
        <v>100</v>
      </c>
      <c r="D16" s="146" t="s">
        <v>101</v>
      </c>
      <c r="E16" s="147" t="s">
        <v>102</v>
      </c>
      <c r="F16" s="147" t="s">
        <v>103</v>
      </c>
      <c r="G16" s="158">
        <v>82900.05</v>
      </c>
      <c r="H16" s="146" t="s">
        <v>72</v>
      </c>
      <c r="I16" s="146" t="s">
        <v>100</v>
      </c>
      <c r="J16" s="146" t="s">
        <v>50</v>
      </c>
      <c r="K16" s="147" t="s">
        <v>186</v>
      </c>
      <c r="L16" s="145">
        <f t="shared" si="0"/>
        <v>46234</v>
      </c>
    </row>
    <row r="17" spans="1:12" ht="86.4" customHeight="1" x14ac:dyDescent="0.3">
      <c r="A17" s="145">
        <v>46142</v>
      </c>
      <c r="B17" s="145">
        <v>46234</v>
      </c>
      <c r="C17" s="146" t="s">
        <v>104</v>
      </c>
      <c r="D17" s="146" t="s">
        <v>105</v>
      </c>
      <c r="E17" s="147" t="s">
        <v>106</v>
      </c>
      <c r="F17" s="147" t="s">
        <v>107</v>
      </c>
      <c r="G17" s="158">
        <v>310411</v>
      </c>
      <c r="H17" s="146" t="s">
        <v>108</v>
      </c>
      <c r="I17" s="146" t="s">
        <v>100</v>
      </c>
      <c r="J17" s="146"/>
      <c r="K17" s="147" t="s">
        <v>187</v>
      </c>
      <c r="L17" s="145">
        <f t="shared" si="0"/>
        <v>46234</v>
      </c>
    </row>
    <row r="18" spans="1:12" ht="28.8" customHeight="1" x14ac:dyDescent="0.3">
      <c r="A18" s="145">
        <v>46142</v>
      </c>
      <c r="B18" s="145">
        <v>46234</v>
      </c>
      <c r="C18" s="146" t="s">
        <v>100</v>
      </c>
      <c r="D18" s="146" t="s">
        <v>109</v>
      </c>
      <c r="E18" s="147" t="s">
        <v>110</v>
      </c>
      <c r="F18" s="147" t="s">
        <v>111</v>
      </c>
      <c r="G18" s="158">
        <v>204447</v>
      </c>
      <c r="H18" s="146" t="s">
        <v>38</v>
      </c>
      <c r="I18" s="146" t="s">
        <v>100</v>
      </c>
      <c r="J18" s="146"/>
      <c r="K18" s="147" t="s">
        <v>188</v>
      </c>
      <c r="L18" s="145">
        <f t="shared" si="0"/>
        <v>46234</v>
      </c>
    </row>
    <row r="19" spans="1:12" x14ac:dyDescent="0.3">
      <c r="A19" s="145">
        <v>46170</v>
      </c>
      <c r="B19" s="145">
        <v>46234</v>
      </c>
      <c r="C19" s="146" t="s">
        <v>100</v>
      </c>
      <c r="D19" s="146" t="s">
        <v>112</v>
      </c>
      <c r="E19" s="147" t="s">
        <v>113</v>
      </c>
      <c r="F19" s="147" t="s">
        <v>114</v>
      </c>
      <c r="G19" s="158">
        <v>1860403.01</v>
      </c>
      <c r="H19" s="146" t="s">
        <v>72</v>
      </c>
      <c r="I19" s="146" t="s">
        <v>100</v>
      </c>
      <c r="J19" s="146"/>
      <c r="K19" s="147" t="s">
        <v>189</v>
      </c>
      <c r="L19" s="145">
        <f t="shared" si="0"/>
        <v>46234</v>
      </c>
    </row>
    <row r="20" spans="1:12" x14ac:dyDescent="0.3">
      <c r="A20" s="145">
        <v>46211</v>
      </c>
      <c r="B20" s="145">
        <v>46234</v>
      </c>
      <c r="C20" s="146" t="s">
        <v>260</v>
      </c>
      <c r="D20" s="146" t="s">
        <v>261</v>
      </c>
      <c r="E20" s="147" t="s">
        <v>260</v>
      </c>
      <c r="F20" s="147" t="s">
        <v>262</v>
      </c>
      <c r="G20" s="158">
        <v>3329.25</v>
      </c>
      <c r="H20" s="146" t="s">
        <v>17</v>
      </c>
      <c r="I20" s="146" t="s">
        <v>100</v>
      </c>
      <c r="J20" s="146"/>
      <c r="K20" s="147" t="s">
        <v>263</v>
      </c>
      <c r="L20" s="145">
        <f t="shared" si="0"/>
        <v>46234</v>
      </c>
    </row>
    <row r="21" spans="1:12" x14ac:dyDescent="0.3">
      <c r="A21" s="148">
        <v>46171</v>
      </c>
      <c r="B21" s="148">
        <v>46239</v>
      </c>
      <c r="C21" s="149" t="s">
        <v>68</v>
      </c>
      <c r="D21" s="149" t="s">
        <v>69</v>
      </c>
      <c r="E21" s="150" t="s">
        <v>70</v>
      </c>
      <c r="F21" s="150" t="s">
        <v>71</v>
      </c>
      <c r="G21" s="157">
        <v>18400</v>
      </c>
      <c r="H21" s="149" t="s">
        <v>72</v>
      </c>
      <c r="I21" s="149" t="s">
        <v>18</v>
      </c>
      <c r="J21" s="149" t="s">
        <v>19</v>
      </c>
      <c r="K21" s="150" t="s">
        <v>185</v>
      </c>
      <c r="L21" s="148">
        <f t="shared" si="0"/>
        <v>46239</v>
      </c>
    </row>
    <row r="22" spans="1:12" ht="28.8" customHeight="1" x14ac:dyDescent="0.3">
      <c r="A22" s="148">
        <v>46185</v>
      </c>
      <c r="B22" s="148">
        <v>46253</v>
      </c>
      <c r="C22" s="149" t="s">
        <v>82</v>
      </c>
      <c r="D22" s="149" t="s">
        <v>83</v>
      </c>
      <c r="E22" s="150" t="s">
        <v>84</v>
      </c>
      <c r="F22" s="150" t="s">
        <v>85</v>
      </c>
      <c r="G22" s="157">
        <v>109947.56</v>
      </c>
      <c r="H22" s="149" t="s">
        <v>86</v>
      </c>
      <c r="I22" s="149" t="s">
        <v>18</v>
      </c>
      <c r="J22" s="149" t="s">
        <v>45</v>
      </c>
      <c r="K22" s="150" t="s">
        <v>168</v>
      </c>
      <c r="L22" s="148">
        <f t="shared" si="0"/>
        <v>46253</v>
      </c>
    </row>
    <row r="23" spans="1:12" x14ac:dyDescent="0.3">
      <c r="F23" s="151" t="s">
        <v>118</v>
      </c>
      <c r="G23" s="159">
        <f>SUMIF(I3:I22,"&lt;&gt;Pending",G3:G22)</f>
        <v>980850.91000000015</v>
      </c>
    </row>
    <row r="25" spans="1:12" x14ac:dyDescent="0.3">
      <c r="F25" s="152" t="s">
        <v>119</v>
      </c>
    </row>
    <row r="26" spans="1:12" x14ac:dyDescent="0.3">
      <c r="F26" t="s">
        <v>120</v>
      </c>
      <c r="G26" s="24">
        <f ca="1">SUMIFS(G3:G22, J3:J22, "*CASH SALE*", L3:L22, "&gt;="&amp;EOMONTH(TODAY(),-1)+1, L3:L22, "&lt;="&amp;EOMONTH(TODAY(),0), I3:I22, "&lt;&gt;Pending")</f>
        <v>510925.39</v>
      </c>
      <c r="I26" s="117" t="s">
        <v>121</v>
      </c>
      <c r="J26" s="19">
        <f ca="1">SUMIFS(G3:G22, J3:J22, "*CASH SALE*", L3:L22, "&gt;="&amp;EOMONTH(TODAY(),0)+1, L3:L22, "&lt;="&amp;EOMONTH(TODAY(),1), I3:I22, "&lt;&gt;Pending")</f>
        <v>109947.56</v>
      </c>
    </row>
    <row r="27" spans="1:12" x14ac:dyDescent="0.3">
      <c r="F27" t="s">
        <v>122</v>
      </c>
      <c r="G27" s="24">
        <f ca="1">SUMIFS(G3:G22, J3:J22, "*ACCOUNT*", L3:L22, "&gt;="&amp;EOMONTH(TODAY(),-1)+1, L3:L22, "&lt;="&amp;EOMONTH(TODAY(),0), I3:I22, "&lt;&gt;Pending")</f>
        <v>335034.46000000002</v>
      </c>
      <c r="I27" s="117" t="s">
        <v>123</v>
      </c>
      <c r="J27" s="19">
        <f ca="1">SUMIFS(G3:G22, J3:J22, "*ACCOUNT*", L3:L22, "&gt;="&amp;EOMONTH(TODAY(),0)+1, L3:L22, "&lt;="&amp;EOMONTH(TODAY(),1), I3:I22, "&lt;&gt;Pending")</f>
        <v>18400</v>
      </c>
    </row>
    <row r="29" spans="1:12" ht="28.8" customHeight="1" x14ac:dyDescent="0.3">
      <c r="A29" s="141" t="s">
        <v>1</v>
      </c>
      <c r="B29" s="141" t="s">
        <v>2</v>
      </c>
      <c r="C29" s="141" t="s">
        <v>3</v>
      </c>
      <c r="D29" s="141" t="s">
        <v>4</v>
      </c>
      <c r="E29" s="141" t="s">
        <v>5</v>
      </c>
      <c r="F29" s="141" t="s">
        <v>6</v>
      </c>
      <c r="G29" s="155" t="s">
        <v>7</v>
      </c>
      <c r="H29" s="141" t="s">
        <v>8</v>
      </c>
      <c r="I29" s="141" t="s">
        <v>9</v>
      </c>
      <c r="J29" s="141" t="s">
        <v>10</v>
      </c>
      <c r="K29" s="141" t="s">
        <v>124</v>
      </c>
    </row>
    <row r="30" spans="1:12" x14ac:dyDescent="0.3">
      <c r="A30" s="153">
        <v>46190</v>
      </c>
      <c r="B30" s="153">
        <v>46212.386264745372</v>
      </c>
      <c r="C30" s="154" t="s">
        <v>157</v>
      </c>
      <c r="D30" s="154" t="s">
        <v>158</v>
      </c>
      <c r="E30" s="154" t="s">
        <v>159</v>
      </c>
      <c r="F30" s="154" t="s">
        <v>160</v>
      </c>
      <c r="G30" s="157">
        <v>22505.72</v>
      </c>
      <c r="H30" s="149" t="s">
        <v>72</v>
      </c>
      <c r="I30" s="149" t="s">
        <v>18</v>
      </c>
      <c r="J30" s="154" t="s">
        <v>45</v>
      </c>
      <c r="K30" s="150"/>
    </row>
    <row r="31" spans="1:12" x14ac:dyDescent="0.3">
      <c r="A31" s="153">
        <v>46205</v>
      </c>
      <c r="B31" s="153">
        <v>46212.386264745372</v>
      </c>
      <c r="C31" s="154" t="s">
        <v>209</v>
      </c>
      <c r="D31" s="154" t="s">
        <v>210</v>
      </c>
      <c r="E31" s="154" t="s">
        <v>42</v>
      </c>
      <c r="F31" s="154" t="s">
        <v>211</v>
      </c>
      <c r="G31" s="157">
        <v>26773.15</v>
      </c>
      <c r="H31" s="149" t="s">
        <v>201</v>
      </c>
      <c r="I31" s="149" t="s">
        <v>18</v>
      </c>
      <c r="J31" s="154" t="s">
        <v>45</v>
      </c>
      <c r="K31" s="150"/>
    </row>
    <row r="32" spans="1:12" x14ac:dyDescent="0.3">
      <c r="A32" s="153">
        <v>46211</v>
      </c>
      <c r="B32" s="153">
        <v>46212.386264745372</v>
      </c>
      <c r="C32" s="154" t="s">
        <v>264</v>
      </c>
      <c r="D32" s="154" t="s">
        <v>265</v>
      </c>
      <c r="E32" s="154" t="s">
        <v>42</v>
      </c>
      <c r="F32" s="154" t="s">
        <v>226</v>
      </c>
      <c r="G32" s="157">
        <v>152644.1</v>
      </c>
      <c r="H32" s="149" t="s">
        <v>32</v>
      </c>
      <c r="I32" s="149" t="s">
        <v>18</v>
      </c>
      <c r="J32" s="154" t="s">
        <v>45</v>
      </c>
      <c r="K32" s="150"/>
    </row>
    <row r="33" spans="1:7" x14ac:dyDescent="0.3">
      <c r="F33" s="151" t="s">
        <v>129</v>
      </c>
      <c r="G33" s="159">
        <f>SUM(G30:G32)</f>
        <v>201922.97</v>
      </c>
    </row>
    <row r="35" spans="1:7" x14ac:dyDescent="0.3">
      <c r="F35" s="151" t="s">
        <v>130</v>
      </c>
      <c r="G35" s="159">
        <f>SUMIFS(G3:G22, I3:I22, "*Ready*Dispatch*")</f>
        <v>72199.69</v>
      </c>
    </row>
    <row r="36" spans="1:7" x14ac:dyDescent="0.3">
      <c r="A36" s="461" t="s">
        <v>131</v>
      </c>
      <c r="B36" s="456"/>
      <c r="C36" s="456"/>
      <c r="D36" s="456"/>
    </row>
    <row r="37" spans="1:7" x14ac:dyDescent="0.3">
      <c r="A37" s="461" t="s">
        <v>132</v>
      </c>
      <c r="B37" s="456"/>
      <c r="C37" s="456"/>
      <c r="D37" s="456"/>
    </row>
  </sheetData>
  <mergeCells count="2">
    <mergeCell ref="A37:D37"/>
    <mergeCell ref="A36:D36"/>
  </mergeCells>
  <pageMargins left="0.25" right="0.25" top="0.75" bottom="0.75" header="0.3" footer="0.3"/>
  <pageSetup fitToHeight="0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L42"/>
  <sheetViews>
    <sheetView zoomScale="70" zoomScaleNormal="70" workbookViewId="0">
      <pane xSplit="4" ySplit="2" topLeftCell="E3" activePane="bottomRight" state="frozen"/>
      <selection activeCell="I39" sqref="I39"/>
      <selection pane="topRight" activeCell="I39" sqref="I39"/>
      <selection pane="bottomLeft" activeCell="I39" sqref="I39"/>
      <selection pane="bottomRight" activeCell="K46" sqref="K46"/>
    </sheetView>
  </sheetViews>
  <sheetFormatPr defaultRowHeight="14.4" x14ac:dyDescent="0.3"/>
  <cols>
    <col min="1" max="2" width="11.5546875" bestFit="1" customWidth="1"/>
    <col min="3" max="3" width="11.6640625" style="23" bestFit="1" customWidth="1"/>
    <col min="4" max="4" width="11.21875" style="23" bestFit="1" customWidth="1"/>
    <col min="5" max="5" width="20.5546875" bestFit="1" customWidth="1"/>
    <col min="6" max="6" width="32.6640625" bestFit="1" customWidth="1"/>
    <col min="7" max="7" width="15" style="24" customWidth="1"/>
    <col min="8" max="8" width="8.88671875" style="23" bestFit="1" customWidth="1"/>
    <col min="9" max="9" width="17.77734375" bestFit="1" customWidth="1"/>
    <col min="10" max="10" width="21.21875" bestFit="1" customWidth="1"/>
    <col min="11" max="11" width="68.6640625" bestFit="1" customWidth="1"/>
    <col min="12" max="12" width="12.77734375" bestFit="1" customWidth="1"/>
  </cols>
  <sheetData>
    <row r="1" spans="1:12" ht="18" customHeight="1" x14ac:dyDescent="0.35">
      <c r="A1" s="462" t="s">
        <v>0</v>
      </c>
      <c r="B1" s="452"/>
      <c r="C1" s="452"/>
      <c r="D1" s="452"/>
      <c r="K1" s="160">
        <f ca="1">TODAY()</f>
        <v>46233</v>
      </c>
    </row>
    <row r="2" spans="1:12" ht="28.8" customHeight="1" x14ac:dyDescent="0.3">
      <c r="A2" s="161" t="s">
        <v>1</v>
      </c>
      <c r="B2" s="161" t="s">
        <v>2</v>
      </c>
      <c r="C2" s="161" t="s">
        <v>3</v>
      </c>
      <c r="D2" s="161" t="s">
        <v>4</v>
      </c>
      <c r="E2" s="161" t="s">
        <v>5</v>
      </c>
      <c r="F2" s="161" t="s">
        <v>6</v>
      </c>
      <c r="G2" s="173" t="s">
        <v>7</v>
      </c>
      <c r="H2" s="161" t="s">
        <v>8</v>
      </c>
      <c r="I2" s="161" t="s">
        <v>9</v>
      </c>
      <c r="J2" s="161" t="s">
        <v>10</v>
      </c>
      <c r="K2" s="161" t="s">
        <v>11</v>
      </c>
      <c r="L2" s="161" t="s">
        <v>12</v>
      </c>
    </row>
    <row r="3" spans="1:12" ht="43.2" customHeight="1" x14ac:dyDescent="0.3">
      <c r="A3" s="162">
        <v>46212</v>
      </c>
      <c r="B3" s="162">
        <v>46213.336792789349</v>
      </c>
      <c r="C3" s="163" t="s">
        <v>266</v>
      </c>
      <c r="D3" s="163" t="s">
        <v>267</v>
      </c>
      <c r="E3" s="164" t="s">
        <v>268</v>
      </c>
      <c r="F3" s="164" t="s">
        <v>269</v>
      </c>
      <c r="G3" s="174">
        <v>22744.77</v>
      </c>
      <c r="H3" s="163" t="s">
        <v>25</v>
      </c>
      <c r="I3" s="163" t="s">
        <v>18</v>
      </c>
      <c r="J3" s="163" t="s">
        <v>45</v>
      </c>
      <c r="K3" s="164" t="s">
        <v>270</v>
      </c>
      <c r="L3" s="162">
        <f t="shared" ref="L3:L26" si="0">B3</f>
        <v>46213.336792789349</v>
      </c>
    </row>
    <row r="4" spans="1:12" x14ac:dyDescent="0.3">
      <c r="A4" s="162">
        <v>46212</v>
      </c>
      <c r="B4" s="162">
        <v>46213.336792789349</v>
      </c>
      <c r="C4" s="163" t="s">
        <v>271</v>
      </c>
      <c r="D4" s="163" t="s">
        <v>272</v>
      </c>
      <c r="E4" s="164" t="s">
        <v>273</v>
      </c>
      <c r="F4" s="164" t="s">
        <v>274</v>
      </c>
      <c r="G4" s="174">
        <v>6641.25</v>
      </c>
      <c r="H4" s="163" t="s">
        <v>275</v>
      </c>
      <c r="I4" s="163" t="s">
        <v>18</v>
      </c>
      <c r="J4" s="163" t="s">
        <v>128</v>
      </c>
      <c r="K4" s="164" t="s">
        <v>276</v>
      </c>
      <c r="L4" s="162">
        <f t="shared" si="0"/>
        <v>46213.336792789349</v>
      </c>
    </row>
    <row r="5" spans="1:12" ht="28.8" customHeight="1" x14ac:dyDescent="0.3">
      <c r="A5" s="162">
        <v>46206</v>
      </c>
      <c r="B5" s="162">
        <v>46213.336792789349</v>
      </c>
      <c r="C5" s="163" t="s">
        <v>229</v>
      </c>
      <c r="D5" s="163" t="s">
        <v>230</v>
      </c>
      <c r="E5" s="164" t="s">
        <v>231</v>
      </c>
      <c r="F5" s="164" t="s">
        <v>232</v>
      </c>
      <c r="G5" s="174">
        <v>15055.97</v>
      </c>
      <c r="H5" s="163" t="s">
        <v>201</v>
      </c>
      <c r="I5" s="163" t="s">
        <v>39</v>
      </c>
      <c r="J5" s="163" t="s">
        <v>45</v>
      </c>
      <c r="K5" s="164" t="s">
        <v>233</v>
      </c>
      <c r="L5" s="162">
        <f t="shared" si="0"/>
        <v>46213.336792789349</v>
      </c>
    </row>
    <row r="6" spans="1:12" x14ac:dyDescent="0.3">
      <c r="A6" s="162">
        <v>46210</v>
      </c>
      <c r="B6" s="162">
        <v>46213.336792789349</v>
      </c>
      <c r="C6" s="163" t="s">
        <v>241</v>
      </c>
      <c r="D6" s="163" t="s">
        <v>242</v>
      </c>
      <c r="E6" s="164" t="s">
        <v>243</v>
      </c>
      <c r="F6" s="164" t="s">
        <v>244</v>
      </c>
      <c r="G6" s="174">
        <v>6543.5</v>
      </c>
      <c r="H6" s="163" t="s">
        <v>25</v>
      </c>
      <c r="I6" s="163" t="s">
        <v>39</v>
      </c>
      <c r="J6" s="163" t="s">
        <v>45</v>
      </c>
      <c r="K6" s="164" t="s">
        <v>245</v>
      </c>
      <c r="L6" s="162">
        <f t="shared" si="0"/>
        <v>46213.336792789349</v>
      </c>
    </row>
    <row r="7" spans="1:12" ht="86.4" customHeight="1" x14ac:dyDescent="0.3">
      <c r="A7" s="168">
        <v>46205</v>
      </c>
      <c r="B7" s="168">
        <v>46216</v>
      </c>
      <c r="C7" s="169" t="s">
        <v>209</v>
      </c>
      <c r="D7" s="169" t="s">
        <v>210</v>
      </c>
      <c r="E7" s="170" t="s">
        <v>42</v>
      </c>
      <c r="F7" s="170" t="s">
        <v>211</v>
      </c>
      <c r="G7" s="175">
        <v>26773.15</v>
      </c>
      <c r="H7" s="169" t="s">
        <v>201</v>
      </c>
      <c r="I7" s="169" t="s">
        <v>18</v>
      </c>
      <c r="J7" s="169" t="s">
        <v>45</v>
      </c>
      <c r="K7" s="170" t="s">
        <v>212</v>
      </c>
      <c r="L7" s="168">
        <f t="shared" si="0"/>
        <v>46216</v>
      </c>
    </row>
    <row r="8" spans="1:12" ht="57.6" customHeight="1" x14ac:dyDescent="0.3">
      <c r="A8" s="168">
        <v>46205</v>
      </c>
      <c r="B8" s="168">
        <v>46216</v>
      </c>
      <c r="C8" s="169" t="s">
        <v>213</v>
      </c>
      <c r="D8" s="169" t="s">
        <v>214</v>
      </c>
      <c r="E8" s="170" t="s">
        <v>42</v>
      </c>
      <c r="F8" s="170" t="s">
        <v>215</v>
      </c>
      <c r="G8" s="175">
        <v>28094.5</v>
      </c>
      <c r="H8" s="169" t="s">
        <v>216</v>
      </c>
      <c r="I8" s="169" t="s">
        <v>18</v>
      </c>
      <c r="J8" s="169" t="s">
        <v>45</v>
      </c>
      <c r="K8" s="170" t="s">
        <v>217</v>
      </c>
      <c r="L8" s="168">
        <f t="shared" si="0"/>
        <v>46216</v>
      </c>
    </row>
    <row r="9" spans="1:12" x14ac:dyDescent="0.3">
      <c r="A9" s="168">
        <v>46211</v>
      </c>
      <c r="B9" s="168">
        <v>46216</v>
      </c>
      <c r="C9" s="169" t="s">
        <v>251</v>
      </c>
      <c r="D9" s="169" t="s">
        <v>252</v>
      </c>
      <c r="E9" s="170" t="s">
        <v>253</v>
      </c>
      <c r="F9" s="170" t="s">
        <v>211</v>
      </c>
      <c r="G9" s="175">
        <v>10343.790000000001</v>
      </c>
      <c r="H9" s="169" t="s">
        <v>201</v>
      </c>
      <c r="I9" s="169" t="s">
        <v>18</v>
      </c>
      <c r="J9" s="169" t="s">
        <v>45</v>
      </c>
      <c r="K9" s="170" t="s">
        <v>254</v>
      </c>
      <c r="L9" s="168">
        <f t="shared" si="0"/>
        <v>46216</v>
      </c>
    </row>
    <row r="10" spans="1:12" x14ac:dyDescent="0.3">
      <c r="A10" s="168">
        <v>46211</v>
      </c>
      <c r="B10" s="168">
        <v>46216</v>
      </c>
      <c r="C10" s="169" t="s">
        <v>277</v>
      </c>
      <c r="D10" s="169" t="s">
        <v>278</v>
      </c>
      <c r="E10" s="170" t="s">
        <v>279</v>
      </c>
      <c r="F10" s="170" t="s">
        <v>280</v>
      </c>
      <c r="G10" s="175">
        <v>8442.15</v>
      </c>
      <c r="H10" s="169" t="s">
        <v>44</v>
      </c>
      <c r="I10" s="169" t="s">
        <v>18</v>
      </c>
      <c r="J10" s="169" t="s">
        <v>45</v>
      </c>
      <c r="K10" s="170" t="s">
        <v>281</v>
      </c>
      <c r="L10" s="168">
        <f t="shared" si="0"/>
        <v>46216</v>
      </c>
    </row>
    <row r="11" spans="1:12" x14ac:dyDescent="0.3">
      <c r="A11" s="168">
        <v>46212</v>
      </c>
      <c r="B11" s="168">
        <v>46216</v>
      </c>
      <c r="C11" s="169" t="s">
        <v>282</v>
      </c>
      <c r="D11" s="169" t="s">
        <v>283</v>
      </c>
      <c r="E11" s="170" t="s">
        <v>282</v>
      </c>
      <c r="F11" s="170" t="s">
        <v>284</v>
      </c>
      <c r="G11" s="175">
        <v>19521.25</v>
      </c>
      <c r="H11" s="169" t="s">
        <v>25</v>
      </c>
      <c r="I11" s="169" t="s">
        <v>18</v>
      </c>
      <c r="J11" s="169" t="s">
        <v>26</v>
      </c>
      <c r="K11" s="170" t="s">
        <v>285</v>
      </c>
      <c r="L11" s="168">
        <f t="shared" si="0"/>
        <v>46216</v>
      </c>
    </row>
    <row r="12" spans="1:12" x14ac:dyDescent="0.3">
      <c r="A12" s="168">
        <v>46198</v>
      </c>
      <c r="B12" s="168">
        <v>46217</v>
      </c>
      <c r="C12" s="169" t="s">
        <v>180</v>
      </c>
      <c r="D12" s="169" t="s">
        <v>181</v>
      </c>
      <c r="E12" s="170" t="s">
        <v>42</v>
      </c>
      <c r="F12" s="170" t="s">
        <v>182</v>
      </c>
      <c r="G12" s="175">
        <v>12896.1</v>
      </c>
      <c r="H12" s="169" t="s">
        <v>183</v>
      </c>
      <c r="I12" s="169" t="s">
        <v>18</v>
      </c>
      <c r="J12" s="169" t="s">
        <v>45</v>
      </c>
      <c r="K12" s="170" t="s">
        <v>184</v>
      </c>
      <c r="L12" s="168">
        <f t="shared" si="0"/>
        <v>46217</v>
      </c>
    </row>
    <row r="13" spans="1:12" ht="288" customHeight="1" x14ac:dyDescent="0.3">
      <c r="A13" s="168">
        <v>46142</v>
      </c>
      <c r="B13" s="168">
        <v>46220</v>
      </c>
      <c r="C13" s="169" t="s">
        <v>34</v>
      </c>
      <c r="D13" s="169" t="s">
        <v>35</v>
      </c>
      <c r="E13" s="170" t="s">
        <v>36</v>
      </c>
      <c r="F13" s="170" t="s">
        <v>37</v>
      </c>
      <c r="G13" s="175">
        <v>251433.71</v>
      </c>
      <c r="H13" s="169" t="s">
        <v>38</v>
      </c>
      <c r="I13" s="169" t="s">
        <v>18</v>
      </c>
      <c r="J13" s="169" t="s">
        <v>128</v>
      </c>
      <c r="K13" s="170" t="s">
        <v>143</v>
      </c>
      <c r="L13" s="168">
        <f t="shared" si="0"/>
        <v>46220</v>
      </c>
    </row>
    <row r="14" spans="1:12" ht="129.6" customHeight="1" x14ac:dyDescent="0.3">
      <c r="A14" s="168">
        <v>46198</v>
      </c>
      <c r="B14" s="168">
        <v>46220</v>
      </c>
      <c r="C14" s="169" t="s">
        <v>21</v>
      </c>
      <c r="D14" s="169" t="s">
        <v>22</v>
      </c>
      <c r="E14" s="170" t="s">
        <v>23</v>
      </c>
      <c r="F14" s="170" t="s">
        <v>24</v>
      </c>
      <c r="G14" s="175">
        <v>143822.45000000001</v>
      </c>
      <c r="H14" s="169" t="s">
        <v>25</v>
      </c>
      <c r="I14" s="169" t="s">
        <v>18</v>
      </c>
      <c r="J14" s="169" t="s">
        <v>45</v>
      </c>
      <c r="K14" s="170" t="s">
        <v>162</v>
      </c>
      <c r="L14" s="168">
        <f t="shared" si="0"/>
        <v>46220</v>
      </c>
    </row>
    <row r="15" spans="1:12" x14ac:dyDescent="0.3">
      <c r="A15" s="168">
        <v>46211</v>
      </c>
      <c r="B15" s="168">
        <v>46220</v>
      </c>
      <c r="C15" s="169" t="s">
        <v>255</v>
      </c>
      <c r="D15" s="169" t="s">
        <v>256</v>
      </c>
      <c r="E15" s="170" t="s">
        <v>257</v>
      </c>
      <c r="F15" s="170" t="s">
        <v>258</v>
      </c>
      <c r="G15" s="175">
        <v>22914.9</v>
      </c>
      <c r="H15" s="169" t="s">
        <v>25</v>
      </c>
      <c r="I15" s="169" t="s">
        <v>18</v>
      </c>
      <c r="J15" s="169" t="s">
        <v>19</v>
      </c>
      <c r="K15" s="170" t="s">
        <v>259</v>
      </c>
      <c r="L15" s="168">
        <f t="shared" si="0"/>
        <v>46220</v>
      </c>
    </row>
    <row r="16" spans="1:12" ht="86.4" customHeight="1" x14ac:dyDescent="0.3">
      <c r="A16" s="168">
        <v>46212</v>
      </c>
      <c r="B16" s="168">
        <v>46225</v>
      </c>
      <c r="C16" s="169" t="s">
        <v>286</v>
      </c>
      <c r="D16" s="169" t="s">
        <v>287</v>
      </c>
      <c r="E16" s="170" t="s">
        <v>288</v>
      </c>
      <c r="F16" s="170" t="s">
        <v>200</v>
      </c>
      <c r="G16" s="175">
        <v>43732.2</v>
      </c>
      <c r="H16" s="169" t="s">
        <v>201</v>
      </c>
      <c r="I16" s="169" t="s">
        <v>18</v>
      </c>
      <c r="J16" s="169" t="s">
        <v>50</v>
      </c>
      <c r="K16" s="170" t="s">
        <v>289</v>
      </c>
      <c r="L16" s="168">
        <f t="shared" si="0"/>
        <v>46225</v>
      </c>
    </row>
    <row r="17" spans="1:12" ht="129.6" customHeight="1" x14ac:dyDescent="0.3">
      <c r="A17" s="168">
        <v>46198</v>
      </c>
      <c r="B17" s="168">
        <v>46227</v>
      </c>
      <c r="C17" s="169" t="s">
        <v>174</v>
      </c>
      <c r="D17" s="169" t="s">
        <v>175</v>
      </c>
      <c r="E17" s="170" t="s">
        <v>42</v>
      </c>
      <c r="F17" s="170" t="s">
        <v>176</v>
      </c>
      <c r="G17" s="175">
        <v>241125</v>
      </c>
      <c r="H17" s="169" t="s">
        <v>177</v>
      </c>
      <c r="I17" s="169" t="s">
        <v>18</v>
      </c>
      <c r="J17" s="169" t="s">
        <v>19</v>
      </c>
      <c r="K17" s="170" t="s">
        <v>178</v>
      </c>
      <c r="L17" s="168">
        <f t="shared" si="0"/>
        <v>46227</v>
      </c>
    </row>
    <row r="18" spans="1:12" x14ac:dyDescent="0.3">
      <c r="A18" s="168">
        <v>46205</v>
      </c>
      <c r="B18" s="168">
        <v>46233</v>
      </c>
      <c r="C18" s="169" t="s">
        <v>13</v>
      </c>
      <c r="D18" s="169" t="s">
        <v>14</v>
      </c>
      <c r="E18" s="170" t="s">
        <v>15</v>
      </c>
      <c r="F18" s="170" t="s">
        <v>16</v>
      </c>
      <c r="G18" s="175">
        <v>70994.559999999998</v>
      </c>
      <c r="H18" s="169" t="s">
        <v>17</v>
      </c>
      <c r="I18" s="169" t="s">
        <v>18</v>
      </c>
      <c r="J18" s="169" t="s">
        <v>19</v>
      </c>
      <c r="K18" s="170" t="s">
        <v>234</v>
      </c>
      <c r="L18" s="168">
        <f t="shared" si="0"/>
        <v>46233</v>
      </c>
    </row>
    <row r="19" spans="1:12" x14ac:dyDescent="0.3">
      <c r="A19" s="165">
        <v>46111</v>
      </c>
      <c r="B19" s="165">
        <v>46234</v>
      </c>
      <c r="C19" s="166" t="s">
        <v>96</v>
      </c>
      <c r="D19" s="166" t="s">
        <v>97</v>
      </c>
      <c r="E19" s="167" t="s">
        <v>98</v>
      </c>
      <c r="F19" s="167" t="s">
        <v>99</v>
      </c>
      <c r="G19" s="176">
        <v>169353.60000000001</v>
      </c>
      <c r="H19" s="166" t="s">
        <v>72</v>
      </c>
      <c r="I19" s="166" t="s">
        <v>100</v>
      </c>
      <c r="J19" s="166"/>
      <c r="K19" s="167" t="s">
        <v>208</v>
      </c>
      <c r="L19" s="165">
        <f t="shared" si="0"/>
        <v>46234</v>
      </c>
    </row>
    <row r="20" spans="1:12" ht="115.2" customHeight="1" x14ac:dyDescent="0.3">
      <c r="A20" s="165">
        <v>46128</v>
      </c>
      <c r="B20" s="165">
        <v>46234</v>
      </c>
      <c r="C20" s="166" t="s">
        <v>100</v>
      </c>
      <c r="D20" s="166" t="s">
        <v>101</v>
      </c>
      <c r="E20" s="167" t="s">
        <v>102</v>
      </c>
      <c r="F20" s="167" t="s">
        <v>103</v>
      </c>
      <c r="G20" s="176">
        <v>82900.05</v>
      </c>
      <c r="H20" s="166" t="s">
        <v>72</v>
      </c>
      <c r="I20" s="166" t="s">
        <v>100</v>
      </c>
      <c r="J20" s="166"/>
      <c r="K20" s="167" t="s">
        <v>186</v>
      </c>
      <c r="L20" s="165">
        <f t="shared" si="0"/>
        <v>46234</v>
      </c>
    </row>
    <row r="21" spans="1:12" ht="72" customHeight="1" x14ac:dyDescent="0.3">
      <c r="A21" s="165">
        <v>46142</v>
      </c>
      <c r="B21" s="165">
        <v>46234</v>
      </c>
      <c r="C21" s="166" t="s">
        <v>104</v>
      </c>
      <c r="D21" s="166" t="s">
        <v>105</v>
      </c>
      <c r="E21" s="167" t="s">
        <v>106</v>
      </c>
      <c r="F21" s="167" t="s">
        <v>107</v>
      </c>
      <c r="G21" s="176">
        <v>310411</v>
      </c>
      <c r="H21" s="166" t="s">
        <v>108</v>
      </c>
      <c r="I21" s="166" t="s">
        <v>100</v>
      </c>
      <c r="J21" s="166"/>
      <c r="K21" s="167" t="s">
        <v>187</v>
      </c>
      <c r="L21" s="165">
        <f t="shared" si="0"/>
        <v>46234</v>
      </c>
    </row>
    <row r="22" spans="1:12" x14ac:dyDescent="0.3">
      <c r="A22" s="165">
        <v>46142</v>
      </c>
      <c r="B22" s="165">
        <v>46234</v>
      </c>
      <c r="C22" s="166" t="s">
        <v>100</v>
      </c>
      <c r="D22" s="166" t="s">
        <v>109</v>
      </c>
      <c r="E22" s="167" t="s">
        <v>110</v>
      </c>
      <c r="F22" s="167" t="s">
        <v>111</v>
      </c>
      <c r="G22" s="176">
        <v>204447</v>
      </c>
      <c r="H22" s="166" t="s">
        <v>38</v>
      </c>
      <c r="I22" s="166" t="s">
        <v>100</v>
      </c>
      <c r="J22" s="166"/>
      <c r="K22" s="167" t="s">
        <v>188</v>
      </c>
      <c r="L22" s="165">
        <f t="shared" si="0"/>
        <v>46234</v>
      </c>
    </row>
    <row r="23" spans="1:12" x14ac:dyDescent="0.3">
      <c r="A23" s="165">
        <v>46170</v>
      </c>
      <c r="B23" s="165">
        <v>46234</v>
      </c>
      <c r="C23" s="166" t="s">
        <v>100</v>
      </c>
      <c r="D23" s="166" t="s">
        <v>112</v>
      </c>
      <c r="E23" s="167" t="s">
        <v>113</v>
      </c>
      <c r="F23" s="167" t="s">
        <v>114</v>
      </c>
      <c r="G23" s="176">
        <v>1860403.01</v>
      </c>
      <c r="H23" s="166" t="s">
        <v>72</v>
      </c>
      <c r="I23" s="166" t="s">
        <v>100</v>
      </c>
      <c r="J23" s="166"/>
      <c r="K23" s="167" t="s">
        <v>189</v>
      </c>
      <c r="L23" s="165">
        <f t="shared" si="0"/>
        <v>46234</v>
      </c>
    </row>
    <row r="24" spans="1:12" x14ac:dyDescent="0.3">
      <c r="A24" s="165">
        <v>46211</v>
      </c>
      <c r="B24" s="165">
        <v>46234</v>
      </c>
      <c r="C24" s="166" t="s">
        <v>260</v>
      </c>
      <c r="D24" s="166" t="s">
        <v>261</v>
      </c>
      <c r="E24" s="167" t="s">
        <v>260</v>
      </c>
      <c r="F24" s="167" t="s">
        <v>262</v>
      </c>
      <c r="G24" s="176">
        <v>3329.25</v>
      </c>
      <c r="H24" s="166" t="s">
        <v>17</v>
      </c>
      <c r="I24" s="166" t="s">
        <v>100</v>
      </c>
      <c r="J24" s="166"/>
      <c r="K24" s="167" t="s">
        <v>263</v>
      </c>
      <c r="L24" s="165">
        <f t="shared" si="0"/>
        <v>46234</v>
      </c>
    </row>
    <row r="25" spans="1:12" x14ac:dyDescent="0.3">
      <c r="A25" s="168">
        <v>46171</v>
      </c>
      <c r="B25" s="168">
        <v>46239</v>
      </c>
      <c r="C25" s="169" t="s">
        <v>68</v>
      </c>
      <c r="D25" s="169" t="s">
        <v>69</v>
      </c>
      <c r="E25" s="170" t="s">
        <v>70</v>
      </c>
      <c r="F25" s="170" t="s">
        <v>71</v>
      </c>
      <c r="G25" s="175">
        <v>18400</v>
      </c>
      <c r="H25" s="169" t="s">
        <v>72</v>
      </c>
      <c r="I25" s="169" t="s">
        <v>18</v>
      </c>
      <c r="J25" s="169" t="s">
        <v>19</v>
      </c>
      <c r="K25" s="170" t="s">
        <v>185</v>
      </c>
      <c r="L25" s="168">
        <f t="shared" si="0"/>
        <v>46239</v>
      </c>
    </row>
    <row r="26" spans="1:12" ht="28.8" customHeight="1" x14ac:dyDescent="0.3">
      <c r="A26" s="168">
        <v>46185</v>
      </c>
      <c r="B26" s="168">
        <v>46253</v>
      </c>
      <c r="C26" s="169" t="s">
        <v>82</v>
      </c>
      <c r="D26" s="169" t="s">
        <v>83</v>
      </c>
      <c r="E26" s="170" t="s">
        <v>84</v>
      </c>
      <c r="F26" s="170" t="s">
        <v>85</v>
      </c>
      <c r="G26" s="175">
        <v>109947.56</v>
      </c>
      <c r="H26" s="169" t="s">
        <v>86</v>
      </c>
      <c r="I26" s="169" t="s">
        <v>18</v>
      </c>
      <c r="J26" s="169" t="s">
        <v>45</v>
      </c>
      <c r="K26" s="170" t="s">
        <v>168</v>
      </c>
      <c r="L26" s="168">
        <f t="shared" si="0"/>
        <v>46253</v>
      </c>
    </row>
    <row r="27" spans="1:12" x14ac:dyDescent="0.3">
      <c r="F27" s="171" t="s">
        <v>118</v>
      </c>
      <c r="G27" s="177">
        <f>SUMIF(I3:I26,"&lt;&gt;Pending",G3:G26)</f>
        <v>1059426.81</v>
      </c>
    </row>
    <row r="29" spans="1:12" x14ac:dyDescent="0.3">
      <c r="F29" s="172" t="s">
        <v>119</v>
      </c>
    </row>
    <row r="30" spans="1:12" x14ac:dyDescent="0.3">
      <c r="F30" t="s">
        <v>120</v>
      </c>
      <c r="G30" s="24">
        <f ca="1">SUMIFS(G3:G26, J3:J26, "*CASH SALE*", L3:L26, "&gt;="&amp;EOMONTH(TODAY(),-1)+1, L3:L26, "&lt;="&amp;EOMONTH(TODAY(),0), I3:I26, "&lt;&gt;Pending")</f>
        <v>596044.79</v>
      </c>
      <c r="I30" t="s">
        <v>121</v>
      </c>
      <c r="J30" s="19">
        <f ca="1">SUMIFS(G3:G26, J3:J26, "*CASH SALE*", L3:L26, "&gt;="&amp;EOMONTH(TODAY(),0)+1, L3:L26, "&lt;="&amp;EOMONTH(TODAY(),1), I3:I26, "&lt;&gt;Pending")</f>
        <v>109947.56</v>
      </c>
    </row>
    <row r="31" spans="1:12" x14ac:dyDescent="0.3">
      <c r="F31" t="s">
        <v>122</v>
      </c>
      <c r="G31" s="24">
        <f ca="1">SUMIFS(G3:G26, J3:J26, "*ACCOUNT*", L3:L26, "&gt;="&amp;EOMONTH(TODAY(),-1)+1, L3:L26, "&lt;="&amp;EOMONTH(TODAY(),0), I3:I26, "&lt;&gt;Pending")</f>
        <v>335034.46000000002</v>
      </c>
      <c r="I31" t="s">
        <v>123</v>
      </c>
      <c r="J31" s="19">
        <f ca="1">SUMIFS(G3:G26, J3:J26, "*ACCOUNT*", L3:L26, "&gt;="&amp;EOMONTH(TODAY(),0)+1, L3:L26, "&lt;="&amp;EOMONTH(TODAY(),1), I3:I26, "&lt;&gt;Pending")</f>
        <v>18400</v>
      </c>
    </row>
    <row r="33" spans="1:11" ht="28.8" customHeight="1" x14ac:dyDescent="0.3">
      <c r="A33" s="161" t="s">
        <v>1</v>
      </c>
      <c r="B33" s="161" t="s">
        <v>2</v>
      </c>
      <c r="C33" s="161" t="s">
        <v>3</v>
      </c>
      <c r="D33" s="161" t="s">
        <v>4</v>
      </c>
      <c r="E33" s="161" t="s">
        <v>5</v>
      </c>
      <c r="F33" s="161" t="s">
        <v>6</v>
      </c>
      <c r="G33" s="173" t="s">
        <v>7</v>
      </c>
      <c r="H33" s="161" t="s">
        <v>8</v>
      </c>
      <c r="I33" s="161" t="s">
        <v>9</v>
      </c>
      <c r="J33" s="161" t="s">
        <v>10</v>
      </c>
      <c r="K33" s="161" t="s">
        <v>124</v>
      </c>
    </row>
    <row r="34" spans="1:11" x14ac:dyDescent="0.3">
      <c r="A34" s="178">
        <v>46210</v>
      </c>
      <c r="B34" s="178">
        <v>46213.336792789349</v>
      </c>
      <c r="C34" s="169" t="s">
        <v>241</v>
      </c>
      <c r="D34" s="169" t="s">
        <v>242</v>
      </c>
      <c r="E34" s="179" t="s">
        <v>243</v>
      </c>
      <c r="F34" s="179" t="s">
        <v>244</v>
      </c>
      <c r="G34" s="175">
        <v>6543.5</v>
      </c>
      <c r="H34" s="169" t="s">
        <v>25</v>
      </c>
      <c r="I34" s="179" t="s">
        <v>18</v>
      </c>
      <c r="J34" s="179" t="s">
        <v>45</v>
      </c>
      <c r="K34" s="170"/>
    </row>
    <row r="35" spans="1:11" x14ac:dyDescent="0.3">
      <c r="A35" s="178">
        <v>46212</v>
      </c>
      <c r="B35" s="178">
        <v>46213.336792789349</v>
      </c>
      <c r="C35" s="169" t="s">
        <v>271</v>
      </c>
      <c r="D35" s="169" t="s">
        <v>272</v>
      </c>
      <c r="E35" s="179" t="s">
        <v>273</v>
      </c>
      <c r="F35" s="179" t="s">
        <v>274</v>
      </c>
      <c r="G35" s="175">
        <v>6641.25</v>
      </c>
      <c r="H35" s="169" t="s">
        <v>275</v>
      </c>
      <c r="I35" s="179" t="s">
        <v>18</v>
      </c>
      <c r="J35" s="179" t="s">
        <v>128</v>
      </c>
      <c r="K35" s="170"/>
    </row>
    <row r="36" spans="1:11" x14ac:dyDescent="0.3">
      <c r="A36" s="178">
        <v>46212</v>
      </c>
      <c r="B36" s="178">
        <v>46213.336792789349</v>
      </c>
      <c r="C36" s="169" t="s">
        <v>266</v>
      </c>
      <c r="D36" s="169" t="s">
        <v>267</v>
      </c>
      <c r="E36" s="179" t="s">
        <v>268</v>
      </c>
      <c r="F36" s="179" t="s">
        <v>269</v>
      </c>
      <c r="G36" s="175">
        <v>22744.77</v>
      </c>
      <c r="H36" s="169" t="s">
        <v>25</v>
      </c>
      <c r="I36" s="179" t="s">
        <v>18</v>
      </c>
      <c r="J36" s="179" t="s">
        <v>128</v>
      </c>
      <c r="K36" s="170"/>
    </row>
    <row r="37" spans="1:11" x14ac:dyDescent="0.3">
      <c r="A37" s="178">
        <v>46206</v>
      </c>
      <c r="B37" s="178">
        <v>46213.336792789349</v>
      </c>
      <c r="C37" s="169" t="s">
        <v>229</v>
      </c>
      <c r="D37" s="169" t="s">
        <v>230</v>
      </c>
      <c r="E37" s="179" t="s">
        <v>231</v>
      </c>
      <c r="F37" s="179" t="s">
        <v>232</v>
      </c>
      <c r="G37" s="175">
        <v>15055.97</v>
      </c>
      <c r="H37" s="169" t="s">
        <v>201</v>
      </c>
      <c r="I37" s="179" t="s">
        <v>39</v>
      </c>
      <c r="J37" s="179" t="s">
        <v>45</v>
      </c>
      <c r="K37" s="170"/>
    </row>
    <row r="38" spans="1:11" x14ac:dyDescent="0.3">
      <c r="F38" s="171" t="s">
        <v>129</v>
      </c>
      <c r="G38" s="177">
        <f>SUM(G34:G37)</f>
        <v>50985.490000000005</v>
      </c>
    </row>
    <row r="40" spans="1:11" x14ac:dyDescent="0.3">
      <c r="F40" s="171" t="s">
        <v>130</v>
      </c>
      <c r="G40" s="177">
        <f>SUMIFS(G3:G26, I3:I26, "*Ready*Dispatch*")</f>
        <v>21599.47</v>
      </c>
    </row>
    <row r="41" spans="1:11" x14ac:dyDescent="0.3">
      <c r="A41" s="463" t="s">
        <v>290</v>
      </c>
      <c r="B41" s="456"/>
      <c r="C41" s="454"/>
      <c r="D41" s="454"/>
    </row>
    <row r="42" spans="1:11" x14ac:dyDescent="0.3">
      <c r="A42" s="463" t="s">
        <v>132</v>
      </c>
      <c r="B42" s="456"/>
      <c r="C42" s="454"/>
      <c r="D42" s="454"/>
    </row>
  </sheetData>
  <mergeCells count="3">
    <mergeCell ref="A1:D1"/>
    <mergeCell ref="A42:D42"/>
    <mergeCell ref="A41:D41"/>
  </mergeCells>
  <pageMargins left="0.25" right="0.25" top="0.75" bottom="0.75" header="0.3" footer="0.3"/>
  <pageSetup fitToHeight="0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L48"/>
  <sheetViews>
    <sheetView zoomScale="85" zoomScaleNormal="85" workbookViewId="0">
      <pane xSplit="4" ySplit="2" topLeftCell="E8" activePane="bottomRight" state="frozen"/>
      <selection activeCell="G10" sqref="G10"/>
      <selection pane="topRight" activeCell="G10" sqref="G10"/>
      <selection pane="bottomLeft" activeCell="G10" sqref="G10"/>
      <selection pane="bottomRight" activeCell="J10" sqref="J10"/>
    </sheetView>
  </sheetViews>
  <sheetFormatPr defaultRowHeight="14.4" x14ac:dyDescent="0.3"/>
  <cols>
    <col min="1" max="2" width="12" customWidth="1"/>
    <col min="3" max="3" width="15" customWidth="1"/>
    <col min="4" max="4" width="12" customWidth="1"/>
    <col min="5" max="5" width="20" customWidth="1"/>
    <col min="6" max="6" width="30" customWidth="1"/>
    <col min="7" max="7" width="15" customWidth="1"/>
    <col min="8" max="8" width="20" customWidth="1"/>
    <col min="9" max="9" width="15" customWidth="1"/>
    <col min="10" max="10" width="23.33203125" customWidth="1"/>
    <col min="11" max="11" width="50" customWidth="1"/>
    <col min="12" max="12" width="12" customWidth="1"/>
  </cols>
  <sheetData>
    <row r="1" spans="1:12" ht="18" customHeight="1" x14ac:dyDescent="0.35">
      <c r="A1" s="180" t="s">
        <v>0</v>
      </c>
      <c r="K1" s="181">
        <f ca="1">TODAY()</f>
        <v>46233</v>
      </c>
    </row>
    <row r="2" spans="1:12" ht="43.2" customHeight="1" x14ac:dyDescent="0.3">
      <c r="A2" s="182" t="s">
        <v>1</v>
      </c>
      <c r="B2" s="182" t="s">
        <v>2</v>
      </c>
      <c r="C2" s="182" t="s">
        <v>3</v>
      </c>
      <c r="D2" s="182" t="s">
        <v>4</v>
      </c>
      <c r="E2" s="182" t="s">
        <v>5</v>
      </c>
      <c r="F2" s="182" t="s">
        <v>6</v>
      </c>
      <c r="G2" s="182" t="s">
        <v>7</v>
      </c>
      <c r="H2" s="182" t="s">
        <v>8</v>
      </c>
      <c r="I2" s="182" t="s">
        <v>9</v>
      </c>
      <c r="J2" s="182" t="s">
        <v>10</v>
      </c>
      <c r="K2" s="182" t="s">
        <v>11</v>
      </c>
      <c r="L2" s="182" t="s">
        <v>12</v>
      </c>
    </row>
    <row r="3" spans="1:12" x14ac:dyDescent="0.3">
      <c r="A3" s="191">
        <v>46211</v>
      </c>
      <c r="B3" s="191">
        <v>46216</v>
      </c>
      <c r="C3" s="192" t="s">
        <v>260</v>
      </c>
      <c r="D3" s="192" t="s">
        <v>261</v>
      </c>
      <c r="E3" s="193" t="s">
        <v>260</v>
      </c>
      <c r="F3" s="193" t="s">
        <v>262</v>
      </c>
      <c r="G3" s="194">
        <v>3329.25</v>
      </c>
      <c r="H3" s="192" t="s">
        <v>17</v>
      </c>
      <c r="I3" s="192" t="s">
        <v>18</v>
      </c>
      <c r="J3" s="192" t="s">
        <v>45</v>
      </c>
      <c r="K3" s="193" t="s">
        <v>263</v>
      </c>
      <c r="L3" s="191">
        <f t="shared" ref="L3:L24" si="0">B3</f>
        <v>46216</v>
      </c>
    </row>
    <row r="4" spans="1:12" x14ac:dyDescent="0.3">
      <c r="A4" s="183">
        <v>46210</v>
      </c>
      <c r="B4" s="183">
        <v>46216.479816562503</v>
      </c>
      <c r="C4" s="184" t="s">
        <v>241</v>
      </c>
      <c r="D4" s="184" t="s">
        <v>242</v>
      </c>
      <c r="E4" s="185" t="s">
        <v>243</v>
      </c>
      <c r="F4" s="185" t="s">
        <v>244</v>
      </c>
      <c r="G4" s="186">
        <v>6543.5</v>
      </c>
      <c r="H4" s="184" t="s">
        <v>25</v>
      </c>
      <c r="I4" s="184" t="s">
        <v>18</v>
      </c>
      <c r="J4" s="184" t="s">
        <v>45</v>
      </c>
      <c r="K4" s="185" t="s">
        <v>245</v>
      </c>
      <c r="L4" s="183">
        <f t="shared" si="0"/>
        <v>46216.479816562503</v>
      </c>
    </row>
    <row r="5" spans="1:12" x14ac:dyDescent="0.3">
      <c r="A5" s="183">
        <v>46211</v>
      </c>
      <c r="B5" s="183">
        <v>46216.479816562503</v>
      </c>
      <c r="C5" s="184" t="s">
        <v>251</v>
      </c>
      <c r="D5" s="184" t="s">
        <v>252</v>
      </c>
      <c r="E5" s="185" t="s">
        <v>253</v>
      </c>
      <c r="F5" s="185" t="s">
        <v>211</v>
      </c>
      <c r="G5" s="186">
        <v>10343.790000000001</v>
      </c>
      <c r="H5" s="184" t="s">
        <v>201</v>
      </c>
      <c r="I5" s="184" t="s">
        <v>18</v>
      </c>
      <c r="J5" s="184" t="s">
        <v>45</v>
      </c>
      <c r="K5" s="185" t="s">
        <v>254</v>
      </c>
      <c r="L5" s="183">
        <f t="shared" si="0"/>
        <v>46216.479816562503</v>
      </c>
    </row>
    <row r="6" spans="1:12" x14ac:dyDescent="0.3">
      <c r="A6" s="183">
        <v>46211</v>
      </c>
      <c r="B6" s="183">
        <v>46216.479816562503</v>
      </c>
      <c r="C6" s="184" t="s">
        <v>277</v>
      </c>
      <c r="D6" s="184" t="s">
        <v>278</v>
      </c>
      <c r="E6" s="185" t="s">
        <v>279</v>
      </c>
      <c r="F6" s="185" t="s">
        <v>280</v>
      </c>
      <c r="G6" s="186">
        <v>8442.15</v>
      </c>
      <c r="H6" s="184" t="s">
        <v>44</v>
      </c>
      <c r="I6" s="184" t="s">
        <v>18</v>
      </c>
      <c r="J6" s="184" t="s">
        <v>45</v>
      </c>
      <c r="K6" s="185" t="s">
        <v>281</v>
      </c>
      <c r="L6" s="183">
        <f t="shared" si="0"/>
        <v>46216.479816562503</v>
      </c>
    </row>
    <row r="7" spans="1:12" ht="43.2" customHeight="1" x14ac:dyDescent="0.3">
      <c r="A7" s="183">
        <v>46213</v>
      </c>
      <c r="B7" s="183">
        <v>46216.479816562503</v>
      </c>
      <c r="C7" s="184" t="s">
        <v>291</v>
      </c>
      <c r="D7" s="184" t="s">
        <v>292</v>
      </c>
      <c r="E7" s="185" t="s">
        <v>293</v>
      </c>
      <c r="F7" s="185" t="s">
        <v>127</v>
      </c>
      <c r="G7" s="186">
        <v>7312.85</v>
      </c>
      <c r="H7" s="184" t="s">
        <v>32</v>
      </c>
      <c r="I7" s="184" t="s">
        <v>18</v>
      </c>
      <c r="J7" s="184" t="s">
        <v>19</v>
      </c>
      <c r="K7" s="185" t="s">
        <v>294</v>
      </c>
      <c r="L7" s="183">
        <f t="shared" si="0"/>
        <v>46216.479816562503</v>
      </c>
    </row>
    <row r="8" spans="1:12" ht="72" customHeight="1" x14ac:dyDescent="0.3">
      <c r="A8" s="183">
        <v>46205</v>
      </c>
      <c r="B8" s="183">
        <v>46217</v>
      </c>
      <c r="C8" s="184" t="s">
        <v>213</v>
      </c>
      <c r="D8" s="184" t="s">
        <v>214</v>
      </c>
      <c r="E8" s="185" t="s">
        <v>42</v>
      </c>
      <c r="F8" s="185" t="s">
        <v>215</v>
      </c>
      <c r="G8" s="186">
        <v>28094.5</v>
      </c>
      <c r="H8" s="184" t="s">
        <v>216</v>
      </c>
      <c r="I8" s="184" t="s">
        <v>18</v>
      </c>
      <c r="J8" s="184" t="s">
        <v>45</v>
      </c>
      <c r="K8" s="185" t="s">
        <v>217</v>
      </c>
      <c r="L8" s="183">
        <f t="shared" si="0"/>
        <v>46217</v>
      </c>
    </row>
    <row r="9" spans="1:12" ht="28.8" customHeight="1" x14ac:dyDescent="0.3">
      <c r="A9" s="183">
        <v>46198</v>
      </c>
      <c r="B9" s="183">
        <v>46217</v>
      </c>
      <c r="C9" s="184" t="s">
        <v>180</v>
      </c>
      <c r="D9" s="184" t="s">
        <v>181</v>
      </c>
      <c r="E9" s="185" t="s">
        <v>42</v>
      </c>
      <c r="F9" s="185" t="s">
        <v>182</v>
      </c>
      <c r="G9" s="186">
        <v>12896.1</v>
      </c>
      <c r="H9" s="184" t="s">
        <v>183</v>
      </c>
      <c r="I9" s="184" t="s">
        <v>18</v>
      </c>
      <c r="J9" s="184" t="s">
        <v>45</v>
      </c>
      <c r="K9" s="185" t="s">
        <v>184</v>
      </c>
      <c r="L9" s="183">
        <f t="shared" si="0"/>
        <v>46217</v>
      </c>
    </row>
    <row r="10" spans="1:12" x14ac:dyDescent="0.3">
      <c r="A10" s="183">
        <v>46212</v>
      </c>
      <c r="B10" s="183">
        <v>46217</v>
      </c>
      <c r="C10" s="184" t="s">
        <v>282</v>
      </c>
      <c r="D10" s="184" t="s">
        <v>283</v>
      </c>
      <c r="E10" s="185" t="s">
        <v>282</v>
      </c>
      <c r="F10" s="185" t="s">
        <v>284</v>
      </c>
      <c r="G10" s="186">
        <v>19521.25</v>
      </c>
      <c r="H10" s="184" t="s">
        <v>25</v>
      </c>
      <c r="I10" s="184" t="s">
        <v>18</v>
      </c>
      <c r="J10" s="184" t="s">
        <v>26</v>
      </c>
      <c r="K10" s="185" t="s">
        <v>285</v>
      </c>
      <c r="L10" s="183">
        <f t="shared" si="0"/>
        <v>46217</v>
      </c>
    </row>
    <row r="11" spans="1:12" ht="115.2" customHeight="1" x14ac:dyDescent="0.3">
      <c r="A11" s="183">
        <v>46205</v>
      </c>
      <c r="B11" s="183">
        <v>46218</v>
      </c>
      <c r="C11" s="184" t="s">
        <v>209</v>
      </c>
      <c r="D11" s="184" t="s">
        <v>210</v>
      </c>
      <c r="E11" s="185" t="s">
        <v>42</v>
      </c>
      <c r="F11" s="185" t="s">
        <v>211</v>
      </c>
      <c r="G11" s="186">
        <v>26773.15</v>
      </c>
      <c r="H11" s="184" t="s">
        <v>201</v>
      </c>
      <c r="I11" s="184" t="s">
        <v>18</v>
      </c>
      <c r="J11" s="184" t="s">
        <v>45</v>
      </c>
      <c r="K11" s="185" t="s">
        <v>212</v>
      </c>
      <c r="L11" s="183">
        <f t="shared" si="0"/>
        <v>46218</v>
      </c>
    </row>
    <row r="12" spans="1:12" ht="409.6" customHeight="1" x14ac:dyDescent="0.3">
      <c r="A12" s="191">
        <v>46142</v>
      </c>
      <c r="B12" s="191">
        <v>46220</v>
      </c>
      <c r="C12" s="192" t="s">
        <v>34</v>
      </c>
      <c r="D12" s="192" t="s">
        <v>35</v>
      </c>
      <c r="E12" s="193" t="s">
        <v>36</v>
      </c>
      <c r="F12" s="193" t="s">
        <v>37</v>
      </c>
      <c r="G12" s="194">
        <v>251433.71</v>
      </c>
      <c r="H12" s="192" t="s">
        <v>38</v>
      </c>
      <c r="I12" s="192" t="s">
        <v>18</v>
      </c>
      <c r="J12" s="192" t="s">
        <v>128</v>
      </c>
      <c r="K12" s="193" t="s">
        <v>143</v>
      </c>
      <c r="L12" s="191">
        <f t="shared" si="0"/>
        <v>46220</v>
      </c>
    </row>
    <row r="13" spans="1:12" ht="172.8" customHeight="1" x14ac:dyDescent="0.3">
      <c r="A13" s="191">
        <v>46198</v>
      </c>
      <c r="B13" s="191">
        <v>46220</v>
      </c>
      <c r="C13" s="192" t="s">
        <v>21</v>
      </c>
      <c r="D13" s="192" t="s">
        <v>22</v>
      </c>
      <c r="E13" s="193" t="s">
        <v>23</v>
      </c>
      <c r="F13" s="193" t="s">
        <v>24</v>
      </c>
      <c r="G13" s="194">
        <v>143822.45000000001</v>
      </c>
      <c r="H13" s="192" t="s">
        <v>25</v>
      </c>
      <c r="I13" s="192" t="s">
        <v>18</v>
      </c>
      <c r="J13" s="192" t="s">
        <v>45</v>
      </c>
      <c r="K13" s="193" t="s">
        <v>162</v>
      </c>
      <c r="L13" s="191">
        <f t="shared" si="0"/>
        <v>46220</v>
      </c>
    </row>
    <row r="14" spans="1:12" ht="28.8" customHeight="1" x14ac:dyDescent="0.3">
      <c r="A14" s="191">
        <v>46211</v>
      </c>
      <c r="B14" s="191">
        <v>46220</v>
      </c>
      <c r="C14" s="192" t="s">
        <v>255</v>
      </c>
      <c r="D14" s="192" t="s">
        <v>256</v>
      </c>
      <c r="E14" s="193" t="s">
        <v>257</v>
      </c>
      <c r="F14" s="193" t="s">
        <v>258</v>
      </c>
      <c r="G14" s="194">
        <v>22914.9</v>
      </c>
      <c r="H14" s="192" t="s">
        <v>25</v>
      </c>
      <c r="I14" s="192" t="s">
        <v>18</v>
      </c>
      <c r="J14" s="192" t="s">
        <v>19</v>
      </c>
      <c r="K14" s="193" t="s">
        <v>259</v>
      </c>
      <c r="L14" s="191">
        <f t="shared" si="0"/>
        <v>46220</v>
      </c>
    </row>
    <row r="15" spans="1:12" ht="129.6" customHeight="1" x14ac:dyDescent="0.3">
      <c r="A15" s="191">
        <v>46212</v>
      </c>
      <c r="B15" s="191">
        <v>46225</v>
      </c>
      <c r="C15" s="192" t="s">
        <v>286</v>
      </c>
      <c r="D15" s="192" t="s">
        <v>287</v>
      </c>
      <c r="E15" s="193" t="s">
        <v>288</v>
      </c>
      <c r="F15" s="193" t="s">
        <v>200</v>
      </c>
      <c r="G15" s="194">
        <v>43732.2</v>
      </c>
      <c r="H15" s="192" t="s">
        <v>201</v>
      </c>
      <c r="I15" s="192" t="s">
        <v>18</v>
      </c>
      <c r="J15" s="192" t="s">
        <v>50</v>
      </c>
      <c r="K15" s="193" t="s">
        <v>289</v>
      </c>
      <c r="L15" s="191">
        <f t="shared" si="0"/>
        <v>46225</v>
      </c>
    </row>
    <row r="16" spans="1:12" ht="187.2" customHeight="1" x14ac:dyDescent="0.3">
      <c r="A16" s="191">
        <v>46198</v>
      </c>
      <c r="B16" s="191">
        <v>46227</v>
      </c>
      <c r="C16" s="192" t="s">
        <v>174</v>
      </c>
      <c r="D16" s="192" t="s">
        <v>175</v>
      </c>
      <c r="E16" s="193" t="s">
        <v>42</v>
      </c>
      <c r="F16" s="193" t="s">
        <v>176</v>
      </c>
      <c r="G16" s="194">
        <v>241125</v>
      </c>
      <c r="H16" s="192" t="s">
        <v>177</v>
      </c>
      <c r="I16" s="192" t="s">
        <v>18</v>
      </c>
      <c r="J16" s="192" t="s">
        <v>19</v>
      </c>
      <c r="K16" s="193" t="s">
        <v>178</v>
      </c>
      <c r="L16" s="191">
        <f t="shared" si="0"/>
        <v>46227</v>
      </c>
    </row>
    <row r="17" spans="1:12" x14ac:dyDescent="0.3">
      <c r="A17" s="191">
        <v>46205</v>
      </c>
      <c r="B17" s="191">
        <v>46233</v>
      </c>
      <c r="C17" s="192" t="s">
        <v>13</v>
      </c>
      <c r="D17" s="192" t="s">
        <v>14</v>
      </c>
      <c r="E17" s="193" t="s">
        <v>15</v>
      </c>
      <c r="F17" s="193" t="s">
        <v>16</v>
      </c>
      <c r="G17" s="194">
        <v>70994.559999999998</v>
      </c>
      <c r="H17" s="192" t="s">
        <v>17</v>
      </c>
      <c r="I17" s="192" t="s">
        <v>18</v>
      </c>
      <c r="J17" s="192" t="s">
        <v>19</v>
      </c>
      <c r="K17" s="193" t="s">
        <v>234</v>
      </c>
      <c r="L17" s="191">
        <f t="shared" si="0"/>
        <v>46233</v>
      </c>
    </row>
    <row r="18" spans="1:12" x14ac:dyDescent="0.3">
      <c r="A18" s="187">
        <v>46111</v>
      </c>
      <c r="B18" s="187">
        <v>46234</v>
      </c>
      <c r="C18" s="188" t="s">
        <v>96</v>
      </c>
      <c r="D18" s="188" t="s">
        <v>97</v>
      </c>
      <c r="E18" s="189" t="s">
        <v>98</v>
      </c>
      <c r="F18" s="189" t="s">
        <v>99</v>
      </c>
      <c r="G18" s="190">
        <v>169353.60000000001</v>
      </c>
      <c r="H18" s="188" t="s">
        <v>72</v>
      </c>
      <c r="I18" s="188" t="s">
        <v>100</v>
      </c>
      <c r="J18" s="188"/>
      <c r="K18" s="189" t="s">
        <v>208</v>
      </c>
      <c r="L18" s="187">
        <f t="shared" si="0"/>
        <v>46234</v>
      </c>
    </row>
    <row r="19" spans="1:12" ht="158.4" customHeight="1" x14ac:dyDescent="0.3">
      <c r="A19" s="187">
        <v>46128</v>
      </c>
      <c r="B19" s="187">
        <v>46234</v>
      </c>
      <c r="C19" s="188" t="s">
        <v>100</v>
      </c>
      <c r="D19" s="188" t="s">
        <v>101</v>
      </c>
      <c r="E19" s="189" t="s">
        <v>102</v>
      </c>
      <c r="F19" s="189" t="s">
        <v>103</v>
      </c>
      <c r="G19" s="190">
        <v>82900.05</v>
      </c>
      <c r="H19" s="188" t="s">
        <v>72</v>
      </c>
      <c r="I19" s="188" t="s">
        <v>100</v>
      </c>
      <c r="J19" s="188"/>
      <c r="K19" s="189" t="s">
        <v>186</v>
      </c>
      <c r="L19" s="187">
        <f t="shared" si="0"/>
        <v>46234</v>
      </c>
    </row>
    <row r="20" spans="1:12" ht="86.4" customHeight="1" x14ac:dyDescent="0.3">
      <c r="A20" s="187">
        <v>46142</v>
      </c>
      <c r="B20" s="187">
        <v>46234</v>
      </c>
      <c r="C20" s="188" t="s">
        <v>104</v>
      </c>
      <c r="D20" s="188" t="s">
        <v>105</v>
      </c>
      <c r="E20" s="189" t="s">
        <v>106</v>
      </c>
      <c r="F20" s="189" t="s">
        <v>107</v>
      </c>
      <c r="G20" s="190">
        <v>310411</v>
      </c>
      <c r="H20" s="188" t="s">
        <v>108</v>
      </c>
      <c r="I20" s="188" t="s">
        <v>100</v>
      </c>
      <c r="J20" s="188"/>
      <c r="K20" s="189" t="s">
        <v>187</v>
      </c>
      <c r="L20" s="187">
        <f t="shared" si="0"/>
        <v>46234</v>
      </c>
    </row>
    <row r="21" spans="1:12" ht="28.8" customHeight="1" x14ac:dyDescent="0.3">
      <c r="A21" s="187">
        <v>46142</v>
      </c>
      <c r="B21" s="187">
        <v>46234</v>
      </c>
      <c r="C21" s="188" t="s">
        <v>100</v>
      </c>
      <c r="D21" s="188" t="s">
        <v>109</v>
      </c>
      <c r="E21" s="189" t="s">
        <v>110</v>
      </c>
      <c r="F21" s="189" t="s">
        <v>111</v>
      </c>
      <c r="G21" s="190">
        <v>204447</v>
      </c>
      <c r="H21" s="188" t="s">
        <v>38</v>
      </c>
      <c r="I21" s="188" t="s">
        <v>100</v>
      </c>
      <c r="J21" s="188"/>
      <c r="K21" s="189" t="s">
        <v>188</v>
      </c>
      <c r="L21" s="187">
        <f t="shared" si="0"/>
        <v>46234</v>
      </c>
    </row>
    <row r="22" spans="1:12" x14ac:dyDescent="0.3">
      <c r="A22" s="187">
        <v>46170</v>
      </c>
      <c r="B22" s="187">
        <v>46234</v>
      </c>
      <c r="C22" s="188" t="s">
        <v>100</v>
      </c>
      <c r="D22" s="188" t="s">
        <v>112</v>
      </c>
      <c r="E22" s="189" t="s">
        <v>113</v>
      </c>
      <c r="F22" s="189" t="s">
        <v>114</v>
      </c>
      <c r="G22" s="190">
        <v>1860403.01</v>
      </c>
      <c r="H22" s="188" t="s">
        <v>72</v>
      </c>
      <c r="I22" s="188" t="s">
        <v>100</v>
      </c>
      <c r="J22" s="188"/>
      <c r="K22" s="189" t="s">
        <v>189</v>
      </c>
      <c r="L22" s="187">
        <f t="shared" si="0"/>
        <v>46234</v>
      </c>
    </row>
    <row r="23" spans="1:12" x14ac:dyDescent="0.3">
      <c r="A23" s="191">
        <v>46171</v>
      </c>
      <c r="B23" s="191">
        <v>46239</v>
      </c>
      <c r="C23" s="192" t="s">
        <v>68</v>
      </c>
      <c r="D23" s="192" t="s">
        <v>69</v>
      </c>
      <c r="E23" s="193" t="s">
        <v>70</v>
      </c>
      <c r="F23" s="193" t="s">
        <v>71</v>
      </c>
      <c r="G23" s="194">
        <v>18400</v>
      </c>
      <c r="H23" s="192" t="s">
        <v>72</v>
      </c>
      <c r="I23" s="192" t="s">
        <v>18</v>
      </c>
      <c r="J23" s="192" t="s">
        <v>19</v>
      </c>
      <c r="K23" s="193" t="s">
        <v>185</v>
      </c>
      <c r="L23" s="191">
        <f t="shared" si="0"/>
        <v>46239</v>
      </c>
    </row>
    <row r="24" spans="1:12" ht="28.8" customHeight="1" x14ac:dyDescent="0.3">
      <c r="A24" s="191">
        <v>46185</v>
      </c>
      <c r="B24" s="191">
        <v>46253</v>
      </c>
      <c r="C24" s="192" t="s">
        <v>82</v>
      </c>
      <c r="D24" s="192" t="s">
        <v>83</v>
      </c>
      <c r="E24" s="193" t="s">
        <v>84</v>
      </c>
      <c r="F24" s="193" t="s">
        <v>85</v>
      </c>
      <c r="G24" s="194">
        <v>109947.56</v>
      </c>
      <c r="H24" s="192" t="s">
        <v>86</v>
      </c>
      <c r="I24" s="192" t="s">
        <v>18</v>
      </c>
      <c r="J24" s="192" t="s">
        <v>45</v>
      </c>
      <c r="K24" s="193" t="s">
        <v>168</v>
      </c>
      <c r="L24" s="191">
        <f t="shared" si="0"/>
        <v>46253</v>
      </c>
    </row>
    <row r="25" spans="1:12" x14ac:dyDescent="0.3">
      <c r="F25" s="195" t="s">
        <v>118</v>
      </c>
      <c r="G25" s="196">
        <f>SUMIF(I3:I24,"&lt;&gt;Pending",G3:G24)</f>
        <v>1025626.9199999999</v>
      </c>
    </row>
    <row r="27" spans="1:12" x14ac:dyDescent="0.3">
      <c r="F27" s="197" t="s">
        <v>119</v>
      </c>
    </row>
    <row r="28" spans="1:12" x14ac:dyDescent="0.3">
      <c r="F28" t="s">
        <v>120</v>
      </c>
      <c r="G28" s="19">
        <f ca="1">SUMIFS(G3:G24, J3:J24, "*CASH SALE*", L3:L24, "&gt;="&amp;EOMONTH(TODAY(),-1)+1, L3:L24, "&lt;="&amp;EOMONTH(TODAY(),0), I3:I24, "&lt;&gt;Pending")</f>
        <v>554932.05000000005</v>
      </c>
      <c r="I28" t="s">
        <v>121</v>
      </c>
      <c r="J28" s="19">
        <f ca="1">SUMIFS(G3:G24, J3:J24, "*CASH SALE*", L3:L24, "&gt;="&amp;EOMONTH(TODAY(),0)+1, L3:L24, "&lt;="&amp;EOMONTH(TODAY(),1), I3:I24, "&lt;&gt;Pending")</f>
        <v>109947.56</v>
      </c>
    </row>
    <row r="29" spans="1:12" x14ac:dyDescent="0.3">
      <c r="F29" t="s">
        <v>122</v>
      </c>
      <c r="G29" s="19">
        <f ca="1">SUMIFS(G3:G24, J3:J24, "*ACCOUNT*", L3:L24, "&gt;="&amp;EOMONTH(TODAY(),-1)+1, L3:L24, "&lt;="&amp;EOMONTH(TODAY(),0), I3:I24, "&lt;&gt;Pending")</f>
        <v>342347.31</v>
      </c>
      <c r="I29" t="s">
        <v>123</v>
      </c>
      <c r="J29" s="19">
        <f ca="1">SUMIFS(G3:G24, J3:J24, "*ACCOUNT*", L3:L24, "&gt;="&amp;EOMONTH(TODAY(),0)+1, L3:L24, "&lt;="&amp;EOMONTH(TODAY(),1), I3:I24, "&lt;&gt;Pending")</f>
        <v>18400</v>
      </c>
    </row>
    <row r="32" spans="1:12" ht="28.8" customHeight="1" x14ac:dyDescent="0.3">
      <c r="A32" s="182" t="s">
        <v>1</v>
      </c>
      <c r="B32" s="182" t="s">
        <v>2</v>
      </c>
      <c r="C32" s="182" t="s">
        <v>3</v>
      </c>
      <c r="D32" s="182" t="s">
        <v>4</v>
      </c>
      <c r="E32" s="182" t="s">
        <v>5</v>
      </c>
      <c r="F32" s="182" t="s">
        <v>6</v>
      </c>
      <c r="G32" s="182" t="s">
        <v>7</v>
      </c>
      <c r="H32" s="182" t="s">
        <v>8</v>
      </c>
      <c r="I32" s="182" t="s">
        <v>9</v>
      </c>
      <c r="J32" s="182" t="s">
        <v>10</v>
      </c>
      <c r="K32" s="182" t="s">
        <v>124</v>
      </c>
    </row>
    <row r="33" spans="1:12" x14ac:dyDescent="0.3">
      <c r="A33" s="198">
        <v>46198</v>
      </c>
      <c r="B33" s="198">
        <v>46216.479816562503</v>
      </c>
      <c r="C33" s="199" t="s">
        <v>180</v>
      </c>
      <c r="D33" s="199" t="s">
        <v>181</v>
      </c>
      <c r="E33" s="199" t="s">
        <v>42</v>
      </c>
      <c r="F33" s="199" t="s">
        <v>182</v>
      </c>
      <c r="G33" s="194">
        <v>12896.1</v>
      </c>
      <c r="H33" s="199" t="s">
        <v>183</v>
      </c>
      <c r="I33" s="199" t="s">
        <v>18</v>
      </c>
      <c r="J33" s="199" t="s">
        <v>45</v>
      </c>
      <c r="K33" s="193"/>
    </row>
    <row r="34" spans="1:12" x14ac:dyDescent="0.3">
      <c r="A34" s="198">
        <v>46205</v>
      </c>
      <c r="B34" s="198">
        <v>46216.479816562503</v>
      </c>
      <c r="C34" s="199" t="s">
        <v>209</v>
      </c>
      <c r="D34" s="199" t="s">
        <v>210</v>
      </c>
      <c r="E34" s="199" t="s">
        <v>42</v>
      </c>
      <c r="F34" s="199" t="s">
        <v>211</v>
      </c>
      <c r="G34" s="194">
        <v>26773.15</v>
      </c>
      <c r="H34" s="199" t="s">
        <v>201</v>
      </c>
      <c r="I34" s="199" t="s">
        <v>18</v>
      </c>
      <c r="J34" s="199" t="s">
        <v>45</v>
      </c>
      <c r="K34" s="193"/>
    </row>
    <row r="35" spans="1:12" x14ac:dyDescent="0.3">
      <c r="A35" s="198">
        <v>46205</v>
      </c>
      <c r="B35" s="198">
        <v>46216.479816562503</v>
      </c>
      <c r="C35" s="199" t="s">
        <v>213</v>
      </c>
      <c r="D35" s="199" t="s">
        <v>214</v>
      </c>
      <c r="E35" s="199" t="s">
        <v>42</v>
      </c>
      <c r="F35" s="199" t="s">
        <v>215</v>
      </c>
      <c r="G35" s="194">
        <v>28094.5</v>
      </c>
      <c r="H35" s="199" t="s">
        <v>216</v>
      </c>
      <c r="I35" s="199" t="s">
        <v>18</v>
      </c>
      <c r="J35" s="199" t="s">
        <v>45</v>
      </c>
      <c r="K35" s="193"/>
    </row>
    <row r="36" spans="1:12" x14ac:dyDescent="0.3">
      <c r="A36" s="198">
        <v>46210</v>
      </c>
      <c r="B36" s="198">
        <v>46216.479816562503</v>
      </c>
      <c r="C36" s="199" t="s">
        <v>241</v>
      </c>
      <c r="D36" s="199" t="s">
        <v>242</v>
      </c>
      <c r="E36" s="199" t="s">
        <v>243</v>
      </c>
      <c r="F36" s="199" t="s">
        <v>244</v>
      </c>
      <c r="G36" s="194">
        <v>6543.5</v>
      </c>
      <c r="H36" s="199" t="s">
        <v>25</v>
      </c>
      <c r="I36" s="199" t="s">
        <v>18</v>
      </c>
      <c r="J36" s="199" t="s">
        <v>45</v>
      </c>
      <c r="K36" s="193"/>
    </row>
    <row r="37" spans="1:12" x14ac:dyDescent="0.3">
      <c r="A37" s="198">
        <v>46211</v>
      </c>
      <c r="B37" s="198">
        <v>46216.479816562503</v>
      </c>
      <c r="C37" s="199" t="s">
        <v>251</v>
      </c>
      <c r="D37" s="199" t="s">
        <v>252</v>
      </c>
      <c r="E37" s="199" t="s">
        <v>253</v>
      </c>
      <c r="F37" s="199" t="s">
        <v>211</v>
      </c>
      <c r="G37" s="194">
        <v>10343.790000000001</v>
      </c>
      <c r="H37" s="199" t="s">
        <v>201</v>
      </c>
      <c r="I37" s="199" t="s">
        <v>18</v>
      </c>
      <c r="J37" s="199" t="s">
        <v>45</v>
      </c>
      <c r="K37" s="193"/>
    </row>
    <row r="38" spans="1:12" x14ac:dyDescent="0.3">
      <c r="A38" s="198">
        <v>46211</v>
      </c>
      <c r="B38" s="198">
        <v>46216.479816562503</v>
      </c>
      <c r="C38" s="199" t="s">
        <v>277</v>
      </c>
      <c r="D38" s="199" t="s">
        <v>278</v>
      </c>
      <c r="E38" s="199" t="s">
        <v>279</v>
      </c>
      <c r="F38" s="199" t="s">
        <v>280</v>
      </c>
      <c r="G38" s="194">
        <v>8442.15</v>
      </c>
      <c r="H38" s="199" t="s">
        <v>44</v>
      </c>
      <c r="I38" s="199" t="s">
        <v>18</v>
      </c>
      <c r="J38" s="199" t="s">
        <v>45</v>
      </c>
      <c r="K38" s="193"/>
    </row>
    <row r="39" spans="1:12" x14ac:dyDescent="0.3">
      <c r="A39" s="198">
        <v>46212</v>
      </c>
      <c r="B39" s="198">
        <v>46216.479816562503</v>
      </c>
      <c r="C39" s="199" t="s">
        <v>282</v>
      </c>
      <c r="D39" s="199" t="s">
        <v>283</v>
      </c>
      <c r="E39" s="199" t="s">
        <v>282</v>
      </c>
      <c r="F39" s="199" t="s">
        <v>284</v>
      </c>
      <c r="G39" s="194">
        <v>19521.25</v>
      </c>
      <c r="H39" s="199" t="s">
        <v>25</v>
      </c>
      <c r="I39" s="199" t="s">
        <v>18</v>
      </c>
      <c r="J39" s="199" t="s">
        <v>26</v>
      </c>
      <c r="K39" s="193"/>
    </row>
    <row r="40" spans="1:12" ht="28.8" customHeight="1" x14ac:dyDescent="0.3">
      <c r="A40" s="200">
        <v>46142</v>
      </c>
      <c r="B40" s="200">
        <v>46216.479816562503</v>
      </c>
      <c r="C40" s="201" t="s">
        <v>100</v>
      </c>
      <c r="D40" s="201" t="s">
        <v>125</v>
      </c>
      <c r="E40" s="201" t="s">
        <v>126</v>
      </c>
      <c r="F40" s="201" t="s">
        <v>127</v>
      </c>
      <c r="G40" s="190">
        <v>426010.6</v>
      </c>
      <c r="H40" s="201" t="s">
        <v>38</v>
      </c>
      <c r="I40" s="201" t="s">
        <v>100</v>
      </c>
      <c r="J40" s="201"/>
      <c r="K40" s="189"/>
      <c r="L40" s="202"/>
    </row>
    <row r="41" spans="1:12" ht="43.2" customHeight="1" x14ac:dyDescent="0.3">
      <c r="A41" s="200">
        <v>46213</v>
      </c>
      <c r="B41" s="200">
        <v>46216.479816562503</v>
      </c>
      <c r="C41" s="201" t="s">
        <v>100</v>
      </c>
      <c r="D41" s="201" t="s">
        <v>292</v>
      </c>
      <c r="E41" s="201" t="s">
        <v>293</v>
      </c>
      <c r="F41" s="201" t="s">
        <v>127</v>
      </c>
      <c r="G41" s="190">
        <v>7312.85</v>
      </c>
      <c r="H41" s="201" t="s">
        <v>32</v>
      </c>
      <c r="I41" s="201" t="s">
        <v>100</v>
      </c>
      <c r="J41" s="201"/>
      <c r="K41" s="189"/>
      <c r="L41" s="202"/>
    </row>
    <row r="42" spans="1:12" x14ac:dyDescent="0.3">
      <c r="F42" s="195" t="s">
        <v>129</v>
      </c>
      <c r="G42" s="196">
        <f>SUM(G33:G41)</f>
        <v>545937.89</v>
      </c>
    </row>
    <row r="44" spans="1:12" x14ac:dyDescent="0.3">
      <c r="F44" s="195" t="s">
        <v>130</v>
      </c>
      <c r="G44" s="196">
        <f>SUMIFS(G3:G24, I3:I24, "*Ready*Dispatch*")</f>
        <v>0</v>
      </c>
    </row>
    <row r="47" spans="1:12" x14ac:dyDescent="0.3">
      <c r="A47" s="203" t="s">
        <v>240</v>
      </c>
    </row>
    <row r="48" spans="1:12" x14ac:dyDescent="0.3">
      <c r="A48" s="203" t="s">
        <v>132</v>
      </c>
    </row>
  </sheetData>
  <pageMargins left="0.25" right="0.25" top="0.75" bottom="0.75" header="0.3" footer="0.3"/>
  <pageSetup fitToHeight="0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L33"/>
  <sheetViews>
    <sheetView zoomScale="80" zoomScaleNormal="80" workbookViewId="0">
      <pane xSplit="4" ySplit="2" topLeftCell="E6" activePane="bottomRight" state="frozen"/>
      <selection activeCell="A17" sqref="A17:XFD17"/>
      <selection pane="topRight" activeCell="A17" sqref="A17:XFD17"/>
      <selection pane="bottomLeft" activeCell="A17" sqref="A17:XFD17"/>
      <selection pane="bottomRight" activeCell="A17" sqref="A17:XFD17"/>
    </sheetView>
  </sheetViews>
  <sheetFormatPr defaultRowHeight="14.4" x14ac:dyDescent="0.3"/>
  <cols>
    <col min="1" max="2" width="10.5546875" bestFit="1" customWidth="1"/>
    <col min="3" max="3" width="11.33203125" style="23" bestFit="1" customWidth="1"/>
    <col min="4" max="4" width="10.77734375" style="23" bestFit="1" customWidth="1"/>
    <col min="5" max="5" width="20" customWidth="1"/>
    <col min="6" max="6" width="32.21875" bestFit="1" customWidth="1"/>
    <col min="7" max="7" width="14" style="24" bestFit="1" customWidth="1"/>
    <col min="8" max="8" width="9.109375" bestFit="1" customWidth="1"/>
    <col min="9" max="9" width="17.6640625" bestFit="1" customWidth="1"/>
    <col min="10" max="10" width="21.33203125" bestFit="1" customWidth="1"/>
    <col min="11" max="11" width="53.21875" bestFit="1" customWidth="1"/>
    <col min="12" max="12" width="12" customWidth="1"/>
  </cols>
  <sheetData>
    <row r="1" spans="1:12" ht="18" customHeight="1" x14ac:dyDescent="0.35">
      <c r="A1" s="464" t="s">
        <v>0</v>
      </c>
      <c r="B1" s="452"/>
      <c r="C1" s="452"/>
      <c r="D1" s="452"/>
      <c r="K1" s="204">
        <f ca="1">TODAY()</f>
        <v>46233</v>
      </c>
    </row>
    <row r="2" spans="1:12" ht="43.2" customHeight="1" x14ac:dyDescent="0.3">
      <c r="A2" s="205" t="s">
        <v>1</v>
      </c>
      <c r="B2" s="205" t="s">
        <v>2</v>
      </c>
      <c r="C2" s="205" t="s">
        <v>3</v>
      </c>
      <c r="D2" s="205" t="s">
        <v>4</v>
      </c>
      <c r="E2" s="205" t="s">
        <v>5</v>
      </c>
      <c r="F2" s="205" t="s">
        <v>6</v>
      </c>
      <c r="G2" s="219" t="s">
        <v>7</v>
      </c>
      <c r="H2" s="205" t="s">
        <v>8</v>
      </c>
      <c r="I2" s="205" t="s">
        <v>9</v>
      </c>
      <c r="J2" s="205" t="s">
        <v>10</v>
      </c>
      <c r="K2" s="205" t="s">
        <v>11</v>
      </c>
      <c r="L2" s="205" t="s">
        <v>12</v>
      </c>
    </row>
    <row r="3" spans="1:12" x14ac:dyDescent="0.3">
      <c r="A3" s="206">
        <v>46198</v>
      </c>
      <c r="B3" s="206">
        <v>46217.45352703704</v>
      </c>
      <c r="C3" s="207" t="s">
        <v>180</v>
      </c>
      <c r="D3" s="207" t="s">
        <v>181</v>
      </c>
      <c r="E3" s="208" t="s">
        <v>42</v>
      </c>
      <c r="F3" s="208" t="s">
        <v>182</v>
      </c>
      <c r="G3" s="220">
        <v>12896.1</v>
      </c>
      <c r="H3" s="207" t="s">
        <v>183</v>
      </c>
      <c r="I3" s="207" t="s">
        <v>18</v>
      </c>
      <c r="J3" s="207" t="s">
        <v>45</v>
      </c>
      <c r="K3" s="208" t="s">
        <v>184</v>
      </c>
      <c r="L3" s="206">
        <f t="shared" ref="L3:L19" si="0">B3</f>
        <v>46217.45352703704</v>
      </c>
    </row>
    <row r="4" spans="1:12" x14ac:dyDescent="0.3">
      <c r="A4" s="206">
        <v>46210</v>
      </c>
      <c r="B4" s="206">
        <v>46217.45352703704</v>
      </c>
      <c r="C4" s="207" t="s">
        <v>241</v>
      </c>
      <c r="D4" s="207" t="s">
        <v>242</v>
      </c>
      <c r="E4" s="208" t="s">
        <v>243</v>
      </c>
      <c r="F4" s="208" t="s">
        <v>244</v>
      </c>
      <c r="G4" s="220">
        <v>6543.5</v>
      </c>
      <c r="H4" s="207" t="s">
        <v>25</v>
      </c>
      <c r="I4" s="207" t="s">
        <v>39</v>
      </c>
      <c r="J4" s="207" t="s">
        <v>45</v>
      </c>
      <c r="K4" s="208" t="s">
        <v>245</v>
      </c>
      <c r="L4" s="206">
        <f t="shared" si="0"/>
        <v>46217.45352703704</v>
      </c>
    </row>
    <row r="5" spans="1:12" ht="115.2" customHeight="1" x14ac:dyDescent="0.3">
      <c r="A5" s="212">
        <v>46205</v>
      </c>
      <c r="B5" s="212">
        <v>46218</v>
      </c>
      <c r="C5" s="213" t="s">
        <v>209</v>
      </c>
      <c r="D5" s="213" t="s">
        <v>210</v>
      </c>
      <c r="E5" s="214" t="s">
        <v>42</v>
      </c>
      <c r="F5" s="214" t="s">
        <v>211</v>
      </c>
      <c r="G5" s="221">
        <v>26773.15</v>
      </c>
      <c r="H5" s="213" t="s">
        <v>201</v>
      </c>
      <c r="I5" s="213" t="s">
        <v>18</v>
      </c>
      <c r="J5" s="213" t="s">
        <v>45</v>
      </c>
      <c r="K5" s="214" t="s">
        <v>212</v>
      </c>
      <c r="L5" s="212">
        <f t="shared" si="0"/>
        <v>46218</v>
      </c>
    </row>
    <row r="6" spans="1:12" ht="374.4" customHeight="1" x14ac:dyDescent="0.3">
      <c r="A6" s="212">
        <v>46142</v>
      </c>
      <c r="B6" s="212">
        <v>46220</v>
      </c>
      <c r="C6" s="213" t="s">
        <v>34</v>
      </c>
      <c r="D6" s="213" t="s">
        <v>35</v>
      </c>
      <c r="E6" s="214" t="s">
        <v>36</v>
      </c>
      <c r="F6" s="214" t="s">
        <v>37</v>
      </c>
      <c r="G6" s="221">
        <v>251433.71</v>
      </c>
      <c r="H6" s="213" t="s">
        <v>38</v>
      </c>
      <c r="I6" s="213" t="s">
        <v>18</v>
      </c>
      <c r="J6" s="213" t="s">
        <v>128</v>
      </c>
      <c r="K6" s="214" t="s">
        <v>143</v>
      </c>
      <c r="L6" s="212">
        <f t="shared" si="0"/>
        <v>46220</v>
      </c>
    </row>
    <row r="7" spans="1:12" ht="158.4" customHeight="1" x14ac:dyDescent="0.3">
      <c r="A7" s="212">
        <v>46198</v>
      </c>
      <c r="B7" s="212">
        <v>46220</v>
      </c>
      <c r="C7" s="213" t="s">
        <v>21</v>
      </c>
      <c r="D7" s="213" t="s">
        <v>22</v>
      </c>
      <c r="E7" s="214" t="s">
        <v>23</v>
      </c>
      <c r="F7" s="214" t="s">
        <v>24</v>
      </c>
      <c r="G7" s="221">
        <v>143822.45000000001</v>
      </c>
      <c r="H7" s="213" t="s">
        <v>25</v>
      </c>
      <c r="I7" s="213" t="s">
        <v>18</v>
      </c>
      <c r="J7" s="213" t="s">
        <v>45</v>
      </c>
      <c r="K7" s="214" t="s">
        <v>162</v>
      </c>
      <c r="L7" s="212">
        <f t="shared" si="0"/>
        <v>46220</v>
      </c>
    </row>
    <row r="8" spans="1:12" ht="28.8" customHeight="1" x14ac:dyDescent="0.3">
      <c r="A8" s="212">
        <v>46211</v>
      </c>
      <c r="B8" s="212">
        <v>46220</v>
      </c>
      <c r="C8" s="213" t="s">
        <v>255</v>
      </c>
      <c r="D8" s="213" t="s">
        <v>256</v>
      </c>
      <c r="E8" s="214" t="s">
        <v>257</v>
      </c>
      <c r="F8" s="214" t="s">
        <v>258</v>
      </c>
      <c r="G8" s="221">
        <v>22914.9</v>
      </c>
      <c r="H8" s="213" t="s">
        <v>25</v>
      </c>
      <c r="I8" s="213" t="s">
        <v>18</v>
      </c>
      <c r="J8" s="213" t="s">
        <v>19</v>
      </c>
      <c r="K8" s="214" t="s">
        <v>259</v>
      </c>
      <c r="L8" s="212">
        <f t="shared" si="0"/>
        <v>46220</v>
      </c>
    </row>
    <row r="9" spans="1:12" ht="115.2" customHeight="1" x14ac:dyDescent="0.3">
      <c r="A9" s="212">
        <v>46212</v>
      </c>
      <c r="B9" s="212">
        <v>46225</v>
      </c>
      <c r="C9" s="213" t="s">
        <v>286</v>
      </c>
      <c r="D9" s="213" t="s">
        <v>287</v>
      </c>
      <c r="E9" s="214" t="s">
        <v>288</v>
      </c>
      <c r="F9" s="214" t="s">
        <v>200</v>
      </c>
      <c r="G9" s="221">
        <v>43732.2</v>
      </c>
      <c r="H9" s="213" t="s">
        <v>201</v>
      </c>
      <c r="I9" s="213" t="s">
        <v>18</v>
      </c>
      <c r="J9" s="213" t="s">
        <v>50</v>
      </c>
      <c r="K9" s="214" t="s">
        <v>289</v>
      </c>
      <c r="L9" s="212">
        <f t="shared" si="0"/>
        <v>46225</v>
      </c>
    </row>
    <row r="10" spans="1:12" ht="172.8" customHeight="1" x14ac:dyDescent="0.3">
      <c r="A10" s="212">
        <v>46198</v>
      </c>
      <c r="B10" s="212">
        <v>46227</v>
      </c>
      <c r="C10" s="213" t="s">
        <v>174</v>
      </c>
      <c r="D10" s="213" t="s">
        <v>175</v>
      </c>
      <c r="E10" s="214" t="s">
        <v>42</v>
      </c>
      <c r="F10" s="214" t="s">
        <v>176</v>
      </c>
      <c r="G10" s="221">
        <v>241125</v>
      </c>
      <c r="H10" s="213" t="s">
        <v>177</v>
      </c>
      <c r="I10" s="213" t="s">
        <v>18</v>
      </c>
      <c r="J10" s="213" t="s">
        <v>19</v>
      </c>
      <c r="K10" s="214" t="s">
        <v>178</v>
      </c>
      <c r="L10" s="212">
        <f t="shared" si="0"/>
        <v>46227</v>
      </c>
    </row>
    <row r="11" spans="1:12" x14ac:dyDescent="0.3">
      <c r="A11" s="212">
        <v>46205</v>
      </c>
      <c r="B11" s="212">
        <v>46233</v>
      </c>
      <c r="C11" s="213" t="s">
        <v>13</v>
      </c>
      <c r="D11" s="213" t="s">
        <v>14</v>
      </c>
      <c r="E11" s="214" t="s">
        <v>15</v>
      </c>
      <c r="F11" s="214" t="s">
        <v>16</v>
      </c>
      <c r="G11" s="221">
        <v>70994.559999999998</v>
      </c>
      <c r="H11" s="213" t="s">
        <v>17</v>
      </c>
      <c r="I11" s="213" t="s">
        <v>18</v>
      </c>
      <c r="J11" s="213" t="s">
        <v>19</v>
      </c>
      <c r="K11" s="214" t="s">
        <v>234</v>
      </c>
      <c r="L11" s="212">
        <f t="shared" si="0"/>
        <v>46233</v>
      </c>
    </row>
    <row r="12" spans="1:12" ht="28.8" customHeight="1" x14ac:dyDescent="0.3">
      <c r="A12" s="212">
        <v>46217</v>
      </c>
      <c r="B12" s="212">
        <v>46234</v>
      </c>
      <c r="C12" s="213" t="s">
        <v>224</v>
      </c>
      <c r="D12" s="213" t="s">
        <v>41</v>
      </c>
      <c r="E12" s="214" t="s">
        <v>42</v>
      </c>
      <c r="F12" s="214" t="s">
        <v>43</v>
      </c>
      <c r="G12" s="221">
        <v>71470.66</v>
      </c>
      <c r="H12" s="213" t="s">
        <v>44</v>
      </c>
      <c r="I12" s="213" t="s">
        <v>18</v>
      </c>
      <c r="J12" s="213" t="s">
        <v>45</v>
      </c>
      <c r="K12" s="214" t="s">
        <v>295</v>
      </c>
      <c r="L12" s="212">
        <f t="shared" si="0"/>
        <v>46234</v>
      </c>
    </row>
    <row r="13" spans="1:12" x14ac:dyDescent="0.3">
      <c r="A13" s="209">
        <v>46111</v>
      </c>
      <c r="B13" s="209">
        <v>46234</v>
      </c>
      <c r="C13" s="210" t="s">
        <v>96</v>
      </c>
      <c r="D13" s="210" t="s">
        <v>97</v>
      </c>
      <c r="E13" s="211" t="s">
        <v>98</v>
      </c>
      <c r="F13" s="211" t="s">
        <v>99</v>
      </c>
      <c r="G13" s="222">
        <v>169353.60000000001</v>
      </c>
      <c r="H13" s="210" t="s">
        <v>72</v>
      </c>
      <c r="I13" s="210" t="s">
        <v>100</v>
      </c>
      <c r="J13" s="210"/>
      <c r="K13" s="211" t="s">
        <v>208</v>
      </c>
      <c r="L13" s="209">
        <f t="shared" si="0"/>
        <v>46234</v>
      </c>
    </row>
    <row r="14" spans="1:12" ht="144" customHeight="1" x14ac:dyDescent="0.3">
      <c r="A14" s="209">
        <v>46128</v>
      </c>
      <c r="B14" s="209">
        <v>46234</v>
      </c>
      <c r="C14" s="210" t="s">
        <v>100</v>
      </c>
      <c r="D14" s="210" t="s">
        <v>101</v>
      </c>
      <c r="E14" s="211" t="s">
        <v>102</v>
      </c>
      <c r="F14" s="211" t="s">
        <v>103</v>
      </c>
      <c r="G14" s="222">
        <v>82900.05</v>
      </c>
      <c r="H14" s="210" t="s">
        <v>72</v>
      </c>
      <c r="I14" s="210" t="s">
        <v>100</v>
      </c>
      <c r="J14" s="210"/>
      <c r="K14" s="211" t="s">
        <v>186</v>
      </c>
      <c r="L14" s="209">
        <f t="shared" si="0"/>
        <v>46234</v>
      </c>
    </row>
    <row r="15" spans="1:12" ht="86.4" customHeight="1" x14ac:dyDescent="0.3">
      <c r="A15" s="209">
        <v>46142</v>
      </c>
      <c r="B15" s="209">
        <v>46234</v>
      </c>
      <c r="C15" s="210" t="s">
        <v>104</v>
      </c>
      <c r="D15" s="210" t="s">
        <v>105</v>
      </c>
      <c r="E15" s="211" t="s">
        <v>106</v>
      </c>
      <c r="F15" s="211" t="s">
        <v>107</v>
      </c>
      <c r="G15" s="222">
        <v>310411</v>
      </c>
      <c r="H15" s="210" t="s">
        <v>108</v>
      </c>
      <c r="I15" s="210" t="s">
        <v>100</v>
      </c>
      <c r="J15" s="210"/>
      <c r="K15" s="211" t="s">
        <v>187</v>
      </c>
      <c r="L15" s="209">
        <f t="shared" si="0"/>
        <v>46234</v>
      </c>
    </row>
    <row r="16" spans="1:12" x14ac:dyDescent="0.3">
      <c r="A16" s="209">
        <v>46142</v>
      </c>
      <c r="B16" s="209">
        <v>46234</v>
      </c>
      <c r="C16" s="210" t="s">
        <v>100</v>
      </c>
      <c r="D16" s="210" t="s">
        <v>109</v>
      </c>
      <c r="E16" s="211" t="s">
        <v>110</v>
      </c>
      <c r="F16" s="211" t="s">
        <v>111</v>
      </c>
      <c r="G16" s="222">
        <v>204447</v>
      </c>
      <c r="H16" s="210" t="s">
        <v>38</v>
      </c>
      <c r="I16" s="210" t="s">
        <v>100</v>
      </c>
      <c r="J16" s="210"/>
      <c r="K16" s="211" t="s">
        <v>188</v>
      </c>
      <c r="L16" s="209">
        <f t="shared" si="0"/>
        <v>46234</v>
      </c>
    </row>
    <row r="17" spans="1:12" x14ac:dyDescent="0.3">
      <c r="A17" s="209">
        <v>46170</v>
      </c>
      <c r="B17" s="209">
        <v>46234</v>
      </c>
      <c r="C17" s="210" t="s">
        <v>100</v>
      </c>
      <c r="D17" s="210" t="s">
        <v>112</v>
      </c>
      <c r="E17" s="211" t="s">
        <v>113</v>
      </c>
      <c r="F17" s="211" t="s">
        <v>114</v>
      </c>
      <c r="G17" s="222">
        <v>1860403.01</v>
      </c>
      <c r="H17" s="210" t="s">
        <v>72</v>
      </c>
      <c r="I17" s="210" t="s">
        <v>18</v>
      </c>
      <c r="J17" s="210"/>
      <c r="K17" s="211" t="s">
        <v>189</v>
      </c>
      <c r="L17" s="209">
        <f t="shared" si="0"/>
        <v>46234</v>
      </c>
    </row>
    <row r="18" spans="1:12" x14ac:dyDescent="0.3">
      <c r="A18" s="212">
        <v>46171</v>
      </c>
      <c r="B18" s="212">
        <v>46239</v>
      </c>
      <c r="C18" s="213" t="s">
        <v>68</v>
      </c>
      <c r="D18" s="213" t="s">
        <v>69</v>
      </c>
      <c r="E18" s="214" t="s">
        <v>70</v>
      </c>
      <c r="F18" s="214" t="s">
        <v>71</v>
      </c>
      <c r="G18" s="221">
        <v>18400</v>
      </c>
      <c r="H18" s="213" t="s">
        <v>72</v>
      </c>
      <c r="I18" s="213" t="s">
        <v>18</v>
      </c>
      <c r="J18" s="213" t="s">
        <v>19</v>
      </c>
      <c r="K18" s="214" t="s">
        <v>185</v>
      </c>
      <c r="L18" s="212">
        <f t="shared" si="0"/>
        <v>46239</v>
      </c>
    </row>
    <row r="19" spans="1:12" ht="28.8" customHeight="1" x14ac:dyDescent="0.3">
      <c r="A19" s="212">
        <v>46185</v>
      </c>
      <c r="B19" s="212">
        <v>46253</v>
      </c>
      <c r="C19" s="213" t="s">
        <v>82</v>
      </c>
      <c r="D19" s="213" t="s">
        <v>83</v>
      </c>
      <c r="E19" s="214" t="s">
        <v>84</v>
      </c>
      <c r="F19" s="214" t="s">
        <v>85</v>
      </c>
      <c r="G19" s="221">
        <v>109947.56</v>
      </c>
      <c r="H19" s="213" t="s">
        <v>86</v>
      </c>
      <c r="I19" s="213" t="s">
        <v>18</v>
      </c>
      <c r="J19" s="213" t="s">
        <v>45</v>
      </c>
      <c r="K19" s="214" t="s">
        <v>168</v>
      </c>
      <c r="L19" s="212">
        <f t="shared" si="0"/>
        <v>46253</v>
      </c>
    </row>
    <row r="20" spans="1:12" x14ac:dyDescent="0.3">
      <c r="F20" s="215" t="s">
        <v>118</v>
      </c>
      <c r="G20" s="223">
        <f>SUMIF(I3:I19,"&lt;&gt;Pending",G3:G19)</f>
        <v>2880456.8000000003</v>
      </c>
    </row>
    <row r="22" spans="1:12" x14ac:dyDescent="0.3">
      <c r="F22" s="216" t="s">
        <v>119</v>
      </c>
    </row>
    <row r="23" spans="1:12" x14ac:dyDescent="0.3">
      <c r="F23" t="s">
        <v>120</v>
      </c>
      <c r="G23" s="24">
        <f ca="1">SUMIFS(G3:G19, J3:J19, "*CASH SALE*", L3:L19, "&gt;="&amp;EOMONTH(TODAY(),-1)+1, L3:L19, "&lt;="&amp;EOMONTH(TODAY(),0), I3:I19, "&lt;&gt;Pending")</f>
        <v>556671.77</v>
      </c>
      <c r="I23" t="s">
        <v>121</v>
      </c>
      <c r="J23" s="19">
        <f ca="1">SUMIFS(G3:G19, J3:J19, "*CASH SALE*", L3:L19, "&gt;="&amp;EOMONTH(TODAY(),0)+1, L3:L19, "&lt;="&amp;EOMONTH(TODAY(),1), I3:I19, "&lt;&gt;Pending")</f>
        <v>109947.56</v>
      </c>
    </row>
    <row r="24" spans="1:12" x14ac:dyDescent="0.3">
      <c r="F24" t="s">
        <v>122</v>
      </c>
      <c r="G24" s="24">
        <f ca="1">SUMIFS(G3:G19, J3:J19, "*ACCOUNT*", L3:L19, "&gt;="&amp;EOMONTH(TODAY(),-1)+1, L3:L19, "&lt;="&amp;EOMONTH(TODAY(),0), I3:I19, "&lt;&gt;Pending")</f>
        <v>335034.46000000002</v>
      </c>
      <c r="I24" t="s">
        <v>123</v>
      </c>
      <c r="J24" s="19">
        <f ca="1">SUMIFS(G3:G19, J3:J19, "*ACCOUNT*", L3:L19, "&gt;="&amp;EOMONTH(TODAY(),0)+1, L3:L19, "&lt;="&amp;EOMONTH(TODAY(),1), I3:I19, "&lt;&gt;Pending")</f>
        <v>18400</v>
      </c>
    </row>
    <row r="26" spans="1:12" ht="28.8" customHeight="1" x14ac:dyDescent="0.3">
      <c r="A26" s="205" t="s">
        <v>1</v>
      </c>
      <c r="B26" s="205" t="s">
        <v>2</v>
      </c>
      <c r="C26" s="205" t="s">
        <v>3</v>
      </c>
      <c r="D26" s="205" t="s">
        <v>4</v>
      </c>
      <c r="E26" s="205" t="s">
        <v>5</v>
      </c>
      <c r="F26" s="205" t="s">
        <v>6</v>
      </c>
      <c r="G26" s="219" t="s">
        <v>7</v>
      </c>
      <c r="H26" s="205" t="s">
        <v>8</v>
      </c>
      <c r="I26" s="205" t="s">
        <v>9</v>
      </c>
      <c r="J26" s="205" t="s">
        <v>10</v>
      </c>
      <c r="K26" s="205" t="s">
        <v>124</v>
      </c>
    </row>
    <row r="27" spans="1:12" x14ac:dyDescent="0.3">
      <c r="A27" s="217">
        <v>46198</v>
      </c>
      <c r="B27" s="217">
        <v>46217.45352703704</v>
      </c>
      <c r="C27" s="213" t="s">
        <v>180</v>
      </c>
      <c r="D27" s="213" t="s">
        <v>181</v>
      </c>
      <c r="E27" s="218" t="s">
        <v>42</v>
      </c>
      <c r="F27" s="218" t="s">
        <v>182</v>
      </c>
      <c r="G27" s="221">
        <v>12896.1</v>
      </c>
      <c r="H27" s="218" t="s">
        <v>183</v>
      </c>
      <c r="I27" s="218" t="s">
        <v>18</v>
      </c>
      <c r="J27" s="218" t="s">
        <v>45</v>
      </c>
      <c r="K27" s="214"/>
    </row>
    <row r="28" spans="1:12" x14ac:dyDescent="0.3">
      <c r="A28" s="217">
        <v>46210</v>
      </c>
      <c r="B28" s="217">
        <v>46217.45352703704</v>
      </c>
      <c r="C28" s="213" t="s">
        <v>241</v>
      </c>
      <c r="D28" s="213" t="s">
        <v>242</v>
      </c>
      <c r="E28" s="218" t="s">
        <v>243</v>
      </c>
      <c r="F28" s="218" t="s">
        <v>244</v>
      </c>
      <c r="G28" s="221">
        <v>6543.5</v>
      </c>
      <c r="H28" s="218" t="s">
        <v>25</v>
      </c>
      <c r="I28" s="218" t="s">
        <v>39</v>
      </c>
      <c r="J28" s="218" t="s">
        <v>45</v>
      </c>
      <c r="K28" s="214"/>
    </row>
    <row r="29" spans="1:12" x14ac:dyDescent="0.3">
      <c r="F29" s="215" t="s">
        <v>129</v>
      </c>
      <c r="G29" s="223">
        <f>SUM(G27:G28)</f>
        <v>19439.599999999999</v>
      </c>
    </row>
    <row r="31" spans="1:12" x14ac:dyDescent="0.3">
      <c r="F31" s="215" t="s">
        <v>130</v>
      </c>
      <c r="G31" s="223">
        <f>SUMIFS(G3:G19, I3:I19, "*Ready*Dispatch*")</f>
        <v>6543.5</v>
      </c>
    </row>
    <row r="32" spans="1:12" x14ac:dyDescent="0.3">
      <c r="A32" s="455" t="s">
        <v>296</v>
      </c>
      <c r="B32" s="456"/>
      <c r="C32" s="454"/>
      <c r="D32" s="454"/>
    </row>
    <row r="33" spans="1:4" x14ac:dyDescent="0.3">
      <c r="A33" s="465" t="s">
        <v>132</v>
      </c>
      <c r="B33" s="456"/>
      <c r="C33" s="454"/>
      <c r="D33" s="454"/>
    </row>
  </sheetData>
  <mergeCells count="3">
    <mergeCell ref="A1:D1"/>
    <mergeCell ref="A32:D32"/>
    <mergeCell ref="A33:D33"/>
  </mergeCells>
  <pageMargins left="0.25" right="0.25" top="0.75" bottom="0.75" header="0.3" footer="0.3"/>
  <pageSetup fitToHeight="0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L43"/>
  <sheetViews>
    <sheetView zoomScale="80" zoomScaleNormal="80" workbookViewId="0">
      <pane xSplit="4" ySplit="2" topLeftCell="F3" activePane="bottomRight" state="frozen"/>
      <selection activeCell="I15" sqref="I15"/>
      <selection pane="topRight" activeCell="I15" sqref="I15"/>
      <selection pane="bottomLeft" activeCell="I15" sqref="I15"/>
      <selection pane="bottomRight" activeCell="A7" sqref="A7:XFD7"/>
    </sheetView>
  </sheetViews>
  <sheetFormatPr defaultRowHeight="14.4" x14ac:dyDescent="0.3"/>
  <cols>
    <col min="1" max="2" width="10.5546875" bestFit="1" customWidth="1"/>
    <col min="3" max="3" width="11.33203125" style="23" bestFit="1" customWidth="1"/>
    <col min="4" max="4" width="10.77734375" style="23" bestFit="1" customWidth="1"/>
    <col min="5" max="5" width="20" customWidth="1"/>
    <col min="6" max="6" width="32.21875" bestFit="1" customWidth="1"/>
    <col min="7" max="7" width="13.109375" bestFit="1" customWidth="1"/>
    <col min="8" max="8" width="9.109375" style="23" bestFit="1" customWidth="1"/>
    <col min="9" max="9" width="17.6640625" bestFit="1" customWidth="1"/>
    <col min="10" max="10" width="21.33203125" bestFit="1" customWidth="1"/>
    <col min="11" max="11" width="53.21875" bestFit="1" customWidth="1"/>
    <col min="12" max="12" width="10.5546875" bestFit="1" customWidth="1"/>
  </cols>
  <sheetData>
    <row r="1" spans="1:12" ht="18" customHeight="1" x14ac:dyDescent="0.35">
      <c r="A1" s="466" t="s">
        <v>0</v>
      </c>
      <c r="B1" s="452"/>
      <c r="C1" s="452"/>
      <c r="D1" s="452"/>
      <c r="K1" s="224">
        <f ca="1">TODAY()</f>
        <v>46233</v>
      </c>
    </row>
    <row r="2" spans="1:12" ht="43.2" customHeight="1" x14ac:dyDescent="0.3">
      <c r="A2" s="225" t="s">
        <v>1</v>
      </c>
      <c r="B2" s="225" t="s">
        <v>2</v>
      </c>
      <c r="C2" s="225" t="s">
        <v>3</v>
      </c>
      <c r="D2" s="225" t="s">
        <v>4</v>
      </c>
      <c r="E2" s="225" t="s">
        <v>5</v>
      </c>
      <c r="F2" s="225" t="s">
        <v>6</v>
      </c>
      <c r="G2" s="225" t="s">
        <v>7</v>
      </c>
      <c r="H2" s="225" t="s">
        <v>8</v>
      </c>
      <c r="I2" s="225" t="s">
        <v>9</v>
      </c>
      <c r="J2" s="225" t="s">
        <v>10</v>
      </c>
      <c r="K2" s="225" t="s">
        <v>11</v>
      </c>
      <c r="L2" s="225" t="s">
        <v>12</v>
      </c>
    </row>
    <row r="3" spans="1:12" ht="115.2" customHeight="1" x14ac:dyDescent="0.3">
      <c r="A3" s="226">
        <v>46205</v>
      </c>
      <c r="B3" s="226">
        <v>46218.525777025461</v>
      </c>
      <c r="C3" s="227" t="s">
        <v>209</v>
      </c>
      <c r="D3" s="227" t="s">
        <v>210</v>
      </c>
      <c r="E3" s="228" t="s">
        <v>42</v>
      </c>
      <c r="F3" s="228" t="s">
        <v>211</v>
      </c>
      <c r="G3" s="229">
        <v>25632.35</v>
      </c>
      <c r="H3" s="227" t="s">
        <v>201</v>
      </c>
      <c r="I3" s="227" t="s">
        <v>18</v>
      </c>
      <c r="J3" s="227" t="s">
        <v>45</v>
      </c>
      <c r="K3" s="228" t="s">
        <v>212</v>
      </c>
      <c r="L3" s="226">
        <f t="shared" ref="L3:L26" si="0">B3</f>
        <v>46218.525777025461</v>
      </c>
    </row>
    <row r="4" spans="1:12" ht="57.6" customHeight="1" x14ac:dyDescent="0.3">
      <c r="A4" s="226">
        <v>46205</v>
      </c>
      <c r="B4" s="226">
        <v>46218.525777025461</v>
      </c>
      <c r="C4" s="227" t="s">
        <v>213</v>
      </c>
      <c r="D4" s="227" t="s">
        <v>214</v>
      </c>
      <c r="E4" s="228" t="s">
        <v>42</v>
      </c>
      <c r="F4" s="228" t="s">
        <v>215</v>
      </c>
      <c r="G4" s="229">
        <v>28094.5</v>
      </c>
      <c r="H4" s="227" t="s">
        <v>216</v>
      </c>
      <c r="I4" s="227" t="s">
        <v>18</v>
      </c>
      <c r="J4" s="227" t="s">
        <v>45</v>
      </c>
      <c r="K4" s="228" t="s">
        <v>217</v>
      </c>
      <c r="L4" s="226">
        <f t="shared" si="0"/>
        <v>46218.525777025461</v>
      </c>
    </row>
    <row r="5" spans="1:12" x14ac:dyDescent="0.3">
      <c r="A5" s="226">
        <v>46218</v>
      </c>
      <c r="B5" s="226">
        <v>46218.525777025461</v>
      </c>
      <c r="C5" s="227" t="s">
        <v>297</v>
      </c>
      <c r="D5" s="227" t="s">
        <v>298</v>
      </c>
      <c r="E5" s="228" t="s">
        <v>297</v>
      </c>
      <c r="F5" s="228" t="s">
        <v>299</v>
      </c>
      <c r="G5" s="229">
        <v>24764.1</v>
      </c>
      <c r="H5" s="227" t="s">
        <v>300</v>
      </c>
      <c r="I5" s="227" t="s">
        <v>18</v>
      </c>
      <c r="J5" s="227" t="s">
        <v>45</v>
      </c>
      <c r="K5" s="228" t="s">
        <v>301</v>
      </c>
      <c r="L5" s="226">
        <f t="shared" si="0"/>
        <v>46218.525777025461</v>
      </c>
    </row>
    <row r="6" spans="1:12" x14ac:dyDescent="0.3">
      <c r="A6" s="226">
        <v>46210</v>
      </c>
      <c r="B6" s="226">
        <v>46218.525777025461</v>
      </c>
      <c r="C6" s="227" t="s">
        <v>241</v>
      </c>
      <c r="D6" s="227" t="s">
        <v>242</v>
      </c>
      <c r="E6" s="228" t="s">
        <v>243</v>
      </c>
      <c r="F6" s="228" t="s">
        <v>244</v>
      </c>
      <c r="G6" s="229">
        <v>6543.5</v>
      </c>
      <c r="H6" s="227" t="s">
        <v>25</v>
      </c>
      <c r="I6" s="227" t="s">
        <v>39</v>
      </c>
      <c r="J6" s="227" t="s">
        <v>45</v>
      </c>
      <c r="K6" s="228" t="s">
        <v>245</v>
      </c>
      <c r="L6" s="226">
        <f t="shared" si="0"/>
        <v>46218.525777025461</v>
      </c>
    </row>
    <row r="7" spans="1:12" x14ac:dyDescent="0.3">
      <c r="A7" s="234">
        <v>46217</v>
      </c>
      <c r="B7" s="234">
        <v>46219</v>
      </c>
      <c r="C7" s="235" t="s">
        <v>302</v>
      </c>
      <c r="D7" s="235" t="s">
        <v>303</v>
      </c>
      <c r="E7" s="236" t="s">
        <v>302</v>
      </c>
      <c r="F7" s="236" t="s">
        <v>304</v>
      </c>
      <c r="G7" s="237">
        <v>7739.5</v>
      </c>
      <c r="H7" s="235" t="s">
        <v>305</v>
      </c>
      <c r="I7" s="235" t="s">
        <v>39</v>
      </c>
      <c r="J7" s="235" t="s">
        <v>45</v>
      </c>
      <c r="K7" s="236" t="s">
        <v>306</v>
      </c>
      <c r="L7" s="234">
        <f t="shared" si="0"/>
        <v>46219</v>
      </c>
    </row>
    <row r="8" spans="1:12" ht="374.4" customHeight="1" x14ac:dyDescent="0.3">
      <c r="A8" s="234">
        <v>46142</v>
      </c>
      <c r="B8" s="234">
        <v>46220</v>
      </c>
      <c r="C8" s="235" t="s">
        <v>34</v>
      </c>
      <c r="D8" s="235" t="s">
        <v>35</v>
      </c>
      <c r="E8" s="236" t="s">
        <v>36</v>
      </c>
      <c r="F8" s="236" t="s">
        <v>37</v>
      </c>
      <c r="G8" s="237">
        <v>251433.71</v>
      </c>
      <c r="H8" s="235" t="s">
        <v>38</v>
      </c>
      <c r="I8" s="235" t="s">
        <v>18</v>
      </c>
      <c r="J8" s="235" t="s">
        <v>128</v>
      </c>
      <c r="K8" s="236" t="s">
        <v>143</v>
      </c>
      <c r="L8" s="234">
        <f t="shared" si="0"/>
        <v>46220</v>
      </c>
    </row>
    <row r="9" spans="1:12" ht="158.4" customHeight="1" x14ac:dyDescent="0.3">
      <c r="A9" s="234">
        <v>46198</v>
      </c>
      <c r="B9" s="234">
        <v>46220</v>
      </c>
      <c r="C9" s="235" t="s">
        <v>21</v>
      </c>
      <c r="D9" s="235" t="s">
        <v>22</v>
      </c>
      <c r="E9" s="236" t="s">
        <v>23</v>
      </c>
      <c r="F9" s="236" t="s">
        <v>24</v>
      </c>
      <c r="G9" s="237">
        <v>143822.45000000001</v>
      </c>
      <c r="H9" s="235" t="s">
        <v>25</v>
      </c>
      <c r="I9" s="235" t="s">
        <v>18</v>
      </c>
      <c r="J9" s="235" t="s">
        <v>45</v>
      </c>
      <c r="K9" s="236" t="s">
        <v>162</v>
      </c>
      <c r="L9" s="234">
        <f t="shared" si="0"/>
        <v>46220</v>
      </c>
    </row>
    <row r="10" spans="1:12" ht="28.8" customHeight="1" x14ac:dyDescent="0.3">
      <c r="A10" s="234">
        <v>46211</v>
      </c>
      <c r="B10" s="234">
        <v>46220</v>
      </c>
      <c r="C10" s="235" t="s">
        <v>255</v>
      </c>
      <c r="D10" s="235" t="s">
        <v>256</v>
      </c>
      <c r="E10" s="236" t="s">
        <v>257</v>
      </c>
      <c r="F10" s="236" t="s">
        <v>258</v>
      </c>
      <c r="G10" s="237">
        <v>22914.9</v>
      </c>
      <c r="H10" s="235" t="s">
        <v>25</v>
      </c>
      <c r="I10" s="235" t="s">
        <v>18</v>
      </c>
      <c r="J10" s="235" t="s">
        <v>19</v>
      </c>
      <c r="K10" s="236" t="s">
        <v>259</v>
      </c>
      <c r="L10" s="234">
        <f t="shared" si="0"/>
        <v>46220</v>
      </c>
    </row>
    <row r="11" spans="1:12" x14ac:dyDescent="0.3">
      <c r="A11" s="234">
        <v>46218</v>
      </c>
      <c r="B11" s="234">
        <v>46220</v>
      </c>
      <c r="C11" s="235" t="s">
        <v>307</v>
      </c>
      <c r="D11" s="235" t="s">
        <v>308</v>
      </c>
      <c r="E11" s="236" t="s">
        <v>42</v>
      </c>
      <c r="F11" s="236" t="s">
        <v>309</v>
      </c>
      <c r="G11" s="237">
        <v>6226.1</v>
      </c>
      <c r="H11" s="235" t="s">
        <v>25</v>
      </c>
      <c r="I11" s="235" t="s">
        <v>18</v>
      </c>
      <c r="J11" s="235" t="s">
        <v>45</v>
      </c>
      <c r="K11" s="236" t="s">
        <v>310</v>
      </c>
      <c r="L11" s="234">
        <f t="shared" si="0"/>
        <v>46220</v>
      </c>
    </row>
    <row r="12" spans="1:12" x14ac:dyDescent="0.3">
      <c r="A12" s="234">
        <v>46218</v>
      </c>
      <c r="B12" s="234">
        <v>46220</v>
      </c>
      <c r="C12" s="235" t="s">
        <v>100</v>
      </c>
      <c r="D12" s="235" t="s">
        <v>311</v>
      </c>
      <c r="E12" s="236" t="s">
        <v>312</v>
      </c>
      <c r="F12" s="236" t="s">
        <v>313</v>
      </c>
      <c r="G12" s="237">
        <v>34546.480000000003</v>
      </c>
      <c r="H12" s="235" t="s">
        <v>17</v>
      </c>
      <c r="I12" s="235" t="s">
        <v>18</v>
      </c>
      <c r="J12" s="235" t="s">
        <v>45</v>
      </c>
      <c r="K12" s="236" t="s">
        <v>314</v>
      </c>
      <c r="L12" s="234">
        <f t="shared" si="0"/>
        <v>46220</v>
      </c>
    </row>
    <row r="13" spans="1:12" ht="72" customHeight="1" x14ac:dyDescent="0.3">
      <c r="A13" s="230">
        <v>46218</v>
      </c>
      <c r="B13" s="230">
        <v>46223</v>
      </c>
      <c r="C13" s="231" t="s">
        <v>315</v>
      </c>
      <c r="D13" s="231" t="s">
        <v>316</v>
      </c>
      <c r="E13" s="232" t="s">
        <v>42</v>
      </c>
      <c r="F13" s="232" t="s">
        <v>317</v>
      </c>
      <c r="G13" s="233">
        <v>35012.03</v>
      </c>
      <c r="H13" s="231" t="s">
        <v>201</v>
      </c>
      <c r="I13" s="231" t="s">
        <v>18</v>
      </c>
      <c r="J13" s="231" t="s">
        <v>45</v>
      </c>
      <c r="K13" s="232" t="s">
        <v>318</v>
      </c>
      <c r="L13" s="230">
        <f t="shared" si="0"/>
        <v>46223</v>
      </c>
    </row>
    <row r="14" spans="1:12" ht="115.2" customHeight="1" x14ac:dyDescent="0.3">
      <c r="A14" s="234">
        <v>46212</v>
      </c>
      <c r="B14" s="234">
        <v>46225</v>
      </c>
      <c r="C14" s="235" t="s">
        <v>286</v>
      </c>
      <c r="D14" s="235" t="s">
        <v>287</v>
      </c>
      <c r="E14" s="236" t="s">
        <v>288</v>
      </c>
      <c r="F14" s="236" t="s">
        <v>200</v>
      </c>
      <c r="G14" s="237">
        <v>43732.2</v>
      </c>
      <c r="H14" s="235" t="s">
        <v>201</v>
      </c>
      <c r="I14" s="235" t="s">
        <v>39</v>
      </c>
      <c r="J14" s="235" t="s">
        <v>50</v>
      </c>
      <c r="K14" s="236" t="s">
        <v>289</v>
      </c>
      <c r="L14" s="234">
        <f t="shared" si="0"/>
        <v>46225</v>
      </c>
    </row>
    <row r="15" spans="1:12" ht="172.8" customHeight="1" x14ac:dyDescent="0.3">
      <c r="A15" s="234">
        <v>46198</v>
      </c>
      <c r="B15" s="234">
        <v>46227</v>
      </c>
      <c r="C15" s="235" t="s">
        <v>174</v>
      </c>
      <c r="D15" s="235" t="s">
        <v>175</v>
      </c>
      <c r="E15" s="236" t="s">
        <v>42</v>
      </c>
      <c r="F15" s="236" t="s">
        <v>176</v>
      </c>
      <c r="G15" s="237">
        <v>241125</v>
      </c>
      <c r="H15" s="235" t="s">
        <v>177</v>
      </c>
      <c r="I15" s="235" t="s">
        <v>18</v>
      </c>
      <c r="J15" s="235" t="s">
        <v>19</v>
      </c>
      <c r="K15" s="236" t="s">
        <v>178</v>
      </c>
      <c r="L15" s="234">
        <f t="shared" si="0"/>
        <v>46227</v>
      </c>
    </row>
    <row r="16" spans="1:12" ht="72" customHeight="1" x14ac:dyDescent="0.3">
      <c r="A16" s="234">
        <v>46217</v>
      </c>
      <c r="B16" s="234">
        <v>46230</v>
      </c>
      <c r="C16" s="235" t="s">
        <v>28</v>
      </c>
      <c r="D16" s="235" t="s">
        <v>29</v>
      </c>
      <c r="E16" s="236" t="s">
        <v>30</v>
      </c>
      <c r="F16" s="236" t="s">
        <v>31</v>
      </c>
      <c r="G16" s="237">
        <v>21062.25</v>
      </c>
      <c r="H16" s="235" t="s">
        <v>32</v>
      </c>
      <c r="I16" s="235" t="s">
        <v>18</v>
      </c>
      <c r="J16" s="235" t="s">
        <v>19</v>
      </c>
      <c r="K16" s="236" t="s">
        <v>319</v>
      </c>
      <c r="L16" s="234">
        <f t="shared" si="0"/>
        <v>46230</v>
      </c>
    </row>
    <row r="17" spans="1:12" x14ac:dyDescent="0.3">
      <c r="A17" s="234">
        <v>46205</v>
      </c>
      <c r="B17" s="234">
        <v>46233</v>
      </c>
      <c r="C17" s="235" t="s">
        <v>13</v>
      </c>
      <c r="D17" s="235" t="s">
        <v>14</v>
      </c>
      <c r="E17" s="236" t="s">
        <v>15</v>
      </c>
      <c r="F17" s="236" t="s">
        <v>16</v>
      </c>
      <c r="G17" s="237">
        <v>70994.559999999998</v>
      </c>
      <c r="H17" s="235" t="s">
        <v>17</v>
      </c>
      <c r="I17" s="235" t="s">
        <v>18</v>
      </c>
      <c r="J17" s="235" t="s">
        <v>19</v>
      </c>
      <c r="K17" s="236" t="s">
        <v>234</v>
      </c>
      <c r="L17" s="234">
        <f t="shared" si="0"/>
        <v>46233</v>
      </c>
    </row>
    <row r="18" spans="1:12" ht="28.8" customHeight="1" x14ac:dyDescent="0.3">
      <c r="A18" s="234">
        <v>46217</v>
      </c>
      <c r="B18" s="234">
        <v>46234</v>
      </c>
      <c r="C18" s="235" t="s">
        <v>40</v>
      </c>
      <c r="D18" s="235" t="s">
        <v>41</v>
      </c>
      <c r="E18" s="236" t="s">
        <v>42</v>
      </c>
      <c r="F18" s="236" t="s">
        <v>43</v>
      </c>
      <c r="G18" s="237">
        <v>71470.66</v>
      </c>
      <c r="H18" s="235" t="s">
        <v>44</v>
      </c>
      <c r="I18" s="235" t="s">
        <v>18</v>
      </c>
      <c r="J18" s="235" t="s">
        <v>45</v>
      </c>
      <c r="K18" s="236" t="s">
        <v>295</v>
      </c>
      <c r="L18" s="234">
        <f t="shared" si="0"/>
        <v>46234</v>
      </c>
    </row>
    <row r="19" spans="1:12" x14ac:dyDescent="0.3">
      <c r="A19" s="230">
        <v>46111</v>
      </c>
      <c r="B19" s="230">
        <v>46234</v>
      </c>
      <c r="C19" s="231" t="s">
        <v>96</v>
      </c>
      <c r="D19" s="231" t="s">
        <v>97</v>
      </c>
      <c r="E19" s="232" t="s">
        <v>98</v>
      </c>
      <c r="F19" s="232" t="s">
        <v>99</v>
      </c>
      <c r="G19" s="233">
        <v>169353.60000000001</v>
      </c>
      <c r="H19" s="231" t="s">
        <v>72</v>
      </c>
      <c r="I19" s="231" t="s">
        <v>100</v>
      </c>
      <c r="J19" s="231"/>
      <c r="K19" s="232" t="s">
        <v>208</v>
      </c>
      <c r="L19" s="230">
        <f t="shared" si="0"/>
        <v>46234</v>
      </c>
    </row>
    <row r="20" spans="1:12" ht="144" customHeight="1" x14ac:dyDescent="0.3">
      <c r="A20" s="230">
        <v>46128</v>
      </c>
      <c r="B20" s="230">
        <v>46234</v>
      </c>
      <c r="C20" s="231" t="s">
        <v>100</v>
      </c>
      <c r="D20" s="231" t="s">
        <v>101</v>
      </c>
      <c r="E20" s="232" t="s">
        <v>102</v>
      </c>
      <c r="F20" s="232" t="s">
        <v>103</v>
      </c>
      <c r="G20" s="233">
        <v>82900.05</v>
      </c>
      <c r="H20" s="231" t="s">
        <v>72</v>
      </c>
      <c r="I20" s="231" t="s">
        <v>100</v>
      </c>
      <c r="J20" s="231"/>
      <c r="K20" s="232" t="s">
        <v>186</v>
      </c>
      <c r="L20" s="230">
        <f t="shared" si="0"/>
        <v>46234</v>
      </c>
    </row>
    <row r="21" spans="1:12" ht="86.4" customHeight="1" x14ac:dyDescent="0.3">
      <c r="A21" s="230">
        <v>46142</v>
      </c>
      <c r="B21" s="230">
        <v>46234</v>
      </c>
      <c r="C21" s="231" t="s">
        <v>104</v>
      </c>
      <c r="D21" s="231" t="s">
        <v>105</v>
      </c>
      <c r="E21" s="232" t="s">
        <v>106</v>
      </c>
      <c r="F21" s="232" t="s">
        <v>107</v>
      </c>
      <c r="G21" s="233">
        <v>310411</v>
      </c>
      <c r="H21" s="231" t="s">
        <v>108</v>
      </c>
      <c r="I21" s="231" t="s">
        <v>100</v>
      </c>
      <c r="J21" s="231"/>
      <c r="K21" s="232" t="s">
        <v>187</v>
      </c>
      <c r="L21" s="230">
        <f t="shared" si="0"/>
        <v>46234</v>
      </c>
    </row>
    <row r="22" spans="1:12" x14ac:dyDescent="0.3">
      <c r="A22" s="230">
        <v>46142</v>
      </c>
      <c r="B22" s="230">
        <v>46234</v>
      </c>
      <c r="C22" s="231" t="s">
        <v>100</v>
      </c>
      <c r="D22" s="231" t="s">
        <v>109</v>
      </c>
      <c r="E22" s="232" t="s">
        <v>110</v>
      </c>
      <c r="F22" s="232" t="s">
        <v>111</v>
      </c>
      <c r="G22" s="233">
        <v>204447</v>
      </c>
      <c r="H22" s="231" t="s">
        <v>38</v>
      </c>
      <c r="I22" s="231" t="s">
        <v>100</v>
      </c>
      <c r="J22" s="231"/>
      <c r="K22" s="232" t="s">
        <v>188</v>
      </c>
      <c r="L22" s="230">
        <f t="shared" si="0"/>
        <v>46234</v>
      </c>
    </row>
    <row r="23" spans="1:12" x14ac:dyDescent="0.3">
      <c r="A23" s="230">
        <v>46170</v>
      </c>
      <c r="B23" s="230">
        <v>46234</v>
      </c>
      <c r="C23" s="231" t="s">
        <v>100</v>
      </c>
      <c r="D23" s="231" t="s">
        <v>112</v>
      </c>
      <c r="E23" s="232" t="s">
        <v>113</v>
      </c>
      <c r="F23" s="232" t="s">
        <v>114</v>
      </c>
      <c r="G23" s="233">
        <v>1860403.01</v>
      </c>
      <c r="H23" s="231" t="s">
        <v>72</v>
      </c>
      <c r="I23" s="231" t="s">
        <v>100</v>
      </c>
      <c r="J23" s="231"/>
      <c r="K23" s="232" t="s">
        <v>189</v>
      </c>
      <c r="L23" s="230">
        <f t="shared" si="0"/>
        <v>46234</v>
      </c>
    </row>
    <row r="24" spans="1:12" ht="57.6" customHeight="1" x14ac:dyDescent="0.3">
      <c r="A24" s="230">
        <v>46218</v>
      </c>
      <c r="B24" s="230">
        <v>46234</v>
      </c>
      <c r="C24" s="231" t="s">
        <v>64</v>
      </c>
      <c r="D24" s="231" t="s">
        <v>65</v>
      </c>
      <c r="E24" s="232" t="s">
        <v>66</v>
      </c>
      <c r="F24" s="232" t="s">
        <v>67</v>
      </c>
      <c r="G24" s="233">
        <v>217511</v>
      </c>
      <c r="H24" s="231" t="s">
        <v>32</v>
      </c>
      <c r="I24" s="231" t="s">
        <v>100</v>
      </c>
      <c r="J24" s="231"/>
      <c r="K24" s="232" t="s">
        <v>320</v>
      </c>
      <c r="L24" s="230">
        <f t="shared" si="0"/>
        <v>46234</v>
      </c>
    </row>
    <row r="25" spans="1:12" x14ac:dyDescent="0.3">
      <c r="A25" s="234">
        <v>46171</v>
      </c>
      <c r="B25" s="234">
        <v>46239</v>
      </c>
      <c r="C25" s="235" t="s">
        <v>68</v>
      </c>
      <c r="D25" s="235" t="s">
        <v>69</v>
      </c>
      <c r="E25" s="236" t="s">
        <v>70</v>
      </c>
      <c r="F25" s="236" t="s">
        <v>71</v>
      </c>
      <c r="G25" s="237">
        <v>18400</v>
      </c>
      <c r="H25" s="235" t="s">
        <v>72</v>
      </c>
      <c r="I25" s="235" t="s">
        <v>18</v>
      </c>
      <c r="J25" s="235" t="s">
        <v>19</v>
      </c>
      <c r="K25" s="236" t="s">
        <v>185</v>
      </c>
      <c r="L25" s="234">
        <f t="shared" si="0"/>
        <v>46239</v>
      </c>
    </row>
    <row r="26" spans="1:12" ht="28.8" customHeight="1" x14ac:dyDescent="0.3">
      <c r="A26" s="234">
        <v>46185</v>
      </c>
      <c r="B26" s="234">
        <v>46253</v>
      </c>
      <c r="C26" s="235" t="s">
        <v>82</v>
      </c>
      <c r="D26" s="235" t="s">
        <v>83</v>
      </c>
      <c r="E26" s="236" t="s">
        <v>84</v>
      </c>
      <c r="F26" s="236" t="s">
        <v>85</v>
      </c>
      <c r="G26" s="237">
        <v>109947.56</v>
      </c>
      <c r="H26" s="235" t="s">
        <v>86</v>
      </c>
      <c r="I26" s="235" t="s">
        <v>18</v>
      </c>
      <c r="J26" s="235" t="s">
        <v>45</v>
      </c>
      <c r="K26" s="236" t="s">
        <v>168</v>
      </c>
      <c r="L26" s="234">
        <f t="shared" si="0"/>
        <v>46253</v>
      </c>
    </row>
    <row r="27" spans="1:12" x14ac:dyDescent="0.3">
      <c r="F27" s="238" t="s">
        <v>118</v>
      </c>
      <c r="G27" s="239">
        <f>SUMIF(I3:I26,"&lt;&gt;Pending",G3:G26)</f>
        <v>1163461.8500000001</v>
      </c>
    </row>
    <row r="29" spans="1:12" x14ac:dyDescent="0.3">
      <c r="F29" s="240" t="s">
        <v>119</v>
      </c>
    </row>
    <row r="30" spans="1:12" x14ac:dyDescent="0.3">
      <c r="F30" t="s">
        <v>120</v>
      </c>
      <c r="G30" s="19">
        <f ca="1">SUMIFS(G3:G26, J3:J26, "*CASH SALE*", L3:L26, "&gt;="&amp;EOMONTH(TODAY(),-1)+1, L3:L26, "&lt;="&amp;EOMONTH(TODAY(),0), I3:I26, "&lt;&gt;Pending")</f>
        <v>679017.58</v>
      </c>
      <c r="I30" t="s">
        <v>121</v>
      </c>
      <c r="J30" s="19">
        <f ca="1">SUMIFS(G3:G26, J3:J26, "*CASH SALE*", L3:L26, "&gt;="&amp;EOMONTH(TODAY(),0)+1, L3:L26, "&lt;="&amp;EOMONTH(TODAY(),1), I3:I26, "&lt;&gt;Pending")</f>
        <v>109947.56</v>
      </c>
    </row>
    <row r="31" spans="1:12" x14ac:dyDescent="0.3">
      <c r="F31" t="s">
        <v>122</v>
      </c>
      <c r="G31" s="19">
        <f ca="1">SUMIFS(G3:G26, J3:J26, "*ACCOUNT*", L3:L26, "&gt;="&amp;EOMONTH(TODAY(),-1)+1, L3:L26, "&lt;="&amp;EOMONTH(TODAY(),0), I3:I26, "&lt;&gt;Pending")</f>
        <v>356096.71</v>
      </c>
      <c r="I31" t="s">
        <v>123</v>
      </c>
      <c r="J31" s="19">
        <f ca="1">SUMIFS(G3:G26, J3:J26, "*ACCOUNT*", L3:L26, "&gt;="&amp;EOMONTH(TODAY(),0)+1, L3:L26, "&lt;="&amp;EOMONTH(TODAY(),1), I3:I26, "&lt;&gt;Pending")</f>
        <v>18400</v>
      </c>
    </row>
    <row r="34" spans="1:11" ht="28.8" customHeight="1" x14ac:dyDescent="0.3">
      <c r="A34" s="225" t="s">
        <v>1</v>
      </c>
      <c r="B34" s="225" t="s">
        <v>2</v>
      </c>
      <c r="C34" s="225" t="s">
        <v>3</v>
      </c>
      <c r="D34" s="225" t="s">
        <v>4</v>
      </c>
      <c r="E34" s="225" t="s">
        <v>5</v>
      </c>
      <c r="F34" s="225" t="s">
        <v>6</v>
      </c>
      <c r="G34" s="225" t="s">
        <v>7</v>
      </c>
      <c r="H34" s="225" t="s">
        <v>8</v>
      </c>
      <c r="I34" s="225" t="s">
        <v>9</v>
      </c>
      <c r="J34" s="225" t="s">
        <v>10</v>
      </c>
      <c r="K34" s="225" t="s">
        <v>124</v>
      </c>
    </row>
    <row r="35" spans="1:11" x14ac:dyDescent="0.3">
      <c r="A35" s="241">
        <v>46205</v>
      </c>
      <c r="B35" s="241">
        <v>46218.525777025461</v>
      </c>
      <c r="C35" s="235" t="s">
        <v>209</v>
      </c>
      <c r="D35" s="235" t="s">
        <v>210</v>
      </c>
      <c r="E35" s="242" t="s">
        <v>42</v>
      </c>
      <c r="F35" s="242" t="s">
        <v>211</v>
      </c>
      <c r="G35" s="237">
        <v>25632.35</v>
      </c>
      <c r="H35" s="235" t="s">
        <v>201</v>
      </c>
      <c r="I35" s="242" t="s">
        <v>18</v>
      </c>
      <c r="J35" s="242" t="s">
        <v>45</v>
      </c>
      <c r="K35" s="236"/>
    </row>
    <row r="36" spans="1:11" x14ac:dyDescent="0.3">
      <c r="A36" s="241">
        <v>46205</v>
      </c>
      <c r="B36" s="241">
        <v>46218.525777025461</v>
      </c>
      <c r="C36" s="235" t="s">
        <v>213</v>
      </c>
      <c r="D36" s="235" t="s">
        <v>214</v>
      </c>
      <c r="E36" s="242" t="s">
        <v>42</v>
      </c>
      <c r="F36" s="242" t="s">
        <v>215</v>
      </c>
      <c r="G36" s="237">
        <v>28094.5</v>
      </c>
      <c r="H36" s="235" t="s">
        <v>216</v>
      </c>
      <c r="I36" s="242" t="s">
        <v>18</v>
      </c>
      <c r="J36" s="242" t="s">
        <v>45</v>
      </c>
      <c r="K36" s="236"/>
    </row>
    <row r="37" spans="1:11" x14ac:dyDescent="0.3">
      <c r="A37" s="241">
        <v>46218</v>
      </c>
      <c r="B37" s="241">
        <v>46218.525777025461</v>
      </c>
      <c r="C37" s="235" t="s">
        <v>297</v>
      </c>
      <c r="D37" s="235" t="s">
        <v>298</v>
      </c>
      <c r="E37" s="242" t="s">
        <v>297</v>
      </c>
      <c r="F37" s="242" t="s">
        <v>299</v>
      </c>
      <c r="G37" s="237">
        <v>24764.1</v>
      </c>
      <c r="H37" s="235" t="s">
        <v>300</v>
      </c>
      <c r="I37" s="242" t="s">
        <v>18</v>
      </c>
      <c r="J37" s="242" t="s">
        <v>45</v>
      </c>
      <c r="K37" s="236"/>
    </row>
    <row r="38" spans="1:11" x14ac:dyDescent="0.3">
      <c r="A38" s="241">
        <v>46210</v>
      </c>
      <c r="B38" s="241">
        <v>46218.525777025461</v>
      </c>
      <c r="C38" s="235" t="s">
        <v>241</v>
      </c>
      <c r="D38" s="235" t="s">
        <v>242</v>
      </c>
      <c r="E38" s="242" t="s">
        <v>243</v>
      </c>
      <c r="F38" s="242" t="s">
        <v>244</v>
      </c>
      <c r="G38" s="237">
        <v>6543.5</v>
      </c>
      <c r="H38" s="235" t="s">
        <v>25</v>
      </c>
      <c r="I38" s="242" t="s">
        <v>39</v>
      </c>
      <c r="J38" s="242" t="s">
        <v>45</v>
      </c>
      <c r="K38" s="236"/>
    </row>
    <row r="39" spans="1:11" x14ac:dyDescent="0.3">
      <c r="F39" s="238" t="s">
        <v>129</v>
      </c>
      <c r="G39" s="239">
        <f>SUM(G35:G38)</f>
        <v>85034.45</v>
      </c>
    </row>
    <row r="41" spans="1:11" x14ac:dyDescent="0.3">
      <c r="F41" s="238" t="s">
        <v>130</v>
      </c>
      <c r="G41" s="239">
        <f>SUMIFS(G3:G26, I3:I26, "*Ready*Dispatch*")</f>
        <v>58015.199999999997</v>
      </c>
    </row>
    <row r="42" spans="1:11" x14ac:dyDescent="0.3">
      <c r="A42" s="467" t="s">
        <v>321</v>
      </c>
      <c r="B42" s="456"/>
      <c r="C42" s="454"/>
      <c r="D42" s="454"/>
    </row>
    <row r="43" spans="1:11" x14ac:dyDescent="0.3">
      <c r="A43" s="467" t="s">
        <v>132</v>
      </c>
      <c r="B43" s="456"/>
      <c r="C43" s="454"/>
      <c r="D43" s="454"/>
    </row>
  </sheetData>
  <mergeCells count="3">
    <mergeCell ref="A1:D1"/>
    <mergeCell ref="A42:D42"/>
    <mergeCell ref="A43:D43"/>
  </mergeCells>
  <pageMargins left="0.25" right="0.25" top="0.75" bottom="0.75" header="0.3" footer="0.3"/>
  <pageSetup fitToHeight="0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L47"/>
  <sheetViews>
    <sheetView zoomScale="80" zoomScaleNormal="80" workbookViewId="0">
      <pane xSplit="4" ySplit="2" topLeftCell="E4" activePane="bottomRight" state="frozen"/>
      <selection activeCell="L23" sqref="A3:L23"/>
      <selection pane="topRight" activeCell="L23" sqref="A3:L23"/>
      <selection pane="bottomLeft" activeCell="L23" sqref="A3:L23"/>
      <selection pane="bottomRight" activeCell="G9" sqref="G9"/>
    </sheetView>
  </sheetViews>
  <sheetFormatPr defaultRowHeight="14.4" x14ac:dyDescent="0.3"/>
  <cols>
    <col min="1" max="2" width="12" customWidth="1"/>
    <col min="3" max="3" width="15" customWidth="1"/>
    <col min="4" max="4" width="12" customWidth="1"/>
    <col min="5" max="5" width="20" customWidth="1"/>
    <col min="6" max="6" width="30" customWidth="1"/>
    <col min="7" max="7" width="15" customWidth="1"/>
    <col min="8" max="8" width="20" customWidth="1"/>
    <col min="9" max="9" width="15" customWidth="1"/>
    <col min="10" max="10" width="23.33203125" customWidth="1"/>
    <col min="11" max="11" width="50" customWidth="1"/>
    <col min="12" max="12" width="12" customWidth="1"/>
  </cols>
  <sheetData>
    <row r="1" spans="1:12" ht="18" customHeight="1" x14ac:dyDescent="0.35">
      <c r="A1" s="243" t="s">
        <v>0</v>
      </c>
      <c r="K1" s="244">
        <f ca="1">TODAY()</f>
        <v>46233</v>
      </c>
    </row>
    <row r="2" spans="1:12" ht="43.2" customHeight="1" x14ac:dyDescent="0.3">
      <c r="A2" s="245" t="s">
        <v>1</v>
      </c>
      <c r="B2" s="245" t="s">
        <v>2</v>
      </c>
      <c r="C2" s="245" t="s">
        <v>3</v>
      </c>
      <c r="D2" s="245" t="s">
        <v>4</v>
      </c>
      <c r="E2" s="245" t="s">
        <v>5</v>
      </c>
      <c r="F2" s="245" t="s">
        <v>6</v>
      </c>
      <c r="G2" s="245" t="s">
        <v>7</v>
      </c>
      <c r="H2" s="245" t="s">
        <v>8</v>
      </c>
      <c r="I2" s="245" t="s">
        <v>9</v>
      </c>
      <c r="J2" s="245" t="s">
        <v>10</v>
      </c>
      <c r="K2" s="245" t="s">
        <v>11</v>
      </c>
      <c r="L2" s="245" t="s">
        <v>12</v>
      </c>
    </row>
    <row r="3" spans="1:12" ht="115.2" customHeight="1" x14ac:dyDescent="0.3">
      <c r="A3" s="246">
        <v>46205</v>
      </c>
      <c r="B3" s="246">
        <v>46227</v>
      </c>
      <c r="C3" s="247" t="s">
        <v>209</v>
      </c>
      <c r="D3" s="247" t="s">
        <v>210</v>
      </c>
      <c r="E3" s="248" t="s">
        <v>42</v>
      </c>
      <c r="F3" s="248" t="s">
        <v>211</v>
      </c>
      <c r="G3" s="249">
        <v>25632.35</v>
      </c>
      <c r="H3" s="247" t="s">
        <v>201</v>
      </c>
      <c r="I3" s="247" t="s">
        <v>39</v>
      </c>
      <c r="J3" s="247" t="s">
        <v>45</v>
      </c>
      <c r="K3" s="248" t="s">
        <v>212</v>
      </c>
      <c r="L3" s="246">
        <f t="shared" ref="L3:L26" si="0">B3</f>
        <v>46227</v>
      </c>
    </row>
    <row r="4" spans="1:12" ht="72" customHeight="1" x14ac:dyDescent="0.3">
      <c r="A4" s="246">
        <v>46205</v>
      </c>
      <c r="B4" s="246">
        <v>46227</v>
      </c>
      <c r="C4" s="247" t="s">
        <v>213</v>
      </c>
      <c r="D4" s="247" t="s">
        <v>214</v>
      </c>
      <c r="E4" s="248" t="s">
        <v>42</v>
      </c>
      <c r="F4" s="248" t="s">
        <v>215</v>
      </c>
      <c r="G4" s="249">
        <v>28094.5</v>
      </c>
      <c r="H4" s="247" t="s">
        <v>216</v>
      </c>
      <c r="I4" s="247" t="s">
        <v>18</v>
      </c>
      <c r="J4" s="247" t="s">
        <v>45</v>
      </c>
      <c r="K4" s="248" t="s">
        <v>217</v>
      </c>
      <c r="L4" s="246">
        <f t="shared" si="0"/>
        <v>46227</v>
      </c>
    </row>
    <row r="5" spans="1:12" x14ac:dyDescent="0.3">
      <c r="A5" s="246">
        <v>46217</v>
      </c>
      <c r="B5" s="246">
        <v>46219.318841307868</v>
      </c>
      <c r="C5" s="247" t="s">
        <v>302</v>
      </c>
      <c r="D5" s="247" t="s">
        <v>322</v>
      </c>
      <c r="E5" s="248" t="s">
        <v>302</v>
      </c>
      <c r="F5" s="248" t="s">
        <v>304</v>
      </c>
      <c r="G5" s="249">
        <v>7739.5</v>
      </c>
      <c r="H5" s="247" t="s">
        <v>305</v>
      </c>
      <c r="I5" s="247" t="s">
        <v>18</v>
      </c>
      <c r="J5" s="247" t="s">
        <v>45</v>
      </c>
      <c r="K5" s="248" t="s">
        <v>306</v>
      </c>
      <c r="L5" s="246">
        <f t="shared" si="0"/>
        <v>46219.318841307868</v>
      </c>
    </row>
    <row r="6" spans="1:12" x14ac:dyDescent="0.3">
      <c r="A6" s="246">
        <v>46218</v>
      </c>
      <c r="B6" s="246">
        <v>46219.318841307868</v>
      </c>
      <c r="C6" s="247" t="s">
        <v>224</v>
      </c>
      <c r="D6" s="247" t="s">
        <v>323</v>
      </c>
      <c r="E6" s="248" t="s">
        <v>42</v>
      </c>
      <c r="F6" s="248" t="s">
        <v>117</v>
      </c>
      <c r="G6" s="249">
        <v>4924.3</v>
      </c>
      <c r="H6" s="247" t="s">
        <v>38</v>
      </c>
      <c r="I6" s="247" t="s">
        <v>18</v>
      </c>
      <c r="J6" s="247" t="s">
        <v>45</v>
      </c>
      <c r="K6" s="248" t="s">
        <v>324</v>
      </c>
      <c r="L6" s="246">
        <f t="shared" si="0"/>
        <v>46219.318841307868</v>
      </c>
    </row>
    <row r="7" spans="1:12" x14ac:dyDescent="0.3">
      <c r="A7" s="246">
        <v>46210</v>
      </c>
      <c r="B7" s="246">
        <v>46219.318841307868</v>
      </c>
      <c r="C7" s="247" t="s">
        <v>241</v>
      </c>
      <c r="D7" s="247" t="s">
        <v>242</v>
      </c>
      <c r="E7" s="248" t="s">
        <v>243</v>
      </c>
      <c r="F7" s="248" t="s">
        <v>244</v>
      </c>
      <c r="G7" s="249">
        <v>6543.5</v>
      </c>
      <c r="H7" s="247" t="s">
        <v>25</v>
      </c>
      <c r="I7" s="247" t="s">
        <v>39</v>
      </c>
      <c r="J7" s="247" t="s">
        <v>45</v>
      </c>
      <c r="K7" s="248" t="s">
        <v>245</v>
      </c>
      <c r="L7" s="246">
        <f t="shared" si="0"/>
        <v>46219.318841307868</v>
      </c>
    </row>
    <row r="8" spans="1:12" x14ac:dyDescent="0.3">
      <c r="A8" s="246">
        <v>46217</v>
      </c>
      <c r="B8" s="246">
        <v>46219.318841307868</v>
      </c>
      <c r="C8" s="247" t="s">
        <v>302</v>
      </c>
      <c r="D8" s="247" t="s">
        <v>303</v>
      </c>
      <c r="E8" s="248" t="s">
        <v>302</v>
      </c>
      <c r="F8" s="248" t="s">
        <v>304</v>
      </c>
      <c r="G8" s="249">
        <v>7739.5</v>
      </c>
      <c r="H8" s="247" t="s">
        <v>305</v>
      </c>
      <c r="I8" s="247" t="s">
        <v>39</v>
      </c>
      <c r="J8" s="247" t="s">
        <v>45</v>
      </c>
      <c r="K8" s="248" t="s">
        <v>306</v>
      </c>
      <c r="L8" s="246">
        <f t="shared" si="0"/>
        <v>46219.318841307868</v>
      </c>
    </row>
    <row r="9" spans="1:12" ht="172.8" customHeight="1" x14ac:dyDescent="0.3">
      <c r="A9" s="254">
        <v>46198</v>
      </c>
      <c r="B9" s="254">
        <v>46220</v>
      </c>
      <c r="C9" s="255" t="s">
        <v>21</v>
      </c>
      <c r="D9" s="255" t="s">
        <v>22</v>
      </c>
      <c r="E9" s="256" t="s">
        <v>23</v>
      </c>
      <c r="F9" s="256" t="s">
        <v>24</v>
      </c>
      <c r="G9" s="257">
        <v>143822.45000000001</v>
      </c>
      <c r="H9" s="255" t="s">
        <v>25</v>
      </c>
      <c r="I9" s="255" t="s">
        <v>18</v>
      </c>
      <c r="J9" s="255" t="s">
        <v>45</v>
      </c>
      <c r="K9" s="256" t="s">
        <v>162</v>
      </c>
      <c r="L9" s="254">
        <f t="shared" si="0"/>
        <v>46220</v>
      </c>
    </row>
    <row r="10" spans="1:12" ht="28.8" customHeight="1" x14ac:dyDescent="0.3">
      <c r="A10" s="254">
        <v>46211</v>
      </c>
      <c r="B10" s="254">
        <v>46220</v>
      </c>
      <c r="C10" s="255" t="s">
        <v>255</v>
      </c>
      <c r="D10" s="255" t="s">
        <v>256</v>
      </c>
      <c r="E10" s="256" t="s">
        <v>257</v>
      </c>
      <c r="F10" s="256" t="s">
        <v>258</v>
      </c>
      <c r="G10" s="257">
        <v>22914.9</v>
      </c>
      <c r="H10" s="255" t="s">
        <v>25</v>
      </c>
      <c r="I10" s="255" t="s">
        <v>18</v>
      </c>
      <c r="J10" s="255" t="s">
        <v>19</v>
      </c>
      <c r="K10" s="256" t="s">
        <v>259</v>
      </c>
      <c r="L10" s="254">
        <f t="shared" si="0"/>
        <v>46220</v>
      </c>
    </row>
    <row r="11" spans="1:12" ht="28.8" customHeight="1" x14ac:dyDescent="0.3">
      <c r="A11" s="254">
        <v>46218</v>
      </c>
      <c r="B11" s="254">
        <v>46220</v>
      </c>
      <c r="C11" s="255" t="s">
        <v>307</v>
      </c>
      <c r="D11" s="255" t="s">
        <v>308</v>
      </c>
      <c r="E11" s="256" t="s">
        <v>42</v>
      </c>
      <c r="F11" s="256" t="s">
        <v>309</v>
      </c>
      <c r="G11" s="257">
        <v>6226.1</v>
      </c>
      <c r="H11" s="255" t="s">
        <v>25</v>
      </c>
      <c r="I11" s="255" t="s">
        <v>18</v>
      </c>
      <c r="J11" s="255" t="s">
        <v>45</v>
      </c>
      <c r="K11" s="256" t="s">
        <v>310</v>
      </c>
      <c r="L11" s="254">
        <f t="shared" si="0"/>
        <v>46220</v>
      </c>
    </row>
    <row r="12" spans="1:12" ht="28.8" customHeight="1" x14ac:dyDescent="0.3">
      <c r="A12" s="250">
        <v>46218</v>
      </c>
      <c r="B12" s="250">
        <v>46220</v>
      </c>
      <c r="C12" s="251" t="s">
        <v>325</v>
      </c>
      <c r="D12" s="251" t="s">
        <v>326</v>
      </c>
      <c r="E12" s="252" t="s">
        <v>327</v>
      </c>
      <c r="F12" s="252" t="s">
        <v>232</v>
      </c>
      <c r="G12" s="253">
        <v>4565.5</v>
      </c>
      <c r="H12" s="251" t="s">
        <v>201</v>
      </c>
      <c r="I12" s="251" t="s">
        <v>100</v>
      </c>
      <c r="J12" s="251"/>
      <c r="K12" s="252" t="s">
        <v>328</v>
      </c>
      <c r="L12" s="250">
        <f t="shared" si="0"/>
        <v>46220</v>
      </c>
    </row>
    <row r="13" spans="1:12" ht="72" customHeight="1" x14ac:dyDescent="0.3">
      <c r="A13" s="254">
        <v>46218</v>
      </c>
      <c r="B13" s="254">
        <v>46223</v>
      </c>
      <c r="C13" s="255" t="s">
        <v>315</v>
      </c>
      <c r="D13" s="255" t="s">
        <v>316</v>
      </c>
      <c r="E13" s="256" t="s">
        <v>42</v>
      </c>
      <c r="F13" s="256" t="s">
        <v>317</v>
      </c>
      <c r="G13" s="257">
        <v>35012.03</v>
      </c>
      <c r="H13" s="255" t="s">
        <v>201</v>
      </c>
      <c r="I13" s="255" t="s">
        <v>18</v>
      </c>
      <c r="J13" s="255" t="s">
        <v>26</v>
      </c>
      <c r="K13" s="256" t="s">
        <v>318</v>
      </c>
      <c r="L13" s="254">
        <f t="shared" si="0"/>
        <v>46223</v>
      </c>
    </row>
    <row r="14" spans="1:12" ht="129.6" customHeight="1" x14ac:dyDescent="0.3">
      <c r="A14" s="254">
        <v>46212</v>
      </c>
      <c r="B14" s="254">
        <v>46225</v>
      </c>
      <c r="C14" s="255" t="s">
        <v>286</v>
      </c>
      <c r="D14" s="255" t="s">
        <v>287</v>
      </c>
      <c r="E14" s="256" t="s">
        <v>288</v>
      </c>
      <c r="F14" s="256" t="s">
        <v>200</v>
      </c>
      <c r="G14" s="257">
        <v>43732.2</v>
      </c>
      <c r="H14" s="255" t="s">
        <v>201</v>
      </c>
      <c r="I14" s="255" t="s">
        <v>39</v>
      </c>
      <c r="J14" s="255" t="s">
        <v>50</v>
      </c>
      <c r="K14" s="256" t="s">
        <v>289</v>
      </c>
      <c r="L14" s="254">
        <f t="shared" si="0"/>
        <v>46225</v>
      </c>
    </row>
    <row r="15" spans="1:12" ht="187.2" customHeight="1" x14ac:dyDescent="0.3">
      <c r="A15" s="254">
        <v>46198</v>
      </c>
      <c r="B15" s="254">
        <v>46227</v>
      </c>
      <c r="C15" s="255" t="s">
        <v>174</v>
      </c>
      <c r="D15" s="255" t="s">
        <v>175</v>
      </c>
      <c r="E15" s="256" t="s">
        <v>42</v>
      </c>
      <c r="F15" s="256" t="s">
        <v>176</v>
      </c>
      <c r="G15" s="257">
        <v>241125</v>
      </c>
      <c r="H15" s="255" t="s">
        <v>177</v>
      </c>
      <c r="I15" s="255" t="s">
        <v>18</v>
      </c>
      <c r="J15" s="255" t="s">
        <v>19</v>
      </c>
      <c r="K15" s="256" t="s">
        <v>178</v>
      </c>
      <c r="L15" s="254">
        <f t="shared" si="0"/>
        <v>46227</v>
      </c>
    </row>
    <row r="16" spans="1:12" ht="72" customHeight="1" x14ac:dyDescent="0.3">
      <c r="A16" s="254">
        <v>46217</v>
      </c>
      <c r="B16" s="254">
        <v>46224</v>
      </c>
      <c r="C16" s="255" t="s">
        <v>28</v>
      </c>
      <c r="D16" s="255" t="s">
        <v>29</v>
      </c>
      <c r="E16" s="256" t="s">
        <v>30</v>
      </c>
      <c r="F16" s="256" t="s">
        <v>31</v>
      </c>
      <c r="G16" s="257">
        <v>21062.25</v>
      </c>
      <c r="H16" s="255" t="s">
        <v>32</v>
      </c>
      <c r="I16" s="255" t="s">
        <v>18</v>
      </c>
      <c r="J16" s="255" t="s">
        <v>19</v>
      </c>
      <c r="K16" s="256" t="s">
        <v>319</v>
      </c>
      <c r="L16" s="254">
        <f t="shared" si="0"/>
        <v>46224</v>
      </c>
    </row>
    <row r="17" spans="1:12" x14ac:dyDescent="0.3">
      <c r="A17" s="254">
        <v>46205</v>
      </c>
      <c r="B17" s="254">
        <v>46233</v>
      </c>
      <c r="C17" s="255" t="s">
        <v>13</v>
      </c>
      <c r="D17" s="255" t="s">
        <v>14</v>
      </c>
      <c r="E17" s="256" t="s">
        <v>15</v>
      </c>
      <c r="F17" s="256" t="s">
        <v>16</v>
      </c>
      <c r="G17" s="257">
        <v>70994.559999999998</v>
      </c>
      <c r="H17" s="255" t="s">
        <v>17</v>
      </c>
      <c r="I17" s="255" t="s">
        <v>18</v>
      </c>
      <c r="J17" s="255" t="s">
        <v>19</v>
      </c>
      <c r="K17" s="256" t="s">
        <v>234</v>
      </c>
      <c r="L17" s="254">
        <f t="shared" si="0"/>
        <v>46233</v>
      </c>
    </row>
    <row r="18" spans="1:12" ht="28.8" customHeight="1" x14ac:dyDescent="0.3">
      <c r="A18" s="254">
        <v>46217</v>
      </c>
      <c r="B18" s="254">
        <v>46234</v>
      </c>
      <c r="C18" s="255" t="s">
        <v>40</v>
      </c>
      <c r="D18" s="255" t="s">
        <v>41</v>
      </c>
      <c r="E18" s="256" t="s">
        <v>42</v>
      </c>
      <c r="F18" s="256" t="s">
        <v>43</v>
      </c>
      <c r="G18" s="257">
        <v>71470.66</v>
      </c>
      <c r="H18" s="255" t="s">
        <v>44</v>
      </c>
      <c r="I18" s="255" t="s">
        <v>18</v>
      </c>
      <c r="J18" s="255" t="s">
        <v>45</v>
      </c>
      <c r="K18" s="256" t="s">
        <v>295</v>
      </c>
      <c r="L18" s="254">
        <f t="shared" si="0"/>
        <v>46234</v>
      </c>
    </row>
    <row r="19" spans="1:12" x14ac:dyDescent="0.3">
      <c r="A19" s="250">
        <v>46111</v>
      </c>
      <c r="B19" s="250">
        <v>46234</v>
      </c>
      <c r="C19" s="251" t="s">
        <v>96</v>
      </c>
      <c r="D19" s="251" t="s">
        <v>97</v>
      </c>
      <c r="E19" s="252" t="s">
        <v>98</v>
      </c>
      <c r="F19" s="252" t="s">
        <v>99</v>
      </c>
      <c r="G19" s="253">
        <v>169353.60000000001</v>
      </c>
      <c r="H19" s="251" t="s">
        <v>72</v>
      </c>
      <c r="I19" s="251" t="s">
        <v>100</v>
      </c>
      <c r="J19" s="251"/>
      <c r="K19" s="252" t="s">
        <v>208</v>
      </c>
      <c r="L19" s="250">
        <f t="shared" si="0"/>
        <v>46234</v>
      </c>
    </row>
    <row r="20" spans="1:12" ht="158.4" customHeight="1" x14ac:dyDescent="0.3">
      <c r="A20" s="250">
        <v>46128</v>
      </c>
      <c r="B20" s="250">
        <v>46234</v>
      </c>
      <c r="C20" s="251" t="s">
        <v>100</v>
      </c>
      <c r="D20" s="251" t="s">
        <v>101</v>
      </c>
      <c r="E20" s="252" t="s">
        <v>102</v>
      </c>
      <c r="F20" s="252" t="s">
        <v>103</v>
      </c>
      <c r="G20" s="253">
        <v>82900.05</v>
      </c>
      <c r="H20" s="251" t="s">
        <v>72</v>
      </c>
      <c r="I20" s="251" t="s">
        <v>100</v>
      </c>
      <c r="J20" s="251"/>
      <c r="K20" s="252" t="s">
        <v>186</v>
      </c>
      <c r="L20" s="250">
        <f t="shared" si="0"/>
        <v>46234</v>
      </c>
    </row>
    <row r="21" spans="1:12" ht="86.4" customHeight="1" x14ac:dyDescent="0.3">
      <c r="A21" s="250">
        <v>46142</v>
      </c>
      <c r="B21" s="250">
        <v>46234</v>
      </c>
      <c r="C21" s="251" t="s">
        <v>104</v>
      </c>
      <c r="D21" s="251" t="s">
        <v>105</v>
      </c>
      <c r="E21" s="252" t="s">
        <v>106</v>
      </c>
      <c r="F21" s="252" t="s">
        <v>107</v>
      </c>
      <c r="G21" s="253">
        <v>310411</v>
      </c>
      <c r="H21" s="251" t="s">
        <v>108</v>
      </c>
      <c r="I21" s="251" t="s">
        <v>100</v>
      </c>
      <c r="J21" s="251"/>
      <c r="K21" s="252" t="s">
        <v>187</v>
      </c>
      <c r="L21" s="250">
        <f t="shared" si="0"/>
        <v>46234</v>
      </c>
    </row>
    <row r="22" spans="1:12" ht="28.8" customHeight="1" x14ac:dyDescent="0.3">
      <c r="A22" s="250">
        <v>46142</v>
      </c>
      <c r="B22" s="250">
        <v>46234</v>
      </c>
      <c r="C22" s="251" t="s">
        <v>100</v>
      </c>
      <c r="D22" s="251" t="s">
        <v>109</v>
      </c>
      <c r="E22" s="252" t="s">
        <v>110</v>
      </c>
      <c r="F22" s="252" t="s">
        <v>111</v>
      </c>
      <c r="G22" s="253">
        <v>204447</v>
      </c>
      <c r="H22" s="251" t="s">
        <v>38</v>
      </c>
      <c r="I22" s="251" t="s">
        <v>100</v>
      </c>
      <c r="J22" s="251"/>
      <c r="K22" s="252" t="s">
        <v>188</v>
      </c>
      <c r="L22" s="250">
        <f t="shared" si="0"/>
        <v>46234</v>
      </c>
    </row>
    <row r="23" spans="1:12" x14ac:dyDescent="0.3">
      <c r="A23" s="250">
        <v>46170</v>
      </c>
      <c r="B23" s="250">
        <v>46234</v>
      </c>
      <c r="C23" s="251" t="s">
        <v>100</v>
      </c>
      <c r="D23" s="251" t="s">
        <v>112</v>
      </c>
      <c r="E23" s="252" t="s">
        <v>113</v>
      </c>
      <c r="F23" s="252" t="s">
        <v>114</v>
      </c>
      <c r="G23" s="253">
        <v>1860403.01</v>
      </c>
      <c r="H23" s="251" t="s">
        <v>72</v>
      </c>
      <c r="I23" s="251" t="s">
        <v>100</v>
      </c>
      <c r="J23" s="251"/>
      <c r="K23" s="252" t="s">
        <v>189</v>
      </c>
      <c r="L23" s="250">
        <f t="shared" si="0"/>
        <v>46234</v>
      </c>
    </row>
    <row r="24" spans="1:12" ht="57.6" customHeight="1" x14ac:dyDescent="0.3">
      <c r="A24" s="250">
        <v>46218</v>
      </c>
      <c r="B24" s="250">
        <v>46234</v>
      </c>
      <c r="C24" s="251" t="s">
        <v>64</v>
      </c>
      <c r="D24" s="251" t="s">
        <v>65</v>
      </c>
      <c r="E24" s="252" t="s">
        <v>66</v>
      </c>
      <c r="F24" s="252" t="s">
        <v>67</v>
      </c>
      <c r="G24" s="253">
        <v>217511</v>
      </c>
      <c r="H24" s="251" t="s">
        <v>32</v>
      </c>
      <c r="I24" s="251" t="s">
        <v>100</v>
      </c>
      <c r="J24" s="251"/>
      <c r="K24" s="252" t="s">
        <v>320</v>
      </c>
      <c r="L24" s="250">
        <f t="shared" si="0"/>
        <v>46234</v>
      </c>
    </row>
    <row r="25" spans="1:12" x14ac:dyDescent="0.3">
      <c r="A25" s="254">
        <v>46171</v>
      </c>
      <c r="B25" s="254">
        <v>46239</v>
      </c>
      <c r="C25" s="255" t="s">
        <v>68</v>
      </c>
      <c r="D25" s="255" t="s">
        <v>69</v>
      </c>
      <c r="E25" s="256" t="s">
        <v>70</v>
      </c>
      <c r="F25" s="256" t="s">
        <v>71</v>
      </c>
      <c r="G25" s="257">
        <v>18400</v>
      </c>
      <c r="H25" s="255" t="s">
        <v>72</v>
      </c>
      <c r="I25" s="255" t="s">
        <v>18</v>
      </c>
      <c r="J25" s="255" t="s">
        <v>19</v>
      </c>
      <c r="K25" s="256" t="s">
        <v>185</v>
      </c>
      <c r="L25" s="254">
        <f t="shared" si="0"/>
        <v>46239</v>
      </c>
    </row>
    <row r="26" spans="1:12" ht="28.8" customHeight="1" x14ac:dyDescent="0.3">
      <c r="A26" s="254">
        <v>46185</v>
      </c>
      <c r="B26" s="254">
        <v>46253</v>
      </c>
      <c r="C26" s="255" t="s">
        <v>82</v>
      </c>
      <c r="D26" s="255" t="s">
        <v>83</v>
      </c>
      <c r="E26" s="256" t="s">
        <v>84</v>
      </c>
      <c r="F26" s="256" t="s">
        <v>85</v>
      </c>
      <c r="G26" s="257">
        <v>109947.56</v>
      </c>
      <c r="H26" s="255" t="s">
        <v>86</v>
      </c>
      <c r="I26" s="255" t="s">
        <v>18</v>
      </c>
      <c r="J26" s="255" t="s">
        <v>45</v>
      </c>
      <c r="K26" s="256" t="s">
        <v>168</v>
      </c>
      <c r="L26" s="254">
        <f t="shared" si="0"/>
        <v>46253</v>
      </c>
    </row>
    <row r="27" spans="1:12" x14ac:dyDescent="0.3">
      <c r="F27" s="258" t="s">
        <v>118</v>
      </c>
      <c r="G27" s="259">
        <f>SUMIF(I3:I26,"&lt;&gt;Pending",G3:G26)</f>
        <v>865381.3600000001</v>
      </c>
    </row>
    <row r="29" spans="1:12" x14ac:dyDescent="0.3">
      <c r="F29" s="260" t="s">
        <v>119</v>
      </c>
    </row>
    <row r="30" spans="1:12" x14ac:dyDescent="0.3">
      <c r="F30" t="s">
        <v>120</v>
      </c>
      <c r="G30" s="19">
        <f ca="1">SUMIFS(G3:G26, J3:J26, "*CASH SALE*", L3:L26, "&gt;="&amp;EOMONTH(TODAY(),-1)+1, L3:L26, "&lt;="&amp;EOMONTH(TODAY(),0), I3:I26, "&lt;&gt;Pending")</f>
        <v>380937.08999999997</v>
      </c>
      <c r="I30" t="s">
        <v>121</v>
      </c>
      <c r="J30" s="19">
        <f ca="1">SUMIFS(G3:G26, J3:J26, "*CASH SALE*", L3:L26, "&gt;="&amp;EOMONTH(TODAY(),0)+1, L3:L26, "&lt;="&amp;EOMONTH(TODAY(),1), I3:I26, "&lt;&gt;Pending")</f>
        <v>109947.56</v>
      </c>
    </row>
    <row r="31" spans="1:12" x14ac:dyDescent="0.3">
      <c r="F31" t="s">
        <v>122</v>
      </c>
      <c r="G31" s="19">
        <f ca="1">SUMIFS(G3:G26, J3:J26, "*ACCOUNT*", L3:L26, "&gt;="&amp;EOMONTH(TODAY(),-1)+1, L3:L26, "&lt;="&amp;EOMONTH(TODAY(),0), I3:I26, "&lt;&gt;Pending")</f>
        <v>356096.71</v>
      </c>
      <c r="I31" t="s">
        <v>123</v>
      </c>
      <c r="J31" s="19">
        <f ca="1">SUMIFS(G3:G26, J3:J26, "*ACCOUNT*", L3:L26, "&gt;="&amp;EOMONTH(TODAY(),0)+1, L3:L26, "&lt;="&amp;EOMONTH(TODAY(),1), I3:I26, "&lt;&gt;Pending")</f>
        <v>18400</v>
      </c>
    </row>
    <row r="34" spans="1:12" ht="28.8" customHeight="1" x14ac:dyDescent="0.3">
      <c r="A34" s="245" t="s">
        <v>1</v>
      </c>
      <c r="B34" s="245" t="s">
        <v>2</v>
      </c>
      <c r="C34" s="245" t="s">
        <v>3</v>
      </c>
      <c r="D34" s="245" t="s">
        <v>4</v>
      </c>
      <c r="E34" s="245" t="s">
        <v>5</v>
      </c>
      <c r="F34" s="245" t="s">
        <v>6</v>
      </c>
      <c r="G34" s="245" t="s">
        <v>7</v>
      </c>
      <c r="H34" s="245" t="s">
        <v>8</v>
      </c>
      <c r="I34" s="245" t="s">
        <v>9</v>
      </c>
      <c r="J34" s="245" t="s">
        <v>10</v>
      </c>
      <c r="K34" s="245" t="s">
        <v>124</v>
      </c>
    </row>
    <row r="35" spans="1:12" x14ac:dyDescent="0.3">
      <c r="A35" s="261">
        <v>46205</v>
      </c>
      <c r="B35" s="261">
        <v>46219.318841307868</v>
      </c>
      <c r="C35" s="262" t="s">
        <v>209</v>
      </c>
      <c r="D35" s="262" t="s">
        <v>210</v>
      </c>
      <c r="E35" s="262" t="s">
        <v>42</v>
      </c>
      <c r="F35" s="262" t="s">
        <v>211</v>
      </c>
      <c r="G35" s="257">
        <v>25632.35</v>
      </c>
      <c r="H35" s="262" t="s">
        <v>201</v>
      </c>
      <c r="I35" s="262" t="s">
        <v>18</v>
      </c>
      <c r="J35" s="262" t="s">
        <v>45</v>
      </c>
      <c r="K35" s="256"/>
    </row>
    <row r="36" spans="1:12" x14ac:dyDescent="0.3">
      <c r="A36" s="261">
        <v>46205</v>
      </c>
      <c r="B36" s="261">
        <v>46219.318841307868</v>
      </c>
      <c r="C36" s="262" t="s">
        <v>213</v>
      </c>
      <c r="D36" s="262" t="s">
        <v>214</v>
      </c>
      <c r="E36" s="262" t="s">
        <v>42</v>
      </c>
      <c r="F36" s="262" t="s">
        <v>215</v>
      </c>
      <c r="G36" s="257">
        <v>28094.5</v>
      </c>
      <c r="H36" s="262" t="s">
        <v>216</v>
      </c>
      <c r="I36" s="262" t="s">
        <v>18</v>
      </c>
      <c r="J36" s="262" t="s">
        <v>45</v>
      </c>
      <c r="K36" s="256"/>
    </row>
    <row r="37" spans="1:12" x14ac:dyDescent="0.3">
      <c r="A37" s="261">
        <v>46217</v>
      </c>
      <c r="B37" s="261">
        <v>46219.318841307868</v>
      </c>
      <c r="C37" s="262" t="s">
        <v>302</v>
      </c>
      <c r="D37" s="262" t="s">
        <v>322</v>
      </c>
      <c r="E37" s="262" t="s">
        <v>302</v>
      </c>
      <c r="F37" s="262" t="s">
        <v>304</v>
      </c>
      <c r="G37" s="257">
        <v>7739.5</v>
      </c>
      <c r="H37" s="262" t="s">
        <v>305</v>
      </c>
      <c r="I37" s="262" t="s">
        <v>18</v>
      </c>
      <c r="J37" s="262" t="s">
        <v>45</v>
      </c>
      <c r="K37" s="256"/>
    </row>
    <row r="38" spans="1:12" ht="28.8" customHeight="1" x14ac:dyDescent="0.3">
      <c r="A38" s="263">
        <v>46142</v>
      </c>
      <c r="B38" s="263">
        <v>46219.318841307868</v>
      </c>
      <c r="C38" s="264" t="s">
        <v>100</v>
      </c>
      <c r="D38" s="264" t="s">
        <v>125</v>
      </c>
      <c r="E38" s="264" t="s">
        <v>126</v>
      </c>
      <c r="F38" s="264" t="s">
        <v>127</v>
      </c>
      <c r="G38" s="253">
        <v>426010.6</v>
      </c>
      <c r="H38" s="264" t="s">
        <v>38</v>
      </c>
      <c r="I38" s="264" t="s">
        <v>100</v>
      </c>
      <c r="J38" s="264"/>
      <c r="K38" s="252"/>
      <c r="L38" s="265"/>
    </row>
    <row r="39" spans="1:12" x14ac:dyDescent="0.3">
      <c r="A39" s="261">
        <v>46210</v>
      </c>
      <c r="B39" s="261">
        <v>46219.318841307868</v>
      </c>
      <c r="C39" s="262" t="s">
        <v>241</v>
      </c>
      <c r="D39" s="262" t="s">
        <v>242</v>
      </c>
      <c r="E39" s="262" t="s">
        <v>243</v>
      </c>
      <c r="F39" s="262" t="s">
        <v>244</v>
      </c>
      <c r="G39" s="257">
        <v>6543.5</v>
      </c>
      <c r="H39" s="262" t="s">
        <v>25</v>
      </c>
      <c r="I39" s="262" t="s">
        <v>39</v>
      </c>
      <c r="J39" s="262" t="s">
        <v>45</v>
      </c>
      <c r="K39" s="256"/>
    </row>
    <row r="40" spans="1:12" x14ac:dyDescent="0.3">
      <c r="A40" s="261">
        <v>46217</v>
      </c>
      <c r="B40" s="261">
        <v>46219.318841307868</v>
      </c>
      <c r="C40" s="262" t="s">
        <v>302</v>
      </c>
      <c r="D40" s="262" t="s">
        <v>303</v>
      </c>
      <c r="E40" s="262" t="s">
        <v>302</v>
      </c>
      <c r="F40" s="262" t="s">
        <v>304</v>
      </c>
      <c r="G40" s="257">
        <v>7739.5</v>
      </c>
      <c r="H40" s="262" t="s">
        <v>305</v>
      </c>
      <c r="I40" s="262" t="s">
        <v>39</v>
      </c>
      <c r="J40" s="262" t="s">
        <v>45</v>
      </c>
      <c r="K40" s="256"/>
    </row>
    <row r="41" spans="1:12" x14ac:dyDescent="0.3">
      <c r="F41" s="258" t="s">
        <v>129</v>
      </c>
      <c r="G41" s="259">
        <f>SUM(G35:G40)</f>
        <v>501759.94999999995</v>
      </c>
    </row>
    <row r="43" spans="1:12" x14ac:dyDescent="0.3">
      <c r="F43" s="258" t="s">
        <v>130</v>
      </c>
      <c r="G43" s="259">
        <f>SUMIFS(G3:G26, I3:I26, "*Ready*Dispatch*")</f>
        <v>83647.549999999988</v>
      </c>
    </row>
    <row r="46" spans="1:12" x14ac:dyDescent="0.3">
      <c r="A46" s="266" t="s">
        <v>329</v>
      </c>
    </row>
    <row r="47" spans="1:12" x14ac:dyDescent="0.3">
      <c r="A47" s="266" t="s">
        <v>132</v>
      </c>
    </row>
  </sheetData>
  <pageMargins left="0.25" right="0.25" top="0.75" bottom="0.75" header="0.3" footer="0.3"/>
  <pageSetup fitToHeight="0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L45"/>
  <sheetViews>
    <sheetView zoomScale="80" zoomScaleNormal="80" workbookViewId="0">
      <pane xSplit="4" ySplit="2" topLeftCell="E7" activePane="bottomRight" state="frozen"/>
      <selection activeCell="L23" sqref="A3:L23"/>
      <selection pane="topRight" activeCell="L23" sqref="A3:L23"/>
      <selection pane="bottomLeft" activeCell="L23" sqref="A3:L23"/>
      <selection pane="bottomRight" activeCell="A10" sqref="A10:XFD10"/>
    </sheetView>
  </sheetViews>
  <sheetFormatPr defaultRowHeight="14.4" x14ac:dyDescent="0.3"/>
  <cols>
    <col min="1" max="2" width="10.5546875" bestFit="1" customWidth="1"/>
    <col min="3" max="3" width="11.33203125" style="23" bestFit="1" customWidth="1"/>
    <col min="4" max="4" width="10.77734375" style="23" bestFit="1" customWidth="1"/>
    <col min="5" max="5" width="19.88671875" bestFit="1" customWidth="1"/>
    <col min="6" max="6" width="32.21875" bestFit="1" customWidth="1"/>
    <col min="7" max="7" width="14" style="24" bestFit="1" customWidth="1"/>
    <col min="8" max="8" width="9.109375" style="23" bestFit="1" customWidth="1"/>
    <col min="9" max="9" width="17.6640625" bestFit="1" customWidth="1"/>
    <col min="10" max="10" width="21.33203125" bestFit="1" customWidth="1"/>
    <col min="11" max="11" width="53.21875" bestFit="1" customWidth="1"/>
    <col min="12" max="12" width="10.5546875" bestFit="1" customWidth="1"/>
  </cols>
  <sheetData>
    <row r="1" spans="1:12" ht="18" customHeight="1" x14ac:dyDescent="0.35">
      <c r="A1" s="468" t="s">
        <v>0</v>
      </c>
      <c r="B1" s="452"/>
      <c r="C1" s="452"/>
      <c r="D1" s="452"/>
      <c r="K1" s="267">
        <f ca="1">TODAY()</f>
        <v>46233</v>
      </c>
    </row>
    <row r="2" spans="1:12" ht="43.2" customHeight="1" x14ac:dyDescent="0.3">
      <c r="A2" s="284" t="s">
        <v>1</v>
      </c>
      <c r="B2" s="284" t="s">
        <v>2</v>
      </c>
      <c r="C2" s="268" t="s">
        <v>3</v>
      </c>
      <c r="D2" s="268" t="s">
        <v>4</v>
      </c>
      <c r="E2" s="268" t="s">
        <v>5</v>
      </c>
      <c r="F2" s="268" t="s">
        <v>6</v>
      </c>
      <c r="G2" s="287" t="s">
        <v>7</v>
      </c>
      <c r="H2" s="268" t="s">
        <v>8</v>
      </c>
      <c r="I2" s="268" t="s">
        <v>9</v>
      </c>
      <c r="J2" s="268" t="s">
        <v>10</v>
      </c>
      <c r="K2" s="268" t="s">
        <v>11</v>
      </c>
      <c r="L2" s="268" t="s">
        <v>12</v>
      </c>
    </row>
    <row r="3" spans="1:12" x14ac:dyDescent="0.3">
      <c r="A3" s="285">
        <v>46218</v>
      </c>
      <c r="B3" s="285">
        <v>46227</v>
      </c>
      <c r="C3" s="270" t="s">
        <v>307</v>
      </c>
      <c r="D3" s="270" t="s">
        <v>308</v>
      </c>
      <c r="E3" s="271" t="s">
        <v>42</v>
      </c>
      <c r="F3" s="271" t="s">
        <v>309</v>
      </c>
      <c r="G3" s="288">
        <v>6226.1</v>
      </c>
      <c r="H3" s="270" t="s">
        <v>25</v>
      </c>
      <c r="I3" s="270" t="s">
        <v>18</v>
      </c>
      <c r="J3" s="270" t="s">
        <v>45</v>
      </c>
      <c r="K3" s="271" t="s">
        <v>310</v>
      </c>
      <c r="L3" s="269">
        <f t="shared" ref="L3:L26" si="0">B3</f>
        <v>46227</v>
      </c>
    </row>
    <row r="4" spans="1:12" ht="28.8" customHeight="1" x14ac:dyDescent="0.3">
      <c r="A4" s="285">
        <v>46218</v>
      </c>
      <c r="B4" s="285">
        <v>46227</v>
      </c>
      <c r="C4" s="270" t="s">
        <v>325</v>
      </c>
      <c r="D4" s="270" t="s">
        <v>326</v>
      </c>
      <c r="E4" s="271" t="s">
        <v>327</v>
      </c>
      <c r="F4" s="271" t="s">
        <v>232</v>
      </c>
      <c r="G4" s="288">
        <v>4565.5</v>
      </c>
      <c r="H4" s="270" t="s">
        <v>201</v>
      </c>
      <c r="I4" s="270" t="s">
        <v>18</v>
      </c>
      <c r="J4" s="270" t="s">
        <v>19</v>
      </c>
      <c r="K4" s="271" t="s">
        <v>328</v>
      </c>
      <c r="L4" s="269">
        <f t="shared" si="0"/>
        <v>46227</v>
      </c>
    </row>
    <row r="5" spans="1:12" x14ac:dyDescent="0.3">
      <c r="A5" s="285">
        <v>46218</v>
      </c>
      <c r="B5" s="285">
        <v>46220.339555266197</v>
      </c>
      <c r="C5" s="270" t="s">
        <v>224</v>
      </c>
      <c r="D5" s="270" t="s">
        <v>323</v>
      </c>
      <c r="E5" s="271" t="s">
        <v>42</v>
      </c>
      <c r="F5" s="271" t="s">
        <v>117</v>
      </c>
      <c r="G5" s="288">
        <v>4924.3</v>
      </c>
      <c r="H5" s="270" t="s">
        <v>32</v>
      </c>
      <c r="I5" s="270" t="s">
        <v>18</v>
      </c>
      <c r="J5" s="270" t="s">
        <v>45</v>
      </c>
      <c r="K5" s="271" t="s">
        <v>324</v>
      </c>
      <c r="L5" s="269">
        <f t="shared" si="0"/>
        <v>46220.339555266197</v>
      </c>
    </row>
    <row r="6" spans="1:12" x14ac:dyDescent="0.3">
      <c r="A6" s="285">
        <v>46210</v>
      </c>
      <c r="B6" s="285">
        <v>46220.339555266197</v>
      </c>
      <c r="C6" s="270" t="s">
        <v>241</v>
      </c>
      <c r="D6" s="270" t="s">
        <v>242</v>
      </c>
      <c r="E6" s="271" t="s">
        <v>243</v>
      </c>
      <c r="F6" s="271" t="s">
        <v>244</v>
      </c>
      <c r="G6" s="288">
        <v>6543.5</v>
      </c>
      <c r="H6" s="270" t="s">
        <v>25</v>
      </c>
      <c r="I6" s="270" t="s">
        <v>39</v>
      </c>
      <c r="J6" s="270" t="s">
        <v>45</v>
      </c>
      <c r="K6" s="271" t="s">
        <v>245</v>
      </c>
      <c r="L6" s="269">
        <f t="shared" si="0"/>
        <v>46220.339555266197</v>
      </c>
    </row>
    <row r="7" spans="1:12" ht="115.2" customHeight="1" x14ac:dyDescent="0.3">
      <c r="A7" s="285">
        <v>46212</v>
      </c>
      <c r="B7" s="285">
        <v>46220.339555266197</v>
      </c>
      <c r="C7" s="270" t="s">
        <v>286</v>
      </c>
      <c r="D7" s="270" t="s">
        <v>287</v>
      </c>
      <c r="E7" s="271" t="s">
        <v>288</v>
      </c>
      <c r="F7" s="271" t="s">
        <v>200</v>
      </c>
      <c r="G7" s="288">
        <v>0</v>
      </c>
      <c r="H7" s="270" t="s">
        <v>201</v>
      </c>
      <c r="I7" s="270" t="s">
        <v>39</v>
      </c>
      <c r="J7" s="270" t="s">
        <v>50</v>
      </c>
      <c r="K7" s="271" t="s">
        <v>289</v>
      </c>
      <c r="L7" s="269">
        <f t="shared" si="0"/>
        <v>46220.339555266197</v>
      </c>
    </row>
    <row r="8" spans="1:12" x14ac:dyDescent="0.3">
      <c r="A8" s="285">
        <v>46217</v>
      </c>
      <c r="B8" s="285">
        <v>46219</v>
      </c>
      <c r="C8" s="270" t="s">
        <v>302</v>
      </c>
      <c r="D8" s="270" t="s">
        <v>303</v>
      </c>
      <c r="E8" s="271" t="s">
        <v>302</v>
      </c>
      <c r="F8" s="271" t="s">
        <v>304</v>
      </c>
      <c r="G8" s="288">
        <v>0</v>
      </c>
      <c r="H8" s="270" t="s">
        <v>305</v>
      </c>
      <c r="I8" s="270" t="s">
        <v>39</v>
      </c>
      <c r="J8" s="270" t="s">
        <v>45</v>
      </c>
      <c r="K8" s="271" t="s">
        <v>306</v>
      </c>
      <c r="L8" s="269">
        <f t="shared" si="0"/>
        <v>46219</v>
      </c>
    </row>
    <row r="9" spans="1:12" ht="28.8" customHeight="1" x14ac:dyDescent="0.3">
      <c r="A9" s="241">
        <v>46211</v>
      </c>
      <c r="B9" s="280">
        <v>46223</v>
      </c>
      <c r="C9" s="235" t="s">
        <v>255</v>
      </c>
      <c r="D9" s="235" t="s">
        <v>256</v>
      </c>
      <c r="E9" s="236" t="s">
        <v>257</v>
      </c>
      <c r="F9" s="236" t="s">
        <v>258</v>
      </c>
      <c r="G9" s="293">
        <v>22914.9</v>
      </c>
      <c r="H9" s="235" t="s">
        <v>25</v>
      </c>
      <c r="I9" s="235" t="s">
        <v>18</v>
      </c>
      <c r="J9" s="235" t="s">
        <v>19</v>
      </c>
      <c r="K9" s="236" t="s">
        <v>259</v>
      </c>
      <c r="L9" s="234">
        <f t="shared" si="0"/>
        <v>46223</v>
      </c>
    </row>
    <row r="10" spans="1:12" ht="72" customHeight="1" x14ac:dyDescent="0.3">
      <c r="A10" s="241">
        <v>46218</v>
      </c>
      <c r="B10" s="280">
        <v>46223</v>
      </c>
      <c r="C10" s="235" t="s">
        <v>315</v>
      </c>
      <c r="D10" s="235" t="s">
        <v>316</v>
      </c>
      <c r="E10" s="236" t="s">
        <v>42</v>
      </c>
      <c r="F10" s="236" t="s">
        <v>317</v>
      </c>
      <c r="G10" s="293">
        <v>35012.03</v>
      </c>
      <c r="H10" s="235" t="s">
        <v>201</v>
      </c>
      <c r="I10" s="235" t="s">
        <v>18</v>
      </c>
      <c r="J10" s="235" t="s">
        <v>26</v>
      </c>
      <c r="K10" s="236" t="s">
        <v>318</v>
      </c>
      <c r="L10" s="234">
        <f t="shared" si="0"/>
        <v>46223</v>
      </c>
    </row>
    <row r="11" spans="1:12" ht="28.8" customHeight="1" x14ac:dyDescent="0.3">
      <c r="A11" s="241">
        <v>46219</v>
      </c>
      <c r="B11" s="280">
        <v>46223</v>
      </c>
      <c r="C11" s="235" t="s">
        <v>330</v>
      </c>
      <c r="D11" s="235" t="s">
        <v>331</v>
      </c>
      <c r="E11" s="236" t="s">
        <v>330</v>
      </c>
      <c r="F11" s="236" t="s">
        <v>195</v>
      </c>
      <c r="G11" s="293">
        <v>6500.71</v>
      </c>
      <c r="H11" s="235" t="s">
        <v>17</v>
      </c>
      <c r="I11" s="235" t="s">
        <v>18</v>
      </c>
      <c r="J11" s="235" t="s">
        <v>45</v>
      </c>
      <c r="K11" s="236" t="s">
        <v>332</v>
      </c>
      <c r="L11" s="234">
        <f t="shared" si="0"/>
        <v>46223</v>
      </c>
    </row>
    <row r="12" spans="1:12" ht="115.2" customHeight="1" x14ac:dyDescent="0.3">
      <c r="A12" s="280">
        <v>46219</v>
      </c>
      <c r="B12" s="280">
        <v>46226</v>
      </c>
      <c r="C12" s="276" t="s">
        <v>333</v>
      </c>
      <c r="D12" s="276" t="s">
        <v>334</v>
      </c>
      <c r="E12" s="277" t="s">
        <v>42</v>
      </c>
      <c r="F12" s="277" t="s">
        <v>335</v>
      </c>
      <c r="G12" s="290">
        <v>29988.55</v>
      </c>
      <c r="H12" s="276" t="s">
        <v>172</v>
      </c>
      <c r="I12" s="276" t="s">
        <v>18</v>
      </c>
      <c r="J12" s="276" t="s">
        <v>26</v>
      </c>
      <c r="K12" s="277" t="s">
        <v>336</v>
      </c>
      <c r="L12" s="275">
        <f t="shared" si="0"/>
        <v>46226</v>
      </c>
    </row>
    <row r="13" spans="1:12" ht="374.4" customHeight="1" x14ac:dyDescent="0.3">
      <c r="A13" s="280">
        <v>46142</v>
      </c>
      <c r="B13" s="280">
        <v>46227</v>
      </c>
      <c r="C13" s="276" t="s">
        <v>34</v>
      </c>
      <c r="D13" s="276" t="s">
        <v>35</v>
      </c>
      <c r="E13" s="277" t="s">
        <v>36</v>
      </c>
      <c r="F13" s="277" t="s">
        <v>37</v>
      </c>
      <c r="G13" s="290">
        <v>251433.71</v>
      </c>
      <c r="H13" s="276" t="s">
        <v>38</v>
      </c>
      <c r="I13" s="276" t="s">
        <v>18</v>
      </c>
      <c r="J13" s="276" t="s">
        <v>26</v>
      </c>
      <c r="K13" s="277" t="s">
        <v>143</v>
      </c>
      <c r="L13" s="275">
        <f t="shared" si="0"/>
        <v>46227</v>
      </c>
    </row>
    <row r="14" spans="1:12" ht="158.4" customHeight="1" x14ac:dyDescent="0.3">
      <c r="A14" s="280">
        <v>46198</v>
      </c>
      <c r="B14" s="280">
        <v>46227</v>
      </c>
      <c r="C14" s="276" t="s">
        <v>21</v>
      </c>
      <c r="D14" s="276" t="s">
        <v>22</v>
      </c>
      <c r="E14" s="277" t="s">
        <v>23</v>
      </c>
      <c r="F14" s="277" t="s">
        <v>24</v>
      </c>
      <c r="G14" s="290">
        <v>143822.45000000001</v>
      </c>
      <c r="H14" s="276" t="s">
        <v>25</v>
      </c>
      <c r="I14" s="276" t="s">
        <v>18</v>
      </c>
      <c r="J14" s="276" t="s">
        <v>45</v>
      </c>
      <c r="K14" s="277" t="s">
        <v>162</v>
      </c>
      <c r="L14" s="275">
        <f t="shared" si="0"/>
        <v>46227</v>
      </c>
    </row>
    <row r="15" spans="1:12" ht="172.8" customHeight="1" x14ac:dyDescent="0.3">
      <c r="A15" s="280">
        <v>46198</v>
      </c>
      <c r="B15" s="280">
        <v>46227</v>
      </c>
      <c r="C15" s="276" t="s">
        <v>174</v>
      </c>
      <c r="D15" s="276" t="s">
        <v>175</v>
      </c>
      <c r="E15" s="277" t="s">
        <v>42</v>
      </c>
      <c r="F15" s="277" t="s">
        <v>176</v>
      </c>
      <c r="G15" s="290">
        <v>241125</v>
      </c>
      <c r="H15" s="276" t="s">
        <v>177</v>
      </c>
      <c r="I15" s="276" t="s">
        <v>18</v>
      </c>
      <c r="J15" s="276" t="s">
        <v>19</v>
      </c>
      <c r="K15" s="277" t="s">
        <v>178</v>
      </c>
      <c r="L15" s="275">
        <f t="shared" si="0"/>
        <v>46227</v>
      </c>
    </row>
    <row r="16" spans="1:12" ht="72" customHeight="1" x14ac:dyDescent="0.3">
      <c r="A16" s="280">
        <v>46217</v>
      </c>
      <c r="B16" s="280">
        <v>46224</v>
      </c>
      <c r="C16" s="276" t="s">
        <v>28</v>
      </c>
      <c r="D16" s="276" t="s">
        <v>29</v>
      </c>
      <c r="E16" s="277" t="s">
        <v>30</v>
      </c>
      <c r="F16" s="277" t="s">
        <v>31</v>
      </c>
      <c r="G16" s="290">
        <v>21062.25</v>
      </c>
      <c r="H16" s="276" t="s">
        <v>32</v>
      </c>
      <c r="I16" s="276" t="s">
        <v>18</v>
      </c>
      <c r="J16" s="276" t="s">
        <v>19</v>
      </c>
      <c r="K16" s="277" t="s">
        <v>319</v>
      </c>
      <c r="L16" s="275">
        <f t="shared" si="0"/>
        <v>46224</v>
      </c>
    </row>
    <row r="17" spans="1:12" x14ac:dyDescent="0.3">
      <c r="A17" s="280">
        <v>46205</v>
      </c>
      <c r="B17" s="280">
        <v>46233</v>
      </c>
      <c r="C17" s="276" t="s">
        <v>13</v>
      </c>
      <c r="D17" s="276" t="s">
        <v>14</v>
      </c>
      <c r="E17" s="277" t="s">
        <v>15</v>
      </c>
      <c r="F17" s="277" t="s">
        <v>16</v>
      </c>
      <c r="G17" s="290">
        <v>70994.559999999998</v>
      </c>
      <c r="H17" s="276" t="s">
        <v>17</v>
      </c>
      <c r="I17" s="276" t="s">
        <v>18</v>
      </c>
      <c r="J17" s="276" t="s">
        <v>19</v>
      </c>
      <c r="K17" s="277" t="s">
        <v>234</v>
      </c>
      <c r="L17" s="275">
        <f t="shared" si="0"/>
        <v>46233</v>
      </c>
    </row>
    <row r="18" spans="1:12" ht="28.8" customHeight="1" x14ac:dyDescent="0.3">
      <c r="A18" s="280">
        <v>46217</v>
      </c>
      <c r="B18" s="280">
        <v>46234</v>
      </c>
      <c r="C18" s="276" t="s">
        <v>40</v>
      </c>
      <c r="D18" s="276" t="s">
        <v>41</v>
      </c>
      <c r="E18" s="277" t="s">
        <v>42</v>
      </c>
      <c r="F18" s="277" t="s">
        <v>43</v>
      </c>
      <c r="G18" s="290">
        <v>71470.66</v>
      </c>
      <c r="H18" s="276" t="s">
        <v>44</v>
      </c>
      <c r="I18" s="276" t="s">
        <v>18</v>
      </c>
      <c r="J18" s="276" t="s">
        <v>45</v>
      </c>
      <c r="K18" s="277" t="s">
        <v>295</v>
      </c>
      <c r="L18" s="275">
        <f t="shared" si="0"/>
        <v>46234</v>
      </c>
    </row>
    <row r="19" spans="1:12" ht="57.6" customHeight="1" x14ac:dyDescent="0.3">
      <c r="A19" s="280">
        <v>46218</v>
      </c>
      <c r="B19" s="280">
        <v>46234</v>
      </c>
      <c r="C19" s="276" t="s">
        <v>64</v>
      </c>
      <c r="D19" s="276" t="s">
        <v>65</v>
      </c>
      <c r="E19" s="277" t="s">
        <v>66</v>
      </c>
      <c r="F19" s="277" t="s">
        <v>67</v>
      </c>
      <c r="G19" s="290">
        <v>100000</v>
      </c>
      <c r="H19" s="276" t="s">
        <v>32</v>
      </c>
      <c r="I19" s="276" t="s">
        <v>18</v>
      </c>
      <c r="J19" s="276" t="s">
        <v>26</v>
      </c>
      <c r="K19" s="277" t="s">
        <v>320</v>
      </c>
      <c r="L19" s="275">
        <f t="shared" si="0"/>
        <v>46234</v>
      </c>
    </row>
    <row r="20" spans="1:12" x14ac:dyDescent="0.3">
      <c r="A20" s="281">
        <v>46111</v>
      </c>
      <c r="B20" s="281">
        <v>46234</v>
      </c>
      <c r="C20" s="273" t="s">
        <v>96</v>
      </c>
      <c r="D20" s="273" t="s">
        <v>97</v>
      </c>
      <c r="E20" s="274" t="s">
        <v>98</v>
      </c>
      <c r="F20" s="274" t="s">
        <v>99</v>
      </c>
      <c r="G20" s="291">
        <v>169353.60000000001</v>
      </c>
      <c r="H20" s="273" t="s">
        <v>72</v>
      </c>
      <c r="I20" s="273" t="s">
        <v>100</v>
      </c>
      <c r="J20" s="273"/>
      <c r="K20" s="274" t="s">
        <v>208</v>
      </c>
      <c r="L20" s="272">
        <f t="shared" si="0"/>
        <v>46234</v>
      </c>
    </row>
    <row r="21" spans="1:12" ht="144" customHeight="1" x14ac:dyDescent="0.3">
      <c r="A21" s="281">
        <v>46128</v>
      </c>
      <c r="B21" s="281">
        <v>46234</v>
      </c>
      <c r="C21" s="273" t="s">
        <v>100</v>
      </c>
      <c r="D21" s="273" t="s">
        <v>101</v>
      </c>
      <c r="E21" s="274" t="s">
        <v>102</v>
      </c>
      <c r="F21" s="274" t="s">
        <v>103</v>
      </c>
      <c r="G21" s="291">
        <v>82900.05</v>
      </c>
      <c r="H21" s="273" t="s">
        <v>72</v>
      </c>
      <c r="I21" s="273" t="s">
        <v>100</v>
      </c>
      <c r="J21" s="273"/>
      <c r="K21" s="274" t="s">
        <v>186</v>
      </c>
      <c r="L21" s="272">
        <f t="shared" si="0"/>
        <v>46234</v>
      </c>
    </row>
    <row r="22" spans="1:12" ht="86.4" customHeight="1" x14ac:dyDescent="0.3">
      <c r="A22" s="281">
        <v>46142</v>
      </c>
      <c r="B22" s="281">
        <v>46234</v>
      </c>
      <c r="C22" s="273" t="s">
        <v>104</v>
      </c>
      <c r="D22" s="273" t="s">
        <v>105</v>
      </c>
      <c r="E22" s="274" t="s">
        <v>106</v>
      </c>
      <c r="F22" s="274" t="s">
        <v>107</v>
      </c>
      <c r="G22" s="291">
        <v>310411</v>
      </c>
      <c r="H22" s="273" t="s">
        <v>108</v>
      </c>
      <c r="I22" s="273" t="s">
        <v>100</v>
      </c>
      <c r="J22" s="273"/>
      <c r="K22" s="274" t="s">
        <v>187</v>
      </c>
      <c r="L22" s="272">
        <f t="shared" si="0"/>
        <v>46234</v>
      </c>
    </row>
    <row r="23" spans="1:12" x14ac:dyDescent="0.3">
      <c r="A23" s="281">
        <v>46142</v>
      </c>
      <c r="B23" s="281">
        <v>46234</v>
      </c>
      <c r="C23" s="273" t="s">
        <v>100</v>
      </c>
      <c r="D23" s="273" t="s">
        <v>109</v>
      </c>
      <c r="E23" s="274" t="s">
        <v>110</v>
      </c>
      <c r="F23" s="274" t="s">
        <v>111</v>
      </c>
      <c r="G23" s="291">
        <v>204447</v>
      </c>
      <c r="H23" s="273" t="s">
        <v>38</v>
      </c>
      <c r="I23" s="273" t="s">
        <v>100</v>
      </c>
      <c r="J23" s="273"/>
      <c r="K23" s="274" t="s">
        <v>188</v>
      </c>
      <c r="L23" s="272">
        <f t="shared" si="0"/>
        <v>46234</v>
      </c>
    </row>
    <row r="24" spans="1:12" x14ac:dyDescent="0.3">
      <c r="A24" s="281">
        <v>46170</v>
      </c>
      <c r="B24" s="281">
        <v>46234</v>
      </c>
      <c r="C24" s="273" t="s">
        <v>100</v>
      </c>
      <c r="D24" s="273" t="s">
        <v>112</v>
      </c>
      <c r="E24" s="274" t="s">
        <v>113</v>
      </c>
      <c r="F24" s="274" t="s">
        <v>114</v>
      </c>
      <c r="G24" s="291">
        <v>1860403.01</v>
      </c>
      <c r="H24" s="273" t="s">
        <v>72</v>
      </c>
      <c r="I24" s="273" t="s">
        <v>100</v>
      </c>
      <c r="J24" s="273"/>
      <c r="K24" s="274" t="s">
        <v>189</v>
      </c>
      <c r="L24" s="272">
        <f t="shared" si="0"/>
        <v>46234</v>
      </c>
    </row>
    <row r="25" spans="1:12" x14ac:dyDescent="0.3">
      <c r="A25" s="280">
        <v>46171</v>
      </c>
      <c r="B25" s="280">
        <v>46239</v>
      </c>
      <c r="C25" s="276" t="s">
        <v>68</v>
      </c>
      <c r="D25" s="276" t="s">
        <v>69</v>
      </c>
      <c r="E25" s="277" t="s">
        <v>70</v>
      </c>
      <c r="F25" s="277" t="s">
        <v>71</v>
      </c>
      <c r="G25" s="290">
        <v>18400</v>
      </c>
      <c r="H25" s="276" t="s">
        <v>72</v>
      </c>
      <c r="I25" s="276" t="s">
        <v>18</v>
      </c>
      <c r="J25" s="276" t="s">
        <v>19</v>
      </c>
      <c r="K25" s="277" t="s">
        <v>185</v>
      </c>
      <c r="L25" s="275">
        <f t="shared" si="0"/>
        <v>46239</v>
      </c>
    </row>
    <row r="26" spans="1:12" ht="28.8" customHeight="1" x14ac:dyDescent="0.3">
      <c r="A26" s="280">
        <v>46185</v>
      </c>
      <c r="B26" s="280">
        <v>46253</v>
      </c>
      <c r="C26" s="276" t="s">
        <v>82</v>
      </c>
      <c r="D26" s="276" t="s">
        <v>83</v>
      </c>
      <c r="E26" s="277" t="s">
        <v>84</v>
      </c>
      <c r="F26" s="277" t="s">
        <v>85</v>
      </c>
      <c r="G26" s="290">
        <v>109947.56</v>
      </c>
      <c r="H26" s="276" t="s">
        <v>86</v>
      </c>
      <c r="I26" s="276" t="s">
        <v>18</v>
      </c>
      <c r="J26" s="276" t="s">
        <v>45</v>
      </c>
      <c r="K26" s="277" t="s">
        <v>168</v>
      </c>
      <c r="L26" s="275">
        <f t="shared" si="0"/>
        <v>46253</v>
      </c>
    </row>
    <row r="27" spans="1:12" x14ac:dyDescent="0.3">
      <c r="F27" s="278" t="s">
        <v>118</v>
      </c>
      <c r="G27" s="292">
        <f>SUMIF(I3:I26,"&lt;&gt;Pending",G3:G26)</f>
        <v>1144931.78</v>
      </c>
    </row>
    <row r="29" spans="1:12" x14ac:dyDescent="0.3">
      <c r="F29" s="279" t="s">
        <v>119</v>
      </c>
    </row>
    <row r="30" spans="1:12" x14ac:dyDescent="0.3">
      <c r="F30" t="s">
        <v>120</v>
      </c>
      <c r="G30" s="24">
        <f ca="1">SUMIFS(G3:G26, J3:J26, "*CASH SALE*", L3:L26, "&gt;="&amp;EOMONTH(TODAY(),-1)+1, L3:L26, "&lt;="&amp;EOMONTH(TODAY(),0), I3:I26, "&lt;&gt;Pending")</f>
        <v>655922.01</v>
      </c>
      <c r="I30" t="s">
        <v>121</v>
      </c>
      <c r="J30" s="24">
        <f ca="1">SUMIFS(G3:G26, J3:J26, "*CASH SALE*", L3:L26, "&gt;="&amp;EOMONTH(TODAY(),0)+1, L3:L26, "&lt;="&amp;EOMONTH(TODAY(),1), I3:I26, "&lt;&gt;Pending")</f>
        <v>109947.56</v>
      </c>
    </row>
    <row r="31" spans="1:12" x14ac:dyDescent="0.3">
      <c r="F31" t="s">
        <v>122</v>
      </c>
      <c r="G31" s="24">
        <f ca="1">SUMIFS(G3:G26, J3:J26, "*ACCOUNT*", L3:L26, "&gt;="&amp;EOMONTH(TODAY(),-1)+1, L3:L26, "&lt;="&amp;EOMONTH(TODAY(),0), I3:I26, "&lt;&gt;Pending")</f>
        <v>360662.21</v>
      </c>
      <c r="I31" t="s">
        <v>123</v>
      </c>
      <c r="J31" s="24">
        <f ca="1">SUMIFS(G3:G26, J3:J26, "*ACCOUNT*", L3:L26, "&gt;="&amp;EOMONTH(TODAY(),0)+1, L3:L26, "&lt;="&amp;EOMONTH(TODAY(),1), I3:I26, "&lt;&gt;Pending")</f>
        <v>18400</v>
      </c>
    </row>
    <row r="34" spans="1:11" ht="28.8" customHeight="1" x14ac:dyDescent="0.3">
      <c r="A34" s="284" t="s">
        <v>1</v>
      </c>
      <c r="B34" s="284" t="s">
        <v>2</v>
      </c>
      <c r="C34" s="268" t="s">
        <v>3</v>
      </c>
      <c r="D34" s="268" t="s">
        <v>4</v>
      </c>
      <c r="E34" s="268" t="s">
        <v>5</v>
      </c>
      <c r="F34" s="268" t="s">
        <v>6</v>
      </c>
      <c r="G34" s="287" t="s">
        <v>7</v>
      </c>
      <c r="H34" s="268" t="s">
        <v>8</v>
      </c>
      <c r="I34" s="268" t="s">
        <v>9</v>
      </c>
      <c r="J34" s="268" t="s">
        <v>10</v>
      </c>
      <c r="K34" s="268" t="s">
        <v>124</v>
      </c>
    </row>
    <row r="35" spans="1:11" x14ac:dyDescent="0.3">
      <c r="A35" s="285">
        <v>46218</v>
      </c>
      <c r="B35" s="285">
        <v>46220.339555266197</v>
      </c>
      <c r="C35" s="270" t="s">
        <v>307</v>
      </c>
      <c r="D35" s="270" t="s">
        <v>308</v>
      </c>
      <c r="E35" s="271" t="s">
        <v>42</v>
      </c>
      <c r="F35" s="271" t="s">
        <v>309</v>
      </c>
      <c r="G35" s="288">
        <v>6226.1</v>
      </c>
      <c r="H35" s="270" t="s">
        <v>25</v>
      </c>
      <c r="I35" s="270" t="s">
        <v>18</v>
      </c>
      <c r="J35" s="270" t="s">
        <v>45</v>
      </c>
      <c r="K35" s="271"/>
    </row>
    <row r="36" spans="1:11" x14ac:dyDescent="0.3">
      <c r="A36" s="285">
        <v>46218</v>
      </c>
      <c r="B36" s="285">
        <v>46220.339555266197</v>
      </c>
      <c r="C36" s="270" t="s">
        <v>325</v>
      </c>
      <c r="D36" s="270" t="s">
        <v>326</v>
      </c>
      <c r="E36" s="271" t="s">
        <v>327</v>
      </c>
      <c r="F36" s="271" t="s">
        <v>232</v>
      </c>
      <c r="G36" s="288">
        <v>4565.5</v>
      </c>
      <c r="H36" s="270" t="s">
        <v>201</v>
      </c>
      <c r="I36" s="270" t="s">
        <v>18</v>
      </c>
      <c r="J36" s="270" t="s">
        <v>19</v>
      </c>
      <c r="K36" s="271"/>
    </row>
    <row r="37" spans="1:11" x14ac:dyDescent="0.3">
      <c r="A37" s="285">
        <v>46218</v>
      </c>
      <c r="B37" s="285">
        <v>46220.339555266197</v>
      </c>
      <c r="C37" s="270" t="s">
        <v>224</v>
      </c>
      <c r="D37" s="270" t="s">
        <v>323</v>
      </c>
      <c r="E37" s="271" t="s">
        <v>42</v>
      </c>
      <c r="F37" s="271" t="s">
        <v>117</v>
      </c>
      <c r="G37" s="288">
        <v>4924.3</v>
      </c>
      <c r="H37" s="270" t="s">
        <v>32</v>
      </c>
      <c r="I37" s="270" t="s">
        <v>18</v>
      </c>
      <c r="J37" s="270" t="s">
        <v>45</v>
      </c>
      <c r="K37" s="271"/>
    </row>
    <row r="38" spans="1:11" ht="28.8" customHeight="1" x14ac:dyDescent="0.3">
      <c r="A38" s="285">
        <v>46212</v>
      </c>
      <c r="B38" s="285">
        <v>46220.339555266197</v>
      </c>
      <c r="C38" s="270" t="s">
        <v>286</v>
      </c>
      <c r="D38" s="270" t="s">
        <v>287</v>
      </c>
      <c r="E38" s="271" t="s">
        <v>288</v>
      </c>
      <c r="F38" s="271" t="s">
        <v>200</v>
      </c>
      <c r="G38" s="288">
        <v>0</v>
      </c>
      <c r="H38" s="270" t="s">
        <v>201</v>
      </c>
      <c r="I38" s="270" t="s">
        <v>39</v>
      </c>
      <c r="J38" s="270" t="s">
        <v>50</v>
      </c>
      <c r="K38" s="271"/>
    </row>
    <row r="39" spans="1:11" x14ac:dyDescent="0.3">
      <c r="A39" s="285">
        <v>46217</v>
      </c>
      <c r="B39" s="285">
        <v>46219</v>
      </c>
      <c r="C39" s="270" t="s">
        <v>302</v>
      </c>
      <c r="D39" s="270" t="s">
        <v>303</v>
      </c>
      <c r="E39" s="271" t="s">
        <v>302</v>
      </c>
      <c r="F39" s="271" t="s">
        <v>304</v>
      </c>
      <c r="G39" s="288">
        <v>0</v>
      </c>
      <c r="H39" s="270" t="s">
        <v>305</v>
      </c>
      <c r="I39" s="270" t="s">
        <v>39</v>
      </c>
      <c r="J39" s="270" t="s">
        <v>45</v>
      </c>
      <c r="K39" s="271"/>
    </row>
    <row r="40" spans="1:11" x14ac:dyDescent="0.3">
      <c r="A40" s="286">
        <v>46220</v>
      </c>
      <c r="B40" s="286">
        <v>46220.339555266197</v>
      </c>
      <c r="C40" s="282" t="s">
        <v>337</v>
      </c>
      <c r="D40" s="282" t="s">
        <v>338</v>
      </c>
      <c r="E40" s="283" t="s">
        <v>42</v>
      </c>
      <c r="F40" s="283" t="s">
        <v>339</v>
      </c>
      <c r="G40" s="289">
        <v>3673.1</v>
      </c>
      <c r="H40" s="282" t="s">
        <v>25</v>
      </c>
      <c r="I40" s="282" t="s">
        <v>100</v>
      </c>
      <c r="J40" s="282" t="s">
        <v>45</v>
      </c>
      <c r="K40" s="283"/>
    </row>
    <row r="41" spans="1:11" x14ac:dyDescent="0.3">
      <c r="F41" s="278" t="s">
        <v>129</v>
      </c>
      <c r="G41" s="292">
        <f>SUM(G35:G40)</f>
        <v>19389</v>
      </c>
    </row>
    <row r="43" spans="1:11" x14ac:dyDescent="0.3">
      <c r="F43" s="278" t="s">
        <v>130</v>
      </c>
      <c r="G43" s="292">
        <f>SUMIFS(G3:G26, I3:I26, "*Ready*Dispatch*")</f>
        <v>6543.5</v>
      </c>
    </row>
    <row r="44" spans="1:11" x14ac:dyDescent="0.3">
      <c r="A44" s="469" t="s">
        <v>290</v>
      </c>
      <c r="B44" s="456"/>
      <c r="C44" s="454"/>
      <c r="D44" s="454"/>
    </row>
    <row r="45" spans="1:11" x14ac:dyDescent="0.3">
      <c r="A45" s="469" t="s">
        <v>132</v>
      </c>
      <c r="B45" s="456"/>
      <c r="C45" s="454"/>
      <c r="D45" s="454"/>
    </row>
  </sheetData>
  <mergeCells count="3">
    <mergeCell ref="A1:D1"/>
    <mergeCell ref="A45:D45"/>
    <mergeCell ref="A44:D44"/>
  </mergeCells>
  <pageMargins left="0.25" right="0.25" top="0.75" bottom="0.75" header="0.3" footer="0.3"/>
  <pageSetup fitToHeight="0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L42"/>
  <sheetViews>
    <sheetView zoomScale="80" zoomScaleNormal="80" workbookViewId="0">
      <pane xSplit="4" ySplit="2" topLeftCell="E11" activePane="bottomRight" state="frozen"/>
      <selection activeCell="G11" sqref="G11"/>
      <selection pane="topRight" activeCell="G11" sqref="G11"/>
      <selection pane="bottomLeft" activeCell="G11" sqref="G11"/>
      <selection pane="bottomRight" activeCell="J12" sqref="J12"/>
    </sheetView>
  </sheetViews>
  <sheetFormatPr defaultRowHeight="14.4" x14ac:dyDescent="0.3"/>
  <cols>
    <col min="1" max="2" width="12" customWidth="1"/>
    <col min="3" max="3" width="11.33203125" bestFit="1" customWidth="1"/>
    <col min="4" max="4" width="10.77734375" bestFit="1" customWidth="1"/>
    <col min="5" max="5" width="20" customWidth="1"/>
    <col min="6" max="6" width="30" customWidth="1"/>
    <col min="7" max="7" width="15" style="24" customWidth="1"/>
    <col min="8" max="8" width="9.109375" style="23" bestFit="1" customWidth="1"/>
    <col min="9" max="9" width="15" style="23" customWidth="1"/>
    <col min="10" max="10" width="23.33203125" style="23" customWidth="1"/>
    <col min="11" max="11" width="50" customWidth="1"/>
    <col min="12" max="12" width="12" customWidth="1"/>
  </cols>
  <sheetData>
    <row r="1" spans="1:12" ht="18" customHeight="1" x14ac:dyDescent="0.35">
      <c r="A1" s="470" t="s">
        <v>0</v>
      </c>
      <c r="B1" s="452"/>
      <c r="C1" s="452"/>
      <c r="D1" s="452"/>
      <c r="K1" s="294">
        <f ca="1">TODAY()</f>
        <v>46233</v>
      </c>
    </row>
    <row r="2" spans="1:12" ht="43.2" customHeight="1" x14ac:dyDescent="0.3">
      <c r="A2" s="295" t="s">
        <v>1</v>
      </c>
      <c r="B2" s="295" t="s">
        <v>2</v>
      </c>
      <c r="C2" s="295" t="s">
        <v>3</v>
      </c>
      <c r="D2" s="295" t="s">
        <v>4</v>
      </c>
      <c r="E2" s="295" t="s">
        <v>5</v>
      </c>
      <c r="F2" s="295" t="s">
        <v>6</v>
      </c>
      <c r="G2" s="309" t="s">
        <v>7</v>
      </c>
      <c r="H2" s="295" t="s">
        <v>8</v>
      </c>
      <c r="I2" s="295" t="s">
        <v>9</v>
      </c>
      <c r="J2" s="295" t="s">
        <v>10</v>
      </c>
      <c r="K2" s="295" t="s">
        <v>11</v>
      </c>
      <c r="L2" s="295" t="s">
        <v>12</v>
      </c>
    </row>
    <row r="3" spans="1:12" x14ac:dyDescent="0.3">
      <c r="A3" s="296">
        <v>46210</v>
      </c>
      <c r="B3" s="296">
        <v>46224</v>
      </c>
      <c r="C3" s="297" t="s">
        <v>241</v>
      </c>
      <c r="D3" s="297" t="s">
        <v>242</v>
      </c>
      <c r="E3" s="298" t="s">
        <v>243</v>
      </c>
      <c r="F3" s="298" t="s">
        <v>244</v>
      </c>
      <c r="G3" s="310">
        <v>6543.5</v>
      </c>
      <c r="H3" s="297" t="s">
        <v>25</v>
      </c>
      <c r="I3" s="297" t="s">
        <v>39</v>
      </c>
      <c r="J3" s="297" t="s">
        <v>45</v>
      </c>
      <c r="K3" s="298" t="s">
        <v>245</v>
      </c>
      <c r="L3" s="296">
        <f t="shared" ref="L3:L24" si="0">B3</f>
        <v>46224</v>
      </c>
    </row>
    <row r="4" spans="1:12" ht="28.8" customHeight="1" x14ac:dyDescent="0.3">
      <c r="A4" s="296">
        <v>46211</v>
      </c>
      <c r="B4" s="296">
        <v>46224</v>
      </c>
      <c r="C4" s="297" t="s">
        <v>255</v>
      </c>
      <c r="D4" s="297" t="s">
        <v>256</v>
      </c>
      <c r="E4" s="298" t="s">
        <v>257</v>
      </c>
      <c r="F4" s="298" t="s">
        <v>258</v>
      </c>
      <c r="G4" s="310">
        <v>22914.9</v>
      </c>
      <c r="H4" s="297" t="s">
        <v>25</v>
      </c>
      <c r="I4" s="297" t="s">
        <v>39</v>
      </c>
      <c r="J4" s="297" t="s">
        <v>19</v>
      </c>
      <c r="K4" s="298" t="s">
        <v>259</v>
      </c>
      <c r="L4" s="296">
        <f t="shared" si="0"/>
        <v>46224</v>
      </c>
    </row>
    <row r="5" spans="1:12" ht="28.8" customHeight="1" x14ac:dyDescent="0.3">
      <c r="A5" s="296">
        <v>46219</v>
      </c>
      <c r="B5" s="296">
        <v>46224</v>
      </c>
      <c r="C5" s="297" t="s">
        <v>330</v>
      </c>
      <c r="D5" s="297" t="s">
        <v>331</v>
      </c>
      <c r="E5" s="298" t="s">
        <v>330</v>
      </c>
      <c r="F5" s="298" t="s">
        <v>195</v>
      </c>
      <c r="G5" s="310">
        <v>6500.71</v>
      </c>
      <c r="H5" s="297" t="s">
        <v>17</v>
      </c>
      <c r="I5" s="297" t="s">
        <v>18</v>
      </c>
      <c r="J5" s="297" t="s">
        <v>45</v>
      </c>
      <c r="K5" s="298" t="s">
        <v>332</v>
      </c>
      <c r="L5" s="296">
        <f t="shared" si="0"/>
        <v>46224</v>
      </c>
    </row>
    <row r="6" spans="1:12" x14ac:dyDescent="0.3">
      <c r="A6" s="296">
        <v>46220</v>
      </c>
      <c r="B6" s="296">
        <v>46224</v>
      </c>
      <c r="C6" s="297" t="s">
        <v>224</v>
      </c>
      <c r="D6" s="297" t="s">
        <v>338</v>
      </c>
      <c r="E6" s="298" t="s">
        <v>42</v>
      </c>
      <c r="F6" s="298" t="s">
        <v>339</v>
      </c>
      <c r="G6" s="310">
        <v>3673.1</v>
      </c>
      <c r="H6" s="297" t="s">
        <v>25</v>
      </c>
      <c r="I6" s="297" t="s">
        <v>18</v>
      </c>
      <c r="J6" s="297" t="s">
        <v>45</v>
      </c>
      <c r="K6" s="298" t="s">
        <v>340</v>
      </c>
      <c r="L6" s="296">
        <f t="shared" si="0"/>
        <v>46224</v>
      </c>
    </row>
    <row r="7" spans="1:12" ht="43.2" customHeight="1" x14ac:dyDescent="0.3">
      <c r="A7" s="296">
        <v>46220</v>
      </c>
      <c r="B7" s="296">
        <v>46224</v>
      </c>
      <c r="C7" s="297" t="s">
        <v>341</v>
      </c>
      <c r="D7" s="297" t="s">
        <v>342</v>
      </c>
      <c r="E7" s="298" t="s">
        <v>343</v>
      </c>
      <c r="F7" s="298" t="s">
        <v>344</v>
      </c>
      <c r="G7" s="310">
        <v>11910.83</v>
      </c>
      <c r="H7" s="297" t="s">
        <v>201</v>
      </c>
      <c r="I7" s="297" t="s">
        <v>18</v>
      </c>
      <c r="J7" s="297" t="s">
        <v>45</v>
      </c>
      <c r="K7" s="298" t="s">
        <v>345</v>
      </c>
      <c r="L7" s="296">
        <f t="shared" si="0"/>
        <v>46224</v>
      </c>
    </row>
    <row r="8" spans="1:12" ht="72" customHeight="1" x14ac:dyDescent="0.3">
      <c r="A8" s="241">
        <v>46218</v>
      </c>
      <c r="B8" s="280">
        <v>46223</v>
      </c>
      <c r="C8" s="235" t="s">
        <v>315</v>
      </c>
      <c r="D8" s="235" t="s">
        <v>316</v>
      </c>
      <c r="E8" s="236" t="s">
        <v>42</v>
      </c>
      <c r="F8" s="236" t="s">
        <v>317</v>
      </c>
      <c r="G8" s="293">
        <v>35012.03</v>
      </c>
      <c r="H8" s="235" t="s">
        <v>201</v>
      </c>
      <c r="I8" s="235" t="s">
        <v>18</v>
      </c>
      <c r="J8" s="235" t="s">
        <v>26</v>
      </c>
      <c r="K8" s="236" t="s">
        <v>318</v>
      </c>
      <c r="L8" s="234">
        <f t="shared" si="0"/>
        <v>46223</v>
      </c>
    </row>
    <row r="9" spans="1:12" x14ac:dyDescent="0.3">
      <c r="A9" s="296">
        <v>46223</v>
      </c>
      <c r="B9" s="296">
        <v>46224</v>
      </c>
      <c r="C9" s="297" t="s">
        <v>346</v>
      </c>
      <c r="D9" s="297" t="s">
        <v>347</v>
      </c>
      <c r="E9" s="298" t="s">
        <v>42</v>
      </c>
      <c r="F9" s="298" t="s">
        <v>348</v>
      </c>
      <c r="G9" s="310">
        <v>6037.5</v>
      </c>
      <c r="H9" s="297" t="s">
        <v>86</v>
      </c>
      <c r="I9" s="297" t="s">
        <v>18</v>
      </c>
      <c r="J9" s="297" t="s">
        <v>45</v>
      </c>
      <c r="K9" s="298" t="s">
        <v>349</v>
      </c>
      <c r="L9" s="296">
        <f t="shared" si="0"/>
        <v>46224</v>
      </c>
    </row>
    <row r="10" spans="1:12" ht="115.2" customHeight="1" x14ac:dyDescent="0.3">
      <c r="A10" s="302">
        <v>46219</v>
      </c>
      <c r="B10" s="302">
        <v>46226</v>
      </c>
      <c r="C10" s="303" t="s">
        <v>333</v>
      </c>
      <c r="D10" s="303" t="s">
        <v>334</v>
      </c>
      <c r="E10" s="304" t="s">
        <v>42</v>
      </c>
      <c r="F10" s="304" t="s">
        <v>335</v>
      </c>
      <c r="G10" s="311">
        <v>9988.5499999999993</v>
      </c>
      <c r="H10" s="303" t="s">
        <v>172</v>
      </c>
      <c r="I10" s="303" t="s">
        <v>18</v>
      </c>
      <c r="J10" s="307" t="s">
        <v>26</v>
      </c>
      <c r="K10" s="304" t="s">
        <v>336</v>
      </c>
      <c r="L10" s="302">
        <f t="shared" si="0"/>
        <v>46226</v>
      </c>
    </row>
    <row r="11" spans="1:12" ht="409.6" customHeight="1" x14ac:dyDescent="0.3">
      <c r="A11" s="302">
        <v>46142</v>
      </c>
      <c r="B11" s="302">
        <v>46227</v>
      </c>
      <c r="C11" s="303" t="s">
        <v>34</v>
      </c>
      <c r="D11" s="303" t="s">
        <v>35</v>
      </c>
      <c r="E11" s="304" t="s">
        <v>36</v>
      </c>
      <c r="F11" s="304" t="s">
        <v>37</v>
      </c>
      <c r="G11" s="311">
        <v>71433.710000000006</v>
      </c>
      <c r="H11" s="303" t="s">
        <v>38</v>
      </c>
      <c r="I11" s="303" t="s">
        <v>18</v>
      </c>
      <c r="J11" s="308" t="s">
        <v>26</v>
      </c>
      <c r="K11" s="304" t="s">
        <v>143</v>
      </c>
      <c r="L11" s="302">
        <f t="shared" si="0"/>
        <v>46227</v>
      </c>
    </row>
    <row r="12" spans="1:12" ht="172.8" customHeight="1" x14ac:dyDescent="0.3">
      <c r="A12" s="302">
        <v>46198</v>
      </c>
      <c r="B12" s="302">
        <v>46227</v>
      </c>
      <c r="C12" s="303" t="s">
        <v>21</v>
      </c>
      <c r="D12" s="303" t="s">
        <v>22</v>
      </c>
      <c r="E12" s="304" t="s">
        <v>23</v>
      </c>
      <c r="F12" s="304" t="s">
        <v>24</v>
      </c>
      <c r="G12" s="311">
        <v>13822.45</v>
      </c>
      <c r="H12" s="303" t="s">
        <v>25</v>
      </c>
      <c r="I12" s="303" t="s">
        <v>18</v>
      </c>
      <c r="J12" s="307" t="s">
        <v>26</v>
      </c>
      <c r="K12" s="304" t="s">
        <v>162</v>
      </c>
      <c r="L12" s="302">
        <f t="shared" si="0"/>
        <v>46227</v>
      </c>
    </row>
    <row r="13" spans="1:12" ht="187.2" customHeight="1" x14ac:dyDescent="0.3">
      <c r="A13" s="302">
        <v>46198</v>
      </c>
      <c r="B13" s="302">
        <v>46227</v>
      </c>
      <c r="C13" s="303" t="s">
        <v>174</v>
      </c>
      <c r="D13" s="303" t="s">
        <v>175</v>
      </c>
      <c r="E13" s="304" t="s">
        <v>42</v>
      </c>
      <c r="F13" s="304" t="s">
        <v>176</v>
      </c>
      <c r="G13" s="312">
        <v>241125</v>
      </c>
      <c r="H13" s="303" t="s">
        <v>177</v>
      </c>
      <c r="I13" s="303" t="s">
        <v>18</v>
      </c>
      <c r="J13" s="303" t="s">
        <v>19</v>
      </c>
      <c r="K13" s="304" t="s">
        <v>178</v>
      </c>
      <c r="L13" s="302">
        <f t="shared" si="0"/>
        <v>46227</v>
      </c>
    </row>
    <row r="14" spans="1:12" ht="72" customHeight="1" x14ac:dyDescent="0.3">
      <c r="A14" s="302">
        <v>46217</v>
      </c>
      <c r="B14" s="302">
        <v>46230</v>
      </c>
      <c r="C14" s="303" t="s">
        <v>28</v>
      </c>
      <c r="D14" s="303" t="s">
        <v>29</v>
      </c>
      <c r="E14" s="304" t="s">
        <v>30</v>
      </c>
      <c r="F14" s="304" t="s">
        <v>31</v>
      </c>
      <c r="G14" s="312">
        <v>21062.25</v>
      </c>
      <c r="H14" s="303" t="s">
        <v>32</v>
      </c>
      <c r="I14" s="303" t="s">
        <v>18</v>
      </c>
      <c r="J14" s="303" t="s">
        <v>19</v>
      </c>
      <c r="K14" s="304" t="s">
        <v>319</v>
      </c>
      <c r="L14" s="302">
        <f t="shared" si="0"/>
        <v>46230</v>
      </c>
    </row>
    <row r="15" spans="1:12" x14ac:dyDescent="0.3">
      <c r="A15" s="302">
        <v>46205</v>
      </c>
      <c r="B15" s="302">
        <v>46233</v>
      </c>
      <c r="C15" s="303" t="s">
        <v>13</v>
      </c>
      <c r="D15" s="303" t="s">
        <v>14</v>
      </c>
      <c r="E15" s="304" t="s">
        <v>15</v>
      </c>
      <c r="F15" s="304" t="s">
        <v>16</v>
      </c>
      <c r="G15" s="312">
        <v>70994.559999999998</v>
      </c>
      <c r="H15" s="303" t="s">
        <v>17</v>
      </c>
      <c r="I15" s="303" t="s">
        <v>18</v>
      </c>
      <c r="J15" s="303" t="s">
        <v>19</v>
      </c>
      <c r="K15" s="304" t="s">
        <v>234</v>
      </c>
      <c r="L15" s="302">
        <f t="shared" si="0"/>
        <v>46233</v>
      </c>
    </row>
    <row r="16" spans="1:12" ht="28.8" customHeight="1" x14ac:dyDescent="0.3">
      <c r="A16" s="302">
        <v>46217</v>
      </c>
      <c r="B16" s="302">
        <v>46234</v>
      </c>
      <c r="C16" s="303" t="s">
        <v>40</v>
      </c>
      <c r="D16" s="303" t="s">
        <v>41</v>
      </c>
      <c r="E16" s="304" t="s">
        <v>42</v>
      </c>
      <c r="F16" s="304" t="s">
        <v>43</v>
      </c>
      <c r="G16" s="312">
        <v>71470.66</v>
      </c>
      <c r="H16" s="303" t="s">
        <v>44</v>
      </c>
      <c r="I16" s="303" t="s">
        <v>18</v>
      </c>
      <c r="J16" s="303" t="s">
        <v>45</v>
      </c>
      <c r="K16" s="304" t="s">
        <v>295</v>
      </c>
      <c r="L16" s="302">
        <f t="shared" si="0"/>
        <v>46234</v>
      </c>
    </row>
    <row r="17" spans="1:12" ht="57.6" customHeight="1" x14ac:dyDescent="0.3">
      <c r="A17" s="302">
        <v>46218</v>
      </c>
      <c r="B17" s="302">
        <v>46234</v>
      </c>
      <c r="C17" s="303" t="s">
        <v>64</v>
      </c>
      <c r="D17" s="303" t="s">
        <v>65</v>
      </c>
      <c r="E17" s="304" t="s">
        <v>66</v>
      </c>
      <c r="F17" s="304" t="s">
        <v>67</v>
      </c>
      <c r="G17" s="311">
        <v>100000</v>
      </c>
      <c r="H17" s="303" t="s">
        <v>32</v>
      </c>
      <c r="I17" s="303" t="s">
        <v>18</v>
      </c>
      <c r="J17" s="307" t="s">
        <v>26</v>
      </c>
      <c r="K17" s="304" t="s">
        <v>320</v>
      </c>
      <c r="L17" s="302">
        <f t="shared" si="0"/>
        <v>46234</v>
      </c>
    </row>
    <row r="18" spans="1:12" x14ac:dyDescent="0.3">
      <c r="A18" s="302">
        <v>46171</v>
      </c>
      <c r="B18" s="302">
        <v>46239</v>
      </c>
      <c r="C18" s="303" t="s">
        <v>68</v>
      </c>
      <c r="D18" s="303" t="s">
        <v>69</v>
      </c>
      <c r="E18" s="304" t="s">
        <v>70</v>
      </c>
      <c r="F18" s="304" t="s">
        <v>71</v>
      </c>
      <c r="G18" s="312">
        <v>18400</v>
      </c>
      <c r="H18" s="303" t="s">
        <v>72</v>
      </c>
      <c r="I18" s="303" t="s">
        <v>18</v>
      </c>
      <c r="J18" s="303" t="s">
        <v>19</v>
      </c>
      <c r="K18" s="304" t="s">
        <v>185</v>
      </c>
      <c r="L18" s="302">
        <f t="shared" si="0"/>
        <v>46239</v>
      </c>
    </row>
    <row r="19" spans="1:12" ht="28.8" customHeight="1" x14ac:dyDescent="0.3">
      <c r="A19" s="302">
        <v>46185</v>
      </c>
      <c r="B19" s="302">
        <v>46253</v>
      </c>
      <c r="C19" s="303" t="s">
        <v>82</v>
      </c>
      <c r="D19" s="303" t="s">
        <v>83</v>
      </c>
      <c r="E19" s="304" t="s">
        <v>84</v>
      </c>
      <c r="F19" s="304" t="s">
        <v>85</v>
      </c>
      <c r="G19" s="312">
        <v>109947.56</v>
      </c>
      <c r="H19" s="303" t="s">
        <v>86</v>
      </c>
      <c r="I19" s="303" t="s">
        <v>18</v>
      </c>
      <c r="J19" s="303" t="s">
        <v>45</v>
      </c>
      <c r="K19" s="304" t="s">
        <v>168</v>
      </c>
      <c r="L19" s="302">
        <f t="shared" si="0"/>
        <v>46253</v>
      </c>
    </row>
    <row r="20" spans="1:12" x14ac:dyDescent="0.3">
      <c r="A20" s="299">
        <v>46111</v>
      </c>
      <c r="B20" s="299">
        <v>46265</v>
      </c>
      <c r="C20" s="300" t="s">
        <v>96</v>
      </c>
      <c r="D20" s="300" t="s">
        <v>97</v>
      </c>
      <c r="E20" s="301" t="s">
        <v>98</v>
      </c>
      <c r="F20" s="301" t="s">
        <v>99</v>
      </c>
      <c r="G20" s="313">
        <v>169353.60000000001</v>
      </c>
      <c r="H20" s="300" t="s">
        <v>72</v>
      </c>
      <c r="I20" s="300" t="s">
        <v>100</v>
      </c>
      <c r="J20" s="300"/>
      <c r="K20" s="301" t="s">
        <v>208</v>
      </c>
      <c r="L20" s="299">
        <f t="shared" si="0"/>
        <v>46265</v>
      </c>
    </row>
    <row r="21" spans="1:12" ht="158.4" customHeight="1" x14ac:dyDescent="0.3">
      <c r="A21" s="299">
        <v>46128</v>
      </c>
      <c r="B21" s="299">
        <v>46265</v>
      </c>
      <c r="C21" s="300" t="s">
        <v>100</v>
      </c>
      <c r="D21" s="300" t="s">
        <v>101</v>
      </c>
      <c r="E21" s="301" t="s">
        <v>102</v>
      </c>
      <c r="F21" s="301" t="s">
        <v>103</v>
      </c>
      <c r="G21" s="313">
        <v>82900.05</v>
      </c>
      <c r="H21" s="300" t="s">
        <v>72</v>
      </c>
      <c r="I21" s="300" t="s">
        <v>100</v>
      </c>
      <c r="J21" s="300"/>
      <c r="K21" s="301" t="s">
        <v>186</v>
      </c>
      <c r="L21" s="299">
        <f t="shared" si="0"/>
        <v>46265</v>
      </c>
    </row>
    <row r="22" spans="1:12" ht="86.4" customHeight="1" x14ac:dyDescent="0.3">
      <c r="A22" s="299">
        <v>46142</v>
      </c>
      <c r="B22" s="299">
        <v>46265</v>
      </c>
      <c r="C22" s="300" t="s">
        <v>104</v>
      </c>
      <c r="D22" s="300" t="s">
        <v>105</v>
      </c>
      <c r="E22" s="301" t="s">
        <v>106</v>
      </c>
      <c r="F22" s="301" t="s">
        <v>107</v>
      </c>
      <c r="G22" s="313">
        <v>310411</v>
      </c>
      <c r="H22" s="300" t="s">
        <v>108</v>
      </c>
      <c r="I22" s="300" t="s">
        <v>100</v>
      </c>
      <c r="J22" s="300"/>
      <c r="K22" s="301" t="s">
        <v>187</v>
      </c>
      <c r="L22" s="299">
        <f t="shared" si="0"/>
        <v>46265</v>
      </c>
    </row>
    <row r="23" spans="1:12" ht="28.8" customHeight="1" x14ac:dyDescent="0.3">
      <c r="A23" s="299">
        <v>46142</v>
      </c>
      <c r="B23" s="299">
        <v>46265</v>
      </c>
      <c r="C23" s="300" t="s">
        <v>100</v>
      </c>
      <c r="D23" s="300" t="s">
        <v>109</v>
      </c>
      <c r="E23" s="301" t="s">
        <v>110</v>
      </c>
      <c r="F23" s="301" t="s">
        <v>111</v>
      </c>
      <c r="G23" s="313">
        <v>204447</v>
      </c>
      <c r="H23" s="300" t="s">
        <v>38</v>
      </c>
      <c r="I23" s="300" t="s">
        <v>100</v>
      </c>
      <c r="J23" s="300"/>
      <c r="K23" s="301" t="s">
        <v>188</v>
      </c>
      <c r="L23" s="299">
        <f t="shared" si="0"/>
        <v>46265</v>
      </c>
    </row>
    <row r="24" spans="1:12" x14ac:dyDescent="0.3">
      <c r="A24" s="299">
        <v>46170</v>
      </c>
      <c r="B24" s="299">
        <v>46265</v>
      </c>
      <c r="C24" s="300" t="s">
        <v>100</v>
      </c>
      <c r="D24" s="300" t="s">
        <v>112</v>
      </c>
      <c r="E24" s="301" t="s">
        <v>113</v>
      </c>
      <c r="F24" s="301" t="s">
        <v>114</v>
      </c>
      <c r="G24" s="313">
        <v>1860403.01</v>
      </c>
      <c r="H24" s="300" t="s">
        <v>72</v>
      </c>
      <c r="I24" s="300" t="s">
        <v>100</v>
      </c>
      <c r="J24" s="300"/>
      <c r="K24" s="301" t="s">
        <v>189</v>
      </c>
      <c r="L24" s="299">
        <f t="shared" si="0"/>
        <v>46265</v>
      </c>
    </row>
    <row r="25" spans="1:12" x14ac:dyDescent="0.3">
      <c r="F25" s="305" t="s">
        <v>118</v>
      </c>
      <c r="G25" s="314">
        <f>SUMIF(I3:I24,"&lt;&gt;Pending",G3:G24)</f>
        <v>820837.31</v>
      </c>
    </row>
    <row r="27" spans="1:12" x14ac:dyDescent="0.3">
      <c r="F27" s="306" t="s">
        <v>119</v>
      </c>
    </row>
    <row r="28" spans="1:12" x14ac:dyDescent="0.3">
      <c r="F28" t="s">
        <v>120</v>
      </c>
      <c r="G28" s="24">
        <f ca="1">SUMIFS(G3:G24, J3:J24, "*CASH SALE*", L3:L24, "&gt;="&amp;EOMONTH(TODAY(),-1)+1, L3:L24, "&lt;="&amp;EOMONTH(TODAY(),0), I3:I24, "&lt;&gt;Pending")</f>
        <v>336393.04000000004</v>
      </c>
      <c r="I28" s="23" t="s">
        <v>121</v>
      </c>
      <c r="J28" s="30">
        <f ca="1">SUMIFS(G3:G24, J3:J24, "*CASH SALE*", L3:L24, "&gt;="&amp;EOMONTH(TODAY(),0)+1, L3:L24, "&lt;="&amp;EOMONTH(TODAY(),1), I3:I24, "&lt;&gt;Pending")</f>
        <v>109947.56</v>
      </c>
    </row>
    <row r="29" spans="1:12" x14ac:dyDescent="0.3">
      <c r="F29" t="s">
        <v>122</v>
      </c>
      <c r="G29" s="24">
        <f ca="1">SUMIFS(G3:G24, J3:J24, "*ACCOUNT*", L3:L24, "&gt;="&amp;EOMONTH(TODAY(),-1)+1, L3:L24, "&lt;="&amp;EOMONTH(TODAY(),0), I3:I24, "&lt;&gt;Pending")</f>
        <v>356096.71</v>
      </c>
      <c r="I29" s="23" t="s">
        <v>123</v>
      </c>
      <c r="J29" s="30">
        <f ca="1">SUMIFS(G3:G24, J3:J24, "*ACCOUNT*", L3:L24, "&gt;="&amp;EOMONTH(TODAY(),0)+1, L3:L24, "&lt;="&amp;EOMONTH(TODAY(),1), I3:I24, "&lt;&gt;Pending")</f>
        <v>18400</v>
      </c>
    </row>
    <row r="31" spans="1:12" ht="28.8" customHeight="1" x14ac:dyDescent="0.3">
      <c r="A31" s="295" t="s">
        <v>1</v>
      </c>
      <c r="B31" s="295" t="s">
        <v>2</v>
      </c>
      <c r="C31" s="295" t="s">
        <v>3</v>
      </c>
      <c r="D31" s="295" t="s">
        <v>4</v>
      </c>
      <c r="E31" s="295" t="s">
        <v>5</v>
      </c>
      <c r="F31" s="295" t="s">
        <v>6</v>
      </c>
      <c r="G31" s="309" t="s">
        <v>7</v>
      </c>
      <c r="H31" s="295" t="s">
        <v>8</v>
      </c>
      <c r="I31" s="295" t="s">
        <v>9</v>
      </c>
      <c r="J31" s="295" t="s">
        <v>10</v>
      </c>
      <c r="K31" s="295" t="s">
        <v>124</v>
      </c>
    </row>
    <row r="32" spans="1:12" x14ac:dyDescent="0.3">
      <c r="A32" s="302">
        <v>46210</v>
      </c>
      <c r="B32" s="302">
        <v>46224</v>
      </c>
      <c r="C32" s="303" t="s">
        <v>241</v>
      </c>
      <c r="D32" s="303" t="s">
        <v>242</v>
      </c>
      <c r="E32" s="304" t="s">
        <v>243</v>
      </c>
      <c r="F32" s="304" t="s">
        <v>244</v>
      </c>
      <c r="G32" s="312">
        <v>6543.5</v>
      </c>
      <c r="H32" s="303" t="s">
        <v>25</v>
      </c>
      <c r="I32" s="303" t="s">
        <v>39</v>
      </c>
      <c r="J32" s="303" t="s">
        <v>45</v>
      </c>
      <c r="K32" s="304"/>
    </row>
    <row r="33" spans="1:11" x14ac:dyDescent="0.3">
      <c r="A33" s="302">
        <v>46211</v>
      </c>
      <c r="B33" s="302">
        <v>46224</v>
      </c>
      <c r="C33" s="303" t="s">
        <v>255</v>
      </c>
      <c r="D33" s="303" t="s">
        <v>256</v>
      </c>
      <c r="E33" s="304" t="s">
        <v>257</v>
      </c>
      <c r="F33" s="304" t="s">
        <v>258</v>
      </c>
      <c r="G33" s="312">
        <v>22914.9</v>
      </c>
      <c r="H33" s="303" t="s">
        <v>25</v>
      </c>
      <c r="I33" s="303" t="s">
        <v>39</v>
      </c>
      <c r="J33" s="303" t="s">
        <v>19</v>
      </c>
      <c r="K33" s="304"/>
    </row>
    <row r="34" spans="1:11" x14ac:dyDescent="0.3">
      <c r="A34" s="302">
        <v>46219</v>
      </c>
      <c r="B34" s="302">
        <v>46224</v>
      </c>
      <c r="C34" s="303" t="s">
        <v>330</v>
      </c>
      <c r="D34" s="303" t="s">
        <v>331</v>
      </c>
      <c r="E34" s="304" t="s">
        <v>330</v>
      </c>
      <c r="F34" s="304" t="s">
        <v>195</v>
      </c>
      <c r="G34" s="312">
        <v>6500.71</v>
      </c>
      <c r="H34" s="303" t="s">
        <v>17</v>
      </c>
      <c r="I34" s="303" t="s">
        <v>18</v>
      </c>
      <c r="J34" s="303" t="s">
        <v>45</v>
      </c>
      <c r="K34" s="304"/>
    </row>
    <row r="35" spans="1:11" x14ac:dyDescent="0.3">
      <c r="A35" s="302">
        <v>46220</v>
      </c>
      <c r="B35" s="302">
        <v>46224</v>
      </c>
      <c r="C35" s="303" t="s">
        <v>224</v>
      </c>
      <c r="D35" s="303" t="s">
        <v>338</v>
      </c>
      <c r="E35" s="304" t="s">
        <v>42</v>
      </c>
      <c r="F35" s="304" t="s">
        <v>339</v>
      </c>
      <c r="G35" s="312">
        <v>3673.1</v>
      </c>
      <c r="H35" s="303" t="s">
        <v>25</v>
      </c>
      <c r="I35" s="303" t="s">
        <v>18</v>
      </c>
      <c r="J35" s="303" t="s">
        <v>45</v>
      </c>
      <c r="K35" s="304"/>
    </row>
    <row r="36" spans="1:11" x14ac:dyDescent="0.3">
      <c r="A36" s="302">
        <v>46220</v>
      </c>
      <c r="B36" s="302">
        <v>46224</v>
      </c>
      <c r="C36" s="303" t="s">
        <v>341</v>
      </c>
      <c r="D36" s="303" t="s">
        <v>342</v>
      </c>
      <c r="E36" s="304" t="s">
        <v>343</v>
      </c>
      <c r="F36" s="304" t="s">
        <v>344</v>
      </c>
      <c r="G36" s="312">
        <v>11910.83</v>
      </c>
      <c r="H36" s="303" t="s">
        <v>201</v>
      </c>
      <c r="I36" s="303" t="s">
        <v>18</v>
      </c>
      <c r="J36" s="303" t="s">
        <v>45</v>
      </c>
      <c r="K36" s="304"/>
    </row>
    <row r="37" spans="1:11" x14ac:dyDescent="0.3">
      <c r="A37" s="302">
        <v>46223</v>
      </c>
      <c r="B37" s="302">
        <v>46224</v>
      </c>
      <c r="C37" s="303" t="s">
        <v>346</v>
      </c>
      <c r="D37" s="303" t="s">
        <v>347</v>
      </c>
      <c r="E37" s="304" t="s">
        <v>42</v>
      </c>
      <c r="F37" s="304" t="s">
        <v>348</v>
      </c>
      <c r="G37" s="312">
        <v>6037.5</v>
      </c>
      <c r="H37" s="303" t="s">
        <v>86</v>
      </c>
      <c r="I37" s="303" t="s">
        <v>18</v>
      </c>
      <c r="J37" s="303" t="s">
        <v>45</v>
      </c>
      <c r="K37" s="304"/>
    </row>
    <row r="38" spans="1:11" x14ac:dyDescent="0.3">
      <c r="F38" s="305" t="s">
        <v>129</v>
      </c>
      <c r="G38" s="314">
        <f>SUM(G32:G37)</f>
        <v>57580.54</v>
      </c>
    </row>
    <row r="40" spans="1:11" x14ac:dyDescent="0.3">
      <c r="F40" s="305" t="s">
        <v>130</v>
      </c>
      <c r="G40" s="314">
        <f>SUMIFS(G3:G24, I3:I24, "*Ready*Dispatch*")</f>
        <v>29458.400000000001</v>
      </c>
    </row>
    <row r="41" spans="1:11" x14ac:dyDescent="0.3">
      <c r="A41" s="471" t="s">
        <v>350</v>
      </c>
      <c r="B41" s="456"/>
      <c r="C41" s="456"/>
      <c r="D41" s="456"/>
    </row>
    <row r="42" spans="1:11" x14ac:dyDescent="0.3">
      <c r="A42" s="471" t="s">
        <v>132</v>
      </c>
      <c r="B42" s="456"/>
      <c r="C42" s="456"/>
      <c r="D42" s="456"/>
    </row>
  </sheetData>
  <mergeCells count="3">
    <mergeCell ref="A1:D1"/>
    <mergeCell ref="A42:D42"/>
    <mergeCell ref="A41:D41"/>
  </mergeCells>
  <pageMargins left="0.25" right="0.25" top="0.75" bottom="0.75" header="0.3" footer="0.3"/>
  <pageSetup fitToHeight="0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1:L31"/>
  <sheetViews>
    <sheetView zoomScale="70" zoomScaleNormal="70" workbookViewId="0">
      <pane xSplit="4" ySplit="2" topLeftCell="E3" activePane="bottomRight" state="frozen"/>
      <selection activeCell="J4" sqref="J4"/>
      <selection pane="topRight" activeCell="J4" sqref="J4"/>
      <selection pane="bottomLeft" activeCell="J4" sqref="J4"/>
      <selection pane="bottomRight" activeCell="J3" sqref="J3"/>
    </sheetView>
  </sheetViews>
  <sheetFormatPr defaultRowHeight="14.4" x14ac:dyDescent="0.3"/>
  <cols>
    <col min="1" max="2" width="12" style="23" customWidth="1"/>
    <col min="3" max="3" width="15" style="23" customWidth="1"/>
    <col min="4" max="4" width="12" customWidth="1"/>
    <col min="5" max="5" width="20" customWidth="1"/>
    <col min="6" max="6" width="30" customWidth="1"/>
    <col min="7" max="7" width="14.44140625" style="24" bestFit="1" customWidth="1"/>
    <col min="8" max="8" width="9.21875" style="23" bestFit="1" customWidth="1"/>
    <col min="9" max="9" width="15" style="23" customWidth="1"/>
    <col min="10" max="10" width="23.33203125" style="23" customWidth="1"/>
    <col min="11" max="11" width="50" customWidth="1"/>
    <col min="12" max="12" width="12" customWidth="1"/>
  </cols>
  <sheetData>
    <row r="1" spans="1:12" ht="18" customHeight="1" x14ac:dyDescent="0.35">
      <c r="A1" s="472" t="s">
        <v>0</v>
      </c>
      <c r="B1" s="452"/>
      <c r="C1" s="452"/>
      <c r="D1" s="452"/>
      <c r="K1" s="315">
        <f ca="1">TODAY()</f>
        <v>46233</v>
      </c>
    </row>
    <row r="2" spans="1:12" ht="43.2" customHeight="1" x14ac:dyDescent="0.3">
      <c r="A2" s="316" t="s">
        <v>1</v>
      </c>
      <c r="B2" s="316" t="s">
        <v>2</v>
      </c>
      <c r="C2" s="316" t="s">
        <v>3</v>
      </c>
      <c r="D2" s="316" t="s">
        <v>4</v>
      </c>
      <c r="E2" s="316" t="s">
        <v>5</v>
      </c>
      <c r="F2" s="316" t="s">
        <v>6</v>
      </c>
      <c r="G2" s="329" t="s">
        <v>7</v>
      </c>
      <c r="H2" s="316" t="s">
        <v>8</v>
      </c>
      <c r="I2" s="316" t="s">
        <v>9</v>
      </c>
      <c r="J2" s="316" t="s">
        <v>10</v>
      </c>
      <c r="K2" s="316" t="s">
        <v>11</v>
      </c>
      <c r="L2" s="316" t="s">
        <v>12</v>
      </c>
    </row>
    <row r="3" spans="1:12" ht="409.6" customHeight="1" x14ac:dyDescent="0.3">
      <c r="A3" s="317">
        <v>46142</v>
      </c>
      <c r="B3" s="317">
        <v>46230</v>
      </c>
      <c r="C3" s="318" t="s">
        <v>34</v>
      </c>
      <c r="D3" s="318" t="s">
        <v>35</v>
      </c>
      <c r="E3" s="319" t="s">
        <v>36</v>
      </c>
      <c r="F3" s="319" t="s">
        <v>37</v>
      </c>
      <c r="G3" s="330">
        <v>251433.71</v>
      </c>
      <c r="H3" s="318" t="s">
        <v>38</v>
      </c>
      <c r="I3" s="318" t="s">
        <v>39</v>
      </c>
      <c r="J3" s="318" t="s">
        <v>26</v>
      </c>
      <c r="K3" s="319" t="s">
        <v>351</v>
      </c>
      <c r="L3" s="317">
        <f t="shared" ref="L3:L17" si="0">B3</f>
        <v>46230</v>
      </c>
    </row>
    <row r="4" spans="1:12" ht="28.8" customHeight="1" x14ac:dyDescent="0.3">
      <c r="A4" s="317">
        <v>46211</v>
      </c>
      <c r="B4" s="317">
        <v>46225.435736192128</v>
      </c>
      <c r="C4" s="318" t="s">
        <v>255</v>
      </c>
      <c r="D4" s="318" t="s">
        <v>256</v>
      </c>
      <c r="E4" s="319" t="s">
        <v>257</v>
      </c>
      <c r="F4" s="319" t="s">
        <v>258</v>
      </c>
      <c r="G4" s="330">
        <v>22914.9</v>
      </c>
      <c r="H4" s="318" t="s">
        <v>25</v>
      </c>
      <c r="I4" s="318" t="s">
        <v>39</v>
      </c>
      <c r="J4" s="318" t="s">
        <v>26</v>
      </c>
      <c r="K4" s="319" t="s">
        <v>259</v>
      </c>
      <c r="L4" s="317">
        <f t="shared" si="0"/>
        <v>46225.435736192128</v>
      </c>
    </row>
    <row r="5" spans="1:12" ht="187.2" customHeight="1" x14ac:dyDescent="0.3">
      <c r="A5" s="323">
        <v>46198</v>
      </c>
      <c r="B5" s="323">
        <v>46227</v>
      </c>
      <c r="C5" s="324" t="s">
        <v>174</v>
      </c>
      <c r="D5" s="324" t="s">
        <v>175</v>
      </c>
      <c r="E5" s="325" t="s">
        <v>42</v>
      </c>
      <c r="F5" s="325" t="s">
        <v>176</v>
      </c>
      <c r="G5" s="332">
        <v>241125</v>
      </c>
      <c r="H5" s="324" t="s">
        <v>177</v>
      </c>
      <c r="I5" s="324" t="s">
        <v>18</v>
      </c>
      <c r="J5" s="324" t="s">
        <v>19</v>
      </c>
      <c r="K5" s="325" t="s">
        <v>178</v>
      </c>
      <c r="L5" s="323">
        <f t="shared" si="0"/>
        <v>46227</v>
      </c>
    </row>
    <row r="6" spans="1:12" ht="72" customHeight="1" x14ac:dyDescent="0.3">
      <c r="A6" s="323">
        <v>46217</v>
      </c>
      <c r="B6" s="323">
        <v>46230</v>
      </c>
      <c r="C6" s="324" t="s">
        <v>28</v>
      </c>
      <c r="D6" s="324" t="s">
        <v>29</v>
      </c>
      <c r="E6" s="325" t="s">
        <v>30</v>
      </c>
      <c r="F6" s="325" t="s">
        <v>31</v>
      </c>
      <c r="G6" s="332">
        <v>21062.25</v>
      </c>
      <c r="H6" s="324" t="s">
        <v>32</v>
      </c>
      <c r="I6" s="324" t="s">
        <v>18</v>
      </c>
      <c r="J6" s="324" t="s">
        <v>19</v>
      </c>
      <c r="K6" s="325" t="s">
        <v>319</v>
      </c>
      <c r="L6" s="323">
        <f t="shared" si="0"/>
        <v>46230</v>
      </c>
    </row>
    <row r="7" spans="1:12" x14ac:dyDescent="0.3">
      <c r="A7" s="323">
        <v>46205</v>
      </c>
      <c r="B7" s="323">
        <v>46233</v>
      </c>
      <c r="C7" s="324" t="s">
        <v>13</v>
      </c>
      <c r="D7" s="324" t="s">
        <v>14</v>
      </c>
      <c r="E7" s="325" t="s">
        <v>15</v>
      </c>
      <c r="F7" s="325" t="s">
        <v>16</v>
      </c>
      <c r="G7" s="332">
        <v>70994.559999999998</v>
      </c>
      <c r="H7" s="324" t="s">
        <v>17</v>
      </c>
      <c r="I7" s="324" t="s">
        <v>18</v>
      </c>
      <c r="J7" s="324" t="s">
        <v>19</v>
      </c>
      <c r="K7" s="325" t="s">
        <v>234</v>
      </c>
      <c r="L7" s="323">
        <f t="shared" si="0"/>
        <v>46233</v>
      </c>
    </row>
    <row r="8" spans="1:12" ht="288" customHeight="1" x14ac:dyDescent="0.3">
      <c r="A8" s="323">
        <v>46224</v>
      </c>
      <c r="B8" s="323">
        <v>46233</v>
      </c>
      <c r="C8" s="324" t="s">
        <v>46</v>
      </c>
      <c r="D8" s="324" t="s">
        <v>47</v>
      </c>
      <c r="E8" s="325" t="s">
        <v>48</v>
      </c>
      <c r="F8" s="325" t="s">
        <v>49</v>
      </c>
      <c r="G8" s="332">
        <v>144705.45000000001</v>
      </c>
      <c r="H8" s="324" t="s">
        <v>17</v>
      </c>
      <c r="I8" s="324" t="s">
        <v>18</v>
      </c>
      <c r="J8" s="324" t="s">
        <v>19</v>
      </c>
      <c r="K8" s="325" t="s">
        <v>352</v>
      </c>
      <c r="L8" s="323">
        <f t="shared" si="0"/>
        <v>46233</v>
      </c>
    </row>
    <row r="9" spans="1:12" ht="28.8" customHeight="1" x14ac:dyDescent="0.3">
      <c r="A9" s="323">
        <v>46217</v>
      </c>
      <c r="B9" s="323">
        <v>46234</v>
      </c>
      <c r="C9" s="324" t="s">
        <v>40</v>
      </c>
      <c r="D9" s="324" t="s">
        <v>41</v>
      </c>
      <c r="E9" s="325" t="s">
        <v>42</v>
      </c>
      <c r="F9" s="325" t="s">
        <v>43</v>
      </c>
      <c r="G9" s="332">
        <v>71470.66</v>
      </c>
      <c r="H9" s="324" t="s">
        <v>44</v>
      </c>
      <c r="I9" s="324" t="s">
        <v>18</v>
      </c>
      <c r="J9" s="324" t="s">
        <v>45</v>
      </c>
      <c r="K9" s="325" t="s">
        <v>295</v>
      </c>
      <c r="L9" s="323">
        <f t="shared" si="0"/>
        <v>46234</v>
      </c>
    </row>
    <row r="10" spans="1:12" ht="57.6" customHeight="1" x14ac:dyDescent="0.3">
      <c r="A10" s="323">
        <v>46218</v>
      </c>
      <c r="B10" s="323">
        <v>46234</v>
      </c>
      <c r="C10" s="324" t="s">
        <v>64</v>
      </c>
      <c r="D10" s="324" t="s">
        <v>65</v>
      </c>
      <c r="E10" s="325" t="s">
        <v>66</v>
      </c>
      <c r="F10" s="325" t="s">
        <v>67</v>
      </c>
      <c r="G10" s="332">
        <v>217511</v>
      </c>
      <c r="H10" s="324" t="s">
        <v>32</v>
      </c>
      <c r="I10" s="324" t="s">
        <v>18</v>
      </c>
      <c r="J10" s="324" t="s">
        <v>26</v>
      </c>
      <c r="K10" s="325" t="s">
        <v>320</v>
      </c>
      <c r="L10" s="323">
        <f t="shared" si="0"/>
        <v>46234</v>
      </c>
    </row>
    <row r="11" spans="1:12" x14ac:dyDescent="0.3">
      <c r="A11" s="323">
        <v>46171</v>
      </c>
      <c r="B11" s="323">
        <v>46239</v>
      </c>
      <c r="C11" s="324" t="s">
        <v>68</v>
      </c>
      <c r="D11" s="324" t="s">
        <v>69</v>
      </c>
      <c r="E11" s="325" t="s">
        <v>70</v>
      </c>
      <c r="F11" s="325" t="s">
        <v>71</v>
      </c>
      <c r="G11" s="332">
        <v>18400</v>
      </c>
      <c r="H11" s="324" t="s">
        <v>72</v>
      </c>
      <c r="I11" s="324" t="s">
        <v>18</v>
      </c>
      <c r="J11" s="324" t="s">
        <v>19</v>
      </c>
      <c r="K11" s="325" t="s">
        <v>185</v>
      </c>
      <c r="L11" s="323">
        <f t="shared" si="0"/>
        <v>46239</v>
      </c>
    </row>
    <row r="12" spans="1:12" ht="28.8" customHeight="1" x14ac:dyDescent="0.3">
      <c r="A12" s="323">
        <v>46185</v>
      </c>
      <c r="B12" s="323">
        <v>46253</v>
      </c>
      <c r="C12" s="324" t="s">
        <v>82</v>
      </c>
      <c r="D12" s="324" t="s">
        <v>83</v>
      </c>
      <c r="E12" s="325" t="s">
        <v>84</v>
      </c>
      <c r="F12" s="325" t="s">
        <v>85</v>
      </c>
      <c r="G12" s="332">
        <v>109947.56</v>
      </c>
      <c r="H12" s="324" t="s">
        <v>86</v>
      </c>
      <c r="I12" s="324" t="s">
        <v>18</v>
      </c>
      <c r="J12" s="324" t="s">
        <v>45</v>
      </c>
      <c r="K12" s="325" t="s">
        <v>168</v>
      </c>
      <c r="L12" s="323">
        <f t="shared" si="0"/>
        <v>46253</v>
      </c>
    </row>
    <row r="13" spans="1:12" x14ac:dyDescent="0.3">
      <c r="A13" s="320">
        <v>46111</v>
      </c>
      <c r="B13" s="320">
        <v>46234</v>
      </c>
      <c r="C13" s="321" t="s">
        <v>96</v>
      </c>
      <c r="D13" s="321" t="s">
        <v>97</v>
      </c>
      <c r="E13" s="322" t="s">
        <v>98</v>
      </c>
      <c r="F13" s="322" t="s">
        <v>99</v>
      </c>
      <c r="G13" s="331">
        <v>169353.60000000001</v>
      </c>
      <c r="H13" s="321" t="s">
        <v>72</v>
      </c>
      <c r="I13" s="321" t="s">
        <v>100</v>
      </c>
      <c r="J13" s="321"/>
      <c r="K13" s="322" t="s">
        <v>208</v>
      </c>
      <c r="L13" s="320">
        <f t="shared" si="0"/>
        <v>46234</v>
      </c>
    </row>
    <row r="14" spans="1:12" ht="158.4" customHeight="1" x14ac:dyDescent="0.3">
      <c r="A14" s="320">
        <v>46128</v>
      </c>
      <c r="B14" s="320">
        <v>46234</v>
      </c>
      <c r="C14" s="321" t="s">
        <v>100</v>
      </c>
      <c r="D14" s="321" t="s">
        <v>101</v>
      </c>
      <c r="E14" s="322" t="s">
        <v>102</v>
      </c>
      <c r="F14" s="322" t="s">
        <v>103</v>
      </c>
      <c r="G14" s="331">
        <v>82900.05</v>
      </c>
      <c r="H14" s="321" t="s">
        <v>72</v>
      </c>
      <c r="I14" s="321" t="s">
        <v>100</v>
      </c>
      <c r="J14" s="321"/>
      <c r="K14" s="322" t="s">
        <v>186</v>
      </c>
      <c r="L14" s="320">
        <f t="shared" si="0"/>
        <v>46234</v>
      </c>
    </row>
    <row r="15" spans="1:12" ht="86.4" customHeight="1" x14ac:dyDescent="0.3">
      <c r="A15" s="320">
        <v>46142</v>
      </c>
      <c r="B15" s="320">
        <v>46234</v>
      </c>
      <c r="C15" s="321" t="s">
        <v>104</v>
      </c>
      <c r="D15" s="321" t="s">
        <v>105</v>
      </c>
      <c r="E15" s="322" t="s">
        <v>106</v>
      </c>
      <c r="F15" s="322" t="s">
        <v>107</v>
      </c>
      <c r="G15" s="331">
        <v>310411</v>
      </c>
      <c r="H15" s="321" t="s">
        <v>108</v>
      </c>
      <c r="I15" s="321" t="s">
        <v>100</v>
      </c>
      <c r="J15" s="321"/>
      <c r="K15" s="322" t="s">
        <v>187</v>
      </c>
      <c r="L15" s="320">
        <f t="shared" si="0"/>
        <v>46234</v>
      </c>
    </row>
    <row r="16" spans="1:12" ht="28.8" customHeight="1" x14ac:dyDescent="0.3">
      <c r="A16" s="320">
        <v>46142</v>
      </c>
      <c r="B16" s="320">
        <v>46234</v>
      </c>
      <c r="C16" s="321" t="s">
        <v>100</v>
      </c>
      <c r="D16" s="321" t="s">
        <v>109</v>
      </c>
      <c r="E16" s="322" t="s">
        <v>110</v>
      </c>
      <c r="F16" s="322" t="s">
        <v>111</v>
      </c>
      <c r="G16" s="331">
        <v>204447</v>
      </c>
      <c r="H16" s="321" t="s">
        <v>38</v>
      </c>
      <c r="I16" s="321" t="s">
        <v>100</v>
      </c>
      <c r="J16" s="321"/>
      <c r="K16" s="322" t="s">
        <v>188</v>
      </c>
      <c r="L16" s="320">
        <f t="shared" si="0"/>
        <v>46234</v>
      </c>
    </row>
    <row r="17" spans="1:12" x14ac:dyDescent="0.3">
      <c r="A17" s="320">
        <v>46170</v>
      </c>
      <c r="B17" s="320">
        <v>46234</v>
      </c>
      <c r="C17" s="321" t="s">
        <v>100</v>
      </c>
      <c r="D17" s="321" t="s">
        <v>112</v>
      </c>
      <c r="E17" s="322" t="s">
        <v>113</v>
      </c>
      <c r="F17" s="322" t="s">
        <v>114</v>
      </c>
      <c r="G17" s="331">
        <v>1860403.01</v>
      </c>
      <c r="H17" s="321" t="s">
        <v>72</v>
      </c>
      <c r="I17" s="321" t="s">
        <v>100</v>
      </c>
      <c r="J17" s="321"/>
      <c r="K17" s="322" t="s">
        <v>189</v>
      </c>
      <c r="L17" s="320">
        <f t="shared" si="0"/>
        <v>46234</v>
      </c>
    </row>
    <row r="18" spans="1:12" x14ac:dyDescent="0.3">
      <c r="F18" s="326" t="s">
        <v>118</v>
      </c>
      <c r="G18" s="333">
        <f>SUMIF(I3:I17,"&lt;&gt;Pending",G3:G17)</f>
        <v>1169565.0899999999</v>
      </c>
    </row>
    <row r="20" spans="1:12" x14ac:dyDescent="0.3">
      <c r="F20" s="327" t="s">
        <v>119</v>
      </c>
    </row>
    <row r="21" spans="1:12" x14ac:dyDescent="0.3">
      <c r="F21" t="s">
        <v>120</v>
      </c>
      <c r="G21" s="24">
        <f ca="1">SUMIFS(G3:G17, J3:J17, "*CASH SALE*", L3:L17, "&gt;="&amp;EOMONTH(TODAY(),-1)+1, L3:L17, "&lt;="&amp;EOMONTH(TODAY(),0), I3:I17, "&lt;&gt;Pending")</f>
        <v>563330.27</v>
      </c>
      <c r="I21" s="23" t="s">
        <v>121</v>
      </c>
      <c r="J21" s="30">
        <f ca="1">SUMIFS(G3:G17, J3:J17, "*CASH SALE*", L3:L17, "&gt;="&amp;EOMONTH(TODAY(),0)+1, L3:L17, "&lt;="&amp;EOMONTH(TODAY(),1), I3:I17, "&lt;&gt;Pending")</f>
        <v>109947.56</v>
      </c>
    </row>
    <row r="22" spans="1:12" x14ac:dyDescent="0.3">
      <c r="F22" t="s">
        <v>122</v>
      </c>
      <c r="G22" s="24">
        <f ca="1">SUMIFS(G3:G17, J3:J17, "*ACCOUNT*", L3:L17, "&gt;="&amp;EOMONTH(TODAY(),-1)+1, L3:L17, "&lt;="&amp;EOMONTH(TODAY(),0), I3:I17, "&lt;&gt;Pending")</f>
        <v>477887.26</v>
      </c>
      <c r="I22" s="23" t="s">
        <v>123</v>
      </c>
      <c r="J22" s="30">
        <f ca="1">SUMIFS(G3:G17, J3:J17, "*ACCOUNT*", L3:L17, "&gt;="&amp;EOMONTH(TODAY(),0)+1, L3:L17, "&lt;="&amp;EOMONTH(TODAY(),1), I3:I17, "&lt;&gt;Pending")</f>
        <v>18400</v>
      </c>
    </row>
    <row r="23" spans="1:12" ht="28.8" customHeight="1" x14ac:dyDescent="0.3">
      <c r="A23" s="316" t="s">
        <v>1</v>
      </c>
      <c r="B23" s="316" t="s">
        <v>2</v>
      </c>
      <c r="C23" s="316" t="s">
        <v>3</v>
      </c>
      <c r="D23" s="316" t="s">
        <v>4</v>
      </c>
      <c r="E23" s="316" t="s">
        <v>5</v>
      </c>
      <c r="F23" s="316" t="s">
        <v>6</v>
      </c>
      <c r="G23" s="329" t="s">
        <v>7</v>
      </c>
      <c r="H23" s="316" t="s">
        <v>8</v>
      </c>
      <c r="I23" s="316" t="s">
        <v>9</v>
      </c>
      <c r="J23" s="316" t="s">
        <v>10</v>
      </c>
      <c r="K23" s="316" t="s">
        <v>124</v>
      </c>
    </row>
    <row r="24" spans="1:12" x14ac:dyDescent="0.3">
      <c r="A24" s="323">
        <v>46142</v>
      </c>
      <c r="B24" s="323">
        <v>46225.435736192128</v>
      </c>
      <c r="C24" s="324" t="s">
        <v>34</v>
      </c>
      <c r="D24" s="328" t="s">
        <v>35</v>
      </c>
      <c r="E24" s="328" t="s">
        <v>36</v>
      </c>
      <c r="F24" s="328" t="s">
        <v>37</v>
      </c>
      <c r="G24" s="332">
        <v>251433.71</v>
      </c>
      <c r="H24" s="324" t="s">
        <v>38</v>
      </c>
      <c r="I24" s="324" t="s">
        <v>39</v>
      </c>
      <c r="J24" s="324" t="s">
        <v>128</v>
      </c>
      <c r="K24" s="325"/>
    </row>
    <row r="25" spans="1:12" x14ac:dyDescent="0.3">
      <c r="A25" s="323">
        <v>46198</v>
      </c>
      <c r="B25" s="323">
        <v>46225.435736192128</v>
      </c>
      <c r="C25" s="324" t="s">
        <v>21</v>
      </c>
      <c r="D25" s="328" t="s">
        <v>22</v>
      </c>
      <c r="E25" s="328" t="s">
        <v>23</v>
      </c>
      <c r="F25" s="328" t="s">
        <v>24</v>
      </c>
      <c r="G25" s="332">
        <v>143822.45000000001</v>
      </c>
      <c r="H25" s="324" t="s">
        <v>25</v>
      </c>
      <c r="I25" s="324" t="s">
        <v>18</v>
      </c>
      <c r="J25" s="324" t="s">
        <v>45</v>
      </c>
      <c r="K25" s="325"/>
    </row>
    <row r="26" spans="1:12" x14ac:dyDescent="0.3">
      <c r="A26" s="323">
        <v>46211</v>
      </c>
      <c r="B26" s="323">
        <v>46225.435736192128</v>
      </c>
      <c r="C26" s="324" t="s">
        <v>255</v>
      </c>
      <c r="D26" s="328" t="s">
        <v>256</v>
      </c>
      <c r="E26" s="328" t="s">
        <v>257</v>
      </c>
      <c r="F26" s="328" t="s">
        <v>258</v>
      </c>
      <c r="G26" s="332">
        <v>22914.9</v>
      </c>
      <c r="H26" s="324" t="s">
        <v>25</v>
      </c>
      <c r="I26" s="324" t="s">
        <v>39</v>
      </c>
      <c r="J26" s="324" t="s">
        <v>19</v>
      </c>
      <c r="K26" s="325"/>
    </row>
    <row r="27" spans="1:12" x14ac:dyDescent="0.3">
      <c r="F27" s="326" t="s">
        <v>129</v>
      </c>
      <c r="G27" s="333">
        <f>SUM(G24:G26)</f>
        <v>418171.06000000006</v>
      </c>
    </row>
    <row r="29" spans="1:12" x14ac:dyDescent="0.3">
      <c r="F29" s="326" t="s">
        <v>130</v>
      </c>
      <c r="G29" s="333">
        <f>SUMIFS(G3:G17, I3:I17, "*Ready*Dispatch*")</f>
        <v>274348.61</v>
      </c>
    </row>
    <row r="30" spans="1:12" x14ac:dyDescent="0.3">
      <c r="A30" s="473" t="s">
        <v>192</v>
      </c>
      <c r="B30" s="454"/>
      <c r="C30" s="454"/>
      <c r="D30" s="456"/>
    </row>
    <row r="31" spans="1:12" x14ac:dyDescent="0.3">
      <c r="A31" s="473" t="s">
        <v>132</v>
      </c>
      <c r="B31" s="454"/>
      <c r="C31" s="454"/>
      <c r="D31" s="456"/>
    </row>
  </sheetData>
  <mergeCells count="3">
    <mergeCell ref="A1:D1"/>
    <mergeCell ref="A31:D31"/>
    <mergeCell ref="A30:D30"/>
  </mergeCells>
  <pageMargins left="0.25" right="0.25" top="0.75" bottom="0.75" header="0.3" footer="0.3"/>
  <pageSetup fitToHeight="0" orientation="landscape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1:L34"/>
  <sheetViews>
    <sheetView zoomScale="80" zoomScaleNormal="80" workbookViewId="0">
      <pane xSplit="4" ySplit="2" topLeftCell="E3" activePane="bottomRight" state="frozen"/>
      <selection activeCell="L19" sqref="A3:L19"/>
      <selection pane="topRight" activeCell="L19" sqref="A3:L19"/>
      <selection pane="bottomLeft" activeCell="L19" sqref="A3:L19"/>
      <selection pane="bottomRight" activeCell="J8" sqref="J8"/>
    </sheetView>
  </sheetViews>
  <sheetFormatPr defaultRowHeight="14.4" x14ac:dyDescent="0.3"/>
  <cols>
    <col min="1" max="2" width="12" customWidth="1"/>
    <col min="3" max="3" width="15" customWidth="1"/>
    <col min="4" max="4" width="12" customWidth="1"/>
    <col min="5" max="5" width="20" customWidth="1"/>
    <col min="6" max="6" width="30" customWidth="1"/>
    <col min="7" max="7" width="15" customWidth="1"/>
    <col min="8" max="8" width="20" customWidth="1"/>
    <col min="9" max="9" width="15" customWidth="1"/>
    <col min="10" max="10" width="23.33203125" customWidth="1"/>
    <col min="11" max="11" width="50" customWidth="1"/>
    <col min="12" max="12" width="12" customWidth="1"/>
  </cols>
  <sheetData>
    <row r="1" spans="1:12" ht="18" customHeight="1" x14ac:dyDescent="0.35">
      <c r="A1" s="334" t="s">
        <v>0</v>
      </c>
      <c r="K1" s="335">
        <f ca="1">TODAY()</f>
        <v>46233</v>
      </c>
    </row>
    <row r="2" spans="1:12" ht="43.2" customHeight="1" x14ac:dyDescent="0.3">
      <c r="A2" s="336" t="s">
        <v>1</v>
      </c>
      <c r="B2" s="336" t="s">
        <v>2</v>
      </c>
      <c r="C2" s="336" t="s">
        <v>3</v>
      </c>
      <c r="D2" s="336" t="s">
        <v>4</v>
      </c>
      <c r="E2" s="336" t="s">
        <v>5</v>
      </c>
      <c r="F2" s="336" t="s">
        <v>6</v>
      </c>
      <c r="G2" s="336" t="s">
        <v>7</v>
      </c>
      <c r="H2" s="336" t="s">
        <v>8</v>
      </c>
      <c r="I2" s="336" t="s">
        <v>9</v>
      </c>
      <c r="J2" s="336" t="s">
        <v>10</v>
      </c>
      <c r="K2" s="336" t="s">
        <v>11</v>
      </c>
      <c r="L2" s="336" t="s">
        <v>12</v>
      </c>
    </row>
    <row r="3" spans="1:12" ht="187.2" customHeight="1" x14ac:dyDescent="0.3">
      <c r="A3" s="345">
        <v>46198</v>
      </c>
      <c r="B3" s="345">
        <v>46227</v>
      </c>
      <c r="C3" s="346" t="s">
        <v>174</v>
      </c>
      <c r="D3" s="346" t="s">
        <v>175</v>
      </c>
      <c r="E3" s="347" t="s">
        <v>42</v>
      </c>
      <c r="F3" s="347" t="s">
        <v>176</v>
      </c>
      <c r="G3" s="348">
        <v>241125</v>
      </c>
      <c r="H3" s="346" t="s">
        <v>177</v>
      </c>
      <c r="I3" s="346" t="s">
        <v>18</v>
      </c>
      <c r="J3" s="346" t="s">
        <v>19</v>
      </c>
      <c r="K3" s="347" t="s">
        <v>178</v>
      </c>
      <c r="L3" s="345">
        <f t="shared" ref="L3:L17" si="0">B3</f>
        <v>46227</v>
      </c>
    </row>
    <row r="4" spans="1:12" ht="115.2" customHeight="1" x14ac:dyDescent="0.3">
      <c r="A4" s="337">
        <v>46198</v>
      </c>
      <c r="B4" s="337">
        <v>46230</v>
      </c>
      <c r="C4" s="338" t="s">
        <v>21</v>
      </c>
      <c r="D4" s="338" t="s">
        <v>22</v>
      </c>
      <c r="E4" s="339" t="s">
        <v>23</v>
      </c>
      <c r="F4" s="339" t="s">
        <v>24</v>
      </c>
      <c r="G4" s="340">
        <v>144908.04999999999</v>
      </c>
      <c r="H4" s="338" t="s">
        <v>25</v>
      </c>
      <c r="I4" s="338" t="s">
        <v>18</v>
      </c>
      <c r="J4" s="338" t="s">
        <v>26</v>
      </c>
      <c r="K4" s="339" t="s">
        <v>351</v>
      </c>
      <c r="L4" s="337">
        <f t="shared" si="0"/>
        <v>46230</v>
      </c>
    </row>
    <row r="5" spans="1:12" ht="72" customHeight="1" x14ac:dyDescent="0.3">
      <c r="A5" s="345">
        <v>46217</v>
      </c>
      <c r="B5" s="345">
        <v>46230</v>
      </c>
      <c r="C5" s="346" t="s">
        <v>28</v>
      </c>
      <c r="D5" s="346" t="s">
        <v>29</v>
      </c>
      <c r="E5" s="347" t="s">
        <v>30</v>
      </c>
      <c r="F5" s="347" t="s">
        <v>31</v>
      </c>
      <c r="G5" s="348">
        <v>21062.25</v>
      </c>
      <c r="H5" s="346" t="s">
        <v>32</v>
      </c>
      <c r="I5" s="346" t="s">
        <v>18</v>
      </c>
      <c r="J5" s="346" t="s">
        <v>19</v>
      </c>
      <c r="K5" s="347" t="s">
        <v>319</v>
      </c>
      <c r="L5" s="345">
        <f t="shared" si="0"/>
        <v>46230</v>
      </c>
    </row>
    <row r="6" spans="1:12" x14ac:dyDescent="0.3">
      <c r="A6" s="345">
        <v>46205</v>
      </c>
      <c r="B6" s="345">
        <v>46233</v>
      </c>
      <c r="C6" s="346" t="s">
        <v>13</v>
      </c>
      <c r="D6" s="346" t="s">
        <v>14</v>
      </c>
      <c r="E6" s="347" t="s">
        <v>15</v>
      </c>
      <c r="F6" s="347" t="s">
        <v>16</v>
      </c>
      <c r="G6" s="348">
        <v>70994.559999999998</v>
      </c>
      <c r="H6" s="346" t="s">
        <v>17</v>
      </c>
      <c r="I6" s="346" t="s">
        <v>18</v>
      </c>
      <c r="J6" s="346" t="s">
        <v>19</v>
      </c>
      <c r="K6" s="347" t="s">
        <v>234</v>
      </c>
      <c r="L6" s="345">
        <f t="shared" si="0"/>
        <v>46233</v>
      </c>
    </row>
    <row r="7" spans="1:12" ht="288" customHeight="1" x14ac:dyDescent="0.3">
      <c r="A7" s="345">
        <v>46224</v>
      </c>
      <c r="B7" s="345">
        <v>46233</v>
      </c>
      <c r="C7" s="346" t="s">
        <v>46</v>
      </c>
      <c r="D7" s="346" t="s">
        <v>47</v>
      </c>
      <c r="E7" s="347" t="s">
        <v>48</v>
      </c>
      <c r="F7" s="347" t="s">
        <v>49</v>
      </c>
      <c r="G7" s="348">
        <v>144705.45000000001</v>
      </c>
      <c r="H7" s="346" t="s">
        <v>17</v>
      </c>
      <c r="I7" s="346" t="s">
        <v>18</v>
      </c>
      <c r="J7" s="346" t="s">
        <v>45</v>
      </c>
      <c r="K7" s="347" t="s">
        <v>352</v>
      </c>
      <c r="L7" s="345">
        <f t="shared" si="0"/>
        <v>46233</v>
      </c>
    </row>
    <row r="8" spans="1:12" ht="409.6" customHeight="1" x14ac:dyDescent="0.3">
      <c r="A8" s="337">
        <v>46142</v>
      </c>
      <c r="B8" s="337">
        <v>46234</v>
      </c>
      <c r="C8" s="338" t="s">
        <v>34</v>
      </c>
      <c r="D8" s="338" t="s">
        <v>35</v>
      </c>
      <c r="E8" s="339" t="s">
        <v>36</v>
      </c>
      <c r="F8" s="339" t="s">
        <v>37</v>
      </c>
      <c r="G8" s="340">
        <v>251433.71</v>
      </c>
      <c r="H8" s="338" t="s">
        <v>38</v>
      </c>
      <c r="I8" s="338" t="s">
        <v>39</v>
      </c>
      <c r="J8" s="338" t="s">
        <v>26</v>
      </c>
      <c r="K8" s="339" t="s">
        <v>143</v>
      </c>
      <c r="L8" s="337">
        <f t="shared" si="0"/>
        <v>46234</v>
      </c>
    </row>
    <row r="9" spans="1:12" ht="28.8" customHeight="1" x14ac:dyDescent="0.3">
      <c r="A9" s="345">
        <v>46217</v>
      </c>
      <c r="B9" s="345">
        <v>46234</v>
      </c>
      <c r="C9" s="346" t="s">
        <v>40</v>
      </c>
      <c r="D9" s="346" t="s">
        <v>41</v>
      </c>
      <c r="E9" s="347" t="s">
        <v>42</v>
      </c>
      <c r="F9" s="347" t="s">
        <v>43</v>
      </c>
      <c r="G9" s="348">
        <v>71470.66</v>
      </c>
      <c r="H9" s="346" t="s">
        <v>44</v>
      </c>
      <c r="I9" s="346" t="s">
        <v>18</v>
      </c>
      <c r="J9" s="346" t="s">
        <v>45</v>
      </c>
      <c r="K9" s="347" t="s">
        <v>295</v>
      </c>
      <c r="L9" s="345">
        <f t="shared" si="0"/>
        <v>46234</v>
      </c>
    </row>
    <row r="10" spans="1:12" x14ac:dyDescent="0.3">
      <c r="A10" s="341">
        <v>46111</v>
      </c>
      <c r="B10" s="341">
        <v>46234</v>
      </c>
      <c r="C10" s="342" t="s">
        <v>96</v>
      </c>
      <c r="D10" s="342" t="s">
        <v>97</v>
      </c>
      <c r="E10" s="343" t="s">
        <v>98</v>
      </c>
      <c r="F10" s="343" t="s">
        <v>99</v>
      </c>
      <c r="G10" s="344">
        <v>169353.60000000001</v>
      </c>
      <c r="H10" s="342" t="s">
        <v>72</v>
      </c>
      <c r="I10" s="342" t="s">
        <v>100</v>
      </c>
      <c r="J10" s="342"/>
      <c r="K10" s="343" t="s">
        <v>208</v>
      </c>
      <c r="L10" s="341">
        <f t="shared" si="0"/>
        <v>46234</v>
      </c>
    </row>
    <row r="11" spans="1:12" ht="158.4" customHeight="1" x14ac:dyDescent="0.3">
      <c r="A11" s="341">
        <v>46128</v>
      </c>
      <c r="B11" s="341">
        <v>46234</v>
      </c>
      <c r="C11" s="342" t="s">
        <v>100</v>
      </c>
      <c r="D11" s="342" t="s">
        <v>101</v>
      </c>
      <c r="E11" s="343" t="s">
        <v>102</v>
      </c>
      <c r="F11" s="343" t="s">
        <v>103</v>
      </c>
      <c r="G11" s="344">
        <v>82900.05</v>
      </c>
      <c r="H11" s="342" t="s">
        <v>72</v>
      </c>
      <c r="I11" s="342" t="s">
        <v>100</v>
      </c>
      <c r="J11" s="342"/>
      <c r="K11" s="343" t="s">
        <v>186</v>
      </c>
      <c r="L11" s="341">
        <f t="shared" si="0"/>
        <v>46234</v>
      </c>
    </row>
    <row r="12" spans="1:12" ht="86.4" customHeight="1" x14ac:dyDescent="0.3">
      <c r="A12" s="341">
        <v>46142</v>
      </c>
      <c r="B12" s="341">
        <v>46234</v>
      </c>
      <c r="C12" s="342" t="s">
        <v>104</v>
      </c>
      <c r="D12" s="342" t="s">
        <v>105</v>
      </c>
      <c r="E12" s="343" t="s">
        <v>106</v>
      </c>
      <c r="F12" s="343" t="s">
        <v>107</v>
      </c>
      <c r="G12" s="344">
        <v>310411</v>
      </c>
      <c r="H12" s="342" t="s">
        <v>108</v>
      </c>
      <c r="I12" s="342" t="s">
        <v>100</v>
      </c>
      <c r="J12" s="342"/>
      <c r="K12" s="343" t="s">
        <v>187</v>
      </c>
      <c r="L12" s="341">
        <f t="shared" si="0"/>
        <v>46234</v>
      </c>
    </row>
    <row r="13" spans="1:12" ht="28.8" customHeight="1" x14ac:dyDescent="0.3">
      <c r="A13" s="341">
        <v>46142</v>
      </c>
      <c r="B13" s="341">
        <v>46234</v>
      </c>
      <c r="C13" s="342" t="s">
        <v>100</v>
      </c>
      <c r="D13" s="342" t="s">
        <v>109</v>
      </c>
      <c r="E13" s="343" t="s">
        <v>110</v>
      </c>
      <c r="F13" s="343" t="s">
        <v>111</v>
      </c>
      <c r="G13" s="344">
        <v>204447</v>
      </c>
      <c r="H13" s="342" t="s">
        <v>38</v>
      </c>
      <c r="I13" s="342" t="s">
        <v>100</v>
      </c>
      <c r="J13" s="342"/>
      <c r="K13" s="343" t="s">
        <v>188</v>
      </c>
      <c r="L13" s="341">
        <f t="shared" si="0"/>
        <v>46234</v>
      </c>
    </row>
    <row r="14" spans="1:12" x14ac:dyDescent="0.3">
      <c r="A14" s="341">
        <v>46170</v>
      </c>
      <c r="B14" s="341">
        <v>46234</v>
      </c>
      <c r="C14" s="342" t="s">
        <v>100</v>
      </c>
      <c r="D14" s="342" t="s">
        <v>112</v>
      </c>
      <c r="E14" s="343" t="s">
        <v>113</v>
      </c>
      <c r="F14" s="343" t="s">
        <v>114</v>
      </c>
      <c r="G14" s="344">
        <v>1860403.01</v>
      </c>
      <c r="H14" s="342" t="s">
        <v>72</v>
      </c>
      <c r="I14" s="342" t="s">
        <v>100</v>
      </c>
      <c r="J14" s="342"/>
      <c r="K14" s="343" t="s">
        <v>189</v>
      </c>
      <c r="L14" s="341">
        <f t="shared" si="0"/>
        <v>46234</v>
      </c>
    </row>
    <row r="15" spans="1:12" x14ac:dyDescent="0.3">
      <c r="A15" s="345">
        <v>46171</v>
      </c>
      <c r="B15" s="345">
        <v>46239</v>
      </c>
      <c r="C15" s="346" t="s">
        <v>68</v>
      </c>
      <c r="D15" s="346" t="s">
        <v>69</v>
      </c>
      <c r="E15" s="347" t="s">
        <v>70</v>
      </c>
      <c r="F15" s="347" t="s">
        <v>71</v>
      </c>
      <c r="G15" s="348">
        <v>18400</v>
      </c>
      <c r="H15" s="346" t="s">
        <v>72</v>
      </c>
      <c r="I15" s="346" t="s">
        <v>18</v>
      </c>
      <c r="J15" s="346" t="s">
        <v>19</v>
      </c>
      <c r="K15" s="347" t="s">
        <v>185</v>
      </c>
      <c r="L15" s="345">
        <f t="shared" si="0"/>
        <v>46239</v>
      </c>
    </row>
    <row r="16" spans="1:12" ht="57.6" customHeight="1" x14ac:dyDescent="0.3">
      <c r="A16" s="345">
        <v>46218</v>
      </c>
      <c r="B16" s="345">
        <v>46241</v>
      </c>
      <c r="C16" s="346" t="s">
        <v>64</v>
      </c>
      <c r="D16" s="346" t="s">
        <v>65</v>
      </c>
      <c r="E16" s="347" t="s">
        <v>66</v>
      </c>
      <c r="F16" s="347" t="s">
        <v>67</v>
      </c>
      <c r="G16" s="348">
        <v>217511</v>
      </c>
      <c r="H16" s="346" t="s">
        <v>32</v>
      </c>
      <c r="I16" s="346" t="s">
        <v>18</v>
      </c>
      <c r="J16" s="346" t="s">
        <v>26</v>
      </c>
      <c r="K16" s="347" t="s">
        <v>320</v>
      </c>
      <c r="L16" s="345">
        <f t="shared" si="0"/>
        <v>46241</v>
      </c>
    </row>
    <row r="17" spans="1:12" ht="28.8" customHeight="1" x14ac:dyDescent="0.3">
      <c r="A17" s="345">
        <v>46185</v>
      </c>
      <c r="B17" s="345">
        <v>46253</v>
      </c>
      <c r="C17" s="346" t="s">
        <v>82</v>
      </c>
      <c r="D17" s="346" t="s">
        <v>83</v>
      </c>
      <c r="E17" s="347" t="s">
        <v>84</v>
      </c>
      <c r="F17" s="347" t="s">
        <v>85</v>
      </c>
      <c r="G17" s="348">
        <v>109947.56</v>
      </c>
      <c r="H17" s="346" t="s">
        <v>86</v>
      </c>
      <c r="I17" s="346" t="s">
        <v>18</v>
      </c>
      <c r="J17" s="346" t="s">
        <v>45</v>
      </c>
      <c r="K17" s="347" t="s">
        <v>168</v>
      </c>
      <c r="L17" s="345">
        <f t="shared" si="0"/>
        <v>46253</v>
      </c>
    </row>
    <row r="18" spans="1:12" x14ac:dyDescent="0.3">
      <c r="F18" s="349" t="s">
        <v>118</v>
      </c>
      <c r="G18" s="350">
        <f>SUMIF(I3:I17,"&lt;&gt;Pending",G3:G17)</f>
        <v>1291558.2400000002</v>
      </c>
    </row>
    <row r="20" spans="1:12" x14ac:dyDescent="0.3">
      <c r="F20" s="351" t="s">
        <v>119</v>
      </c>
    </row>
    <row r="21" spans="1:12" x14ac:dyDescent="0.3">
      <c r="F21" t="s">
        <v>120</v>
      </c>
      <c r="G21" s="19">
        <f ca="1">SUMIFS(G3:G17, J3:J17, "*CASH SALE*", L3:L17, "&gt;="&amp;EOMONTH(TODAY(),-1)+1, L3:L17, "&lt;="&amp;EOMONTH(TODAY(),0), I3:I17, "&lt;&gt;Pending")</f>
        <v>612517.87</v>
      </c>
      <c r="I21" t="s">
        <v>121</v>
      </c>
      <c r="J21" s="19">
        <f ca="1">SUMIFS(G3:G17, J3:J17, "*CASH SALE*", L3:L17, "&gt;="&amp;EOMONTH(TODAY(),0)+1, L3:L17, "&lt;="&amp;EOMONTH(TODAY(),1), I3:I17, "&lt;&gt;Pending")</f>
        <v>327458.56</v>
      </c>
    </row>
    <row r="22" spans="1:12" x14ac:dyDescent="0.3">
      <c r="F22" t="s">
        <v>122</v>
      </c>
      <c r="G22" s="19">
        <f ca="1">SUMIFS(G3:G17, J3:J17, "*ACCOUNT*", L3:L17, "&gt;="&amp;EOMONTH(TODAY(),-1)+1, L3:L17, "&lt;="&amp;EOMONTH(TODAY(),0), I3:I17, "&lt;&gt;Pending")</f>
        <v>333181.81</v>
      </c>
      <c r="I22" t="s">
        <v>123</v>
      </c>
      <c r="J22" s="19">
        <f ca="1">SUMIFS(G3:G17, J3:J17, "*ACCOUNT*", L3:L17, "&gt;="&amp;EOMONTH(TODAY(),0)+1, L3:L17, "&lt;="&amp;EOMONTH(TODAY(),1), I3:I17, "&lt;&gt;Pending")</f>
        <v>18400</v>
      </c>
    </row>
    <row r="25" spans="1:12" ht="28.8" customHeight="1" x14ac:dyDescent="0.3">
      <c r="A25" s="336" t="s">
        <v>1</v>
      </c>
      <c r="B25" s="336" t="s">
        <v>2</v>
      </c>
      <c r="C25" s="336" t="s">
        <v>3</v>
      </c>
      <c r="D25" s="336" t="s">
        <v>4</v>
      </c>
      <c r="E25" s="336" t="s">
        <v>5</v>
      </c>
      <c r="F25" s="336" t="s">
        <v>6</v>
      </c>
      <c r="G25" s="336" t="s">
        <v>7</v>
      </c>
      <c r="H25" s="336" t="s">
        <v>8</v>
      </c>
      <c r="I25" s="336" t="s">
        <v>9</v>
      </c>
      <c r="J25" s="336" t="s">
        <v>10</v>
      </c>
      <c r="K25" s="336" t="s">
        <v>124</v>
      </c>
    </row>
    <row r="26" spans="1:12" x14ac:dyDescent="0.3">
      <c r="A26" s="352">
        <v>46198</v>
      </c>
      <c r="B26" s="352">
        <v>46230</v>
      </c>
      <c r="C26" s="353" t="s">
        <v>21</v>
      </c>
      <c r="D26" s="353" t="s">
        <v>22</v>
      </c>
      <c r="E26" s="353" t="s">
        <v>23</v>
      </c>
      <c r="F26" s="353" t="s">
        <v>24</v>
      </c>
      <c r="G26" s="348">
        <v>144908.04999999999</v>
      </c>
      <c r="H26" s="353" t="s">
        <v>25</v>
      </c>
      <c r="I26" s="353" t="s">
        <v>18</v>
      </c>
      <c r="J26" s="353" t="s">
        <v>45</v>
      </c>
      <c r="K26" s="347"/>
    </row>
    <row r="27" spans="1:12" x14ac:dyDescent="0.3">
      <c r="A27" s="352">
        <v>46142</v>
      </c>
      <c r="B27" s="352">
        <v>46234</v>
      </c>
      <c r="C27" s="353" t="s">
        <v>34</v>
      </c>
      <c r="D27" s="353" t="s">
        <v>35</v>
      </c>
      <c r="E27" s="353" t="s">
        <v>36</v>
      </c>
      <c r="F27" s="353" t="s">
        <v>37</v>
      </c>
      <c r="G27" s="348">
        <v>251433.71</v>
      </c>
      <c r="H27" s="353" t="s">
        <v>38</v>
      </c>
      <c r="I27" s="353" t="s">
        <v>39</v>
      </c>
      <c r="J27" s="353" t="s">
        <v>128</v>
      </c>
      <c r="K27" s="347"/>
    </row>
    <row r="28" spans="1:12" x14ac:dyDescent="0.3">
      <c r="F28" s="349" t="s">
        <v>129</v>
      </c>
      <c r="G28" s="350">
        <f>SUM(G26:G27)</f>
        <v>396341.76000000001</v>
      </c>
    </row>
    <row r="30" spans="1:12" x14ac:dyDescent="0.3">
      <c r="F30" s="349" t="s">
        <v>130</v>
      </c>
      <c r="G30" s="350">
        <f>SUMIFS(G3:G17, I3:I17, "*Ready*Dispatch*")</f>
        <v>251433.71</v>
      </c>
    </row>
    <row r="33" spans="1:1" x14ac:dyDescent="0.3">
      <c r="A33" s="354" t="s">
        <v>353</v>
      </c>
    </row>
    <row r="34" spans="1:1" x14ac:dyDescent="0.3">
      <c r="A34" s="354" t="s">
        <v>132</v>
      </c>
    </row>
  </sheetData>
  <pageMargins left="0.25" right="0.25" top="0.75" bottom="0.75" header="0.3" footer="0.3"/>
  <pageSetup fitToHeight="0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1:L31"/>
  <sheetViews>
    <sheetView zoomScale="80" zoomScaleNormal="80" workbookViewId="0">
      <pane xSplit="4" ySplit="2" topLeftCell="E3" activePane="bottomRight" state="frozen"/>
      <selection activeCell="D19" sqref="D19"/>
      <selection pane="topRight" activeCell="D19" sqref="D19"/>
      <selection pane="bottomLeft" activeCell="D19" sqref="D19"/>
      <selection pane="bottomRight" activeCell="G3" sqref="G3"/>
    </sheetView>
  </sheetViews>
  <sheetFormatPr defaultRowHeight="14.4" x14ac:dyDescent="0.3"/>
  <cols>
    <col min="1" max="2" width="10.5546875" bestFit="1" customWidth="1"/>
    <col min="3" max="3" width="11.33203125" style="23" bestFit="1" customWidth="1"/>
    <col min="4" max="4" width="12" customWidth="1"/>
    <col min="5" max="5" width="20" customWidth="1"/>
    <col min="6" max="6" width="30" customWidth="1"/>
    <col min="7" max="7" width="15" style="24" customWidth="1"/>
    <col min="8" max="8" width="9.109375" bestFit="1" customWidth="1"/>
    <col min="9" max="9" width="15" customWidth="1"/>
    <col min="10" max="10" width="23.33203125" customWidth="1"/>
    <col min="11" max="11" width="50" customWidth="1"/>
    <col min="12" max="12" width="12" customWidth="1"/>
  </cols>
  <sheetData>
    <row r="1" spans="1:12" ht="18" customHeight="1" x14ac:dyDescent="0.35">
      <c r="A1" s="474" t="s">
        <v>0</v>
      </c>
      <c r="B1" s="452"/>
      <c r="C1" s="452"/>
      <c r="D1" s="452"/>
      <c r="K1" s="355">
        <f ca="1">TODAY()</f>
        <v>46233</v>
      </c>
    </row>
    <row r="2" spans="1:12" ht="43.2" customHeight="1" x14ac:dyDescent="0.3">
      <c r="A2" s="356" t="s">
        <v>1</v>
      </c>
      <c r="B2" s="356" t="s">
        <v>2</v>
      </c>
      <c r="C2" s="356" t="s">
        <v>3</v>
      </c>
      <c r="D2" s="356" t="s">
        <v>4</v>
      </c>
      <c r="E2" s="356" t="s">
        <v>5</v>
      </c>
      <c r="F2" s="356" t="s">
        <v>6</v>
      </c>
      <c r="G2" s="370" t="s">
        <v>7</v>
      </c>
      <c r="H2" s="356" t="s">
        <v>8</v>
      </c>
      <c r="I2" s="356" t="s">
        <v>9</v>
      </c>
      <c r="J2" s="356" t="s">
        <v>10</v>
      </c>
      <c r="K2" s="356" t="s">
        <v>11</v>
      </c>
      <c r="L2" s="356" t="s">
        <v>12</v>
      </c>
    </row>
    <row r="3" spans="1:12" ht="409.6" customHeight="1" x14ac:dyDescent="0.3">
      <c r="A3" s="357">
        <v>46142</v>
      </c>
      <c r="B3" s="357">
        <v>46227</v>
      </c>
      <c r="C3" s="358" t="s">
        <v>34</v>
      </c>
      <c r="D3" s="358" t="s">
        <v>35</v>
      </c>
      <c r="E3" s="359" t="s">
        <v>36</v>
      </c>
      <c r="F3" s="359" t="s">
        <v>37</v>
      </c>
      <c r="G3" s="376">
        <v>71433.710000000006</v>
      </c>
      <c r="H3" s="358" t="s">
        <v>38</v>
      </c>
      <c r="I3" s="358" t="s">
        <v>39</v>
      </c>
      <c r="J3" s="377" t="s">
        <v>26</v>
      </c>
      <c r="K3" s="359" t="s">
        <v>143</v>
      </c>
      <c r="L3" s="357">
        <f t="shared" ref="L3:L18" si="0">B3</f>
        <v>46227</v>
      </c>
    </row>
    <row r="4" spans="1:12" ht="115.2" customHeight="1" x14ac:dyDescent="0.3">
      <c r="A4" s="363">
        <v>46198</v>
      </c>
      <c r="B4" s="363">
        <v>46230</v>
      </c>
      <c r="C4" s="364" t="s">
        <v>21</v>
      </c>
      <c r="D4" s="364" t="s">
        <v>22</v>
      </c>
      <c r="E4" s="365" t="s">
        <v>23</v>
      </c>
      <c r="F4" s="365" t="s">
        <v>24</v>
      </c>
      <c r="G4" s="376">
        <v>13822.45</v>
      </c>
      <c r="H4" s="364" t="s">
        <v>25</v>
      </c>
      <c r="I4" s="364" t="s">
        <v>18</v>
      </c>
      <c r="J4" s="377" t="s">
        <v>26</v>
      </c>
      <c r="K4" s="365" t="s">
        <v>351</v>
      </c>
      <c r="L4" s="363">
        <f t="shared" si="0"/>
        <v>46230</v>
      </c>
    </row>
    <row r="5" spans="1:12" ht="72" customHeight="1" x14ac:dyDescent="0.3">
      <c r="A5" s="363">
        <v>46217</v>
      </c>
      <c r="B5" s="363">
        <v>46230</v>
      </c>
      <c r="C5" s="364" t="s">
        <v>28</v>
      </c>
      <c r="D5" s="364" t="s">
        <v>29</v>
      </c>
      <c r="E5" s="365" t="s">
        <v>30</v>
      </c>
      <c r="F5" s="365" t="s">
        <v>31</v>
      </c>
      <c r="G5" s="371">
        <v>21062.25</v>
      </c>
      <c r="H5" s="364" t="s">
        <v>32</v>
      </c>
      <c r="I5" s="364" t="s">
        <v>18</v>
      </c>
      <c r="J5" s="364" t="s">
        <v>19</v>
      </c>
      <c r="K5" s="365" t="s">
        <v>319</v>
      </c>
      <c r="L5" s="363">
        <f t="shared" si="0"/>
        <v>46230</v>
      </c>
    </row>
    <row r="6" spans="1:12" x14ac:dyDescent="0.3">
      <c r="A6" s="363">
        <v>46205</v>
      </c>
      <c r="B6" s="363">
        <v>46233</v>
      </c>
      <c r="C6" s="364" t="s">
        <v>13</v>
      </c>
      <c r="D6" s="364" t="s">
        <v>14</v>
      </c>
      <c r="E6" s="365" t="s">
        <v>15</v>
      </c>
      <c r="F6" s="365" t="s">
        <v>16</v>
      </c>
      <c r="G6" s="371">
        <v>70994.559999999998</v>
      </c>
      <c r="H6" s="364" t="s">
        <v>17</v>
      </c>
      <c r="I6" s="364" t="s">
        <v>18</v>
      </c>
      <c r="J6" s="364" t="s">
        <v>19</v>
      </c>
      <c r="K6" s="365" t="s">
        <v>234</v>
      </c>
      <c r="L6" s="363">
        <f t="shared" si="0"/>
        <v>46233</v>
      </c>
    </row>
    <row r="7" spans="1:12" ht="288" customHeight="1" x14ac:dyDescent="0.3">
      <c r="A7" s="363">
        <v>46224</v>
      </c>
      <c r="B7" s="363">
        <v>46233</v>
      </c>
      <c r="C7" s="364" t="s">
        <v>46</v>
      </c>
      <c r="D7" s="364" t="s">
        <v>47</v>
      </c>
      <c r="E7" s="365" t="s">
        <v>48</v>
      </c>
      <c r="F7" s="365" t="s">
        <v>49</v>
      </c>
      <c r="G7" s="371">
        <v>144705.45000000001</v>
      </c>
      <c r="H7" s="364" t="s">
        <v>17</v>
      </c>
      <c r="I7" s="364" t="s">
        <v>18</v>
      </c>
      <c r="J7" s="364" t="s">
        <v>45</v>
      </c>
      <c r="K7" s="365" t="s">
        <v>352</v>
      </c>
      <c r="L7" s="363">
        <f t="shared" si="0"/>
        <v>46233</v>
      </c>
    </row>
    <row r="8" spans="1:12" ht="28.8" customHeight="1" x14ac:dyDescent="0.3">
      <c r="A8" s="363">
        <v>46217</v>
      </c>
      <c r="B8" s="363">
        <v>46234</v>
      </c>
      <c r="C8" s="364" t="s">
        <v>40</v>
      </c>
      <c r="D8" s="364" t="s">
        <v>41</v>
      </c>
      <c r="E8" s="365" t="s">
        <v>42</v>
      </c>
      <c r="F8" s="365" t="s">
        <v>43</v>
      </c>
      <c r="G8" s="371">
        <v>71470.66</v>
      </c>
      <c r="H8" s="364" t="s">
        <v>44</v>
      </c>
      <c r="I8" s="364" t="s">
        <v>18</v>
      </c>
      <c r="J8" s="364" t="s">
        <v>45</v>
      </c>
      <c r="K8" s="365" t="s">
        <v>295</v>
      </c>
      <c r="L8" s="363">
        <f t="shared" si="0"/>
        <v>46234</v>
      </c>
    </row>
    <row r="9" spans="1:12" ht="57.6" customHeight="1" x14ac:dyDescent="0.3">
      <c r="A9" s="363">
        <v>46218</v>
      </c>
      <c r="B9" s="363">
        <v>46237</v>
      </c>
      <c r="C9" s="364" t="s">
        <v>64</v>
      </c>
      <c r="D9" s="364" t="s">
        <v>65</v>
      </c>
      <c r="E9" s="365" t="s">
        <v>66</v>
      </c>
      <c r="F9" s="365" t="s">
        <v>67</v>
      </c>
      <c r="G9" s="374">
        <v>100000</v>
      </c>
      <c r="H9" s="364" t="s">
        <v>32</v>
      </c>
      <c r="I9" s="364" t="s">
        <v>18</v>
      </c>
      <c r="J9" s="375" t="s">
        <v>26</v>
      </c>
      <c r="K9" s="365" t="s">
        <v>320</v>
      </c>
      <c r="L9" s="363">
        <f t="shared" si="0"/>
        <v>46237</v>
      </c>
    </row>
    <row r="10" spans="1:12" x14ac:dyDescent="0.3">
      <c r="A10" s="363">
        <v>46171</v>
      </c>
      <c r="B10" s="363">
        <v>46239</v>
      </c>
      <c r="C10" s="364" t="s">
        <v>68</v>
      </c>
      <c r="D10" s="364" t="s">
        <v>69</v>
      </c>
      <c r="E10" s="365" t="s">
        <v>70</v>
      </c>
      <c r="F10" s="365" t="s">
        <v>71</v>
      </c>
      <c r="G10" s="371">
        <v>18400</v>
      </c>
      <c r="H10" s="364" t="s">
        <v>72</v>
      </c>
      <c r="I10" s="364" t="s">
        <v>18</v>
      </c>
      <c r="J10" s="364" t="s">
        <v>19</v>
      </c>
      <c r="K10" s="365" t="s">
        <v>185</v>
      </c>
      <c r="L10" s="363">
        <f t="shared" si="0"/>
        <v>46239</v>
      </c>
    </row>
    <row r="11" spans="1:12" ht="28.8" customHeight="1" x14ac:dyDescent="0.3">
      <c r="A11" s="363">
        <v>46185</v>
      </c>
      <c r="B11" s="363">
        <v>46253</v>
      </c>
      <c r="C11" s="364" t="s">
        <v>82</v>
      </c>
      <c r="D11" s="364" t="s">
        <v>83</v>
      </c>
      <c r="E11" s="365" t="s">
        <v>84</v>
      </c>
      <c r="F11" s="365" t="s">
        <v>85</v>
      </c>
      <c r="G11" s="371">
        <v>109947.56</v>
      </c>
      <c r="H11" s="364" t="s">
        <v>86</v>
      </c>
      <c r="I11" s="364" t="s">
        <v>18</v>
      </c>
      <c r="J11" s="364" t="s">
        <v>45</v>
      </c>
      <c r="K11" s="365" t="s">
        <v>168</v>
      </c>
      <c r="L11" s="363">
        <f t="shared" si="0"/>
        <v>46253</v>
      </c>
    </row>
    <row r="12" spans="1:12" x14ac:dyDescent="0.3">
      <c r="A12" s="360">
        <v>46111</v>
      </c>
      <c r="B12" s="360">
        <v>46234</v>
      </c>
      <c r="C12" s="361" t="s">
        <v>96</v>
      </c>
      <c r="D12" s="361" t="s">
        <v>97</v>
      </c>
      <c r="E12" s="362" t="s">
        <v>98</v>
      </c>
      <c r="F12" s="362" t="s">
        <v>99</v>
      </c>
      <c r="G12" s="372">
        <v>169353.60000000001</v>
      </c>
      <c r="H12" s="361" t="s">
        <v>72</v>
      </c>
      <c r="I12" s="361" t="s">
        <v>100</v>
      </c>
      <c r="J12" s="361"/>
      <c r="K12" s="362" t="s">
        <v>208</v>
      </c>
      <c r="L12" s="360">
        <f t="shared" si="0"/>
        <v>46234</v>
      </c>
    </row>
    <row r="13" spans="1:12" ht="158.4" customHeight="1" x14ac:dyDescent="0.3">
      <c r="A13" s="360">
        <v>46128</v>
      </c>
      <c r="B13" s="360">
        <v>46234</v>
      </c>
      <c r="C13" s="361" t="s">
        <v>100</v>
      </c>
      <c r="D13" s="361" t="s">
        <v>101</v>
      </c>
      <c r="E13" s="362" t="s">
        <v>102</v>
      </c>
      <c r="F13" s="362" t="s">
        <v>103</v>
      </c>
      <c r="G13" s="372">
        <v>82900.05</v>
      </c>
      <c r="H13" s="361" t="s">
        <v>72</v>
      </c>
      <c r="I13" s="361" t="s">
        <v>100</v>
      </c>
      <c r="J13" s="361"/>
      <c r="K13" s="362" t="s">
        <v>186</v>
      </c>
      <c r="L13" s="360">
        <f t="shared" si="0"/>
        <v>46234</v>
      </c>
    </row>
    <row r="14" spans="1:12" ht="86.4" customHeight="1" x14ac:dyDescent="0.3">
      <c r="A14" s="360">
        <v>46142</v>
      </c>
      <c r="B14" s="360">
        <v>46234</v>
      </c>
      <c r="C14" s="361" t="s">
        <v>104</v>
      </c>
      <c r="D14" s="361" t="s">
        <v>105</v>
      </c>
      <c r="E14" s="362" t="s">
        <v>106</v>
      </c>
      <c r="F14" s="362" t="s">
        <v>107</v>
      </c>
      <c r="G14" s="372">
        <v>310411</v>
      </c>
      <c r="H14" s="361" t="s">
        <v>108</v>
      </c>
      <c r="I14" s="361" t="s">
        <v>100</v>
      </c>
      <c r="J14" s="361"/>
      <c r="K14" s="362" t="s">
        <v>187</v>
      </c>
      <c r="L14" s="360">
        <f t="shared" si="0"/>
        <v>46234</v>
      </c>
    </row>
    <row r="15" spans="1:12" ht="28.8" customHeight="1" x14ac:dyDescent="0.3">
      <c r="A15" s="360">
        <v>46142</v>
      </c>
      <c r="B15" s="360">
        <v>46234</v>
      </c>
      <c r="C15" s="361" t="s">
        <v>100</v>
      </c>
      <c r="D15" s="361" t="s">
        <v>109</v>
      </c>
      <c r="E15" s="362" t="s">
        <v>110</v>
      </c>
      <c r="F15" s="362" t="s">
        <v>111</v>
      </c>
      <c r="G15" s="372">
        <v>204447</v>
      </c>
      <c r="H15" s="361" t="s">
        <v>38</v>
      </c>
      <c r="I15" s="361" t="s">
        <v>100</v>
      </c>
      <c r="J15" s="361"/>
      <c r="K15" s="362" t="s">
        <v>188</v>
      </c>
      <c r="L15" s="360">
        <f t="shared" si="0"/>
        <v>46234</v>
      </c>
    </row>
    <row r="16" spans="1:12" x14ac:dyDescent="0.3">
      <c r="A16" s="360">
        <v>46170</v>
      </c>
      <c r="B16" s="360">
        <v>46234</v>
      </c>
      <c r="C16" s="361" t="s">
        <v>100</v>
      </c>
      <c r="D16" s="361" t="s">
        <v>112</v>
      </c>
      <c r="E16" s="362" t="s">
        <v>113</v>
      </c>
      <c r="F16" s="362" t="s">
        <v>114</v>
      </c>
      <c r="G16" s="372">
        <v>1860403.01</v>
      </c>
      <c r="H16" s="361" t="s">
        <v>72</v>
      </c>
      <c r="I16" s="361" t="s">
        <v>100</v>
      </c>
      <c r="J16" s="361"/>
      <c r="K16" s="362" t="s">
        <v>189</v>
      </c>
      <c r="L16" s="360">
        <f t="shared" si="0"/>
        <v>46234</v>
      </c>
    </row>
    <row r="17" spans="1:12" ht="100.8" customHeight="1" x14ac:dyDescent="0.3">
      <c r="A17" s="360">
        <v>46226</v>
      </c>
      <c r="B17" s="360">
        <v>46241</v>
      </c>
      <c r="C17" s="361" t="s">
        <v>73</v>
      </c>
      <c r="D17" s="361" t="s">
        <v>74</v>
      </c>
      <c r="E17" s="362" t="s">
        <v>75</v>
      </c>
      <c r="F17" s="362" t="s">
        <v>63</v>
      </c>
      <c r="G17" s="372">
        <v>139178.41</v>
      </c>
      <c r="H17" s="361" t="s">
        <v>17</v>
      </c>
      <c r="I17" s="361" t="s">
        <v>100</v>
      </c>
      <c r="J17" s="361"/>
      <c r="K17" s="362" t="s">
        <v>354</v>
      </c>
      <c r="L17" s="360">
        <f t="shared" si="0"/>
        <v>46241</v>
      </c>
    </row>
    <row r="18" spans="1:12" x14ac:dyDescent="0.3">
      <c r="A18" s="360">
        <v>46226</v>
      </c>
      <c r="B18" s="360">
        <v>46255</v>
      </c>
      <c r="C18" s="361" t="s">
        <v>100</v>
      </c>
      <c r="D18" s="361" t="s">
        <v>88</v>
      </c>
      <c r="E18" s="362" t="s">
        <v>89</v>
      </c>
      <c r="F18" s="362" t="s">
        <v>90</v>
      </c>
      <c r="G18" s="372">
        <v>60438.19</v>
      </c>
      <c r="H18" s="361" t="s">
        <v>32</v>
      </c>
      <c r="I18" s="361" t="s">
        <v>100</v>
      </c>
      <c r="J18" s="361"/>
      <c r="K18" s="362" t="s">
        <v>355</v>
      </c>
      <c r="L18" s="360">
        <f t="shared" si="0"/>
        <v>46255</v>
      </c>
    </row>
    <row r="19" spans="1:12" x14ac:dyDescent="0.3">
      <c r="F19" s="366" t="s">
        <v>118</v>
      </c>
      <c r="G19" s="373">
        <f>SUMIF(I3:I18,"&lt;&gt;Pending",G3:G18)</f>
        <v>621836.64000000013</v>
      </c>
    </row>
    <row r="21" spans="1:12" x14ac:dyDescent="0.3">
      <c r="F21" s="367" t="s">
        <v>119</v>
      </c>
    </row>
    <row r="22" spans="1:12" x14ac:dyDescent="0.3">
      <c r="F22" t="s">
        <v>120</v>
      </c>
      <c r="G22" s="24">
        <f ca="1">SUMIFS(G3:G18, J3:J18, "*CASH SALE*", L3:L18, "&gt;="&amp;EOMONTH(TODAY(),-1)+1, L3:L18, "&lt;="&amp;EOMONTH(TODAY(),0), I3:I18, "&lt;&gt;Pending")</f>
        <v>301432.27</v>
      </c>
      <c r="I22" t="s">
        <v>121</v>
      </c>
      <c r="J22" s="24">
        <f ca="1">SUMIFS(G3:G18, J3:J18, "*CASH SALE*", L3:L18, "&gt;="&amp;EOMONTH(TODAY(),0)+1, L3:L18, "&lt;="&amp;EOMONTH(TODAY(),1), I3:I18, "&lt;&gt;Pending")</f>
        <v>209947.56</v>
      </c>
    </row>
    <row r="23" spans="1:12" x14ac:dyDescent="0.3">
      <c r="F23" t="s">
        <v>122</v>
      </c>
      <c r="G23" s="24">
        <f ca="1">SUMIFS(G3:G18, J3:J18, "*ACCOUNT*", L3:L18, "&gt;="&amp;EOMONTH(TODAY(),-1)+1, L3:L18, "&lt;="&amp;EOMONTH(TODAY(),0), I3:I18, "&lt;&gt;Pending")</f>
        <v>92056.81</v>
      </c>
      <c r="I23" t="s">
        <v>123</v>
      </c>
      <c r="J23" s="24">
        <f ca="1">SUMIFS(G3:G18, J3:J18, "*ACCOUNT*", L3:L18, "&gt;="&amp;EOMONTH(TODAY(),0)+1, L3:L18, "&lt;="&amp;EOMONTH(TODAY(),1), I3:I18, "&lt;&gt;Pending")</f>
        <v>18400</v>
      </c>
    </row>
    <row r="25" spans="1:12" ht="28.8" customHeight="1" x14ac:dyDescent="0.3">
      <c r="A25" s="356" t="s">
        <v>1</v>
      </c>
      <c r="B25" s="356" t="s">
        <v>2</v>
      </c>
      <c r="C25" s="356" t="s">
        <v>3</v>
      </c>
      <c r="D25" s="356" t="s">
        <v>4</v>
      </c>
      <c r="E25" s="356" t="s">
        <v>5</v>
      </c>
      <c r="F25" s="356" t="s">
        <v>6</v>
      </c>
      <c r="G25" s="370" t="s">
        <v>7</v>
      </c>
      <c r="H25" s="356" t="s">
        <v>8</v>
      </c>
      <c r="I25" s="356" t="s">
        <v>9</v>
      </c>
      <c r="J25" s="356" t="s">
        <v>10</v>
      </c>
      <c r="K25" s="356" t="s">
        <v>124</v>
      </c>
    </row>
    <row r="26" spans="1:12" x14ac:dyDescent="0.3">
      <c r="A26" s="368">
        <v>46142</v>
      </c>
      <c r="B26" s="368">
        <v>46227.348742546303</v>
      </c>
      <c r="C26" s="364" t="s">
        <v>34</v>
      </c>
      <c r="D26" s="369" t="s">
        <v>35</v>
      </c>
      <c r="E26" s="369" t="s">
        <v>36</v>
      </c>
      <c r="F26" s="369" t="s">
        <v>37</v>
      </c>
      <c r="G26" s="371">
        <v>251433.71</v>
      </c>
      <c r="H26" s="369" t="s">
        <v>38</v>
      </c>
      <c r="I26" s="369" t="s">
        <v>39</v>
      </c>
      <c r="J26" s="369" t="s">
        <v>128</v>
      </c>
      <c r="K26" s="365"/>
    </row>
    <row r="27" spans="1:12" x14ac:dyDescent="0.3">
      <c r="F27" s="366" t="s">
        <v>129</v>
      </c>
      <c r="G27" s="373">
        <f>SUM(G26:G26)</f>
        <v>251433.71</v>
      </c>
    </row>
    <row r="29" spans="1:12" x14ac:dyDescent="0.3">
      <c r="F29" s="366" t="s">
        <v>130</v>
      </c>
      <c r="G29" s="373">
        <f>SUMIFS(G3:G18, I3:I18, "*Ready*Dispatch*")</f>
        <v>71433.710000000006</v>
      </c>
    </row>
    <row r="30" spans="1:12" x14ac:dyDescent="0.3">
      <c r="A30" s="475" t="s">
        <v>356</v>
      </c>
      <c r="B30" s="456"/>
      <c r="C30" s="454"/>
      <c r="D30" s="456"/>
    </row>
    <row r="31" spans="1:12" x14ac:dyDescent="0.3">
      <c r="A31" s="475" t="s">
        <v>132</v>
      </c>
      <c r="B31" s="456"/>
      <c r="C31" s="454"/>
      <c r="D31" s="456"/>
    </row>
  </sheetData>
  <mergeCells count="3">
    <mergeCell ref="A1:D1"/>
    <mergeCell ref="A31:D31"/>
    <mergeCell ref="A30:D30"/>
  </mergeCells>
  <pageMargins left="0.25" right="0.25" top="0.75" bottom="0.75" header="0.3" footer="0.3"/>
  <pageSetup fitToHeight="0" orientation="landscape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1:L37"/>
  <sheetViews>
    <sheetView zoomScale="85" zoomScaleNormal="85" workbookViewId="0">
      <pane xSplit="4" ySplit="2" topLeftCell="E8" activePane="bottomRight" state="frozen"/>
      <selection activeCell="E20" sqref="E20"/>
      <selection pane="topRight" activeCell="E20" sqref="E20"/>
      <selection pane="bottomLeft" activeCell="E20" sqref="E20"/>
      <selection pane="bottomRight" activeCell="H1" sqref="H1:H1048576"/>
    </sheetView>
  </sheetViews>
  <sheetFormatPr defaultRowHeight="14.4" x14ac:dyDescent="0.3"/>
  <cols>
    <col min="1" max="2" width="12" customWidth="1"/>
    <col min="3" max="3" width="15" customWidth="1"/>
    <col min="4" max="4" width="12" customWidth="1"/>
    <col min="5" max="5" width="20" customWidth="1"/>
    <col min="6" max="6" width="30" customWidth="1"/>
    <col min="7" max="7" width="15" style="24" customWidth="1"/>
    <col min="8" max="8" width="9.21875" style="23" bestFit="1" customWidth="1"/>
    <col min="9" max="9" width="15" customWidth="1"/>
    <col min="10" max="10" width="23.33203125" customWidth="1"/>
    <col min="11" max="11" width="50" customWidth="1"/>
    <col min="12" max="12" width="12" customWidth="1"/>
  </cols>
  <sheetData>
    <row r="1" spans="1:12" ht="18" customHeight="1" x14ac:dyDescent="0.35">
      <c r="A1" s="476" t="s">
        <v>0</v>
      </c>
      <c r="B1" s="452"/>
      <c r="C1" s="452"/>
      <c r="D1" s="452"/>
      <c r="K1" s="378">
        <f ca="1">TODAY()</f>
        <v>46233</v>
      </c>
    </row>
    <row r="2" spans="1:12" ht="43.2" customHeight="1" x14ac:dyDescent="0.3">
      <c r="A2" s="379" t="s">
        <v>1</v>
      </c>
      <c r="B2" s="379" t="s">
        <v>2</v>
      </c>
      <c r="C2" s="379" t="s">
        <v>3</v>
      </c>
      <c r="D2" s="379" t="s">
        <v>4</v>
      </c>
      <c r="E2" s="379" t="s">
        <v>5</v>
      </c>
      <c r="F2" s="379" t="s">
        <v>6</v>
      </c>
      <c r="G2" s="397" t="s">
        <v>7</v>
      </c>
      <c r="H2" s="379" t="s">
        <v>8</v>
      </c>
      <c r="I2" s="379" t="s">
        <v>9</v>
      </c>
      <c r="J2" s="379" t="s">
        <v>10</v>
      </c>
      <c r="K2" s="379" t="s">
        <v>11</v>
      </c>
      <c r="L2" s="379" t="s">
        <v>12</v>
      </c>
    </row>
    <row r="3" spans="1:12" ht="43.2" customHeight="1" x14ac:dyDescent="0.3">
      <c r="A3" s="383">
        <v>46227</v>
      </c>
      <c r="B3" s="383">
        <v>46230.336114594909</v>
      </c>
      <c r="C3" s="384" t="s">
        <v>115</v>
      </c>
      <c r="D3" s="384" t="s">
        <v>116</v>
      </c>
      <c r="E3" s="385" t="s">
        <v>115</v>
      </c>
      <c r="F3" s="385" t="s">
        <v>117</v>
      </c>
      <c r="G3" s="398">
        <v>27284.9</v>
      </c>
      <c r="H3" s="384" t="s">
        <v>32</v>
      </c>
      <c r="I3" s="384" t="s">
        <v>100</v>
      </c>
      <c r="J3" s="384"/>
      <c r="K3" s="385" t="s">
        <v>357</v>
      </c>
      <c r="L3" s="383">
        <f t="shared" ref="L3:L21" si="0">B3</f>
        <v>46230.336114594909</v>
      </c>
    </row>
    <row r="4" spans="1:12" ht="409.6" customHeight="1" x14ac:dyDescent="0.3">
      <c r="A4" s="380">
        <v>46142</v>
      </c>
      <c r="B4" s="380">
        <v>46230.336114594909</v>
      </c>
      <c r="C4" s="381" t="s">
        <v>34</v>
      </c>
      <c r="D4" s="381" t="s">
        <v>35</v>
      </c>
      <c r="E4" s="382" t="s">
        <v>36</v>
      </c>
      <c r="F4" s="382" t="s">
        <v>37</v>
      </c>
      <c r="G4" s="399">
        <v>71433.710000000006</v>
      </c>
      <c r="H4" s="381" t="s">
        <v>38</v>
      </c>
      <c r="I4" s="381" t="s">
        <v>39</v>
      </c>
      <c r="J4" s="396" t="s">
        <v>26</v>
      </c>
      <c r="K4" s="382" t="s">
        <v>143</v>
      </c>
      <c r="L4" s="380">
        <f t="shared" si="0"/>
        <v>46230.336114594909</v>
      </c>
    </row>
    <row r="5" spans="1:12" ht="115.2" customHeight="1" x14ac:dyDescent="0.3">
      <c r="A5" s="386">
        <v>46198</v>
      </c>
      <c r="B5" s="386">
        <v>46231</v>
      </c>
      <c r="C5" s="387" t="s">
        <v>21</v>
      </c>
      <c r="D5" s="387" t="s">
        <v>22</v>
      </c>
      <c r="E5" s="388" t="s">
        <v>23</v>
      </c>
      <c r="F5" s="388" t="s">
        <v>24</v>
      </c>
      <c r="G5" s="400">
        <v>13822.45</v>
      </c>
      <c r="H5" s="387" t="s">
        <v>25</v>
      </c>
      <c r="I5" s="387" t="s">
        <v>18</v>
      </c>
      <c r="J5" s="395" t="s">
        <v>26</v>
      </c>
      <c r="K5" s="388" t="s">
        <v>351</v>
      </c>
      <c r="L5" s="386">
        <f t="shared" si="0"/>
        <v>46231</v>
      </c>
    </row>
    <row r="6" spans="1:12" ht="72" customHeight="1" x14ac:dyDescent="0.3">
      <c r="A6" s="386">
        <v>46217</v>
      </c>
      <c r="B6" s="386">
        <v>46231</v>
      </c>
      <c r="C6" s="387" t="s">
        <v>28</v>
      </c>
      <c r="D6" s="387" t="s">
        <v>29</v>
      </c>
      <c r="E6" s="388" t="s">
        <v>30</v>
      </c>
      <c r="F6" s="388" t="s">
        <v>31</v>
      </c>
      <c r="G6" s="401">
        <v>21062.25</v>
      </c>
      <c r="H6" s="387" t="s">
        <v>32</v>
      </c>
      <c r="I6" s="387" t="s">
        <v>18</v>
      </c>
      <c r="J6" s="387" t="s">
        <v>19</v>
      </c>
      <c r="K6" s="388" t="s">
        <v>319</v>
      </c>
      <c r="L6" s="386">
        <f t="shared" si="0"/>
        <v>46231</v>
      </c>
    </row>
    <row r="7" spans="1:12" x14ac:dyDescent="0.3">
      <c r="A7" s="386">
        <v>46205</v>
      </c>
      <c r="B7" s="386">
        <v>46232</v>
      </c>
      <c r="C7" s="387" t="s">
        <v>13</v>
      </c>
      <c r="D7" s="387" t="s">
        <v>14</v>
      </c>
      <c r="E7" s="388" t="s">
        <v>15</v>
      </c>
      <c r="F7" s="388" t="s">
        <v>16</v>
      </c>
      <c r="G7" s="401">
        <v>70994.559999999998</v>
      </c>
      <c r="H7" s="387" t="s">
        <v>17</v>
      </c>
      <c r="I7" s="387" t="s">
        <v>18</v>
      </c>
      <c r="J7" s="387" t="s">
        <v>19</v>
      </c>
      <c r="K7" s="388" t="s">
        <v>234</v>
      </c>
      <c r="L7" s="386">
        <f t="shared" si="0"/>
        <v>46232</v>
      </c>
    </row>
    <row r="8" spans="1:12" ht="295.8" customHeight="1" x14ac:dyDescent="0.3">
      <c r="A8" s="386">
        <v>46224</v>
      </c>
      <c r="B8" s="386">
        <v>46233</v>
      </c>
      <c r="C8" s="387" t="s">
        <v>46</v>
      </c>
      <c r="D8" s="387" t="s">
        <v>47</v>
      </c>
      <c r="E8" s="388" t="s">
        <v>48</v>
      </c>
      <c r="F8" s="388" t="s">
        <v>49</v>
      </c>
      <c r="G8" s="401">
        <v>144705.45000000001</v>
      </c>
      <c r="H8" s="387" t="s">
        <v>17</v>
      </c>
      <c r="I8" s="387" t="s">
        <v>18</v>
      </c>
      <c r="J8" s="387" t="s">
        <v>45</v>
      </c>
      <c r="K8" s="388" t="s">
        <v>352</v>
      </c>
      <c r="L8" s="386">
        <f t="shared" si="0"/>
        <v>46233</v>
      </c>
    </row>
    <row r="9" spans="1:12" ht="28.8" customHeight="1" x14ac:dyDescent="0.3">
      <c r="A9" s="386">
        <v>46217</v>
      </c>
      <c r="B9" s="386">
        <v>46234</v>
      </c>
      <c r="C9" s="387" t="s">
        <v>40</v>
      </c>
      <c r="D9" s="387" t="s">
        <v>41</v>
      </c>
      <c r="E9" s="388" t="s">
        <v>42</v>
      </c>
      <c r="F9" s="388" t="s">
        <v>43</v>
      </c>
      <c r="G9" s="401">
        <v>71470.66</v>
      </c>
      <c r="H9" s="387" t="s">
        <v>44</v>
      </c>
      <c r="I9" s="387" t="s">
        <v>18</v>
      </c>
      <c r="J9" s="387" t="s">
        <v>45</v>
      </c>
      <c r="K9" s="388" t="s">
        <v>295</v>
      </c>
      <c r="L9" s="386">
        <f t="shared" si="0"/>
        <v>46234</v>
      </c>
    </row>
    <row r="10" spans="1:12" x14ac:dyDescent="0.3">
      <c r="A10" s="383">
        <v>46227</v>
      </c>
      <c r="B10" s="383">
        <v>46234</v>
      </c>
      <c r="C10" s="384" t="s">
        <v>51</v>
      </c>
      <c r="D10" s="384" t="s">
        <v>52</v>
      </c>
      <c r="E10" s="385" t="s">
        <v>51</v>
      </c>
      <c r="F10" s="385" t="s">
        <v>53</v>
      </c>
      <c r="G10" s="398">
        <v>3893.9</v>
      </c>
      <c r="H10" s="384" t="s">
        <v>38</v>
      </c>
      <c r="I10" s="384" t="s">
        <v>100</v>
      </c>
      <c r="J10" s="384"/>
      <c r="K10" s="385" t="s">
        <v>358</v>
      </c>
      <c r="L10" s="383">
        <f t="shared" si="0"/>
        <v>46234</v>
      </c>
    </row>
    <row r="11" spans="1:12" ht="57.6" customHeight="1" x14ac:dyDescent="0.3">
      <c r="A11" s="386">
        <v>46218</v>
      </c>
      <c r="B11" s="386">
        <v>46237</v>
      </c>
      <c r="C11" s="387" t="s">
        <v>64</v>
      </c>
      <c r="D11" s="387" t="s">
        <v>65</v>
      </c>
      <c r="E11" s="388" t="s">
        <v>66</v>
      </c>
      <c r="F11" s="388" t="s">
        <v>67</v>
      </c>
      <c r="G11" s="400">
        <v>100000</v>
      </c>
      <c r="H11" s="387" t="s">
        <v>32</v>
      </c>
      <c r="I11" s="387" t="s">
        <v>18</v>
      </c>
      <c r="J11" s="395" t="s">
        <v>26</v>
      </c>
      <c r="K11" s="388" t="s">
        <v>320</v>
      </c>
      <c r="L11" s="386">
        <f t="shared" si="0"/>
        <v>46237</v>
      </c>
    </row>
    <row r="12" spans="1:12" x14ac:dyDescent="0.3">
      <c r="A12" s="386">
        <v>46171</v>
      </c>
      <c r="B12" s="386">
        <v>46239</v>
      </c>
      <c r="C12" s="387" t="s">
        <v>68</v>
      </c>
      <c r="D12" s="387" t="s">
        <v>69</v>
      </c>
      <c r="E12" s="388" t="s">
        <v>70</v>
      </c>
      <c r="F12" s="388" t="s">
        <v>71</v>
      </c>
      <c r="G12" s="401">
        <v>18400</v>
      </c>
      <c r="H12" s="387" t="s">
        <v>72</v>
      </c>
      <c r="I12" s="387" t="s">
        <v>18</v>
      </c>
      <c r="J12" s="387" t="s">
        <v>19</v>
      </c>
      <c r="K12" s="388" t="s">
        <v>185</v>
      </c>
      <c r="L12" s="386">
        <f t="shared" si="0"/>
        <v>46239</v>
      </c>
    </row>
    <row r="13" spans="1:12" ht="100.8" customHeight="1" x14ac:dyDescent="0.3">
      <c r="A13" s="383">
        <v>46226</v>
      </c>
      <c r="B13" s="383">
        <v>46241</v>
      </c>
      <c r="C13" s="384" t="s">
        <v>73</v>
      </c>
      <c r="D13" s="384" t="s">
        <v>74</v>
      </c>
      <c r="E13" s="385" t="s">
        <v>75</v>
      </c>
      <c r="F13" s="385" t="s">
        <v>63</v>
      </c>
      <c r="G13" s="398">
        <v>139178.41</v>
      </c>
      <c r="H13" s="384" t="s">
        <v>17</v>
      </c>
      <c r="I13" s="384" t="s">
        <v>100</v>
      </c>
      <c r="J13" s="384"/>
      <c r="K13" s="385" t="s">
        <v>354</v>
      </c>
      <c r="L13" s="383">
        <f t="shared" si="0"/>
        <v>46241</v>
      </c>
    </row>
    <row r="14" spans="1:12" ht="28.8" customHeight="1" x14ac:dyDescent="0.3">
      <c r="A14" s="386">
        <v>46185</v>
      </c>
      <c r="B14" s="386">
        <v>46253</v>
      </c>
      <c r="C14" s="387" t="s">
        <v>82</v>
      </c>
      <c r="D14" s="387" t="s">
        <v>83</v>
      </c>
      <c r="E14" s="388" t="s">
        <v>84</v>
      </c>
      <c r="F14" s="388" t="s">
        <v>85</v>
      </c>
      <c r="G14" s="401">
        <v>109947.56</v>
      </c>
      <c r="H14" s="387" t="s">
        <v>86</v>
      </c>
      <c r="I14" s="387" t="s">
        <v>18</v>
      </c>
      <c r="J14" s="387" t="s">
        <v>45</v>
      </c>
      <c r="K14" s="388" t="s">
        <v>168</v>
      </c>
      <c r="L14" s="386">
        <f t="shared" si="0"/>
        <v>46253</v>
      </c>
    </row>
    <row r="15" spans="1:12" x14ac:dyDescent="0.3">
      <c r="A15" s="383">
        <v>46226</v>
      </c>
      <c r="B15" s="383">
        <v>46255</v>
      </c>
      <c r="C15" s="384" t="s">
        <v>100</v>
      </c>
      <c r="D15" s="384" t="s">
        <v>88</v>
      </c>
      <c r="E15" s="385" t="s">
        <v>89</v>
      </c>
      <c r="F15" s="385" t="s">
        <v>90</v>
      </c>
      <c r="G15" s="398">
        <v>60438.19</v>
      </c>
      <c r="H15" s="384" t="s">
        <v>32</v>
      </c>
      <c r="I15" s="384" t="s">
        <v>100</v>
      </c>
      <c r="J15" s="384"/>
      <c r="K15" s="385" t="s">
        <v>359</v>
      </c>
      <c r="L15" s="383">
        <f t="shared" si="0"/>
        <v>46255</v>
      </c>
    </row>
    <row r="16" spans="1:12" x14ac:dyDescent="0.3">
      <c r="A16" s="383">
        <v>46227</v>
      </c>
      <c r="B16" s="383">
        <v>46264</v>
      </c>
      <c r="C16" s="384" t="s">
        <v>91</v>
      </c>
      <c r="D16" s="384" t="s">
        <v>92</v>
      </c>
      <c r="E16" s="385" t="s">
        <v>93</v>
      </c>
      <c r="F16" s="385" t="s">
        <v>94</v>
      </c>
      <c r="G16" s="398">
        <v>229107.6</v>
      </c>
      <c r="H16" s="384" t="s">
        <v>86</v>
      </c>
      <c r="I16" s="384" t="s">
        <v>100</v>
      </c>
      <c r="J16" s="384"/>
      <c r="K16" s="385" t="s">
        <v>360</v>
      </c>
      <c r="L16" s="383">
        <f t="shared" si="0"/>
        <v>46264</v>
      </c>
    </row>
    <row r="17" spans="1:12" x14ac:dyDescent="0.3">
      <c r="A17" s="383">
        <v>46111</v>
      </c>
      <c r="B17" s="383">
        <v>46265</v>
      </c>
      <c r="C17" s="384" t="s">
        <v>96</v>
      </c>
      <c r="D17" s="384" t="s">
        <v>97</v>
      </c>
      <c r="E17" s="385" t="s">
        <v>98</v>
      </c>
      <c r="F17" s="385" t="s">
        <v>99</v>
      </c>
      <c r="G17" s="398">
        <v>169353.60000000001</v>
      </c>
      <c r="H17" s="384" t="s">
        <v>72</v>
      </c>
      <c r="I17" s="384" t="s">
        <v>100</v>
      </c>
      <c r="J17" s="384"/>
      <c r="K17" s="385" t="s">
        <v>208</v>
      </c>
      <c r="L17" s="383">
        <f t="shared" si="0"/>
        <v>46265</v>
      </c>
    </row>
    <row r="18" spans="1:12" ht="158.4" customHeight="1" x14ac:dyDescent="0.3">
      <c r="A18" s="383">
        <v>46128</v>
      </c>
      <c r="B18" s="383">
        <v>46265</v>
      </c>
      <c r="C18" s="384" t="s">
        <v>100</v>
      </c>
      <c r="D18" s="384" t="s">
        <v>101</v>
      </c>
      <c r="E18" s="385" t="s">
        <v>102</v>
      </c>
      <c r="F18" s="385" t="s">
        <v>103</v>
      </c>
      <c r="G18" s="398">
        <v>82900.05</v>
      </c>
      <c r="H18" s="384" t="s">
        <v>72</v>
      </c>
      <c r="I18" s="384" t="s">
        <v>100</v>
      </c>
      <c r="J18" s="384"/>
      <c r="K18" s="385" t="s">
        <v>186</v>
      </c>
      <c r="L18" s="383">
        <f t="shared" si="0"/>
        <v>46265</v>
      </c>
    </row>
    <row r="19" spans="1:12" ht="86.4" customHeight="1" x14ac:dyDescent="0.3">
      <c r="A19" s="383">
        <v>46142</v>
      </c>
      <c r="B19" s="383">
        <v>46265</v>
      </c>
      <c r="C19" s="384" t="s">
        <v>104</v>
      </c>
      <c r="D19" s="384" t="s">
        <v>105</v>
      </c>
      <c r="E19" s="385" t="s">
        <v>106</v>
      </c>
      <c r="F19" s="385" t="s">
        <v>107</v>
      </c>
      <c r="G19" s="398">
        <v>310411</v>
      </c>
      <c r="H19" s="384" t="s">
        <v>108</v>
      </c>
      <c r="I19" s="384" t="s">
        <v>100</v>
      </c>
      <c r="J19" s="384"/>
      <c r="K19" s="385" t="s">
        <v>187</v>
      </c>
      <c r="L19" s="383">
        <f t="shared" si="0"/>
        <v>46265</v>
      </c>
    </row>
    <row r="20" spans="1:12" ht="28.8" customHeight="1" x14ac:dyDescent="0.3">
      <c r="A20" s="383">
        <v>46142</v>
      </c>
      <c r="B20" s="383">
        <v>46265</v>
      </c>
      <c r="C20" s="384" t="s">
        <v>100</v>
      </c>
      <c r="D20" s="384" t="s">
        <v>109</v>
      </c>
      <c r="E20" s="385" t="s">
        <v>110</v>
      </c>
      <c r="F20" s="385" t="s">
        <v>111</v>
      </c>
      <c r="G20" s="398">
        <v>204447</v>
      </c>
      <c r="H20" s="384" t="s">
        <v>38</v>
      </c>
      <c r="I20" s="384" t="s">
        <v>100</v>
      </c>
      <c r="J20" s="384"/>
      <c r="K20" s="385" t="s">
        <v>188</v>
      </c>
      <c r="L20" s="383">
        <f t="shared" si="0"/>
        <v>46265</v>
      </c>
    </row>
    <row r="21" spans="1:12" x14ac:dyDescent="0.3">
      <c r="A21" s="383">
        <v>46170</v>
      </c>
      <c r="B21" s="383">
        <v>46265</v>
      </c>
      <c r="C21" s="384" t="s">
        <v>100</v>
      </c>
      <c r="D21" s="384" t="s">
        <v>112</v>
      </c>
      <c r="E21" s="385" t="s">
        <v>113</v>
      </c>
      <c r="F21" s="385" t="s">
        <v>114</v>
      </c>
      <c r="G21" s="398">
        <v>1860403.01</v>
      </c>
      <c r="H21" s="384" t="s">
        <v>72</v>
      </c>
      <c r="I21" s="384" t="s">
        <v>100</v>
      </c>
      <c r="J21" s="384"/>
      <c r="K21" s="385" t="s">
        <v>189</v>
      </c>
      <c r="L21" s="383">
        <f t="shared" si="0"/>
        <v>46265</v>
      </c>
    </row>
    <row r="22" spans="1:12" x14ac:dyDescent="0.3">
      <c r="F22" s="389" t="s">
        <v>118</v>
      </c>
      <c r="G22" s="402">
        <f>SUMIF(I3:I21,"&lt;&gt;Pending",G3:G21)</f>
        <v>621836.64000000013</v>
      </c>
    </row>
    <row r="24" spans="1:12" x14ac:dyDescent="0.3">
      <c r="F24" s="390" t="s">
        <v>119</v>
      </c>
    </row>
    <row r="25" spans="1:12" x14ac:dyDescent="0.3">
      <c r="F25" t="s">
        <v>120</v>
      </c>
      <c r="G25" s="24">
        <f ca="1">SUMIFS(G3:G21, J3:J21, "*CASH SALE*", L3:L21, "&gt;="&amp;EOMONTH(TODAY(),-1)+1, L3:L21, "&lt;="&amp;EOMONTH(TODAY(),0), I3:I21, "&lt;&gt;Pending")</f>
        <v>301432.27</v>
      </c>
      <c r="I25" t="s">
        <v>121</v>
      </c>
      <c r="J25" s="19">
        <f ca="1">SUMIFS(G3:G21, J3:J21, "*CASH SALE*", L3:L21, "&gt;="&amp;EOMONTH(TODAY(),0)+1, L3:L21, "&lt;="&amp;EOMONTH(TODAY(),1), I3:I21, "&lt;&gt;Pending")</f>
        <v>209947.56</v>
      </c>
    </row>
    <row r="26" spans="1:12" x14ac:dyDescent="0.3">
      <c r="F26" t="s">
        <v>122</v>
      </c>
      <c r="G26" s="24">
        <f ca="1">SUMIFS(G3:G21, J3:J21, "*ACCOUNT*", L3:L21, "&gt;="&amp;EOMONTH(TODAY(),-1)+1, L3:L21, "&lt;="&amp;EOMONTH(TODAY(),0), I3:I21, "&lt;&gt;Pending")</f>
        <v>92056.81</v>
      </c>
      <c r="I26" t="s">
        <v>123</v>
      </c>
      <c r="J26" s="19">
        <f ca="1">SUMIFS(G3:G21, J3:J21, "*ACCOUNT*", L3:L21, "&gt;="&amp;EOMONTH(TODAY(),0)+1, L3:L21, "&lt;="&amp;EOMONTH(TODAY(),1), I3:I21, "&lt;&gt;Pending")</f>
        <v>18400</v>
      </c>
    </row>
    <row r="28" spans="1:12" ht="28.8" customHeight="1" x14ac:dyDescent="0.3">
      <c r="A28" s="379" t="s">
        <v>1</v>
      </c>
      <c r="B28" s="379" t="s">
        <v>2</v>
      </c>
      <c r="C28" s="379" t="s">
        <v>3</v>
      </c>
      <c r="D28" s="379" t="s">
        <v>4</v>
      </c>
      <c r="E28" s="379" t="s">
        <v>5</v>
      </c>
      <c r="F28" s="379" t="s">
        <v>6</v>
      </c>
      <c r="G28" s="397" t="s">
        <v>7</v>
      </c>
      <c r="H28" s="379" t="s">
        <v>8</v>
      </c>
      <c r="I28" s="379" t="s">
        <v>9</v>
      </c>
      <c r="J28" s="379" t="s">
        <v>10</v>
      </c>
      <c r="K28" s="379" t="s">
        <v>124</v>
      </c>
    </row>
    <row r="29" spans="1:12" x14ac:dyDescent="0.3">
      <c r="A29" s="391">
        <v>46198</v>
      </c>
      <c r="B29" s="391">
        <v>46230.336114594909</v>
      </c>
      <c r="C29" s="392" t="s">
        <v>21</v>
      </c>
      <c r="D29" s="392" t="s">
        <v>22</v>
      </c>
      <c r="E29" s="392" t="s">
        <v>23</v>
      </c>
      <c r="F29" s="392" t="s">
        <v>24</v>
      </c>
      <c r="G29" s="401">
        <v>144908.04999999999</v>
      </c>
      <c r="H29" s="387" t="s">
        <v>25</v>
      </c>
      <c r="I29" s="392" t="s">
        <v>18</v>
      </c>
      <c r="J29" s="392" t="s">
        <v>45</v>
      </c>
      <c r="K29" s="388"/>
    </row>
    <row r="30" spans="1:12" x14ac:dyDescent="0.3">
      <c r="A30" s="391">
        <v>46217</v>
      </c>
      <c r="B30" s="391">
        <v>46230.336114594909</v>
      </c>
      <c r="C30" s="392" t="s">
        <v>28</v>
      </c>
      <c r="D30" s="392" t="s">
        <v>29</v>
      </c>
      <c r="E30" s="392" t="s">
        <v>30</v>
      </c>
      <c r="F30" s="392" t="s">
        <v>31</v>
      </c>
      <c r="G30" s="401">
        <v>21062.25</v>
      </c>
      <c r="H30" s="387" t="s">
        <v>32</v>
      </c>
      <c r="I30" s="392" t="s">
        <v>18</v>
      </c>
      <c r="J30" s="392" t="s">
        <v>19</v>
      </c>
      <c r="K30" s="388"/>
    </row>
    <row r="31" spans="1:12" x14ac:dyDescent="0.3">
      <c r="A31" s="393">
        <v>46227</v>
      </c>
      <c r="B31" s="393">
        <v>46230.336114594909</v>
      </c>
      <c r="C31" s="394" t="s">
        <v>115</v>
      </c>
      <c r="D31" s="394" t="s">
        <v>116</v>
      </c>
      <c r="E31" s="394" t="s">
        <v>115</v>
      </c>
      <c r="F31" s="394" t="s">
        <v>117</v>
      </c>
      <c r="G31" s="398">
        <v>27284.9</v>
      </c>
      <c r="H31" s="384" t="s">
        <v>32</v>
      </c>
      <c r="I31" s="394" t="s">
        <v>100</v>
      </c>
      <c r="J31" s="394"/>
      <c r="K31" s="385"/>
    </row>
    <row r="32" spans="1:12" x14ac:dyDescent="0.3">
      <c r="A32" s="391">
        <v>46142</v>
      </c>
      <c r="B32" s="391">
        <v>46230.336114594909</v>
      </c>
      <c r="C32" s="392" t="s">
        <v>34</v>
      </c>
      <c r="D32" s="392" t="s">
        <v>35</v>
      </c>
      <c r="E32" s="392" t="s">
        <v>36</v>
      </c>
      <c r="F32" s="392" t="s">
        <v>37</v>
      </c>
      <c r="G32" s="401">
        <v>251433.71</v>
      </c>
      <c r="H32" s="387" t="s">
        <v>38</v>
      </c>
      <c r="I32" s="392" t="s">
        <v>39</v>
      </c>
      <c r="J32" s="392" t="s">
        <v>128</v>
      </c>
      <c r="K32" s="388"/>
    </row>
    <row r="33" spans="1:7" x14ac:dyDescent="0.3">
      <c r="F33" s="389" t="s">
        <v>129</v>
      </c>
      <c r="G33" s="402">
        <f>SUM(G29:G32)</f>
        <v>444688.91</v>
      </c>
    </row>
    <row r="35" spans="1:7" x14ac:dyDescent="0.3">
      <c r="F35" s="389" t="s">
        <v>130</v>
      </c>
      <c r="G35" s="402">
        <f>SUMIFS(G3:G21, I3:I21, "*Ready*Dispatch*")</f>
        <v>71433.710000000006</v>
      </c>
    </row>
    <row r="36" spans="1:7" x14ac:dyDescent="0.3">
      <c r="A36" s="477" t="s">
        <v>218</v>
      </c>
      <c r="B36" s="456"/>
      <c r="C36" s="456"/>
      <c r="D36" s="456"/>
    </row>
    <row r="37" spans="1:7" x14ac:dyDescent="0.3">
      <c r="A37" s="477" t="s">
        <v>132</v>
      </c>
      <c r="B37" s="456"/>
      <c r="C37" s="456"/>
      <c r="D37" s="456"/>
    </row>
  </sheetData>
  <mergeCells count="3">
    <mergeCell ref="A1:D1"/>
    <mergeCell ref="A37:D37"/>
    <mergeCell ref="A36:D36"/>
  </mergeCells>
  <pageMargins left="0.25" right="0.25" top="0.75" bottom="0.75" header="0.3" footer="0.3"/>
  <pageSetup fitToHeight="0" orientation="landscape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1:L42"/>
  <sheetViews>
    <sheetView zoomScale="85" zoomScaleNormal="85" workbookViewId="0">
      <pane xSplit="4" ySplit="2" topLeftCell="E3" activePane="bottomRight" state="frozen"/>
      <selection activeCell="N11" sqref="N11"/>
      <selection pane="topRight" activeCell="N11" sqref="N11"/>
      <selection pane="bottomLeft" activeCell="N11" sqref="N11"/>
      <selection pane="bottomRight" activeCell="N11" sqref="N11"/>
    </sheetView>
  </sheetViews>
  <sheetFormatPr defaultRowHeight="14.4" x14ac:dyDescent="0.3"/>
  <cols>
    <col min="1" max="2" width="10.77734375" style="23" bestFit="1" customWidth="1"/>
    <col min="3" max="3" width="11.77734375" style="23" bestFit="1" customWidth="1"/>
    <col min="4" max="4" width="11.21875" style="23" bestFit="1" customWidth="1"/>
    <col min="5" max="5" width="19.33203125" bestFit="1" customWidth="1"/>
    <col min="6" max="6" width="29.33203125" bestFit="1" customWidth="1"/>
    <col min="7" max="7" width="14.44140625" style="24" bestFit="1" customWidth="1"/>
    <col min="8" max="8" width="9.21875" style="23" bestFit="1" customWidth="1"/>
    <col min="9" max="9" width="17.44140625" bestFit="1" customWidth="1"/>
    <col min="10" max="10" width="21.88671875" bestFit="1" customWidth="1"/>
    <col min="11" max="11" width="51.77734375" bestFit="1" customWidth="1"/>
    <col min="12" max="12" width="10.77734375" bestFit="1" customWidth="1"/>
  </cols>
  <sheetData>
    <row r="1" spans="1:12" ht="18" customHeight="1" x14ac:dyDescent="0.35">
      <c r="A1" s="451" t="s">
        <v>0</v>
      </c>
      <c r="B1" s="452"/>
      <c r="C1" s="452"/>
      <c r="D1" s="452"/>
      <c r="K1" s="403">
        <f ca="1">TODAY()</f>
        <v>46233</v>
      </c>
    </row>
    <row r="2" spans="1:12" ht="43.2" customHeight="1" x14ac:dyDescent="0.3">
      <c r="A2" s="404" t="s">
        <v>1</v>
      </c>
      <c r="B2" s="404" t="s">
        <v>2</v>
      </c>
      <c r="C2" s="404" t="s">
        <v>3</v>
      </c>
      <c r="D2" s="404" t="s">
        <v>4</v>
      </c>
      <c r="E2" s="404" t="s">
        <v>5</v>
      </c>
      <c r="F2" s="404" t="s">
        <v>6</v>
      </c>
      <c r="G2" s="418" t="s">
        <v>7</v>
      </c>
      <c r="H2" s="404" t="s">
        <v>8</v>
      </c>
      <c r="I2" s="404" t="s">
        <v>9</v>
      </c>
      <c r="J2" s="404" t="s">
        <v>10</v>
      </c>
      <c r="K2" s="404" t="s">
        <v>11</v>
      </c>
      <c r="L2" s="404" t="s">
        <v>12</v>
      </c>
    </row>
    <row r="3" spans="1:12" x14ac:dyDescent="0.3">
      <c r="A3" s="405">
        <v>46205</v>
      </c>
      <c r="B3" s="405">
        <v>46231</v>
      </c>
      <c r="C3" s="406" t="s">
        <v>13</v>
      </c>
      <c r="D3" s="406" t="s">
        <v>14</v>
      </c>
      <c r="E3" s="407" t="s">
        <v>15</v>
      </c>
      <c r="F3" s="407" t="s">
        <v>16</v>
      </c>
      <c r="G3" s="419">
        <v>70994.559999999998</v>
      </c>
      <c r="H3" s="406" t="s">
        <v>17</v>
      </c>
      <c r="I3" s="406" t="s">
        <v>18</v>
      </c>
      <c r="J3" s="406" t="s">
        <v>19</v>
      </c>
      <c r="K3" s="407" t="s">
        <v>20</v>
      </c>
      <c r="L3" s="405">
        <f t="shared" ref="L3:L24" si="0">B3</f>
        <v>46231</v>
      </c>
    </row>
    <row r="4" spans="1:12" x14ac:dyDescent="0.3">
      <c r="A4" s="405">
        <v>46198</v>
      </c>
      <c r="B4" s="405">
        <v>46231.3230449537</v>
      </c>
      <c r="C4" s="406" t="s">
        <v>21</v>
      </c>
      <c r="D4" s="406" t="s">
        <v>22</v>
      </c>
      <c r="E4" s="407" t="s">
        <v>23</v>
      </c>
      <c r="F4" s="407" t="s">
        <v>24</v>
      </c>
      <c r="G4" s="426">
        <v>18045.25</v>
      </c>
      <c r="H4" s="406" t="s">
        <v>25</v>
      </c>
      <c r="I4" s="406" t="s">
        <v>18</v>
      </c>
      <c r="J4" s="425" t="s">
        <v>26</v>
      </c>
      <c r="K4" s="407" t="s">
        <v>27</v>
      </c>
      <c r="L4" s="405">
        <f t="shared" si="0"/>
        <v>46231.3230449537</v>
      </c>
    </row>
    <row r="5" spans="1:12" x14ac:dyDescent="0.3">
      <c r="A5" s="411">
        <v>46217</v>
      </c>
      <c r="B5" s="411">
        <v>46232</v>
      </c>
      <c r="C5" s="412" t="s">
        <v>28</v>
      </c>
      <c r="D5" s="412" t="s">
        <v>29</v>
      </c>
      <c r="E5" s="413" t="s">
        <v>30</v>
      </c>
      <c r="F5" s="413" t="s">
        <v>31</v>
      </c>
      <c r="G5" s="421">
        <v>21062.25</v>
      </c>
      <c r="H5" s="412" t="s">
        <v>32</v>
      </c>
      <c r="I5" s="412" t="s">
        <v>18</v>
      </c>
      <c r="J5" s="412" t="s">
        <v>19</v>
      </c>
      <c r="K5" s="413" t="s">
        <v>33</v>
      </c>
      <c r="L5" s="411">
        <f t="shared" si="0"/>
        <v>46232</v>
      </c>
    </row>
    <row r="6" spans="1:12" x14ac:dyDescent="0.3">
      <c r="A6" s="411">
        <v>46142</v>
      </c>
      <c r="B6" s="411">
        <v>46234</v>
      </c>
      <c r="C6" s="412" t="s">
        <v>34</v>
      </c>
      <c r="D6" s="412" t="s">
        <v>35</v>
      </c>
      <c r="E6" s="413" t="s">
        <v>36</v>
      </c>
      <c r="F6" s="413" t="s">
        <v>37</v>
      </c>
      <c r="G6" s="423">
        <v>251433.71</v>
      </c>
      <c r="H6" s="412" t="s">
        <v>38</v>
      </c>
      <c r="I6" s="412" t="s">
        <v>39</v>
      </c>
      <c r="J6" s="424" t="s">
        <v>26</v>
      </c>
      <c r="K6" s="413"/>
      <c r="L6" s="411">
        <f t="shared" si="0"/>
        <v>46234</v>
      </c>
    </row>
    <row r="7" spans="1:12" x14ac:dyDescent="0.3">
      <c r="A7" s="411">
        <v>46217</v>
      </c>
      <c r="B7" s="411">
        <v>46234</v>
      </c>
      <c r="C7" s="412" t="s">
        <v>40</v>
      </c>
      <c r="D7" s="412" t="s">
        <v>41</v>
      </c>
      <c r="E7" s="413" t="s">
        <v>42</v>
      </c>
      <c r="F7" s="413" t="s">
        <v>43</v>
      </c>
      <c r="G7" s="421">
        <v>71470.66</v>
      </c>
      <c r="H7" s="412" t="s">
        <v>44</v>
      </c>
      <c r="I7" s="412" t="s">
        <v>18</v>
      </c>
      <c r="J7" s="412" t="s">
        <v>45</v>
      </c>
      <c r="K7" s="413"/>
      <c r="L7" s="411">
        <f t="shared" si="0"/>
        <v>46234</v>
      </c>
    </row>
    <row r="8" spans="1:12" x14ac:dyDescent="0.3">
      <c r="A8" s="411">
        <v>46224</v>
      </c>
      <c r="B8" s="411">
        <v>46234</v>
      </c>
      <c r="C8" s="412" t="s">
        <v>46</v>
      </c>
      <c r="D8" s="412" t="s">
        <v>47</v>
      </c>
      <c r="E8" s="413" t="s">
        <v>48</v>
      </c>
      <c r="F8" s="413" t="s">
        <v>49</v>
      </c>
      <c r="G8" s="423">
        <v>80152.240000000005</v>
      </c>
      <c r="H8" s="412" t="s">
        <v>17</v>
      </c>
      <c r="I8" s="412" t="s">
        <v>18</v>
      </c>
      <c r="J8" s="424" t="s">
        <v>50</v>
      </c>
      <c r="K8" s="413"/>
      <c r="L8" s="411">
        <f t="shared" si="0"/>
        <v>46234</v>
      </c>
    </row>
    <row r="9" spans="1:12" x14ac:dyDescent="0.3">
      <c r="A9" s="411">
        <v>46227</v>
      </c>
      <c r="B9" s="411">
        <v>46234</v>
      </c>
      <c r="C9" s="412" t="s">
        <v>51</v>
      </c>
      <c r="D9" s="412" t="s">
        <v>52</v>
      </c>
      <c r="E9" s="413" t="s">
        <v>51</v>
      </c>
      <c r="F9" s="413" t="s">
        <v>53</v>
      </c>
      <c r="G9" s="421">
        <v>3893.9</v>
      </c>
      <c r="H9" s="412" t="s">
        <v>17</v>
      </c>
      <c r="I9" s="412" t="s">
        <v>18</v>
      </c>
      <c r="J9" s="412" t="s">
        <v>45</v>
      </c>
      <c r="K9" s="413"/>
      <c r="L9" s="411">
        <f t="shared" si="0"/>
        <v>46234</v>
      </c>
    </row>
    <row r="10" spans="1:12" ht="28.8" customHeight="1" x14ac:dyDescent="0.3">
      <c r="A10" s="411">
        <v>46230</v>
      </c>
      <c r="B10" s="411">
        <v>46234</v>
      </c>
      <c r="C10" s="412" t="s">
        <v>54</v>
      </c>
      <c r="D10" s="412" t="s">
        <v>55</v>
      </c>
      <c r="E10" s="413" t="s">
        <v>56</v>
      </c>
      <c r="F10" s="413" t="s">
        <v>57</v>
      </c>
      <c r="G10" s="421">
        <v>20877.099999999999</v>
      </c>
      <c r="H10" s="412" t="s">
        <v>58</v>
      </c>
      <c r="I10" s="412" t="s">
        <v>18</v>
      </c>
      <c r="J10" s="412" t="s">
        <v>45</v>
      </c>
      <c r="K10" s="413" t="s">
        <v>59</v>
      </c>
      <c r="L10" s="411">
        <f t="shared" si="0"/>
        <v>46234</v>
      </c>
    </row>
    <row r="11" spans="1:12" x14ac:dyDescent="0.3">
      <c r="A11" s="411">
        <v>46230</v>
      </c>
      <c r="B11" s="411">
        <v>46237</v>
      </c>
      <c r="C11" s="412" t="s">
        <v>60</v>
      </c>
      <c r="D11" s="412" t="s">
        <v>61</v>
      </c>
      <c r="E11" s="413" t="s">
        <v>62</v>
      </c>
      <c r="F11" s="413" t="s">
        <v>63</v>
      </c>
      <c r="G11" s="421">
        <v>34103.49</v>
      </c>
      <c r="H11" s="412" t="s">
        <v>17</v>
      </c>
      <c r="I11" s="412" t="s">
        <v>18</v>
      </c>
      <c r="J11" s="412" t="s">
        <v>19</v>
      </c>
      <c r="K11" s="413"/>
      <c r="L11" s="411">
        <f t="shared" si="0"/>
        <v>46237</v>
      </c>
    </row>
    <row r="12" spans="1:12" ht="28.8" customHeight="1" x14ac:dyDescent="0.3">
      <c r="A12" s="411">
        <v>46218</v>
      </c>
      <c r="B12" s="411">
        <v>46238</v>
      </c>
      <c r="C12" s="412" t="s">
        <v>64</v>
      </c>
      <c r="D12" s="412" t="s">
        <v>65</v>
      </c>
      <c r="E12" s="413" t="s">
        <v>66</v>
      </c>
      <c r="F12" s="413" t="s">
        <v>67</v>
      </c>
      <c r="G12" s="423">
        <v>100000</v>
      </c>
      <c r="H12" s="412" t="s">
        <v>32</v>
      </c>
      <c r="I12" s="412" t="s">
        <v>18</v>
      </c>
      <c r="J12" s="424" t="s">
        <v>26</v>
      </c>
      <c r="K12" s="413"/>
      <c r="L12" s="411">
        <f t="shared" si="0"/>
        <v>46238</v>
      </c>
    </row>
    <row r="13" spans="1:12" x14ac:dyDescent="0.3">
      <c r="A13" s="411">
        <v>46171</v>
      </c>
      <c r="B13" s="411">
        <v>46239</v>
      </c>
      <c r="C13" s="412" t="s">
        <v>68</v>
      </c>
      <c r="D13" s="412" t="s">
        <v>69</v>
      </c>
      <c r="E13" s="413" t="s">
        <v>70</v>
      </c>
      <c r="F13" s="413" t="s">
        <v>71</v>
      </c>
      <c r="G13" s="421">
        <v>18400</v>
      </c>
      <c r="H13" s="412" t="s">
        <v>72</v>
      </c>
      <c r="I13" s="412" t="s">
        <v>18</v>
      </c>
      <c r="J13" s="412" t="s">
        <v>19</v>
      </c>
      <c r="K13" s="413"/>
      <c r="L13" s="411">
        <f t="shared" si="0"/>
        <v>46239</v>
      </c>
    </row>
    <row r="14" spans="1:12" x14ac:dyDescent="0.3">
      <c r="A14" s="411">
        <v>46226</v>
      </c>
      <c r="B14" s="411">
        <v>46241</v>
      </c>
      <c r="C14" s="412" t="s">
        <v>73</v>
      </c>
      <c r="D14" s="412" t="s">
        <v>74</v>
      </c>
      <c r="E14" s="413" t="s">
        <v>75</v>
      </c>
      <c r="F14" s="413" t="s">
        <v>63</v>
      </c>
      <c r="G14" s="421">
        <v>139178.41</v>
      </c>
      <c r="H14" s="412" t="s">
        <v>17</v>
      </c>
      <c r="I14" s="412" t="s">
        <v>18</v>
      </c>
      <c r="J14" s="412" t="s">
        <v>19</v>
      </c>
      <c r="K14" s="413"/>
      <c r="L14" s="411">
        <f t="shared" si="0"/>
        <v>46241</v>
      </c>
    </row>
    <row r="15" spans="1:12" ht="43.2" customHeight="1" x14ac:dyDescent="0.3">
      <c r="A15" s="411" t="s">
        <v>76</v>
      </c>
      <c r="B15" s="411">
        <v>46241</v>
      </c>
      <c r="C15" s="412" t="s">
        <v>77</v>
      </c>
      <c r="D15" s="412" t="s">
        <v>78</v>
      </c>
      <c r="E15" s="413" t="s">
        <v>77</v>
      </c>
      <c r="F15" s="413" t="s">
        <v>79</v>
      </c>
      <c r="G15" s="421">
        <v>89230.8</v>
      </c>
      <c r="H15" s="412" t="s">
        <v>80</v>
      </c>
      <c r="I15" s="412" t="s">
        <v>18</v>
      </c>
      <c r="J15" s="412" t="s">
        <v>45</v>
      </c>
      <c r="K15" s="413" t="s">
        <v>81</v>
      </c>
      <c r="L15" s="411">
        <f t="shared" si="0"/>
        <v>46241</v>
      </c>
    </row>
    <row r="16" spans="1:12" ht="28.8" customHeight="1" x14ac:dyDescent="0.3">
      <c r="A16" s="411">
        <v>46185</v>
      </c>
      <c r="B16" s="411">
        <v>46253</v>
      </c>
      <c r="C16" s="412" t="s">
        <v>82</v>
      </c>
      <c r="D16" s="412" t="s">
        <v>83</v>
      </c>
      <c r="E16" s="413" t="s">
        <v>84</v>
      </c>
      <c r="F16" s="413" t="s">
        <v>85</v>
      </c>
      <c r="G16" s="421">
        <v>109947.56</v>
      </c>
      <c r="H16" s="412" t="s">
        <v>86</v>
      </c>
      <c r="I16" s="412" t="s">
        <v>18</v>
      </c>
      <c r="J16" s="412" t="s">
        <v>45</v>
      </c>
      <c r="K16" s="413"/>
      <c r="L16" s="411">
        <f t="shared" si="0"/>
        <v>46253</v>
      </c>
    </row>
    <row r="17" spans="1:12" x14ac:dyDescent="0.3">
      <c r="A17" s="411">
        <v>46226</v>
      </c>
      <c r="B17" s="411">
        <v>46255</v>
      </c>
      <c r="C17" s="412" t="s">
        <v>87</v>
      </c>
      <c r="D17" s="412" t="s">
        <v>88</v>
      </c>
      <c r="E17" s="413" t="s">
        <v>89</v>
      </c>
      <c r="F17" s="413" t="s">
        <v>90</v>
      </c>
      <c r="G17" s="421">
        <v>60438.19</v>
      </c>
      <c r="H17" s="412" t="s">
        <v>32</v>
      </c>
      <c r="I17" s="412" t="s">
        <v>18</v>
      </c>
      <c r="J17" s="412" t="s">
        <v>45</v>
      </c>
      <c r="K17" s="413"/>
      <c r="L17" s="411">
        <f t="shared" si="0"/>
        <v>46255</v>
      </c>
    </row>
    <row r="18" spans="1:12" x14ac:dyDescent="0.3">
      <c r="A18" s="411">
        <v>46227</v>
      </c>
      <c r="B18" s="411">
        <v>46264</v>
      </c>
      <c r="C18" s="412" t="s">
        <v>91</v>
      </c>
      <c r="D18" s="412" t="s">
        <v>92</v>
      </c>
      <c r="E18" s="413" t="s">
        <v>93</v>
      </c>
      <c r="F18" s="413" t="s">
        <v>94</v>
      </c>
      <c r="G18" s="421">
        <v>229107.6</v>
      </c>
      <c r="H18" s="412" t="s">
        <v>95</v>
      </c>
      <c r="I18" s="412" t="s">
        <v>18</v>
      </c>
      <c r="J18" s="412" t="s">
        <v>19</v>
      </c>
      <c r="K18" s="413"/>
      <c r="L18" s="411">
        <f t="shared" si="0"/>
        <v>46264</v>
      </c>
    </row>
    <row r="19" spans="1:12" x14ac:dyDescent="0.3">
      <c r="A19" s="408">
        <v>46111</v>
      </c>
      <c r="B19" s="408">
        <v>46265</v>
      </c>
      <c r="C19" s="409" t="s">
        <v>96</v>
      </c>
      <c r="D19" s="409" t="s">
        <v>97</v>
      </c>
      <c r="E19" s="410" t="s">
        <v>98</v>
      </c>
      <c r="F19" s="410" t="s">
        <v>99</v>
      </c>
      <c r="G19" s="420">
        <v>169353.60000000001</v>
      </c>
      <c r="H19" s="409" t="s">
        <v>72</v>
      </c>
      <c r="I19" s="409" t="s">
        <v>100</v>
      </c>
      <c r="J19" s="409"/>
      <c r="K19" s="410"/>
      <c r="L19" s="408">
        <f t="shared" si="0"/>
        <v>46265</v>
      </c>
    </row>
    <row r="20" spans="1:12" x14ac:dyDescent="0.3">
      <c r="A20" s="408">
        <v>46128</v>
      </c>
      <c r="B20" s="408">
        <v>46265</v>
      </c>
      <c r="C20" s="409" t="s">
        <v>100</v>
      </c>
      <c r="D20" s="409" t="s">
        <v>101</v>
      </c>
      <c r="E20" s="410" t="s">
        <v>102</v>
      </c>
      <c r="F20" s="410" t="s">
        <v>103</v>
      </c>
      <c r="G20" s="420">
        <v>82900.05</v>
      </c>
      <c r="H20" s="409" t="s">
        <v>72</v>
      </c>
      <c r="I20" s="409" t="s">
        <v>100</v>
      </c>
      <c r="J20" s="409"/>
      <c r="K20" s="410"/>
      <c r="L20" s="408">
        <f t="shared" si="0"/>
        <v>46265</v>
      </c>
    </row>
    <row r="21" spans="1:12" x14ac:dyDescent="0.3">
      <c r="A21" s="408">
        <v>46142</v>
      </c>
      <c r="B21" s="408">
        <v>46265</v>
      </c>
      <c r="C21" s="409" t="s">
        <v>104</v>
      </c>
      <c r="D21" s="409" t="s">
        <v>105</v>
      </c>
      <c r="E21" s="410" t="s">
        <v>106</v>
      </c>
      <c r="F21" s="410" t="s">
        <v>107</v>
      </c>
      <c r="G21" s="420">
        <v>310411</v>
      </c>
      <c r="H21" s="409" t="s">
        <v>108</v>
      </c>
      <c r="I21" s="409" t="s">
        <v>100</v>
      </c>
      <c r="J21" s="409"/>
      <c r="K21" s="410"/>
      <c r="L21" s="408">
        <f t="shared" si="0"/>
        <v>46265</v>
      </c>
    </row>
    <row r="22" spans="1:12" x14ac:dyDescent="0.3">
      <c r="A22" s="408">
        <v>46142</v>
      </c>
      <c r="B22" s="408">
        <v>46265</v>
      </c>
      <c r="C22" s="409" t="s">
        <v>100</v>
      </c>
      <c r="D22" s="409" t="s">
        <v>109</v>
      </c>
      <c r="E22" s="410" t="s">
        <v>110</v>
      </c>
      <c r="F22" s="410" t="s">
        <v>111</v>
      </c>
      <c r="G22" s="420">
        <v>204447</v>
      </c>
      <c r="H22" s="409" t="s">
        <v>38</v>
      </c>
      <c r="I22" s="409" t="s">
        <v>100</v>
      </c>
      <c r="J22" s="409"/>
      <c r="K22" s="410"/>
      <c r="L22" s="408">
        <f t="shared" si="0"/>
        <v>46265</v>
      </c>
    </row>
    <row r="23" spans="1:12" x14ac:dyDescent="0.3">
      <c r="A23" s="408">
        <v>46170</v>
      </c>
      <c r="B23" s="408">
        <v>46265</v>
      </c>
      <c r="C23" s="409" t="s">
        <v>100</v>
      </c>
      <c r="D23" s="409" t="s">
        <v>112</v>
      </c>
      <c r="E23" s="410" t="s">
        <v>113</v>
      </c>
      <c r="F23" s="410" t="s">
        <v>114</v>
      </c>
      <c r="G23" s="420">
        <v>1860403.01</v>
      </c>
      <c r="H23" s="409" t="s">
        <v>72</v>
      </c>
      <c r="I23" s="409" t="s">
        <v>100</v>
      </c>
      <c r="J23" s="409"/>
      <c r="K23" s="410"/>
      <c r="L23" s="408">
        <f t="shared" si="0"/>
        <v>46265</v>
      </c>
    </row>
    <row r="24" spans="1:12" x14ac:dyDescent="0.3">
      <c r="A24" s="408">
        <v>46227</v>
      </c>
      <c r="B24" s="408">
        <v>46265</v>
      </c>
      <c r="C24" s="409" t="s">
        <v>115</v>
      </c>
      <c r="D24" s="409" t="s">
        <v>116</v>
      </c>
      <c r="E24" s="410" t="s">
        <v>115</v>
      </c>
      <c r="F24" s="410" t="s">
        <v>117</v>
      </c>
      <c r="G24" s="420">
        <v>27284.9</v>
      </c>
      <c r="H24" s="409" t="s">
        <v>32</v>
      </c>
      <c r="I24" s="409" t="s">
        <v>100</v>
      </c>
      <c r="J24" s="409"/>
      <c r="K24" s="410"/>
      <c r="L24" s="408">
        <f t="shared" si="0"/>
        <v>46265</v>
      </c>
    </row>
    <row r="25" spans="1:12" x14ac:dyDescent="0.3">
      <c r="F25" s="414" t="s">
        <v>118</v>
      </c>
      <c r="G25" s="422">
        <f>SUMIF(I3:I24,"&lt;&gt;Pending",G3:G24)</f>
        <v>1318335.7200000002</v>
      </c>
    </row>
    <row r="27" spans="1:12" x14ac:dyDescent="0.3">
      <c r="F27" s="415" t="s">
        <v>119</v>
      </c>
    </row>
    <row r="28" spans="1:12" x14ac:dyDescent="0.3">
      <c r="F28" t="s">
        <v>120</v>
      </c>
      <c r="G28" s="24">
        <f ca="1">SUMIFS(G3:G24, J3:J24, "*CASH SALE*", L3:L24, "&gt;="&amp;EOMONTH(TODAY(),-1)+1, L3:L24, "&lt;="&amp;EOMONTH(TODAY(),0), I3:I24, "&lt;&gt;Pending")</f>
        <v>445872.86</v>
      </c>
      <c r="I28" t="s">
        <v>121</v>
      </c>
      <c r="J28" s="19">
        <f ca="1">SUMIFS(G3:G24, J3:J24, "*CASH SALE*", L3:L24, "&gt;="&amp;EOMONTH(TODAY(),0)+1, L3:L24, "&lt;="&amp;EOMONTH(TODAY(),1), I3:I24, "&lt;&gt;Pending")</f>
        <v>359616.55</v>
      </c>
    </row>
    <row r="29" spans="1:12" x14ac:dyDescent="0.3">
      <c r="F29" t="s">
        <v>122</v>
      </c>
      <c r="G29" s="24">
        <f ca="1">SUMIFS(G3:G24, J3:J24, "*ACCOUNT*", L3:L24, "&gt;="&amp;EOMONTH(TODAY(),-1)+1, L3:L24, "&lt;="&amp;EOMONTH(TODAY(),0), I3:I24, "&lt;&gt;Pending")</f>
        <v>92056.81</v>
      </c>
      <c r="I29" t="s">
        <v>123</v>
      </c>
      <c r="J29" s="19">
        <f ca="1">SUMIFS(G3:G24, J3:J24, "*ACCOUNT*", L3:L24, "&gt;="&amp;EOMONTH(TODAY(),0)+1, L3:L24, "&lt;="&amp;EOMONTH(TODAY(),1), I3:I24, "&lt;&gt;Pending")</f>
        <v>420789.5</v>
      </c>
    </row>
    <row r="31" spans="1:12" ht="28.8" customHeight="1" x14ac:dyDescent="0.3">
      <c r="A31" s="404" t="s">
        <v>1</v>
      </c>
      <c r="B31" s="404" t="s">
        <v>2</v>
      </c>
      <c r="C31" s="404" t="s">
        <v>3</v>
      </c>
      <c r="D31" s="404" t="s">
        <v>4</v>
      </c>
      <c r="E31" s="404" t="s">
        <v>5</v>
      </c>
      <c r="F31" s="404" t="s">
        <v>6</v>
      </c>
      <c r="G31" s="418" t="s">
        <v>7</v>
      </c>
      <c r="H31" s="404" t="s">
        <v>8</v>
      </c>
      <c r="I31" s="404" t="s">
        <v>9</v>
      </c>
      <c r="J31" s="404" t="s">
        <v>10</v>
      </c>
      <c r="K31" s="404" t="s">
        <v>124</v>
      </c>
    </row>
    <row r="32" spans="1:12" x14ac:dyDescent="0.3">
      <c r="A32" s="411">
        <v>46198</v>
      </c>
      <c r="B32" s="411">
        <v>46231.3230449537</v>
      </c>
      <c r="C32" s="412" t="s">
        <v>21</v>
      </c>
      <c r="D32" s="412" t="s">
        <v>22</v>
      </c>
      <c r="E32" s="416" t="s">
        <v>23</v>
      </c>
      <c r="F32" s="416" t="s">
        <v>24</v>
      </c>
      <c r="G32" s="421">
        <v>144908.04999999999</v>
      </c>
      <c r="H32" s="412" t="s">
        <v>25</v>
      </c>
      <c r="I32" s="416" t="s">
        <v>18</v>
      </c>
      <c r="J32" s="416" t="s">
        <v>45</v>
      </c>
      <c r="K32" s="413"/>
    </row>
    <row r="33" spans="1:11" x14ac:dyDescent="0.3">
      <c r="A33" s="411">
        <v>46217</v>
      </c>
      <c r="B33" s="411">
        <v>46231.3230449537</v>
      </c>
      <c r="C33" s="412" t="s">
        <v>28</v>
      </c>
      <c r="D33" s="412" t="s">
        <v>29</v>
      </c>
      <c r="E33" s="416" t="s">
        <v>30</v>
      </c>
      <c r="F33" s="416" t="s">
        <v>31</v>
      </c>
      <c r="G33" s="421">
        <v>21062.25</v>
      </c>
      <c r="H33" s="412" t="s">
        <v>32</v>
      </c>
      <c r="I33" s="416" t="s">
        <v>18</v>
      </c>
      <c r="J33" s="416" t="s">
        <v>19</v>
      </c>
      <c r="K33" s="413"/>
    </row>
    <row r="34" spans="1:11" ht="28.8" customHeight="1" x14ac:dyDescent="0.3">
      <c r="A34" s="408">
        <v>46142</v>
      </c>
      <c r="B34" s="408">
        <v>46231.3230449537</v>
      </c>
      <c r="C34" s="409" t="s">
        <v>100</v>
      </c>
      <c r="D34" s="409" t="s">
        <v>125</v>
      </c>
      <c r="E34" s="417" t="s">
        <v>126</v>
      </c>
      <c r="F34" s="417" t="s">
        <v>127</v>
      </c>
      <c r="G34" s="420">
        <v>426010.6</v>
      </c>
      <c r="H34" s="409" t="s">
        <v>38</v>
      </c>
      <c r="I34" s="417" t="s">
        <v>100</v>
      </c>
      <c r="J34" s="417"/>
      <c r="K34" s="410"/>
    </row>
    <row r="35" spans="1:11" x14ac:dyDescent="0.3">
      <c r="A35" s="408">
        <v>46227</v>
      </c>
      <c r="B35" s="408">
        <v>46231.3230449537</v>
      </c>
      <c r="C35" s="409" t="s">
        <v>115</v>
      </c>
      <c r="D35" s="409" t="s">
        <v>116</v>
      </c>
      <c r="E35" s="417" t="s">
        <v>115</v>
      </c>
      <c r="F35" s="417" t="s">
        <v>117</v>
      </c>
      <c r="G35" s="420">
        <v>27284.9</v>
      </c>
      <c r="H35" s="409" t="s">
        <v>32</v>
      </c>
      <c r="I35" s="417" t="s">
        <v>100</v>
      </c>
      <c r="J35" s="417"/>
      <c r="K35" s="410"/>
    </row>
    <row r="36" spans="1:11" ht="28.8" customHeight="1" x14ac:dyDescent="0.3">
      <c r="A36" s="408">
        <v>46230</v>
      </c>
      <c r="B36" s="408">
        <v>46231.3230449537</v>
      </c>
      <c r="C36" s="409" t="s">
        <v>54</v>
      </c>
      <c r="D36" s="409" t="s">
        <v>55</v>
      </c>
      <c r="E36" s="417" t="s">
        <v>56</v>
      </c>
      <c r="F36" s="417" t="s">
        <v>57</v>
      </c>
      <c r="G36" s="420">
        <v>20877.099999999999</v>
      </c>
      <c r="H36" s="409" t="s">
        <v>58</v>
      </c>
      <c r="I36" s="417" t="s">
        <v>100</v>
      </c>
      <c r="J36" s="417"/>
      <c r="K36" s="410"/>
    </row>
    <row r="37" spans="1:11" x14ac:dyDescent="0.3">
      <c r="A37" s="411">
        <v>46142</v>
      </c>
      <c r="B37" s="411">
        <v>46231.3230449537</v>
      </c>
      <c r="C37" s="412" t="s">
        <v>34</v>
      </c>
      <c r="D37" s="412" t="s">
        <v>35</v>
      </c>
      <c r="E37" s="416" t="s">
        <v>36</v>
      </c>
      <c r="F37" s="416" t="s">
        <v>37</v>
      </c>
      <c r="G37" s="421">
        <v>251433.71</v>
      </c>
      <c r="H37" s="412" t="s">
        <v>38</v>
      </c>
      <c r="I37" s="416" t="s">
        <v>39</v>
      </c>
      <c r="J37" s="416" t="s">
        <v>128</v>
      </c>
      <c r="K37" s="413"/>
    </row>
    <row r="38" spans="1:11" x14ac:dyDescent="0.3">
      <c r="F38" s="414" t="s">
        <v>129</v>
      </c>
      <c r="G38" s="422">
        <f>SUM(G32:G37)</f>
        <v>891576.60999999987</v>
      </c>
    </row>
    <row r="40" spans="1:11" x14ac:dyDescent="0.3">
      <c r="F40" s="414" t="s">
        <v>130</v>
      </c>
      <c r="G40" s="422">
        <f>SUMIFS(G3:G24, I3:I24, "*Ready*Dispatch*")</f>
        <v>251433.71</v>
      </c>
    </row>
    <row r="41" spans="1:11" x14ac:dyDescent="0.3">
      <c r="A41" s="453" t="s">
        <v>131</v>
      </c>
      <c r="B41" s="454"/>
      <c r="C41" s="454"/>
      <c r="D41" s="454"/>
    </row>
    <row r="42" spans="1:11" x14ac:dyDescent="0.3">
      <c r="A42" s="453" t="s">
        <v>132</v>
      </c>
      <c r="B42" s="454"/>
      <c r="C42" s="454"/>
      <c r="D42" s="454"/>
    </row>
  </sheetData>
  <mergeCells count="3">
    <mergeCell ref="A1:D1"/>
    <mergeCell ref="A42:D42"/>
    <mergeCell ref="A41:D41"/>
  </mergeCells>
  <pageMargins left="0.25" right="0.25" top="0.75" bottom="0.75" header="0.3" footer="0.3"/>
  <pageSetup scale="61" fitToHeight="0" orientation="landscape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1:L46"/>
  <sheetViews>
    <sheetView tabSelected="1" zoomScale="80" zoomScaleNormal="80" workbookViewId="0">
      <pane xSplit="4" ySplit="2" topLeftCell="E4" activePane="bottomRight" state="frozen"/>
      <selection activeCell="K40" sqref="K40"/>
      <selection pane="topRight" activeCell="K40" sqref="K40"/>
      <selection pane="bottomLeft" activeCell="K40" sqref="K40"/>
      <selection pane="bottomRight" activeCell="K40" sqref="K40"/>
    </sheetView>
  </sheetViews>
  <sheetFormatPr defaultRowHeight="14.4" x14ac:dyDescent="0.3"/>
  <cols>
    <col min="1" max="1" width="12" customWidth="1"/>
    <col min="2" max="2" width="12" style="23" customWidth="1"/>
    <col min="3" max="3" width="15" customWidth="1"/>
    <col min="4" max="4" width="12" customWidth="1"/>
    <col min="5" max="5" width="20" customWidth="1"/>
    <col min="6" max="6" width="30" customWidth="1"/>
    <col min="7" max="7" width="15" style="47" customWidth="1"/>
    <col min="8" max="8" width="9.109375" bestFit="1" customWidth="1"/>
    <col min="9" max="9" width="17.6640625" bestFit="1" customWidth="1"/>
    <col min="10" max="10" width="23.33203125" customWidth="1"/>
    <col min="11" max="11" width="50" customWidth="1"/>
    <col min="12" max="12" width="12" customWidth="1"/>
  </cols>
  <sheetData>
    <row r="1" spans="1:12" ht="18" x14ac:dyDescent="0.35">
      <c r="A1" s="482" t="s">
        <v>0</v>
      </c>
      <c r="B1" s="482"/>
      <c r="C1" s="482"/>
      <c r="D1" s="482"/>
      <c r="K1" s="427">
        <f ca="1">TODAY()</f>
        <v>46233</v>
      </c>
    </row>
    <row r="2" spans="1:12" ht="43.2" x14ac:dyDescent="0.3">
      <c r="A2" s="428" t="s">
        <v>1</v>
      </c>
      <c r="B2" s="428" t="s">
        <v>2</v>
      </c>
      <c r="C2" s="428" t="s">
        <v>3</v>
      </c>
      <c r="D2" s="428" t="s">
        <v>4</v>
      </c>
      <c r="E2" s="428" t="s">
        <v>5</v>
      </c>
      <c r="F2" s="428" t="s">
        <v>6</v>
      </c>
      <c r="G2" s="489" t="s">
        <v>7</v>
      </c>
      <c r="H2" s="428" t="s">
        <v>8</v>
      </c>
      <c r="I2" s="428" t="s">
        <v>9</v>
      </c>
      <c r="J2" s="428" t="s">
        <v>10</v>
      </c>
      <c r="K2" s="428" t="s">
        <v>11</v>
      </c>
      <c r="L2" s="428" t="s">
        <v>12</v>
      </c>
    </row>
    <row r="3" spans="1:12" ht="28.8" x14ac:dyDescent="0.3">
      <c r="A3" s="429">
        <v>46198</v>
      </c>
      <c r="B3" s="429">
        <v>46233.63840758102</v>
      </c>
      <c r="C3" s="430" t="s">
        <v>21</v>
      </c>
      <c r="D3" s="430" t="s">
        <v>22</v>
      </c>
      <c r="E3" s="431" t="s">
        <v>23</v>
      </c>
      <c r="F3" s="431" t="s">
        <v>24</v>
      </c>
      <c r="G3" s="483">
        <v>18045.25</v>
      </c>
      <c r="H3" s="430" t="s">
        <v>25</v>
      </c>
      <c r="I3" s="430" t="s">
        <v>39</v>
      </c>
      <c r="J3" s="479" t="s">
        <v>26</v>
      </c>
      <c r="K3" s="478" t="s">
        <v>404</v>
      </c>
      <c r="L3" s="429">
        <f>B3</f>
        <v>46233.63840758102</v>
      </c>
    </row>
    <row r="4" spans="1:12" ht="28.8" x14ac:dyDescent="0.3">
      <c r="A4" s="429">
        <v>46224</v>
      </c>
      <c r="B4" s="429">
        <v>46233.63840758102</v>
      </c>
      <c r="C4" s="430" t="s">
        <v>46</v>
      </c>
      <c r="D4" s="430" t="s">
        <v>47</v>
      </c>
      <c r="E4" s="431" t="s">
        <v>48</v>
      </c>
      <c r="F4" s="431" t="s">
        <v>49</v>
      </c>
      <c r="G4" s="484">
        <v>80152.240000000005</v>
      </c>
      <c r="H4" s="430" t="s">
        <v>17</v>
      </c>
      <c r="I4" s="430" t="s">
        <v>18</v>
      </c>
      <c r="J4" s="430" t="s">
        <v>19</v>
      </c>
      <c r="K4" s="431" t="s">
        <v>405</v>
      </c>
      <c r="L4" s="429">
        <f>B4</f>
        <v>46233.63840758102</v>
      </c>
    </row>
    <row r="5" spans="1:12" ht="28.8" x14ac:dyDescent="0.3">
      <c r="A5" s="429">
        <v>46230</v>
      </c>
      <c r="B5" s="429">
        <v>46233.63840758102</v>
      </c>
      <c r="C5" s="430" t="s">
        <v>54</v>
      </c>
      <c r="D5" s="430" t="s">
        <v>55</v>
      </c>
      <c r="E5" s="431" t="s">
        <v>56</v>
      </c>
      <c r="F5" s="431" t="s">
        <v>57</v>
      </c>
      <c r="G5" s="485">
        <v>20877.099999999999</v>
      </c>
      <c r="H5" s="430" t="s">
        <v>58</v>
      </c>
      <c r="I5" s="430" t="s">
        <v>39</v>
      </c>
      <c r="J5" s="430" t="s">
        <v>45</v>
      </c>
      <c r="K5" s="431" t="s">
        <v>425</v>
      </c>
      <c r="L5" s="429">
        <f>B5</f>
        <v>46233.63840758102</v>
      </c>
    </row>
    <row r="6" spans="1:12" ht="28.8" x14ac:dyDescent="0.3">
      <c r="A6" s="429">
        <v>46142</v>
      </c>
      <c r="B6" s="429">
        <v>46233.63840758102</v>
      </c>
      <c r="C6" s="430" t="s">
        <v>34</v>
      </c>
      <c r="D6" s="430" t="s">
        <v>35</v>
      </c>
      <c r="E6" s="431" t="s">
        <v>36</v>
      </c>
      <c r="F6" s="431" t="s">
        <v>37</v>
      </c>
      <c r="G6" s="484">
        <v>71433.710000000006</v>
      </c>
      <c r="H6" s="430" t="s">
        <v>38</v>
      </c>
      <c r="I6" s="430" t="s">
        <v>39</v>
      </c>
      <c r="J6" s="479" t="s">
        <v>26</v>
      </c>
      <c r="K6" s="478" t="s">
        <v>407</v>
      </c>
      <c r="L6" s="429">
        <f>B6</f>
        <v>46233.63840758102</v>
      </c>
    </row>
    <row r="7" spans="1:12" x14ac:dyDescent="0.3">
      <c r="A7" s="432">
        <v>46217</v>
      </c>
      <c r="B7" s="432">
        <v>46234</v>
      </c>
      <c r="C7" s="433" t="s">
        <v>40</v>
      </c>
      <c r="D7" s="433" t="s">
        <v>41</v>
      </c>
      <c r="E7" s="434" t="s">
        <v>42</v>
      </c>
      <c r="F7" s="434" t="s">
        <v>43</v>
      </c>
      <c r="G7" s="486">
        <v>71470.66</v>
      </c>
      <c r="H7" s="433" t="s">
        <v>44</v>
      </c>
      <c r="I7" s="433" t="s">
        <v>18</v>
      </c>
      <c r="J7" s="433" t="s">
        <v>45</v>
      </c>
      <c r="K7" s="434" t="s">
        <v>408</v>
      </c>
      <c r="L7" s="432">
        <f>B7</f>
        <v>46234</v>
      </c>
    </row>
    <row r="8" spans="1:12" x14ac:dyDescent="0.3">
      <c r="A8" s="432">
        <v>46227</v>
      </c>
      <c r="B8" s="432">
        <v>46234</v>
      </c>
      <c r="C8" s="433" t="s">
        <v>51</v>
      </c>
      <c r="D8" s="433" t="s">
        <v>52</v>
      </c>
      <c r="E8" s="434" t="s">
        <v>51</v>
      </c>
      <c r="F8" s="434" t="s">
        <v>53</v>
      </c>
      <c r="G8" s="486">
        <v>3893.9</v>
      </c>
      <c r="H8" s="433" t="s">
        <v>17</v>
      </c>
      <c r="I8" s="433" t="s">
        <v>18</v>
      </c>
      <c r="J8" s="433" t="s">
        <v>45</v>
      </c>
      <c r="K8" s="434" t="s">
        <v>410</v>
      </c>
      <c r="L8" s="432">
        <f>B8</f>
        <v>46234</v>
      </c>
    </row>
    <row r="9" spans="1:12" x14ac:dyDescent="0.3">
      <c r="A9" s="432">
        <v>46232</v>
      </c>
      <c r="B9" s="432">
        <v>46234</v>
      </c>
      <c r="C9" s="433" t="s">
        <v>411</v>
      </c>
      <c r="D9" s="433" t="s">
        <v>361</v>
      </c>
      <c r="E9" s="434" t="s">
        <v>42</v>
      </c>
      <c r="F9" s="434" t="s">
        <v>362</v>
      </c>
      <c r="G9" s="486">
        <v>10748.81</v>
      </c>
      <c r="H9" s="433" t="s">
        <v>17</v>
      </c>
      <c r="I9" s="433" t="s">
        <v>18</v>
      </c>
      <c r="J9" s="433" t="s">
        <v>45</v>
      </c>
      <c r="K9" s="434" t="s">
        <v>406</v>
      </c>
      <c r="L9" s="432">
        <f>B9</f>
        <v>46234</v>
      </c>
    </row>
    <row r="10" spans="1:12" x14ac:dyDescent="0.3">
      <c r="A10" s="435">
        <v>46233</v>
      </c>
      <c r="B10" s="435">
        <v>46234</v>
      </c>
      <c r="C10" s="436" t="s">
        <v>363</v>
      </c>
      <c r="D10" s="436" t="s">
        <v>364</v>
      </c>
      <c r="E10" s="437" t="s">
        <v>365</v>
      </c>
      <c r="F10" s="437" t="s">
        <v>366</v>
      </c>
      <c r="G10" s="487">
        <v>13931.1</v>
      </c>
      <c r="H10" s="436" t="s">
        <v>183</v>
      </c>
      <c r="I10" s="436" t="s">
        <v>100</v>
      </c>
      <c r="J10" s="436"/>
      <c r="K10" s="437" t="s">
        <v>367</v>
      </c>
      <c r="L10" s="435">
        <f>B10</f>
        <v>46234</v>
      </c>
    </row>
    <row r="11" spans="1:12" x14ac:dyDescent="0.3">
      <c r="A11" s="432">
        <v>46230</v>
      </c>
      <c r="B11" s="432">
        <v>46237</v>
      </c>
      <c r="C11" s="433" t="s">
        <v>60</v>
      </c>
      <c r="D11" s="433" t="s">
        <v>61</v>
      </c>
      <c r="E11" s="434" t="s">
        <v>62</v>
      </c>
      <c r="F11" s="434" t="s">
        <v>63</v>
      </c>
      <c r="G11" s="486">
        <v>34103.49</v>
      </c>
      <c r="H11" s="433" t="s">
        <v>17</v>
      </c>
      <c r="I11" s="433" t="s">
        <v>18</v>
      </c>
      <c r="J11" s="433" t="s">
        <v>19</v>
      </c>
      <c r="K11" s="434" t="s">
        <v>414</v>
      </c>
      <c r="L11" s="432">
        <f>B11</f>
        <v>46237</v>
      </c>
    </row>
    <row r="12" spans="1:12" x14ac:dyDescent="0.3">
      <c r="A12" s="432">
        <v>46230</v>
      </c>
      <c r="B12" s="432">
        <v>46237</v>
      </c>
      <c r="C12" s="433" t="s">
        <v>368</v>
      </c>
      <c r="D12" s="433" t="s">
        <v>369</v>
      </c>
      <c r="E12" s="434" t="s">
        <v>370</v>
      </c>
      <c r="F12" s="434" t="s">
        <v>371</v>
      </c>
      <c r="G12" s="486">
        <v>12384.35</v>
      </c>
      <c r="H12" s="433" t="s">
        <v>17</v>
      </c>
      <c r="I12" s="433" t="s">
        <v>18</v>
      </c>
      <c r="J12" s="433" t="s">
        <v>19</v>
      </c>
      <c r="K12" s="434" t="s">
        <v>414</v>
      </c>
      <c r="L12" s="432">
        <f>B12</f>
        <v>46237</v>
      </c>
    </row>
    <row r="13" spans="1:12" ht="28.8" x14ac:dyDescent="0.3">
      <c r="A13" s="432">
        <v>46218</v>
      </c>
      <c r="B13" s="432">
        <v>46238</v>
      </c>
      <c r="C13" s="433" t="s">
        <v>64</v>
      </c>
      <c r="D13" s="433" t="s">
        <v>65</v>
      </c>
      <c r="E13" s="434" t="s">
        <v>66</v>
      </c>
      <c r="F13" s="434" t="s">
        <v>67</v>
      </c>
      <c r="G13" s="484">
        <v>100000</v>
      </c>
      <c r="H13" s="433" t="s">
        <v>32</v>
      </c>
      <c r="I13" s="433" t="s">
        <v>18</v>
      </c>
      <c r="J13" s="479" t="s">
        <v>26</v>
      </c>
      <c r="K13" s="434" t="s">
        <v>409</v>
      </c>
      <c r="L13" s="432">
        <f>B13</f>
        <v>46238</v>
      </c>
    </row>
    <row r="14" spans="1:12" ht="28.8" x14ac:dyDescent="0.3">
      <c r="A14" s="432">
        <v>46171</v>
      </c>
      <c r="B14" s="432">
        <v>46239</v>
      </c>
      <c r="C14" s="433" t="s">
        <v>68</v>
      </c>
      <c r="D14" s="433" t="s">
        <v>69</v>
      </c>
      <c r="E14" s="434" t="s">
        <v>70</v>
      </c>
      <c r="F14" s="434" t="s">
        <v>71</v>
      </c>
      <c r="G14" s="486">
        <v>18400</v>
      </c>
      <c r="H14" s="433" t="s">
        <v>72</v>
      </c>
      <c r="I14" s="433" t="s">
        <v>18</v>
      </c>
      <c r="J14" s="433" t="s">
        <v>19</v>
      </c>
      <c r="K14" s="434" t="s">
        <v>415</v>
      </c>
      <c r="L14" s="432">
        <f>B14</f>
        <v>46239</v>
      </c>
    </row>
    <row r="15" spans="1:12" x14ac:dyDescent="0.3">
      <c r="A15" s="432">
        <v>46232</v>
      </c>
      <c r="B15" s="432">
        <v>46239</v>
      </c>
      <c r="C15" s="433" t="s">
        <v>372</v>
      </c>
      <c r="D15" s="433" t="s">
        <v>373</v>
      </c>
      <c r="E15" s="434" t="s">
        <v>42</v>
      </c>
      <c r="F15" s="434" t="s">
        <v>374</v>
      </c>
      <c r="G15" s="486">
        <v>7314.29</v>
      </c>
      <c r="H15" s="433" t="s">
        <v>375</v>
      </c>
      <c r="I15" s="433" t="s">
        <v>18</v>
      </c>
      <c r="J15" s="433" t="s">
        <v>45</v>
      </c>
      <c r="K15" s="434" t="s">
        <v>417</v>
      </c>
      <c r="L15" s="432">
        <f>B15</f>
        <v>46239</v>
      </c>
    </row>
    <row r="16" spans="1:12" x14ac:dyDescent="0.3">
      <c r="A16" s="432">
        <v>46226</v>
      </c>
      <c r="B16" s="432">
        <v>46241</v>
      </c>
      <c r="C16" s="433" t="s">
        <v>73</v>
      </c>
      <c r="D16" s="433" t="s">
        <v>74</v>
      </c>
      <c r="E16" s="434" t="s">
        <v>75</v>
      </c>
      <c r="F16" s="434" t="s">
        <v>63</v>
      </c>
      <c r="G16" s="486">
        <v>139178.41</v>
      </c>
      <c r="H16" s="433" t="s">
        <v>17</v>
      </c>
      <c r="I16" s="433" t="s">
        <v>18</v>
      </c>
      <c r="J16" s="433" t="s">
        <v>19</v>
      </c>
      <c r="K16" s="434" t="s">
        <v>416</v>
      </c>
      <c r="L16" s="432">
        <f>B16</f>
        <v>46241</v>
      </c>
    </row>
    <row r="17" spans="1:12" x14ac:dyDescent="0.3">
      <c r="A17" s="432">
        <v>46231</v>
      </c>
      <c r="B17" s="432">
        <v>46244</v>
      </c>
      <c r="C17" s="433" t="s">
        <v>376</v>
      </c>
      <c r="D17" s="433" t="s">
        <v>377</v>
      </c>
      <c r="E17" s="434" t="s">
        <v>378</v>
      </c>
      <c r="F17" s="434" t="s">
        <v>379</v>
      </c>
      <c r="G17" s="486">
        <v>48264.35</v>
      </c>
      <c r="H17" s="433" t="s">
        <v>95</v>
      </c>
      <c r="I17" s="433" t="s">
        <v>18</v>
      </c>
      <c r="J17" s="433" t="s">
        <v>19</v>
      </c>
      <c r="K17" s="434" t="s">
        <v>418</v>
      </c>
      <c r="L17" s="432">
        <f>B17</f>
        <v>46244</v>
      </c>
    </row>
    <row r="18" spans="1:12" x14ac:dyDescent="0.3">
      <c r="A18" s="432">
        <v>46232</v>
      </c>
      <c r="B18" s="432">
        <v>46244</v>
      </c>
      <c r="C18" s="433" t="s">
        <v>380</v>
      </c>
      <c r="D18" s="433" t="s">
        <v>381</v>
      </c>
      <c r="E18" s="434" t="s">
        <v>382</v>
      </c>
      <c r="F18" s="434" t="s">
        <v>379</v>
      </c>
      <c r="G18" s="486">
        <v>48264.35</v>
      </c>
      <c r="H18" s="433" t="s">
        <v>95</v>
      </c>
      <c r="I18" s="433" t="s">
        <v>18</v>
      </c>
      <c r="J18" s="433" t="s">
        <v>19</v>
      </c>
      <c r="K18" s="434" t="s">
        <v>418</v>
      </c>
      <c r="L18" s="432">
        <f>B18</f>
        <v>46244</v>
      </c>
    </row>
    <row r="19" spans="1:12" ht="28.8" x14ac:dyDescent="0.3">
      <c r="A19" s="435">
        <v>46231</v>
      </c>
      <c r="B19" s="435">
        <v>46251</v>
      </c>
      <c r="C19" s="436" t="s">
        <v>383</v>
      </c>
      <c r="D19" s="436" t="s">
        <v>384</v>
      </c>
      <c r="E19" s="437" t="s">
        <v>383</v>
      </c>
      <c r="F19" s="437" t="s">
        <v>385</v>
      </c>
      <c r="G19" s="487">
        <v>136184.70000000001</v>
      </c>
      <c r="H19" s="436" t="s">
        <v>386</v>
      </c>
      <c r="I19" s="436" t="s">
        <v>100</v>
      </c>
      <c r="J19" s="436"/>
      <c r="K19" s="437" t="s">
        <v>419</v>
      </c>
      <c r="L19" s="435">
        <f>B19</f>
        <v>46251</v>
      </c>
    </row>
    <row r="20" spans="1:12" x14ac:dyDescent="0.3">
      <c r="A20" s="432">
        <v>46230</v>
      </c>
      <c r="B20" s="432">
        <v>46252</v>
      </c>
      <c r="C20" s="433" t="s">
        <v>77</v>
      </c>
      <c r="D20" s="433" t="s">
        <v>78</v>
      </c>
      <c r="E20" s="434" t="s">
        <v>77</v>
      </c>
      <c r="F20" s="434" t="s">
        <v>79</v>
      </c>
      <c r="G20" s="486">
        <v>89230.8</v>
      </c>
      <c r="H20" s="433" t="s">
        <v>80</v>
      </c>
      <c r="I20" s="433" t="s">
        <v>18</v>
      </c>
      <c r="J20" s="433" t="s">
        <v>45</v>
      </c>
      <c r="K20" s="434" t="s">
        <v>420</v>
      </c>
      <c r="L20" s="432">
        <f>B20</f>
        <v>46252</v>
      </c>
    </row>
    <row r="21" spans="1:12" ht="28.8" x14ac:dyDescent="0.3">
      <c r="A21" s="432">
        <v>46185</v>
      </c>
      <c r="B21" s="432">
        <v>46253</v>
      </c>
      <c r="C21" s="433" t="s">
        <v>82</v>
      </c>
      <c r="D21" s="433" t="s">
        <v>83</v>
      </c>
      <c r="E21" s="434" t="s">
        <v>84</v>
      </c>
      <c r="F21" s="434" t="s">
        <v>85</v>
      </c>
      <c r="G21" s="486">
        <v>109947.56</v>
      </c>
      <c r="H21" s="433" t="s">
        <v>86</v>
      </c>
      <c r="I21" s="433" t="s">
        <v>18</v>
      </c>
      <c r="J21" s="433" t="s">
        <v>45</v>
      </c>
      <c r="K21" s="434" t="s">
        <v>421</v>
      </c>
      <c r="L21" s="432">
        <f>B21</f>
        <v>46253</v>
      </c>
    </row>
    <row r="22" spans="1:12" x14ac:dyDescent="0.3">
      <c r="A22" s="432">
        <v>46226</v>
      </c>
      <c r="B22" s="432">
        <v>46255</v>
      </c>
      <c r="C22" s="433" t="s">
        <v>87</v>
      </c>
      <c r="D22" s="433" t="s">
        <v>88</v>
      </c>
      <c r="E22" s="434" t="s">
        <v>89</v>
      </c>
      <c r="F22" s="434" t="s">
        <v>90</v>
      </c>
      <c r="G22" s="486">
        <v>60438.19</v>
      </c>
      <c r="H22" s="433" t="s">
        <v>32</v>
      </c>
      <c r="I22" s="433" t="s">
        <v>18</v>
      </c>
      <c r="J22" s="433" t="s">
        <v>45</v>
      </c>
      <c r="K22" s="434" t="s">
        <v>422</v>
      </c>
      <c r="L22" s="432">
        <f>B22</f>
        <v>46255</v>
      </c>
    </row>
    <row r="23" spans="1:12" ht="28.8" x14ac:dyDescent="0.3">
      <c r="A23" s="432">
        <v>46227</v>
      </c>
      <c r="B23" s="432">
        <v>46264</v>
      </c>
      <c r="C23" s="433" t="s">
        <v>91</v>
      </c>
      <c r="D23" s="433" t="s">
        <v>92</v>
      </c>
      <c r="E23" s="434" t="s">
        <v>93</v>
      </c>
      <c r="F23" s="434" t="s">
        <v>94</v>
      </c>
      <c r="G23" s="486">
        <v>229107.6</v>
      </c>
      <c r="H23" s="433" t="s">
        <v>95</v>
      </c>
      <c r="I23" s="433" t="s">
        <v>18</v>
      </c>
      <c r="J23" s="433" t="s">
        <v>19</v>
      </c>
      <c r="K23" s="434" t="s">
        <v>423</v>
      </c>
      <c r="L23" s="432">
        <f>B23</f>
        <v>46264</v>
      </c>
    </row>
    <row r="24" spans="1:12" ht="28.8" x14ac:dyDescent="0.3">
      <c r="A24" s="435">
        <v>46233</v>
      </c>
      <c r="B24" s="435">
        <v>46264</v>
      </c>
      <c r="C24" s="436" t="s">
        <v>387</v>
      </c>
      <c r="D24" s="436" t="s">
        <v>388</v>
      </c>
      <c r="E24" s="437" t="s">
        <v>389</v>
      </c>
      <c r="F24" s="437" t="s">
        <v>136</v>
      </c>
      <c r="G24" s="487">
        <v>80930.009999999995</v>
      </c>
      <c r="H24" s="436" t="s">
        <v>177</v>
      </c>
      <c r="I24" s="436" t="s">
        <v>100</v>
      </c>
      <c r="J24" s="436"/>
      <c r="K24" s="437" t="s">
        <v>390</v>
      </c>
      <c r="L24" s="435">
        <f>B24</f>
        <v>46264</v>
      </c>
    </row>
    <row r="25" spans="1:12" x14ac:dyDescent="0.3">
      <c r="A25" s="435">
        <v>46111</v>
      </c>
      <c r="B25" s="435">
        <v>46265</v>
      </c>
      <c r="C25" s="436" t="s">
        <v>96</v>
      </c>
      <c r="D25" s="436" t="s">
        <v>97</v>
      </c>
      <c r="E25" s="437" t="s">
        <v>98</v>
      </c>
      <c r="F25" s="437" t="s">
        <v>99</v>
      </c>
      <c r="G25" s="487">
        <v>169353.60000000001</v>
      </c>
      <c r="H25" s="436" t="s">
        <v>72</v>
      </c>
      <c r="I25" s="436" t="s">
        <v>100</v>
      </c>
      <c r="J25" s="436"/>
      <c r="K25" s="437" t="s">
        <v>412</v>
      </c>
      <c r="L25" s="435">
        <f>B25</f>
        <v>46265</v>
      </c>
    </row>
    <row r="26" spans="1:12" x14ac:dyDescent="0.3">
      <c r="A26" s="435">
        <v>46128</v>
      </c>
      <c r="B26" s="435">
        <v>46265</v>
      </c>
      <c r="C26" s="436" t="s">
        <v>100</v>
      </c>
      <c r="D26" s="436" t="s">
        <v>101</v>
      </c>
      <c r="E26" s="437" t="s">
        <v>102</v>
      </c>
      <c r="F26" s="437" t="s">
        <v>103</v>
      </c>
      <c r="G26" s="487">
        <v>82900.05</v>
      </c>
      <c r="H26" s="436" t="s">
        <v>72</v>
      </c>
      <c r="I26" s="436" t="s">
        <v>100</v>
      </c>
      <c r="J26" s="436"/>
      <c r="K26" s="437" t="s">
        <v>412</v>
      </c>
      <c r="L26" s="435">
        <f>B26</f>
        <v>46265</v>
      </c>
    </row>
    <row r="27" spans="1:12" x14ac:dyDescent="0.3">
      <c r="A27" s="435">
        <v>46142</v>
      </c>
      <c r="B27" s="435">
        <v>46265</v>
      </c>
      <c r="C27" s="436" t="s">
        <v>104</v>
      </c>
      <c r="D27" s="436" t="s">
        <v>105</v>
      </c>
      <c r="E27" s="437" t="s">
        <v>106</v>
      </c>
      <c r="F27" s="437" t="s">
        <v>107</v>
      </c>
      <c r="G27" s="487">
        <v>310411</v>
      </c>
      <c r="H27" s="436" t="s">
        <v>108</v>
      </c>
      <c r="I27" s="436" t="s">
        <v>100</v>
      </c>
      <c r="J27" s="436"/>
      <c r="K27" s="437" t="s">
        <v>412</v>
      </c>
      <c r="L27" s="435">
        <f>B27</f>
        <v>46265</v>
      </c>
    </row>
    <row r="28" spans="1:12" x14ac:dyDescent="0.3">
      <c r="A28" s="435">
        <v>46142</v>
      </c>
      <c r="B28" s="435">
        <v>46265</v>
      </c>
      <c r="C28" s="436" t="s">
        <v>100</v>
      </c>
      <c r="D28" s="436" t="s">
        <v>109</v>
      </c>
      <c r="E28" s="437" t="s">
        <v>110</v>
      </c>
      <c r="F28" s="437" t="s">
        <v>111</v>
      </c>
      <c r="G28" s="487">
        <v>204447</v>
      </c>
      <c r="H28" s="436" t="s">
        <v>38</v>
      </c>
      <c r="I28" s="436" t="s">
        <v>100</v>
      </c>
      <c r="J28" s="436"/>
      <c r="K28" s="437" t="s">
        <v>413</v>
      </c>
      <c r="L28" s="435">
        <f>B28</f>
        <v>46265</v>
      </c>
    </row>
    <row r="29" spans="1:12" x14ac:dyDescent="0.3">
      <c r="A29" s="435">
        <v>46170</v>
      </c>
      <c r="B29" s="435">
        <v>46265</v>
      </c>
      <c r="C29" s="436" t="s">
        <v>100</v>
      </c>
      <c r="D29" s="436" t="s">
        <v>112</v>
      </c>
      <c r="E29" s="437" t="s">
        <v>113</v>
      </c>
      <c r="F29" s="437" t="s">
        <v>114</v>
      </c>
      <c r="G29" s="487">
        <v>1860403.01</v>
      </c>
      <c r="H29" s="436" t="s">
        <v>72</v>
      </c>
      <c r="I29" s="436" t="s">
        <v>100</v>
      </c>
      <c r="J29" s="436"/>
      <c r="K29" s="437" t="s">
        <v>412</v>
      </c>
      <c r="L29" s="435">
        <f>B29</f>
        <v>46265</v>
      </c>
    </row>
    <row r="30" spans="1:12" x14ac:dyDescent="0.3">
      <c r="A30" s="435">
        <v>46227</v>
      </c>
      <c r="B30" s="435">
        <v>46265</v>
      </c>
      <c r="C30" s="436" t="s">
        <v>115</v>
      </c>
      <c r="D30" s="436" t="s">
        <v>116</v>
      </c>
      <c r="E30" s="437" t="s">
        <v>115</v>
      </c>
      <c r="F30" s="437" t="s">
        <v>117</v>
      </c>
      <c r="G30" s="487">
        <v>27284.9</v>
      </c>
      <c r="H30" s="436" t="s">
        <v>32</v>
      </c>
      <c r="I30" s="436" t="s">
        <v>100</v>
      </c>
      <c r="J30" s="436"/>
      <c r="K30" s="480" t="s">
        <v>424</v>
      </c>
      <c r="L30" s="435">
        <f>B30</f>
        <v>46265</v>
      </c>
    </row>
    <row r="31" spans="1:12" x14ac:dyDescent="0.3">
      <c r="F31" s="438" t="s">
        <v>118</v>
      </c>
      <c r="G31" s="488">
        <f>SUMIF(I3:I30,"&lt;&gt;Pending",G3:G30)</f>
        <v>1173255.06</v>
      </c>
    </row>
    <row r="33" spans="1:11" x14ac:dyDescent="0.3">
      <c r="F33" s="439" t="s">
        <v>119</v>
      </c>
    </row>
    <row r="34" spans="1:11" x14ac:dyDescent="0.3">
      <c r="F34" t="s">
        <v>120</v>
      </c>
      <c r="G34" s="47">
        <f ca="1">SUMIFS(G3:G30, J3:J30, "*CASH SALE*", L3:L30, "&gt;="&amp;EOMONTH(TODAY(),-1)+1, L3:L30, "&lt;="&amp;EOMONTH(TODAY(),0), I3:I30, "&lt;&gt;Pending")</f>
        <v>196469.43</v>
      </c>
      <c r="I34" t="s">
        <v>121</v>
      </c>
      <c r="J34" s="19">
        <f ca="1">SUMIFS(G3:G30, J3:J30, "*CASH SALE*", L3:L30, "&gt;="&amp;EOMONTH(TODAY(),0)+1, L3:L30, "&lt;="&amp;EOMONTH(TODAY(),1), I3:I30, "&lt;&gt;Pending")</f>
        <v>366930.84</v>
      </c>
    </row>
    <row r="35" spans="1:11" x14ac:dyDescent="0.3">
      <c r="F35" t="s">
        <v>122</v>
      </c>
      <c r="G35" s="47">
        <f ca="1">SUMIFS(G3:G30, J3:J30, "*ACCOUNT*", L3:L30, "&gt;="&amp;EOMONTH(TODAY(),-1)+1, L3:L30, "&lt;="&amp;EOMONTH(TODAY(),0), I3:I30, "&lt;&gt;Pending")</f>
        <v>80152.240000000005</v>
      </c>
      <c r="I35" t="s">
        <v>123</v>
      </c>
      <c r="J35" s="19">
        <f ca="1">SUMIFS(G3:G30, J3:J30, "*ACCOUNT*", L3:L30, "&gt;="&amp;EOMONTH(TODAY(),0)+1, L3:L30, "&lt;="&amp;EOMONTH(TODAY(),1), I3:I30, "&lt;&gt;Pending")</f>
        <v>529702.55000000005</v>
      </c>
    </row>
    <row r="37" spans="1:11" ht="28.8" x14ac:dyDescent="0.3">
      <c r="A37" s="428" t="s">
        <v>1</v>
      </c>
      <c r="B37" s="428" t="s">
        <v>2</v>
      </c>
      <c r="C37" s="428" t="s">
        <v>3</v>
      </c>
      <c r="D37" s="428" t="s">
        <v>4</v>
      </c>
      <c r="E37" s="428" t="s">
        <v>5</v>
      </c>
      <c r="F37" s="428" t="s">
        <v>6</v>
      </c>
      <c r="G37" s="489" t="s">
        <v>7</v>
      </c>
      <c r="H37" s="428" t="s">
        <v>8</v>
      </c>
      <c r="I37" s="428" t="s">
        <v>9</v>
      </c>
      <c r="J37" s="428" t="s">
        <v>10</v>
      </c>
      <c r="K37" s="428" t="s">
        <v>124</v>
      </c>
    </row>
    <row r="38" spans="1:11" ht="28.8" x14ac:dyDescent="0.3">
      <c r="A38" s="490">
        <v>46198</v>
      </c>
      <c r="B38" s="490">
        <v>46233.63840758102</v>
      </c>
      <c r="C38" s="491" t="s">
        <v>21</v>
      </c>
      <c r="D38" s="491" t="s">
        <v>22</v>
      </c>
      <c r="E38" s="492" t="s">
        <v>23</v>
      </c>
      <c r="F38" s="492" t="s">
        <v>24</v>
      </c>
      <c r="G38" s="493">
        <v>18045.25</v>
      </c>
      <c r="H38" s="491" t="s">
        <v>25</v>
      </c>
      <c r="I38" s="491" t="s">
        <v>39</v>
      </c>
      <c r="J38" s="491" t="s">
        <v>26</v>
      </c>
      <c r="K38" s="494" t="s">
        <v>404</v>
      </c>
    </row>
    <row r="39" spans="1:11" ht="28.8" x14ac:dyDescent="0.3">
      <c r="A39" s="490">
        <v>46224</v>
      </c>
      <c r="B39" s="490">
        <v>46233.63840758102</v>
      </c>
      <c r="C39" s="491" t="s">
        <v>46</v>
      </c>
      <c r="D39" s="491" t="s">
        <v>47</v>
      </c>
      <c r="E39" s="492" t="s">
        <v>48</v>
      </c>
      <c r="F39" s="492" t="s">
        <v>49</v>
      </c>
      <c r="G39" s="493">
        <v>80152.240000000005</v>
      </c>
      <c r="H39" s="491" t="s">
        <v>17</v>
      </c>
      <c r="I39" s="491" t="s">
        <v>18</v>
      </c>
      <c r="J39" s="491" t="s">
        <v>19</v>
      </c>
      <c r="K39" s="492" t="s">
        <v>405</v>
      </c>
    </row>
    <row r="40" spans="1:11" ht="28.8" x14ac:dyDescent="0.3">
      <c r="A40" s="490">
        <v>46230</v>
      </c>
      <c r="B40" s="490">
        <v>46233.63840758102</v>
      </c>
      <c r="C40" s="491" t="s">
        <v>54</v>
      </c>
      <c r="D40" s="491" t="s">
        <v>55</v>
      </c>
      <c r="E40" s="492" t="s">
        <v>56</v>
      </c>
      <c r="F40" s="492" t="s">
        <v>57</v>
      </c>
      <c r="G40" s="493">
        <v>20877.099999999999</v>
      </c>
      <c r="H40" s="491" t="s">
        <v>58</v>
      </c>
      <c r="I40" s="491" t="s">
        <v>39</v>
      </c>
      <c r="J40" s="491" t="s">
        <v>45</v>
      </c>
      <c r="K40" s="492" t="s">
        <v>425</v>
      </c>
    </row>
    <row r="41" spans="1:11" ht="28.8" x14ac:dyDescent="0.3">
      <c r="A41" s="490">
        <v>46142</v>
      </c>
      <c r="B41" s="490">
        <v>46233.63840758102</v>
      </c>
      <c r="C41" s="491" t="s">
        <v>34</v>
      </c>
      <c r="D41" s="491" t="s">
        <v>35</v>
      </c>
      <c r="E41" s="492" t="s">
        <v>36</v>
      </c>
      <c r="F41" s="492" t="s">
        <v>37</v>
      </c>
      <c r="G41" s="493">
        <v>71433.710000000006</v>
      </c>
      <c r="H41" s="491" t="s">
        <v>38</v>
      </c>
      <c r="I41" s="491" t="s">
        <v>39</v>
      </c>
      <c r="J41" s="491" t="s">
        <v>26</v>
      </c>
      <c r="K41" s="494" t="s">
        <v>407</v>
      </c>
    </row>
    <row r="42" spans="1:11" x14ac:dyDescent="0.3">
      <c r="F42" s="438" t="s">
        <v>129</v>
      </c>
      <c r="G42" s="488">
        <f>SUM(G38:G41)</f>
        <v>190508.3</v>
      </c>
    </row>
    <row r="44" spans="1:11" x14ac:dyDescent="0.3">
      <c r="F44" s="438" t="s">
        <v>130</v>
      </c>
      <c r="G44" s="488">
        <f>SUMIFS(G3:G30, I3:I30, "*Ready*Dispatch*")</f>
        <v>110356.06</v>
      </c>
    </row>
    <row r="45" spans="1:11" x14ac:dyDescent="0.3">
      <c r="A45" s="481" t="s">
        <v>240</v>
      </c>
      <c r="B45" s="481"/>
      <c r="C45" s="481"/>
      <c r="D45" s="481"/>
    </row>
    <row r="46" spans="1:11" x14ac:dyDescent="0.3">
      <c r="A46" s="481" t="s">
        <v>132</v>
      </c>
      <c r="B46" s="481"/>
      <c r="C46" s="481"/>
      <c r="D46" s="481"/>
    </row>
  </sheetData>
  <sortState xmlns:xlrd2="http://schemas.microsoft.com/office/spreadsheetml/2017/richdata2" ref="A3:L30">
    <sortCondition ref="B3:B30"/>
  </sortState>
  <mergeCells count="3">
    <mergeCell ref="A46:D46"/>
    <mergeCell ref="A45:D45"/>
    <mergeCell ref="A1:D1"/>
  </mergeCells>
  <pageMargins left="0.25" right="0.25" top="0.75" bottom="0.75" header="0.3" footer="0.3"/>
  <pageSetup fitToHeight="0" orientation="landscape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F15"/>
  <sheetViews>
    <sheetView tabSelected="1" workbookViewId="0">
      <selection activeCell="K40" sqref="K40"/>
    </sheetView>
  </sheetViews>
  <sheetFormatPr defaultRowHeight="14.4" x14ac:dyDescent="0.3"/>
  <cols>
    <col min="1" max="1" width="16" customWidth="1"/>
    <col min="2" max="2" width="22" customWidth="1"/>
    <col min="3" max="3" width="16" customWidth="1"/>
    <col min="4" max="4" width="10" customWidth="1"/>
    <col min="5" max="5" width="22" customWidth="1"/>
    <col min="6" max="6" width="16" customWidth="1"/>
  </cols>
  <sheetData>
    <row r="1" spans="1:6" ht="18" x14ac:dyDescent="0.35">
      <c r="A1" s="440" t="s">
        <v>391</v>
      </c>
      <c r="B1" s="441"/>
      <c r="C1" s="441"/>
      <c r="D1" s="441"/>
      <c r="E1" s="441"/>
      <c r="F1" s="441"/>
    </row>
    <row r="3" spans="1:6" x14ac:dyDescent="0.3">
      <c r="A3" s="442" t="s">
        <v>392</v>
      </c>
      <c r="B3" s="443" t="s">
        <v>393</v>
      </c>
      <c r="C3" s="444">
        <v>947862.54999999993</v>
      </c>
      <c r="E3" s="443" t="s">
        <v>394</v>
      </c>
      <c r="F3" s="445">
        <f ca="1">'30.07.2026'!G34</f>
        <v>196469.43</v>
      </c>
    </row>
    <row r="4" spans="1:6" x14ac:dyDescent="0.3">
      <c r="B4" s="443" t="s">
        <v>395</v>
      </c>
      <c r="C4" s="444">
        <v>762702.91</v>
      </c>
      <c r="E4" s="443" t="s">
        <v>396</v>
      </c>
      <c r="F4" s="445">
        <f ca="1">'30.07.2026'!G35</f>
        <v>80152.240000000005</v>
      </c>
    </row>
    <row r="5" spans="1:6" x14ac:dyDescent="0.3">
      <c r="B5" s="446" t="s">
        <v>397</v>
      </c>
      <c r="C5" s="447">
        <f>SUM(C3:C4)</f>
        <v>1710565.46</v>
      </c>
      <c r="E5" s="446" t="s">
        <v>397</v>
      </c>
      <c r="F5" s="447">
        <f ca="1">SUM(F3:F4)</f>
        <v>276621.67</v>
      </c>
    </row>
    <row r="7" spans="1:6" x14ac:dyDescent="0.3">
      <c r="B7" s="448" t="s">
        <v>398</v>
      </c>
      <c r="C7" s="449">
        <f ca="1">C5+F5</f>
        <v>1987187.13</v>
      </c>
      <c r="D7" s="448" t="s">
        <v>399</v>
      </c>
      <c r="E7" s="449">
        <f ca="1">C7*1.15</f>
        <v>2285265.1994999996</v>
      </c>
      <c r="F7" s="448" t="s">
        <v>400</v>
      </c>
    </row>
    <row r="9" spans="1:6" x14ac:dyDescent="0.3">
      <c r="A9" s="442" t="s">
        <v>401</v>
      </c>
      <c r="B9" s="443" t="s">
        <v>393</v>
      </c>
      <c r="C9" s="444">
        <v>0</v>
      </c>
      <c r="E9" s="443" t="s">
        <v>394</v>
      </c>
      <c r="F9" s="445">
        <f ca="1">'30.07.2026'!J34</f>
        <v>366930.84</v>
      </c>
    </row>
    <row r="10" spans="1:6" x14ac:dyDescent="0.3">
      <c r="B10" s="443" t="s">
        <v>395</v>
      </c>
      <c r="C10" s="444">
        <v>0</v>
      </c>
      <c r="E10" s="443" t="s">
        <v>396</v>
      </c>
      <c r="F10" s="445">
        <f ca="1">'30.07.2026'!J35</f>
        <v>529702.55000000005</v>
      </c>
    </row>
    <row r="11" spans="1:6" x14ac:dyDescent="0.3">
      <c r="B11" s="446" t="s">
        <v>402</v>
      </c>
      <c r="C11" s="447">
        <f>SUM(C9:C10)</f>
        <v>0</v>
      </c>
      <c r="E11" s="446" t="s">
        <v>402</v>
      </c>
      <c r="F11" s="447">
        <f ca="1">SUM(F9:F10)</f>
        <v>896633.39000000013</v>
      </c>
    </row>
    <row r="13" spans="1:6" x14ac:dyDescent="0.3">
      <c r="B13" s="448" t="s">
        <v>398</v>
      </c>
      <c r="C13" s="449">
        <f ca="1">C11+F11</f>
        <v>896633.39000000013</v>
      </c>
      <c r="D13" s="448" t="s">
        <v>399</v>
      </c>
      <c r="E13" s="449">
        <f ca="1">C13*1.15</f>
        <v>1031128.3985000001</v>
      </c>
      <c r="F13" s="448" t="s">
        <v>400</v>
      </c>
    </row>
    <row r="15" spans="1:6" x14ac:dyDescent="0.3">
      <c r="A15" s="450" t="s">
        <v>403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22</vt:i4>
      </vt:variant>
      <vt:variant>
        <vt:lpstr>Named Ranges</vt:lpstr>
      </vt:variant>
      <vt:variant>
        <vt:i4>21</vt:i4>
      </vt:variant>
    </vt:vector>
  </HeadingPairs>
  <TitlesOfParts>
    <vt:vector size="43" baseType="lpstr">
      <vt:lpstr>29.06.2026</vt:lpstr>
      <vt:lpstr>01.07.2026</vt:lpstr>
      <vt:lpstr>02.07.2026</vt:lpstr>
      <vt:lpstr>03.07.2026</vt:lpstr>
      <vt:lpstr>06.07.2026</vt:lpstr>
      <vt:lpstr>07.07.2026</vt:lpstr>
      <vt:lpstr>08.07.2026</vt:lpstr>
      <vt:lpstr>09.07.2026</vt:lpstr>
      <vt:lpstr>10.07.2026</vt:lpstr>
      <vt:lpstr>13.07.2026</vt:lpstr>
      <vt:lpstr>14.07.2026</vt:lpstr>
      <vt:lpstr>15.07.2026</vt:lpstr>
      <vt:lpstr>16.07.2026</vt:lpstr>
      <vt:lpstr>17.07.2026</vt:lpstr>
      <vt:lpstr>21.07.2026</vt:lpstr>
      <vt:lpstr>22.07.2026</vt:lpstr>
      <vt:lpstr>23.07.2026</vt:lpstr>
      <vt:lpstr>24.07.2026</vt:lpstr>
      <vt:lpstr>27.07.2026</vt:lpstr>
      <vt:lpstr>28.07.2026</vt:lpstr>
      <vt:lpstr>30.07.2026</vt:lpstr>
      <vt:lpstr>Monthly INV - 07.2026</vt:lpstr>
      <vt:lpstr>'01.07.2026'!Print_Area</vt:lpstr>
      <vt:lpstr>'02.07.2026'!Print_Area</vt:lpstr>
      <vt:lpstr>'03.07.2026'!Print_Area</vt:lpstr>
      <vt:lpstr>'06.07.2026'!Print_Area</vt:lpstr>
      <vt:lpstr>'07.07.2026'!Print_Area</vt:lpstr>
      <vt:lpstr>'08.07.2026'!Print_Area</vt:lpstr>
      <vt:lpstr>'09.07.2026'!Print_Area</vt:lpstr>
      <vt:lpstr>'10.07.2026'!Print_Area</vt:lpstr>
      <vt:lpstr>'13.07.2026'!Print_Area</vt:lpstr>
      <vt:lpstr>'14.07.2026'!Print_Area</vt:lpstr>
      <vt:lpstr>'15.07.2026'!Print_Area</vt:lpstr>
      <vt:lpstr>'16.07.2026'!Print_Area</vt:lpstr>
      <vt:lpstr>'17.07.2026'!Print_Area</vt:lpstr>
      <vt:lpstr>'21.07.2026'!Print_Area</vt:lpstr>
      <vt:lpstr>'22.07.2026'!Print_Area</vt:lpstr>
      <vt:lpstr>'23.07.2026'!Print_Area</vt:lpstr>
      <vt:lpstr>'24.07.2026'!Print_Area</vt:lpstr>
      <vt:lpstr>'27.07.2026'!Print_Area</vt:lpstr>
      <vt:lpstr>'28.07.2026'!Print_Area</vt:lpstr>
      <vt:lpstr>'29.06.2026'!Print_Area</vt:lpstr>
      <vt:lpstr>'30.07.2026'!Print_Area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Tebello Lelosa</cp:lastModifiedBy>
  <cp:lastPrinted>2026-07-28T07:12:56Z</cp:lastPrinted>
  <dcterms:created xsi:type="dcterms:W3CDTF">2026-07-01T06:00:28Z</dcterms:created>
  <dcterms:modified xsi:type="dcterms:W3CDTF">2026-07-30T14:01:37Z</dcterms:modified>
</cp:coreProperties>
</file>